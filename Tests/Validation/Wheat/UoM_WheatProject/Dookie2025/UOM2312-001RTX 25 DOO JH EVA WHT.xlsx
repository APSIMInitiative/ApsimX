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2.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6.xml" ContentType="application/vnd.openxmlformats-officedocument.spreadsheetml.comments+xml"/>
  <Override PartName="/xl/pivotTables/pivotTable8.xml" ContentType="application/vnd.openxmlformats-officedocument.spreadsheetml.pivotTable+xml"/>
  <Override PartName="/xl/comments7.xml" ContentType="application/vnd.openxmlformats-officedocument.spreadsheetml.comments+xml"/>
  <Override PartName="/xl/threadedComments/threadedComment5.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8.xml" ContentType="application/vnd.openxmlformats-officedocument.spreadsheetml.comments+xml"/>
  <Override PartName="/xl/comments9.xml" ContentType="application/vnd.openxmlformats-officedocument.spreadsheetml.comments+xml"/>
  <Override PartName="/xl/threadedComments/threadedComment6.xml" ContentType="application/vnd.ms-excel.threaded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0.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unimelbcloud.sharepoint.com/teams/GRDCWheatYieldPhysiology/Shared Documents/General/Experiments/Dookie trial 2025/"/>
    </mc:Choice>
  </mc:AlternateContent>
  <xr:revisionPtr revIDLastSave="8820" documentId="8_{7B06EB7C-AAE5-4983-AC37-D850B27C7663}" xr6:coauthVersionLast="47" xr6:coauthVersionMax="47" xr10:uidLastSave="{EA8A7896-4DEE-4677-9F1E-DC8BF34CDA70}"/>
  <bookViews>
    <workbookView xWindow="-110" yWindow="-110" windowWidth="23260" windowHeight="14860" tabRatio="907" firstSheet="10" activeTab="18" xr2:uid="{663DA247-34AD-46E8-8C66-8FA926966295}"/>
  </bookViews>
  <sheets>
    <sheet name="Site" sheetId="1" r:id="rId1"/>
    <sheet name="Experiment" sheetId="2" r:id="rId2"/>
    <sheet name="Design" sheetId="8" r:id="rId3"/>
    <sheet name="Seed" sheetId="13" r:id="rId4"/>
    <sheet name="Plan" sheetId="12" r:id="rId5"/>
    <sheet name="Diary" sheetId="4" r:id="rId6"/>
    <sheet name="Management" sheetId="33" r:id="rId7"/>
    <sheet name="Measurements" sheetId="5" r:id="rId8"/>
    <sheet name="Emergence" sheetId="14" r:id="rId9"/>
    <sheet name="Population" sheetId="15" r:id="rId10"/>
    <sheet name="Tiller No" sheetId="34" r:id="rId11"/>
    <sheet name="Haun stage" sheetId="16" r:id="rId12"/>
    <sheet name="Leaf measurement" sheetId="19" r:id="rId13"/>
    <sheet name="Bare soil NDVI" sheetId="17" r:id="rId14"/>
    <sheet name="NDVI &amp; height" sheetId="18" r:id="rId15"/>
    <sheet name="PCDS 6.0 harvest" sheetId="21" r:id="rId16"/>
    <sheet name="PCDS 6.0" sheetId="20" r:id="rId17"/>
    <sheet name="PCDS 8.0" sheetId="22" r:id="rId18"/>
    <sheet name="Machine harvest" sheetId="27" r:id="rId19"/>
    <sheet name="PCDS 8.0 harvest" sheetId="23" r:id="rId20"/>
    <sheet name="Sterility measurement (frost)" sheetId="25" r:id="rId21"/>
    <sheet name="PCDS 10.0 harvest" sheetId="26" r:id="rId22"/>
    <sheet name="Pure seed harvest" sheetId="35" r:id="rId23"/>
  </sheets>
  <definedNames>
    <definedName name="_xlnm._FilterDatabase" localSheetId="15" hidden="1">'PCDS 6.0 harvest'!$A$1:$BN$33</definedName>
    <definedName name="_xlnm.Print_Area" localSheetId="8">Emergence!$I$1:$J$33</definedName>
    <definedName name="_xlnm.Print_Titles" localSheetId="8">Emergence!$1:$1</definedName>
  </definedNames>
  <calcPr calcId="191028"/>
  <pivotCaches>
    <pivotCache cacheId="28" r:id="rId24"/>
    <pivotCache cacheId="29" r:id="rId25"/>
    <pivotCache cacheId="30" r:id="rId26"/>
    <pivotCache cacheId="31" r:id="rId27"/>
    <pivotCache cacheId="32" r:id="rId28"/>
    <pivotCache cacheId="33" r:id="rId29"/>
    <pivotCache cacheId="34" r:id="rId30"/>
    <pivotCache cacheId="35" r:id="rId31"/>
    <pivotCache cacheId="36"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Y7" i="23" l="1"/>
  <c r="BY8" i="23"/>
  <c r="BY9" i="23"/>
  <c r="BY10" i="23"/>
  <c r="BY11" i="23"/>
  <c r="BY12" i="23"/>
  <c r="BY13" i="23"/>
  <c r="BY14" i="23"/>
  <c r="BY6" i="23"/>
  <c r="CA8" i="21"/>
  <c r="CA9" i="21"/>
  <c r="CA10" i="21"/>
  <c r="CA11" i="21"/>
  <c r="CA12" i="21"/>
  <c r="CA13" i="21"/>
  <c r="CA14" i="21"/>
  <c r="CA15" i="21"/>
  <c r="CA7" i="21"/>
  <c r="AV3" i="21"/>
  <c r="AV4" i="21"/>
  <c r="AV5" i="21"/>
  <c r="AV6" i="21"/>
  <c r="AV7" i="21"/>
  <c r="AV8" i="21"/>
  <c r="AV9" i="21"/>
  <c r="AV10" i="21"/>
  <c r="AV11" i="21"/>
  <c r="AV12" i="21"/>
  <c r="AV13" i="21"/>
  <c r="AV14" i="21"/>
  <c r="AV15" i="21"/>
  <c r="AV16" i="21"/>
  <c r="AV17" i="21"/>
  <c r="AV18" i="21"/>
  <c r="AV19" i="21"/>
  <c r="AV20" i="21"/>
  <c r="AV21" i="21"/>
  <c r="AV22" i="21"/>
  <c r="AV23" i="21"/>
  <c r="AV24" i="21"/>
  <c r="AV25" i="21"/>
  <c r="AV26" i="21"/>
  <c r="AV27" i="21"/>
  <c r="AV28" i="21"/>
  <c r="AV29" i="21"/>
  <c r="AV30" i="21"/>
  <c r="AV31" i="21"/>
  <c r="AV32" i="21"/>
  <c r="AV33" i="21"/>
  <c r="AV2" i="21"/>
  <c r="AT3" i="23" l="1"/>
  <c r="AT4" i="23"/>
  <c r="AT5" i="23"/>
  <c r="AT6" i="23"/>
  <c r="AT7" i="23"/>
  <c r="AT8" i="23"/>
  <c r="AT9" i="23"/>
  <c r="AT10" i="23"/>
  <c r="AT11" i="23"/>
  <c r="AT12" i="23"/>
  <c r="AT13" i="23"/>
  <c r="AT14" i="23"/>
  <c r="AT15" i="23"/>
  <c r="AT16" i="23"/>
  <c r="AT17" i="23"/>
  <c r="AT18" i="23"/>
  <c r="AT19" i="23"/>
  <c r="AT20" i="23"/>
  <c r="AT21" i="23"/>
  <c r="AT22" i="23"/>
  <c r="AT23" i="23"/>
  <c r="AT24" i="23"/>
  <c r="AT25" i="23"/>
  <c r="AT26" i="23"/>
  <c r="AT27" i="23"/>
  <c r="AT28" i="23"/>
  <c r="AT29" i="23"/>
  <c r="AT30" i="23"/>
  <c r="AT31" i="23"/>
  <c r="AT32" i="23"/>
  <c r="AT33" i="23"/>
  <c r="AT2" i="23"/>
  <c r="AP31" i="26"/>
  <c r="AO3" i="26"/>
  <c r="AO4" i="26"/>
  <c r="AO5" i="26"/>
  <c r="AO6" i="26"/>
  <c r="AO7" i="26"/>
  <c r="AO8" i="26"/>
  <c r="AO9" i="26"/>
  <c r="AO10" i="26"/>
  <c r="AO11" i="26"/>
  <c r="AO12" i="26"/>
  <c r="AO13" i="26"/>
  <c r="AO14" i="26"/>
  <c r="AO15" i="26"/>
  <c r="AO16" i="26"/>
  <c r="AO17" i="26"/>
  <c r="AO18" i="26"/>
  <c r="AO19" i="26"/>
  <c r="AP19" i="26" s="1"/>
  <c r="AO20" i="26"/>
  <c r="AO21" i="26"/>
  <c r="AO22" i="26"/>
  <c r="AO23" i="26"/>
  <c r="AO24" i="26"/>
  <c r="AO25" i="26"/>
  <c r="AO26" i="26"/>
  <c r="AO27" i="26"/>
  <c r="AO28" i="26"/>
  <c r="AO29" i="26"/>
  <c r="AO30" i="26"/>
  <c r="AO31" i="26"/>
  <c r="AO32" i="26"/>
  <c r="AO33" i="26"/>
  <c r="AO2" i="26"/>
  <c r="AN3" i="26"/>
  <c r="AN4" i="26"/>
  <c r="AN5" i="26"/>
  <c r="AN6" i="26"/>
  <c r="AN7" i="26"/>
  <c r="AN8" i="26"/>
  <c r="AN9" i="26"/>
  <c r="AN10" i="26"/>
  <c r="AN11" i="26"/>
  <c r="AN12" i="26"/>
  <c r="AN13" i="26"/>
  <c r="AN14" i="26"/>
  <c r="AN15" i="26"/>
  <c r="AN16" i="26"/>
  <c r="AN17" i="26"/>
  <c r="AN18" i="26"/>
  <c r="AN19" i="26"/>
  <c r="AN20" i="26"/>
  <c r="AN21" i="26"/>
  <c r="AN22" i="26"/>
  <c r="AN23" i="26"/>
  <c r="AN24" i="26"/>
  <c r="AN25" i="26"/>
  <c r="AN26" i="26"/>
  <c r="AN27" i="26"/>
  <c r="AN28" i="26"/>
  <c r="AN29" i="26"/>
  <c r="AN30" i="26"/>
  <c r="AN31" i="26"/>
  <c r="AN32" i="26"/>
  <c r="AN33" i="26"/>
  <c r="AN2" i="26"/>
  <c r="AL3" i="26"/>
  <c r="AL4" i="26"/>
  <c r="AL5" i="26"/>
  <c r="AL6" i="26"/>
  <c r="AP6" i="26" s="1"/>
  <c r="AL7" i="26"/>
  <c r="AP7" i="26" s="1"/>
  <c r="AL8" i="26"/>
  <c r="AP8" i="26" s="1"/>
  <c r="AL9" i="26"/>
  <c r="AP9" i="26" s="1"/>
  <c r="AL10" i="26"/>
  <c r="AP10" i="26" s="1"/>
  <c r="AL11" i="26"/>
  <c r="AP11" i="26" s="1"/>
  <c r="AL12" i="26"/>
  <c r="AP12" i="26" s="1"/>
  <c r="AL13" i="26"/>
  <c r="AP13" i="26" s="1"/>
  <c r="AL14" i="26"/>
  <c r="AP14" i="26" s="1"/>
  <c r="AL15" i="26"/>
  <c r="AL16" i="26"/>
  <c r="AL17" i="26"/>
  <c r="AL18" i="26"/>
  <c r="AP18" i="26" s="1"/>
  <c r="AL19" i="26"/>
  <c r="AL20" i="26"/>
  <c r="AP20" i="26" s="1"/>
  <c r="AL21" i="26"/>
  <c r="AP21" i="26" s="1"/>
  <c r="AL22" i="26"/>
  <c r="AP22" i="26" s="1"/>
  <c r="AL23" i="26"/>
  <c r="AP23" i="26" s="1"/>
  <c r="AL24" i="26"/>
  <c r="AP24" i="26" s="1"/>
  <c r="AL25" i="26"/>
  <c r="AP25" i="26" s="1"/>
  <c r="AL26" i="26"/>
  <c r="AP26" i="26" s="1"/>
  <c r="AL27" i="26"/>
  <c r="AL28" i="26"/>
  <c r="AL29" i="26"/>
  <c r="AL30" i="26"/>
  <c r="AP30" i="26" s="1"/>
  <c r="AL31" i="26"/>
  <c r="AL32" i="26"/>
  <c r="AP32" i="26" s="1"/>
  <c r="AL33" i="26"/>
  <c r="AP33" i="26" s="1"/>
  <c r="AL2" i="26"/>
  <c r="AP2" i="26" s="1"/>
  <c r="AF30" i="26"/>
  <c r="AE9" i="26"/>
  <c r="AB33" i="26"/>
  <c r="AA3" i="26"/>
  <c r="AG3" i="26" s="1"/>
  <c r="AA4" i="26"/>
  <c r="AG4" i="26" s="1"/>
  <c r="AA5" i="26"/>
  <c r="AG5" i="26" s="1"/>
  <c r="AA6" i="26"/>
  <c r="AG6" i="26" s="1"/>
  <c r="AA7" i="26"/>
  <c r="AF7" i="26" s="1"/>
  <c r="AA8" i="26"/>
  <c r="AF8" i="26" s="1"/>
  <c r="AA9" i="26"/>
  <c r="AF9" i="26" s="1"/>
  <c r="AA10" i="26"/>
  <c r="AF10" i="26" s="1"/>
  <c r="AA11" i="26"/>
  <c r="AE11" i="26" s="1"/>
  <c r="AA12" i="26"/>
  <c r="AD12" i="26" s="1"/>
  <c r="AA13" i="26"/>
  <c r="AE13" i="26" s="1"/>
  <c r="AA14" i="26"/>
  <c r="AD14" i="26" s="1"/>
  <c r="AA15" i="26"/>
  <c r="AG15" i="26" s="1"/>
  <c r="AA16" i="26"/>
  <c r="AG16" i="26" s="1"/>
  <c r="AA17" i="26"/>
  <c r="AG17" i="26" s="1"/>
  <c r="AA18" i="26"/>
  <c r="AG18" i="26" s="1"/>
  <c r="AA19" i="26"/>
  <c r="AF19" i="26" s="1"/>
  <c r="AA20" i="26"/>
  <c r="AF20" i="26" s="1"/>
  <c r="AA21" i="26"/>
  <c r="AF21" i="26" s="1"/>
  <c r="AA22" i="26"/>
  <c r="AF22" i="26" s="1"/>
  <c r="AA23" i="26"/>
  <c r="AE23" i="26" s="1"/>
  <c r="AA24" i="26"/>
  <c r="AE24" i="26" s="1"/>
  <c r="AA25" i="26"/>
  <c r="AE25" i="26" s="1"/>
  <c r="AA26" i="26"/>
  <c r="AE26" i="26" s="1"/>
  <c r="AA27" i="26"/>
  <c r="AG27" i="26" s="1"/>
  <c r="AA28" i="26"/>
  <c r="AG28" i="26" s="1"/>
  <c r="AA29" i="26"/>
  <c r="AG29" i="26" s="1"/>
  <c r="AA30" i="26"/>
  <c r="AG30" i="26" s="1"/>
  <c r="AA31" i="26"/>
  <c r="AF31" i="26" s="1"/>
  <c r="AA32" i="26"/>
  <c r="AF32" i="26" s="1"/>
  <c r="AA33" i="26"/>
  <c r="AF33" i="26" s="1"/>
  <c r="AA2" i="26"/>
  <c r="AF2" i="26" s="1"/>
  <c r="Q3" i="26"/>
  <c r="Q4" i="26"/>
  <c r="Q5" i="26"/>
  <c r="Q6" i="26"/>
  <c r="Q7" i="26"/>
  <c r="Q8" i="26"/>
  <c r="Q9" i="26"/>
  <c r="Q10" i="26"/>
  <c r="Q11" i="26"/>
  <c r="Q12" i="26"/>
  <c r="Q13" i="26"/>
  <c r="Q14" i="26"/>
  <c r="Q15" i="26"/>
  <c r="Q16" i="26"/>
  <c r="Q17" i="26"/>
  <c r="Q18" i="26"/>
  <c r="Q19" i="26"/>
  <c r="Q20" i="26"/>
  <c r="Q21" i="26"/>
  <c r="Q22" i="26"/>
  <c r="Q23" i="26"/>
  <c r="Q24" i="26"/>
  <c r="Q25" i="26"/>
  <c r="Q26" i="26"/>
  <c r="Q27" i="26"/>
  <c r="Q28" i="26"/>
  <c r="Q29" i="26"/>
  <c r="Q30" i="26"/>
  <c r="Q31" i="26"/>
  <c r="Q32" i="26"/>
  <c r="Q33" i="26"/>
  <c r="Q2" i="26"/>
  <c r="N3" i="26"/>
  <c r="N4" i="26"/>
  <c r="AC4" i="26" s="1"/>
  <c r="AK4" i="26" s="1"/>
  <c r="N5" i="26"/>
  <c r="N6" i="26"/>
  <c r="AC6" i="26" s="1"/>
  <c r="AK6" i="26" s="1"/>
  <c r="N7" i="26"/>
  <c r="AC7" i="26" s="1"/>
  <c r="AJ7" i="26" s="1"/>
  <c r="N8" i="26"/>
  <c r="N9" i="26"/>
  <c r="AC9" i="26" s="1"/>
  <c r="N10" i="26"/>
  <c r="N11" i="26"/>
  <c r="N12" i="26"/>
  <c r="N13" i="26"/>
  <c r="N14" i="26"/>
  <c r="N15" i="26"/>
  <c r="N16" i="26"/>
  <c r="AC16" i="26" s="1"/>
  <c r="AK16" i="26" s="1"/>
  <c r="N17" i="26"/>
  <c r="AC17" i="26" s="1"/>
  <c r="AK17" i="26" s="1"/>
  <c r="N18" i="26"/>
  <c r="AC18" i="26" s="1"/>
  <c r="AK18" i="26" s="1"/>
  <c r="N19" i="26"/>
  <c r="AC19" i="26" s="1"/>
  <c r="AM19" i="26" s="1"/>
  <c r="N20" i="26"/>
  <c r="N21" i="26"/>
  <c r="AC21" i="26" s="1"/>
  <c r="N22" i="26"/>
  <c r="N23" i="26"/>
  <c r="N24" i="26"/>
  <c r="N25" i="26"/>
  <c r="N26" i="26"/>
  <c r="N27" i="26"/>
  <c r="N28" i="26"/>
  <c r="AC28" i="26" s="1"/>
  <c r="AK28" i="26" s="1"/>
  <c r="N29" i="26"/>
  <c r="N30" i="26"/>
  <c r="AC30" i="26" s="1"/>
  <c r="AK30" i="26" s="1"/>
  <c r="N31" i="26"/>
  <c r="AC31" i="26" s="1"/>
  <c r="AM31" i="26" s="1"/>
  <c r="N32" i="26"/>
  <c r="N33" i="26"/>
  <c r="AC33" i="26" s="1"/>
  <c r="N2" i="26"/>
  <c r="AP29" i="26" l="1"/>
  <c r="AP17" i="26"/>
  <c r="AP5" i="26"/>
  <c r="AP28" i="26"/>
  <c r="AP16" i="26"/>
  <c r="AP4" i="26"/>
  <c r="AP27" i="26"/>
  <c r="AP3" i="26"/>
  <c r="AP15" i="26"/>
  <c r="AC2" i="26"/>
  <c r="AH2" i="26" s="1"/>
  <c r="AC22" i="26"/>
  <c r="AI22" i="26" s="1"/>
  <c r="AC10" i="26"/>
  <c r="AM10" i="26" s="1"/>
  <c r="AB2" i="26"/>
  <c r="AC32" i="26"/>
  <c r="AC20" i="26"/>
  <c r="AM20" i="26" s="1"/>
  <c r="AC8" i="26"/>
  <c r="AB32" i="26"/>
  <c r="AM11" i="26"/>
  <c r="AB22" i="26"/>
  <c r="AK31" i="26"/>
  <c r="AM2" i="26"/>
  <c r="AM22" i="26"/>
  <c r="AM33" i="26"/>
  <c r="AM21" i="26"/>
  <c r="AM9" i="26"/>
  <c r="AC29" i="26"/>
  <c r="AK29" i="26" s="1"/>
  <c r="AC5" i="26"/>
  <c r="AK5" i="26" s="1"/>
  <c r="AM32" i="26"/>
  <c r="AM8" i="26"/>
  <c r="AM7" i="26"/>
  <c r="AC27" i="26"/>
  <c r="AK27" i="26" s="1"/>
  <c r="AC15" i="26"/>
  <c r="AK15" i="26" s="1"/>
  <c r="AC3" i="26"/>
  <c r="AK3" i="26" s="1"/>
  <c r="AM30" i="26"/>
  <c r="AM18" i="26"/>
  <c r="AM6" i="26"/>
  <c r="AE10" i="26"/>
  <c r="AM29" i="26"/>
  <c r="AM17" i="26"/>
  <c r="AM5" i="26"/>
  <c r="AM28" i="26"/>
  <c r="AM16" i="26"/>
  <c r="AM4" i="26"/>
  <c r="AE8" i="26"/>
  <c r="AJ28" i="26"/>
  <c r="AJ30" i="26"/>
  <c r="AB21" i="26"/>
  <c r="AF29" i="26"/>
  <c r="AJ29" i="26" s="1"/>
  <c r="AH18" i="26"/>
  <c r="AH6" i="26"/>
  <c r="AJ22" i="26"/>
  <c r="AB20" i="26"/>
  <c r="AF28" i="26"/>
  <c r="AJ33" i="26"/>
  <c r="AJ21" i="26"/>
  <c r="AJ9" i="26"/>
  <c r="AB10" i="26"/>
  <c r="AE2" i="26"/>
  <c r="AF18" i="26"/>
  <c r="AJ18" i="26" s="1"/>
  <c r="AH16" i="26"/>
  <c r="AJ32" i="26"/>
  <c r="AJ20" i="26"/>
  <c r="AJ8" i="26"/>
  <c r="AB9" i="26"/>
  <c r="AE33" i="26"/>
  <c r="AI33" i="26" s="1"/>
  <c r="AF17" i="26"/>
  <c r="AJ17" i="26" s="1"/>
  <c r="AJ31" i="26"/>
  <c r="AJ19" i="26"/>
  <c r="AI16" i="26"/>
  <c r="AC26" i="26"/>
  <c r="AC14" i="26"/>
  <c r="AB8" i="26"/>
  <c r="AE32" i="26"/>
  <c r="AI32" i="26" s="1"/>
  <c r="AF16" i="26"/>
  <c r="AJ16" i="26" s="1"/>
  <c r="AC25" i="26"/>
  <c r="AC13" i="26"/>
  <c r="AE22" i="26"/>
  <c r="AF6" i="26"/>
  <c r="AJ6" i="26" s="1"/>
  <c r="AC24" i="26"/>
  <c r="AC12" i="26"/>
  <c r="AE21" i="26"/>
  <c r="AI21" i="26" s="1"/>
  <c r="AF5" i="26"/>
  <c r="AI9" i="26"/>
  <c r="AC23" i="26"/>
  <c r="AM23" i="26" s="1"/>
  <c r="AC11" i="26"/>
  <c r="AE20" i="26"/>
  <c r="AI20" i="26" s="1"/>
  <c r="AF4" i="26"/>
  <c r="AJ4" i="26" s="1"/>
  <c r="AG26" i="26"/>
  <c r="AG13" i="26"/>
  <c r="AG12" i="26"/>
  <c r="AB31" i="26"/>
  <c r="AB19" i="26"/>
  <c r="AB7" i="26"/>
  <c r="AD23" i="26"/>
  <c r="AD11" i="26"/>
  <c r="AE31" i="26"/>
  <c r="AI31" i="26" s="1"/>
  <c r="AE19" i="26"/>
  <c r="AI19" i="26" s="1"/>
  <c r="AE7" i="26"/>
  <c r="AI7" i="26" s="1"/>
  <c r="AF27" i="26"/>
  <c r="AF15" i="26"/>
  <c r="AF3" i="26"/>
  <c r="AJ3" i="26" s="1"/>
  <c r="AG23" i="26"/>
  <c r="AG11" i="26"/>
  <c r="AG14" i="26"/>
  <c r="AD25" i="26"/>
  <c r="AG25" i="26"/>
  <c r="AG24" i="26"/>
  <c r="AB30" i="26"/>
  <c r="AB18" i="26"/>
  <c r="AB6" i="26"/>
  <c r="AD2" i="26"/>
  <c r="AD22" i="26"/>
  <c r="AD10" i="26"/>
  <c r="AE30" i="26"/>
  <c r="AI30" i="26" s="1"/>
  <c r="AE18" i="26"/>
  <c r="AI18" i="26" s="1"/>
  <c r="AE6" i="26"/>
  <c r="AI6" i="26" s="1"/>
  <c r="AF26" i="26"/>
  <c r="AF14" i="26"/>
  <c r="AG2" i="26"/>
  <c r="AG22" i="26"/>
  <c r="AG10" i="26"/>
  <c r="AD26" i="26"/>
  <c r="AB29" i="26"/>
  <c r="AB17" i="26"/>
  <c r="AB5" i="26"/>
  <c r="AD33" i="26"/>
  <c r="AH33" i="26" s="1"/>
  <c r="AD21" i="26"/>
  <c r="AH21" i="26" s="1"/>
  <c r="AD9" i="26"/>
  <c r="AH9" i="26" s="1"/>
  <c r="AE29" i="26"/>
  <c r="AI29" i="26" s="1"/>
  <c r="AE17" i="26"/>
  <c r="AI17" i="26" s="1"/>
  <c r="AE5" i="26"/>
  <c r="AF25" i="26"/>
  <c r="AF13" i="26"/>
  <c r="AG33" i="26"/>
  <c r="AK33" i="26" s="1"/>
  <c r="AG21" i="26"/>
  <c r="AK21" i="26" s="1"/>
  <c r="AG9" i="26"/>
  <c r="AK9" i="26" s="1"/>
  <c r="AD13" i="26"/>
  <c r="AB28" i="26"/>
  <c r="AB16" i="26"/>
  <c r="AB4" i="26"/>
  <c r="AD32" i="26"/>
  <c r="AH32" i="26" s="1"/>
  <c r="AD20" i="26"/>
  <c r="AH20" i="26" s="1"/>
  <c r="AD8" i="26"/>
  <c r="AH8" i="26" s="1"/>
  <c r="AE28" i="26"/>
  <c r="AI28" i="26" s="1"/>
  <c r="AE16" i="26"/>
  <c r="AE4" i="26"/>
  <c r="AI4" i="26" s="1"/>
  <c r="AF24" i="26"/>
  <c r="AF12" i="26"/>
  <c r="AG32" i="26"/>
  <c r="AG20" i="26"/>
  <c r="AG8" i="26"/>
  <c r="AB27" i="26"/>
  <c r="AB15" i="26"/>
  <c r="AB3" i="26"/>
  <c r="AD31" i="26"/>
  <c r="AH31" i="26" s="1"/>
  <c r="AD19" i="26"/>
  <c r="AH19" i="26" s="1"/>
  <c r="AD7" i="26"/>
  <c r="AH7" i="26" s="1"/>
  <c r="AE27" i="26"/>
  <c r="AE15" i="26"/>
  <c r="AE3" i="26"/>
  <c r="AI3" i="26" s="1"/>
  <c r="AF23" i="26"/>
  <c r="AF11" i="26"/>
  <c r="AG31" i="26"/>
  <c r="AG19" i="26"/>
  <c r="AK19" i="26" s="1"/>
  <c r="AG7" i="26"/>
  <c r="AK7" i="26" s="1"/>
  <c r="AB26" i="26"/>
  <c r="AB14" i="26"/>
  <c r="AD30" i="26"/>
  <c r="AH30" i="26" s="1"/>
  <c r="AD18" i="26"/>
  <c r="AD6" i="26"/>
  <c r="AE14" i="26"/>
  <c r="AB25" i="26"/>
  <c r="AB13" i="26"/>
  <c r="AD29" i="26"/>
  <c r="AH29" i="26" s="1"/>
  <c r="AD17" i="26"/>
  <c r="AH17" i="26" s="1"/>
  <c r="AD5" i="26"/>
  <c r="AD24" i="26"/>
  <c r="AB24" i="26"/>
  <c r="AB12" i="26"/>
  <c r="AD28" i="26"/>
  <c r="AH28" i="26" s="1"/>
  <c r="AD16" i="26"/>
  <c r="AD4" i="26"/>
  <c r="AH4" i="26" s="1"/>
  <c r="AE12" i="26"/>
  <c r="AB23" i="26"/>
  <c r="AB11" i="26"/>
  <c r="AD27" i="26"/>
  <c r="AD15" i="26"/>
  <c r="AD3" i="26"/>
  <c r="AH3" i="26" s="1"/>
  <c r="AM26" i="26" l="1"/>
  <c r="AI26" i="26"/>
  <c r="AH15" i="26"/>
  <c r="AI10" i="26"/>
  <c r="AH27" i="26"/>
  <c r="AI2" i="26"/>
  <c r="AH10" i="26"/>
  <c r="AH22" i="26"/>
  <c r="AJ15" i="26"/>
  <c r="AI15" i="26"/>
  <c r="AK10" i="26"/>
  <c r="AJ2" i="26"/>
  <c r="AK22" i="26"/>
  <c r="AM15" i="26"/>
  <c r="AK2" i="26"/>
  <c r="AJ10" i="26"/>
  <c r="AK24" i="26"/>
  <c r="AM24" i="26"/>
  <c r="AJ27" i="26"/>
  <c r="AK13" i="26"/>
  <c r="AM13" i="26"/>
  <c r="AM3" i="26"/>
  <c r="AI27" i="26"/>
  <c r="AK25" i="26"/>
  <c r="AM25" i="26"/>
  <c r="AH5" i="26"/>
  <c r="AI8" i="26"/>
  <c r="AK8" i="26"/>
  <c r="AK12" i="26"/>
  <c r="AM12" i="26"/>
  <c r="AK11" i="26"/>
  <c r="AJ5" i="26"/>
  <c r="AM27" i="26"/>
  <c r="AK20" i="26"/>
  <c r="AM14" i="26"/>
  <c r="AK14" i="26"/>
  <c r="AK23" i="26"/>
  <c r="AK32" i="26"/>
  <c r="AI5" i="26"/>
  <c r="AH13" i="26"/>
  <c r="AI13" i="26"/>
  <c r="AJ13" i="26"/>
  <c r="AJ24" i="26"/>
  <c r="AH24" i="26"/>
  <c r="AI24" i="26"/>
  <c r="AH11" i="26"/>
  <c r="AI11" i="26"/>
  <c r="AJ11" i="26"/>
  <c r="AH26" i="26"/>
  <c r="AH23" i="26"/>
  <c r="AI23" i="26"/>
  <c r="AJ23" i="26"/>
  <c r="AH14" i="26"/>
  <c r="AI14" i="26"/>
  <c r="AJ14" i="26"/>
  <c r="AJ25" i="26"/>
  <c r="AH25" i="26"/>
  <c r="AI25" i="26"/>
  <c r="AH12" i="26"/>
  <c r="AI12" i="26"/>
  <c r="AJ12" i="26"/>
  <c r="L6" i="27" l="1"/>
  <c r="L9" i="27"/>
  <c r="N9" i="27" s="1"/>
  <c r="L10" i="27"/>
  <c r="N10" i="27" s="1"/>
  <c r="L17" i="27"/>
  <c r="N17" i="27" s="1"/>
  <c r="L18" i="27"/>
  <c r="N18" i="27" s="1"/>
  <c r="L25" i="27"/>
  <c r="N25" i="27" s="1"/>
  <c r="L26" i="27"/>
  <c r="N26" i="27" s="1"/>
  <c r="L33" i="27"/>
  <c r="N33" i="27" s="1"/>
  <c r="L3" i="27"/>
  <c r="N3" i="27" s="1"/>
  <c r="L8" i="27"/>
  <c r="N8" i="27" s="1"/>
  <c r="L11" i="27"/>
  <c r="N11" i="27" s="1"/>
  <c r="L16" i="27"/>
  <c r="N16" i="27" s="1"/>
  <c r="L19" i="27"/>
  <c r="N19" i="27" s="1"/>
  <c r="L24" i="27"/>
  <c r="N24" i="27" s="1"/>
  <c r="L27" i="27"/>
  <c r="N27" i="27" s="1"/>
  <c r="L32" i="27"/>
  <c r="N32" i="27" s="1"/>
  <c r="L4" i="27"/>
  <c r="N4" i="27" s="1"/>
  <c r="L7" i="27"/>
  <c r="N7" i="27" s="1"/>
  <c r="L12" i="27"/>
  <c r="N12" i="27" s="1"/>
  <c r="L15" i="27"/>
  <c r="N15" i="27" s="1"/>
  <c r="L20" i="27"/>
  <c r="N20" i="27" s="1"/>
  <c r="L23" i="27"/>
  <c r="N23" i="27" s="1"/>
  <c r="L28" i="27"/>
  <c r="N28" i="27" s="1"/>
  <c r="L31" i="27"/>
  <c r="N31" i="27" s="1"/>
  <c r="L5" i="27"/>
  <c r="N5" i="27" s="1"/>
  <c r="N6" i="27"/>
  <c r="L13" i="27"/>
  <c r="N13" i="27" s="1"/>
  <c r="L14" i="27"/>
  <c r="N14" i="27" s="1"/>
  <c r="L21" i="27"/>
  <c r="N21" i="27" s="1"/>
  <c r="L22" i="27"/>
  <c r="N22" i="27" s="1"/>
  <c r="L29" i="27"/>
  <c r="N29" i="27" s="1"/>
  <c r="L30" i="27"/>
  <c r="N30" i="27" s="1"/>
  <c r="L2" i="27"/>
  <c r="N2" i="27" s="1"/>
  <c r="BQ3" i="23" l="1"/>
  <c r="BQ4" i="23"/>
  <c r="BQ5" i="23"/>
  <c r="BQ6" i="23"/>
  <c r="BQ7" i="23"/>
  <c r="BQ8" i="23"/>
  <c r="BQ9" i="23"/>
  <c r="BQ10" i="23"/>
  <c r="BQ11" i="23"/>
  <c r="BQ12" i="23"/>
  <c r="BQ13" i="23"/>
  <c r="BQ14" i="23"/>
  <c r="BQ15" i="23"/>
  <c r="BQ16" i="23"/>
  <c r="BQ17" i="23"/>
  <c r="BQ18" i="23"/>
  <c r="BQ19" i="23"/>
  <c r="BQ20" i="23"/>
  <c r="BQ21" i="23"/>
  <c r="BQ22" i="23"/>
  <c r="BQ23" i="23"/>
  <c r="BQ24" i="23"/>
  <c r="BQ25" i="23"/>
  <c r="BQ26" i="23"/>
  <c r="BQ27" i="23"/>
  <c r="BQ28" i="23"/>
  <c r="BQ29" i="23"/>
  <c r="BQ30" i="23"/>
  <c r="BQ31" i="23"/>
  <c r="BQ32" i="23"/>
  <c r="BQ33" i="23"/>
  <c r="BP3" i="23"/>
  <c r="BP4" i="23"/>
  <c r="BP5" i="23"/>
  <c r="BP6" i="23"/>
  <c r="BP7" i="23"/>
  <c r="BP8" i="23"/>
  <c r="BP9" i="23"/>
  <c r="BP10" i="23"/>
  <c r="BP11" i="23"/>
  <c r="BP12" i="23"/>
  <c r="BP13" i="23"/>
  <c r="BP14" i="23"/>
  <c r="BP15" i="23"/>
  <c r="BP16" i="23"/>
  <c r="BP17" i="23"/>
  <c r="BP18" i="23"/>
  <c r="BP19" i="23"/>
  <c r="BP20" i="23"/>
  <c r="BP21" i="23"/>
  <c r="BP22" i="23"/>
  <c r="BP23" i="23"/>
  <c r="BP24" i="23"/>
  <c r="BP25" i="23"/>
  <c r="BP26" i="23"/>
  <c r="BP27" i="23"/>
  <c r="BP28" i="23"/>
  <c r="BP29" i="23"/>
  <c r="BP30" i="23"/>
  <c r="BP31" i="23"/>
  <c r="BP32" i="23"/>
  <c r="BP33" i="23"/>
  <c r="BO3" i="23"/>
  <c r="BO4" i="23"/>
  <c r="BO5" i="23"/>
  <c r="BO6" i="23"/>
  <c r="BO7" i="23"/>
  <c r="BO8" i="23"/>
  <c r="BO9" i="23"/>
  <c r="BO10" i="23"/>
  <c r="BO11" i="23"/>
  <c r="BO12" i="23"/>
  <c r="BO13" i="23"/>
  <c r="BO14" i="23"/>
  <c r="BO15" i="23"/>
  <c r="BO16" i="23"/>
  <c r="BO17" i="23"/>
  <c r="BO18" i="23"/>
  <c r="BO19" i="23"/>
  <c r="BO20" i="23"/>
  <c r="BO21" i="23"/>
  <c r="BO22" i="23"/>
  <c r="BO23" i="23"/>
  <c r="BO24" i="23"/>
  <c r="BO25" i="23"/>
  <c r="BO26" i="23"/>
  <c r="BO27" i="23"/>
  <c r="BO28" i="23"/>
  <c r="BO29" i="23"/>
  <c r="BO30" i="23"/>
  <c r="BO31" i="23"/>
  <c r="BO32" i="23"/>
  <c r="BO33" i="23"/>
  <c r="BN3" i="23"/>
  <c r="BN4" i="23"/>
  <c r="BN5" i="23"/>
  <c r="BN6" i="23"/>
  <c r="BN7" i="23"/>
  <c r="BN8" i="23"/>
  <c r="BN9" i="23"/>
  <c r="BN10" i="23"/>
  <c r="BN11" i="23"/>
  <c r="BN12" i="23"/>
  <c r="BN13" i="23"/>
  <c r="BN14" i="23"/>
  <c r="BN15" i="23"/>
  <c r="BN16" i="23"/>
  <c r="BN17" i="23"/>
  <c r="BN18" i="23"/>
  <c r="BN19" i="23"/>
  <c r="BN20" i="23"/>
  <c r="BN21" i="23"/>
  <c r="BN22" i="23"/>
  <c r="BN23" i="23"/>
  <c r="BN24" i="23"/>
  <c r="BN25" i="23"/>
  <c r="BN26" i="23"/>
  <c r="BN27" i="23"/>
  <c r="BN28" i="23"/>
  <c r="BN29" i="23"/>
  <c r="BN30" i="23"/>
  <c r="BN31" i="23"/>
  <c r="BN32" i="23"/>
  <c r="BN33" i="23"/>
  <c r="BM3" i="23"/>
  <c r="BM4" i="23"/>
  <c r="BM5" i="23"/>
  <c r="BM6" i="23"/>
  <c r="BM7" i="23"/>
  <c r="BM8" i="23"/>
  <c r="BM9" i="23"/>
  <c r="BM10" i="23"/>
  <c r="BM11" i="23"/>
  <c r="BM12" i="23"/>
  <c r="BM13" i="23"/>
  <c r="BM14" i="23"/>
  <c r="BM15" i="23"/>
  <c r="BM16" i="23"/>
  <c r="BM17" i="23"/>
  <c r="BM18" i="23"/>
  <c r="BM19" i="23"/>
  <c r="BM20" i="23"/>
  <c r="BM21" i="23"/>
  <c r="BM22" i="23"/>
  <c r="BM23" i="23"/>
  <c r="BM24" i="23"/>
  <c r="BM25" i="23"/>
  <c r="BM26" i="23"/>
  <c r="BM27" i="23"/>
  <c r="BM28" i="23"/>
  <c r="BM29" i="23"/>
  <c r="BM30" i="23"/>
  <c r="BM31" i="23"/>
  <c r="BM32" i="23"/>
  <c r="BM33" i="23"/>
  <c r="BQ2" i="23"/>
  <c r="BP2" i="23"/>
  <c r="BO2" i="23"/>
  <c r="BN2" i="23"/>
  <c r="BM2" i="23"/>
  <c r="BG5" i="23"/>
  <c r="BG6" i="23"/>
  <c r="BG17" i="23"/>
  <c r="BG18" i="23"/>
  <c r="BG29" i="23"/>
  <c r="BG30" i="23"/>
  <c r="BF5" i="23"/>
  <c r="BF9" i="23"/>
  <c r="BF10" i="23"/>
  <c r="BF17" i="23"/>
  <c r="BF21" i="23"/>
  <c r="BF22" i="23"/>
  <c r="BF29" i="23"/>
  <c r="BF33" i="23"/>
  <c r="BF2" i="23"/>
  <c r="BE33" i="23"/>
  <c r="BD5" i="23"/>
  <c r="BK5" i="23" s="1"/>
  <c r="BD17" i="23"/>
  <c r="BK17" i="23" s="1"/>
  <c r="BD29" i="23"/>
  <c r="BK29" i="23" s="1"/>
  <c r="BC5" i="23"/>
  <c r="BC7" i="23"/>
  <c r="BD7" i="23" s="1"/>
  <c r="BC8" i="23"/>
  <c r="BD8" i="23" s="1"/>
  <c r="BC9" i="23"/>
  <c r="BD9" i="23" s="1"/>
  <c r="BC10" i="23"/>
  <c r="BD10" i="23" s="1"/>
  <c r="BC17" i="23"/>
  <c r="BC19" i="23"/>
  <c r="BD19" i="23" s="1"/>
  <c r="BC20" i="23"/>
  <c r="BD20" i="23" s="1"/>
  <c r="BC21" i="23"/>
  <c r="BD21" i="23" s="1"/>
  <c r="BC22" i="23"/>
  <c r="BD22" i="23" s="1"/>
  <c r="BC29" i="23"/>
  <c r="BC31" i="23"/>
  <c r="BD31" i="23" s="1"/>
  <c r="BC32" i="23"/>
  <c r="BD32" i="23" s="1"/>
  <c r="BC33" i="23"/>
  <c r="BD33" i="23" s="1"/>
  <c r="BC2" i="23"/>
  <c r="BD2" i="23" s="1"/>
  <c r="BB3" i="23"/>
  <c r="BC3" i="23" s="1"/>
  <c r="BD3" i="23" s="1"/>
  <c r="BB4" i="23"/>
  <c r="BC4" i="23" s="1"/>
  <c r="BD4" i="23" s="1"/>
  <c r="BB5" i="23"/>
  <c r="BB6" i="23"/>
  <c r="BC6" i="23" s="1"/>
  <c r="BD6" i="23" s="1"/>
  <c r="BB7" i="23"/>
  <c r="BB8" i="23"/>
  <c r="BB9" i="23"/>
  <c r="BB10" i="23"/>
  <c r="BB11" i="23"/>
  <c r="BC11" i="23" s="1"/>
  <c r="BD11" i="23" s="1"/>
  <c r="BB12" i="23"/>
  <c r="BC12" i="23" s="1"/>
  <c r="BD12" i="23" s="1"/>
  <c r="BB13" i="23"/>
  <c r="BC13" i="23" s="1"/>
  <c r="BD13" i="23" s="1"/>
  <c r="BB14" i="23"/>
  <c r="BC14" i="23" s="1"/>
  <c r="BD14" i="23" s="1"/>
  <c r="BB15" i="23"/>
  <c r="BC15" i="23" s="1"/>
  <c r="BD15" i="23" s="1"/>
  <c r="BB16" i="23"/>
  <c r="BC16" i="23" s="1"/>
  <c r="BD16" i="23" s="1"/>
  <c r="BB17" i="23"/>
  <c r="BB18" i="23"/>
  <c r="BC18" i="23" s="1"/>
  <c r="BD18" i="23" s="1"/>
  <c r="BB19" i="23"/>
  <c r="BB20" i="23"/>
  <c r="BB21" i="23"/>
  <c r="BB22" i="23"/>
  <c r="BB23" i="23"/>
  <c r="BC23" i="23" s="1"/>
  <c r="BD23" i="23" s="1"/>
  <c r="BB24" i="23"/>
  <c r="BC24" i="23" s="1"/>
  <c r="BD24" i="23" s="1"/>
  <c r="BB25" i="23"/>
  <c r="BC25" i="23" s="1"/>
  <c r="BD25" i="23" s="1"/>
  <c r="BB26" i="23"/>
  <c r="BC26" i="23" s="1"/>
  <c r="BD26" i="23" s="1"/>
  <c r="BB27" i="23"/>
  <c r="BC27" i="23" s="1"/>
  <c r="BD27" i="23" s="1"/>
  <c r="BB28" i="23"/>
  <c r="BC28" i="23" s="1"/>
  <c r="BD28" i="23" s="1"/>
  <c r="BB29" i="23"/>
  <c r="BB30" i="23"/>
  <c r="BC30" i="23" s="1"/>
  <c r="BD30" i="23" s="1"/>
  <c r="BB31" i="23"/>
  <c r="BB32" i="23"/>
  <c r="BB33" i="23"/>
  <c r="BB2" i="23"/>
  <c r="BA3" i="23"/>
  <c r="BA4" i="23"/>
  <c r="BA5" i="23"/>
  <c r="BA6" i="23"/>
  <c r="BA7" i="23"/>
  <c r="BA8" i="23"/>
  <c r="BA9" i="23"/>
  <c r="BA10" i="23"/>
  <c r="BA11" i="23"/>
  <c r="BA12" i="23"/>
  <c r="BA13" i="23"/>
  <c r="BA14" i="23"/>
  <c r="BA15" i="23"/>
  <c r="BA16" i="23"/>
  <c r="BA17" i="23"/>
  <c r="BA18" i="23"/>
  <c r="BA19" i="23"/>
  <c r="BA20" i="23"/>
  <c r="BA21" i="23"/>
  <c r="BA22" i="23"/>
  <c r="BA23" i="23"/>
  <c r="BA24" i="23"/>
  <c r="BA25" i="23"/>
  <c r="BA26" i="23"/>
  <c r="BA27" i="23"/>
  <c r="BA28" i="23"/>
  <c r="BA29" i="23"/>
  <c r="BA30" i="23"/>
  <c r="BA31" i="23"/>
  <c r="BA32" i="23"/>
  <c r="BA33" i="23"/>
  <c r="BA2" i="23"/>
  <c r="AZ5" i="23"/>
  <c r="AZ7" i="23"/>
  <c r="AZ8" i="23"/>
  <c r="AZ9" i="23"/>
  <c r="AZ10" i="23"/>
  <c r="AZ17" i="23"/>
  <c r="AZ19" i="23"/>
  <c r="AZ20" i="23"/>
  <c r="AZ21" i="23"/>
  <c r="AZ22" i="23"/>
  <c r="AZ29" i="23"/>
  <c r="AZ31" i="23"/>
  <c r="AZ32" i="23"/>
  <c r="AZ33" i="23"/>
  <c r="AZ2" i="23"/>
  <c r="AY3" i="23"/>
  <c r="BH3" i="23" s="1"/>
  <c r="AY4" i="23"/>
  <c r="BH4" i="23" s="1"/>
  <c r="AY5" i="23"/>
  <c r="BH5" i="23" s="1"/>
  <c r="AY6" i="23"/>
  <c r="BH6" i="23" s="1"/>
  <c r="AY7" i="23"/>
  <c r="BG7" i="23" s="1"/>
  <c r="AY8" i="23"/>
  <c r="BG8" i="23" s="1"/>
  <c r="AY9" i="23"/>
  <c r="BG9" i="23" s="1"/>
  <c r="AY10" i="23"/>
  <c r="BG10" i="23" s="1"/>
  <c r="AY11" i="23"/>
  <c r="BF11" i="23" s="1"/>
  <c r="AY12" i="23"/>
  <c r="BF12" i="23" s="1"/>
  <c r="AY13" i="23"/>
  <c r="BF13" i="23" s="1"/>
  <c r="AY14" i="23"/>
  <c r="BF14" i="23" s="1"/>
  <c r="AY15" i="23"/>
  <c r="BH15" i="23" s="1"/>
  <c r="AY16" i="23"/>
  <c r="BH16" i="23" s="1"/>
  <c r="AY17" i="23"/>
  <c r="BH17" i="23" s="1"/>
  <c r="AY18" i="23"/>
  <c r="BH18" i="23" s="1"/>
  <c r="AY19" i="23"/>
  <c r="BG19" i="23" s="1"/>
  <c r="AY20" i="23"/>
  <c r="BG20" i="23" s="1"/>
  <c r="AY21" i="23"/>
  <c r="BG21" i="23" s="1"/>
  <c r="AY22" i="23"/>
  <c r="BG22" i="23" s="1"/>
  <c r="AY23" i="23"/>
  <c r="BF23" i="23" s="1"/>
  <c r="AY24" i="23"/>
  <c r="BF24" i="23" s="1"/>
  <c r="AY25" i="23"/>
  <c r="BF25" i="23" s="1"/>
  <c r="AY26" i="23"/>
  <c r="BH26" i="23" s="1"/>
  <c r="AY27" i="23"/>
  <c r="BH27" i="23" s="1"/>
  <c r="AY28" i="23"/>
  <c r="BH28" i="23" s="1"/>
  <c r="AY29" i="23"/>
  <c r="BH29" i="23" s="1"/>
  <c r="AY30" i="23"/>
  <c r="BH30" i="23" s="1"/>
  <c r="AY31" i="23"/>
  <c r="BG31" i="23" s="1"/>
  <c r="AY32" i="23"/>
  <c r="BG32" i="23" s="1"/>
  <c r="AY33" i="23"/>
  <c r="BG33" i="23" s="1"/>
  <c r="AY2" i="23"/>
  <c r="BG2" i="23" s="1"/>
  <c r="BS3" i="21"/>
  <c r="BS4" i="21"/>
  <c r="BS5" i="21"/>
  <c r="BS6" i="21"/>
  <c r="BS7" i="21"/>
  <c r="BS8" i="21"/>
  <c r="BS9" i="21"/>
  <c r="BS10" i="21"/>
  <c r="BS11" i="21"/>
  <c r="BS12" i="21"/>
  <c r="BS13" i="21"/>
  <c r="BS14" i="21"/>
  <c r="BS15" i="21"/>
  <c r="BS16" i="21"/>
  <c r="BS17" i="21"/>
  <c r="BS18" i="21"/>
  <c r="BS19" i="21"/>
  <c r="BS20" i="21"/>
  <c r="BS21" i="21"/>
  <c r="BS22" i="21"/>
  <c r="BS23" i="21"/>
  <c r="BS24" i="21"/>
  <c r="BS25" i="21"/>
  <c r="BS26" i="21"/>
  <c r="BS27" i="21"/>
  <c r="BS28" i="21"/>
  <c r="BS29" i="21"/>
  <c r="BS30" i="21"/>
  <c r="BS31" i="21"/>
  <c r="BS32" i="21"/>
  <c r="BS33" i="21"/>
  <c r="BR3" i="21"/>
  <c r="BR4" i="21"/>
  <c r="BR5" i="21"/>
  <c r="BR6" i="21"/>
  <c r="BR7" i="21"/>
  <c r="BR8" i="21"/>
  <c r="BR9" i="21"/>
  <c r="BR10" i="21"/>
  <c r="BR11" i="21"/>
  <c r="BR12" i="21"/>
  <c r="BR13" i="21"/>
  <c r="BR14" i="21"/>
  <c r="BR15" i="21"/>
  <c r="BR16" i="21"/>
  <c r="BR17" i="21"/>
  <c r="BR18" i="21"/>
  <c r="BR19" i="21"/>
  <c r="BR20" i="21"/>
  <c r="BR21" i="21"/>
  <c r="BR22" i="21"/>
  <c r="BR23" i="21"/>
  <c r="BR24" i="21"/>
  <c r="BR25" i="21"/>
  <c r="BR26" i="21"/>
  <c r="BR27" i="21"/>
  <c r="BR28" i="21"/>
  <c r="BR29" i="21"/>
  <c r="BR30" i="21"/>
  <c r="BR31" i="21"/>
  <c r="BR32" i="21"/>
  <c r="BR33" i="21"/>
  <c r="BQ3" i="21"/>
  <c r="BQ4" i="21"/>
  <c r="BQ5" i="21"/>
  <c r="BQ6" i="21"/>
  <c r="BQ7" i="21"/>
  <c r="BQ8" i="21"/>
  <c r="BQ9" i="21"/>
  <c r="BQ10" i="21"/>
  <c r="BQ11" i="21"/>
  <c r="BQ12" i="21"/>
  <c r="BQ13" i="21"/>
  <c r="BQ14" i="21"/>
  <c r="BQ15" i="21"/>
  <c r="BQ16" i="21"/>
  <c r="BQ17" i="21"/>
  <c r="BQ18" i="21"/>
  <c r="BQ19" i="21"/>
  <c r="BQ20" i="21"/>
  <c r="BQ21" i="21"/>
  <c r="BQ22" i="21"/>
  <c r="BQ23" i="21"/>
  <c r="BQ24" i="21"/>
  <c r="BQ25" i="21"/>
  <c r="BQ26" i="21"/>
  <c r="BQ27" i="21"/>
  <c r="BQ28" i="21"/>
  <c r="BQ29" i="21"/>
  <c r="BQ30" i="21"/>
  <c r="BQ31" i="21"/>
  <c r="BQ32" i="21"/>
  <c r="BQ33" i="21"/>
  <c r="BP3" i="21"/>
  <c r="BP4" i="21"/>
  <c r="BP5" i="21"/>
  <c r="BP6" i="21"/>
  <c r="BP7" i="21"/>
  <c r="BP8" i="21"/>
  <c r="BP9" i="21"/>
  <c r="BP10" i="21"/>
  <c r="BP11" i="21"/>
  <c r="BP12" i="21"/>
  <c r="BP13" i="21"/>
  <c r="BP14" i="21"/>
  <c r="BP15" i="21"/>
  <c r="BP16" i="21"/>
  <c r="BP17" i="21"/>
  <c r="BP18" i="21"/>
  <c r="BP19" i="21"/>
  <c r="BP20" i="21"/>
  <c r="BP21" i="21"/>
  <c r="BP22" i="21"/>
  <c r="BP23" i="21"/>
  <c r="BP24" i="21"/>
  <c r="BP25" i="21"/>
  <c r="BP26" i="21"/>
  <c r="BP27" i="21"/>
  <c r="BP28" i="21"/>
  <c r="BP29" i="21"/>
  <c r="BP30" i="21"/>
  <c r="BP31" i="21"/>
  <c r="BP32" i="21"/>
  <c r="BP33" i="21"/>
  <c r="BO3" i="21"/>
  <c r="BO4" i="21"/>
  <c r="BO5" i="21"/>
  <c r="BO6" i="21"/>
  <c r="BO7" i="21"/>
  <c r="BO8" i="21"/>
  <c r="BO9" i="21"/>
  <c r="BO10" i="21"/>
  <c r="BO11" i="21"/>
  <c r="BO12" i="21"/>
  <c r="BO13" i="21"/>
  <c r="BO14" i="21"/>
  <c r="BO15" i="21"/>
  <c r="BO16" i="21"/>
  <c r="BO17" i="21"/>
  <c r="BO18" i="21"/>
  <c r="BO19" i="21"/>
  <c r="BO20" i="21"/>
  <c r="BO21" i="21"/>
  <c r="BO22" i="21"/>
  <c r="BO23" i="21"/>
  <c r="BO24" i="21"/>
  <c r="BO25" i="21"/>
  <c r="BO26" i="21"/>
  <c r="BO27" i="21"/>
  <c r="BO28" i="21"/>
  <c r="BO29" i="21"/>
  <c r="BO30" i="21"/>
  <c r="BO31" i="21"/>
  <c r="BO32" i="21"/>
  <c r="BO33" i="21"/>
  <c r="BS2" i="21"/>
  <c r="BR2" i="21"/>
  <c r="BQ2" i="21"/>
  <c r="BP2" i="21"/>
  <c r="BO2" i="21"/>
  <c r="BJ3" i="21"/>
  <c r="BJ4" i="21"/>
  <c r="BJ8" i="21"/>
  <c r="BJ9" i="21"/>
  <c r="BJ12" i="21"/>
  <c r="BJ13" i="21"/>
  <c r="BJ14" i="21"/>
  <c r="BJ15" i="21"/>
  <c r="BJ16" i="21"/>
  <c r="BJ20" i="21"/>
  <c r="BJ21" i="21"/>
  <c r="BJ24" i="21"/>
  <c r="BJ25" i="21"/>
  <c r="BJ26" i="21"/>
  <c r="BJ27" i="21"/>
  <c r="BJ28" i="21"/>
  <c r="BJ32" i="21"/>
  <c r="BJ33" i="21"/>
  <c r="BI6" i="21"/>
  <c r="BI7" i="21"/>
  <c r="BI8" i="21"/>
  <c r="BI11" i="21"/>
  <c r="BI12" i="21"/>
  <c r="BI13" i="21"/>
  <c r="BI18" i="21"/>
  <c r="BI19" i="21"/>
  <c r="BI20" i="21"/>
  <c r="BI23" i="21"/>
  <c r="BI24" i="21"/>
  <c r="BI25" i="21"/>
  <c r="BI30" i="21"/>
  <c r="BI31" i="21"/>
  <c r="BI32" i="21"/>
  <c r="BH8" i="21"/>
  <c r="BH9" i="21"/>
  <c r="BH11" i="21"/>
  <c r="BH12" i="21"/>
  <c r="BH13" i="21"/>
  <c r="BH20" i="21"/>
  <c r="BH21" i="21"/>
  <c r="BH23" i="21"/>
  <c r="BH24" i="21"/>
  <c r="BH25" i="21"/>
  <c r="BH32" i="21"/>
  <c r="BH33" i="21"/>
  <c r="BG3" i="21"/>
  <c r="BG4" i="21"/>
  <c r="BG8" i="21"/>
  <c r="BG9" i="21"/>
  <c r="BG12" i="21"/>
  <c r="BG13" i="21"/>
  <c r="BG14" i="21"/>
  <c r="BG15" i="21"/>
  <c r="BG16" i="21"/>
  <c r="BG20" i="21"/>
  <c r="BG21" i="21"/>
  <c r="BG24" i="21"/>
  <c r="BG25" i="21"/>
  <c r="BG26" i="21"/>
  <c r="BG27" i="21"/>
  <c r="BG28" i="21"/>
  <c r="BG32" i="21"/>
  <c r="BG33" i="21"/>
  <c r="BF8" i="21"/>
  <c r="BK8" i="21" s="1"/>
  <c r="BF13" i="21"/>
  <c r="BM13" i="21" s="1"/>
  <c r="BE8" i="21"/>
  <c r="BE9" i="21"/>
  <c r="BF9" i="21" s="1"/>
  <c r="BE11" i="21"/>
  <c r="BF11" i="21" s="1"/>
  <c r="BE12" i="21"/>
  <c r="BF12" i="21" s="1"/>
  <c r="BE13" i="21"/>
  <c r="BE18" i="21"/>
  <c r="BF18" i="21" s="1"/>
  <c r="BE23" i="21"/>
  <c r="BF23" i="21" s="1"/>
  <c r="BE24" i="21"/>
  <c r="BF24" i="21" s="1"/>
  <c r="BE25" i="21"/>
  <c r="BF25" i="21" s="1"/>
  <c r="BE30" i="21"/>
  <c r="BF30" i="21" s="1"/>
  <c r="BD3" i="21"/>
  <c r="BE3" i="21" s="1"/>
  <c r="BF3" i="21" s="1"/>
  <c r="BD4" i="21"/>
  <c r="BE4" i="21" s="1"/>
  <c r="BF4" i="21" s="1"/>
  <c r="BD5" i="21"/>
  <c r="BE5" i="21" s="1"/>
  <c r="BF5" i="21" s="1"/>
  <c r="BD6" i="21"/>
  <c r="BE6" i="21" s="1"/>
  <c r="BF6" i="21" s="1"/>
  <c r="BD7" i="21"/>
  <c r="BE7" i="21" s="1"/>
  <c r="BF7" i="21" s="1"/>
  <c r="BD8" i="21"/>
  <c r="BD9" i="21"/>
  <c r="BD10" i="21"/>
  <c r="BE10" i="21" s="1"/>
  <c r="BF10" i="21" s="1"/>
  <c r="BD11" i="21"/>
  <c r="BD12" i="21"/>
  <c r="BD13" i="21"/>
  <c r="BD14" i="21"/>
  <c r="BE14" i="21" s="1"/>
  <c r="BF14" i="21" s="1"/>
  <c r="BD15" i="21"/>
  <c r="BE15" i="21" s="1"/>
  <c r="BF15" i="21" s="1"/>
  <c r="BD16" i="21"/>
  <c r="BE16" i="21" s="1"/>
  <c r="BF16" i="21" s="1"/>
  <c r="BD17" i="21"/>
  <c r="BE17" i="21" s="1"/>
  <c r="BF17" i="21" s="1"/>
  <c r="BD18" i="21"/>
  <c r="BD19" i="21"/>
  <c r="BE19" i="21" s="1"/>
  <c r="BF19" i="21" s="1"/>
  <c r="BD20" i="21"/>
  <c r="BE20" i="21" s="1"/>
  <c r="BF20" i="21" s="1"/>
  <c r="BD21" i="21"/>
  <c r="BE21" i="21" s="1"/>
  <c r="BF21" i="21" s="1"/>
  <c r="BD22" i="21"/>
  <c r="BE22" i="21" s="1"/>
  <c r="BF22" i="21" s="1"/>
  <c r="BD23" i="21"/>
  <c r="BD24" i="21"/>
  <c r="BD25" i="21"/>
  <c r="BD26" i="21"/>
  <c r="BE26" i="21" s="1"/>
  <c r="BF26" i="21" s="1"/>
  <c r="BD27" i="21"/>
  <c r="BE27" i="21" s="1"/>
  <c r="BF27" i="21" s="1"/>
  <c r="BD28" i="21"/>
  <c r="BE28" i="21" s="1"/>
  <c r="BF28" i="21" s="1"/>
  <c r="BD29" i="21"/>
  <c r="BE29" i="21" s="1"/>
  <c r="BF29" i="21" s="1"/>
  <c r="BD30" i="21"/>
  <c r="BD31" i="21"/>
  <c r="BE31" i="21" s="1"/>
  <c r="BF31" i="21" s="1"/>
  <c r="BD32" i="21"/>
  <c r="BE32" i="21" s="1"/>
  <c r="BF32" i="21" s="1"/>
  <c r="BD33" i="21"/>
  <c r="BE33" i="21" s="1"/>
  <c r="BF33" i="21" s="1"/>
  <c r="BD2" i="21"/>
  <c r="BE2" i="21" s="1"/>
  <c r="BF2" i="21" s="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2" i="21"/>
  <c r="BB6" i="21"/>
  <c r="BB11" i="21"/>
  <c r="BB12" i="21"/>
  <c r="BB13" i="21"/>
  <c r="BB18" i="21"/>
  <c r="BB23" i="21"/>
  <c r="BB24" i="21"/>
  <c r="BB25" i="21"/>
  <c r="BB30" i="21"/>
  <c r="BA3" i="21"/>
  <c r="BI3" i="21" s="1"/>
  <c r="BA4" i="21"/>
  <c r="BI4" i="21" s="1"/>
  <c r="BA5" i="21"/>
  <c r="BI5" i="21" s="1"/>
  <c r="BA6" i="21"/>
  <c r="BH6" i="21" s="1"/>
  <c r="BA7" i="21"/>
  <c r="BB7" i="21" s="1"/>
  <c r="BA8" i="21"/>
  <c r="BB8" i="21" s="1"/>
  <c r="BA9" i="21"/>
  <c r="BB9" i="21" s="1"/>
  <c r="BA10" i="21"/>
  <c r="BJ10" i="21" s="1"/>
  <c r="BA11" i="21"/>
  <c r="BJ11" i="21" s="1"/>
  <c r="BA12" i="21"/>
  <c r="BA13" i="21"/>
  <c r="BA14" i="21"/>
  <c r="BI14" i="21" s="1"/>
  <c r="BA15" i="21"/>
  <c r="BI15" i="21" s="1"/>
  <c r="BA16" i="21"/>
  <c r="BI16" i="21" s="1"/>
  <c r="BA17" i="21"/>
  <c r="BI17" i="21" s="1"/>
  <c r="BA18" i="21"/>
  <c r="BH18" i="21" s="1"/>
  <c r="BA19" i="21"/>
  <c r="BB19" i="21" s="1"/>
  <c r="BA20" i="21"/>
  <c r="BB20" i="21" s="1"/>
  <c r="BA21" i="21"/>
  <c r="BB21" i="21" s="1"/>
  <c r="BA22" i="21"/>
  <c r="BJ22" i="21" s="1"/>
  <c r="BA23" i="21"/>
  <c r="BJ23" i="21" s="1"/>
  <c r="BA24" i="21"/>
  <c r="BA25" i="21"/>
  <c r="BA26" i="21"/>
  <c r="BI26" i="21" s="1"/>
  <c r="BA27" i="21"/>
  <c r="BI27" i="21" s="1"/>
  <c r="BA28" i="21"/>
  <c r="BI28" i="21" s="1"/>
  <c r="BA29" i="21"/>
  <c r="BI29" i="21" s="1"/>
  <c r="BA30" i="21"/>
  <c r="BH30" i="21" s="1"/>
  <c r="BA31" i="21"/>
  <c r="BB31" i="21" s="1"/>
  <c r="BA32" i="21"/>
  <c r="BB32" i="21" s="1"/>
  <c r="BA33" i="21"/>
  <c r="BB33" i="21" s="1"/>
  <c r="BA2" i="21"/>
  <c r="BJ2" i="21" s="1"/>
  <c r="AP3" i="21"/>
  <c r="AP4" i="21"/>
  <c r="AP5" i="21"/>
  <c r="AP6" i="21"/>
  <c r="AP7" i="21"/>
  <c r="AP8" i="21"/>
  <c r="AP9" i="21"/>
  <c r="AP10" i="21"/>
  <c r="AP11" i="21"/>
  <c r="AP12" i="21"/>
  <c r="AP13" i="21"/>
  <c r="AP14" i="21"/>
  <c r="AP15" i="21"/>
  <c r="AP16" i="21"/>
  <c r="AP17" i="21"/>
  <c r="AP18" i="21"/>
  <c r="AP19" i="21"/>
  <c r="AP20" i="21"/>
  <c r="AP21" i="21"/>
  <c r="AP22" i="21"/>
  <c r="AP23" i="21"/>
  <c r="AP24" i="21"/>
  <c r="AP25" i="21"/>
  <c r="AP26" i="21"/>
  <c r="AP27" i="21"/>
  <c r="AP28" i="21"/>
  <c r="AP29" i="21"/>
  <c r="AP30" i="21"/>
  <c r="AP31" i="21"/>
  <c r="AP32" i="21"/>
  <c r="AP33" i="21"/>
  <c r="AP2" i="21"/>
  <c r="Q3" i="23"/>
  <c r="Q4" i="23"/>
  <c r="Q5" i="23"/>
  <c r="Q6" i="23"/>
  <c r="Q7" i="2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P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2" i="23"/>
  <c r="P2" i="23"/>
  <c r="Q2" i="23"/>
  <c r="N3"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2" i="23"/>
  <c r="R8" i="21"/>
  <c r="R9" i="21"/>
  <c r="R10" i="21"/>
  <c r="R11" i="21"/>
  <c r="R12" i="21"/>
  <c r="R13" i="21"/>
  <c r="R14" i="21"/>
  <c r="R15" i="21"/>
  <c r="R16" i="21"/>
  <c r="R17" i="21"/>
  <c r="R18" i="21"/>
  <c r="R19" i="21"/>
  <c r="R20" i="21"/>
  <c r="R21" i="21"/>
  <c r="R22" i="21"/>
  <c r="R23" i="21"/>
  <c r="R24" i="21"/>
  <c r="R25" i="21"/>
  <c r="R26" i="21"/>
  <c r="R27" i="21"/>
  <c r="R28" i="21"/>
  <c r="R29" i="21"/>
  <c r="R30" i="21"/>
  <c r="R31" i="21"/>
  <c r="R32" i="21"/>
  <c r="R33" i="21"/>
  <c r="R3" i="21"/>
  <c r="R4" i="21"/>
  <c r="R5" i="21"/>
  <c r="R6" i="21"/>
  <c r="R7" i="21"/>
  <c r="Q8" i="21"/>
  <c r="Q9" i="21"/>
  <c r="Q10" i="21"/>
  <c r="Q11" i="21"/>
  <c r="Q12" i="21"/>
  <c r="Q13" i="21"/>
  <c r="Q14" i="21"/>
  <c r="Q15" i="21"/>
  <c r="Q16" i="21"/>
  <c r="Q17" i="21"/>
  <c r="Q18" i="21"/>
  <c r="Q19" i="21"/>
  <c r="Q20" i="21"/>
  <c r="Q21" i="21"/>
  <c r="Q22" i="21"/>
  <c r="Q23" i="21"/>
  <c r="Q24" i="21"/>
  <c r="Q25" i="21"/>
  <c r="Q26" i="21"/>
  <c r="Q27" i="21"/>
  <c r="Q28" i="21"/>
  <c r="Q29" i="21"/>
  <c r="Q30" i="21"/>
  <c r="Q31" i="21"/>
  <c r="Q32" i="21"/>
  <c r="Q33" i="21"/>
  <c r="Q3" i="21"/>
  <c r="Q4" i="21"/>
  <c r="Q5" i="21"/>
  <c r="Q6" i="21"/>
  <c r="Q7"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6" i="21"/>
  <c r="P3" i="21"/>
  <c r="P4" i="21"/>
  <c r="P5" i="21"/>
  <c r="O9" i="21"/>
  <c r="O10" i="21"/>
  <c r="O11" i="21"/>
  <c r="O12" i="21"/>
  <c r="O13" i="21"/>
  <c r="O14" i="21"/>
  <c r="O15" i="21"/>
  <c r="O16" i="21"/>
  <c r="O17" i="21"/>
  <c r="O18" i="21"/>
  <c r="O19" i="21"/>
  <c r="O20" i="21"/>
  <c r="O21" i="21"/>
  <c r="O22" i="21"/>
  <c r="O23" i="21"/>
  <c r="O24" i="21"/>
  <c r="O25" i="21"/>
  <c r="O26" i="21"/>
  <c r="O27" i="21"/>
  <c r="O28" i="21"/>
  <c r="O29" i="21"/>
  <c r="O30" i="21"/>
  <c r="O31" i="21"/>
  <c r="O32" i="21"/>
  <c r="O33" i="21"/>
  <c r="O8" i="21"/>
  <c r="O7" i="21"/>
  <c r="O5" i="21"/>
  <c r="O6" i="21"/>
  <c r="O3" i="21"/>
  <c r="O4" i="21"/>
  <c r="P2" i="21"/>
  <c r="Q2" i="21"/>
  <c r="R2" i="21"/>
  <c r="O2" i="21"/>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42" i="16"/>
  <c r="P143" i="16"/>
  <c r="P144" i="16"/>
  <c r="P145" i="16"/>
  <c r="P134" i="16"/>
  <c r="P135" i="16"/>
  <c r="P136" i="16"/>
  <c r="P137" i="16"/>
  <c r="P258" i="16"/>
  <c r="P259" i="16"/>
  <c r="P260" i="16"/>
  <c r="P261" i="16"/>
  <c r="P266" i="16"/>
  <c r="P267" i="16"/>
  <c r="P268" i="16"/>
  <c r="P269" i="16"/>
  <c r="P274" i="16"/>
  <c r="P275" i="16"/>
  <c r="P276" i="16"/>
  <c r="P277" i="16"/>
  <c r="P282" i="16"/>
  <c r="P283" i="16"/>
  <c r="P284" i="16"/>
  <c r="P285" i="16"/>
  <c r="P290" i="16"/>
  <c r="P291" i="16"/>
  <c r="P292" i="16"/>
  <c r="P293" i="16"/>
  <c r="P298" i="16"/>
  <c r="P299" i="16"/>
  <c r="P300" i="16"/>
  <c r="P301" i="16"/>
  <c r="P306" i="16"/>
  <c r="P307" i="16"/>
  <c r="P308" i="16"/>
  <c r="P309" i="16"/>
  <c r="P314" i="16"/>
  <c r="P315" i="16"/>
  <c r="P316" i="16"/>
  <c r="P317" i="16"/>
  <c r="P322" i="16"/>
  <c r="P323" i="16"/>
  <c r="P324" i="16"/>
  <c r="P325" i="16"/>
  <c r="P330" i="16"/>
  <c r="P331" i="16"/>
  <c r="P332" i="16"/>
  <c r="P333" i="16"/>
  <c r="P338" i="16"/>
  <c r="P339" i="16"/>
  <c r="P340" i="16"/>
  <c r="P341" i="16"/>
  <c r="P346" i="16"/>
  <c r="P347" i="16"/>
  <c r="P348" i="16"/>
  <c r="P349"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70" i="16"/>
  <c r="P71" i="16"/>
  <c r="P72" i="16"/>
  <c r="P73" i="16"/>
  <c r="P74" i="16"/>
  <c r="P75" i="16"/>
  <c r="P76" i="16"/>
  <c r="P77" i="16"/>
  <c r="P78" i="16"/>
  <c r="P79" i="16"/>
  <c r="P80" i="16"/>
  <c r="P81" i="16"/>
  <c r="P82" i="16"/>
  <c r="P83" i="16"/>
  <c r="P84" i="16"/>
  <c r="P85" i="16"/>
  <c r="P226" i="16"/>
  <c r="P227" i="16"/>
  <c r="P228" i="16"/>
  <c r="P229" i="16"/>
  <c r="P234" i="16"/>
  <c r="P235" i="16"/>
  <c r="P236" i="16"/>
  <c r="P237" i="16"/>
  <c r="P242" i="16"/>
  <c r="P243" i="16"/>
  <c r="P244" i="16"/>
  <c r="P245" i="16"/>
  <c r="P250" i="16"/>
  <c r="P251" i="16"/>
  <c r="P252" i="16"/>
  <c r="P253" i="16"/>
  <c r="K3" i="34"/>
  <c r="K4" i="34"/>
  <c r="K5" i="34"/>
  <c r="K6" i="34"/>
  <c r="K7" i="34"/>
  <c r="K8" i="34"/>
  <c r="K9"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2" i="34"/>
  <c r="P202" i="16"/>
  <c r="P203" i="16"/>
  <c r="P204" i="16"/>
  <c r="P205" i="16"/>
  <c r="P210" i="16"/>
  <c r="P211" i="16"/>
  <c r="P212" i="16"/>
  <c r="P213" i="16"/>
  <c r="P218" i="16"/>
  <c r="P219" i="16"/>
  <c r="P220" i="16"/>
  <c r="P221"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18" i="16"/>
  <c r="P19" i="16"/>
  <c r="P20" i="16"/>
  <c r="P21" i="16"/>
  <c r="P22" i="16"/>
  <c r="P23" i="16"/>
  <c r="P24" i="16"/>
  <c r="P25" i="16"/>
  <c r="P26" i="16"/>
  <c r="P27" i="16"/>
  <c r="P28" i="16"/>
  <c r="P29" i="16"/>
  <c r="P6" i="16"/>
  <c r="P7" i="16"/>
  <c r="P8" i="16"/>
  <c r="P9" i="16"/>
  <c r="P10" i="16"/>
  <c r="P11" i="16"/>
  <c r="P12" i="16"/>
  <c r="P13" i="16"/>
  <c r="P14" i="16"/>
  <c r="P15" i="16"/>
  <c r="P16" i="16"/>
  <c r="P17" i="16"/>
  <c r="R22" i="15"/>
  <c r="R23" i="15"/>
  <c r="R24" i="15"/>
  <c r="R25" i="15"/>
  <c r="R26" i="15"/>
  <c r="R27" i="15"/>
  <c r="R28" i="15"/>
  <c r="R29" i="15"/>
  <c r="R30" i="15"/>
  <c r="R31" i="15"/>
  <c r="R32" i="15"/>
  <c r="R33" i="15"/>
  <c r="P22" i="15"/>
  <c r="P23" i="15"/>
  <c r="P24" i="15"/>
  <c r="P25" i="15"/>
  <c r="P26" i="15"/>
  <c r="P27" i="15"/>
  <c r="P28" i="15"/>
  <c r="P29" i="15"/>
  <c r="P30" i="15"/>
  <c r="P31" i="15"/>
  <c r="P32" i="15"/>
  <c r="P33" i="15"/>
  <c r="R14" i="15"/>
  <c r="R15" i="15"/>
  <c r="R16" i="15"/>
  <c r="R17" i="15"/>
  <c r="P14" i="15"/>
  <c r="P15" i="15"/>
  <c r="P16" i="15"/>
  <c r="P17" i="15"/>
  <c r="R6" i="15"/>
  <c r="R7" i="15"/>
  <c r="R8" i="15"/>
  <c r="R9" i="15"/>
  <c r="P6" i="15"/>
  <c r="P7" i="15"/>
  <c r="P8" i="15"/>
  <c r="P9" i="15"/>
  <c r="P3" i="16"/>
  <c r="P4" i="16"/>
  <c r="P5" i="16"/>
  <c r="P138" i="16"/>
  <c r="P139" i="16"/>
  <c r="P140" i="16"/>
  <c r="P141" i="16"/>
  <c r="P146" i="16"/>
  <c r="P147" i="16"/>
  <c r="P148" i="16"/>
  <c r="P149" i="16"/>
  <c r="P2" i="16"/>
  <c r="R3" i="15"/>
  <c r="R4" i="15"/>
  <c r="R5" i="15"/>
  <c r="R10" i="15"/>
  <c r="R11" i="15"/>
  <c r="R12" i="15"/>
  <c r="R13" i="15"/>
  <c r="R18" i="15"/>
  <c r="R19" i="15"/>
  <c r="R20" i="15"/>
  <c r="R21" i="15"/>
  <c r="R2" i="15"/>
  <c r="P3" i="15"/>
  <c r="P4" i="15"/>
  <c r="P5" i="15"/>
  <c r="P10" i="15"/>
  <c r="P11" i="15"/>
  <c r="P12" i="15"/>
  <c r="P13" i="15"/>
  <c r="P18" i="15"/>
  <c r="P19" i="15"/>
  <c r="P20" i="15"/>
  <c r="P21" i="15"/>
  <c r="P2" i="15"/>
  <c r="I3" i="13"/>
  <c r="I4" i="13"/>
  <c r="I5" i="13"/>
  <c r="I6" i="13"/>
  <c r="I7" i="13"/>
  <c r="I8" i="13"/>
  <c r="I9" i="13"/>
  <c r="H8" i="13"/>
  <c r="H9" i="13"/>
  <c r="E3" i="13"/>
  <c r="E4" i="13"/>
  <c r="E5" i="13"/>
  <c r="E6" i="13"/>
  <c r="E7" i="13"/>
  <c r="E8" i="13"/>
  <c r="E9" i="13"/>
  <c r="H7" i="13"/>
  <c r="H3" i="13"/>
  <c r="S10" i="12"/>
  <c r="S9" i="12"/>
  <c r="S8" i="12"/>
  <c r="S7" i="12"/>
  <c r="R7" i="12"/>
  <c r="R8" i="12"/>
  <c r="R9" i="12"/>
  <c r="R10" i="12"/>
  <c r="Q10" i="12"/>
  <c r="Q9" i="12"/>
  <c r="Q8" i="12"/>
  <c r="Q7" i="12"/>
  <c r="P7" i="12"/>
  <c r="P8" i="12"/>
  <c r="P9" i="12"/>
  <c r="P10" i="12"/>
  <c r="O10" i="12"/>
  <c r="O9" i="12"/>
  <c r="O8" i="12"/>
  <c r="O7" i="12"/>
  <c r="N7" i="12"/>
  <c r="N8" i="12"/>
  <c r="N9" i="12"/>
  <c r="N10" i="12"/>
  <c r="M10" i="12"/>
  <c r="M9" i="12"/>
  <c r="M8" i="12"/>
  <c r="M7" i="12"/>
  <c r="L7" i="12"/>
  <c r="L8" i="12"/>
  <c r="L9" i="12"/>
  <c r="L10" i="12"/>
  <c r="K10" i="12"/>
  <c r="K9" i="12"/>
  <c r="K8" i="12"/>
  <c r="K7" i="12"/>
  <c r="J7" i="12"/>
  <c r="J8" i="12"/>
  <c r="J9" i="12"/>
  <c r="J10" i="12"/>
  <c r="I10" i="12"/>
  <c r="I9" i="12"/>
  <c r="I8" i="12"/>
  <c r="I7" i="12"/>
  <c r="H7" i="12"/>
  <c r="H8" i="12"/>
  <c r="H9" i="12"/>
  <c r="H10" i="12"/>
  <c r="G10" i="12"/>
  <c r="G9" i="12"/>
  <c r="G8" i="12"/>
  <c r="G7" i="12"/>
  <c r="F7" i="12"/>
  <c r="F8" i="12"/>
  <c r="F9" i="12"/>
  <c r="F10" i="12"/>
  <c r="E10" i="12"/>
  <c r="E9" i="12"/>
  <c r="E8" i="12"/>
  <c r="E7" i="12"/>
  <c r="D7" i="12"/>
  <c r="D8" i="12"/>
  <c r="D9" i="12"/>
  <c r="D10" i="12"/>
  <c r="H6" i="13"/>
  <c r="E2" i="13"/>
  <c r="H2" i="13"/>
  <c r="I2" i="13"/>
  <c r="H5" i="13"/>
  <c r="H4" i="13"/>
  <c r="BL30" i="21" l="1"/>
  <c r="BM30" i="21"/>
  <c r="BM25" i="21"/>
  <c r="BN25" i="21"/>
  <c r="BK25" i="21"/>
  <c r="BL25" i="21"/>
  <c r="BM24" i="21"/>
  <c r="BN24" i="21"/>
  <c r="BL24" i="21"/>
  <c r="BK24" i="21"/>
  <c r="BM23" i="21"/>
  <c r="BN23" i="21"/>
  <c r="BL23" i="21"/>
  <c r="BM26" i="21"/>
  <c r="BN26" i="21"/>
  <c r="BK26" i="21"/>
  <c r="BN2" i="21"/>
  <c r="BK2" i="21"/>
  <c r="BN22" i="21"/>
  <c r="BM10" i="21"/>
  <c r="BN10" i="21"/>
  <c r="BK18" i="21"/>
  <c r="BL18" i="21"/>
  <c r="BM18" i="21"/>
  <c r="BN32" i="21"/>
  <c r="BK32" i="21"/>
  <c r="BL32" i="21"/>
  <c r="BM32" i="21"/>
  <c r="BM11" i="21"/>
  <c r="BK11" i="21"/>
  <c r="BN11" i="21"/>
  <c r="BL11" i="21"/>
  <c r="BN6" i="21"/>
  <c r="BL6" i="21"/>
  <c r="BM6" i="21"/>
  <c r="BK9" i="21"/>
  <c r="BN9" i="21"/>
  <c r="BL9" i="21"/>
  <c r="BL29" i="21"/>
  <c r="BM29" i="21"/>
  <c r="BN29" i="21"/>
  <c r="BK29" i="21"/>
  <c r="BM17" i="21"/>
  <c r="BK17" i="21"/>
  <c r="BM5" i="21"/>
  <c r="BM14" i="21"/>
  <c r="BN14" i="21"/>
  <c r="BK14" i="21"/>
  <c r="BN20" i="21"/>
  <c r="BK20" i="21"/>
  <c r="BL20" i="21"/>
  <c r="BM20" i="21"/>
  <c r="BM31" i="21"/>
  <c r="BN7" i="21"/>
  <c r="BK7" i="21"/>
  <c r="BL7" i="21"/>
  <c r="BM7" i="21"/>
  <c r="BM28" i="21"/>
  <c r="BN28" i="21"/>
  <c r="BK28" i="21"/>
  <c r="BM16" i="21"/>
  <c r="BN16" i="21"/>
  <c r="BK16" i="21"/>
  <c r="BL4" i="21"/>
  <c r="BM4" i="21"/>
  <c r="BN4" i="21"/>
  <c r="BK4" i="21"/>
  <c r="BK33" i="21"/>
  <c r="BN33" i="21"/>
  <c r="BL33" i="21"/>
  <c r="BK21" i="21"/>
  <c r="BN21" i="21"/>
  <c r="BL21" i="21"/>
  <c r="BM12" i="21"/>
  <c r="BK12" i="21"/>
  <c r="BN12" i="21"/>
  <c r="BL12" i="21"/>
  <c r="BK19" i="21"/>
  <c r="BM19" i="21"/>
  <c r="BM27" i="21"/>
  <c r="BN27" i="21"/>
  <c r="BK27" i="21"/>
  <c r="BM15" i="21"/>
  <c r="BN15" i="21"/>
  <c r="BK15" i="21"/>
  <c r="BM3" i="21"/>
  <c r="BN3" i="21"/>
  <c r="BK3" i="21"/>
  <c r="BH29" i="21"/>
  <c r="BH5" i="21"/>
  <c r="BL5" i="21" s="1"/>
  <c r="BL13" i="21"/>
  <c r="BB29" i="21"/>
  <c r="BB17" i="21"/>
  <c r="BB5" i="21"/>
  <c r="BH28" i="21"/>
  <c r="BL28" i="21" s="1"/>
  <c r="BH4" i="21"/>
  <c r="BM8" i="21"/>
  <c r="BH16" i="21"/>
  <c r="BL16" i="21" s="1"/>
  <c r="BB28" i="21"/>
  <c r="BB16" i="21"/>
  <c r="BB4" i="21"/>
  <c r="BG31" i="21"/>
  <c r="BK31" i="21" s="1"/>
  <c r="BG19" i="21"/>
  <c r="BG7" i="21"/>
  <c r="BH27" i="21"/>
  <c r="BL27" i="21" s="1"/>
  <c r="BH15" i="21"/>
  <c r="BL15" i="21" s="1"/>
  <c r="BH3" i="21"/>
  <c r="BL3" i="21" s="1"/>
  <c r="BJ31" i="21"/>
  <c r="BN31" i="21" s="1"/>
  <c r="BJ19" i="21"/>
  <c r="BN19" i="21" s="1"/>
  <c r="BJ7" i="21"/>
  <c r="BH17" i="21"/>
  <c r="BL17" i="21" s="1"/>
  <c r="BB27" i="21"/>
  <c r="BB15" i="21"/>
  <c r="BB3" i="21"/>
  <c r="BG30" i="21"/>
  <c r="BK30" i="21" s="1"/>
  <c r="BG18" i="21"/>
  <c r="BG6" i="21"/>
  <c r="BK6" i="21" s="1"/>
  <c r="BH26" i="21"/>
  <c r="BL26" i="21" s="1"/>
  <c r="BH14" i="21"/>
  <c r="BL14" i="21" s="1"/>
  <c r="BI2" i="21"/>
  <c r="BM2" i="21" s="1"/>
  <c r="BI22" i="21"/>
  <c r="BM22" i="21" s="1"/>
  <c r="BI10" i="21"/>
  <c r="BJ30" i="21"/>
  <c r="BN30" i="21" s="1"/>
  <c r="BJ18" i="21"/>
  <c r="BN18" i="21" s="1"/>
  <c r="BJ6" i="21"/>
  <c r="BB26" i="21"/>
  <c r="BB14" i="21"/>
  <c r="BG29" i="21"/>
  <c r="BG17" i="21"/>
  <c r="BG5" i="21"/>
  <c r="BK5" i="21" s="1"/>
  <c r="BI33" i="21"/>
  <c r="BM33" i="21" s="1"/>
  <c r="BI21" i="21"/>
  <c r="BM21" i="21" s="1"/>
  <c r="BI9" i="21"/>
  <c r="BM9" i="21" s="1"/>
  <c r="BJ29" i="21"/>
  <c r="BJ17" i="21"/>
  <c r="BN17" i="21" s="1"/>
  <c r="BJ5" i="21"/>
  <c r="BN5" i="21" s="1"/>
  <c r="BK13" i="21"/>
  <c r="BN13" i="21"/>
  <c r="BL8" i="21"/>
  <c r="BB22" i="21"/>
  <c r="BN8" i="21"/>
  <c r="BH2" i="21"/>
  <c r="BL2" i="21" s="1"/>
  <c r="BH10" i="21"/>
  <c r="BL10" i="21" s="1"/>
  <c r="BB10" i="21"/>
  <c r="BG23" i="21"/>
  <c r="BK23" i="21" s="1"/>
  <c r="BG11" i="21"/>
  <c r="BH31" i="21"/>
  <c r="BL31" i="21" s="1"/>
  <c r="BH19" i="21"/>
  <c r="BL19" i="21" s="1"/>
  <c r="BH7" i="21"/>
  <c r="BH22" i="21"/>
  <c r="BL22" i="21" s="1"/>
  <c r="BB2" i="21"/>
  <c r="BG2" i="21"/>
  <c r="BG22" i="21"/>
  <c r="BK22" i="21" s="1"/>
  <c r="BG10" i="21"/>
  <c r="BK10" i="21" s="1"/>
  <c r="BJ22" i="23"/>
  <c r="BK22" i="23"/>
  <c r="BJ21" i="23"/>
  <c r="BK21" i="23"/>
  <c r="BJ24" i="23"/>
  <c r="BK24" i="23"/>
  <c r="BK32" i="23"/>
  <c r="BJ11" i="23"/>
  <c r="BK31" i="23"/>
  <c r="BL31" i="23"/>
  <c r="BI31" i="23"/>
  <c r="BK20" i="23"/>
  <c r="BJ12" i="23"/>
  <c r="BI23" i="23"/>
  <c r="BJ23" i="23"/>
  <c r="BK23" i="23"/>
  <c r="BK30" i="23"/>
  <c r="BL30" i="23"/>
  <c r="BK18" i="23"/>
  <c r="BL18" i="23"/>
  <c r="BK6" i="23"/>
  <c r="BJ6" i="23"/>
  <c r="BL6" i="23"/>
  <c r="BK19" i="23"/>
  <c r="BL28" i="23"/>
  <c r="BL16" i="23"/>
  <c r="BJ16" i="23"/>
  <c r="BL4" i="23"/>
  <c r="BJ10" i="23"/>
  <c r="BK10" i="23"/>
  <c r="BL27" i="23"/>
  <c r="BI27" i="23"/>
  <c r="BJ27" i="23"/>
  <c r="BL15" i="23"/>
  <c r="BL3" i="23"/>
  <c r="BJ9" i="23"/>
  <c r="BK9" i="23"/>
  <c r="BL9" i="23"/>
  <c r="BI9" i="23"/>
  <c r="BL26" i="23"/>
  <c r="BJ14" i="23"/>
  <c r="BJ2" i="23"/>
  <c r="BI2" i="23"/>
  <c r="BK2" i="23"/>
  <c r="BK8" i="23"/>
  <c r="BJ25" i="23"/>
  <c r="BJ13" i="23"/>
  <c r="BK13" i="23"/>
  <c r="BJ33" i="23"/>
  <c r="BK33" i="23"/>
  <c r="BI33" i="23"/>
  <c r="BK7" i="23"/>
  <c r="BE25" i="23"/>
  <c r="BI25" i="23" s="1"/>
  <c r="BH13" i="23"/>
  <c r="BL13" i="23" s="1"/>
  <c r="BJ5" i="23"/>
  <c r="BE24" i="23"/>
  <c r="BI24" i="23" s="1"/>
  <c r="BE12" i="23"/>
  <c r="BI12" i="23" s="1"/>
  <c r="BF32" i="23"/>
  <c r="BJ32" i="23" s="1"/>
  <c r="BF20" i="23"/>
  <c r="BJ20" i="23" s="1"/>
  <c r="BF8" i="23"/>
  <c r="BJ8" i="23" s="1"/>
  <c r="BG28" i="23"/>
  <c r="BK28" i="23" s="1"/>
  <c r="BG16" i="23"/>
  <c r="BK16" i="23" s="1"/>
  <c r="BG4" i="23"/>
  <c r="BK4" i="23" s="1"/>
  <c r="BH24" i="23"/>
  <c r="BL24" i="23" s="1"/>
  <c r="BH12" i="23"/>
  <c r="BL12" i="23" s="1"/>
  <c r="BE26" i="23"/>
  <c r="BI26" i="23" s="1"/>
  <c r="BE13" i="23"/>
  <c r="BI13" i="23" s="1"/>
  <c r="BH25" i="23"/>
  <c r="BL25" i="23" s="1"/>
  <c r="BJ17" i="23"/>
  <c r="BE23" i="23"/>
  <c r="BE11" i="23"/>
  <c r="BI11" i="23" s="1"/>
  <c r="BF31" i="23"/>
  <c r="BJ31" i="23" s="1"/>
  <c r="BF19" i="23"/>
  <c r="BJ19" i="23" s="1"/>
  <c r="BF7" i="23"/>
  <c r="BJ7" i="23" s="1"/>
  <c r="BG27" i="23"/>
  <c r="BK27" i="23" s="1"/>
  <c r="BG15" i="23"/>
  <c r="BK15" i="23" s="1"/>
  <c r="BG3" i="23"/>
  <c r="BK3" i="23" s="1"/>
  <c r="BH23" i="23"/>
  <c r="BL23" i="23" s="1"/>
  <c r="BH11" i="23"/>
  <c r="BL11" i="23" s="1"/>
  <c r="BJ29" i="23"/>
  <c r="AZ30" i="23"/>
  <c r="AZ18" i="23"/>
  <c r="AZ6" i="23"/>
  <c r="BE2" i="23"/>
  <c r="BE22" i="23"/>
  <c r="BI22" i="23" s="1"/>
  <c r="BE10" i="23"/>
  <c r="BI10" i="23" s="1"/>
  <c r="BF30" i="23"/>
  <c r="BJ30" i="23" s="1"/>
  <c r="BF18" i="23"/>
  <c r="BJ18" i="23" s="1"/>
  <c r="BF6" i="23"/>
  <c r="BG26" i="23"/>
  <c r="BK26" i="23" s="1"/>
  <c r="BG14" i="23"/>
  <c r="BK14" i="23" s="1"/>
  <c r="BH2" i="23"/>
  <c r="BL2" i="23" s="1"/>
  <c r="BH22" i="23"/>
  <c r="BL22" i="23" s="1"/>
  <c r="BH10" i="23"/>
  <c r="BL10" i="23" s="1"/>
  <c r="BE21" i="23"/>
  <c r="BI21" i="23" s="1"/>
  <c r="BG13" i="23"/>
  <c r="BH9" i="23"/>
  <c r="BL17" i="23"/>
  <c r="AZ28" i="23"/>
  <c r="AZ16" i="23"/>
  <c r="AZ4" i="23"/>
  <c r="BE32" i="23"/>
  <c r="BI32" i="23" s="1"/>
  <c r="BE20" i="23"/>
  <c r="BI20" i="23" s="1"/>
  <c r="BE8" i="23"/>
  <c r="BI8" i="23" s="1"/>
  <c r="BF28" i="23"/>
  <c r="BJ28" i="23" s="1"/>
  <c r="BF16" i="23"/>
  <c r="BF4" i="23"/>
  <c r="BJ4" i="23" s="1"/>
  <c r="BG24" i="23"/>
  <c r="BG12" i="23"/>
  <c r="BK12" i="23" s="1"/>
  <c r="BH32" i="23"/>
  <c r="BL32" i="23" s="1"/>
  <c r="BH20" i="23"/>
  <c r="BL20" i="23" s="1"/>
  <c r="BH8" i="23"/>
  <c r="BL8" i="23" s="1"/>
  <c r="BH14" i="23"/>
  <c r="BL14" i="23" s="1"/>
  <c r="BG25" i="23"/>
  <c r="BK25" i="23" s="1"/>
  <c r="BH21" i="23"/>
  <c r="BL21" i="23" s="1"/>
  <c r="BI5" i="23"/>
  <c r="BL5" i="23"/>
  <c r="AZ27" i="23"/>
  <c r="AZ15" i="23"/>
  <c r="AZ3" i="23"/>
  <c r="BE31" i="23"/>
  <c r="BE19" i="23"/>
  <c r="BI19" i="23" s="1"/>
  <c r="BE7" i="23"/>
  <c r="BI7" i="23" s="1"/>
  <c r="BF27" i="23"/>
  <c r="BF15" i="23"/>
  <c r="BJ15" i="23" s="1"/>
  <c r="BF3" i="23"/>
  <c r="BJ3" i="23" s="1"/>
  <c r="BG23" i="23"/>
  <c r="BG11" i="23"/>
  <c r="BK11" i="23" s="1"/>
  <c r="BH31" i="23"/>
  <c r="BH19" i="23"/>
  <c r="BL19" i="23" s="1"/>
  <c r="BH7" i="23"/>
  <c r="BL7" i="23" s="1"/>
  <c r="BE14" i="23"/>
  <c r="BI14" i="23" s="1"/>
  <c r="BH33" i="23"/>
  <c r="BL33" i="23" s="1"/>
  <c r="BL29" i="23"/>
  <c r="AZ26" i="23"/>
  <c r="AZ14" i="23"/>
  <c r="BE30" i="23"/>
  <c r="BI30" i="23" s="1"/>
  <c r="BE18" i="23"/>
  <c r="BI18" i="23" s="1"/>
  <c r="BE6" i="23"/>
  <c r="BI6" i="23" s="1"/>
  <c r="BF26" i="23"/>
  <c r="BJ26" i="23" s="1"/>
  <c r="BE9" i="23"/>
  <c r="BI29" i="23"/>
  <c r="AZ25" i="23"/>
  <c r="AZ13" i="23"/>
  <c r="BE29" i="23"/>
  <c r="BE17" i="23"/>
  <c r="BI17" i="23" s="1"/>
  <c r="BE5" i="23"/>
  <c r="AZ24" i="23"/>
  <c r="AZ12" i="23"/>
  <c r="BE28" i="23"/>
  <c r="BI28" i="23" s="1"/>
  <c r="BE16" i="23"/>
  <c r="BI16" i="23" s="1"/>
  <c r="BE4" i="23"/>
  <c r="BI4" i="23" s="1"/>
  <c r="AZ23" i="23"/>
  <c r="AZ11" i="23"/>
  <c r="BE27" i="23"/>
  <c r="BE15" i="23"/>
  <c r="BI15" i="23" s="1"/>
  <c r="BE3" i="23"/>
  <c r="BI3"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tc={2AF4ABE5-BDFD-4EEB-8F4D-E355382BF2B3}</author>
    <author>tc={BA66503D-A75A-4736-B9E7-827AA0DBF9D3}</author>
  </authors>
  <commentList>
    <comment ref="D9" authorId="0" shapeId="0" xr:uid="{2AF4ABE5-BDFD-4EEB-8F4D-E355382BF2B3}">
      <text>
        <t>[Threaded comment]
Your version of Excel allows you to read this threaded comment; however, any edits to it will get removed if the file is opened in a newer version of Excel. Learn more: https://go.microsoft.com/fwlink/?linkid=870924
Comment:
    @James Hunt @Juan Wang 
See irrigation diary for EVA</t>
      </text>
    </comment>
    <comment ref="D10" authorId="1" shapeId="0" xr:uid="{BA66503D-A75A-4736-B9E7-827AA0DBF9D3}">
      <text>
        <t xml:space="preserve">[Threaded comment]
Your version of Excel allows you to read this threaded comment; however, any edits to it will get removed if the file is opened in a newer version of Excel. Learn more: https://go.microsoft.com/fwlink/?linkid=870924
Comment:
    @James Hunt @Juan Wang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tc={3EF9F93B-D732-4FD5-8DB9-883CDBF038C7}</author>
    <author>tc={ECC23C44-1D33-4712-BDB6-8081B6A8C4DE}</author>
  </authors>
  <commentList>
    <comment ref="K107" authorId="0" shapeId="0" xr:uid="{3EF9F93B-D732-4FD5-8DB9-883CDBF038C7}">
      <text>
        <t>[Threaded comment]
Your version of Excel allows you to read this threaded comment; however, any edits to it will get removed if the file is opened in a newer version of Excel. Learn more: https://go.microsoft.com/fwlink/?linkid=870924
Comment:
    Next to the pink pole, there is a 1-2 metre gap with no plants</t>
      </text>
    </comment>
    <comment ref="K108" authorId="1" shapeId="0" xr:uid="{ECC23C44-1D33-4712-BDB6-8081B6A8C4DE}">
      <text>
        <t xml:space="preserve">[Threaded comment]
Your version of Excel allows you to read this threaded comment; however, any edits to it will get removed if the file is opened in a newer version of Excel. Learn more: https://go.microsoft.com/fwlink/?linkid=870924
Comment:
    Next to the pink pole, there is a 1-2 metre gap with no plants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tc={1DFBAE8C-BA17-4A71-995A-3DEA535F8B85}</author>
  </authors>
  <commentList>
    <comment ref="J1" authorId="0" shapeId="0" xr:uid="{1DFBAE8C-BA17-4A71-995A-3DEA535F8B85}">
      <text>
        <t>[Threaded comment]
Your version of Excel allows you to read this threaded comment; however, any edits to it will get removed if the file is opened in a newer version of Excel. Learn more: https://go.microsoft.com/fwlink/?linkid=870924
Comment:
    Plant No along 1 meter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 Pasquale</author>
    <author>tc={D001D248-C6CE-4AF2-A4ED-3B70FE6B0F8B}</author>
  </authors>
  <commentList>
    <comment ref="L34" authorId="0" shapeId="0" xr:uid="{03CBC53E-910A-4ED6-A7D8-7E168768A477}">
      <text>
        <r>
          <rPr>
            <sz val="11"/>
            <color theme="1"/>
            <rFont val="Calibri"/>
            <family val="2"/>
            <scheme val="minor"/>
          </rPr>
          <t>Andre Pasquale:
plant needed to be replaced because of herbivore damage</t>
        </r>
      </text>
    </comment>
    <comment ref="K35" authorId="0" shapeId="0" xr:uid="{1373E631-F026-4F34-B450-23B198557673}">
      <text>
        <r>
          <rPr>
            <sz val="11"/>
            <color theme="1"/>
            <rFont val="Calibri"/>
            <family val="2"/>
            <scheme val="minor"/>
          </rPr>
          <t>Andre Pasquale:
this doesnt seem right. Important to go back and check</t>
        </r>
      </text>
    </comment>
    <comment ref="L35" authorId="0" shapeId="0" xr:uid="{50900C6A-0E82-47E7-A20A-55C450007326}">
      <text>
        <r>
          <rPr>
            <sz val="11"/>
            <color theme="1"/>
            <rFont val="Calibri"/>
            <family val="2"/>
            <scheme val="minor"/>
          </rPr>
          <t>Andre Pasquale:
This doesn't seem right. important to go back and check</t>
        </r>
      </text>
    </comment>
    <comment ref="J44" authorId="0" shapeId="0" xr:uid="{09898DD3-BCE6-4ED5-9246-63EA5A21FD6D}">
      <text>
        <r>
          <rPr>
            <sz val="11"/>
            <color theme="1"/>
            <rFont val="Calibri"/>
            <family val="2"/>
            <scheme val="minor"/>
          </rPr>
          <t>Andre Pasquale:
plant replaced because of herbivore damage</t>
        </r>
      </text>
    </comment>
    <comment ref="L50" authorId="0" shapeId="0" xr:uid="{92C27636-0F1D-4BE5-BE4E-06EB822A86A0}">
      <text>
        <r>
          <rPr>
            <sz val="11"/>
            <color theme="1"/>
            <rFont val="Calibri"/>
            <family val="2"/>
            <scheme val="minor"/>
          </rPr>
          <t>Andre Pasquale:
bird band fell of 3rd leaf. i put back on plant i think it came off, but there is a chance it is a new plant</t>
        </r>
      </text>
    </comment>
    <comment ref="J51" authorId="0" shapeId="0" xr:uid="{C726845D-1492-48BF-BE9E-840D85FE05F4}">
      <text>
        <r>
          <rPr>
            <sz val="11"/>
            <color theme="1"/>
            <rFont val="Calibri"/>
            <family val="2"/>
            <scheme val="minor"/>
          </rPr>
          <t>Andre Pasquale:
bird band fell off 3rd leaf,  i put back on the plant i think it fell off, but there is a chance it is a new plant</t>
        </r>
      </text>
    </comment>
    <comment ref="J60" authorId="0" shapeId="0" xr:uid="{932DEED5-A93B-440B-A496-B0ECAAB50160}">
      <text>
        <r>
          <rPr>
            <sz val="11"/>
            <color theme="1"/>
            <rFont val="Calibri"/>
            <family val="2"/>
            <scheme val="minor"/>
          </rPr>
          <t>Andre Pasquale:
bird band fell off. Replaced plant.</t>
        </r>
      </text>
    </comment>
    <comment ref="K60" authorId="0" shapeId="0" xr:uid="{DB5E7CF2-6FCB-4A14-A074-623ABB7016AE}">
      <text>
        <r>
          <rPr>
            <sz val="11"/>
            <color theme="1"/>
            <rFont val="Calibri"/>
            <family val="2"/>
            <scheme val="minor"/>
          </rPr>
          <t>Andre Pasquale:
bird band fell off. replaced plant.</t>
        </r>
      </text>
    </comment>
    <comment ref="L60" authorId="0" shapeId="0" xr:uid="{9DAD5AFA-C639-4AFD-BF3E-9E32DA945E00}">
      <text>
        <r>
          <rPr>
            <sz val="11"/>
            <color theme="1"/>
            <rFont val="Calibri"/>
            <family val="2"/>
            <scheme val="minor"/>
          </rPr>
          <t>Andre Pasquale:
bird band fell off. replaced plant.</t>
        </r>
      </text>
    </comment>
    <comment ref="K66" authorId="0" shapeId="0" xr:uid="{F84AF6DD-B380-4BAF-A839-5C19CBEA435E}">
      <text>
        <r>
          <rPr>
            <sz val="11"/>
            <color theme="1"/>
            <rFont val="Calibri"/>
            <family val="2"/>
            <scheme val="minor"/>
          </rPr>
          <t>Andre Pasquale:
Plant replaced because of Herbivory</t>
        </r>
      </text>
    </comment>
    <comment ref="J67" authorId="0" shapeId="0" xr:uid="{9DE2B277-FAD4-4F5E-901E-3611B4823562}">
      <text>
        <r>
          <rPr>
            <sz val="11"/>
            <color theme="1"/>
            <rFont val="Calibri"/>
            <family val="2"/>
            <scheme val="minor"/>
          </rPr>
          <t>Andre Pasquale:
Herbivory. Plant replaced.</t>
        </r>
      </text>
    </comment>
    <comment ref="K90" authorId="0" shapeId="0" xr:uid="{C1126BD2-CCDB-4E8B-BB9B-563FC1645606}">
      <text>
        <r>
          <rPr>
            <sz val="11"/>
            <color theme="1"/>
            <rFont val="Calibri"/>
            <family val="2"/>
            <scheme val="minor"/>
          </rPr>
          <t>Andre Pasquale:
Herbivory. Replaced.</t>
        </r>
      </text>
    </comment>
    <comment ref="N90" authorId="0" shapeId="0" xr:uid="{397D780B-E1A9-4DC9-BB3C-C29F6CEABC3B}">
      <text>
        <r>
          <rPr>
            <sz val="11"/>
            <color theme="1"/>
            <rFont val="Calibri"/>
            <family val="2"/>
            <scheme val="minor"/>
          </rPr>
          <t>Andre Pasquale:
Plant replaced. Herbivory.</t>
        </r>
      </text>
    </comment>
    <comment ref="K108" authorId="0" shapeId="0" xr:uid="{167E4B82-C00D-4DF6-BF30-0D0C4175F9CD}">
      <text>
        <r>
          <rPr>
            <sz val="11"/>
            <color theme="1"/>
            <rFont val="Calibri"/>
            <family val="2"/>
            <scheme val="minor"/>
          </rPr>
          <t>Andre Pasquale:
Herbivory. Plant replaced.</t>
        </r>
      </text>
    </comment>
    <comment ref="L108" authorId="0" shapeId="0" xr:uid="{ABD5B85D-AA84-4702-B6F2-D8E436A2F839}">
      <text>
        <r>
          <rPr>
            <sz val="11"/>
            <color theme="1"/>
            <rFont val="Calibri"/>
            <family val="2"/>
            <scheme val="minor"/>
          </rPr>
          <t>Andre Pasquale:
Herbivory. Plant replaced.</t>
        </r>
      </text>
    </comment>
    <comment ref="L117" authorId="0" shapeId="0" xr:uid="{6E4D86DA-B270-42C6-A6E5-3C6F6152108D}">
      <text>
        <r>
          <rPr>
            <sz val="11"/>
            <color theme="1"/>
            <rFont val="Calibri"/>
            <family val="2"/>
            <scheme val="minor"/>
          </rPr>
          <t>Andre Pasquale:
Herbivory. Plant replaced.</t>
        </r>
      </text>
    </comment>
    <comment ref="J163" authorId="0" shapeId="0" xr:uid="{FAA50EE5-4A5A-49CF-AE79-DF2D4C9268DE}">
      <text>
        <r>
          <rPr>
            <sz val="11"/>
            <color theme="1"/>
            <rFont val="Calibri"/>
            <family val="2"/>
            <scheme val="minor"/>
          </rPr>
          <t>Andre Pasquale:
This seems to be a big jump from previous measurement of 6.4</t>
        </r>
      </text>
    </comment>
    <comment ref="L163" authorId="0" shapeId="0" xr:uid="{C94F6CED-B67D-478F-AF58-0093F7D9696D}">
      <text>
        <r>
          <rPr>
            <sz val="11"/>
            <color theme="1"/>
            <rFont val="Calibri"/>
            <family val="2"/>
            <scheme val="minor"/>
          </rPr>
          <t>Andre Pasquale:
very slow development compared to previous measurement of 7.1</t>
        </r>
      </text>
    </comment>
    <comment ref="L229" authorId="1" shapeId="0" xr:uid="{D001D248-C6CE-4AF2-A4ED-3B70FE6B0F8B}">
      <text>
        <t>[Threaded comment]
Your version of Excel allows you to read this threaded comment; however, any edits to it will get removed if the file is opened in a newer version of Excel. Learn more: https://go.microsoft.com/fwlink/?linkid=870924
Comment:
    Tag fell of 6th leaf, but i am very confident i put back on 6th leaf, and that this reading is correct.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M28" authorId="0" shapeId="0" xr:uid="{FFD3E0AF-7BE4-4BDB-A2A3-0596CB281921}">
      <text>
        <r>
          <rPr>
            <sz val="11"/>
            <color theme="1"/>
            <rFont val="Calibri"/>
            <family val="2"/>
            <scheme val="minor"/>
          </rPr>
          <t>Andre Pasquale:
slug or snail damage</t>
        </r>
      </text>
    </comment>
    <comment ref="Q28" authorId="0" shapeId="0" xr:uid="{C76A719E-18D4-4940-9AA1-D6F0807543E6}">
      <text>
        <r>
          <rPr>
            <sz val="11"/>
            <color theme="1"/>
            <rFont val="Calibri"/>
            <family val="2"/>
            <scheme val="minor"/>
          </rPr>
          <t xml:space="preserve">Andre Pasquale:
slug or snail damage </t>
        </r>
      </text>
    </comment>
    <comment ref="L72" authorId="0" shapeId="0" xr:uid="{CC4B1782-4EE8-4523-80E4-4F4217DBD2F0}">
      <text>
        <r>
          <rPr>
            <sz val="11"/>
            <color theme="1"/>
            <rFont val="Calibri"/>
            <family val="2"/>
            <scheme val="minor"/>
          </rPr>
          <t>Andre Pasquale:
dried</t>
        </r>
      </text>
    </comment>
    <comment ref="M72" authorId="0" shapeId="0" xr:uid="{BC018D50-0D3A-4EB1-B6BC-43599F989849}">
      <text>
        <r>
          <rPr>
            <sz val="11"/>
            <color theme="1"/>
            <rFont val="Calibri"/>
            <family val="2"/>
            <scheme val="minor"/>
          </rPr>
          <t>Andre Pasquale:
dried</t>
        </r>
      </text>
    </comment>
    <comment ref="N72" authorId="0" shapeId="0" xr:uid="{822F4FAD-9505-4A45-B30B-E3135D4091DB}">
      <text>
        <r>
          <rPr>
            <sz val="11"/>
            <color theme="1"/>
            <rFont val="Calibri"/>
            <family val="2"/>
            <scheme val="minor"/>
          </rPr>
          <t>Andre Pasquale:
dried</t>
        </r>
      </text>
    </comment>
    <comment ref="L79" authorId="0" shapeId="0" xr:uid="{0948E16F-652B-4D22-998E-F5F63C3658BE}">
      <text>
        <r>
          <rPr>
            <sz val="11"/>
            <color theme="1"/>
            <rFont val="Calibri"/>
            <family val="2"/>
            <scheme val="minor"/>
          </rPr>
          <t>Andre Pasquale:
dried</t>
        </r>
      </text>
    </comment>
    <comment ref="M79" authorId="0" shapeId="0" xr:uid="{3F7411ED-C7D0-4F91-B7FB-0FB56114BC41}">
      <text>
        <r>
          <rPr>
            <sz val="11"/>
            <color theme="1"/>
            <rFont val="Calibri"/>
            <family val="2"/>
            <scheme val="minor"/>
          </rPr>
          <t>Andre Pasquale:
dried</t>
        </r>
      </text>
    </comment>
    <comment ref="N79" authorId="0" shapeId="0" xr:uid="{5DC8613F-6A23-4E13-81C1-9AD63C81FC73}">
      <text>
        <r>
          <rPr>
            <sz val="11"/>
            <color theme="1"/>
            <rFont val="Calibri"/>
            <family val="2"/>
            <scheme val="minor"/>
          </rPr>
          <t>Andre Pasquale:
dried</t>
        </r>
      </text>
    </comment>
    <comment ref="L80" authorId="0" shapeId="0" xr:uid="{CC3C542E-5A53-44C7-B1E1-6731466D9A9A}">
      <text>
        <r>
          <rPr>
            <sz val="11"/>
            <color theme="1"/>
            <rFont val="Calibri"/>
            <family val="2"/>
            <scheme val="minor"/>
          </rPr>
          <t>Andre Pasquale:
dried</t>
        </r>
      </text>
    </comment>
    <comment ref="N80" authorId="0" shapeId="0" xr:uid="{18A6E61B-5BA6-49B9-A2BD-3B5577A80AF8}">
      <text>
        <r>
          <rPr>
            <sz val="11"/>
            <color theme="1"/>
            <rFont val="Calibri"/>
            <family val="2"/>
            <scheme val="minor"/>
          </rPr>
          <t>Andre Pasquale:
dried</t>
        </r>
      </text>
    </comment>
    <comment ref="L86" authorId="0" shapeId="0" xr:uid="{EB2450F8-04A4-4DD2-B161-409EFA25F96C}">
      <text>
        <r>
          <rPr>
            <sz val="11"/>
            <color theme="1"/>
            <rFont val="Calibri"/>
            <family val="2"/>
            <scheme val="minor"/>
          </rPr>
          <t>Andre Pasquale:
dried</t>
        </r>
      </text>
    </comment>
    <comment ref="M86" authorId="0" shapeId="0" xr:uid="{621DC837-77F3-4BFE-AA50-681818C4C210}">
      <text>
        <r>
          <rPr>
            <sz val="11"/>
            <color theme="1"/>
            <rFont val="Calibri"/>
            <family val="2"/>
            <scheme val="minor"/>
          </rPr>
          <t>Andre Pasquale:
dried</t>
        </r>
      </text>
    </comment>
    <comment ref="N86" authorId="0" shapeId="0" xr:uid="{C0898F98-C28B-4145-B9F8-6464B9C20C9D}">
      <text>
        <r>
          <rPr>
            <sz val="11"/>
            <color theme="1"/>
            <rFont val="Calibri"/>
            <family val="2"/>
            <scheme val="minor"/>
          </rPr>
          <t>Andre Pasquale:
dried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J2" authorId="0" shapeId="0" xr:uid="{262D9224-0BA9-4E77-BCDB-33CFD93746E8}">
      <text>
        <r>
          <rPr>
            <sz val="11"/>
            <color theme="1"/>
            <rFont val="Calibri"/>
            <family val="2"/>
            <scheme val="minor"/>
          </rPr>
          <t>Andre Pasquale:
Bare soil NDVI &amp; CV: 0.15, 1.15
CV: 3.4</t>
        </r>
      </text>
    </comment>
    <comment ref="J3" authorId="0" shapeId="0" xr:uid="{19B30CEA-D7C9-4E35-A50B-FEBC7A2B15F8}">
      <text>
        <r>
          <rPr>
            <sz val="11"/>
            <color theme="1"/>
            <rFont val="Calibri"/>
            <family val="2"/>
            <scheme val="minor"/>
          </rPr>
          <t>Andre Pasquale:
Bare soil: 0.13, 1
CV: 2.98</t>
        </r>
      </text>
    </comment>
    <comment ref="J4" authorId="0" shapeId="0" xr:uid="{8C568B6E-8C4F-481A-8257-4F02E4006D85}">
      <text>
        <r>
          <rPr>
            <sz val="11"/>
            <color theme="1"/>
            <rFont val="Calibri"/>
            <family val="2"/>
            <scheme val="minor"/>
          </rPr>
          <t>Andre Pasquale:
Bare soil: 0.13, 0.71
CV: 2.73</t>
        </r>
      </text>
    </comment>
    <comment ref="J10" authorId="0" shapeId="0" xr:uid="{FC53C46A-62BA-41C6-B9D3-B0C0E8D3036B}">
      <text>
        <r>
          <rPr>
            <sz val="11"/>
            <color theme="1"/>
            <rFont val="Calibri"/>
            <family val="2"/>
            <scheme val="minor"/>
          </rPr>
          <t>Andre Pasquale:
CV: 2.32</t>
        </r>
      </text>
    </comment>
    <comment ref="J12" authorId="0" shapeId="0" xr:uid="{74B4A4CE-D2B9-4B03-8779-7FB7A3740BD9}">
      <text>
        <r>
          <rPr>
            <sz val="11"/>
            <color theme="1"/>
            <rFont val="Calibri"/>
            <family val="2"/>
            <scheme val="minor"/>
          </rPr>
          <t>Andre Pasquale:
CV: 7.91</t>
        </r>
      </text>
    </comment>
    <comment ref="J13" authorId="0" shapeId="0" xr:uid="{E29C7965-2B94-4AF4-B770-426BD8385F57}">
      <text>
        <r>
          <rPr>
            <sz val="11"/>
            <color theme="1"/>
            <rFont val="Calibri"/>
            <family val="2"/>
            <scheme val="minor"/>
          </rPr>
          <t>Andre Pasquale:
Bare soil NDVI and CV: 0.15, 1.15
CV: 2.47</t>
        </r>
      </text>
    </comment>
    <comment ref="J19" authorId="0" shapeId="0" xr:uid="{55B25135-4A95-4BDF-AE65-5BB9D2DB2C02}">
      <text>
        <r>
          <rPr>
            <sz val="11"/>
            <color theme="1"/>
            <rFont val="Calibri"/>
            <family val="2"/>
            <scheme val="minor"/>
          </rPr>
          <t>Andre Pasquale:
CV: 2.12</t>
        </r>
      </text>
    </comment>
    <comment ref="J20" authorId="0" shapeId="0" xr:uid="{25187A56-EDF5-4464-9667-E3F786F7E883}">
      <text>
        <r>
          <rPr>
            <sz val="11"/>
            <color theme="1"/>
            <rFont val="Calibri"/>
            <family val="2"/>
            <scheme val="minor"/>
          </rPr>
          <t>Andre Pasquale:
Bare soil NDVI and CV: 0.15, 1.15
CV: 5.59</t>
        </r>
      </text>
    </comment>
    <comment ref="J21" authorId="0" shapeId="0" xr:uid="{8FBC9A12-6581-41D7-BC19-757E6FAA5CBC}">
      <text>
        <r>
          <rPr>
            <sz val="11"/>
            <color theme="1"/>
            <rFont val="Calibri"/>
            <family val="2"/>
            <scheme val="minor"/>
          </rPr>
          <t>Andre Pasquale:
CV: 2.53</t>
        </r>
      </text>
    </comment>
    <comment ref="J26" authorId="0" shapeId="0" xr:uid="{A1D56A91-9665-4A41-B39C-191E0E621673}">
      <text>
        <r>
          <rPr>
            <sz val="11"/>
            <color theme="1"/>
            <rFont val="Calibri"/>
            <family val="2"/>
            <scheme val="minor"/>
          </rPr>
          <t>Andre Pasquale:
CV: 4.2</t>
        </r>
      </text>
    </comment>
    <comment ref="J27" authorId="0" shapeId="0" xr:uid="{4C4F9988-EDB4-4699-BDE9-2FEB09E5A3A7}">
      <text>
        <r>
          <rPr>
            <sz val="11"/>
            <color theme="1"/>
            <rFont val="Calibri"/>
            <family val="2"/>
            <scheme val="minor"/>
          </rPr>
          <t>Andre Pasquale:
Bare soil NDVI &amp; CV: 0.15, 1.15
CV: 2.72</t>
        </r>
      </text>
    </comment>
    <comment ref="J29" authorId="0" shapeId="0" xr:uid="{1A958086-2292-43BA-B295-745494C43860}">
      <text>
        <r>
          <rPr>
            <sz val="11"/>
            <color theme="1"/>
            <rFont val="Calibri"/>
            <family val="2"/>
            <scheme val="minor"/>
          </rPr>
          <t>Andre Pasquale:
CV: 1.77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tc={23D990D4-EE50-4C59-964F-7778B7FFF3B5}</author>
  </authors>
  <commentList>
    <comment ref="I1" authorId="0" shapeId="0" xr:uid="{23D990D4-EE50-4C59-964F-7778B7FFF3B5}">
      <text>
        <t>[Threaded comment]
Your version of Excel allows you to read this threaded comment; however, any edits to it will get removed if the file is opened in a newer version of Excel. Learn more: https://go.microsoft.com/fwlink/?linkid=870924
Comment:
    Plot lengths taken on 13/1/2026</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R1" authorId="0" shapeId="0" xr:uid="{91EBCCC2-6A13-4F68-9B7F-5ED004F58240}">
      <text>
        <r>
          <rPr>
            <sz val="11"/>
            <color theme="1"/>
            <rFont val="Calibri"/>
            <family val="2"/>
            <scheme val="minor"/>
          </rPr>
          <t>Andre Pasquale:
0 value means leaf was dead, and SPAD was unable to get a reading</t>
        </r>
      </text>
    </comment>
    <comment ref="R3" authorId="0" shapeId="0" xr:uid="{671337EF-A6BC-4C12-89F9-9BBF3FF32D62}">
      <text>
        <r>
          <rPr>
            <sz val="11"/>
            <color theme="1"/>
            <rFont val="Calibri"/>
            <family val="2"/>
            <scheme val="minor"/>
          </rPr>
          <t>Andre Pasquale:
0 value means leaf was dead, and SPAD was unable to get a reading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tc={2A4941F0-CE1A-4BB3-B10A-32C9163A1D8F}</author>
    <author>Andre Pasquale</author>
  </authors>
  <commentList>
    <comment ref="S1" authorId="0" shapeId="0" xr:uid="{2A4941F0-CE1A-4BB3-B10A-32C9163A1D8F}">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 ref="V11" authorId="1" shapeId="0" xr:uid="{F6334F5D-C5E9-45F2-91BA-288C0B9C244B}">
      <text>
        <r>
          <rPr>
            <sz val="11"/>
            <color theme="1"/>
            <rFont val="Calibri"/>
            <family val="2"/>
            <scheme val="minor"/>
          </rPr>
          <t>Andre Pasquale:
5 infertile grains on the 2nd floret</t>
        </r>
      </text>
    </comment>
    <comment ref="F28" authorId="1" shapeId="0" xr:uid="{3EA2A9E6-A223-4D6F-8339-912CA24F4067}">
      <text>
        <r>
          <rPr>
            <sz val="11"/>
            <color theme="1"/>
            <rFont val="Calibri"/>
            <family val="2"/>
            <scheme val="minor"/>
          </rPr>
          <t>Andre Pasquale:
more aborted grain on 2nd floret, as opposed to 1st floret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tc={1893B828-F677-4E49-889A-A3E25581CB82}</author>
    <author>tc={AC203A0C-F86C-47A0-8B22-FCF576442A61}</author>
  </authors>
  <commentList>
    <comment ref="Z13" authorId="0" shapeId="0" xr:uid="{1893B828-F677-4E49-889A-A3E25581CB82}">
      <text>
        <t>[Threaded comment]
Your version of Excel allows you to read this threaded comment; however, any edits to it will get removed if the file is opened in a newer version of Excel. Learn more: https://go.microsoft.com/fwlink/?linkid=870924
Comment:
    looking like lots of broken grains in this sample, was very careful while counting 200 grain weight.</t>
      </text>
    </comment>
    <comment ref="U26" authorId="1" shapeId="0" xr:uid="{AC203A0C-F86C-47A0-8B22-FCF576442A61}">
      <text>
        <t>[Threaded comment]
Your version of Excel allows you to read this threaded comment; however, any edits to it will get removed if the file is opened in a newer version of Excel. Learn more: https://go.microsoft.com/fwlink/?linkid=870924
Comment:
    Missing? @Andre Pasquale 
Reply:
    Andre emailed me, found the sample in the container it was supposed to be in and weighed it. Will dry it in 70 oven for a few hours and weigh it again to make sure it hasn’t absorbed moisture. 
Reply:
    Thanks Lily!
Reply:
    Was 18.44 before 4 hours in oven, updated to 17.45</t>
      </text>
    </comment>
  </commentList>
</comments>
</file>

<file path=xl/sharedStrings.xml><?xml version="1.0" encoding="utf-8"?>
<sst xmlns="http://schemas.openxmlformats.org/spreadsheetml/2006/main" count="6910" uniqueCount="606">
  <si>
    <t>Site name</t>
  </si>
  <si>
    <t>Dookie College</t>
  </si>
  <si>
    <t>Paddock name</t>
  </si>
  <si>
    <t>McPoyles 3</t>
  </si>
  <si>
    <t>GPS row</t>
  </si>
  <si>
    <t>Location (lat, long)</t>
  </si>
  <si>
    <t>Weather station</t>
  </si>
  <si>
    <t>http://weatherplus.ikcaldwell.com.au/wpdookiecollege/weather/index.html</t>
  </si>
  <si>
    <t>BOM station</t>
  </si>
  <si>
    <t>http://www.bom.gov.au/climate/averages/tables/cw_081013.shtml</t>
  </si>
  <si>
    <t xml:space="preserve">Mean rainfall (1879-2019) </t>
  </si>
  <si>
    <t>Growing season rainfall (Apr-Nov)</t>
  </si>
  <si>
    <t>Experiment name</t>
  </si>
  <si>
    <t>GRDC European vs Australian wheat</t>
  </si>
  <si>
    <t>Experiment code</t>
  </si>
  <si>
    <t>25 DOO JH EVA WHT</t>
  </si>
  <si>
    <t>Aim</t>
  </si>
  <si>
    <t>Yield physiology of Australian vs European winter and spring wheat</t>
  </si>
  <si>
    <t>Research question</t>
  </si>
  <si>
    <t>Treatments</t>
  </si>
  <si>
    <t>!Sow_time</t>
  </si>
  <si>
    <t>!Line</t>
  </si>
  <si>
    <t>!Block</t>
  </si>
  <si>
    <t>!Range</t>
  </si>
  <si>
    <t>!Row</t>
  </si>
  <si>
    <t>Plot</t>
  </si>
  <si>
    <t>Row serp order</t>
  </si>
  <si>
    <t>Range serp order</t>
  </si>
  <si>
    <t>Mid_April</t>
  </si>
  <si>
    <t>UOM001_3_47</t>
  </si>
  <si>
    <t>UOM001_9_1</t>
  </si>
  <si>
    <t>Illabo</t>
  </si>
  <si>
    <t>Big_Red</t>
  </si>
  <si>
    <t>Mid_May</t>
  </si>
  <si>
    <t>Sunmaster</t>
  </si>
  <si>
    <t>RGT_Zanzibar</t>
  </si>
  <si>
    <t>Line</t>
  </si>
  <si>
    <t>Source</t>
  </si>
  <si>
    <t>Kernal weight (g)</t>
  </si>
  <si>
    <t>Sowing rate (seeds/m²)</t>
  </si>
  <si>
    <t>Sowing rate (g/m²)</t>
  </si>
  <si>
    <t>Drop length (m)</t>
  </si>
  <si>
    <t>Plot width (m)</t>
  </si>
  <si>
    <t>Sown plot area (m²)</t>
  </si>
  <si>
    <t>Seed per packet (g)</t>
  </si>
  <si>
    <t>NPI Dookie 2023</t>
  </si>
  <si>
    <t>GRDC</t>
  </si>
  <si>
    <t>UOM (mid April)</t>
  </si>
  <si>
    <t>UOM (mid May)</t>
  </si>
  <si>
    <t>UOM2312-001RTX 24 DOO JH EVA WHT</t>
  </si>
  <si>
    <r>
      <t>N</t>
    </r>
    <r>
      <rPr>
        <sz val="11"/>
        <color theme="1"/>
        <rFont val="Calibri"/>
        <family val="2"/>
      </rPr>
      <t>→</t>
    </r>
  </si>
  <si>
    <t>Sown mid Apr</t>
  </si>
  <si>
    <t>Sown mid May</t>
  </si>
  <si>
    <t>Block</t>
  </si>
  <si>
    <t>Kittyhawk</t>
  </si>
  <si>
    <t>Sunflex</t>
  </si>
  <si>
    <t>B</t>
  </si>
  <si>
    <t>Row</t>
  </si>
  <si>
    <t>Date</t>
  </si>
  <si>
    <t>Staff</t>
  </si>
  <si>
    <t>Operation</t>
  </si>
  <si>
    <t>Comments</t>
  </si>
  <si>
    <t>JW, AP</t>
  </si>
  <si>
    <t>Seed treating</t>
  </si>
  <si>
    <t>JW and AP treated all seeds with Rancona Dimension (25 g/L IPCONAZOLE + 20 g/L METALAXYL) at 3.2 ml/kg of seed and Expunge 600 SC (600 g/L IMIDACLOPRID) at 2.4 ml/kg of seed neat (no water). Seeds were then packed for each sites and took back to Melbourne to post to collaborators.</t>
  </si>
  <si>
    <t>JH, AP</t>
  </si>
  <si>
    <t>Irrigation</t>
  </si>
  <si>
    <t>JH and AP set up Alex Johnson's travelling irrigator in McPoyles 3 connected to 50 mm pipe cut off from riser valve at pump shed. 1 x 200 m and 1 x 100 m roll and of 50 mm poly and 1 x ~50 m role of 25 mm poly to Irrigator. Pressure at irrigatior ~620 kpa. Initially had it in centre trip line between range 2 and 3, connection to sprinkler leaked here and this may be reflected in plots. Spread pattern not wide enough so we moved to tripline between ranges 1 and 2. Adjusted spread pattern for wind so that it was fanned in southerly direction, with extremes hitting the trip lines for range 1 and range 2/3 when wind wind blowing from the NE. Initially had it running at 1 m every ~15 minutes down the most southerly end of the trial area but realised this would be too slow. Southernly end of ranges 1 and 2 got more water, than rest, but only 10 mm at best. We then ran it at 0.8 m in 1 minute (fast as it would go) staring 4:15 pm for the remaineder of range 1 and 1. Irrigator stopped ~6:15 pm with 3-4 mm recorded in 3 x metal rain guages placed in middle of range 1 and 2 and one in centre of range 1/2 trip line. North end of trial not fully watered, need to run sprinkler accross remainder on 17/4/2025.</t>
  </si>
  <si>
    <t>JH, JW, AP, NA</t>
  </si>
  <si>
    <t>Sowing (winter wheat)</t>
  </si>
  <si>
    <t>Ran sprinkler over north end of range 1 and 2, pressure subdued by commercial air seeder hitting a pipe in the night. Irrigated ranges 3 and 4, missed doing most northerly part of EVA as we commenced spraying and sowing. Tim applied glyphosate + sakura + voraxor in 100 L/ha of water using 3 point linkage 15 m spray boom driving up every second trip line and with fence nozzles on. When setting up seeder we discovered that cordless drill had broken shaft on motor/gear bo assembly. Removed motor/greabox and used drill on key way and this was much more effective. Started sowing EVA ~4:30 pm, plot length set to 16.8 (9.2 m plot), tripping on first furrow in trip line, 3 km/h, wheels at 230 mm putting seed at 5-6 cm in marginal moisture. JH and JW on back of seeder, NA driving, AP providing support.</t>
  </si>
  <si>
    <t>Emergenc count (winter wheat)</t>
  </si>
  <si>
    <t xml:space="preserve">JW and AP marked out one linear meter of crop rows using pink poles in the even-numbered rows (one of the duplicate plots), 2.1 m away from the middle of the trip lines (may facilitate the systematic selection of plot area for the biomass cuts at PCDS 6.0 and 8.0). JW and AP then counted and recorded the emerged plants between the pink poles. The emergence was better for range 2, compared to range 1 &amp; 3. It seems that the soil was much wetter for ranges 2, based on observations and ease of pushing the pink poles into soil. </t>
  </si>
  <si>
    <t>AP</t>
  </si>
  <si>
    <t>Emergence count conducted. Count looked consistent relative to previous count.</t>
  </si>
  <si>
    <t>JW</t>
  </si>
  <si>
    <t>Reached 100% emergence rates on 28/04/2025. Poor emergence at Range 4. There are missing plants (1~2 metre next to the pink poles) at Range 3 Row 6 and 10.</t>
  </si>
  <si>
    <t>Irrigation (Johnson Travelling Irrigator)</t>
  </si>
  <si>
    <t xml:space="preserve">Positioned the irrigator in the buffer area between the Pirate Head rows and Frank’s second experiment. Approximately 20m remained to complete the Range 3 and 4 run of the EVA experiment.
•	Rain gauge measurements (EVA):
o	Range 4: 15.6mm
o	Range 3 (1st gauge): 11.2mm
o	Range 3 (2nd gauge): 18.2mm
Wind was coming from the south throughout the day. Irrigation and water were turned off overnight. Planned to carry out WWHI  and EVA measurements for Ranges 1 and 2 the following morning.
</t>
  </si>
  <si>
    <t xml:space="preserve">Discussed irrigation timing for the next EVA run along the trip line between Ranges 1 and 2 (120m). An initial suggestion of 10 minutes per metre would result in a ~20-hour run time.
- Calculated optimal speed: 0.25 m/min (120m over 8 hours = 480 minutes)
- This equals approximately 58 seconds per 0.25m advance.
Water was just reaching a previously dry section of Range 3 (west side). Wind was mostly calm, although the weather app reported a south-westerly direction.
EVA – rows 1-16, Ranges 1 &amp; 2 uneven irrigation coverage across the EVA trial block range 1 and 2. Plots along Range 1 were irrigated. But at this point the sprinkler had stop oscillating and was just watering range 1 of plot. Water most likely missed much of range 1, and watered over trip line.  This was due to spring failure in sprinkler mechanism.  Plots in Ranges 2 were unwatered by sprinkler.   The watering issue is consistent with earlier mechanical issues (spring failure in sprinkler mechanism), and likely affected oscillation and directional reach of the irrigator.
</t>
  </si>
  <si>
    <t>JW, KR</t>
  </si>
  <si>
    <t>Emergence count (winter wheat)</t>
  </si>
  <si>
    <t>Final emergence count between two pink poles</t>
  </si>
  <si>
    <t>JH, JW, AP</t>
  </si>
  <si>
    <t>Sowing (spring wheat</t>
  </si>
  <si>
    <t>Planted spring wheat with seeder wheels at 240 mm putting seed 30-40 mm deep into very dry soil.</t>
  </si>
  <si>
    <t> </t>
  </si>
  <si>
    <t>Started irrigating with double manifold and Netafim Techline AS 3.0 L/h drip line with 0.3 m emitter spacing run at 200 kpa water pressure. Ran for 38 min which should give 25 mm effective irrigation. Only did range 1, 2 and which had not received same sprinkler irrigation as range 4. Range 3 should have got same as 4 but wind interferred with sprinkler. Did not do the first three rows of range 3 with drippers, used oscillating sprinkler instead which put on ~10 mm according ro rain gauge.</t>
  </si>
  <si>
    <t>Finished irrigating remainder of experiment</t>
  </si>
  <si>
    <t>Marking plants</t>
  </si>
  <si>
    <t>JW marked 10 plants using pink poles for final tiller No and PCDS 6.0 and PCDS 8.0 measurements. The pink polos were shifted to the opposite end if poor establishment detected due to uneven irrigation, but their positions were always consistent within the ranges (~ 2.5 m away from the mid of the trip line).</t>
  </si>
  <si>
    <t>JW, AP, JH</t>
  </si>
  <si>
    <t>Plant density measurements, Haun stage (winter wheat)</t>
  </si>
  <si>
    <t>JW and AP count emerged plants on both sides of a 1 m ruler at 3 locations (from west to east) within each plot. JW and JH marked 3 plants adjacent to the pink poles (from east to west), and AP recorded the number of emerged leaves and tillers on Team.</t>
  </si>
  <si>
    <t xml:space="preserve">Tiny Temp logger </t>
  </si>
  <si>
    <t>Plaed tiny tag logger between EVA and WWHI in barley buffer, in range 2, 1.2metres off the ground</t>
  </si>
  <si>
    <t>Pink poles for emergence count</t>
  </si>
  <si>
    <t>Placed pink poles in even number plots (i.e. rows  4,8,12,16) across all 4 ranges. Pink poles were placed 1m apart for emergence counts, approx 2.5m away from the middle of the trip line (on western side).  Windy day, which meant difficult to keep measuring tape straight (when pulling across rows) by myself. Meaning pink poles were not perfectly aligned when looking down ranges.</t>
  </si>
  <si>
    <t>Emergence count (spring wheat)</t>
  </si>
  <si>
    <t>First emergence count of spring wheat in EVA.</t>
  </si>
  <si>
    <t>Second emergence count.</t>
  </si>
  <si>
    <t>Emergence (spring wheat)</t>
  </si>
  <si>
    <t>third emergence count</t>
  </si>
  <si>
    <t>Haun's stage (winter wheat)</t>
  </si>
  <si>
    <t>2 plants were replaced because of herbivore damage. 5 plants were replaced because bird band fell off, but couldnt tell which plants they came from.</t>
  </si>
  <si>
    <t>NDVI &amp; Canopy Height</t>
  </si>
  <si>
    <t>NDVI and canopy height conducted at approx 3:15pm. For this first measurement i only took NDVI reading of even numbered rows (ie: 2,4,6,8 etc). First measurement was a bare soil measurement.</t>
  </si>
  <si>
    <t>fourth emergence count.</t>
  </si>
  <si>
    <t>fifth emergence count</t>
  </si>
  <si>
    <t>Emergence (spring wheat). Haun's stage &amp; 3rd leaf width and length measurement (winter wheat)</t>
  </si>
  <si>
    <t>sixth emergence count. Haun's stage completed. 4 plants replaced because of herbivory. 3rd leaf length and width measurement for winter wheat also completed.</t>
  </si>
  <si>
    <t>seventh emergence count</t>
  </si>
  <si>
    <t>First second NDVI reading i took measurement of all rows. But canopy height i only took measurement in even numbered rows, like the first measurement. First measurement is a bare soil measurement. Measurement took from 12pm to 1pm.</t>
  </si>
  <si>
    <t>3 plants replaced because of herbivory.</t>
  </si>
  <si>
    <t>AP, LM</t>
  </si>
  <si>
    <t>Population</t>
  </si>
  <si>
    <t>Population count complete. Data collected on tablet.</t>
  </si>
  <si>
    <t>AP, JW</t>
  </si>
  <si>
    <t>Data collected on tablet</t>
  </si>
  <si>
    <t>Collected on tablet</t>
  </si>
  <si>
    <t>Haun Stage (spring)</t>
  </si>
  <si>
    <t>First Haun stage measurement for spring wheat.</t>
  </si>
  <si>
    <t>Tiller number</t>
  </si>
  <si>
    <t>Counter tillers of winter and spring wheat between pink flexi poles (demarcating 10 plants)</t>
  </si>
  <si>
    <t>AP, HH</t>
  </si>
  <si>
    <t>Haun Stage (winter)</t>
  </si>
  <si>
    <t>Andre did Haun's Stage measurement and Henny entered on tablet</t>
  </si>
  <si>
    <t>Collected on tablet. Raw files uploaded in raw file folder.</t>
  </si>
  <si>
    <t>Length and width measurements</t>
  </si>
  <si>
    <t>length and width measurements taken on the 3rd leaf of spring wheat, and 6th leaf of winter wheat.</t>
  </si>
  <si>
    <t>Haun Stage taken for spring wheat. Data collected on tablet.</t>
  </si>
  <si>
    <t>NDVI was taken of all plots. Canopy height was taken only in plots in even numbered rows. For the first 3 canopy height measurments, canopy heihgt was taken at a random location in plot. However, due to variation in canopy height because of uneven irrigation, we have decided (starting from 4th measurment) to take canopy height measurments from a fixed location, that being between the two pink flexi poles demarcatiing 10 plants.</t>
  </si>
  <si>
    <t>Haun Stage taken for winter wheat. Data collected on tablet. Started taging 9th leaf.</t>
  </si>
  <si>
    <t>Collected on tablet. Big red is diffcult to count tillers on, because tillers lay flat. i worry the count is not entirely accurate.</t>
  </si>
  <si>
    <t>Haun Stage taken for spring wheat. Data collected on tablet. Started tagging 6th leaf. Raw data uploaded.</t>
  </si>
  <si>
    <t>NDVI and Canopy Height. Raw data up on Teams. Observed yellowing and purpling leaf tips in IIlabo, Corinne suggested BYDV (aphid spread).</t>
  </si>
  <si>
    <t>Tim Reeks</t>
  </si>
  <si>
    <t>Broadleaf spray in McPoyles 3</t>
  </si>
  <si>
    <t>Metasulfuron @3g/ha, Paradigm @25g/ha, MCPA750 @350ml/ha, Wetter 1000 @ 200ml/100lt water, Water rate 80lt/ha.   Fungicide application later (Prosaro).</t>
  </si>
  <si>
    <t xml:space="preserve">AP </t>
  </si>
  <si>
    <t>Taken down while Tim sprayed, 2pm</t>
  </si>
  <si>
    <t>Put back up, 12noon</t>
  </si>
  <si>
    <t>Haun Stage taken for winter wheat. Data collected on tablet.</t>
  </si>
  <si>
    <t>Urea top dressing</t>
  </si>
  <si>
    <t>200kg/ha of urea</t>
  </si>
  <si>
    <t>AP, JH</t>
  </si>
  <si>
    <t>Haun Stage taken for spring wheat. Data collected on tablet. JHunt helped.</t>
  </si>
  <si>
    <t>Tiller count</t>
  </si>
  <si>
    <t>Tiller count completed. Noticed in some cultivars the tiller count was less than the previous count. Maybe some infertile tillers have died back???</t>
  </si>
  <si>
    <t>Collected on tablet and greenseeker app</t>
  </si>
  <si>
    <t xml:space="preserve">Trip lines sprayed out </t>
  </si>
  <si>
    <t>Seemingly no centred again.</t>
  </si>
  <si>
    <t>collected on tablet</t>
  </si>
  <si>
    <t>Leaf (L &amp; W) measurements</t>
  </si>
  <si>
    <t>6th leaf (spring), 9th leaf (winter)</t>
  </si>
  <si>
    <t>Haun Stage (winter) &amp; Flag leaf count</t>
  </si>
  <si>
    <t>Collected on tablet.</t>
  </si>
  <si>
    <t>Flag leaf count (6.0)</t>
  </si>
  <si>
    <t>April sown UOM varieties. 0 zero flag leaves between pink flexi poles atm. Will count again 27/8/25</t>
  </si>
  <si>
    <t>Haun Stage (spring) &amp; Flag leaf count</t>
  </si>
  <si>
    <t>Collected on tablet. Still zero flag leaves for April sown UOM varieties.</t>
  </si>
  <si>
    <t>Corinne</t>
  </si>
  <si>
    <t>Observation</t>
  </si>
  <si>
    <t>Tim Reeks spreading urea in McPoyles 3 paddock on bulk crop. There was a very small amount of urea fertiliser that landed in range 1 of bay 1 (all Frank Mazzone and WWHI trials). Estimate 10 granules per square metre (if granule 5mg then 0.0005 t/ha rate urea??). Should not make a difference to trial but FYI</t>
  </si>
  <si>
    <t>Still zero flag leaves for April sown UOM varieties.</t>
  </si>
  <si>
    <t>NDVI and canopy height</t>
  </si>
  <si>
    <t>NDVI all plots. Canopy on even numbered rows (2,4,6 etc.)</t>
  </si>
  <si>
    <t xml:space="preserve">Only 2 plants had reached final leaf number by this stage </t>
  </si>
  <si>
    <t>Flag leave count started</t>
  </si>
  <si>
    <t>Juan, Andre, Masira</t>
  </si>
  <si>
    <t xml:space="preserve">PCDS 6.0 harvest for UOM 1.3.47 (April) </t>
  </si>
  <si>
    <t xml:space="preserve">Area to be cut scanned for NDVI, PARi  measured with ceptometer at ground level, 25% of plant height, 50 % of plant height, 75% of plant height and above the canopy. SPAD readings (4 readings per height, mid leaf). Canopy height measured. All culms in a 0.5 x 1 m were cut at ground level and fresh weight recorded. After weighing, take a subsample by laying a bunch of culms on the bench, then count from left to right until reaching 20 culms. Another set of subsamples (&lt;20 culms) was weighed, put in paper bags, dried for moisture content measurement and stored as whole-plant samples. Discard the remain samples. The 20 culms were dissected into green leaves, dead leaves, stems and spikes and dry to constant weight (70°C for 48 hours) and record dry weight. </t>
  </si>
  <si>
    <t>Competent tiller count</t>
  </si>
  <si>
    <t>Illabo, plot 302 only</t>
  </si>
  <si>
    <t>Andre</t>
  </si>
  <si>
    <t>NDVI</t>
  </si>
  <si>
    <t>All plots</t>
  </si>
  <si>
    <t>Canopy height</t>
  </si>
  <si>
    <t xml:space="preserve">even numbered rows </t>
  </si>
  <si>
    <t>None of the plants had reached final leaf stage at this point</t>
  </si>
  <si>
    <t>PCDS 6.0 harvest for UOM 1.9.1 (April)</t>
  </si>
  <si>
    <t>See above</t>
  </si>
  <si>
    <t>Juan, Andre, Masira, Zoe</t>
  </si>
  <si>
    <t>PCDS 6.0 harvest for Illabo</t>
  </si>
  <si>
    <t>the majority of plants had reached final leaf number by this point, but still a few to go</t>
  </si>
  <si>
    <t>PCDS 6.0 harvest for Sunmaster, UOM1.3.47 (May), UOM1.9.1 (May)</t>
  </si>
  <si>
    <t>Aaron</t>
  </si>
  <si>
    <t>Fungicide application</t>
  </si>
  <si>
    <t>Prosaro i believe. But will need to confirm.</t>
  </si>
  <si>
    <t>Majority of plants had reached flag leaf by this time, but still a few to go</t>
  </si>
  <si>
    <t>Andre, Masira, Zoe</t>
  </si>
  <si>
    <t>PCDS 6.0 harvest for Zanzibar</t>
  </si>
  <si>
    <t>last flag leaf count</t>
  </si>
  <si>
    <t>Anthesis count (8.0)</t>
  </si>
  <si>
    <t>first anthesis count</t>
  </si>
  <si>
    <t>Andre, Zoe</t>
  </si>
  <si>
    <t>PCDS 6.0 harvest for Big Red</t>
  </si>
  <si>
    <t>Andre, Juan, Masira, Zoe, Frank</t>
  </si>
  <si>
    <t>PCDS 8.0 for UOM1347 (April)</t>
  </si>
  <si>
    <t>Andre, Juan, Masira</t>
  </si>
  <si>
    <t>PCDS 8.0 for Illabo and UOM191 (April)</t>
  </si>
  <si>
    <t>Andre, Juan, Masira, Zoe</t>
  </si>
  <si>
    <t>PCDS 8.0 for UOM1347 and UOM191 (May)</t>
  </si>
  <si>
    <t>Haun Stage (winter &amp; spring)</t>
  </si>
  <si>
    <t>Final leaf number recorded for remaining plants</t>
  </si>
  <si>
    <t>PCDS 8.0 for Sunmaster</t>
  </si>
  <si>
    <t>Last anthesis count</t>
  </si>
  <si>
    <t>PCDS 8.0 for Zanzibar and Big Red</t>
  </si>
  <si>
    <t>Length and width measurements (9th leaf, spring wheat)</t>
  </si>
  <si>
    <t xml:space="preserve">important to note that when leaf was dried that width seemed more effected than length </t>
  </si>
  <si>
    <t>AP, Juan</t>
  </si>
  <si>
    <t xml:space="preserve">Flag leaf width and length measurment </t>
  </si>
  <si>
    <t>Both Winter and Spring varieties were measured on the same day</t>
  </si>
  <si>
    <t>NDVI and Bare soil measurment</t>
  </si>
  <si>
    <t>Raw data on Teams</t>
  </si>
  <si>
    <t>Flag Leaf &amp; Anthesis Plot Photos</t>
  </si>
  <si>
    <t>Plot photos for sample area for both PDCS 6.0 and 8.0.  This was done for EVA because the Literal was not used to take pictures in EVA experiment, and so we can refer back to photos to see if there are any discrepancy's in wet or dry weights (i.e rows missing etc).  Important to note that unfortunately for PDCS 6.0 plot photos, UOM1347 &amp; UOM191 (April sown) are missing. This must've happened in the chaos of sampling. All in all there is 24 photos (PCDS 6.0) and 32 photos (PCDS 8.0). All photos have been uploaded to RAW data file in WWHI on Teams.  Two seperate folder, 1 folder for Flag leaf (6.0) pics, 1 folder for Anthesis (8.0) pics.</t>
  </si>
  <si>
    <t>Sterility Measurement</t>
  </si>
  <si>
    <t>10 Spikes per plot were taken for sterility (frost) measurement</t>
  </si>
  <si>
    <t>Taken for all plots to measure canopy collapse. Raw Data updated on Teams</t>
  </si>
  <si>
    <t>PCDS 10.0 Pictures of Quadrat cut area</t>
  </si>
  <si>
    <t>Took pictures of PCDS 10.0 Quadrat cut area.  All 32 plots included. Labelled each pic with a number from 1-32. Took pics in serpentine (via row) order.  Have uploaded on WWHI 'Raw data' folder on teams.</t>
  </si>
  <si>
    <t>Andre, Masira, Zoe, Lily S</t>
  </si>
  <si>
    <t>PCDS 10.0  Maturity hand harvest</t>
  </si>
  <si>
    <t xml:space="preserve">PCDS 10.0 maturity cut was taken. Plots were marked out for quadrat cut and pictures taken of area to be cut. Andre showed the casuals how to cut, first taking off outside rows and placing into bag, then cutting all inner four rows and placing into bag.  Planned on doing like this so not to confuse outside rows with inner four rows. </t>
  </si>
  <si>
    <t>Outside rows</t>
  </si>
  <si>
    <t>Outside rows were cut for machine harvest rows</t>
  </si>
  <si>
    <t>Andre, Juan, Lily</t>
  </si>
  <si>
    <t>Machine Harvest</t>
  </si>
  <si>
    <t>Started machine harvest on EvA at about 6pm on the 27/11. First practiced on hand harvests plots so could work out our drum and air speed.  Lamella sieve fully closed, concave at 2, all four de-awning bars in drum. We lost about 8 grains across two calico bags in the beginning, so we dropped air speed by 50, and found half as much (4) grain out the back. Started air at 900 and drum at 1000. Then dropped air to 850. Ultimately settings were set to 870 for air and 1010 for drum speed.</t>
  </si>
  <si>
    <t>Andre, Masira</t>
  </si>
  <si>
    <t>Plot lengths for Machine harvest plots</t>
  </si>
  <si>
    <t>every plot was measured.</t>
  </si>
  <si>
    <t xml:space="preserve">Threshing hand harvest samples </t>
  </si>
  <si>
    <t xml:space="preserve">Date of threshing (13/1/26) is approximate. Samples were oven dried and weighed in bags. Drum speed was set at 9, Air speed at 5.5 </t>
  </si>
  <si>
    <t>Management</t>
  </si>
  <si>
    <t>Proposed</t>
  </si>
  <si>
    <t>Actual</t>
  </si>
  <si>
    <t>Crop type:</t>
  </si>
  <si>
    <t>Wheat</t>
  </si>
  <si>
    <t>Sow date</t>
  </si>
  <si>
    <t>mid April, mid May</t>
  </si>
  <si>
    <t>Cultivar:</t>
  </si>
  <si>
    <t>Various</t>
  </si>
  <si>
    <t>Plant density (plants/m²):</t>
  </si>
  <si>
    <t>Kernal weight (mg):</t>
  </si>
  <si>
    <t>Viability: (proportion):</t>
  </si>
  <si>
    <t>Assumed emergence (proportion):</t>
  </si>
  <si>
    <t>Sowing rate (kg/ha):</t>
  </si>
  <si>
    <t>Seed source:</t>
  </si>
  <si>
    <t>Seed treatment 1 product:</t>
  </si>
  <si>
    <t>Rancona Dimension</t>
  </si>
  <si>
    <t>Seed treatment 1 active:</t>
  </si>
  <si>
    <t>Seed treatment 1 rate (g or ml/kg seed):</t>
  </si>
  <si>
    <t>Seed treatment 2 product:</t>
  </si>
  <si>
    <t>Expunge 600 SC</t>
  </si>
  <si>
    <t>Seed treatment 2 active:</t>
  </si>
  <si>
    <t>Seed treatment 2 rate (g or ml/kg seed):</t>
  </si>
  <si>
    <t>Seeder:</t>
  </si>
  <si>
    <t>Dookie plot seeder</t>
  </si>
  <si>
    <t>Row spacing (m):</t>
  </si>
  <si>
    <t>Number of rows:</t>
  </si>
  <si>
    <t>Sowing fertiliser type:</t>
  </si>
  <si>
    <t>MAP</t>
  </si>
  <si>
    <t>Sowing fertiliser (kg/ha):</t>
  </si>
  <si>
    <t>100 kg/ha</t>
  </si>
  <si>
    <t>Knock-down 1 product:</t>
  </si>
  <si>
    <t>Weedmaster 450</t>
  </si>
  <si>
    <t>None</t>
  </si>
  <si>
    <t>Knock-down 1 timing:</t>
  </si>
  <si>
    <t>&lt;24 h of sowing</t>
  </si>
  <si>
    <t>Knockdown 1 active:</t>
  </si>
  <si>
    <t>Glyphosate</t>
  </si>
  <si>
    <t>Knockdown 1 AI concentration (g/L or g/kg):</t>
  </si>
  <si>
    <t>Knockdown 1 rate (L or kg/ha):</t>
  </si>
  <si>
    <t>Knock-down 2 product:</t>
  </si>
  <si>
    <t>Avadex Xtra</t>
  </si>
  <si>
    <t>Knock-down 2 timing:</t>
  </si>
  <si>
    <t>Knockdown 2 active:</t>
  </si>
  <si>
    <t>Triallate</t>
  </si>
  <si>
    <t>Knockdown 2 AI concentration (g/L or g/kg):</t>
  </si>
  <si>
    <t>Knockdown 2 rate (L or kg/ha):</t>
  </si>
  <si>
    <t>Pre-emergent IBS 1 product:</t>
  </si>
  <si>
    <t>Sakura</t>
  </si>
  <si>
    <t>Pre-emergent IBS 1 timing:</t>
  </si>
  <si>
    <t>Pre-emergent IBS 1 active:</t>
  </si>
  <si>
    <t>Pyroxasulfone</t>
  </si>
  <si>
    <t>Pre-emergent IBS AI concentration (g/L or g/kg):</t>
  </si>
  <si>
    <t>Pre-emergent IBS 1 rate (L or kg/ha):</t>
  </si>
  <si>
    <t>PSPE 1 product:</t>
  </si>
  <si>
    <t>NA</t>
  </si>
  <si>
    <t>PSPE 1 timing:</t>
  </si>
  <si>
    <t>PSPE 1 active:</t>
  </si>
  <si>
    <t>PSPE 1 rate (L or kg/ha):</t>
  </si>
  <si>
    <t>Insecticide 1 product:</t>
  </si>
  <si>
    <t>Insecticide 1 timing:</t>
  </si>
  <si>
    <t>Insecticide 1 active:</t>
  </si>
  <si>
    <t>Insecticide 1 rate (L or kg/ha):</t>
  </si>
  <si>
    <t>Moluscicide 1 product:</t>
  </si>
  <si>
    <t>Moluscicide 1 timing:</t>
  </si>
  <si>
    <t>Moluscicide 1 active:</t>
  </si>
  <si>
    <t>Moluscicide 1 rate (L or kg/ha):</t>
  </si>
  <si>
    <t>In-crop herbicide 1 product:</t>
  </si>
  <si>
    <t>Mateno Complete?</t>
  </si>
  <si>
    <t>In-crop herbicide 1 timing:</t>
  </si>
  <si>
    <t>In-crop herbicide 1 active:</t>
  </si>
  <si>
    <t>In-crop herbicide 1 rate (L or kg/ha):</t>
  </si>
  <si>
    <t>In-crop herbicide 2 product:</t>
  </si>
  <si>
    <t>Velocity?</t>
  </si>
  <si>
    <t>In-crop herbicide 2 timing:</t>
  </si>
  <si>
    <t>SCDS L2</t>
  </si>
  <si>
    <t>In-crop herbicide 2 active:</t>
  </si>
  <si>
    <t>In-crop herbicide 2 rate (L or kg/ha):</t>
  </si>
  <si>
    <t>In-crop herbicide 3 product:</t>
  </si>
  <si>
    <t>In-crop herbicide 3 timing:</t>
  </si>
  <si>
    <t>In-crop herbicide 3 active:</t>
  </si>
  <si>
    <t>In-crop herbicide 3 rate (L or kg/ha):</t>
  </si>
  <si>
    <t>Top-dress 1 product:</t>
  </si>
  <si>
    <t>GS30-39 to N bank target of 275 kg/ha</t>
  </si>
  <si>
    <t>Top-dress 1 timing:</t>
  </si>
  <si>
    <t>Top-dress 1 rate (L or kg/ha):</t>
  </si>
  <si>
    <t>Top-dress 2 product:</t>
  </si>
  <si>
    <t>Top-dress 2 timing:</t>
  </si>
  <si>
    <t>Top-dress 2 rate (L or kg/ha):</t>
  </si>
  <si>
    <t>Fungicide 1 product:</t>
  </si>
  <si>
    <t>TBA</t>
  </si>
  <si>
    <t>Fungicide 1 timing:</t>
  </si>
  <si>
    <t>Fungicide 1 rate (L or kg/ha):</t>
  </si>
  <si>
    <t>Fungicide 2 product:</t>
  </si>
  <si>
    <t>Fungicide 2 timing:</t>
  </si>
  <si>
    <t>Fungicide 2 rate (L or kg/ha):</t>
  </si>
  <si>
    <t>Fungicide 3 product:</t>
  </si>
  <si>
    <t>Fungicide 3 timing:</t>
  </si>
  <si>
    <t>Fungicide 3 rate (L or kg/ha):</t>
  </si>
  <si>
    <t>Grain harvest:</t>
  </si>
  <si>
    <t>Direct head</t>
  </si>
  <si>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</si>
  <si>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</si>
  <si>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</si>
  <si>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</si>
  <si>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</si>
  <si>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</si>
  <si>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</si>
  <si>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</si>
  <si>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</si>
  <si>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</si>
  <si>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</si>
  <si>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</si>
  <si>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</si>
  <si>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</si>
  <si>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</si>
  <si>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</si>
  <si>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</si>
  <si>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</si>
  <si>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</si>
  <si>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</si>
  <si>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</si>
  <si>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</si>
  <si>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</si>
  <si>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</si>
  <si>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r>
      <t xml:space="preserve">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 </t>
    </r>
    <r>
      <rPr>
        <sz val="11"/>
        <color rgb="FFFF0000"/>
        <rFont val="Calibri"/>
        <family val="2"/>
        <scheme val="minor"/>
      </rPr>
      <t>The numbero of tillers will also be counted on these emergence areas</t>
    </r>
    <r>
      <rPr>
        <sz val="11"/>
        <color theme="1"/>
        <rFont val="Calibri"/>
        <family val="2"/>
        <scheme val="minor"/>
      </rPr>
      <t>.</t>
    </r>
  </si>
  <si>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</si>
  <si>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</si>
  <si>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</si>
  <si>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</si>
  <si>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</si>
  <si>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</si>
  <si>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</si>
  <si>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</si>
  <si>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</si>
  <si>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</si>
  <si>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</si>
  <si>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</si>
  <si>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</si>
  <si>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r>
      <t xml:space="preserve">As per Celestina et al. (2023). Mark 3 plants per plot and count emerged leaves on the main stem every 1-2 weeks placing a marker on leaf 3, 6, 9 etc and touching plants with fingers as little as possible. The length and width of each tagged leaf </t>
    </r>
    <r>
      <rPr>
        <sz val="11"/>
        <color rgb="FFFF0000"/>
        <rFont val="Calibri"/>
        <family val="2"/>
        <scheme val="minor"/>
      </rPr>
      <t>(including flag leaf</t>
    </r>
    <r>
      <rPr>
        <sz val="11"/>
        <color theme="1"/>
        <rFont val="Calibri"/>
        <family val="2"/>
        <scheme val="minor"/>
      </rPr>
      <t>) should be recorded following emergence of the subsequent leaf.</t>
    </r>
  </si>
  <si>
    <t>L1 to Lx</t>
  </si>
  <si>
    <t>64 plots x 3 plants x 10 sampling dates = 1920 observations</t>
  </si>
  <si>
    <t>Start 13 May ToS 1 and 10 June ToS2</t>
  </si>
  <si>
    <t>PCDS 6.0</t>
  </si>
  <si>
    <r>
      <t xml:space="preserve">As per Celestina et al. (2023) “When the first fully expanded flag leaf is observed, select 10 adjacent plants in the centre row of the plot </t>
    </r>
    <r>
      <rPr>
        <sz val="11"/>
        <color rgb="FFFF0000"/>
        <rFont val="Calibri"/>
        <family val="2"/>
        <scheme val="minor"/>
      </rPr>
      <t>(e.g. in the marked emergence area)</t>
    </r>
    <r>
      <rPr>
        <sz val="11"/>
        <color theme="1"/>
        <rFont val="Calibri"/>
        <family val="2"/>
        <scheme val="minor"/>
      </rPr>
      <t xml:space="preserve"> and tag them to facilitate repeated observations, then count and record </t>
    </r>
    <r>
      <rPr>
        <sz val="11"/>
        <color rgb="FFFF0000"/>
        <rFont val="Calibri"/>
        <family val="2"/>
        <scheme val="minor"/>
      </rPr>
      <t>the number of fertile and infertile tillers</t>
    </r>
    <r>
      <rPr>
        <sz val="11"/>
        <color theme="1"/>
        <rFont val="Calibri"/>
        <family val="2"/>
        <scheme val="minor"/>
      </rPr>
      <t xml:space="preserve">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r>
  </si>
  <si>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</si>
  <si>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</si>
  <si>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</si>
  <si>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</si>
  <si>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</si>
  <si>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</si>
  <si>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</si>
  <si>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</si>
  <si>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r>
      <t xml:space="preserve">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t>
    </r>
    <r>
      <rPr>
        <sz val="11"/>
        <color rgb="FFFF0000"/>
        <rFont val="Aptos Narrow"/>
        <family val="2"/>
      </rPr>
      <t>flag leaf , flag -1 , flag -2  and flag -3 (at base of plant)</t>
    </r>
    <r>
      <rPr>
        <sz val="11"/>
        <color rgb="FF000000"/>
        <rFont val="Aptos Narrow"/>
        <family val="2"/>
      </rPr>
      <t xml:space="preserve">. Canopy height measured (height of canopy as it sits naturally in the plot, do not stretch out leaves). All culms in a 0.5 x all inside rows quadrat (1-1.5 m depending on site) cut at ground level and fresh weight recorded. </t>
    </r>
    <r>
      <rPr>
        <sz val="11"/>
        <color rgb="FFFF0000"/>
        <rFont val="Aptos Narrow"/>
        <family val="2"/>
      </rPr>
      <t>After weighing, take a subsample of 20 culms for partitioning (including fertile and infertile tillers). Record the fresh weight of the sub-sample and discard the main sample</t>
    </r>
    <r>
      <rPr>
        <sz val="11"/>
        <color rgb="FF000000"/>
        <rFont val="Aptos Narrow"/>
        <family val="2"/>
      </rPr>
      <t>. Keep sub-samples in a cold room at 4°C prior to further processing, ideally within 24 hours of harvest. Partition all culms in sub-sample into green leaves (detached at ligule), dead leaves (detached at ligule), stems and spikes dissected from flag leaf sheath and detached at the abcision layer between rachis and peduncle.</t>
    </r>
    <r>
      <rPr>
        <sz val="11"/>
        <color rgb="FFFF0000"/>
        <rFont val="Aptos Narrow"/>
        <family val="2"/>
      </rPr>
      <t xml:space="preserve"> Count and record the number of spikes in the sub-sample - this could be less than 20 if infertilie tillers were included in the subsample.</t>
    </r>
    <r>
      <rPr>
        <sz val="11"/>
        <color rgb="FF000000"/>
        <rFont val="Aptos Narrow"/>
        <family val="2"/>
      </rPr>
      <t xml:space="preserv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r>
  </si>
  <si>
    <t>F1</t>
  </si>
  <si>
    <t>64 plots x 4 partitions = 256 samples</t>
  </si>
  <si>
    <t>~9 September</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</si>
  <si>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</si>
  <si>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flag leaf (roughly corresponds to 75% plant height), flag -1 (roughly 50% height), flag -2 (roughly 25% height) and flag -3 (at base of plant). Canopy height measured (height of canopy as it sits naturally in the plot, do not stretch out leaves). All culms in a 0.5 x all inside rows quadrat (1-1.5 m depending on site) cut at ground level and fresh weight recorded. After weighing, take a subsample of 20 culms for partitioning (including fertile and infertile tillers). Record the fresh weight of the sub-sample and discard the main sample. Keep sub-samples in a cold room at 4°C prior to further processing, ideally within 24 hours of harvest. Partition all culms in sub-sample into green leaves (detached at ligule), dead leaves (detached at ligule), stems and spikes detached at the abcision layer between rachis and peduncle. Count and record the number of spikes in the sub-sample - this could be less than 20 if infertilie tillers were included in the subsample.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</si>
  <si>
    <t>A100</t>
  </si>
  <si>
    <t>~30 September</t>
  </si>
  <si>
    <t>Frost induced sterility</t>
  </si>
  <si>
    <t>Sample 10 spikes from throughout the canopy in each plot toward the end of grain filling while spikes are still green. On each spike, count and record the the number of competent spikelets and then open or squeeze the first floret on each spikelet to check if there is a grain in the floret. Record the number of florets that do not have a grain.</t>
  </si>
  <si>
    <t>SCDS GF50</t>
  </si>
  <si>
    <t>64 plots x 10 spikes = 640 samples</t>
  </si>
  <si>
    <t>~30 October</t>
  </si>
  <si>
    <t>Yield components</t>
  </si>
  <si>
    <t>All culms in a 0.5 m (1.0 m if there is not enough plot remaining for a machine harvest) x all inside rows quadrat (1-1.5 m depending on site) cut at ground level. A sub-sample of 20 culms taken and exact culm number including number of fertilie and infertile culms counted and recorded. Dry main sample at 70°C for 48 hours in a fan forced oven, record weight of whole sample and thresh grain and record weight of grain. Sub-sample partitioned into dead leaves (detached at ligule), stems and spikes (detached at abscision layer between rachis and peduncle), placed into labelled paper bags and dried at 70°C for 48 hours in a fan forced over and dry weight recorded. Spikes threshed and grain and chaff retained and weights recorded. Weight of 200 grains recorded. All samples retained and ground through 1mm sieve for MIR analysis for N, WSC and 13C.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</si>
  <si>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</si>
  <si>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</si>
  <si>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</si>
  <si>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</si>
  <si>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</si>
  <si>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</si>
  <si>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</si>
  <si>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</si>
  <si>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</si>
  <si>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Measurement number</t>
  </si>
  <si>
    <t>Measurement date</t>
  </si>
  <si>
    <t>Plants emerged (plants/1 m of row)</t>
  </si>
  <si>
    <t>Average of Plants emerged (plants/1 m of row)</t>
  </si>
  <si>
    <t>Column Labels</t>
  </si>
  <si>
    <t>Row Labels</t>
  </si>
  <si>
    <t>Grand Total</t>
  </si>
  <si>
    <t>Count 1</t>
  </si>
  <si>
    <t xml:space="preserve">Count 2 </t>
  </si>
  <si>
    <t xml:space="preserve">Count 3 </t>
  </si>
  <si>
    <t xml:space="preserve">Count 4 </t>
  </si>
  <si>
    <t xml:space="preserve">Count 5 </t>
  </si>
  <si>
    <t xml:space="preserve">Count 6 </t>
  </si>
  <si>
    <t xml:space="preserve">Mean count </t>
  </si>
  <si>
    <t>Row spacing (m)</t>
  </si>
  <si>
    <r>
      <t>Plant population density (plants/m</t>
    </r>
    <r>
      <rPr>
        <b/>
        <vertAlign val="superscript"/>
        <sz val="11"/>
        <color theme="1"/>
        <rFont val="Calibri"/>
        <family val="2"/>
        <scheme val="minor"/>
      </rPr>
      <t>2</t>
    </r>
    <r>
      <rPr>
        <b/>
        <sz val="11"/>
        <color theme="1"/>
        <rFont val="Calibri"/>
        <family val="2"/>
        <scheme val="minor"/>
      </rPr>
      <t>)</t>
    </r>
  </si>
  <si>
    <t>22/05//2025</t>
  </si>
  <si>
    <t>Average of Plant population density (plants/m2)</t>
  </si>
  <si>
    <t xml:space="preserve">Measurement date </t>
  </si>
  <si>
    <t>Tiller Number for 10 plants</t>
  </si>
  <si>
    <t>Tiller No per plant</t>
  </si>
  <si>
    <t>Average of Tiller No per plant</t>
  </si>
  <si>
    <t>(blank)</t>
  </si>
  <si>
    <t>big red difficult to count tillers on. Because many tillers that lay flat.</t>
  </si>
  <si>
    <t>Plant 1 Haun stage</t>
  </si>
  <si>
    <t>Plant 2 Haun stage</t>
  </si>
  <si>
    <t>Plant 3 Haun stage</t>
  </si>
  <si>
    <t>Tillers</t>
  </si>
  <si>
    <t>Mean Haun stage</t>
  </si>
  <si>
    <t>Average of Mean Haun stage</t>
  </si>
  <si>
    <t>Leaf number</t>
  </si>
  <si>
    <t>Leaf width 1 (mm)</t>
  </si>
  <si>
    <t>Leaf width 2 (mm)</t>
  </si>
  <si>
    <t>Leaf width 3 (mm)</t>
  </si>
  <si>
    <t>Mean leaf width (mm)</t>
  </si>
  <si>
    <t>Leaf length 1 (cm)</t>
  </si>
  <si>
    <t>Leaf length 2 (cm)</t>
  </si>
  <si>
    <t>Leaf length 3 (cm)</t>
  </si>
  <si>
    <t>Mean leaf length (cm)</t>
  </si>
  <si>
    <t>Flag</t>
  </si>
  <si>
    <t>Bare soil NDVI</t>
  </si>
  <si>
    <t>CV</t>
  </si>
  <si>
    <t>Plot NDVI</t>
  </si>
  <si>
    <t>Plot CV</t>
  </si>
  <si>
    <t>Canopy height (cm)</t>
  </si>
  <si>
    <t>Measurment 1: Canopy height taken in random location in plot</t>
  </si>
  <si>
    <t>Measurment 2: Canopy height taken in random location in plot</t>
  </si>
  <si>
    <t>Meaurment 3: Canopy height taken in random location in plot</t>
  </si>
  <si>
    <t>Meaasurment 4: Given variation of canopy height in plot, we have decided to take mesurement from a fixed location in plot, that location being inbetween pink flexi poles. To be clear, the first 3 measurments of canopy height were taken randomly in plot, but because of canopy height variation in plot (due to uneven irrigation), from now on canopy height measurment will be taken between pink flexi poles.</t>
  </si>
  <si>
    <t>NDVI of quadrat area</t>
  </si>
  <si>
    <t>Tau [T] at 75% of canopy height</t>
  </si>
  <si>
    <t>Tau [T] at 50% of canopy height</t>
  </si>
  <si>
    <t>Tau [T] at 25% of canopy height</t>
  </si>
  <si>
    <t>Tau [T] at ground level</t>
  </si>
  <si>
    <t>PARi at 75% of canopy height</t>
  </si>
  <si>
    <t>PARi at 50% of canopy height</t>
  </si>
  <si>
    <t>PARi at 25% of canopy height</t>
  </si>
  <si>
    <t>PARi at ground level</t>
  </si>
  <si>
    <t>SPAD of flag leaf-4 reading 1</t>
  </si>
  <si>
    <t>SPAD of flag leaf-4 reading 2</t>
  </si>
  <si>
    <t>SPAD of flag leaf-4 reading 3</t>
  </si>
  <si>
    <t>SPAD of flag leaf-4 reading 4</t>
  </si>
  <si>
    <t>SPAD of flag leaf-3 reading 1</t>
  </si>
  <si>
    <t>SPAD of flag leaf-3 reading 2</t>
  </si>
  <si>
    <t>SPAD of flag leaf-3 reading 3</t>
  </si>
  <si>
    <t>SPAD of flag leaf-3 reading 4</t>
  </si>
  <si>
    <t>SPAD of flag leaf-2 reading 1</t>
  </si>
  <si>
    <t>SPAD of flag leaf-2 reading 2</t>
  </si>
  <si>
    <t>SPAD of flag leaf-2 reading 3</t>
  </si>
  <si>
    <t>SPAD of flag leaf-2 reading 4</t>
  </si>
  <si>
    <t>SPAD of flag leaf-1 reading 1</t>
  </si>
  <si>
    <t>SPAD of flag leaf-1 reading 2</t>
  </si>
  <si>
    <t>SPAD of flag leaf-1 reading 3</t>
  </si>
  <si>
    <t>SPAD of flag leaf-1 reading 4</t>
  </si>
  <si>
    <t>SPAD of flag leaf reading 1</t>
  </si>
  <si>
    <t>SPAD of flag leaf reading 2</t>
  </si>
  <si>
    <t>SPAD of flag leaf reading 3</t>
  </si>
  <si>
    <t>SPAD of flag leaf reading 4</t>
  </si>
  <si>
    <t>Area of quadrat cut (m²)</t>
  </si>
  <si>
    <t>Fresh weight of main sample (g)</t>
  </si>
  <si>
    <t>Fresh shoot biomass (g/m2)</t>
  </si>
  <si>
    <t>Fresh weight of sub sample (g)</t>
  </si>
  <si>
    <t>Number of culms in sub-sample</t>
  </si>
  <si>
    <t>Number of competent culms (with spike) in subsample</t>
  </si>
  <si>
    <t>Fresh weight of subsample for moisture content (g)</t>
  </si>
  <si>
    <t>Dry weight of subsample for moisture content (g)</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</si>
  <si>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</si>
  <si>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</si>
  <si>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</si>
  <si>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</si>
  <si>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</si>
  <si>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</si>
  <si>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</si>
  <si>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</si>
  <si>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</si>
  <si>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</si>
  <si>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</si>
  <si>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</si>
  <si>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</si>
  <si>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</si>
  <si>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</si>
  <si>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</si>
  <si>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</si>
  <si>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</si>
  <si>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flag leaf-4</t>
  </si>
  <si>
    <t>Mean SPAD of flag leaf-3</t>
  </si>
  <si>
    <t>Mean SPAD of flag leaf-2</t>
  </si>
  <si>
    <t>Mean SPAD of flag leaf</t>
  </si>
  <si>
    <t>Average of Culm NO2/M2</t>
  </si>
  <si>
    <t>Count of competent culms</t>
  </si>
  <si>
    <t>Count of competent culms on which flag leaf ligule visible</t>
  </si>
  <si>
    <t>% flag leaves emerged</t>
  </si>
  <si>
    <t>Count date</t>
  </si>
  <si>
    <t>Count of competent culms on which central florets have flowered</t>
  </si>
  <si>
    <t>% anthesis</t>
  </si>
  <si>
    <t>Sum of all fraction (g)</t>
  </si>
  <si>
    <t>Estimated dry matter at PCDS 8.0 (g/m²)</t>
  </si>
  <si>
    <t>Mean SPAD of flag leaf-1</t>
  </si>
  <si>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</si>
  <si>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</si>
  <si>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</si>
  <si>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</si>
  <si>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</si>
  <si>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</si>
  <si>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</si>
  <si>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</si>
  <si>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</si>
  <si>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</si>
  <si>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</si>
  <si>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</si>
  <si>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</si>
  <si>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</si>
  <si>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</si>
  <si>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</si>
  <si>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</si>
  <si>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</si>
  <si>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</si>
  <si>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</si>
  <si>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</si>
  <si>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</si>
  <si>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</si>
  <si>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</si>
  <si>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</si>
  <si>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</si>
  <si>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</si>
  <si>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</si>
  <si>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</si>
  <si>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</si>
  <si>
    <t>Harvest date</t>
  </si>
  <si>
    <t>Fresh weight of quadrat cut (g)</t>
  </si>
  <si>
    <t>Dry weight of quadrat cut + bag (g)</t>
  </si>
  <si>
    <t>Oven Dried Bag weight (g)</t>
  </si>
  <si>
    <t>Grain weight of quadrat cut (g)</t>
  </si>
  <si>
    <t>Harvest index</t>
  </si>
  <si>
    <t>Dry weight of outside rows + bag (g)</t>
  </si>
  <si>
    <t>Grain weight of outside rows (g)</t>
  </si>
  <si>
    <t>Dry weight of dead leaves from sub-sample (g)</t>
  </si>
  <si>
    <t>Dry weight of stems from sub-sample (g)</t>
  </si>
  <si>
    <t>Dry weight of spikes from sub-sample (g)</t>
  </si>
  <si>
    <t>Number of Spikes in sub-sample</t>
  </si>
  <si>
    <t>Dry weight of grain from sub-sample (g)</t>
  </si>
  <si>
    <t>Grain number</t>
  </si>
  <si>
    <t>Dry weight of 200 grains (g)</t>
  </si>
  <si>
    <t>Dry weight of sub-sample (g)</t>
  </si>
  <si>
    <t>Estimated dry matter at PCDS 10.0 (g/m²)</t>
  </si>
  <si>
    <t>Grain fraction (g/g)</t>
  </si>
  <si>
    <t>Grain dry matter (g/m²)</t>
  </si>
  <si>
    <t>Whole sample grain yield (g/m²)</t>
  </si>
  <si>
    <t>Yield response to competition</t>
  </si>
  <si>
    <t>Individual grain weight (mg)</t>
  </si>
  <si>
    <t>Grain number (grains/m²)</t>
  </si>
  <si>
    <t>Plot lengths of machine harvestable area (m)</t>
  </si>
  <si>
    <t>Missing row (m)</t>
  </si>
  <si>
    <t>Harvested areas (m²)</t>
  </si>
  <si>
    <t>Weight of harvested grain (kg)</t>
  </si>
  <si>
    <t>Machine harvest yield (t/ha)</t>
  </si>
  <si>
    <t>Moisture (%)</t>
  </si>
  <si>
    <t>Protein (%)</t>
  </si>
  <si>
    <t>Test weight (kg/hl)</t>
  </si>
  <si>
    <t>Average of Machine harvest yield (t/ha)</t>
  </si>
  <si>
    <t>Pure Seed weight (g)</t>
  </si>
  <si>
    <t>Dry weight of quadrat cut (g)</t>
  </si>
  <si>
    <t>Dry weight of Outside row (g)</t>
  </si>
  <si>
    <t>Average of Estimated dry matter at PCDS 10.0 (g/m²)</t>
  </si>
  <si>
    <t>Average of Whole sample grain yield (g/m²)</t>
  </si>
  <si>
    <t>Average of Harvest index</t>
  </si>
  <si>
    <t>Average of Individual grain weight (mg)</t>
  </si>
  <si>
    <t>Average of Grain number (grains/m²)</t>
  </si>
  <si>
    <t>Moisture content (%)</t>
  </si>
  <si>
    <t>Average of Moisture content (%)</t>
  </si>
  <si>
    <t>Shoot moisture content (%)</t>
  </si>
  <si>
    <t>Average of Shoot moisture content (%)</t>
  </si>
  <si>
    <t>StdDev of Shoot moisture content (%)</t>
  </si>
  <si>
    <t>StdDev of Moisture content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</si>
</sst>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C09]dd\-mmm\-yy;@"/>
    <numFmt numFmtId="168" formatCode="d/mm/yyyy;@"/>
  </numFmts>
  <fonts count="32"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font>
    <font>
      <sz val="8"/>
      <color theme="1"/>
      <name val="Calibri"/>
      <family val="2"/>
      <scheme val="minor"/>
    </font>
    <font>
      <b/>
      <u/>
      <sz val="11"/>
      <color theme="1"/>
      <name val="Calibri"/>
      <family val="2"/>
      <scheme val="minor"/>
    </font>
    <font>
      <sz val="11"/>
      <color rgb="FFFF0000"/>
      <name val="Calibri"/>
      <family val="2"/>
      <scheme val="minor"/>
    </font>
    <font>
      <b/>
      <sz val="11"/>
      <color rgb="FF000000"/>
      <name val="Calibri"/>
      <family val="2"/>
      <scheme val="minor"/>
    </font>
    <font>
      <sz val="11"/>
      <name val="Calibri"/>
      <family val="2"/>
      <scheme val="minor"/>
    </font>
    <font>
      <sz val="10"/>
      <name val="Arial"/>
      <family val="2"/>
    </font>
    <font>
      <b/>
      <sz val="11"/>
      <name val="Calibri"/>
      <family val="2"/>
      <scheme val="minor"/>
    </font>
    <font>
      <sz val="10"/>
      <name val="Arial"/>
      <family val="2"/>
    </font>
    <font>
      <sz val="11"/>
      <color rgb="FF000000"/>
      <name val="Arial"/>
      <family val="2"/>
    </font>
    <font>
      <sz val="11"/>
      <color rgb="FFFF0000"/>
      <name val="Arial"/>
      <family val="2"/>
    </font>
    <font>
      <b/>
      <sz val="11"/>
      <name val="Calibri"/>
      <family val="2"/>
    </font>
    <font>
      <sz val="11"/>
      <name val="Calibri"/>
      <family val="2"/>
    </font>
    <font>
      <sz val="11"/>
      <color rgb="FFFF0000"/>
      <name val="Calibri"/>
      <family val="2"/>
    </font>
    <font>
      <b/>
      <vertAlign val="superscript"/>
      <sz val="11"/>
      <color theme="1"/>
      <name val="Calibri"/>
      <family val="2"/>
      <scheme val="minor"/>
    </font>
    <font>
      <b/>
      <u/>
      <sz val="10"/>
      <name val="Arial"/>
      <family val="2"/>
    </font>
    <font>
      <b/>
      <sz val="10"/>
      <name val="Arial"/>
      <family val="2"/>
    </font>
    <font>
      <sz val="11"/>
      <color rgb="FF000000"/>
      <name val="Aptos Narrow"/>
      <family val="2"/>
    </font>
    <font>
      <sz val="11"/>
      <color rgb="FFFF0000"/>
      <name val="Aptos Narrow"/>
      <family val="2"/>
    </font>
    <font>
      <sz val="11"/>
      <color rgb="FF000000"/>
      <name val="Calibri"/>
      <family val="2"/>
      <scheme val="minor"/>
    </font>
    <font>
      <b/>
      <sz val="12"/>
      <color theme="1"/>
      <name val="Times New Roman"/>
      <family val="1"/>
      <charset val="1"/>
    </font>
    <font>
      <sz val="12"/>
      <color theme="1"/>
      <name val="Times New Roman"/>
      <family val="1"/>
      <charset val="1"/>
    </font>
    <font>
      <sz val="10"/>
      <color theme="1"/>
      <name val="Courier New"/>
      <family val="3"/>
    </font>
    <font>
      <b/>
      <sz val="12"/>
      <color rgb="FF000000"/>
      <name val="Times New Roman"/>
      <family val="1"/>
    </font>
    <font>
      <b/>
      <sz val="11"/>
      <color rgb="FFEE0000"/>
      <name val="Calibri"/>
      <family val="2"/>
      <charset val="1"/>
    </font>
    <font>
      <sz val="11"/>
      <color theme="1"/>
      <name val="Calibri"/>
      <family val="2"/>
      <charset val="1"/>
    </font>
    <font>
      <b/>
      <sz val="11"/>
      <color theme="1"/>
      <name val="Calibri"/>
      <family val="2"/>
    </font>
    <font>
      <b/>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n">
        <color auto="1"/>
      </bottom>
      <diagonal/>
    </border>
    <border>
      <left/>
      <right/>
      <top style="medium">
        <color auto="1"/>
      </top>
      <bottom/>
      <diagonal/>
    </border>
    <border>
      <left/>
      <right/>
      <top/>
      <bottom style="medium">
        <color auto="1"/>
      </bottom>
      <diagonal/>
    </border>
  </borders>
  <cellStyleXfs count="3">
    <xf numFmtId="0" fontId="0" fillId="0" borderId="0"/>
    <xf numFmtId="0" fontId="2" fillId="0" borderId="0" applyNumberFormat="0" applyFill="0" applyBorder="0" applyAlignment="0" applyProtection="0"/>
    <xf numFmtId="0" fontId="12" fillId="0" borderId="0" applyNumberFormat="0" applyFill="0" applyBorder="0" applyAlignment="0" applyProtection="0"/>
  </cellStyleXfs>
  <cellXfs count="158">
    <xf numFmtId="0" fontId="0" fillId="0" borderId="0" xfId="0"/>
    <xf numFmtId="0" fontId="1" fillId="0" borderId="0" xfId="0" applyFont="1"/>
    <xf numFmtId="0" fontId="2" fillId="0" borderId="0" xfId="1"/>
    <xf numFmtId="0" fontId="3" fillId="0" borderId="0" xfId="0" applyFont="1"/>
    <xf numFmtId="0" fontId="0" fillId="0" borderId="0" xfId="0" applyAlignment="1">
      <alignment horizontal="center"/>
    </xf>
    <xf numFmtId="0" fontId="1" fillId="0" borderId="0" xfId="0" applyFont="1" applyAlignment="1">
      <alignment horizontal="center"/>
    </xf>
    <xf numFmtId="0" fontId="1" fillId="0" borderId="0" xfId="0" applyFont="1" applyAlignment="1">
      <alignment wrapText="1"/>
    </xf>
    <xf numFmtId="165" fontId="1" fillId="0" borderId="0" xfId="0" applyNumberFormat="1" applyFont="1" applyAlignment="1">
      <alignment horizontal="center" wrapText="1"/>
    </xf>
    <xf numFmtId="1" fontId="1" fillId="0" borderId="0" xfId="0" applyNumberFormat="1" applyFont="1" applyAlignment="1">
      <alignment horizontal="center" wrapText="1"/>
    </xf>
    <xf numFmtId="164" fontId="1" fillId="0" borderId="0" xfId="0" applyNumberFormat="1" applyFont="1" applyAlignment="1">
      <alignment horizontal="center" wrapText="1"/>
    </xf>
    <xf numFmtId="0" fontId="1" fillId="0" borderId="0" xfId="0" applyFont="1" applyAlignment="1">
      <alignment horizontal="center" wrapText="1"/>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4" fontId="0" fillId="0" borderId="0" xfId="0" applyNumberFormat="1" applyAlignment="1">
      <alignment wrapText="1"/>
    </xf>
    <xf numFmtId="0" fontId="0" fillId="0" borderId="0" xfId="0" applyAlignment="1">
      <alignment wrapText="1"/>
    </xf>
    <xf numFmtId="0" fontId="5" fillId="0" borderId="0" xfId="0" applyFont="1" applyAlignment="1">
      <alignment horizontal="center" vertical="center" textRotation="90"/>
    </xf>
    <xf numFmtId="0" fontId="0" fillId="0" borderId="0" xfId="0" applyAlignment="1">
      <alignment horizontal="center" vertical="center"/>
    </xf>
    <xf numFmtId="0" fontId="6" fillId="0" borderId="0" xfId="0" applyFont="1"/>
    <xf numFmtId="0" fontId="5" fillId="3" borderId="2" xfId="0" applyFont="1" applyFill="1" applyBorder="1" applyAlignment="1">
      <alignment horizontal="center" vertical="center" textRotation="90"/>
    </xf>
    <xf numFmtId="0" fontId="5" fillId="3" borderId="5" xfId="0" applyFont="1" applyFill="1" applyBorder="1" applyAlignment="1">
      <alignment horizontal="center" vertical="center" textRotation="90"/>
    </xf>
    <xf numFmtId="0" fontId="5" fillId="3" borderId="8" xfId="0" applyFont="1" applyFill="1" applyBorder="1" applyAlignment="1">
      <alignment horizontal="center" vertical="center" textRotation="90"/>
    </xf>
    <xf numFmtId="0" fontId="5" fillId="2" borderId="8" xfId="0" applyFont="1" applyFill="1" applyBorder="1" applyAlignment="1">
      <alignment horizontal="center" vertical="center" textRotation="90"/>
    </xf>
    <xf numFmtId="0" fontId="0" fillId="3" borderId="0" xfId="0" applyFill="1"/>
    <xf numFmtId="0" fontId="0" fillId="2" borderId="0" xfId="0" applyFill="1"/>
    <xf numFmtId="0" fontId="0" fillId="0" borderId="0" xfId="0" applyAlignment="1">
      <alignment vertical="top" wrapText="1"/>
    </xf>
    <xf numFmtId="0" fontId="1" fillId="0" borderId="0" xfId="0" applyFont="1" applyAlignment="1">
      <alignment vertical="top" wrapText="1"/>
    </xf>
    <xf numFmtId="14" fontId="0" fillId="0" borderId="0" xfId="0" applyNumberFormat="1" applyAlignment="1">
      <alignment horizontal="center"/>
    </xf>
    <xf numFmtId="0" fontId="8" fillId="0" borderId="0" xfId="0" applyFont="1" applyAlignment="1">
      <alignment wrapText="1"/>
    </xf>
    <xf numFmtId="0" fontId="0" fillId="0" borderId="0" xfId="0" pivotButton="1"/>
    <xf numFmtId="2" fontId="0" fillId="0" borderId="0" xfId="0" applyNumberFormat="1" applyAlignment="1">
      <alignment horizontal="center"/>
    </xf>
    <xf numFmtId="2" fontId="1" fillId="0" borderId="0" xfId="0" applyNumberFormat="1" applyFont="1" applyAlignment="1">
      <alignment horizontal="center" wrapText="1"/>
    </xf>
    <xf numFmtId="0" fontId="0" fillId="0" borderId="0" xfId="0" applyAlignment="1">
      <alignment horizontal="left"/>
    </xf>
    <xf numFmtId="0" fontId="7" fillId="0" borderId="0" xfId="0" applyFont="1"/>
    <xf numFmtId="1" fontId="0" fillId="0" borderId="0" xfId="0" applyNumberFormat="1"/>
    <xf numFmtId="2" fontId="0" fillId="0" borderId="0" xfId="0" applyNumberFormat="1"/>
    <xf numFmtId="0" fontId="9" fillId="0" borderId="0" xfId="0" applyFont="1" applyAlignment="1">
      <alignment horizontal="center"/>
    </xf>
    <xf numFmtId="0" fontId="9" fillId="0" borderId="0" xfId="0" applyFont="1"/>
    <xf numFmtId="0" fontId="11" fillId="0" borderId="0" xfId="0" applyFont="1" applyAlignment="1">
      <alignment horizontal="center"/>
    </xf>
    <xf numFmtId="164" fontId="9" fillId="0" borderId="0" xfId="0" applyNumberFormat="1" applyFont="1" applyAlignment="1">
      <alignment horizontal="center"/>
    </xf>
    <xf numFmtId="2" fontId="9" fillId="0" borderId="0" xfId="0" applyNumberFormat="1" applyFont="1" applyAlignment="1">
      <alignment horizontal="center"/>
    </xf>
    <xf numFmtId="1" fontId="9" fillId="0" borderId="0" xfId="0" applyNumberFormat="1" applyFont="1" applyAlignment="1">
      <alignment horizontal="center"/>
    </xf>
    <xf numFmtId="0" fontId="11" fillId="0" borderId="0" xfId="0" applyFont="1" applyAlignment="1">
      <alignment horizontal="center" wrapText="1"/>
    </xf>
    <xf numFmtId="14" fontId="9" fillId="0" borderId="0" xfId="0" applyNumberFormat="1" applyFont="1"/>
    <xf numFmtId="0" fontId="13" fillId="0" borderId="0" xfId="0" applyFont="1"/>
    <xf numFmtId="49" fontId="1" fillId="0" borderId="0" xfId="0" applyNumberFormat="1" applyFont="1" applyAlignment="1">
      <alignment horizontal="center" wrapText="1"/>
    </xf>
    <xf numFmtId="49" fontId="0" fillId="0" borderId="0" xfId="0" applyNumberFormat="1" applyAlignment="1">
      <alignment horizontal="center"/>
    </xf>
    <xf numFmtId="1" fontId="0" fillId="0" borderId="0" xfId="0" applyNumberFormat="1" applyAlignment="1">
      <alignment horizontal="left"/>
    </xf>
    <xf numFmtId="1" fontId="1" fillId="0" borderId="0" xfId="0" applyNumberFormat="1" applyFont="1" applyAlignment="1">
      <alignment horizontal="left"/>
    </xf>
    <xf numFmtId="0" fontId="9" fillId="0" borderId="0" xfId="0" applyFont="1" applyAlignment="1">
      <alignment horizontal="left"/>
    </xf>
    <xf numFmtId="2" fontId="11" fillId="0" borderId="0" xfId="0" applyNumberFormat="1" applyFont="1" applyAlignment="1">
      <alignment horizontal="center" wrapText="1"/>
    </xf>
    <xf numFmtId="166" fontId="0" fillId="0" borderId="0" xfId="0" applyNumberFormat="1"/>
    <xf numFmtId="0" fontId="11" fillId="0" borderId="0" xfId="0" applyFont="1"/>
    <xf numFmtId="0" fontId="7" fillId="0" borderId="0" xfId="0" applyFont="1" applyAlignment="1">
      <alignment horizontal="left"/>
    </xf>
    <xf numFmtId="0" fontId="14" fillId="0" borderId="0" xfId="0" applyFont="1" applyAlignment="1">
      <alignment horizontal="center"/>
    </xf>
    <xf numFmtId="0" fontId="5" fillId="4" borderId="3" xfId="0" applyFont="1" applyFill="1" applyBorder="1" applyAlignment="1">
      <alignment horizontal="center" vertical="center" textRotation="90"/>
    </xf>
    <xf numFmtId="0" fontId="5" fillId="4" borderId="6" xfId="0" applyFont="1" applyFill="1" applyBorder="1" applyAlignment="1">
      <alignment horizontal="center" vertical="center" textRotation="90"/>
    </xf>
    <xf numFmtId="0" fontId="5" fillId="4" borderId="9" xfId="0" applyFont="1" applyFill="1" applyBorder="1" applyAlignment="1">
      <alignment horizontal="center" vertical="center" textRotation="90"/>
    </xf>
    <xf numFmtId="0" fontId="5" fillId="4" borderId="1" xfId="0" applyFont="1" applyFill="1" applyBorder="1" applyAlignment="1">
      <alignment horizontal="center" vertical="center" textRotation="90"/>
    </xf>
    <xf numFmtId="0" fontId="5" fillId="4" borderId="4" xfId="0" applyFont="1" applyFill="1" applyBorder="1" applyAlignment="1">
      <alignment horizontal="center" vertical="center" textRotation="90"/>
    </xf>
    <xf numFmtId="0" fontId="5" fillId="4" borderId="7" xfId="0" applyFont="1" applyFill="1" applyBorder="1" applyAlignment="1">
      <alignment horizontal="center" vertical="center" textRotation="90"/>
    </xf>
    <xf numFmtId="0" fontId="15" fillId="0" borderId="0" xfId="0" applyFont="1" applyAlignment="1">
      <alignment horizontal="right" wrapText="1"/>
    </xf>
    <xf numFmtId="0" fontId="16" fillId="0" borderId="0" xfId="0" applyFont="1" applyAlignment="1">
      <alignment horizontal="right"/>
    </xf>
    <xf numFmtId="0" fontId="16" fillId="0" borderId="0" xfId="0" applyFont="1"/>
    <xf numFmtId="0" fontId="17" fillId="0" borderId="0" xfId="0" applyFont="1"/>
    <xf numFmtId="0" fontId="4" fillId="0" borderId="0" xfId="0" applyFont="1"/>
    <xf numFmtId="0" fontId="19" fillId="0" borderId="0" xfId="0" applyFont="1"/>
    <xf numFmtId="0" fontId="19" fillId="0" borderId="0" xfId="0" applyFont="1" applyAlignment="1">
      <alignment horizontal="center" wrapText="1"/>
    </xf>
    <xf numFmtId="0" fontId="20" fillId="0" borderId="0" xfId="0" applyFont="1"/>
    <xf numFmtId="0" fontId="10" fillId="0" borderId="0" xfId="0" applyFont="1" applyAlignment="1">
      <alignment horizontal="center" wrapText="1"/>
    </xf>
    <xf numFmtId="16" fontId="10" fillId="0" borderId="0" xfId="0" applyNumberFormat="1" applyFont="1" applyAlignment="1">
      <alignment horizontal="center" wrapText="1"/>
    </xf>
    <xf numFmtId="0" fontId="0" fillId="0" borderId="0" xfId="0" applyAlignment="1">
      <alignment horizontal="center" wrapText="1"/>
    </xf>
    <xf numFmtId="167" fontId="0" fillId="0" borderId="0" xfId="0" applyNumberFormat="1" applyAlignment="1">
      <alignment horizontal="center" wrapText="1"/>
    </xf>
    <xf numFmtId="0" fontId="20" fillId="0" borderId="11" xfId="0" applyFont="1" applyBorder="1"/>
    <xf numFmtId="0" fontId="0" fillId="0" borderId="11" xfId="0" applyBorder="1" applyAlignment="1">
      <alignment horizontal="center" wrapText="1"/>
    </xf>
    <xf numFmtId="0" fontId="20" fillId="0" borderId="12" xfId="0" applyFont="1" applyBorder="1"/>
    <xf numFmtId="0" fontId="0" fillId="0" borderId="12" xfId="0" applyBorder="1" applyAlignment="1">
      <alignment horizontal="center" wrapText="1"/>
    </xf>
    <xf numFmtId="165" fontId="20" fillId="0" borderId="12" xfId="0" applyNumberFormat="1" applyFont="1" applyBorder="1"/>
    <xf numFmtId="165" fontId="0" fillId="0" borderId="12" xfId="0" applyNumberFormat="1" applyBorder="1" applyAlignment="1">
      <alignment horizontal="center" wrapText="1"/>
    </xf>
    <xf numFmtId="1" fontId="0" fillId="0" borderId="0" xfId="0" applyNumberFormat="1" applyAlignment="1">
      <alignment horizontal="center" wrapText="1"/>
    </xf>
    <xf numFmtId="0" fontId="11" fillId="0" borderId="0" xfId="0" applyFont="1" applyAlignment="1">
      <alignment horizontal="right" wrapText="1"/>
    </xf>
    <xf numFmtId="0" fontId="11" fillId="0" borderId="0" xfId="0" applyFont="1" applyAlignment="1">
      <alignment horizontal="left"/>
    </xf>
    <xf numFmtId="0" fontId="15" fillId="0" borderId="0" xfId="0" applyFont="1" applyAlignment="1">
      <alignment horizontal="left" wrapText="1"/>
    </xf>
    <xf numFmtId="0" fontId="1" fillId="0" borderId="0" xfId="0" applyFont="1" applyAlignment="1">
      <alignment horizontal="left" wrapText="1"/>
    </xf>
    <xf numFmtId="14" fontId="0" fillId="0" borderId="0" xfId="0" applyNumberFormat="1" applyAlignment="1">
      <alignment vertical="top" wrapText="1"/>
    </xf>
    <xf numFmtId="14" fontId="0" fillId="0" borderId="0" xfId="0" applyNumberFormat="1" applyAlignment="1">
      <alignment vertical="top"/>
    </xf>
    <xf numFmtId="0" fontId="0" fillId="0" borderId="0" xfId="0" applyAlignment="1">
      <alignment vertical="top"/>
    </xf>
    <xf numFmtId="0" fontId="21" fillId="0" borderId="0" xfId="0" applyFont="1" applyAlignment="1">
      <alignment vertical="top" wrapText="1"/>
    </xf>
    <xf numFmtId="14" fontId="0" fillId="0" borderId="0" xfId="0" applyNumberFormat="1"/>
    <xf numFmtId="0" fontId="15" fillId="0" borderId="0" xfId="0" applyFont="1" applyAlignment="1">
      <alignment horizontal="center" wrapText="1"/>
    </xf>
    <xf numFmtId="14" fontId="4" fillId="0" borderId="0" xfId="0" applyNumberFormat="1" applyFont="1"/>
    <xf numFmtId="0" fontId="0" fillId="0" borderId="0" xfId="0" applyAlignment="1">
      <alignment horizontal="left" indent="1"/>
    </xf>
    <xf numFmtId="0" fontId="0" fillId="0" borderId="0" xfId="0" applyAlignment="1">
      <alignment vertical="center" wrapText="1"/>
    </xf>
    <xf numFmtId="14" fontId="7" fillId="0" borderId="0" xfId="0" applyNumberFormat="1" applyFont="1"/>
    <xf numFmtId="14" fontId="17" fillId="0" borderId="0" xfId="0" applyNumberFormat="1" applyFont="1"/>
    <xf numFmtId="14" fontId="16" fillId="0" borderId="0" xfId="0" applyNumberFormat="1" applyFont="1"/>
    <xf numFmtId="0" fontId="23" fillId="0" borderId="0" xfId="0" applyFont="1"/>
    <xf numFmtId="14" fontId="23" fillId="0" borderId="0" xfId="0" applyNumberFormat="1" applyFont="1" applyAlignment="1">
      <alignment vertical="top"/>
    </xf>
    <xf numFmtId="0" fontId="23" fillId="0" borderId="0" xfId="0" applyFont="1" applyAlignment="1">
      <alignment vertical="top"/>
    </xf>
    <xf numFmtId="0" fontId="23" fillId="0" borderId="0" xfId="0" applyFont="1" applyAlignment="1">
      <alignment vertical="top" wrapText="1"/>
    </xf>
    <xf numFmtId="0" fontId="23" fillId="0" borderId="0" xfId="0" applyFont="1" applyAlignment="1">
      <alignment vertical="center" wrapText="1"/>
    </xf>
    <xf numFmtId="14" fontId="23" fillId="0" borderId="0" xfId="0" applyNumberFormat="1" applyFont="1" applyAlignment="1">
      <alignment wrapText="1"/>
    </xf>
    <xf numFmtId="0" fontId="23" fillId="0" borderId="0" xfId="0" applyFont="1" applyAlignment="1">
      <alignment wrapText="1"/>
    </xf>
    <xf numFmtId="0" fontId="3" fillId="0" borderId="0" xfId="0" applyFont="1" applyAlignment="1">
      <alignment vertical="center" wrapText="1"/>
    </xf>
    <xf numFmtId="164" fontId="0" fillId="0" borderId="0" xfId="0" applyNumberFormat="1"/>
    <xf numFmtId="0" fontId="9" fillId="0" borderId="0" xfId="0" applyFont="1" applyAlignment="1">
      <alignment horizontal="right"/>
    </xf>
    <xf numFmtId="0" fontId="11" fillId="0" borderId="0" xfId="0" applyFont="1" applyAlignment="1">
      <alignment horizontal="left" wrapText="1"/>
    </xf>
    <xf numFmtId="14" fontId="9" fillId="0" borderId="0" xfId="0" applyNumberFormat="1" applyFont="1" applyAlignment="1">
      <alignment horizontal="left"/>
    </xf>
    <xf numFmtId="0" fontId="25" fillId="0" borderId="0" xfId="0" applyFont="1"/>
    <xf numFmtId="0" fontId="26" fillId="0" borderId="0" xfId="0" applyFont="1"/>
    <xf numFmtId="0" fontId="24" fillId="0" borderId="0" xfId="0" applyFont="1"/>
    <xf numFmtId="0" fontId="28" fillId="0" borderId="0" xfId="0" applyFont="1"/>
    <xf numFmtId="0" fontId="27" fillId="0" borderId="0" xfId="0" applyFont="1"/>
    <xf numFmtId="164" fontId="1" fillId="0" borderId="0" xfId="0" applyNumberFormat="1" applyFont="1"/>
    <xf numFmtId="0" fontId="29" fillId="0" borderId="0" xfId="0" applyFont="1"/>
    <xf numFmtId="168" fontId="15" fillId="0" borderId="0" xfId="0" applyNumberFormat="1" applyFont="1" applyAlignment="1">
      <alignment horizontal="right" wrapText="1"/>
    </xf>
    <xf numFmtId="168" fontId="16" fillId="0" borderId="0" xfId="0" applyNumberFormat="1" applyFont="1" applyAlignment="1">
      <alignment horizontal="right"/>
    </xf>
    <xf numFmtId="168" fontId="16" fillId="0" borderId="0" xfId="0" applyNumberFormat="1" applyFont="1"/>
    <xf numFmtId="168" fontId="0" fillId="0" borderId="0" xfId="0" applyNumberFormat="1"/>
    <xf numFmtId="14" fontId="0" fillId="0" borderId="0" xfId="0" applyNumberFormat="1" applyAlignment="1">
      <alignment horizontal="left" vertical="top" wrapText="1"/>
    </xf>
    <xf numFmtId="0" fontId="0" fillId="0" borderId="0" xfId="0" applyAlignment="1">
      <alignment horizontal="left" vertical="top" wrapText="1"/>
    </xf>
    <xf numFmtId="0" fontId="30" fillId="0" borderId="0" xfId="0" applyFont="1" applyAlignment="1">
      <alignment horizontal="right" wrapText="1"/>
    </xf>
    <xf numFmtId="0" fontId="4" fillId="0" borderId="0" xfId="0" applyFont="1" applyAlignment="1">
      <alignment horizontal="right"/>
    </xf>
    <xf numFmtId="164" fontId="1" fillId="0" borderId="0" xfId="0" applyNumberFormat="1" applyFont="1" applyAlignment="1">
      <alignment wrapText="1"/>
    </xf>
    <xf numFmtId="0" fontId="11" fillId="0" borderId="0" xfId="0" applyFont="1" applyAlignment="1">
      <alignment wrapText="1"/>
    </xf>
    <xf numFmtId="0" fontId="4" fillId="0" borderId="0" xfId="0" applyFont="1" applyAlignment="1">
      <alignment vertical="center"/>
    </xf>
    <xf numFmtId="1" fontId="13" fillId="0" borderId="0" xfId="0" applyNumberFormat="1" applyFont="1"/>
    <xf numFmtId="0" fontId="3" fillId="0" borderId="0" xfId="0" applyFont="1" applyAlignment="1">
      <alignment horizontal="right"/>
    </xf>
    <xf numFmtId="14" fontId="4" fillId="0" borderId="0" xfId="0" applyNumberFormat="1" applyFont="1" applyAlignment="1">
      <alignment horizontal="center"/>
    </xf>
    <xf numFmtId="165" fontId="4" fillId="0" borderId="0" xfId="0" applyNumberFormat="1" applyFont="1"/>
    <xf numFmtId="0" fontId="4" fillId="0" borderId="0" xfId="0" applyFont="1" applyAlignment="1">
      <alignment horizontal="center"/>
    </xf>
    <xf numFmtId="164" fontId="4" fillId="0" borderId="0" xfId="0" applyNumberFormat="1" applyFont="1" applyAlignment="1">
      <alignment horizontal="center"/>
    </xf>
    <xf numFmtId="165" fontId="4" fillId="0" borderId="0" xfId="0" applyNumberFormat="1" applyFont="1" applyAlignment="1">
      <alignment horizontal="center"/>
    </xf>
    <xf numFmtId="165" fontId="4" fillId="0" borderId="0" xfId="0" applyNumberFormat="1" applyFont="1" applyAlignment="1">
      <alignment horizontal="center" vertical="center" wrapText="1"/>
    </xf>
    <xf numFmtId="2" fontId="4" fillId="0" borderId="0" xfId="0" applyNumberFormat="1" applyFont="1" applyAlignment="1">
      <alignment horizontal="center"/>
    </xf>
    <xf numFmtId="1" fontId="4" fillId="0" borderId="0" xfId="0" applyNumberFormat="1" applyFont="1" applyAlignment="1">
      <alignment horizontal="center"/>
    </xf>
    <xf numFmtId="164" fontId="4" fillId="0" borderId="0" xfId="0" applyNumberFormat="1" applyFont="1"/>
    <xf numFmtId="0" fontId="30" fillId="0" borderId="0" xfId="0" applyFont="1" applyAlignment="1">
      <alignment horizontal="center" wrapText="1"/>
    </xf>
    <xf numFmtId="1" fontId="30" fillId="0" borderId="0" xfId="0" applyNumberFormat="1" applyFont="1" applyAlignment="1">
      <alignment horizontal="center" wrapText="1"/>
    </xf>
    <xf numFmtId="164" fontId="30" fillId="5" borderId="0" xfId="0" applyNumberFormat="1" applyFont="1" applyFill="1" applyAlignment="1">
      <alignment horizontal="center" wrapText="1"/>
    </xf>
    <xf numFmtId="164" fontId="30" fillId="0" borderId="0" xfId="0" applyNumberFormat="1" applyFont="1" applyAlignment="1">
      <alignment horizontal="center" wrapText="1"/>
    </xf>
    <xf numFmtId="2" fontId="30" fillId="0" borderId="0" xfId="0" applyNumberFormat="1" applyFont="1" applyAlignment="1">
      <alignment horizontal="center" wrapText="1"/>
    </xf>
    <xf numFmtId="0" fontId="30" fillId="0" borderId="0" xfId="0" applyFont="1" applyAlignment="1">
      <alignment horizontal="center"/>
    </xf>
    <xf numFmtId="2" fontId="4" fillId="0" borderId="0" xfId="0" applyNumberFormat="1" applyFont="1"/>
    <xf numFmtId="1" fontId="4" fillId="0" borderId="0" xfId="0" applyNumberFormat="1" applyFont="1"/>
    <xf numFmtId="14" fontId="9" fillId="0" borderId="0" xfId="0" applyNumberFormat="1" applyFont="1" applyAlignment="1">
      <alignment horizontal="center"/>
    </xf>
    <xf numFmtId="0" fontId="11" fillId="5" borderId="0" xfId="0" applyFont="1" applyFill="1" applyAlignment="1">
      <alignment horizontal="center" wrapText="1"/>
    </xf>
    <xf numFmtId="0" fontId="1" fillId="2" borderId="0" xfId="0" applyFont="1" applyFill="1" applyAlignment="1">
      <alignment horizontal="center" wrapText="1"/>
    </xf>
    <xf numFmtId="1" fontId="1" fillId="0" borderId="0" xfId="0" applyNumberFormat="1" applyFont="1" applyAlignment="1">
      <alignment wrapText="1"/>
    </xf>
    <xf numFmtId="0" fontId="1" fillId="6" borderId="0" xfId="0" applyFont="1" applyFill="1" applyAlignment="1">
      <alignment horizontal="center" wrapText="1"/>
    </xf>
    <xf numFmtId="0" fontId="31" fillId="0" borderId="0" xfId="0" applyFont="1" applyAlignment="1">
      <alignment horizontal="center" wrapText="1"/>
    </xf>
    <xf numFmtId="164" fontId="7" fillId="0" borderId="0" xfId="0" applyNumberFormat="1" applyFont="1"/>
    <xf numFmtId="0" fontId="7" fillId="0" borderId="0" xfId="0" applyFont="1" applyAlignment="1">
      <alignment horizontal="center"/>
    </xf>
    <xf numFmtId="164" fontId="31" fillId="0" borderId="0" xfId="0" applyNumberFormat="1" applyFont="1" applyAlignment="1">
      <alignment horizontal="center" wrapText="1"/>
    </xf>
    <xf numFmtId="164" fontId="7" fillId="0" borderId="0" xfId="0" applyNumberFormat="1" applyFont="1" applyAlignment="1">
      <alignment horizontal="center"/>
    </xf>
    <xf numFmtId="0" fontId="0" fillId="0" borderId="0" xfId="0" applyAlignment="1">
      <alignment horizontal="center" vertical="center" textRotation="90"/>
    </xf>
    <xf numFmtId="0" fontId="0" fillId="0" borderId="0" xfId="0" applyAlignment="1">
      <alignment horizontal="center"/>
    </xf>
    <xf numFmtId="0" fontId="0" fillId="0" borderId="10" xfId="0" applyBorder="1" applyAlignment="1">
      <alignment horizontal="center"/>
    </xf>
  </cellXfs>
  <cellStyles count="3">
    <cellStyle name="Hyperlink" xfId="1" builtinId="8"/>
    <cellStyle name="Normal" xfId="0" builtinId="0"/>
    <cellStyle name="Normal 2" xfId="2" xr:uid="{808452A8-90C0-402F-9746-E7BF3C6139CE}"/>
  </cellStyles>
  <dxfs count="61">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64" formatCode="0.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164" formatCode="0.0"/>
    </dxf>
    <dxf>
      <font>
        <color auto="1"/>
      </font>
    </dxf>
    <dxf>
      <font>
        <color auto="1"/>
      </font>
    </dxf>
    <dxf>
      <font>
        <color auto="1"/>
      </font>
    </dxf>
    <dxf>
      <font>
        <color auto="1"/>
      </font>
    </dxf>
    <dxf>
      <font>
        <color auto="1"/>
      </font>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James Hunt" id="{21BEE49F-0518-4D96-A534-ADF556E45267}" userId="james.hunt@unimelb.edu.au" providerId="PeoplePicker"/>
  <person displayName="Juan Wang" id="{6013FB9D-7164-4167-A58A-F563C16FFB3F}" userId="juan.wang5@unimelb.edu.au" providerId="PeoplePicker"/>
  <person displayName="Andre Pasquale" id="{F80D37D5-D7A3-4567-8973-43AFF8AEF364}" userId="andre.c.pasquale@unimelb.edu.au" providerId="PeoplePicker"/>
  <person displayName="Lily Maul" id="{C47D5F9F-424F-4DA4-9F07-12EE339B787E}" userId="S::l.maul@unimelb.edu.au::04bf22b4-fbdb-4c21-a617-7024e5c54b33" providerId="AD"/>
  <person displayName="Juan Wang" id="{B959D934-98B9-4029-8D79-53141ADE86B6}" userId="S::juan.wang5@unimelb.edu.au::5ee9ba0d-76c4-4d0d-bbe1-a25307663a62" providerId="AD"/>
  <person displayName="Andre Pasquale" id="{A0EE4313-A0CE-4A97-9B58-AF1BBC688A87}" userId="S::andre.c.pasquale@unimelb.edu.au::e339a93e-ba64-48f5-b644-3e00bc9ca4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722.72461099537" createdVersion="8" refreshedVersion="8" minRefreshableVersion="3" recordCount="48" xr:uid="{48E96042-E3D5-4B30-ADB8-2E791F5798CA}">
  <cacheSource type="worksheet">
    <worksheetSource ref="A1:BW1048576" sheet="PCDS 6.0 harvest"/>
  </cacheSource>
  <cacheFields count="75">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8"/>
    </cacheField>
    <cacheField name="!Block" numFmtId="0">
      <sharedItems containsString="0" containsBlank="1" containsNumber="1" containsInteger="1" minValue="1" maxValue="4"/>
    </cacheField>
    <cacheField name="Row serp order" numFmtId="0">
      <sharedItems containsString="0" containsBlank="1" containsNumber="1" containsInteger="1" minValue="1" maxValue="32"/>
    </cacheField>
    <cacheField name="Range serp order" numFmtId="0">
      <sharedItems containsString="0" containsBlank="1" containsNumber="1" containsInteger="1" minValue="1" maxValue="32"/>
    </cacheField>
    <cacheField name="!Sow_time" numFmtId="0">
      <sharedItems containsBlank="1" count="3">
        <s v="Mid_April"/>
        <s v="Mid_May"/>
        <m/>
      </sharedItems>
    </cacheField>
    <cacheField name="!Line" numFmtId="0">
      <sharedItems containsBlank="1" count="7">
        <s v="Big_Red"/>
        <s v="Illabo"/>
        <s v="UOM001_3_47"/>
        <s v="UOM001_9_1"/>
        <s v="RGT_Zanzibar"/>
        <s v="Sunmaster"/>
        <m/>
      </sharedItems>
    </cacheField>
    <cacheField name="Plot" numFmtId="0">
      <sharedItems containsString="0" containsBlank="1" containsNumber="1" containsInteger="1" minValue="101" maxValue="408"/>
    </cacheField>
    <cacheField name="Unique identifier" numFmtId="0">
      <sharedItems containsBlank="1"/>
    </cacheField>
    <cacheField name="Measurement date" numFmtId="0">
      <sharedItems containsNonDate="0" containsDate="1" containsString="0" containsBlank="1" minDate="2024-09-06T00:00:00" maxDate="2024-09-25T00:00:00"/>
    </cacheField>
    <cacheField name="NDVI of quadrat area" numFmtId="0">
      <sharedItems containsString="0" containsBlank="1" containsNumber="1" minValue="0.75" maxValue="0.86"/>
    </cacheField>
    <cacheField name="Tau [T] at ground level" numFmtId="0">
      <sharedItems containsString="0" containsBlank="1" containsNumber="1" minValue="0.01" maxValue="0.115"/>
    </cacheField>
    <cacheField name="Tau [T] at 25% of canopy height" numFmtId="0">
      <sharedItems containsString="0" containsBlank="1" containsNumber="1" minValue="2.1999999999999999E-2" maxValue="0.17899999999999999"/>
    </cacheField>
    <cacheField name="Tau [T] at 50% of canopy height" numFmtId="0">
      <sharedItems containsString="0" containsBlank="1" containsNumber="1" minValue="5.8999999999999997E-2" maxValue="0.27500000000000002"/>
    </cacheField>
    <cacheField name="Tau [T] at 75% of canopy height" numFmtId="0">
      <sharedItems containsString="0" containsBlank="1" containsNumber="1" minValue="0.13500000000000001" maxValue="0.47899999999999998"/>
    </cacheField>
    <cacheField name="PARi at ground level" numFmtId="0">
      <sharedItems containsString="0" containsBlank="1" containsNumber="1" minValue="0.88500000000000001" maxValue="0.99"/>
    </cacheField>
    <cacheField name="PARi at 25% of canopy height" numFmtId="0">
      <sharedItems containsString="0" containsBlank="1" containsNumber="1" minValue="0.82099999999999995" maxValue="0.97799999999999998"/>
    </cacheField>
    <cacheField name="PARi at 50% of canopy height" numFmtId="0">
      <sharedItems containsString="0" containsBlank="1" containsNumber="1" minValue="0.72499999999999998" maxValue="0.94100000000000006"/>
    </cacheField>
    <cacheField name="PARi at 75% of canopy height" numFmtId="0">
      <sharedItems containsString="0" containsBlank="1" containsNumber="1" minValue="0.52100000000000002" maxValue="0.86499999999999999"/>
    </cacheField>
    <cacheField name="SPAD of lowest leaves reading 1" numFmtId="0">
      <sharedItems containsString="0" containsBlank="1" containsNumber="1" minValue="1.4" maxValue="49.9"/>
    </cacheField>
    <cacheField name="SPAD of lowest leaves reading 2" numFmtId="0">
      <sharedItems containsString="0" containsBlank="1" containsNumber="1" minValue="0.8" maxValue="51.7"/>
    </cacheField>
    <cacheField name="SPAD of lowest leaves reading 3" numFmtId="0">
      <sharedItems containsString="0" containsBlank="1" containsNumber="1" minValue="1.8" maxValue="51.8"/>
    </cacheField>
    <cacheField name="SPAD of lowest leaves reading 4" numFmtId="0">
      <sharedItems containsString="0" containsBlank="1" containsNumber="1" minValue="0.9" maxValue="57.9"/>
    </cacheField>
    <cacheField name="SPAD at 25% of canopy height reading 1" numFmtId="0">
      <sharedItems containsString="0" containsBlank="1" containsNumber="1" minValue="21.7" maxValue="63.4"/>
    </cacheField>
    <cacheField name="SPAD at 25% of canopy height reading 2" numFmtId="0">
      <sharedItems containsString="0" containsBlank="1" containsNumber="1" minValue="29.2" maxValue="58.3"/>
    </cacheField>
    <cacheField name="SPAD at 25% of canopy height reading 3" numFmtId="0">
      <sharedItems containsString="0" containsBlank="1" containsNumber="1" minValue="27.1" maxValue="57.7"/>
    </cacheField>
    <cacheField name="SPAD at 25% of canopy height reading 4" numFmtId="0">
      <sharedItems containsBlank="1" containsMixedTypes="1" containsNumber="1" minValue="12.2" maxValue="57.5"/>
    </cacheField>
    <cacheField name="SPAD at 50% of canopy height reading 1" numFmtId="0">
      <sharedItems containsBlank="1" containsMixedTypes="1" containsNumber="1" minValue="42.8" maxValue="57.1"/>
    </cacheField>
    <cacheField name="SPAD at 50% of canopy height reading 2" numFmtId="0">
      <sharedItems containsBlank="1" containsMixedTypes="1" containsNumber="1" minValue="1" maxValue="604.44251631241434"/>
    </cacheField>
    <cacheField name="SPAD at 50% of canopy height reading 3" numFmtId="0">
      <sharedItems containsString="0" containsBlank="1" containsNumber="1" minValue="2" maxValue="633.07076129447364"/>
    </cacheField>
    <cacheField name="SPAD at 50% of canopy height reading 4" numFmtId="0">
      <sharedItems containsString="0" containsBlank="1" containsNumber="1" minValue="3" maxValue="543.92025436108952"/>
    </cacheField>
    <cacheField name="SPAD at 75% of canopy height reading 1" numFmtId="0">
      <sharedItems containsString="0" containsBlank="1" containsNumber="1" minValue="4" maxValue="534.79090362190107"/>
    </cacheField>
    <cacheField name="SPAD at 75% of canopy height reading 2" numFmtId="0">
      <sharedItems containsBlank="1" containsMixedTypes="1" containsNumber="1" minValue="46.5" maxValue="57"/>
    </cacheField>
    <cacheField name="SPAD at 75% of canopy height reading 3" numFmtId="0">
      <sharedItems containsBlank="1" containsMixedTypes="1" containsNumber="1" minValue="45.6" maxValue="573.45282206997808"/>
    </cacheField>
    <cacheField name="SPAD at 75% of canopy height reading 4" numFmtId="0">
      <sharedItems containsString="0" containsBlank="1" containsNumber="1" minValue="47.1" maxValue="56.2"/>
    </cacheField>
    <cacheField name="SPAD of flag leaf reading 1" numFmtId="0">
      <sharedItems containsString="0" containsBlank="1" containsNumber="1" minValue="37.4" maxValue="54.9"/>
    </cacheField>
    <cacheField name="SPAD of flag leaf reading 2" numFmtId="0">
      <sharedItems containsString="0" containsBlank="1" containsNumber="1" minValue="41" maxValue="55.6"/>
    </cacheField>
    <cacheField name="SPAD of flag leaf reading 3" numFmtId="0">
      <sharedItems containsString="0" containsBlank="1" containsNumber="1" minValue="40.299999999999997" maxValue="54.1"/>
    </cacheField>
    <cacheField name="SPAD of flag leaf reading 4" numFmtId="0">
      <sharedItems containsString="0" containsBlank="1" containsNumber="1" minValue="40" maxValue="54"/>
    </cacheField>
    <cacheField name="Canopy height (cm)" numFmtId="0">
      <sharedItems containsString="0" containsBlank="1" containsNumber="1" containsInteger="1" minValue="51" maxValue="72"/>
    </cacheField>
    <cacheField name="Area of quadrat cut (m²)" numFmtId="0">
      <sharedItems containsString="0" containsBlank="1" containsNumber="1" minValue="0.375" maxValue="0.5"/>
    </cacheField>
    <cacheField name="Fresh weight of main sample (g)" numFmtId="0">
      <sharedItems containsString="0" containsBlank="1" containsNumber="1" minValue="1146.5999999999999" maxValue="2313.6999999999998"/>
    </cacheField>
    <cacheField name="Fresh shoot biomass weight (g/m2)" numFmtId="0">
      <sharedItems containsString="0" containsBlank="1" containsNumber="1" minValue="2293.1999999999998" maxValue="4627.3999999999996"/>
    </cacheField>
    <cacheField name="Fresh weight of sub sample (g)" numFmtId="0">
      <sharedItems containsString="0" containsBlank="1" containsNumber="1" minValue="256.89999999999998" maxValue="469.9"/>
    </cacheField>
    <cacheField name="Number of culms in sub-sample" numFmtId="0">
      <sharedItems containsString="0" containsBlank="1" containsNumber="1" containsInteger="1" minValue="50" maxValue="50"/>
    </cacheField>
    <cacheField name="Fresh weight of subsample for moisture content (g)" numFmtId="0">
      <sharedItems containsString="0" containsBlank="1" containsNumber="1" minValue="158.80000000000001" maxValue="280.3"/>
    </cacheField>
    <cacheField name="Dry weight of subsample for moisture content (g)" numFmtId="0">
      <sharedItems containsString="0" containsBlank="1" containsNumber="1" minValue="34.700000000000003" maxValue="54.43"/>
    </cacheField>
    <cacheField name="Number of culms in subsample for moisture content" numFmtId="0">
      <sharedItems containsString="0" containsBlank="1" containsNumber="1" containsInteger="1" minValue="30" maxValue="30"/>
    </cacheField>
    <cacheField name="Dry weight of green leaves from 20 culms (g)" numFmtId="0">
      <sharedItems containsString="0" containsBlank="1" containsNumber="1" minValue="7.25" maxValue="13.7"/>
    </cacheField>
    <cacheField name="Dry weight of dead leaves from 20 culms (g)" numFmtId="0">
      <sharedItems containsString="0" containsBlank="1" containsNumber="1" minValue="0.16" maxValue="2.93"/>
    </cacheField>
    <cacheField name="Dry weight of stems from 20 culms (g)" numFmtId="0">
      <sharedItems containsString="0" containsBlank="1" containsNumber="1" minValue="9.39" maxValue="20.9"/>
    </cacheField>
    <cacheField name="Dry weight of spikes from 20 culms (g)" numFmtId="0">
      <sharedItems containsString="0" containsBlank="1" containsNumber="1" minValue="0.59" maxValue="4.22"/>
    </cacheField>
    <cacheField name="Dry weight of 20 culms (g)" numFmtId="0">
      <sharedItems containsString="0" containsBlank="1" containsNumber="1" minValue="20.7" maxValue="36.4"/>
    </cacheField>
    <cacheField name="Dry weight of a single culm (g)" numFmtId="164">
      <sharedItems containsString="0" containsBlank="1" containsNumber="1" minValue="1.1566666666666667" maxValue="3.0581039755351682"/>
    </cacheField>
    <cacheField name="Fresh weight of a single culm (g)" numFmtId="164">
      <sharedItems containsString="0" containsBlank="1" containsNumber="1" minValue="3.9918450560652392" maxValue="9.3433333333333337"/>
    </cacheField>
    <cacheField name="Dry matter proportion of main sample (g/g)" numFmtId="2">
      <sharedItems containsString="0" containsBlank="1" containsNumber="1" minValue="0.1870139136639315" maxValue="0.24988986784140971"/>
    </cacheField>
    <cacheField name="Estimated dry weight of main sample (g)" numFmtId="1">
      <sharedItems containsString="0" containsBlank="1" containsNumber="1" minValue="253.64264972776772" maxValue="510.45170502583375"/>
    </cacheField>
    <cacheField name="Estimated dry matter at PCDS 6.0 (g/m²)" numFmtId="1">
      <sharedItems containsString="0" containsBlank="1" containsNumber="1" minValue="509.05831763967359" maxValue="1020.9034100516675"/>
    </cacheField>
    <cacheField name="Green leaf fraction (g/g)" numFmtId="2">
      <sharedItems containsString="0" containsBlank="1" containsNumber="1" minValue="0.26325344952795932" maxValue="0.47874396135265701"/>
    </cacheField>
    <cacheField name="Dead leaf fraction (g/g)" numFmtId="2">
      <sharedItems containsString="0" containsBlank="1" containsNumber="1" minValue="6.5708418891170439E-3" maxValue="9.1935989959209305E-2"/>
    </cacheField>
    <cacheField name="Stem fraction (g/g)" numFmtId="2">
      <sharedItems containsString="0" containsBlank="1" containsNumber="1" minValue="0.45362318840579713" maxValue="0.60404624277456642"/>
    </cacheField>
    <cacheField name="Spike fraction (g/g)" numFmtId="2">
      <sharedItems containsString="0" containsBlank="1" containsNumber="1" minValue="2.0730850316233309E-2" maxValue="0.11846367422489591"/>
    </cacheField>
    <cacheField name="Grean leaf dry matter (g/m²)" numFmtId="0">
      <sharedItems containsString="0" containsBlank="1" containsNumber="1" minValue="192.0897957631592" maxValue="304.82357156328914"/>
    </cacheField>
    <cacheField name="Dead leaf dry matter (g/m²)" numFmtId="0">
      <sharedItems containsString="0" containsBlank="1" containsNumber="1" minValue="3.7190930270770841" maxValue="92.744866529640404"/>
    </cacheField>
    <cacheField name="Stem dry matter (g/m²)" numFmtId="0">
      <sharedItems containsString="0" containsBlank="1" containsNumber="1" minValue="236.85907827071188" maxValue="594.77143605141566"/>
    </cacheField>
    <cacheField name="Spike dry matter (g/m²)" numFmtId="0">
      <sharedItems containsString="0" containsBlank="1" containsNumber="1" minValue="13.80895273062742" maxValue="99.733015191548347"/>
    </cacheField>
    <cacheField name="Mean SPAD of lowest leaves" numFmtId="0">
      <sharedItems containsString="0" containsBlank="1" containsNumber="1" minValue="14.125" maxValue="48.925000000000004"/>
    </cacheField>
    <cacheField name="Mean SPAD at 25% of canopy height" numFmtId="0">
      <sharedItems containsString="0" containsBlank="1" containsNumber="1" minValue="26.849999999999998" maxValue="56.225000000000001"/>
    </cacheField>
    <cacheField name="Mean SPAD at 50% of canopy height " numFmtId="0">
      <sharedItems containsString="0" containsBlank="1" containsNumber="1" minValue="46.550000000000004" maxValue="55.525000000000006"/>
    </cacheField>
    <cacheField name="Mean SPAD at 75% of canopy height" numFmtId="0">
      <sharedItems containsString="0" containsBlank="1" containsNumber="1" minValue="46.424999999999997" maxValue="54.4"/>
    </cacheField>
    <cacheField name="Mean SPAD of flag leaf" numFmtId="0">
      <sharedItems containsString="0" containsBlank="1" containsNumber="1" minValue="40.900000000000006" maxValue="54.375"/>
    </cacheField>
    <cacheField name="Individual culm weight (g)" numFmtId="0">
      <sharedItems containsString="0" containsBlank="1" containsNumber="1" minValue="1.1566666666666667" maxValue="1.8143333333333334"/>
    </cacheField>
    <cacheField name="Culm NO/M2" numFmtId="0">
      <sharedItems containsString="0" containsBlank="1" containsNumber="1" minValue="338.46423870118468" maxValue="626.45306859205778"/>
    </cacheField>
    <cacheField name="Individual culm weight2 (g)" numFmtId="0">
      <sharedItems containsString="0" containsBlank="1" containsNumber="1" minValue="1.0349999999999999" maxValue="1.8199999999999998"/>
    </cacheField>
    <cacheField name="Culm NO2/M2" numFmtId="0">
      <sharedItems containsString="0" containsBlank="1" containsNumber="1" minValue="339.37320915639248" maxValue="633.070761294473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839.651310069443" createdVersion="8" refreshedVersion="8" minRefreshableVersion="3" recordCount="33" xr:uid="{3DDEBA81-0F94-4EBE-8A2A-051F1235C08C}">
  <cacheSource type="worksheet">
    <worksheetSource ref="A1:R1048576" sheet="Population"/>
  </cacheSource>
  <cacheFields count="18">
    <cacheField name="!Sow_time" numFmtId="0">
      <sharedItems containsBlank="1" count="3">
        <s v="Mid_April"/>
        <s v="Mid_May"/>
        <m/>
      </sharedItems>
    </cacheField>
    <cacheField name="!Line" numFmtId="0">
      <sharedItems containsBlank="1" count="7">
        <s v="UOM001_3_47"/>
        <s v="UOM001_9_1"/>
        <s v="Illabo"/>
        <s v="Big_Red"/>
        <s v="Sunmaster"/>
        <s v="RGT_Zanziba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16"/>
    </cacheField>
    <cacheField name="Row serp order" numFmtId="0">
      <sharedItems containsString="0" containsBlank="1" containsNumber="1" containsInteger="1" minValue="5" maxValue="64"/>
    </cacheField>
    <cacheField name="Range serp order" numFmtId="0">
      <sharedItems containsString="0" containsBlank="1" containsNumber="1" containsInteger="1" minValue="2" maxValue="63"/>
    </cacheField>
    <cacheField name="Plot" numFmtId="0">
      <sharedItems containsString="0" containsBlank="1" containsNumber="1" containsInteger="1" minValue="102" maxValue="416"/>
    </cacheField>
    <cacheField name="Measurement date" numFmtId="0">
      <sharedItems containsDate="1" containsBlank="1" containsMixedTypes="1" minDate="2025-06-26T00:00:00" maxDate="2025-06-27T00:00:00"/>
    </cacheField>
    <cacheField name="Count 1" numFmtId="0">
      <sharedItems containsString="0" containsBlank="1" containsNumber="1" containsInteger="1" minValue="11" maxValue="43"/>
    </cacheField>
    <cacheField name="Count 2 " numFmtId="0">
      <sharedItems containsString="0" containsBlank="1" containsNumber="1" containsInteger="1" minValue="9" maxValue="44"/>
    </cacheField>
    <cacheField name="Count 3 " numFmtId="0">
      <sharedItems containsString="0" containsBlank="1" containsNumber="1" containsInteger="1" minValue="13" maxValue="43"/>
    </cacheField>
    <cacheField name="Count 4 " numFmtId="0">
      <sharedItems containsString="0" containsBlank="1" containsNumber="1" containsInteger="1" minValue="9" maxValue="46"/>
    </cacheField>
    <cacheField name="Count 5 " numFmtId="0">
      <sharedItems containsString="0" containsBlank="1" containsNumber="1" containsInteger="1" minValue="14" maxValue="53"/>
    </cacheField>
    <cacheField name="Count 6 " numFmtId="0">
      <sharedItems containsString="0" containsBlank="1" containsNumber="1" containsInteger="1" minValue="15" maxValue="47"/>
    </cacheField>
    <cacheField name="Mean count " numFmtId="1">
      <sharedItems containsString="0" containsBlank="1" containsNumber="1" minValue="16.166666666666668" maxValue="39.333333333333336"/>
    </cacheField>
    <cacheField name="Row spacing (m)" numFmtId="0">
      <sharedItems containsString="0" containsBlank="1" containsNumber="1" minValue="0.25" maxValue="0.25"/>
    </cacheField>
    <cacheField name="Plant population density (plants/m2)" numFmtId="1">
      <sharedItems containsString="0" containsBlank="1" containsNumber="1" minValue="64.666666666666671" maxValue="157.3333333333333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839.651556712961" createdVersion="8" refreshedVersion="8" minRefreshableVersion="3" recordCount="225" xr:uid="{8A39DB8D-C6AF-4A40-BB63-5144A09F8D11}">
  <cacheSource type="worksheet">
    <worksheetSource ref="A1:K1048576" sheet="Emergence"/>
  </cacheSource>
  <cacheFields count="11">
    <cacheField name="!Sow_time" numFmtId="0">
      <sharedItems containsBlank="1" count="3">
        <s v="Mid_April"/>
        <s v="Mid_May"/>
        <m/>
      </sharedItems>
    </cacheField>
    <cacheField name="!Line" numFmtId="0">
      <sharedItems containsBlank="1" count="7">
        <s v="UOM001_3_47"/>
        <s v="Illabo"/>
        <s v="Big_Red"/>
        <s v="UOM001_9_1"/>
        <s v="Sunmaster"/>
        <s v="RGT_Zanziba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16"/>
    </cacheField>
    <cacheField name="Row serp order" numFmtId="0">
      <sharedItems containsString="0" containsBlank="1" containsNumber="1" containsInteger="1" minValue="5" maxValue="64"/>
    </cacheField>
    <cacheField name="Range serp order" numFmtId="0">
      <sharedItems containsString="0" containsBlank="1" containsNumber="1" containsInteger="1" minValue="2" maxValue="63"/>
    </cacheField>
    <cacheField name="Plot" numFmtId="0">
      <sharedItems containsString="0" containsBlank="1" containsNumber="1" containsInteger="1" minValue="102" maxValue="416"/>
    </cacheField>
    <cacheField name="Measurement number" numFmtId="0">
      <sharedItems containsString="0" containsBlank="1" containsNumber="1" containsInteger="1" minValue="1" maxValue="7"/>
    </cacheField>
    <cacheField name="Measurement date" numFmtId="0">
      <sharedItems containsNonDate="0" containsDate="1" containsString="0" containsBlank="1" minDate="2024-05-13T00:00:00" maxDate="2025-06-18T00:00:00" count="14">
        <d v="2025-04-23T00:00:00"/>
        <d v="2025-05-28T00:00:00"/>
        <d v="2025-04-25T00:00:00"/>
        <d v="2025-05-30T00:00:00"/>
        <d v="2025-04-28T00:00:00"/>
        <d v="2025-06-02T00:00:00"/>
        <d v="2025-05-01T00:00:00"/>
        <d v="2025-06-05T00:00:00"/>
        <d v="2025-05-13T00:00:00"/>
        <d v="2025-06-11T00:00:00"/>
        <m/>
        <d v="2025-06-13T00:00:00"/>
        <d v="2025-06-17T00:00:00"/>
        <d v="2024-05-13T00:00:00" u="1"/>
      </sharedItems>
    </cacheField>
    <cacheField name="Plants emerged (plants/1 m of row)" numFmtId="0">
      <sharedItems containsString="0" containsBlank="1" containsNumber="1" containsInteger="1" minValue="0" maxValue="5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867.633357754632" createdVersion="8" refreshedVersion="8" minRefreshableVersion="3" recordCount="65" xr:uid="{BCA9F808-C103-4C34-9F32-DBAFCE9DD0C1}">
  <cacheSource type="worksheet">
    <worksheetSource ref="A1:K1048576" sheet="Tiller No"/>
  </cacheSource>
  <cacheFields count="11">
    <cacheField name="!Sow_time" numFmtId="0">
      <sharedItems containsBlank="1" count="3">
        <s v="Mid_April"/>
        <s v="Mid_May"/>
        <m/>
      </sharedItems>
    </cacheField>
    <cacheField name="!Line" numFmtId="0">
      <sharedItems containsBlank="1" count="7">
        <s v="UOM001_3_47"/>
        <s v="UOM001_9_1"/>
        <s v="Illabo"/>
        <s v="Big_Red"/>
        <s v="RGT_Zanzibar"/>
        <s v="Sunmaste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16"/>
    </cacheField>
    <cacheField name="Plot" numFmtId="0">
      <sharedItems containsString="0" containsBlank="1" containsNumber="1" containsInteger="1" minValue="102" maxValue="416"/>
    </cacheField>
    <cacheField name="Row serp order" numFmtId="0">
      <sharedItems containsString="0" containsBlank="1" containsNumber="1" containsInteger="1" minValue="1" maxValue="32"/>
    </cacheField>
    <cacheField name="Measurement number" numFmtId="0">
      <sharedItems containsString="0" containsBlank="1" containsNumber="1" containsInteger="1" minValue="1" maxValue="2"/>
    </cacheField>
    <cacheField name="Measurement date " numFmtId="0">
      <sharedItems containsNonDate="0" containsDate="1" containsString="0" containsBlank="1" minDate="2025-07-07T00:00:00" maxDate="2025-07-25T00:00:00" count="3">
        <d v="2025-07-07T00:00:00"/>
        <d v="2025-07-24T00:00:00"/>
        <m/>
      </sharedItems>
    </cacheField>
    <cacheField name="Tiller Number for 10 plants" numFmtId="0">
      <sharedItems containsString="0" containsBlank="1" containsNumber="1" containsInteger="1" minValue="10" maxValue="129"/>
    </cacheField>
    <cacheField name="Tiller No per plant" numFmtId="0">
      <sharedItems containsString="0" containsBlank="1" containsNumber="1" minValue="0" maxValue="11.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898.615611111112" createdVersion="8" refreshedVersion="8" minRefreshableVersion="3" recordCount="353" xr:uid="{5D0E062F-CB58-4ADB-A8D0-CF4E3079F361}">
  <cacheSource type="worksheet">
    <worksheetSource ref="A1:P1048576" sheet="Haun stage"/>
  </cacheSource>
  <cacheFields count="16">
    <cacheField name="!Sow_time" numFmtId="0">
      <sharedItems containsBlank="1" count="3">
        <s v="Mid_April"/>
        <s v="Mid_May"/>
        <m/>
      </sharedItems>
    </cacheField>
    <cacheField name="!Line" numFmtId="0">
      <sharedItems containsBlank="1" count="7">
        <s v="UOM001_3_47"/>
        <s v="UOM001_9_1"/>
        <s v="Illabo"/>
        <s v="Big_Red"/>
        <s v="RGT_Zanzibar"/>
        <s v="Sunmaste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acheField>
    <cacheField name="!Row" numFmtId="0">
      <sharedItems containsString="0" containsBlank="1" containsNumber="1" containsInteger="1" minValue="2" maxValue="16"/>
    </cacheField>
    <cacheField name="Plot" numFmtId="0">
      <sharedItems containsString="0" containsBlank="1" containsNumber="1" containsInteger="1" minValue="102" maxValue="416"/>
    </cacheField>
    <cacheField name="Row serp order" numFmtId="0">
      <sharedItems containsString="0" containsBlank="1" containsNumber="1" containsInteger="1" minValue="1" maxValue="32"/>
    </cacheField>
    <cacheField name="Measurement number" numFmtId="0">
      <sharedItems containsString="0" containsBlank="1" containsNumber="1" containsInteger="1" minValue="1" maxValue="11"/>
    </cacheField>
    <cacheField name="Measurement date " numFmtId="168">
      <sharedItems containsNonDate="0" containsDate="1" containsString="0" containsBlank="1" minDate="2025-03-06T00:00:00" maxDate="2025-08-26T00:00:00" count="19">
        <d v="2025-05-22T00:00:00"/>
        <d v="2025-07-04T00:00:00"/>
        <d v="2025-06-03T00:00:00"/>
        <d v="2025-07-11T00:00:00"/>
        <d v="2025-06-13T00:00:00"/>
        <d v="2025-07-18T00:00:00"/>
        <d v="2025-06-20T00:00:00"/>
        <d v="2025-07-25T00:00:00"/>
        <d v="2025-06-27T00:00:00"/>
        <d v="2025-08-06T00:00:00"/>
        <d v="2025-07-07T00:00:00"/>
        <d v="2025-08-15T00:00:00"/>
        <d v="2025-07-14T00:00:00"/>
        <m/>
        <d v="2025-07-24T00:00:00"/>
        <d v="2025-08-04T00:00:00"/>
        <d v="2025-08-14T00:00:00"/>
        <d v="2025-08-25T00:00:00"/>
        <d v="2025-03-06T00:00:00" u="1"/>
      </sharedItems>
    </cacheField>
    <cacheField name="Plant 1 Haun stage" numFmtId="0">
      <sharedItems containsString="0" containsBlank="1" containsNumber="1" minValue="2.9" maxValue="12.7"/>
    </cacheField>
    <cacheField name="Plant 2 Haun stage" numFmtId="0">
      <sharedItems containsString="0" containsBlank="1" containsNumber="1" minValue="3.1" maxValue="12.4"/>
    </cacheField>
    <cacheField name="Plant 3 Haun stage" numFmtId="0">
      <sharedItems containsString="0" containsBlank="1" containsNumber="1" minValue="3" maxValue="12.4"/>
    </cacheField>
    <cacheField name="Tillers" numFmtId="0">
      <sharedItems containsString="0" containsBlank="1" containsNumber="1" containsInteger="1" minValue="0" maxValue="7"/>
    </cacheField>
    <cacheField name="Tillers2" numFmtId="0">
      <sharedItems containsString="0" containsBlank="1" containsNumber="1" containsInteger="1" minValue="0" maxValue="6"/>
    </cacheField>
    <cacheField name="Tillers3" numFmtId="0">
      <sharedItems containsString="0" containsBlank="1" containsNumber="1" containsInteger="1" minValue="0" maxValue="6"/>
    </cacheField>
    <cacheField name="Mean Haun stage" numFmtId="164">
      <sharedItems containsString="0" containsBlank="1" containsNumber="1" minValue="3.1" maxValue="1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080.484033217595" createdVersion="8" refreshedVersion="8" minRefreshableVersion="3" recordCount="46" xr:uid="{9AFDE825-2B9B-47CF-B666-5EDE510BCD46}">
  <cacheSource type="worksheet">
    <worksheetSource ref="B1:AP1048576" sheet="PCDS 10.0 harvest"/>
  </cacheSource>
  <cacheFields count="41">
    <cacheField name="!Sow_time" numFmtId="0">
      <sharedItems containsBlank="1" count="3">
        <s v="Mid_April"/>
        <s v="Mid_May"/>
        <m/>
      </sharedItems>
    </cacheField>
    <cacheField name="!Line" numFmtId="0">
      <sharedItems containsBlank="1" count="7">
        <s v="UOM001_3_47"/>
        <s v="UOM001_9_1"/>
        <s v="Illabo"/>
        <s v="Big_Red"/>
        <s v="RGT_Zanzibar"/>
        <s v="Sunmaste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16"/>
    </cacheField>
    <cacheField name="Plot" numFmtId="0">
      <sharedItems containsString="0" containsBlank="1" containsNumber="1" containsInteger="1" minValue="102" maxValue="416"/>
    </cacheField>
    <cacheField name="Row serp order" numFmtId="0">
      <sharedItems containsString="0" containsBlank="1" containsNumber="1" containsInteger="1" minValue="1" maxValue="32"/>
    </cacheField>
    <cacheField name="Harvest date" numFmtId="0">
      <sharedItems containsNonDate="0" containsDate="1" containsString="0" containsBlank="1" minDate="2025-11-24T00:00:00" maxDate="2025-11-25T00:00:00"/>
    </cacheField>
    <cacheField name="Area of quadrat cut (m²)" numFmtId="0">
      <sharedItems containsString="0" containsBlank="1" containsNumber="1" minValue="0.5" maxValue="0.5"/>
    </cacheField>
    <cacheField name="Fresh weight of quadrat cut (g)" numFmtId="0">
      <sharedItems containsString="0" containsBlank="1" containsNumber="1" containsInteger="1" minValue="488" maxValue="785"/>
    </cacheField>
    <cacheField name="Dry weight of quadrat cut + bag (g)" numFmtId="0">
      <sharedItems containsString="0" containsBlank="1" containsNumber="1" containsInteger="1" minValue="469" maxValue="760"/>
    </cacheField>
    <cacheField name="Oven Dried Bag weight (g)" numFmtId="0">
      <sharedItems containsString="0" containsBlank="1" containsNumber="1" minValue="135.21428571428601" maxValue="135.21428571428601"/>
    </cacheField>
    <cacheField name="Dry weight of quadrat cut (g)" numFmtId="0">
      <sharedItems containsString="0" containsBlank="1" containsNumber="1" minValue="333.78571428571399" maxValue="624.78571428571399"/>
    </cacheField>
    <cacheField name="Grain weight of quadrat cut (g)" numFmtId="0">
      <sharedItems containsString="0" containsBlank="1" containsNumber="1" minValue="145.01" maxValue="257.63"/>
    </cacheField>
    <cacheField name="Dry weight of outside rows + bag (g)" numFmtId="0">
      <sharedItems containsString="0" containsBlank="1" containsNumber="1" containsInteger="1" minValue="426" maxValue="749"/>
    </cacheField>
    <cacheField name="Dry weight of Outside row (g)" numFmtId="0">
      <sharedItems containsString="0" containsBlank="1" containsNumber="1" minValue="290.78571428571399" maxValue="613.78571428571399"/>
    </cacheField>
    <cacheField name="Grain weight of outside rows (g)" numFmtId="0">
      <sharedItems containsString="0" containsBlank="1" containsNumber="1" minValue="147.28" maxValue="271.47000000000003"/>
    </cacheField>
    <cacheField name="Number of culms in sub-sample" numFmtId="0">
      <sharedItems containsString="0" containsBlank="1" containsNumber="1" containsInteger="1" minValue="20" maxValue="20"/>
    </cacheField>
    <cacheField name="Dry weight of dead leaves from sub-sample (g)" numFmtId="0">
      <sharedItems containsString="0" containsBlank="1" containsNumber="1" minValue="5.5" maxValue="10.8"/>
    </cacheField>
    <cacheField name="Dry weight of stems from sub-sample (g)" numFmtId="0">
      <sharedItems containsString="0" containsBlank="1" containsNumber="1" minValue="10.14" maxValue="24.2"/>
    </cacheField>
    <cacheField name="Dry weight of spikes from sub-sample (g)" numFmtId="0">
      <sharedItems containsString="0" containsBlank="1" containsNumber="1" minValue="17.47" maxValue="42.48"/>
    </cacheField>
    <cacheField name="Number of Spikes in sub-sample" numFmtId="0">
      <sharedItems containsString="0" containsBlank="1" containsNumber="1" containsInteger="1" minValue="15" maxValue="20"/>
    </cacheField>
    <cacheField name="Dry weight of grain from sub-sample (g)" numFmtId="0">
      <sharedItems containsString="0" containsBlank="1" containsNumber="1" minValue="13.12" maxValue="32.770000000000003"/>
    </cacheField>
    <cacheField name="Grain number" numFmtId="0">
      <sharedItems containsString="0" containsBlank="1" containsNumber="1" containsInteger="1" minValue="200" maxValue="200"/>
    </cacheField>
    <cacheField name="Dry weight of 200 grains (g)" numFmtId="0">
      <sharedItems containsString="0" containsBlank="1" containsNumber="1" minValue="4.74" maxValue="7.4"/>
    </cacheField>
    <cacheField name="Dry weight of sub-sample (g)" numFmtId="0">
      <sharedItems containsString="0" containsBlank="1" containsNumber="1" minValue="36.18" maxValue="74.169999999999987"/>
    </cacheField>
    <cacheField name="Dry weight of a single culm (g)" numFmtId="0">
      <sharedItems containsString="0" containsBlank="1" containsNumber="1" minValue="1.9336842105263159" maxValue="4.3629411764705877"/>
    </cacheField>
    <cacheField name="Estimated dry matter at PCDS 10.0 (g/m²)" numFmtId="0">
      <sharedItems containsString="0" containsBlank="1" containsNumber="1" minValue="797.59142857142797" maxValue="1323.051428571428"/>
    </cacheField>
    <cacheField name="Dead leaf fraction (g/g)" numFmtId="2">
      <sharedItems containsString="0" containsBlank="1" containsNumber="1" minValue="9.1996173469387751E-2" maxValue="0.19001574094895435"/>
    </cacheField>
    <cacheField name="Stem fraction (g/g)" numFmtId="2">
      <sharedItems containsString="0" containsBlank="1" containsNumber="1" minValue="0.20107858243451462" maxValue="0.36735554618304517"/>
    </cacheField>
    <cacheField name="Spike fraction (g/g)" numFmtId="2">
      <sharedItems containsString="0" containsBlank="1" containsNumber="1" minValue="0.44389476051270516" maxValue="0.83560152422427869"/>
    </cacheField>
    <cacheField name="Grain fraction (g/g)" numFmtId="2">
      <sharedItems containsString="0" containsBlank="1" containsNumber="1" minValue="0.33393298853159431" maxValue="0.67664670658682624"/>
    </cacheField>
    <cacheField name="Dead leaf dry matter (g/m²)" numFmtId="0">
      <sharedItems containsString="0" containsBlank="1" containsNumber="1" minValue="76.925061638868669" maxValue="231.91638343666668"/>
    </cacheField>
    <cacheField name="Stem dry matter (g/m²)" numFmtId="0">
      <sharedItems containsString="0" containsBlank="1" containsNumber="1" minValue="181.6566894122825" maxValue="446.81641684602766"/>
    </cacheField>
    <cacheField name="Spike dry matter (g/m²)" numFmtId="0">
      <sharedItems containsString="0" containsBlank="1" containsNumber="1" minValue="462.82775173805754" maxValue="697.84740772048428"/>
    </cacheField>
    <cacheField name="Grain dry matter (g/m²)" numFmtId="0">
      <sharedItems containsString="0" containsBlank="1" containsNumber="1" minValue="355.35379609887048" maxValue="542.79142749610173"/>
    </cacheField>
    <cacheField name="Whole sample grain yield (g/m²)" numFmtId="164">
      <sharedItems containsString="0" containsBlank="1" containsNumber="1" minValue="324.71999999999997" maxValue="564.98"/>
    </cacheField>
    <cacheField name="Harvest index" numFmtId="2">
      <sharedItems containsString="0" containsBlank="1" containsNumber="1" minValue="0.31143433241340968" maxValue="0.51095213697919661"/>
    </cacheField>
    <cacheField name="Yield response to competition" numFmtId="0">
      <sharedItems containsString="0" containsBlank="1" containsNumber="1" minValue="60.741479808853654" maxValue="176.93039291446235"/>
    </cacheField>
    <cacheField name="Individual grain weight (mg)" numFmtId="164">
      <sharedItems containsString="0" containsBlank="1" containsNumber="1" minValue="23.7" maxValue="37"/>
    </cacheField>
    <cacheField name="Grain number (grains/m²)" numFmtId="1">
      <sharedItems containsString="0" containsBlank="1" containsNumber="1" minValue="9070.3910614525139" maxValue="17969.57328385900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080.486396296299" createdVersion="8" refreshedVersion="8" minRefreshableVersion="3" recordCount="41" xr:uid="{711BFDF3-62FD-4CF2-A882-2CC04E44A80C}">
  <cacheSource type="worksheet">
    <worksheetSource ref="A1:S1048576" sheet="Machine harvest"/>
  </cacheSource>
  <cacheFields count="19">
    <cacheField name="!Sow_time" numFmtId="0">
      <sharedItems containsBlank="1" count="3">
        <s v="Mid_April"/>
        <s v="Mid_May"/>
        <m/>
      </sharedItems>
    </cacheField>
    <cacheField name="!Line" numFmtId="0">
      <sharedItems containsBlank="1" count="7">
        <s v="UOM001_3_47"/>
        <s v="UOM001_9_1"/>
        <s v="Illabo"/>
        <s v="Big_Red"/>
        <s v="RGT_Zanzibar"/>
        <s v="Sunmaste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5"/>
    </cacheField>
    <cacheField name="Row serp order" numFmtId="0">
      <sharedItems containsString="0" containsBlank="1" containsNumber="1" containsInteger="1" minValue="1" maxValue="32"/>
    </cacheField>
    <cacheField name="Plot" numFmtId="0">
      <sharedItems containsNonDate="0" containsString="0" containsBlank="1"/>
    </cacheField>
    <cacheField name="Harvest date" numFmtId="0">
      <sharedItems containsNonDate="0" containsDate="1" containsString="0" containsBlank="1" minDate="2025-11-27T00:00:00" maxDate="2025-11-28T00:00:00"/>
    </cacheField>
    <cacheField name="Plot lengths of machine harvestable area (m)" numFmtId="0">
      <sharedItems containsString="0" containsBlank="1" containsNumber="1" minValue="6.5" maxValue="7.2"/>
    </cacheField>
    <cacheField name="Plot width (m)" numFmtId="0">
      <sharedItems containsString="0" containsBlank="1" containsNumber="1" containsInteger="1" minValue="1" maxValue="1"/>
    </cacheField>
    <cacheField name="Missing row (m)" numFmtId="0">
      <sharedItems containsNonDate="0" containsString="0" containsBlank="1"/>
    </cacheField>
    <cacheField name="Harvested areas (m²)" numFmtId="0">
      <sharedItems containsString="0" containsBlank="1" containsNumber="1" minValue="6.5" maxValue="7.2"/>
    </cacheField>
    <cacheField name="Weight of harvested grain (kg)" numFmtId="2">
      <sharedItems containsString="0" containsBlank="1" containsNumber="1" minValue="2.2850000000000001" maxValue="3.88"/>
    </cacheField>
    <cacheField name="Machine harvest yield (t/ha)" numFmtId="2">
      <sharedItems containsString="0" containsBlank="1" containsNumber="1" minValue="3.2183098591549304" maxValue="5.8787878787878789"/>
    </cacheField>
    <cacheField name="Moisture (%)" numFmtId="0">
      <sharedItems containsString="0" containsBlank="1" containsNumber="1" minValue="10.1" maxValue="15.4"/>
    </cacheField>
    <cacheField name="Dry weight of 200 grains (g)" numFmtId="0">
      <sharedItems containsNonDate="0" containsString="0" containsBlank="1"/>
    </cacheField>
    <cacheField name="Moisture (%)2" numFmtId="0">
      <sharedItems containsNonDate="0" containsString="0" containsBlank="1"/>
    </cacheField>
    <cacheField name="Protein (%)" numFmtId="0">
      <sharedItems containsNonDate="0" containsString="0" containsBlank="1"/>
    </cacheField>
    <cacheField name="Test weight (kg/h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080.657636226853" createdVersion="8" refreshedVersion="8" minRefreshableVersion="3" recordCount="46" xr:uid="{948CD39C-1D47-4CA0-A2F3-96C438205C5A}">
  <cacheSource type="worksheet">
    <worksheetSource ref="A1:BQ1048576" sheet="PCDS 8.0 harvest"/>
  </cacheSource>
  <cacheFields count="69">
    <cacheField name="!Sow_time" numFmtId="0">
      <sharedItems containsBlank="1" count="3">
        <s v="Mid_April"/>
        <s v="Mid_May"/>
        <m/>
      </sharedItems>
    </cacheField>
    <cacheField name="!Line" numFmtId="0">
      <sharedItems containsBlank="1" count="7">
        <s v="UOM001_3_47"/>
        <s v="UOM001_9_1"/>
        <s v="Illabo"/>
        <s v="Big_Red"/>
        <s v="RGT_Zanzibar"/>
        <s v="Sunmaste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16"/>
    </cacheField>
    <cacheField name="Plot" numFmtId="0">
      <sharedItems containsString="0" containsBlank="1" containsNumber="1" containsInteger="1" minValue="102" maxValue="416"/>
    </cacheField>
    <cacheField name="Row serp order" numFmtId="0">
      <sharedItems containsString="0" containsBlank="1" containsNumber="1" containsInteger="1" minValue="1" maxValue="32"/>
    </cacheField>
    <cacheField name="Measurement date" numFmtId="0">
      <sharedItems containsNonDate="0" containsDate="1" containsString="0" containsBlank="1" minDate="2025-10-03T00:00:00" maxDate="2025-10-15T00:00:00"/>
    </cacheField>
    <cacheField name="NDVI of quadrat area" numFmtId="0">
      <sharedItems containsString="0" containsBlank="1" containsNumber="1" minValue="0.5" maxValue="0.74"/>
    </cacheField>
    <cacheField name="Tau [T] at ground level" numFmtId="0">
      <sharedItems containsString="0" containsBlank="1" containsNumber="1" minValue="4.2999999999999997E-2" maxValue="0.41799999999999998"/>
    </cacheField>
    <cacheField name="Tau [T] at 25% of canopy height" numFmtId="0">
      <sharedItems containsString="0" containsBlank="1" containsNumber="1" minValue="7.3999999999999996E-2" maxValue="0.41099999999999998"/>
    </cacheField>
    <cacheField name="Tau [T] at 50% of canopy height" numFmtId="0">
      <sharedItems containsString="0" containsBlank="1" containsNumber="1" minValue="0.09" maxValue="0.63400000000000001"/>
    </cacheField>
    <cacheField name="Tau [T] at 75% of canopy height" numFmtId="0">
      <sharedItems containsString="0" containsBlank="1" containsNumber="1" minValue="0.371" maxValue="0.95599999999999996"/>
    </cacheField>
    <cacheField name="PARi at ground level" numFmtId="0">
      <sharedItems containsString="0" containsBlank="1" containsNumber="1" minValue="0.58200000000000007" maxValue="0.95699999999999996"/>
    </cacheField>
    <cacheField name="PARi at 25% of canopy height" numFmtId="0">
      <sharedItems containsString="0" containsBlank="1" containsNumber="1" minValue="0.58899999999999997" maxValue="0.92600000000000005"/>
    </cacheField>
    <cacheField name="PARi at 50% of canopy height" numFmtId="0">
      <sharedItems containsString="0" containsBlank="1" containsNumber="1" minValue="0.36599999999999999" maxValue="0.91"/>
    </cacheField>
    <cacheField name="PARi at 75% of canopy height" numFmtId="0">
      <sharedItems containsString="0" containsBlank="1" containsNumber="1" minValue="4.4000000000000039E-2" maxValue="0.629"/>
    </cacheField>
    <cacheField name="SPAD of flag leaf-4 reading 1" numFmtId="0">
      <sharedItems containsString="0" containsBlank="1" containsNumber="1" minValue="0" maxValue="28.1"/>
    </cacheField>
    <cacheField name="SPAD of flag leaf-4 reading 2" numFmtId="0">
      <sharedItems containsString="0" containsBlank="1" containsNumber="1" minValue="0" maxValue="7.3"/>
    </cacheField>
    <cacheField name="SPAD of flag leaf-4 reading 3" numFmtId="0">
      <sharedItems containsString="0" containsBlank="1" containsNumber="1" minValue="0" maxValue="30.5"/>
    </cacheField>
    <cacheField name="SPAD of flag leaf-4 reading 4" numFmtId="0">
      <sharedItems containsString="0" containsBlank="1" containsNumber="1" minValue="0" maxValue="38.799999999999997"/>
    </cacheField>
    <cacheField name="SPAD of flag leaf-3 reading 1" numFmtId="0">
      <sharedItems containsString="0" containsBlank="1" containsNumber="1" minValue="0" maxValue="51.9"/>
    </cacheField>
    <cacheField name="SPAD of flag leaf-3 reading 2" numFmtId="0">
      <sharedItems containsString="0" containsBlank="1" containsNumber="1" minValue="0" maxValue="44.1"/>
    </cacheField>
    <cacheField name="SPAD of flag leaf-3 reading 3" numFmtId="0">
      <sharedItems containsString="0" containsBlank="1" containsNumber="1" minValue="0" maxValue="50.5"/>
    </cacheField>
    <cacheField name="SPAD of flag leaf-3 reading 4" numFmtId="0">
      <sharedItems containsString="0" containsBlank="1" containsNumber="1" minValue="0" maxValue="50.3"/>
    </cacheField>
    <cacheField name="SPAD of flag leaf-2 reading 1" numFmtId="0">
      <sharedItems containsString="0" containsBlank="1" containsNumber="1" minValue="5.4" maxValue="55.8"/>
    </cacheField>
    <cacheField name="SPAD of flag leaf-2 reading 2" numFmtId="0">
      <sharedItems containsString="0" containsBlank="1" containsNumber="1" minValue="8.6" maxValue="53.7"/>
    </cacheField>
    <cacheField name="SPAD of flag leaf-2 reading 3" numFmtId="0">
      <sharedItems containsString="0" containsBlank="1" containsNumber="1" minValue="0" maxValue="55.5"/>
    </cacheField>
    <cacheField name="SPAD of flag leaf-2 reading 4" numFmtId="0">
      <sharedItems containsString="0" containsBlank="1" containsNumber="1" minValue="6.4" maxValue="57.5"/>
    </cacheField>
    <cacheField name="SPAD of flag leaf-1 reading 1" numFmtId="0">
      <sharedItems containsString="0" containsBlank="1" containsNumber="1" minValue="40.200000000000003" maxValue="58.8"/>
    </cacheField>
    <cacheField name="SPAD of flag leaf-1 reading 2" numFmtId="0">
      <sharedItems containsString="0" containsBlank="1" containsNumber="1" minValue="34" maxValue="57.5"/>
    </cacheField>
    <cacheField name="SPAD of flag leaf-1 reading 3" numFmtId="0">
      <sharedItems containsString="0" containsBlank="1" containsNumber="1" minValue="41.6" maxValue="58.9"/>
    </cacheField>
    <cacheField name="SPAD of flag leaf-1 reading 4" numFmtId="0">
      <sharedItems containsString="0" containsBlank="1" containsNumber="1" minValue="43" maxValue="57.2"/>
    </cacheField>
    <cacheField name="SPAD of flag leaf reading 1" numFmtId="0">
      <sharedItems containsString="0" containsBlank="1" containsNumber="1" minValue="42.8" maxValue="57.4"/>
    </cacheField>
    <cacheField name="SPAD of flag leaf reading 2" numFmtId="0">
      <sharedItems containsString="0" containsBlank="1" containsNumber="1" minValue="43.8" maxValue="58.4"/>
    </cacheField>
    <cacheField name="SPAD of flag leaf reading 3" numFmtId="0">
      <sharedItems containsString="0" containsBlank="1" containsNumber="1" minValue="43.5" maxValue="55.4"/>
    </cacheField>
    <cacheField name="SPAD of flag leaf reading 4" numFmtId="0">
      <sharedItems containsString="0" containsBlank="1" containsNumber="1" minValue="43.1" maxValue="56.8"/>
    </cacheField>
    <cacheField name="Canopy height (cm)" numFmtId="0">
      <sharedItems containsString="0" containsBlank="1" containsNumber="1" containsInteger="1" minValue="53" maxValue="84"/>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846" maxValue="1691"/>
    </cacheField>
    <cacheField name="Fresh weight of sub sample (g)" numFmtId="0">
      <sharedItems containsString="0" containsBlank="1" containsNumber="1" minValue="70.900000000000006" maxValue="176.3"/>
    </cacheField>
    <cacheField name="Number of culms in sub-sample" numFmtId="0">
      <sharedItems containsString="0" containsBlank="1" containsNumber="1" containsInteger="1" minValue="20" maxValue="20"/>
    </cacheField>
    <cacheField name="Number of competent culms (with spike) in subsample" numFmtId="0">
      <sharedItems containsString="0" containsBlank="1" containsNumber="1" containsInteger="1" minValue="17" maxValue="20"/>
    </cacheField>
    <cacheField name="Fresh weight of subsample for moisture content (g)" numFmtId="0">
      <sharedItems containsString="0" containsBlank="1" containsNumber="1" minValue="51.2" maxValue="99.5"/>
    </cacheField>
    <cacheField name="Dry weight of subsample for moisture content (g)" numFmtId="0">
      <sharedItems containsString="0" containsBlank="1" containsNumber="1" minValue="21.2" maxValue="37.67"/>
    </cacheField>
    <cacheField name="Moisture content (%)" numFmtId="0">
      <sharedItems containsString="0" containsBlank="1" containsNumber="1" minValue="54.962852897473994" maxValue="68.985148514851474"/>
    </cacheField>
    <cacheField name="Dry weight of green leaves from 20 culms (g)" numFmtId="2">
      <sharedItems containsString="0" containsBlank="1" containsNumber="1" minValue="4.6500000000000004" maxValue="831"/>
    </cacheField>
    <cacheField name="Dry weight of dead leaves from 20 culms (g)" numFmtId="0">
      <sharedItems containsString="0" containsBlank="1" containsNumber="1" minValue="0.72" maxValue="5.17"/>
    </cacheField>
    <cacheField name="Dry weight of stems from 20 culms (g)" numFmtId="0">
      <sharedItems containsString="0" containsBlank="1" containsNumber="1" minValue="11.92" maxValue="38.79"/>
    </cacheField>
    <cacheField name="Dry weight of spikes from 20 culms (g)" numFmtId="0">
      <sharedItems containsString="0" containsBlank="1" containsNumber="1" minValue="5.52" maxValue="13.69"/>
    </cacheField>
    <cacheField name="Sum of all fraction (g)" numFmtId="0">
      <sharedItems containsString="0" containsBlank="1" containsNumber="1" minValue="27.65" maxValue="859.08"/>
    </cacheField>
    <cacheField name="Dry weight of a single culm (g)" numFmtId="0">
      <sharedItems containsString="0" containsBlank="1" containsNumber="1" minValue="1.3824999999999998" maxValue="45.214736842105268"/>
    </cacheField>
    <cacheField name="Fresh weight of a single culm (g)" numFmtId="0">
      <sharedItems containsString="0" containsBlank="1" containsNumber="1" minValue="3.6450000000000005" maxValue="8.8150000000000013"/>
    </cacheField>
    <cacheField name="Dry matter proportion of main sample (g/g)" numFmtId="0">
      <sharedItems containsString="0" containsBlank="1" containsNumber="1" minValue="0.31014851485148515" maxValue="0.45037147102526004"/>
    </cacheField>
    <cacheField name="Estimated dry weight of main sample (g)" numFmtId="0">
      <sharedItems containsString="0" containsBlank="1" containsNumber="1" minValue="303.90788643533125" maxValue="626.42307692307691"/>
    </cacheField>
    <cacheField name="Estimated dry matter at PCDS 8.0 (g/m²)" numFmtId="0">
      <sharedItems containsString="0" containsBlank="1" containsNumber="1" minValue="607.8157728706625" maxValue="1252.8461538461538"/>
    </cacheField>
    <cacheField name="Green leaf fraction (g/g)" numFmtId="0">
      <sharedItems containsString="0" containsBlank="1" containsNumber="1" minValue="0.11291234684260132" maxValue="0.96731387065232566"/>
    </cacheField>
    <cacheField name="Dead leaf fraction (g/g)" numFmtId="0">
      <sharedItems containsString="0" containsBlank="1" containsNumber="1" minValue="2.4444754854029893E-3" maxValue="0.14022240303770001"/>
    </cacheField>
    <cacheField name="Stem fraction (g/g)" numFmtId="0">
      <sharedItems containsString="0" containsBlank="1" containsNumber="1" minValue="1.9427759929226615E-2" maxValue="0.63261074458058431"/>
    </cacheField>
    <cacheField name="Spike fraction (g/g)" numFmtId="0">
      <sharedItems containsString="0" containsBlank="1" containsNumber="1" minValue="1.0813893933044652E-2" maxValue="0.26704254228600716"/>
    </cacheField>
    <cacheField name="Grean leaf dry matter (g/m²)" numFmtId="0">
      <sharedItems containsString="0" containsBlank="1" containsNumber="1" minValue="96.162069685534874" maxValue="587.9486278990554"/>
    </cacheField>
    <cacheField name="Dead leaf dry matter (g/m²)" numFmtId="0">
      <sharedItems containsString="0" containsBlank="1" containsNumber="1" minValue="1.4857907564236057" maxValue="172.36984407223747"/>
    </cacheField>
    <cacheField name="Stem dry matter (g/m²)" numFmtId="0">
      <sharedItems containsString="0" containsBlank="1" containsNumber="1" minValue="11.808498916528562" maxValue="693.07205453994436"/>
    </cacheField>
    <cacheField name="Spike dry matter (g/m²)" numFmtId="0">
      <sharedItems containsString="0" containsBlank="1" containsNumber="1" minValue="6.5728552986549031" maxValue="293.52701680534091"/>
    </cacheField>
    <cacheField name="Mean SPAD of flag leaf-4" numFmtId="0">
      <sharedItems containsString="0" containsBlank="1" containsNumber="1" minValue="0" maxValue="24.35"/>
    </cacheField>
    <cacheField name="Mean SPAD of flag leaf-3" numFmtId="0">
      <sharedItems containsString="0" containsBlank="1" containsNumber="1" minValue="0" maxValue="43.674999999999997"/>
    </cacheField>
    <cacheField name="Mean SPAD of flag leaf-2" numFmtId="0">
      <sharedItems containsString="0" containsBlank="1" containsNumber="1" minValue="18.399999999999999" maxValue="53.9"/>
    </cacheField>
    <cacheField name="Mean SPAD of flag leaf-1" numFmtId="0">
      <sharedItems containsString="0" containsBlank="1" containsNumber="1" minValue="44.174999999999997" maxValue="56.924999999999997"/>
    </cacheField>
    <cacheField name="Mean SPAD of flag leaf" numFmtId="0">
      <sharedItems containsString="0" containsBlank="1" containsNumber="1" minValue="45.05" maxValue="54.7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080.658045370372" createdVersion="8" refreshedVersion="8" minRefreshableVersion="3" recordCount="46" xr:uid="{64EED73B-783D-47A1-A80B-1254F429D0D3}">
  <cacheSource type="worksheet">
    <worksheetSource ref="B1:BS1048576" sheet="PCDS 6.0 harvest"/>
  </cacheSource>
  <cacheFields count="70">
    <cacheField name="!Sow_time" numFmtId="0">
      <sharedItems containsBlank="1" count="3">
        <s v="Mid_April"/>
        <s v="Mid_May"/>
        <m/>
      </sharedItems>
    </cacheField>
    <cacheField name="!Line" numFmtId="0">
      <sharedItems containsBlank="1" count="7">
        <s v="UOM001_3_47"/>
        <s v="UOM001_9_1"/>
        <s v="Illabo"/>
        <s v="Big_Red"/>
        <s v="RGT_Zanzibar"/>
        <s v="Sunmaster"/>
        <m/>
      </sharedItems>
    </cacheField>
    <cacheField name="!Block" numFmtId="0">
      <sharedItems containsString="0" containsBlank="1" containsNumber="1" containsInteger="1" minValue="1" maxValue="4"/>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2" maxValue="16"/>
    </cacheField>
    <cacheField name="Plot" numFmtId="0">
      <sharedItems containsString="0" containsBlank="1" containsNumber="1" containsInteger="1" minValue="102" maxValue="416"/>
    </cacheField>
    <cacheField name="Row serp order" numFmtId="0">
      <sharedItems containsString="0" containsBlank="1" containsNumber="1" containsInteger="1" minValue="1" maxValue="32"/>
    </cacheField>
    <cacheField name="Measurement date" numFmtId="0">
      <sharedItems containsNonDate="0" containsDate="1" containsString="0" containsBlank="1" minDate="2025-09-09T00:00:00" maxDate="2025-10-01T00:00:00"/>
    </cacheField>
    <cacheField name="NDVI of quadrat area" numFmtId="0">
      <sharedItems containsString="0" containsBlank="1" containsNumber="1" minValue="0.6" maxValue="0.86"/>
    </cacheField>
    <cacheField name="Tau [T] at 75% of canopy height" numFmtId="0">
      <sharedItems containsString="0" containsBlank="1" containsNumber="1" minValue="0.15" maxValue="0.75"/>
    </cacheField>
    <cacheField name="Tau [T] at 50% of canopy height" numFmtId="0">
      <sharedItems containsString="0" containsBlank="1" containsNumber="1" minValue="5.2999999999999999E-2" maxValue="0.436"/>
    </cacheField>
    <cacheField name="Tau [T] at 25% of canopy height" numFmtId="0">
      <sharedItems containsString="0" containsBlank="1" containsNumber="1" minValue="3.9E-2" maxValue="0.24"/>
    </cacheField>
    <cacheField name="Tau [T] at ground level" numFmtId="0">
      <sharedItems containsString="0" containsBlank="1" containsNumber="1" minValue="1.0999999999999999E-2" maxValue="0.20599999999999999"/>
    </cacheField>
    <cacheField name="PARi at 75% of canopy height" numFmtId="0">
      <sharedItems containsString="0" containsBlank="1" containsNumber="1" minValue="0.25" maxValue="0.85"/>
    </cacheField>
    <cacheField name="PARi at 50% of canopy height" numFmtId="0">
      <sharedItems containsString="0" containsBlank="1" containsNumber="1" minValue="0.56400000000000006" maxValue="0.94699999999999995"/>
    </cacheField>
    <cacheField name="PARi at 25% of canopy height" numFmtId="0">
      <sharedItems containsString="0" containsBlank="1" containsNumber="1" minValue="0.76" maxValue="0.96099999999999997"/>
    </cacheField>
    <cacheField name="PARi at ground level" numFmtId="0">
      <sharedItems containsString="0" containsBlank="1" containsNumber="1" minValue="0.79400000000000004" maxValue="0.98899999999999999"/>
    </cacheField>
    <cacheField name="SPAD of flag leaf-4 reading 1" numFmtId="0">
      <sharedItems containsString="0" containsBlank="1" containsNumber="1" minValue="1.3" maxValue="60.3"/>
    </cacheField>
    <cacheField name="SPAD of flag leaf-4 reading 2" numFmtId="0">
      <sharedItems containsString="0" containsBlank="1" containsNumber="1" minValue="5.5" maxValue="54.2"/>
    </cacheField>
    <cacheField name="SPAD of flag leaf-4 reading 3" numFmtId="0">
      <sharedItems containsString="0" containsBlank="1" containsNumber="1" minValue="11.3" maxValue="52"/>
    </cacheField>
    <cacheField name="SPAD of flag leaf-4 reading 4" numFmtId="0">
      <sharedItems containsString="0" containsBlank="1" containsNumber="1" minValue="14.8" maxValue="56.6"/>
    </cacheField>
    <cacheField name="SPAD of flag leaf-3 reading 1" numFmtId="0">
      <sharedItems containsString="0" containsBlank="1" containsNumber="1" minValue="39.5" maxValue="57.9"/>
    </cacheField>
    <cacheField name="SPAD of flag leaf-3 reading 2" numFmtId="0">
      <sharedItems containsString="0" containsBlank="1" containsNumber="1" minValue="36.4" maxValue="57.9"/>
    </cacheField>
    <cacheField name="SPAD of flag leaf-3 reading 3" numFmtId="0">
      <sharedItems containsString="0" containsBlank="1" containsNumber="1" minValue="40.4" maxValue="57.6"/>
    </cacheField>
    <cacheField name="SPAD of flag leaf-3 reading 4" numFmtId="0">
      <sharedItems containsBlank="1" containsMixedTypes="1" containsNumber="1" minValue="39.200000000000003" maxValue="60"/>
    </cacheField>
    <cacheField name="SPAD of flag leaf-2 reading 1" numFmtId="0">
      <sharedItems containsBlank="1" containsMixedTypes="1" containsNumber="1" minValue="33.700000000000003" maxValue="59.9"/>
    </cacheField>
    <cacheField name="SPAD of flag leaf-2 reading 2" numFmtId="0">
      <sharedItems containsBlank="1" containsMixedTypes="1" containsNumber="1" minValue="1" maxValue="604.44251631241434"/>
    </cacheField>
    <cacheField name="SPAD of flag leaf-2 reading 3" numFmtId="0">
      <sharedItems containsString="0" containsBlank="1" containsNumber="1" minValue="2" maxValue="633.07076129447364"/>
    </cacheField>
    <cacheField name="SPAD of flag leaf-2 reading 4" numFmtId="0">
      <sharedItems containsString="0" containsBlank="1" containsNumber="1" minValue="3" maxValue="543.92025436108952"/>
    </cacheField>
    <cacheField name="SPAD of flag leaf-1 reading 1" numFmtId="0">
      <sharedItems containsString="0" containsBlank="1" containsNumber="1" minValue="4" maxValue="534.79090362190107"/>
    </cacheField>
    <cacheField name="SPAD of flag leaf-1 reading 2" numFmtId="0">
      <sharedItems containsBlank="1" containsMixedTypes="1" containsNumber="1" minValue="42.1" maxValue="59.9"/>
    </cacheField>
    <cacheField name="SPAD of flag leaf-1 reading 3" numFmtId="0">
      <sharedItems containsBlank="1" containsMixedTypes="1" containsNumber="1" minValue="40.9" maxValue="573.45282206997808"/>
    </cacheField>
    <cacheField name="SPAD of flag leaf-1 reading 4" numFmtId="0">
      <sharedItems containsString="0" containsBlank="1" containsNumber="1" minValue="46.2" maxValue="62.4"/>
    </cacheField>
    <cacheField name="SPAD of flag leaf reading 1" numFmtId="0">
      <sharedItems containsString="0" containsBlank="1" containsNumber="1" minValue="45" maxValue="54.6"/>
    </cacheField>
    <cacheField name="SPAD of flag leaf reading 2" numFmtId="0">
      <sharedItems containsString="0" containsBlank="1" containsNumber="1" minValue="40.4" maxValue="57.2"/>
    </cacheField>
    <cacheField name="SPAD of flag leaf reading 3" numFmtId="0">
      <sharedItems containsString="0" containsBlank="1" containsNumber="1" minValue="38.200000000000003" maxValue="53.8"/>
    </cacheField>
    <cacheField name="SPAD of flag leaf reading 4" numFmtId="0">
      <sharedItems containsString="0" containsBlank="1" containsNumber="1" minValue="43.2" maxValue="56.8"/>
    </cacheField>
    <cacheField name="Canopy height (cm)" numFmtId="0">
      <sharedItems containsString="0" containsBlank="1" containsNumber="1" containsInteger="1" minValue="48" maxValue="75"/>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1019" maxValue="1879"/>
    </cacheField>
    <cacheField name="Fresh shoot biomass (g/m2)" numFmtId="0">
      <sharedItems containsString="0" containsBlank="1" containsNumber="1" containsInteger="1" minValue="2038" maxValue="3758"/>
    </cacheField>
    <cacheField name="Fresh weight of sub sample (g)" numFmtId="0">
      <sharedItems containsString="0" containsBlank="1" containsNumber="1" minValue="88.8" maxValue="179.7"/>
    </cacheField>
    <cacheField name="Number of culms in sub-sample" numFmtId="0">
      <sharedItems containsString="0" containsBlank="1" containsNumber="1" containsInteger="1" minValue="20" maxValue="20"/>
    </cacheField>
    <cacheField name="Number of competent culms (with spike) in subsample" numFmtId="0">
      <sharedItems containsString="0" containsBlank="1" containsNumber="1" containsInteger="1" minValue="16" maxValue="20"/>
    </cacheField>
    <cacheField name="Fresh weight of subsample for moisture content (g)" numFmtId="0">
      <sharedItems containsString="0" containsBlank="1" containsNumber="1" minValue="49.1" maxValue="139.4"/>
    </cacheField>
    <cacheField name="Dry weight of subsample for moisture content (g)" numFmtId="0">
      <sharedItems containsString="0" containsBlank="1" containsNumber="1" minValue="10.36" maxValue="32.82"/>
    </cacheField>
    <cacheField name="Shoot moisture content (%)" numFmtId="0">
      <sharedItems containsString="0" containsBlank="1" containsNumber="1" minValue="70.647482014388487" maxValue="80.518191841234838"/>
    </cacheField>
    <cacheField name="Dry weight of green leaves from 20 culms (g)" numFmtId="0">
      <sharedItems containsString="0" containsBlank="1" containsNumber="1" minValue="7.2" maxValue="13.34"/>
    </cacheField>
    <cacheField name="Dry weight of dead leaves from 20 culms (g)" numFmtId="0">
      <sharedItems containsString="0" containsBlank="1" containsNumber="1" minValue="0" maxValue="3.21"/>
    </cacheField>
    <cacheField name="Dry weight of stems from 20 culms (g)" numFmtId="0">
      <sharedItems containsString="0" containsBlank="1" containsNumber="1" minValue="12.21" maxValue="27.16"/>
    </cacheField>
    <cacheField name="Dry weight of spikes from 20 culms (g)" numFmtId="0">
      <sharedItems containsString="0" containsBlank="1" containsNumber="1" minValue="0.27" maxValue="2.82"/>
    </cacheField>
    <cacheField name="Dry weight of 20 culms (g)" numFmtId="0">
      <sharedItems containsString="0" containsBlank="1" containsNumber="1" minValue="22.07" maxValue="42.819999999999993"/>
    </cacheField>
    <cacheField name="Dry weight of a single culm (g)" numFmtId="164">
      <sharedItems containsString="0" containsBlank="1" containsNumber="1" minValue="1.2261111111111112" maxValue="2.2410526315789472"/>
    </cacheField>
    <cacheField name="Fresh weight of a single culm (g)" numFmtId="164">
      <sharedItems containsString="0" containsBlank="1" containsNumber="1" minValue="4.74" maxValue="9.4578947368421051"/>
    </cacheField>
    <cacheField name="Dry matter proportion of main sample (g/g)" numFmtId="2">
      <sharedItems containsString="0" containsBlank="1" containsNumber="1" minValue="0.1948180815876516" maxValue="0.29352517985611509"/>
    </cacheField>
    <cacheField name="Estimated dry weight of main sample (g)" numFmtId="1">
      <sharedItems containsString="0" containsBlank="1" containsNumber="1" minValue="231.15243902439022" maxValue="499.87338129496402"/>
    </cacheField>
    <cacheField name="Estimated dry matter at PCDS 6.0 (g/m²)" numFmtId="1">
      <sharedItems containsString="0" containsBlank="1" containsNumber="1" minValue="462.30487804878044" maxValue="999.74676258992804"/>
    </cacheField>
    <cacheField name="Green leaf fraction (g/g)" numFmtId="2">
      <sharedItems containsString="0" containsBlank="1" containsNumber="1" minValue="0.24278635966190618" maxValue="0.41421763304209691"/>
    </cacheField>
    <cacheField name="Dead leaf fraction (g/g)" numFmtId="2">
      <sharedItems containsString="0" containsBlank="1" containsNumber="1" minValue="0" maxValue="7.4964969640354984E-2"/>
    </cacheField>
    <cacheField name="Stem fraction (g/g)" numFmtId="2">
      <sharedItems containsString="0" containsBlank="1" containsNumber="1" minValue="0.49046862589356632" maxValue="0.66190614981055096"/>
    </cacheField>
    <cacheField name="Spike fraction (g/g)" numFmtId="2">
      <sharedItems containsString="0" containsBlank="1" containsNumber="1" minValue="1.2091356918943126E-2" maxValue="9.947089947089946E-2"/>
    </cacheField>
    <cacheField name="Grean leaf dry matter (g/m²)" numFmtId="0">
      <sharedItems containsString="0" containsBlank="1" containsNumber="1" minValue="158.67915702932819" maxValue="324.48149056791442"/>
    </cacheField>
    <cacheField name="Dead leaf dry matter (g/m²)" numFmtId="0">
      <sharedItems containsString="0" containsBlank="1" containsNumber="1" minValue="0" maxValue="62.714038096893837"/>
    </cacheField>
    <cacheField name="Stem dry matter (g/m²)" numFmtId="0">
      <sharedItems containsString="0" containsBlank="1" containsNumber="1" minValue="265.53344996163997" maxValue="603.203424262878"/>
    </cacheField>
    <cacheField name="Spike dry matter (g/m²)" numFmtId="0">
      <sharedItems containsString="0" containsBlank="1" containsNumber="1" minValue="5.5898932858562791" maxValue="68.729116562449889"/>
    </cacheField>
    <cacheField name="Mean SPAD of flag leaf-4" numFmtId="0">
      <sharedItems containsString="0" containsBlank="1" containsNumber="1" minValue="25.074999999999999" maxValue="50.899999999999991"/>
    </cacheField>
    <cacheField name="Mean SPAD of flag leaf-3" numFmtId="0">
      <sharedItems containsString="0" containsBlank="1" containsNumber="1" minValue="44.174999999999997" maxValue="57.15"/>
    </cacheField>
    <cacheField name="Mean SPAD of flag leaf-2" numFmtId="0">
      <sharedItems containsString="0" containsBlank="1" containsNumber="1" minValue="48.424999999999997" maxValue="60.6"/>
    </cacheField>
    <cacheField name="Mean SPAD of flag leaf-22" numFmtId="0">
      <sharedItems containsString="0" containsBlank="1" containsNumber="1" minValue="45.95" maxValue="56.2"/>
    </cacheField>
    <cacheField name="Mean SPAD of flag leaf" numFmtId="0">
      <sharedItems containsString="0" containsBlank="1" containsNumber="1" minValue="45.225000000000001" maxValue="52.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
    <n v="1"/>
    <n v="1"/>
    <n v="1"/>
    <x v="0"/>
    <x v="0"/>
    <n v="101"/>
    <s v="EVA_101"/>
    <d v="2024-09-24T00:00:00"/>
    <n v="0.83"/>
    <n v="3.6999999999999998E-2"/>
    <n v="7.1999999999999995E-2"/>
    <n v="0.13300000000000001"/>
    <n v="0.221"/>
    <n v="0.96299999999999997"/>
    <n v="0.92800000000000005"/>
    <n v="0.86699999999999999"/>
    <n v="0.77900000000000003"/>
    <n v="47.6"/>
    <n v="40.9"/>
    <n v="45.7"/>
    <n v="45"/>
    <n v="63.4"/>
    <n v="54.5"/>
    <n v="55.8"/>
    <n v="57.5"/>
    <n v="56.3"/>
    <n v="53.9"/>
    <n v="53.1"/>
    <n v="37.5"/>
    <n v="51.8"/>
    <n v="56.9"/>
    <n v="51.4"/>
    <n v="54.8"/>
    <n v="54.9"/>
    <n v="48.1"/>
    <n v="49"/>
    <n v="43.2"/>
    <n v="72"/>
    <n v="0.5"/>
    <n v="2192.8000000000002"/>
    <n v="4385.6000000000004"/>
    <n v="352.3"/>
    <n v="50"/>
    <n v="212.9"/>
    <n v="49.56"/>
    <n v="30"/>
    <n v="9.2799999999999994"/>
    <n v="1.52"/>
    <n v="19.68"/>
    <n v="3.3"/>
    <n v="33.779999999999994"/>
    <n v="1.6520000000000001"/>
    <n v="7.0966666666666667"/>
    <n v="0.23278534523250352"/>
    <n v="510.45170502583375"/>
    <n v="1020.9034100516675"/>
    <n v="0.27471876850207227"/>
    <n v="4.4997039668442873E-2"/>
    <n v="0.58259325044404986"/>
    <n v="9.7690941385435187E-2"/>
    <n v="280.4613275689602"/>
    <n v="45.937631239743482"/>
    <n v="594.77143605141566"/>
    <n v="99.733015191548347"/>
    <m/>
    <m/>
    <m/>
    <m/>
    <m/>
    <n v="1.6520000000000001"/>
    <n v="617.98027242837009"/>
    <n v="1.6889999999999996"/>
    <n v="604.44251631241434"/>
  </r>
  <r>
    <x v="1"/>
    <n v="1"/>
    <n v="1"/>
    <n v="2"/>
    <n v="16"/>
    <x v="0"/>
    <x v="1"/>
    <n v="201"/>
    <s v="EVA_201"/>
    <d v="2024-09-09T00:00:00"/>
    <n v="0.86"/>
    <n v="3.6999999999999998E-2"/>
    <n v="5.1999999999999998E-2"/>
    <n v="8.7999999999999995E-2"/>
    <n v="0.13500000000000001"/>
    <n v="0.96299999999999997"/>
    <n v="0.94799999999999995"/>
    <n v="0.91200000000000003"/>
    <n v="0.86499999999999999"/>
    <n v="11.1"/>
    <n v="27.7"/>
    <n v="34.299999999999997"/>
    <n v="9.6"/>
    <n v="21.7"/>
    <n v="29.2"/>
    <n v="40.799999999999997"/>
    <n v="15.7"/>
    <n v="48.5"/>
    <n v="47.3"/>
    <n v="45.5"/>
    <n v="44.9"/>
    <n v="48.6"/>
    <n v="49.6"/>
    <n v="48.3"/>
    <n v="52.2"/>
    <n v="46.4"/>
    <n v="44.4"/>
    <n v="46.7"/>
    <n v="50.7"/>
    <n v="67"/>
    <n v="0.5"/>
    <n v="1899.2"/>
    <n v="3798.4"/>
    <n v="411.6"/>
    <n v="50"/>
    <n v="247.9"/>
    <n v="51.88"/>
    <n v="30"/>
    <n v="11.49"/>
    <n v="1.35"/>
    <n v="18.329999999999998"/>
    <n v="2.13"/>
    <n v="33.299999999999997"/>
    <n v="1.7293333333333334"/>
    <n v="8.2633333333333336"/>
    <n v="0.20927793465106898"/>
    <n v="397.46065348931023"/>
    <n v="794.92130697862046"/>
    <n v="0.34504504504504507"/>
    <n v="4.054054054054055E-2"/>
    <n v="0.55045045045045049"/>
    <n v="6.3963963963963963E-2"/>
    <n v="274.28365817370423"/>
    <n v="32.226539472106239"/>
    <n v="437.56479149904249"/>
    <n v="50.846317833767614"/>
    <n v="20.674999999999997"/>
    <n v="26.849999999999998"/>
    <n v="46.550000000000004"/>
    <n v="49.674999999999997"/>
    <n v="47.05"/>
    <n v="1.7293333333333334"/>
    <n v="459.66922146026627"/>
    <n v="1.6649999999999998"/>
    <n v="477.43021440157389"/>
  </r>
  <r>
    <x v="2"/>
    <n v="1"/>
    <n v="1"/>
    <n v="3"/>
    <n v="17"/>
    <x v="0"/>
    <x v="2"/>
    <n v="301"/>
    <s v="EVA_301"/>
    <d v="2024-09-06T00:00:00"/>
    <n v="0.78"/>
    <n v="9.7000000000000003E-2"/>
    <n v="8.8999999999999996E-2"/>
    <n v="0.17"/>
    <n v="0.249"/>
    <n v="0.90300000000000002"/>
    <n v="0.91100000000000003"/>
    <n v="0.83"/>
    <n v="0.751"/>
    <n v="9.8000000000000007"/>
    <n v="16.600000000000001"/>
    <n v="2.9"/>
    <n v="49.8"/>
    <n v="50.4"/>
    <n v="51.5"/>
    <n v="27.1"/>
    <n v="53.4"/>
    <n v="52.5"/>
    <n v="50.9"/>
    <n v="50"/>
    <n v="50.7"/>
    <n v="47.7"/>
    <n v="48.1"/>
    <n v="45.8"/>
    <n v="48.9"/>
    <n v="50.9"/>
    <n v="44.6"/>
    <n v="46.7"/>
    <n v="49.9"/>
    <n v="58"/>
    <n v="0.5"/>
    <n v="1359.5"/>
    <n v="2719"/>
    <n v="318.10000000000002"/>
    <n v="50"/>
    <n v="188.7"/>
    <n v="40.5"/>
    <n v="30"/>
    <n v="10.68"/>
    <n v="0.95"/>
    <n v="14.14"/>
    <n v="2.37"/>
    <n v="28.14"/>
    <n v="1.35"/>
    <n v="6.29"/>
    <n v="0.21462639109697934"/>
    <n v="291.78457869634343"/>
    <n v="583.56915739268686"/>
    <n v="0.37953091684434964"/>
    <n v="3.375977256574271E-2"/>
    <n v="0.50248756218905477"/>
    <n v="8.4221748400852878E-2"/>
    <n v="221.48253734733103"/>
    <n v="19.701162029959221"/>
    <n v="293.23624326697205"/>
    <n v="49.149214748424583"/>
    <n v="19.774999999999999"/>
    <n v="45.6"/>
    <n v="51.025000000000006"/>
    <n v="47.625000000000007"/>
    <n v="48.024999999999999"/>
    <n v="1.35"/>
    <n v="432.27344992050877"/>
    <n v="1.407"/>
    <n v="414.76130589387833"/>
  </r>
  <r>
    <x v="3"/>
    <n v="1"/>
    <n v="1"/>
    <n v="4"/>
    <n v="32"/>
    <x v="0"/>
    <x v="3"/>
    <n v="401"/>
    <s v="EVA_401"/>
    <d v="2024-09-06T00:00:00"/>
    <n v="0.83"/>
    <n v="7.6999999999999999E-2"/>
    <n v="9.4E-2"/>
    <n v="0.115"/>
    <n v="0.183"/>
    <n v="0.92300000000000004"/>
    <n v="0.90600000000000003"/>
    <n v="0.88500000000000001"/>
    <n v="0.81699999999999995"/>
    <n v="29.7"/>
    <n v="14.8"/>
    <n v="22.7"/>
    <n v="29.4"/>
    <n v="48.4"/>
    <n v="49.4"/>
    <n v="50.8"/>
    <n v="48.1"/>
    <n v="51"/>
    <n v="50.3"/>
    <n v="45"/>
    <n v="51.9"/>
    <n v="53.6"/>
    <n v="50.1"/>
    <n v="51.3"/>
    <n v="53.1"/>
    <n v="54.8"/>
    <n v="55.6"/>
    <n v="50.9"/>
    <n v="47.8"/>
    <n v="71"/>
    <n v="0.5"/>
    <n v="1700.6"/>
    <n v="3401.2"/>
    <n v="318.39999999999998"/>
    <n v="50"/>
    <n v="179.9"/>
    <n v="34.700000000000003"/>
    <n v="30"/>
    <n v="9.89"/>
    <n v="0.8"/>
    <n v="14.25"/>
    <n v="1.87"/>
    <n v="26.810000000000002"/>
    <n v="1.1566666666666667"/>
    <n v="5.996666666666667"/>
    <n v="0.19288493607559756"/>
    <n v="328.02012229016123"/>
    <n v="656.04024458032245"/>
    <n v="0.36889220440134279"/>
    <n v="2.9839612085042894E-2"/>
    <n v="0.53151809026482655"/>
    <n v="6.9750093248787767E-2"/>
    <n v="242.00813199923124"/>
    <n v="19.575986410453485"/>
    <n v="348.69725793620273"/>
    <n v="45.758868234435027"/>
    <n v="24.15"/>
    <n v="49.174999999999997"/>
    <n v="49.550000000000004"/>
    <n v="52.024999999999999"/>
    <n v="52.275000000000006"/>
    <n v="1.1566666666666667"/>
    <n v="567.18176764869372"/>
    <n v="1.3405"/>
    <n v="489.39966026133715"/>
  </r>
  <r>
    <x v="3"/>
    <n v="2"/>
    <n v="1"/>
    <n v="5"/>
    <n v="31"/>
    <x v="1"/>
    <x v="4"/>
    <n v="402"/>
    <s v="EVA_402"/>
    <d v="2024-09-16T00:00:00"/>
    <n v="0.84"/>
    <n v="2.5999999999999999E-2"/>
    <n v="5.1999999999999998E-2"/>
    <n v="0.11"/>
    <n v="0.19400000000000001"/>
    <n v="0.97399999999999998"/>
    <n v="0.94799999999999995"/>
    <n v="0.89"/>
    <n v="0.80600000000000005"/>
    <n v="23.1"/>
    <n v="48.4"/>
    <n v="51.8"/>
    <n v="51.4"/>
    <n v="49"/>
    <n v="42.7"/>
    <n v="49.1"/>
    <n v="12.2"/>
    <n v="52.2"/>
    <n v="48.7"/>
    <n v="52.2"/>
    <n v="39.200000000000003"/>
    <n v="51.3"/>
    <n v="49.1"/>
    <n v="51.3"/>
    <n v="56.2"/>
    <n v="47.9"/>
    <n v="46.3"/>
    <n v="43.6"/>
    <n v="41.4"/>
    <n v="61"/>
    <n v="0.5"/>
    <n v="1664.5"/>
    <n v="3329"/>
    <n v="419.3"/>
    <n v="50"/>
    <n v="258.5"/>
    <n v="54.43"/>
    <n v="30"/>
    <n v="13.43"/>
    <n v="0.28999999999999998"/>
    <n v="20.11"/>
    <n v="1.08"/>
    <n v="34.909999999999997"/>
    <n v="1.8143333333333334"/>
    <n v="8.6166666666666671"/>
    <n v="0.21056092843326885"/>
    <n v="350.47866537717601"/>
    <n v="700.95733075435203"/>
    <n v="0.38470352334574626"/>
    <n v="8.3070753365797768E-3"/>
    <n v="0.57605270696075628"/>
    <n v="3.0936694356917795E-2"/>
    <n v="269.66075485622883"/>
    <n v="5.8229053543042708"/>
    <n v="403.78836784503068"/>
    <n v="21.685302698788323"/>
    <n v="43.674999999999997"/>
    <n v="38.25"/>
    <n v="48.075000000000003"/>
    <n v="51.974999999999994"/>
    <n v="44.8"/>
    <n v="1.8143333333333334"/>
    <n v="386.34429400386847"/>
    <n v="1.7454999999999998"/>
    <n v="401.57967960719111"/>
  </r>
  <r>
    <x v="2"/>
    <n v="2"/>
    <n v="1"/>
    <n v="6"/>
    <n v="18"/>
    <x v="1"/>
    <x v="3"/>
    <n v="302"/>
    <s v="EVA_302"/>
    <d v="2024-09-16T00:00:00"/>
    <n v="0.79"/>
    <n v="6.3E-2"/>
    <n v="0.17399999999999999"/>
    <n v="0.222"/>
    <n v="0.47899999999999998"/>
    <n v="0.93700000000000006"/>
    <n v="0.82600000000000007"/>
    <n v="0.77800000000000002"/>
    <n v="0.52100000000000002"/>
    <n v="44.8"/>
    <n v="38.6"/>
    <n v="27.1"/>
    <n v="36.299999999999997"/>
    <n v="46.7"/>
    <n v="48.1"/>
    <n v="46.4"/>
    <n v="44.4"/>
    <n v="49.9"/>
    <n v="48.1"/>
    <n v="50.7"/>
    <n v="43.6"/>
    <n v="50.3"/>
    <n v="48"/>
    <n v="50.7"/>
    <n v="53.2"/>
    <n v="47.3"/>
    <n v="43.3"/>
    <n v="45.6"/>
    <n v="50"/>
    <n v="58"/>
    <n v="0.5"/>
    <n v="1146.5999999999999"/>
    <n v="2293.1999999999998"/>
    <n v="284.10000000000002"/>
    <n v="50"/>
    <n v="167.8"/>
    <n v="37.79"/>
    <n v="30"/>
    <n v="9.2799999999999994"/>
    <n v="0.82"/>
    <n v="13.67"/>
    <n v="1.18"/>
    <n v="24.95"/>
    <n v="1.2596666666666667"/>
    <n v="5.5933333333333337"/>
    <n v="0.22520858164481525"/>
    <n v="258.22415971394514"/>
    <n v="516.44831942789028"/>
    <n v="0.3719438877755511"/>
    <n v="3.2865731462925853E-2"/>
    <n v="0.54789579158316637"/>
    <n v="4.7294589178356709E-2"/>
    <n v="192.0897957631592"/>
    <n v="16.973451780796395"/>
    <n v="282.95986078473993"/>
    <n v="24.425211099194808"/>
    <n v="36.700000000000003"/>
    <n v="46.400000000000006"/>
    <n v="48.074999999999996"/>
    <n v="50.55"/>
    <n v="46.55"/>
    <n v="1.2596666666666667"/>
    <n v="409.98808104886763"/>
    <n v="1.2475000000000001"/>
    <n v="413.98662879991201"/>
  </r>
  <r>
    <x v="1"/>
    <n v="2"/>
    <n v="1"/>
    <n v="7"/>
    <n v="15"/>
    <x v="1"/>
    <x v="2"/>
    <n v="202"/>
    <s v="EVA_202"/>
    <d v="2024-09-16T00:00:00"/>
    <n v="0.84"/>
    <n v="0.06"/>
    <n v="0.13100000000000001"/>
    <n v="0.21299999999999999"/>
    <n v="0.30199999999999999"/>
    <n v="0.94"/>
    <n v="0.86899999999999999"/>
    <n v="0.78700000000000003"/>
    <n v="0.69799999999999995"/>
    <n v="39"/>
    <n v="27.7"/>
    <n v="30.9"/>
    <n v="34.200000000000003"/>
    <n v="45.4"/>
    <n v="45.6"/>
    <n v="42.5"/>
    <n v="46.3"/>
    <n v="45"/>
    <n v="51.5"/>
    <n v="53.8"/>
    <n v="44.9"/>
    <n v="48.1"/>
    <n v="49.9"/>
    <n v="51.4"/>
    <n v="48.4"/>
    <n v="45.1"/>
    <n v="48.6"/>
    <n v="47.9"/>
    <n v="49.1"/>
    <n v="55"/>
    <n v="0.5"/>
    <n v="1348.2"/>
    <n v="2696.4"/>
    <n v="290.5"/>
    <n v="50"/>
    <n v="172"/>
    <n v="35.840000000000003"/>
    <n v="30"/>
    <n v="10.75"/>
    <n v="0.3"/>
    <n v="11.98"/>
    <n v="2.2000000000000002"/>
    <n v="25.23"/>
    <n v="1.1946666666666668"/>
    <n v="5.7333333333333334"/>
    <n v="0.20837209302325582"/>
    <n v="280.92725581395354"/>
    <n v="561.85451162790707"/>
    <n v="0.42608006341656757"/>
    <n v="1.1890606420927466E-2"/>
    <n v="0.47483154974237018"/>
    <n v="8.7197780420134763E-2"/>
    <n v="239.39500594530324"/>
    <n v="6.6807908635898574"/>
    <n v="266.78624848602169"/>
    <n v="48.992466332992294"/>
    <n v="32.950000000000003"/>
    <n v="44.95"/>
    <n v="48.800000000000004"/>
    <n v="49.45"/>
    <n v="47.674999999999997"/>
    <n v="1.1946666666666668"/>
    <n v="470.30232558139539"/>
    <n v="1.2615000000000001"/>
    <n v="445.38605757265719"/>
  </r>
  <r>
    <x v="0"/>
    <n v="2"/>
    <n v="1"/>
    <n v="8"/>
    <n v="2"/>
    <x v="1"/>
    <x v="5"/>
    <n v="102"/>
    <s v="EVA_102"/>
    <d v="2024-09-13T00:00:00"/>
    <n v="0.85"/>
    <n v="0.01"/>
    <n v="2.1999999999999999E-2"/>
    <n v="5.8999999999999997E-2"/>
    <n v="0.247"/>
    <n v="0.99"/>
    <n v="0.97799999999999998"/>
    <n v="0.94100000000000006"/>
    <n v="0.753"/>
    <n v="12.6"/>
    <n v="42.6"/>
    <n v="23.9"/>
    <n v="41.4"/>
    <n v="45.4"/>
    <n v="44.1"/>
    <n v="40.4"/>
    <n v="48.8"/>
    <n v="45.6"/>
    <n v="53.1"/>
    <n v="53"/>
    <n v="49.8"/>
    <n v="44.6"/>
    <n v="51.3"/>
    <n v="51.5"/>
    <n v="50.7"/>
    <n v="37.4"/>
    <n v="45.6"/>
    <n v="42.5"/>
    <n v="41.7"/>
    <n v="68"/>
    <n v="0.5"/>
    <n v="1703.5"/>
    <n v="3407"/>
    <n v="469.9"/>
    <n v="50"/>
    <n v="280.3"/>
    <n v="52.42"/>
    <n v="30"/>
    <n v="12.7"/>
    <n v="0.6"/>
    <n v="20.8"/>
    <n v="1.85"/>
    <n v="35.950000000000003"/>
    <n v="1.7473333333333334"/>
    <n v="9.3433333333333337"/>
    <n v="0.1870139136639315"/>
    <n v="318.57820192650729"/>
    <n v="637.15640385301458"/>
    <n v="0.35326842837273986"/>
    <n v="1.6689847009735741E-2"/>
    <n v="0.5785813630041724"/>
    <n v="5.1460361613351879E-2"/>
    <n v="225.08724141678118"/>
    <n v="10.634042901580214"/>
    <n v="368.64682058811411"/>
    <n v="32.788298946539001"/>
    <n v="30.125"/>
    <n v="44.674999999999997"/>
    <n v="50.375"/>
    <n v="49.525000000000006"/>
    <n v="41.8"/>
    <n v="1.7473333333333334"/>
    <n v="364.64502318943983"/>
    <n v="1.7975000000000001"/>
    <n v="354.46809671934051"/>
  </r>
  <r>
    <x v="0"/>
    <n v="3"/>
    <n v="2"/>
    <n v="9"/>
    <n v="3"/>
    <x v="0"/>
    <x v="1"/>
    <n v="103"/>
    <s v="EVA_103"/>
    <d v="2024-09-09T00:00:00"/>
    <n v="0.86"/>
    <n v="3.3000000000000002E-2"/>
    <n v="6.5000000000000002E-2"/>
    <n v="0.161"/>
    <n v="0.19"/>
    <n v="0.96699999999999997"/>
    <n v="0.93500000000000005"/>
    <n v="0.83899999999999997"/>
    <n v="0.81"/>
    <n v="36.9"/>
    <n v="48.1"/>
    <n v="10.9"/>
    <n v="14.4"/>
    <n v="46.4"/>
    <n v="52.4"/>
    <n v="39.1"/>
    <n v="44"/>
    <n v="53"/>
    <n v="53"/>
    <n v="47.5"/>
    <n v="53.1"/>
    <n v="53.7"/>
    <n v="49.6"/>
    <n v="52.4"/>
    <n v="52.9"/>
    <n v="44.4"/>
    <n v="46"/>
    <n v="47.6"/>
    <n v="48"/>
    <n v="60"/>
    <n v="0.5"/>
    <n v="1468.2"/>
    <n v="2936.4"/>
    <n v="358.6"/>
    <n v="50"/>
    <n v="226.9"/>
    <n v="43.85"/>
    <n v="30"/>
    <n v="11.1"/>
    <n v="0.68"/>
    <n v="12.9"/>
    <n v="1.08"/>
    <n v="25.759999999999998"/>
    <n v="1.4616666666666667"/>
    <n v="7.5633333333333335"/>
    <n v="0.19325694138386953"/>
    <n v="283.73984133979724"/>
    <n v="567.47968267959448"/>
    <n v="0.43090062111801242"/>
    <n v="2.6397515527950315E-2"/>
    <n v="0.50077639751552805"/>
    <n v="4.192546583850932E-2"/>
    <n v="244.52734773848985"/>
    <n v="14.980053735330912"/>
    <n v="284.18043115554229"/>
    <n v="23.791850050231446"/>
    <n v="27.575000000000003"/>
    <n v="45.475000000000001"/>
    <n v="51.65"/>
    <n v="52.150000000000006"/>
    <n v="46.5"/>
    <n v="1.4616666666666667"/>
    <n v="388.24151608638164"/>
    <n v="1.2879999999999998"/>
    <n v="440.58981574502684"/>
  </r>
  <r>
    <x v="1"/>
    <n v="3"/>
    <n v="2"/>
    <n v="10"/>
    <n v="14"/>
    <x v="0"/>
    <x v="3"/>
    <n v="203"/>
    <s v="EVA_203"/>
    <d v="2024-09-06T00:00:00"/>
    <n v="0.84"/>
    <n v="2.9000000000000001E-2"/>
    <n v="0.106"/>
    <n v="0.12"/>
    <n v="0.185"/>
    <n v="0.97099999999999997"/>
    <n v="0.89400000000000002"/>
    <n v="0.88"/>
    <n v="0.81499999999999995"/>
    <n v="4"/>
    <n v="48.1"/>
    <n v="45.8"/>
    <n v="48.5"/>
    <n v="52.7"/>
    <n v="48.5"/>
    <n v="50.3"/>
    <n v="48.7"/>
    <n v="49.7"/>
    <n v="49.6"/>
    <n v="50.1"/>
    <n v="50.9"/>
    <n v="51.4"/>
    <n v="52.2"/>
    <n v="55.4"/>
    <n v="54.8"/>
    <n v="51.6"/>
    <n v="52.3"/>
    <n v="53.7"/>
    <n v="50.1"/>
    <n v="70"/>
    <n v="0.5"/>
    <n v="1567.4"/>
    <n v="3134.8"/>
    <n v="388.6"/>
    <n v="50"/>
    <n v="231.8"/>
    <n v="48"/>
    <n v="30"/>
    <n v="10.17"/>
    <n v="1.41"/>
    <n v="17.329999999999998"/>
    <n v="1.98"/>
    <n v="30.889999999999997"/>
    <n v="1.6"/>
    <n v="7.7266666666666675"/>
    <n v="0.20707506471095771"/>
    <n v="324.56945642795512"/>
    <n v="649.13891285591023"/>
    <n v="0.32923276141146007"/>
    <n v="4.5645840077695052E-2"/>
    <n v="0.56102298478472001"/>
    <n v="6.4098413726124959E-2"/>
    <n v="213.71779681918446"/>
    <n v="29.630491004429704"/>
    <n v="364.181850430331"/>
    <n v="41.608774601965109"/>
    <n v="36.6"/>
    <n v="50.05"/>
    <n v="50.075000000000003"/>
    <n v="53.45"/>
    <n v="51.925000000000004"/>
    <n v="1.6"/>
    <n v="405.71182053494385"/>
    <n v="1.5444999999999998"/>
    <n v="420.2906525451022"/>
  </r>
  <r>
    <x v="2"/>
    <n v="3"/>
    <n v="2"/>
    <n v="11"/>
    <n v="19"/>
    <x v="0"/>
    <x v="0"/>
    <n v="303"/>
    <s v="EVA_303"/>
    <d v="2024-09-24T00:00:00"/>
    <n v="0.75"/>
    <n v="9.7000000000000003E-2"/>
    <n v="0.17899999999999999"/>
    <n v="0.27500000000000002"/>
    <n v="0.443"/>
    <n v="0.90300000000000002"/>
    <n v="0.82099999999999995"/>
    <n v="0.72499999999999998"/>
    <n v="0.55699999999999994"/>
    <n v="28.8"/>
    <n v="23.9"/>
    <n v="43.4"/>
    <n v="49.7"/>
    <n v="49.9"/>
    <n v="40.4"/>
    <n v="51.6"/>
    <n v="56"/>
    <n v="51.9"/>
    <n v="50.2"/>
    <n v="47.8"/>
    <n v="51.6"/>
    <n v="55.9"/>
    <n v="49"/>
    <n v="53.9"/>
    <n v="50.1"/>
    <n v="52.8"/>
    <n v="51.5"/>
    <n v="46.4"/>
    <n v="47.7"/>
    <n v="69"/>
    <n v="0.5"/>
    <n v="1582.4"/>
    <n v="3164.8"/>
    <n v="289.7"/>
    <n v="50"/>
    <n v="172.4"/>
    <n v="40.799999999999997"/>
    <n v="30"/>
    <n v="7.25"/>
    <n v="2.3199999999999998"/>
    <n v="16.46"/>
    <n v="1.51"/>
    <n v="27.540000000000003"/>
    <n v="1.3599999999999999"/>
    <n v="5.746666666666667"/>
    <n v="0.23665893271461713"/>
    <n v="374.4890951276102"/>
    <n v="748.9781902552204"/>
    <n v="0.26325344952795932"/>
    <n v="8.4241103848946966E-2"/>
    <n v="0.59767610748002897"/>
    <n v="5.4829339143064627E-2"/>
    <n v="197.17109220589498"/>
    <n v="63.094749505886377"/>
    <n v="447.64636933917672"/>
    <n v="41.065979204262263"/>
    <n v="36.450000000000003"/>
    <n v="49.475000000000001"/>
    <n v="50.374999999999993"/>
    <n v="52.225000000000001"/>
    <n v="49.599999999999994"/>
    <n v="1.3599999999999999"/>
    <n v="550.71925754060328"/>
    <n v="1.3770000000000002"/>
    <n v="543.92025436108952"/>
  </r>
  <r>
    <x v="3"/>
    <n v="3"/>
    <n v="2"/>
    <n v="12"/>
    <n v="30"/>
    <x v="0"/>
    <x v="2"/>
    <n v="403"/>
    <s v="EVA_403"/>
    <d v="2024-09-06T00:00:00"/>
    <n v="0.78"/>
    <n v="2.4E-2"/>
    <n v="8.7999999999999995E-2"/>
    <n v="0.11799999999999999"/>
    <n v="0.17499999999999999"/>
    <n v="0.97599999999999998"/>
    <n v="0.91200000000000003"/>
    <n v="0.88200000000000001"/>
    <n v="0.82499999999999996"/>
    <n v="2.1"/>
    <n v="47.8"/>
    <n v="43.5"/>
    <n v="7.9"/>
    <n v="50"/>
    <n v="51.5"/>
    <n v="41"/>
    <n v="47.5"/>
    <n v="54.1"/>
    <n v="50.8"/>
    <n v="51.6"/>
    <n v="43.8"/>
    <n v="56.7"/>
    <n v="51.2"/>
    <n v="55.8"/>
    <n v="53.2"/>
    <n v="54.8"/>
    <n v="49"/>
    <n v="51.9"/>
    <n v="50.4"/>
    <n v="56"/>
    <n v="0.5"/>
    <n v="1416.5"/>
    <n v="2833"/>
    <n v="314.5"/>
    <n v="50"/>
    <n v="188.7"/>
    <n v="37.700000000000003"/>
    <n v="30"/>
    <n v="10.77"/>
    <n v="0.16"/>
    <n v="11.52"/>
    <n v="1.9"/>
    <n v="24.349999999999998"/>
    <n v="1.2566666666666668"/>
    <n v="6.29"/>
    <n v="0.19978802331743512"/>
    <n v="282.99973502914685"/>
    <n v="565.9994700582937"/>
    <n v="0.44229979466119096"/>
    <n v="6.5708418891170439E-3"/>
    <n v="0.47310061601642711"/>
    <n v="7.8028747433264892E-2"/>
    <n v="250.3414493851262"/>
    <n v="3.7190930270770841"/>
    <n v="267.77469794955005"/>
    <n v="44.164229696540374"/>
    <n v="25.325000000000003"/>
    <n v="47.5"/>
    <n v="50.075000000000003"/>
    <n v="54.224999999999994"/>
    <n v="51.524999999999999"/>
    <n v="1.2566666666666668"/>
    <n v="450.39745627980926"/>
    <n v="1.2174999999999998"/>
    <n v="464.88662838463557"/>
  </r>
  <r>
    <x v="3"/>
    <n v="4"/>
    <n v="2"/>
    <n v="13"/>
    <n v="29"/>
    <x v="1"/>
    <x v="3"/>
    <n v="404"/>
    <s v="EVA_404"/>
    <d v="2024-09-16T00:00:00"/>
    <n v="0.78"/>
    <n v="0.05"/>
    <n v="7.2999999999999995E-2"/>
    <n v="0.218"/>
    <n v="0.38300000000000001"/>
    <n v="0.95"/>
    <n v="0.92700000000000005"/>
    <n v="0.78200000000000003"/>
    <n v="0.61699999999999999"/>
    <n v="28.4"/>
    <n v="38.4"/>
    <n v="1.8"/>
    <n v="41"/>
    <n v="46.1"/>
    <n v="47"/>
    <n v="47.7"/>
    <n v="45.7"/>
    <n v="48.9"/>
    <n v="47.7"/>
    <n v="48"/>
    <n v="46"/>
    <n v="50.4"/>
    <n v="52.9"/>
    <n v="50.8"/>
    <n v="49.1"/>
    <n v="49.4"/>
    <n v="50.3"/>
    <n v="48.3"/>
    <n v="46.6"/>
    <n v="54"/>
    <n v="0.5"/>
    <n v="1221.2"/>
    <n v="2442.4"/>
    <n v="261"/>
    <n v="50"/>
    <n v="158.80000000000001"/>
    <n v="36.42"/>
    <n v="30"/>
    <n v="8.93"/>
    <n v="0.79"/>
    <n v="12.62"/>
    <n v="1.55"/>
    <n v="23.889999999999997"/>
    <n v="1.214"/>
    <n v="5.2933333333333339"/>
    <n v="0.22934508816120905"/>
    <n v="280.07622166246853"/>
    <n v="560.15244332493705"/>
    <n v="0.37379656760150692"/>
    <n v="3.3068229384679786E-2"/>
    <n v="0.52825449979070749"/>
    <n v="6.4880703223105907E-2"/>
    <n v="209.38306064845912"/>
    <n v="18.52324948625786"/>
    <n v="295.90304875515727"/>
    <n v="36.343084435062892"/>
    <n v="27.4"/>
    <n v="46.625"/>
    <n v="47.65"/>
    <n v="50.8"/>
    <n v="48.65"/>
    <n v="1.214"/>
    <n v="461.41057934508819"/>
    <n v="1.1944999999999999"/>
    <n v="468.94302496855346"/>
  </r>
  <r>
    <x v="2"/>
    <n v="4"/>
    <n v="2"/>
    <n v="14"/>
    <n v="20"/>
    <x v="1"/>
    <x v="5"/>
    <n v="304"/>
    <s v="EVA_304"/>
    <d v="2024-09-13T00:00:00"/>
    <n v="0.82"/>
    <n v="1.9E-2"/>
    <n v="4.8000000000000001E-2"/>
    <n v="0.10299999999999999"/>
    <n v="0.184"/>
    <n v="0.98099999999999998"/>
    <n v="0.95199999999999996"/>
    <n v="0.89700000000000002"/>
    <n v="0.81600000000000006"/>
    <n v="1.4"/>
    <n v="29.3"/>
    <n v="12.3"/>
    <n v="13.5"/>
    <n v="47.1"/>
    <n v="44.5"/>
    <n v="51.3"/>
    <n v="40.799999999999997"/>
    <n v="46.7"/>
    <n v="46.8"/>
    <n v="53.9"/>
    <n v="45.9"/>
    <n v="47.4"/>
    <n v="55.1"/>
    <n v="45.8"/>
    <n v="49.9"/>
    <n v="49.6"/>
    <n v="46"/>
    <n v="47.3"/>
    <n v="46.6"/>
    <n v="69"/>
    <n v="0.5"/>
    <n v="1455.7"/>
    <n v="2911.4"/>
    <n v="392.1"/>
    <n v="50"/>
    <n v="232.9"/>
    <n v="48.86"/>
    <n v="30"/>
    <n v="10.66"/>
    <n v="0.3"/>
    <n v="18.8"/>
    <n v="1.62"/>
    <n v="31.380000000000003"/>
    <n v="1.6286666666666667"/>
    <n v="7.7633333333333336"/>
    <n v="0.20978960927436668"/>
    <n v="305.39073422069561"/>
    <n v="610.78146844139121"/>
    <n v="0.33970681963033778"/>
    <n v="9.5602294455066905E-3"/>
    <n v="0.59910771191841938"/>
    <n v="5.1625239005736137E-2"/>
    <n v="207.48663013337253"/>
    <n v="5.8392109793632034"/>
    <n v="365.92388804009414"/>
    <n v="31.531739288561305"/>
    <n v="14.125"/>
    <n v="45.924999999999997"/>
    <n v="48.325000000000003"/>
    <n v="49.550000000000004"/>
    <n v="47.374999999999993"/>
    <n v="1.6286666666666667"/>
    <n v="375.01932159725209"/>
    <n v="1.5690000000000002"/>
    <n v="389.28073195754695"/>
  </r>
  <r>
    <x v="1"/>
    <n v="4"/>
    <n v="2"/>
    <n v="15"/>
    <n v="13"/>
    <x v="1"/>
    <x v="4"/>
    <n v="204"/>
    <s v="EVA_204"/>
    <d v="2024-09-16T00:00:00"/>
    <n v="0.84"/>
    <n v="2.9000000000000001E-2"/>
    <n v="7.8E-2"/>
    <n v="0.09"/>
    <n v="0.17199999999999999"/>
    <n v="0.97099999999999997"/>
    <n v="0.92200000000000004"/>
    <n v="0.91"/>
    <n v="0.82800000000000007"/>
    <n v="34.4"/>
    <n v="48.1"/>
    <n v="42.2"/>
    <n v="31.2"/>
    <n v="47.3"/>
    <n v="50.2"/>
    <n v="48.5"/>
    <n v="48.2"/>
    <n v="47.4"/>
    <n v="48.4"/>
    <n v="49.4"/>
    <n v="49"/>
    <n v="44.9"/>
    <n v="46.5"/>
    <n v="45.6"/>
    <n v="48.7"/>
    <n v="37.700000000000003"/>
    <n v="43.7"/>
    <n v="42.2"/>
    <n v="40"/>
    <n v="64"/>
    <n v="0.5"/>
    <n v="1332.8"/>
    <n v="2665.6"/>
    <n v="299.5"/>
    <n v="50"/>
    <n v="181.6"/>
    <n v="45.38"/>
    <n v="30"/>
    <n v="11.45"/>
    <n v="0.32"/>
    <n v="16.100000000000001"/>
    <n v="0.59"/>
    <n v="28.46"/>
    <n v="1.5126666666666668"/>
    <n v="6.0533333333333328"/>
    <n v="0.24988986784140971"/>
    <n v="333.05321585903084"/>
    <n v="666.10643171806169"/>
    <n v="0.40231904427266335"/>
    <n v="1.1243851018973999E-2"/>
    <n v="0.56570625439212929"/>
    <n v="2.0730850316233309E-2"/>
    <n v="267.98730299268465"/>
    <n v="7.4896014810182621"/>
    <n v="376.82057451373129"/>
    <n v="13.80895273062742"/>
    <n v="38.975000000000001"/>
    <n v="48.55"/>
    <n v="48.55"/>
    <n v="46.424999999999997"/>
    <n v="40.900000000000006"/>
    <n v="1.5126666666666668"/>
    <n v="440.35242290748897"/>
    <n v="1.423"/>
    <n v="468.10009256364134"/>
  </r>
  <r>
    <x v="0"/>
    <n v="4"/>
    <n v="2"/>
    <n v="16"/>
    <n v="4"/>
    <x v="1"/>
    <x v="2"/>
    <n v="104"/>
    <s v="EVA_104"/>
    <d v="2024-09-16T00:00:00"/>
    <n v="0.8"/>
    <n v="5.5E-2"/>
    <n v="0.112"/>
    <n v="0.20599999999999999"/>
    <n v="0.38900000000000001"/>
    <n v="0.94499999999999995"/>
    <n v="0.88800000000000001"/>
    <n v="0.79400000000000004"/>
    <n v="0.61099999999999999"/>
    <n v="48.9"/>
    <n v="49.2"/>
    <n v="25.4"/>
    <n v="28.1"/>
    <n v="54.1"/>
    <n v="50.3"/>
    <n v="41"/>
    <n v="41.3"/>
    <n v="54.1"/>
    <n v="53.5"/>
    <n v="48.4"/>
    <n v="47"/>
    <n v="52.5"/>
    <n v="53.6"/>
    <n v="47"/>
    <n v="49"/>
    <n v="45.8"/>
    <n v="50"/>
    <n v="46.3"/>
    <n v="44.4"/>
    <n v="53"/>
    <n v="0.5"/>
    <n v="1257"/>
    <n v="2514"/>
    <n v="281.10000000000002"/>
    <n v="50"/>
    <n v="176.7"/>
    <n v="36.700000000000003"/>
    <n v="30"/>
    <n v="9.91"/>
    <n v="0.2"/>
    <n v="9.39"/>
    <n v="1.2"/>
    <n v="20.7"/>
    <n v="1.2233333333333334"/>
    <n v="5.89"/>
    <n v="0.20769666100735712"/>
    <n v="261.07470288624791"/>
    <n v="522.14940577249581"/>
    <n v="0.47874396135265701"/>
    <n v="9.6618357487922718E-3"/>
    <n v="0.45362318840579713"/>
    <n v="5.7971014492753624E-2"/>
    <n v="249.97587493746056"/>
    <n v="5.0449217949033418"/>
    <n v="236.85907827071188"/>
    <n v="30.269530769420047"/>
    <n v="37.9"/>
    <n v="46.674999999999997"/>
    <n v="50.75"/>
    <n v="50.524999999999999"/>
    <n v="46.625"/>
    <n v="1.2233333333333334"/>
    <n v="426.82512733446521"/>
    <n v="1.0349999999999999"/>
    <n v="504.49217949033414"/>
  </r>
  <r>
    <x v="0"/>
    <n v="5"/>
    <n v="3"/>
    <n v="17"/>
    <n v="5"/>
    <x v="0"/>
    <x v="2"/>
    <n v="105"/>
    <s v="EVA_105"/>
    <d v="2024-09-06T00:00:00"/>
    <n v="0.86"/>
    <n v="4.8000000000000001E-2"/>
    <n v="5.6000000000000001E-2"/>
    <n v="0.10100000000000001"/>
    <n v="0.26900000000000002"/>
    <n v="0.95199999999999996"/>
    <n v="0.94399999999999995"/>
    <n v="0.89900000000000002"/>
    <n v="0.73099999999999998"/>
    <n v="46.8"/>
    <n v="0.8"/>
    <n v="49.9"/>
    <n v="49.8"/>
    <n v="48.3"/>
    <n v="46.5"/>
    <n v="54.3"/>
    <n v="52.4"/>
    <n v="47.2"/>
    <n v="54.7"/>
    <n v="55.8"/>
    <n v="57.9"/>
    <n v="51.1"/>
    <n v="48.5"/>
    <n v="51.6"/>
    <n v="54.6"/>
    <n v="50.5"/>
    <n v="47.8"/>
    <n v="53.8"/>
    <n v="50.4"/>
    <n v="60"/>
    <n v="0.5"/>
    <n v="1504.4"/>
    <n v="3008.8"/>
    <n v="363.5"/>
    <n v="50"/>
    <n v="210.4"/>
    <n v="45.7"/>
    <n v="30"/>
    <n v="12"/>
    <n v="0.56000000000000005"/>
    <n v="16.989999999999998"/>
    <n v="3.73"/>
    <n v="33.279999999999994"/>
    <n v="1.5233333333333334"/>
    <n v="7.0133333333333336"/>
    <n v="0.21720532319391636"/>
    <n v="326.76368821292778"/>
    <n v="653.52737642585555"/>
    <n v="0.36057692307692313"/>
    <n v="1.6826923076923083E-2"/>
    <n v="0.51051682692307698"/>
    <n v="0.11207932692307694"/>
    <n v="235.64689053816909"/>
    <n v="10.996854891781227"/>
    <n v="333.63672252029107"/>
    <n v="73.246908475614234"/>
    <n v="36.825000000000003"/>
    <n v="50.375"/>
    <n v="53.9"/>
    <n v="51.449999999999996"/>
    <n v="50.625"/>
    <n v="1.5233333333333334"/>
    <n v="429.01140684410649"/>
    <n v="1.6639999999999997"/>
    <n v="392.74481756361519"/>
  </r>
  <r>
    <x v="1"/>
    <n v="5"/>
    <n v="3"/>
    <n v="18"/>
    <n v="12"/>
    <x v="0"/>
    <x v="0"/>
    <n v="205"/>
    <s v="EVA_205"/>
    <d v="2024-09-24T00:00:00"/>
    <n v="0.83"/>
    <n v="5.2999999999999999E-2"/>
    <n v="7.0999999999999994E-2"/>
    <n v="0.114"/>
    <n v="0.186"/>
    <n v="0.94699999999999995"/>
    <n v="0.92900000000000005"/>
    <n v="0.88600000000000001"/>
    <n v="0.81400000000000006"/>
    <n v="44.2"/>
    <n v="51.7"/>
    <n v="44.8"/>
    <n v="47"/>
    <n v="51"/>
    <n v="58.3"/>
    <n v="57.3"/>
    <n v="53.9"/>
    <n v="51.9"/>
    <n v="56.7"/>
    <n v="56.3"/>
    <n v="55.7"/>
    <n v="51.6"/>
    <n v="51.6"/>
    <n v="55.7"/>
    <n v="52.3"/>
    <n v="43"/>
    <n v="41"/>
    <n v="45.9"/>
    <n v="48.4"/>
    <n v="72"/>
    <n v="0.5"/>
    <n v="2313.6999999999998"/>
    <n v="4627.3999999999996"/>
    <n v="369.6"/>
    <n v="50"/>
    <n v="221.6"/>
    <n v="48.31"/>
    <n v="30"/>
    <n v="9.6300000000000008"/>
    <n v="2.93"/>
    <n v="17.989999999999998"/>
    <n v="1.32"/>
    <n v="31.869999999999997"/>
    <n v="1.6103333333333334"/>
    <n v="7.3866666666666667"/>
    <n v="0.21800541516245489"/>
    <n v="504.39912906137187"/>
    <n v="1008.7982581227437"/>
    <n v="0.30216504549733297"/>
    <n v="9.1935989959209305E-2"/>
    <n v="0.5644807028553499"/>
    <n v="4.1418261688107944E-2"/>
    <n v="304.82357156328914"/>
    <n v="92.744866529640404"/>
    <n v="569.44714978437912"/>
    <n v="41.782670245435263"/>
    <n v="46.924999999999997"/>
    <n v="55.125"/>
    <n v="55.149999999999991"/>
    <n v="52.8"/>
    <n v="44.575000000000003"/>
    <n v="1.6103333333333334"/>
    <n v="626.45306859205778"/>
    <n v="1.5934999999999999"/>
    <n v="633.07076129447364"/>
  </r>
  <r>
    <x v="2"/>
    <n v="5"/>
    <n v="3"/>
    <n v="19"/>
    <n v="21"/>
    <x v="0"/>
    <x v="3"/>
    <n v="305"/>
    <s v="EVA_305"/>
    <d v="2024-09-06T00:00:00"/>
    <n v="0.86"/>
    <n v="0.114"/>
    <n v="0.125"/>
    <n v="0.255"/>
    <n v="0.35299999999999998"/>
    <n v="0.88600000000000001"/>
    <n v="0.875"/>
    <n v="0.745"/>
    <n v="0.64700000000000002"/>
    <n v="43.7"/>
    <n v="9.6999999999999993"/>
    <n v="7.4"/>
    <n v="29.1"/>
    <n v="36.1"/>
    <n v="50.1"/>
    <n v="46.4"/>
    <n v="34.6"/>
    <n v="49.4"/>
    <n v="51.1"/>
    <n v="51.1"/>
    <n v="48.6"/>
    <n v="50"/>
    <n v="51.8"/>
    <n v="54.7"/>
    <n v="49.9"/>
    <n v="54.6"/>
    <n v="54.8"/>
    <n v="54.1"/>
    <n v="54"/>
    <n v="66"/>
    <n v="0.375"/>
    <n v="1309.2"/>
    <n v="3491.2000000000003"/>
    <n v="375.1"/>
    <n v="50"/>
    <n v="220.4"/>
    <n v="42.7"/>
    <n v="30"/>
    <n v="10.95"/>
    <n v="0.61"/>
    <n v="15.69"/>
    <n v="1.29"/>
    <n v="28.54"/>
    <n v="1.4233333333333333"/>
    <n v="7.3466666666666667"/>
    <n v="0.19373865698729584"/>
    <n v="253.64264972776772"/>
    <n v="676.38039927404725"/>
    <n v="0.38367203924316745"/>
    <n v="2.1373510861948143E-2"/>
    <n v="0.54975473020322352"/>
    <n v="4.5199719691660832E-2"/>
    <n v="259.50824709358153"/>
    <n v="14.456623810692671"/>
    <n v="371.84332391765247"/>
    <n v="30.57220445212057"/>
    <n v="22.475000000000001"/>
    <n v="41.8"/>
    <n v="50.05"/>
    <n v="51.6"/>
    <n v="54.375"/>
    <n v="1.4233333333333333"/>
    <n v="475.20871143375683"/>
    <n v="1.427"/>
    <n v="473.98766592434987"/>
  </r>
  <r>
    <x v="3"/>
    <n v="5"/>
    <n v="3"/>
    <n v="20"/>
    <n v="28"/>
    <x v="0"/>
    <x v="1"/>
    <n v="405"/>
    <s v="EVA_405"/>
    <d v="2024-09-09T00:00:00"/>
    <n v="0.83"/>
    <n v="4.2999999999999997E-2"/>
    <n v="8.5000000000000006E-2"/>
    <n v="0.13400000000000001"/>
    <n v="0.20699999999999999"/>
    <n v="0.95699999999999996"/>
    <n v="0.91500000000000004"/>
    <n v="0.86599999999999999"/>
    <n v="0.79300000000000004"/>
    <n v="8.1999999999999993"/>
    <n v="48.2"/>
    <n v="46.9"/>
    <n v="33.4"/>
    <n v="43.2"/>
    <n v="51.9"/>
    <n v="53.4"/>
    <n v="51.1"/>
    <n v="53.9"/>
    <n v="48.7"/>
    <n v="54.4"/>
    <n v="54.3"/>
    <n v="51.2"/>
    <n v="53"/>
    <n v="52.6"/>
    <n v="55.2"/>
    <n v="53"/>
    <n v="45.8"/>
    <n v="45.6"/>
    <n v="45.9"/>
    <n v="58"/>
    <n v="0.5"/>
    <n v="1285.5999999999999"/>
    <n v="2571.1999999999998"/>
    <n v="377.2"/>
    <n v="50"/>
    <n v="227.9"/>
    <n v="46.67"/>
    <n v="30"/>
    <n v="11.73"/>
    <n v="0.5"/>
    <n v="16.88"/>
    <n v="1.92"/>
    <n v="31.03"/>
    <n v="1.5556666666666668"/>
    <n v="7.5966666666666667"/>
    <n v="0.20478279947345326"/>
    <n v="263.2687670030715"/>
    <n v="526.53753400614301"/>
    <n v="0.37802126973896227"/>
    <n v="1.6113438607798902E-2"/>
    <n v="0.54398968739929099"/>
    <n v="6.1875604253947787E-2"/>
    <n v="199.0423871702242"/>
    <n v="8.4843302289098119"/>
    <n v="286.43098852799528"/>
    <n v="32.57982807901368"/>
    <n v="34.175000000000004"/>
    <n v="49.9"/>
    <n v="52.825000000000003"/>
    <n v="53"/>
    <n v="47.575000000000003"/>
    <n v="1.5556666666666668"/>
    <n v="338.46423870118468"/>
    <n v="1.5515000000000001"/>
    <n v="339.37320915639248"/>
  </r>
  <r>
    <x v="3"/>
    <n v="6"/>
    <n v="3"/>
    <n v="21"/>
    <n v="27"/>
    <x v="1"/>
    <x v="2"/>
    <n v="406"/>
    <s v="EVA_406"/>
    <d v="2024-09-16T00:00:00"/>
    <n v="0.81"/>
    <n v="0.115"/>
    <n v="0.14000000000000001"/>
    <n v="0.18099999999999999"/>
    <n v="0.373"/>
    <n v="0.88500000000000001"/>
    <n v="0.86"/>
    <n v="0.81899999999999995"/>
    <n v="0.627"/>
    <n v="21.4"/>
    <n v="38.799999999999997"/>
    <n v="11.5"/>
    <n v="31.7"/>
    <n v="45.1"/>
    <n v="45.6"/>
    <n v="40.5"/>
    <n v="46.1"/>
    <n v="48.2"/>
    <n v="49.4"/>
    <n v="48.5"/>
    <n v="50.6"/>
    <n v="48.9"/>
    <n v="47.6"/>
    <n v="48.9"/>
    <n v="54.1"/>
    <n v="50.9"/>
    <n v="49.6"/>
    <n v="50.1"/>
    <n v="52.1"/>
    <n v="51"/>
    <n v="0.5"/>
    <n v="1155.5"/>
    <n v="2311"/>
    <n v="256.89999999999998"/>
    <n v="50"/>
    <n v="159.30000000000001"/>
    <n v="35.090000000000003"/>
    <n v="30"/>
    <n v="8.52"/>
    <n v="0.41"/>
    <n v="10.119999999999999"/>
    <n v="2.56"/>
    <n v="21.609999999999996"/>
    <n v="1.1696666666666669"/>
    <n v="5.3100000000000005"/>
    <n v="0.22027620841180165"/>
    <n v="254.52915881983679"/>
    <n v="509.05831763967359"/>
    <n v="0.39426191577973169"/>
    <n v="1.8972697825080983E-2"/>
    <n v="0.4683017121702916"/>
    <n v="0.11846367422489591"/>
    <n v="200.70230755622489"/>
    <n v="9.6582096359216187"/>
    <n v="238.39288174518728"/>
    <n v="60.304918702339876"/>
    <n v="25.849999999999998"/>
    <n v="44.324999999999996"/>
    <n v="49.174999999999997"/>
    <n v="49.875"/>
    <n v="50.674999999999997"/>
    <n v="1.1696666666666669"/>
    <n v="435.21657250470804"/>
    <n v="1.0804999999999998"/>
    <n v="471.13217736203023"/>
  </r>
  <r>
    <x v="2"/>
    <n v="6"/>
    <n v="3"/>
    <n v="22"/>
    <n v="22"/>
    <x v="1"/>
    <x v="4"/>
    <n v="306"/>
    <s v="EVA_306"/>
    <d v="2024-09-16T00:00:00"/>
    <n v="0.85"/>
    <n v="5.8000000000000003E-2"/>
    <n v="7.5999999999999998E-2"/>
    <n v="0.122"/>
    <n v="0.254"/>
    <n v="0.94199999999999995"/>
    <n v="0.92400000000000004"/>
    <n v="0.878"/>
    <n v="0.746"/>
    <n v="49"/>
    <n v="42.9"/>
    <n v="31.5"/>
    <n v="45.1"/>
    <n v="45.8"/>
    <n v="49.8"/>
    <n v="48.8"/>
    <n v="53.9"/>
    <n v="47.9"/>
    <n v="47.1"/>
    <n v="50.5"/>
    <n v="54.4"/>
    <n v="48.1"/>
    <n v="49"/>
    <n v="48"/>
    <n v="53.8"/>
    <n v="42.2"/>
    <n v="46.2"/>
    <n v="40.299999999999997"/>
    <n v="46.1"/>
    <n v="64"/>
    <n v="0.5"/>
    <n v="1381.6"/>
    <n v="2763.2"/>
    <n v="323.10000000000002"/>
    <n v="50"/>
    <n v="200.9"/>
    <n v="48.36"/>
    <n v="30"/>
    <n v="10.74"/>
    <n v="0.94"/>
    <n v="16.59"/>
    <n v="0.75"/>
    <n v="29.02"/>
    <n v="1.6119999999999999"/>
    <n v="6.6966666666666672"/>
    <n v="0.2407167745146839"/>
    <n v="332.57429566948724"/>
    <n v="665.14859133897448"/>
    <n v="0.37008959338387321"/>
    <n v="3.2391454169538252E-2"/>
    <n v="0.57167470709855273"/>
    <n v="2.5844245348035838E-2"/>
    <n v="246.16457170849711"/>
    <n v="21.545130112289321"/>
    <n v="380.24862613072321"/>
    <n v="17.190263387464881"/>
    <n v="42.125"/>
    <n v="49.574999999999996"/>
    <n v="49.975000000000001"/>
    <n v="49.724999999999994"/>
    <n v="43.699999999999996"/>
    <n v="1.6119999999999999"/>
    <n v="412.62319561971123"/>
    <n v="1.4510000000000001"/>
    <n v="458.40702366573015"/>
  </r>
  <r>
    <x v="1"/>
    <n v="6"/>
    <n v="3"/>
    <n v="23"/>
    <n v="11"/>
    <x v="1"/>
    <x v="5"/>
    <n v="206"/>
    <s v="EVA_206"/>
    <d v="2024-09-13T00:00:00"/>
    <n v="0.85"/>
    <n v="1.0999999999999999E-2"/>
    <n v="2.5999999999999999E-2"/>
    <n v="9.8000000000000004E-2"/>
    <n v="0.186"/>
    <n v="0.98899999999999999"/>
    <n v="0.97399999999999998"/>
    <n v="0.90200000000000002"/>
    <n v="0.81400000000000006"/>
    <n v="49.9"/>
    <n v="34.1"/>
    <n v="36.299999999999997"/>
    <n v="20.9"/>
    <n v="53.1"/>
    <n v="48"/>
    <n v="53.8"/>
    <n v="46.3"/>
    <n v="54.6"/>
    <n v="49.2"/>
    <n v="49.4"/>
    <n v="48.2"/>
    <n v="51.5"/>
    <n v="52.1"/>
    <n v="52.2"/>
    <n v="47.6"/>
    <n v="44.1"/>
    <n v="43.5"/>
    <n v="45.1"/>
    <n v="43.1"/>
    <n v="69"/>
    <n v="0.5"/>
    <n v="1768.7"/>
    <n v="3537.4"/>
    <n v="422.5"/>
    <n v="50"/>
    <n v="248.9"/>
    <n v="47.45"/>
    <n v="30"/>
    <n v="11.97"/>
    <n v="1.5"/>
    <n v="18.86"/>
    <n v="1.1399999999999999"/>
    <n v="33.47"/>
    <n v="1.5816666666666668"/>
    <n v="8.2966666666666669"/>
    <n v="0.19063881076737646"/>
    <n v="337.18286460425873"/>
    <n v="674.36572920851745"/>
    <n v="0.35763370182252768"/>
    <n v="4.4816253361219006E-2"/>
    <n v="0.56348969226172696"/>
    <n v="3.4060352554526441E-2"/>
    <n v="241.17591211909038"/>
    <n v="30.222545378332125"/>
    <n v="379.99813722356259"/>
    <n v="22.969134487532415"/>
    <n v="35.299999999999997"/>
    <n v="50.3"/>
    <n v="50.350000000000009"/>
    <n v="50.85"/>
    <n v="43.949999999999996"/>
    <n v="1.5816666666666668"/>
    <n v="426.36400160707109"/>
    <n v="1.6735"/>
    <n v="402.96727171109501"/>
  </r>
  <r>
    <x v="0"/>
    <n v="6"/>
    <n v="3"/>
    <n v="24"/>
    <n v="6"/>
    <x v="1"/>
    <x v="3"/>
    <n v="106"/>
    <s v="EVA_106"/>
    <d v="2024-09-16T00:00:00"/>
    <n v="0.83"/>
    <n v="8.8999999999999996E-2"/>
    <n v="0.125"/>
    <n v="0.189"/>
    <n v="0.316"/>
    <n v="0.91100000000000003"/>
    <n v="0.875"/>
    <n v="0.81099999999999994"/>
    <n v="0.68399999999999994"/>
    <n v="36.5"/>
    <n v="23"/>
    <n v="41.1"/>
    <n v="42.7"/>
    <n v="47.8"/>
    <n v="44.2"/>
    <n v="49.4"/>
    <n v="42.9"/>
    <n v="44.1"/>
    <n v="47.3"/>
    <n v="47.7"/>
    <n v="48.1"/>
    <n v="52.6"/>
    <n v="49.3"/>
    <n v="48.1"/>
    <n v="48.3"/>
    <n v="47.6"/>
    <n v="49.2"/>
    <n v="47"/>
    <n v="47.8"/>
    <n v="62"/>
    <n v="0.5"/>
    <n v="1536.9"/>
    <n v="3073.8"/>
    <n v="330.4"/>
    <n v="50"/>
    <n v="200.8"/>
    <n v="43.65"/>
    <n v="30"/>
    <n v="9.23"/>
    <n v="0.87"/>
    <n v="15.11"/>
    <n v="1.58"/>
    <n v="26.79"/>
    <n v="1.4549999999999998"/>
    <n v="6.6933333333333334"/>
    <n v="0.21738047808764938"/>
    <n v="334.09205677290834"/>
    <n v="668.18411354581667"/>
    <n v="0.34453154162000749"/>
    <n v="3.2474804031354984E-2"/>
    <n v="0.56401642403882046"/>
    <n v="5.8977230309817101E-2"/>
    <n v="230.21050272593834"/>
    <n v="21.699148144265045"/>
    <n v="376.86681432166068"/>
    <n v="39.407648353952609"/>
    <n v="35.825000000000003"/>
    <n v="46.075000000000003"/>
    <n v="46.800000000000004"/>
    <n v="49.575000000000003"/>
    <n v="47.900000000000006"/>
    <n v="1.4549999999999998"/>
    <n v="459.23306772908364"/>
    <n v="1.3394999999999999"/>
    <n v="498.83099182218496"/>
  </r>
  <r>
    <x v="0"/>
    <n v="7"/>
    <n v="4"/>
    <n v="25"/>
    <n v="7"/>
    <x v="0"/>
    <x v="3"/>
    <n v="107"/>
    <s v="EVA_107"/>
    <d v="2024-09-06T00:00:00"/>
    <n v="0.81"/>
    <n v="2.7E-2"/>
    <n v="0.108"/>
    <n v="0.107"/>
    <n v="0.23"/>
    <n v="0.97299999999999998"/>
    <n v="0.89200000000000002"/>
    <n v="0.89300000000000002"/>
    <n v="0.77"/>
    <n v="46.4"/>
    <n v="47.8"/>
    <n v="14.8"/>
    <n v="47"/>
    <n v="48.8"/>
    <n v="52.9"/>
    <n v="49.2"/>
    <n v="53.4"/>
    <n v="49.6"/>
    <n v="53.6"/>
    <n v="47.8"/>
    <n v="50.8"/>
    <n v="51.7"/>
    <n v="57"/>
    <n v="53.9"/>
    <n v="55"/>
    <n v="48.3"/>
    <n v="52.5"/>
    <n v="54"/>
    <n v="48.6"/>
    <n v="68"/>
    <n v="0.375"/>
    <n v="1446.4"/>
    <n v="3857.0666666666671"/>
    <n v="423"/>
    <n v="50"/>
    <n v="251.9"/>
    <n v="49.7"/>
    <n v="30"/>
    <n v="13.06"/>
    <n v="0.88"/>
    <n v="18.14"/>
    <n v="1.74"/>
    <n v="33.82"/>
    <n v="1.6566666666666667"/>
    <n v="8.3966666666666665"/>
    <n v="0.19730051607780866"/>
    <n v="285.37546645494245"/>
    <n v="761.00124387984658"/>
    <n v="0.38616203429923124"/>
    <n v="2.6020106445890007E-2"/>
    <n v="0.53636901241868717"/>
    <n v="5.1448846836191602E-2"/>
    <n v="293.86978844088696"/>
    <n v="19.801333371208308"/>
    <n v="408.17748562922583"/>
    <n v="39.152636438525519"/>
    <n v="39"/>
    <n v="51.074999999999996"/>
    <n v="50.45"/>
    <n v="54.4"/>
    <n v="50.85"/>
    <n v="1.6566666666666667"/>
    <n v="459.35688765383094"/>
    <n v="1.6910000000000001"/>
    <n v="450.0303038910979"/>
  </r>
  <r>
    <x v="1"/>
    <n v="7"/>
    <n v="4"/>
    <n v="26"/>
    <n v="10"/>
    <x v="0"/>
    <x v="2"/>
    <n v="207"/>
    <s v="EVA_207"/>
    <d v="2024-09-06T00:00:00"/>
    <n v="0.77"/>
    <n v="5.3999999999999999E-2"/>
    <n v="0.106"/>
    <n v="0.13500000000000001"/>
    <n v="0.16800000000000001"/>
    <n v="0.94599999999999995"/>
    <n v="0.89400000000000002"/>
    <n v="0.86499999999999999"/>
    <n v="0.83199999999999996"/>
    <n v="45.1"/>
    <n v="43.6"/>
    <n v="31.7"/>
    <n v="49.1"/>
    <n v="53.5"/>
    <n v="53.2"/>
    <n v="46.7"/>
    <n v="54"/>
    <n v="52.6"/>
    <n v="55.2"/>
    <n v="47.8"/>
    <n v="49.6"/>
    <n v="52.8"/>
    <n v="55.5"/>
    <n v="47.7"/>
    <n v="48.7"/>
    <n v="52.1"/>
    <n v="51.4"/>
    <n v="47.1"/>
    <n v="48.3"/>
    <n v="53"/>
    <n v="0.5"/>
    <n v="1649.5"/>
    <n v="3299"/>
    <n v="363"/>
    <n v="50"/>
    <n v="198.4"/>
    <n v="43.8"/>
    <n v="30"/>
    <n v="12.45"/>
    <n v="0.76"/>
    <n v="18.97"/>
    <n v="4.22"/>
    <n v="36.4"/>
    <n v="1.46"/>
    <n v="6.6133333333333333"/>
    <n v="0.22076612903225803"/>
    <n v="364.15372983870964"/>
    <n v="728.30745967741927"/>
    <n v="0.34203296703296704"/>
    <n v="2.0879120879120881E-2"/>
    <n v="0.52115384615384619"/>
    <n v="0.11593406593406594"/>
    <n v="249.10516134571071"/>
    <n v="15.206419487770294"/>
    <n v="379.56023379342429"/>
    <n v="84.435645050513997"/>
    <n v="42.375"/>
    <n v="51.85"/>
    <n v="51.300000000000004"/>
    <n v="51.174999999999997"/>
    <n v="49.724999999999994"/>
    <n v="1.46"/>
    <n v="498.84072580645159"/>
    <n v="1.8199999999999998"/>
    <n v="400.16893388869192"/>
  </r>
  <r>
    <x v="2"/>
    <n v="7"/>
    <n v="4"/>
    <n v="27"/>
    <n v="23"/>
    <x v="0"/>
    <x v="1"/>
    <n v="307"/>
    <s v="EVA_307"/>
    <d v="2024-09-09T00:00:00"/>
    <n v="0.84"/>
    <n v="5.0999999999999997E-2"/>
    <n v="8.7999999999999995E-2"/>
    <n v="0.14199999999999999"/>
    <n v="0.184"/>
    <n v="0.94899999999999995"/>
    <n v="0.91200000000000003"/>
    <n v="0.85799999999999998"/>
    <n v="0.81600000000000006"/>
    <n v="41.8"/>
    <n v="45.4"/>
    <n v="40.9"/>
    <n v="29.2"/>
    <n v="29.7"/>
    <n v="51"/>
    <n v="48"/>
    <n v="51"/>
    <n v="50.5"/>
    <n v="51.8"/>
    <n v="51.3"/>
    <n v="56.7"/>
    <n v="54.8"/>
    <n v="52.7"/>
    <n v="51.5"/>
    <n v="53.9"/>
    <n v="42.8"/>
    <n v="49.2"/>
    <n v="47.5"/>
    <n v="50.1"/>
    <n v="55"/>
    <n v="0.5"/>
    <n v="1403.5"/>
    <n v="2807"/>
    <n v="326"/>
    <n v="50"/>
    <n v="183"/>
    <n v="37.520000000000003"/>
    <n v="30"/>
    <n v="10.9"/>
    <n v="0.35"/>
    <n v="16.21"/>
    <n v="1.84"/>
    <n v="29.3"/>
    <n v="1.2506666666666668"/>
    <n v="6.1"/>
    <n v="0.2050273224043716"/>
    <n v="287.75584699453555"/>
    <n v="575.51169398907109"/>
    <n v="0.37201365187713309"/>
    <n v="1.1945392491467576E-2"/>
    <n v="0.55324232081911262"/>
    <n v="6.2798634812286688E-2"/>
    <n v="214.09820697886943"/>
    <n v="6.8747130681288349"/>
    <n v="318.39742524105264"/>
    <n v="36.141348701020164"/>
    <n v="39.324999999999996"/>
    <n v="44.924999999999997"/>
    <n v="52.575000000000003"/>
    <n v="53.225000000000001"/>
    <n v="47.4"/>
    <n v="1.2506666666666668"/>
    <n v="460.1639344262295"/>
    <n v="1.4650000000000001"/>
    <n v="392.84074675021913"/>
  </r>
  <r>
    <x v="3"/>
    <n v="7"/>
    <n v="4"/>
    <n v="28"/>
    <n v="26"/>
    <x v="0"/>
    <x v="0"/>
    <n v="407"/>
    <s v="EVA_407"/>
    <d v="2024-09-24T00:00:00"/>
    <n v="0.82"/>
    <n v="6.6000000000000003E-2"/>
    <n v="0.108"/>
    <n v="0.189"/>
    <n v="0.26200000000000001"/>
    <n v="0.93399999999999994"/>
    <n v="0.89200000000000002"/>
    <n v="0.81099999999999994"/>
    <n v="0.73799999999999999"/>
    <n v="39.6"/>
    <n v="49.4"/>
    <n v="48.8"/>
    <n v="57.9"/>
    <n v="58.2"/>
    <n v="54.4"/>
    <n v="57.7"/>
    <n v="54.6"/>
    <n v="57.1"/>
    <n v="53.7"/>
    <n v="54.4"/>
    <n v="56.9"/>
    <n v="56.3"/>
    <n v="52"/>
    <n v="53.1"/>
    <n v="53.1"/>
    <n v="49.2"/>
    <n v="53.3"/>
    <n v="45.7"/>
    <n v="50.4"/>
    <n v="71"/>
    <n v="0.5"/>
    <n v="1805.8"/>
    <n v="3611.6"/>
    <n v="328"/>
    <n v="50"/>
    <n v="187.3"/>
    <n v="45.97"/>
    <n v="30"/>
    <n v="9.3699999999999992"/>
    <n v="1.95"/>
    <n v="20.9"/>
    <n v="2.38"/>
    <n v="34.6"/>
    <n v="1.5323333333333333"/>
    <n v="6.2433333333333341"/>
    <n v="0.24543513080619325"/>
    <n v="443.20675920982376"/>
    <n v="886.41351841964752"/>
    <n v="0.27080924855491328"/>
    <n v="5.6358381502890173E-2"/>
    <n v="0.60404624277456642"/>
    <n v="6.8786127167630051E-2"/>
    <n v="240.04897883214153"/>
    <n v="49.956831240413663"/>
    <n v="535.43475534597201"/>
    <n v="60.97295300112026"/>
    <n v="48.925000000000004"/>
    <n v="56.225000000000001"/>
    <n v="55.525000000000006"/>
    <n v="53.625"/>
    <n v="49.65"/>
    <n v="1.5323333333333333"/>
    <n v="578.47303790710089"/>
    <n v="1.73"/>
    <n v="512.37775631193495"/>
  </r>
  <r>
    <x v="3"/>
    <n v="8"/>
    <n v="4"/>
    <n v="29"/>
    <n v="25"/>
    <x v="1"/>
    <x v="5"/>
    <n v="408"/>
    <s v="EVA_408"/>
    <d v="2024-09-13T00:00:00"/>
    <n v="0.84"/>
    <n v="1.4E-2"/>
    <n v="6.3E-2"/>
    <n v="0.14000000000000001"/>
    <n v="0.28599999999999998"/>
    <n v="0.98599999999999999"/>
    <n v="0.93700000000000006"/>
    <n v="0.86"/>
    <n v="0.71399999999999997"/>
    <n v="5.4"/>
    <n v="36.1"/>
    <n v="21.3"/>
    <n v="23.7"/>
    <n v="32.299999999999997"/>
    <n v="42.6"/>
    <n v="42.7"/>
    <n v="39.200000000000003"/>
    <n v="42.8"/>
    <n v="54.5"/>
    <n v="54.3"/>
    <n v="48.4"/>
    <n v="44.9"/>
    <n v="54.8"/>
    <n v="47.3"/>
    <n v="49.6"/>
    <n v="48"/>
    <n v="44.7"/>
    <n v="46.6"/>
    <n v="47.8"/>
    <n v="68"/>
    <n v="0.5"/>
    <n v="1483.6"/>
    <n v="2967.2"/>
    <n v="318.5"/>
    <n v="50"/>
    <n v="203.5"/>
    <n v="44.49"/>
    <n v="30"/>
    <n v="8.32"/>
    <n v="0.59"/>
    <n v="13.76"/>
    <n v="1.59"/>
    <n v="24.26"/>
    <n v="1.4830000000000001"/>
    <n v="6.7833333333333332"/>
    <n v="0.21862407862407862"/>
    <n v="324.350683046683"/>
    <n v="648.701366093366"/>
    <n v="0.34295136026380874"/>
    <n v="2.4319868095630665E-2"/>
    <n v="0.56718878812860674"/>
    <n v="6.5539983511953837E-2"/>
    <n v="222.47301590671086"/>
    <n v="15.776331656846081"/>
    <n v="367.93614169186793"/>
    <n v="42.515876837941136"/>
    <n v="21.625"/>
    <n v="39.200000000000003"/>
    <n v="50"/>
    <n v="49.15"/>
    <n v="46.775000000000006"/>
    <n v="1.4830000000000001"/>
    <n v="437.42506142506136"/>
    <n v="1.2130000000000001"/>
    <n v="534.79090362190107"/>
  </r>
  <r>
    <x v="2"/>
    <n v="8"/>
    <n v="4"/>
    <n v="30"/>
    <n v="24"/>
    <x v="1"/>
    <x v="2"/>
    <n v="308"/>
    <s v="EVA_308"/>
    <d v="2024-09-16T00:00:00"/>
    <n v="0.76"/>
    <n v="8.1000000000000003E-2"/>
    <n v="9.7000000000000003E-2"/>
    <n v="0.113"/>
    <n v="0.311"/>
    <n v="0.91900000000000004"/>
    <n v="0.90300000000000002"/>
    <n v="0.88700000000000001"/>
    <n v="0.68900000000000006"/>
    <n v="37.9"/>
    <n v="32.6"/>
    <n v="1.8"/>
    <n v="0.9"/>
    <n v="48.9"/>
    <n v="49.6"/>
    <n v="42.2"/>
    <n v="46.8"/>
    <n v="47.7"/>
    <n v="49.7"/>
    <n v="47.8"/>
    <n v="50.1"/>
    <n v="48.5"/>
    <n v="46.5"/>
    <n v="48.9"/>
    <n v="50.9"/>
    <n v="46.1"/>
    <n v="46"/>
    <n v="46.1"/>
    <n v="49.9"/>
    <n v="51"/>
    <n v="0.5"/>
    <n v="1328.5"/>
    <n v="2657"/>
    <n v="278.60000000000002"/>
    <n v="50"/>
    <n v="167.7"/>
    <n v="37.619999999999997"/>
    <n v="30"/>
    <n v="9.9499999999999993"/>
    <n v="0.43"/>
    <n v="11.87"/>
    <n v="2.27"/>
    <n v="24.52"/>
    <n v="1.254"/>
    <n v="5.59"/>
    <n v="0.22432915921288013"/>
    <n v="298.02128801431127"/>
    <n v="596.04257602862253"/>
    <n v="0.4057911908646003"/>
    <n v="1.7536704730831975E-2"/>
    <n v="0.48409461663947795"/>
    <n v="9.2577487765089728E-2"/>
    <n v="241.86882673265882"/>
    <n v="10.452622662818422"/>
    <n v="288.5410023433829"/>
    <n v="55.180124289762368"/>
    <n v="18.3"/>
    <n v="46.875"/>
    <n v="48.824999999999996"/>
    <n v="48.7"/>
    <n v="47.024999999999999"/>
    <n v="1.254"/>
    <n v="475.31305903398925"/>
    <n v="1.226"/>
    <n v="486.16849594504288"/>
  </r>
  <r>
    <x v="1"/>
    <n v="8"/>
    <n v="4"/>
    <n v="31"/>
    <n v="9"/>
    <x v="1"/>
    <x v="3"/>
    <n v="208"/>
    <s v="EVA_208"/>
    <d v="2024-09-16T00:00:00"/>
    <n v="0.77"/>
    <n v="9.7000000000000003E-2"/>
    <n v="0.127"/>
    <n v="0.26700000000000002"/>
    <n v="0.41499999999999998"/>
    <n v="0.90300000000000002"/>
    <n v="0.873"/>
    <n v="0.73299999999999998"/>
    <n v="0.58499999999999996"/>
    <n v="43.2"/>
    <n v="32.4"/>
    <n v="39.4"/>
    <n v="42.5"/>
    <n v="45.8"/>
    <n v="45.7"/>
    <n v="44.5"/>
    <n v="51.9"/>
    <n v="49.9"/>
    <n v="48.3"/>
    <n v="51.4"/>
    <n v="53.2"/>
    <n v="53.5"/>
    <n v="51.5"/>
    <n v="49.3"/>
    <n v="53.4"/>
    <n v="46.9"/>
    <n v="49.2"/>
    <n v="47"/>
    <n v="49.5"/>
    <n v="58"/>
    <n v="0.5"/>
    <n v="1345.4"/>
    <n v="2690.8"/>
    <n v="303.2"/>
    <n v="50"/>
    <n v="186.7"/>
    <n v="39.159999999999997"/>
    <n v="30"/>
    <n v="9.81"/>
    <n v="0.5"/>
    <n v="12.28"/>
    <n v="0.8"/>
    <n v="23.39"/>
    <n v="3.0581039755351682"/>
    <n v="3.9918450560652392"/>
    <n v="0.20974825923942153"/>
    <n v="282.19530798071776"/>
    <n v="564.39061596143551"/>
    <n v="0.41941000427533137"/>
    <n v="2.1376656690893545E-2"/>
    <n v="0.52501068832834541"/>
    <n v="3.4202650705429674E-2"/>
    <n v="236.71107065334257"/>
    <n v="12.06478443696955"/>
    <n v="296.31110577197211"/>
    <n v="19.303655099151282"/>
    <n v="39.375"/>
    <n v="46.975000000000001"/>
    <n v="50.7"/>
    <n v="51.925000000000004"/>
    <n v="48.15"/>
    <n v="1.3053333333333332"/>
    <n v="432.37279057311201"/>
    <n v="1.1695"/>
    <n v="482.59137747878196"/>
  </r>
  <r>
    <x v="0"/>
    <n v="8"/>
    <n v="4"/>
    <n v="32"/>
    <n v="8"/>
    <x v="1"/>
    <x v="4"/>
    <n v="108"/>
    <s v="EVA_108"/>
    <d v="2024-09-16T00:00:00"/>
    <n v="0.86"/>
    <n v="0.03"/>
    <n v="7.6999999999999999E-2"/>
    <n v="0.13100000000000001"/>
    <n v="0.21299999999999999"/>
    <n v="0.97"/>
    <n v="0.92300000000000004"/>
    <n v="0.86899999999999999"/>
    <n v="0.78700000000000003"/>
    <n v="47.3"/>
    <n v="46.3"/>
    <n v="48.1"/>
    <n v="39.4"/>
    <n v="51.9"/>
    <n v="57.2"/>
    <n v="37.700000000000003"/>
    <n v="43.3"/>
    <n v="45.8"/>
    <n v="52.1"/>
    <n v="55.1"/>
    <n v="54.5"/>
    <n v="49.8"/>
    <n v="54.3"/>
    <n v="56.2"/>
    <n v="47.1"/>
    <n v="42.6"/>
    <n v="42.4"/>
    <n v="45.4"/>
    <n v="52.2"/>
    <n v="61"/>
    <n v="0.5"/>
    <n v="1417.2"/>
    <n v="2834.4"/>
    <n v="341.5"/>
    <n v="50"/>
    <n v="188.3"/>
    <n v="41.83"/>
    <n v="30"/>
    <n v="13.7"/>
    <n v="0.28999999999999998"/>
    <n v="20.6"/>
    <n v="1.1299999999999999"/>
    <n v="35.720000000000006"/>
    <n v="1.3943333333333332"/>
    <n v="6.2766666666666673"/>
    <n v="0.22214551248008496"/>
    <n v="314.82462028677639"/>
    <n v="629.64924057355279"/>
    <n v="0.38353863381858894"/>
    <n v="8.1187010078387443E-3"/>
    <n v="0.57670772676371773"/>
    <n v="3.1634938409854416E-2"/>
    <n v="241.49480951449249"/>
    <n v="5.1119339240294028"/>
    <n v="363.12358218967483"/>
    <n v="19.918914945355947"/>
    <n v="45.274999999999999"/>
    <n v="47.525000000000006"/>
    <n v="51.875"/>
    <n v="51.85"/>
    <n v="45.650000000000006"/>
    <n v="1.3943333333333332"/>
    <n v="451.57727031332979"/>
    <n v="1.7860000000000003"/>
    <n v="352.5471671744416"/>
  </r>
  <r>
    <x v="4"/>
    <m/>
    <m/>
    <m/>
    <m/>
    <x v="2"/>
    <x v="6"/>
    <m/>
    <m/>
    <m/>
    <m/>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m/>
    <m/>
    <m/>
    <m/>
  </r>
  <r>
    <x v="4"/>
    <m/>
    <m/>
    <m/>
    <m/>
    <x v="2"/>
    <x v="6"/>
    <m/>
    <m/>
    <m/>
    <m/>
    <m/>
    <m/>
    <m/>
    <m/>
    <m/>
    <m/>
    <m/>
    <m/>
    <m/>
    <m/>
    <m/>
    <m/>
    <m/>
    <m/>
    <m/>
    <s v="Average of Culm NO2/M2"/>
    <m/>
    <s v="!Range"/>
    <m/>
    <m/>
    <m/>
    <m/>
    <m/>
    <m/>
    <m/>
    <m/>
    <m/>
    <m/>
    <m/>
    <m/>
    <m/>
    <m/>
    <m/>
    <m/>
    <m/>
    <m/>
    <m/>
    <m/>
    <m/>
    <m/>
    <m/>
    <m/>
    <m/>
    <m/>
    <m/>
    <m/>
    <m/>
    <m/>
    <m/>
    <m/>
    <m/>
    <m/>
    <m/>
    <m/>
    <m/>
    <m/>
    <m/>
    <m/>
    <m/>
    <m/>
    <m/>
    <m/>
    <m/>
    <m/>
  </r>
  <r>
    <x v="4"/>
    <m/>
    <m/>
    <m/>
    <m/>
    <x v="2"/>
    <x v="6"/>
    <m/>
    <m/>
    <m/>
    <m/>
    <m/>
    <m/>
    <m/>
    <m/>
    <m/>
    <m/>
    <m/>
    <m/>
    <m/>
    <m/>
    <m/>
    <m/>
    <m/>
    <m/>
    <m/>
    <s v="!Sow_time"/>
    <s v="!Line"/>
    <n v="1"/>
    <n v="2"/>
    <n v="3"/>
    <n v="4"/>
    <s v="(blank)"/>
    <s v="Grand Total"/>
    <m/>
    <m/>
    <m/>
    <m/>
    <m/>
    <m/>
    <m/>
    <m/>
    <m/>
    <m/>
    <m/>
    <m/>
    <m/>
    <m/>
    <m/>
    <m/>
    <m/>
    <m/>
    <m/>
    <m/>
    <m/>
    <m/>
    <m/>
    <m/>
    <m/>
    <m/>
    <m/>
    <m/>
    <m/>
    <m/>
    <m/>
    <m/>
    <m/>
    <m/>
    <m/>
    <m/>
    <m/>
    <m/>
    <m/>
    <m/>
    <m/>
  </r>
  <r>
    <x v="4"/>
    <m/>
    <m/>
    <m/>
    <m/>
    <x v="2"/>
    <x v="6"/>
    <m/>
    <m/>
    <m/>
    <m/>
    <m/>
    <m/>
    <m/>
    <m/>
    <m/>
    <m/>
    <m/>
    <m/>
    <m/>
    <m/>
    <m/>
    <m/>
    <m/>
    <m/>
    <m/>
    <s v="Mid_April"/>
    <s v="Big_Red"/>
    <n v="604.44251631241434"/>
    <n v="633.07076129447364"/>
    <n v="543.92025436108952"/>
    <n v="512.37775631193495"/>
    <m/>
    <n v="573.45282206997808"/>
    <m/>
    <m/>
    <m/>
    <m/>
    <m/>
    <m/>
    <m/>
    <m/>
    <m/>
    <m/>
    <m/>
    <m/>
    <m/>
    <m/>
    <m/>
    <m/>
    <m/>
    <m/>
    <m/>
    <m/>
    <m/>
    <m/>
    <m/>
    <m/>
    <m/>
    <m/>
    <m/>
    <m/>
    <m/>
    <m/>
    <m/>
    <m/>
    <m/>
    <m/>
    <m/>
    <m/>
    <m/>
    <m/>
    <m/>
    <m/>
    <m/>
  </r>
  <r>
    <x v="4"/>
    <m/>
    <m/>
    <m/>
    <m/>
    <x v="2"/>
    <x v="6"/>
    <m/>
    <m/>
    <m/>
    <m/>
    <m/>
    <m/>
    <m/>
    <m/>
    <m/>
    <m/>
    <m/>
    <m/>
    <m/>
    <m/>
    <m/>
    <m/>
    <m/>
    <m/>
    <m/>
    <m/>
    <s v="Illabo"/>
    <n v="440.58981574502684"/>
    <n v="477.43021440157389"/>
    <n v="392.84074675021913"/>
    <n v="339.37320915639248"/>
    <m/>
    <n v="412.55849651330306"/>
    <m/>
    <m/>
    <m/>
    <m/>
    <m/>
    <m/>
    <m/>
    <m/>
    <m/>
    <m/>
    <m/>
    <m/>
    <m/>
    <m/>
    <m/>
    <m/>
    <m/>
    <m/>
    <m/>
    <m/>
    <m/>
    <m/>
    <m/>
    <m/>
    <m/>
    <m/>
    <m/>
    <m/>
    <m/>
    <m/>
    <m/>
    <m/>
    <m/>
    <m/>
    <m/>
    <m/>
    <m/>
    <m/>
    <m/>
    <m/>
    <m/>
  </r>
  <r>
    <x v="4"/>
    <m/>
    <m/>
    <m/>
    <m/>
    <x v="2"/>
    <x v="6"/>
    <m/>
    <m/>
    <m/>
    <m/>
    <m/>
    <m/>
    <m/>
    <m/>
    <m/>
    <m/>
    <m/>
    <m/>
    <m/>
    <m/>
    <m/>
    <m/>
    <m/>
    <m/>
    <m/>
    <m/>
    <s v="UOM001_3_47"/>
    <n v="392.74481756361519"/>
    <n v="400.16893388869192"/>
    <n v="414.76130589387833"/>
    <n v="464.88662838463557"/>
    <m/>
    <n v="418.14042143270524"/>
    <m/>
    <m/>
    <m/>
    <m/>
    <m/>
    <m/>
    <m/>
    <m/>
    <m/>
    <m/>
    <m/>
    <m/>
    <m/>
    <m/>
    <m/>
    <m/>
    <m/>
    <m/>
    <m/>
    <m/>
    <m/>
    <m/>
    <m/>
    <m/>
    <m/>
    <m/>
    <m/>
    <m/>
    <m/>
    <m/>
    <m/>
    <m/>
    <m/>
    <m/>
    <m/>
    <m/>
    <m/>
    <m/>
    <m/>
    <m/>
    <m/>
  </r>
  <r>
    <x v="4"/>
    <m/>
    <m/>
    <m/>
    <m/>
    <x v="2"/>
    <x v="6"/>
    <m/>
    <m/>
    <m/>
    <m/>
    <m/>
    <m/>
    <m/>
    <m/>
    <m/>
    <m/>
    <m/>
    <m/>
    <m/>
    <m/>
    <m/>
    <m/>
    <m/>
    <m/>
    <m/>
    <m/>
    <s v="UOM001_9_1"/>
    <n v="450.0303038910979"/>
    <n v="420.2906525451022"/>
    <n v="473.98766592434987"/>
    <n v="489.39966026133715"/>
    <m/>
    <n v="458.42707065547177"/>
    <m/>
    <m/>
    <m/>
    <m/>
    <m/>
    <m/>
    <m/>
    <m/>
    <m/>
    <m/>
    <m/>
    <m/>
    <m/>
    <m/>
    <m/>
    <m/>
    <m/>
    <m/>
    <m/>
    <m/>
    <m/>
    <m/>
    <m/>
    <m/>
    <m/>
    <m/>
    <m/>
    <m/>
    <m/>
    <m/>
    <m/>
    <m/>
    <m/>
    <m/>
    <m/>
    <m/>
    <m/>
    <m/>
    <m/>
    <m/>
    <m/>
  </r>
  <r>
    <x v="4"/>
    <m/>
    <m/>
    <m/>
    <m/>
    <x v="2"/>
    <x v="6"/>
    <m/>
    <m/>
    <m/>
    <m/>
    <m/>
    <m/>
    <m/>
    <m/>
    <m/>
    <m/>
    <m/>
    <m/>
    <m/>
    <m/>
    <m/>
    <m/>
    <m/>
    <m/>
    <m/>
    <s v="Mid_May"/>
    <s v="RGT_Zanzibar"/>
    <n v="352.5471671744416"/>
    <n v="468.10009256364134"/>
    <n v="458.40702366573015"/>
    <n v="401.57967960719111"/>
    <m/>
    <n v="420.15849075275105"/>
    <m/>
    <m/>
    <m/>
    <m/>
    <m/>
    <m/>
    <m/>
    <m/>
    <m/>
    <m/>
    <m/>
    <m/>
    <m/>
    <m/>
    <m/>
    <m/>
    <m/>
    <m/>
    <m/>
    <m/>
    <m/>
    <m/>
    <m/>
    <m/>
    <m/>
    <m/>
    <m/>
    <m/>
    <m/>
    <m/>
    <m/>
    <m/>
    <m/>
    <m/>
    <m/>
    <m/>
    <m/>
    <m/>
    <m/>
    <m/>
    <m/>
  </r>
  <r>
    <x v="4"/>
    <m/>
    <m/>
    <m/>
    <m/>
    <x v="2"/>
    <x v="6"/>
    <m/>
    <m/>
    <m/>
    <m/>
    <m/>
    <m/>
    <m/>
    <m/>
    <m/>
    <m/>
    <m/>
    <m/>
    <m/>
    <m/>
    <m/>
    <m/>
    <m/>
    <m/>
    <m/>
    <m/>
    <s v="Sunmaster"/>
    <n v="354.46809671934051"/>
    <n v="402.96727171109501"/>
    <n v="389.28073195754695"/>
    <n v="534.79090362190107"/>
    <m/>
    <n v="420.37675100247088"/>
    <m/>
    <m/>
    <m/>
    <m/>
    <m/>
    <m/>
    <m/>
    <m/>
    <m/>
    <m/>
    <m/>
    <m/>
    <m/>
    <m/>
    <m/>
    <m/>
    <m/>
    <m/>
    <m/>
    <m/>
    <m/>
    <m/>
    <m/>
    <m/>
    <m/>
    <m/>
    <m/>
    <m/>
    <m/>
    <m/>
    <m/>
    <m/>
    <m/>
    <m/>
    <m/>
    <m/>
    <m/>
    <m/>
    <m/>
    <m/>
    <m/>
  </r>
  <r>
    <x v="4"/>
    <m/>
    <m/>
    <m/>
    <m/>
    <x v="2"/>
    <x v="6"/>
    <m/>
    <m/>
    <m/>
    <m/>
    <m/>
    <m/>
    <m/>
    <m/>
    <m/>
    <m/>
    <m/>
    <m/>
    <m/>
    <m/>
    <m/>
    <m/>
    <m/>
    <m/>
    <m/>
    <m/>
    <s v="UOM001_3_47"/>
    <n v="504.49217949033414"/>
    <n v="445.38605757265719"/>
    <n v="486.16849594504288"/>
    <n v="471.13217736203023"/>
    <m/>
    <n v="476.7947275925161"/>
    <m/>
    <m/>
    <m/>
    <m/>
    <m/>
    <m/>
    <m/>
    <m/>
    <m/>
    <m/>
    <m/>
    <m/>
    <m/>
    <m/>
    <m/>
    <m/>
    <m/>
    <m/>
    <m/>
    <m/>
    <m/>
    <m/>
    <m/>
    <m/>
    <m/>
    <m/>
    <m/>
    <m/>
    <m/>
    <m/>
    <m/>
    <m/>
    <m/>
    <m/>
    <m/>
    <m/>
    <m/>
    <m/>
    <m/>
    <m/>
    <m/>
  </r>
  <r>
    <x v="4"/>
    <m/>
    <m/>
    <m/>
    <m/>
    <x v="2"/>
    <x v="6"/>
    <m/>
    <m/>
    <m/>
    <m/>
    <m/>
    <m/>
    <m/>
    <m/>
    <m/>
    <m/>
    <m/>
    <m/>
    <m/>
    <m/>
    <m/>
    <m/>
    <m/>
    <m/>
    <m/>
    <m/>
    <s v="UOM001_9_1"/>
    <n v="498.83099182218496"/>
    <n v="482.59137747878196"/>
    <n v="413.98662879991201"/>
    <n v="468.94302496855346"/>
    <m/>
    <n v="466.08800576735814"/>
    <m/>
    <m/>
    <m/>
    <m/>
    <m/>
    <m/>
    <m/>
    <m/>
    <m/>
    <m/>
    <m/>
    <m/>
    <m/>
    <m/>
    <m/>
    <m/>
    <m/>
    <m/>
    <m/>
    <m/>
    <m/>
    <m/>
    <m/>
    <m/>
    <m/>
    <m/>
    <m/>
    <m/>
    <m/>
    <m/>
    <m/>
    <m/>
    <m/>
    <m/>
    <m/>
    <m/>
    <m/>
    <m/>
    <m/>
    <m/>
    <m/>
  </r>
  <r>
    <x v="4"/>
    <m/>
    <m/>
    <m/>
    <m/>
    <x v="2"/>
    <x v="6"/>
    <m/>
    <m/>
    <m/>
    <m/>
    <m/>
    <m/>
    <m/>
    <m/>
    <m/>
    <m/>
    <m/>
    <m/>
    <m/>
    <m/>
    <m/>
    <m/>
    <m/>
    <m/>
    <m/>
    <s v="(blank)"/>
    <s v="(blank)"/>
    <m/>
    <m/>
    <m/>
    <m/>
    <m/>
    <m/>
    <m/>
    <m/>
    <m/>
    <m/>
    <m/>
    <m/>
    <m/>
    <m/>
    <m/>
    <m/>
    <m/>
    <m/>
    <m/>
    <m/>
    <m/>
    <m/>
    <m/>
    <m/>
    <m/>
    <m/>
    <m/>
    <m/>
    <m/>
    <m/>
    <m/>
    <m/>
    <m/>
    <m/>
    <m/>
    <m/>
    <m/>
    <m/>
    <m/>
    <m/>
    <m/>
    <m/>
    <m/>
    <m/>
    <m/>
    <m/>
    <m/>
  </r>
  <r>
    <x v="4"/>
    <m/>
    <m/>
    <m/>
    <m/>
    <x v="2"/>
    <x v="6"/>
    <m/>
    <m/>
    <m/>
    <m/>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m/>
    <m/>
    <m/>
    <m/>
  </r>
  <r>
    <x v="4"/>
    <m/>
    <m/>
    <m/>
    <m/>
    <x v="2"/>
    <x v="6"/>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n v="1"/>
    <x v="0"/>
    <n v="2"/>
    <n v="8"/>
    <n v="2"/>
    <n v="102"/>
    <s v="22/05//2025"/>
    <n v="17"/>
    <n v="25"/>
    <n v="28"/>
    <n v="13"/>
    <n v="21"/>
    <n v="28"/>
    <n v="22"/>
    <n v="0.25"/>
    <n v="88"/>
  </r>
  <r>
    <x v="0"/>
    <x v="1"/>
    <n v="1"/>
    <x v="1"/>
    <n v="2"/>
    <n v="7"/>
    <n v="31"/>
    <n v="202"/>
    <s v="22/05//2025"/>
    <n v="40"/>
    <n v="40"/>
    <n v="34"/>
    <n v="46"/>
    <n v="26"/>
    <n v="42"/>
    <n v="38"/>
    <n v="0.25"/>
    <n v="152"/>
  </r>
  <r>
    <x v="0"/>
    <x v="2"/>
    <n v="1"/>
    <x v="2"/>
    <n v="2"/>
    <n v="6"/>
    <n v="34"/>
    <n v="302"/>
    <s v="22/05//2025"/>
    <n v="23"/>
    <n v="33"/>
    <n v="22"/>
    <n v="24"/>
    <n v="30"/>
    <n v="39"/>
    <n v="28.5"/>
    <n v="0.25"/>
    <n v="114"/>
  </r>
  <r>
    <x v="0"/>
    <x v="3"/>
    <n v="1"/>
    <x v="3"/>
    <n v="2"/>
    <n v="5"/>
    <n v="63"/>
    <n v="402"/>
    <s v="22/05//2025"/>
    <n v="20"/>
    <n v="18"/>
    <n v="20"/>
    <n v="9"/>
    <n v="15"/>
    <n v="15"/>
    <n v="16.166666666666668"/>
    <n v="0.25"/>
    <n v="64.666666666666671"/>
  </r>
  <r>
    <x v="1"/>
    <x v="4"/>
    <n v="1"/>
    <x v="0"/>
    <n v="4"/>
    <n v="16"/>
    <n v="4"/>
    <n v="104"/>
    <d v="2025-06-26T00:00:00"/>
    <n v="25"/>
    <n v="38"/>
    <n v="31"/>
    <n v="27"/>
    <n v="23"/>
    <n v="24"/>
    <n v="28"/>
    <n v="0.25"/>
    <n v="112"/>
  </r>
  <r>
    <x v="1"/>
    <x v="1"/>
    <n v="1"/>
    <x v="1"/>
    <n v="4"/>
    <n v="15"/>
    <n v="29"/>
    <n v="204"/>
    <d v="2025-06-26T00:00:00"/>
    <n v="27"/>
    <n v="32"/>
    <n v="41"/>
    <n v="29"/>
    <n v="35"/>
    <n v="39"/>
    <n v="33.833333333333336"/>
    <n v="0.25"/>
    <n v="135.33333333333334"/>
  </r>
  <r>
    <x v="1"/>
    <x v="5"/>
    <n v="1"/>
    <x v="2"/>
    <n v="4"/>
    <n v="14"/>
    <n v="36"/>
    <n v="304"/>
    <d v="2025-06-26T00:00:00"/>
    <n v="30"/>
    <n v="24"/>
    <n v="43"/>
    <n v="31"/>
    <n v="39"/>
    <n v="28"/>
    <n v="32.5"/>
    <n v="0.25"/>
    <n v="130"/>
  </r>
  <r>
    <x v="1"/>
    <x v="0"/>
    <n v="1"/>
    <x v="3"/>
    <n v="4"/>
    <n v="13"/>
    <n v="61"/>
    <n v="404"/>
    <d v="2025-06-26T00:00:00"/>
    <n v="28"/>
    <n v="24"/>
    <n v="33"/>
    <n v="40"/>
    <n v="43"/>
    <n v="44"/>
    <n v="35.333333333333336"/>
    <n v="0.25"/>
    <n v="141.33333333333334"/>
  </r>
  <r>
    <x v="0"/>
    <x v="2"/>
    <n v="2"/>
    <x v="0"/>
    <n v="6"/>
    <n v="24"/>
    <n v="6"/>
    <n v="106"/>
    <s v="22/05//2025"/>
    <n v="42"/>
    <n v="21"/>
    <n v="33"/>
    <n v="29"/>
    <n v="30"/>
    <n v="34"/>
    <n v="31.5"/>
    <n v="0.25"/>
    <n v="126"/>
  </r>
  <r>
    <x v="0"/>
    <x v="3"/>
    <n v="2"/>
    <x v="1"/>
    <n v="6"/>
    <n v="23"/>
    <n v="27"/>
    <n v="206"/>
    <s v="22/05//2025"/>
    <n v="24"/>
    <n v="23"/>
    <n v="29"/>
    <n v="39"/>
    <n v="26"/>
    <n v="30"/>
    <n v="28.5"/>
    <n v="0.25"/>
    <n v="114"/>
  </r>
  <r>
    <x v="0"/>
    <x v="1"/>
    <n v="2"/>
    <x v="2"/>
    <n v="6"/>
    <n v="22"/>
    <n v="38"/>
    <n v="306"/>
    <s v="22/05//2025"/>
    <n v="19"/>
    <n v="19"/>
    <n v="26"/>
    <n v="26"/>
    <n v="41"/>
    <n v="31"/>
    <n v="27"/>
    <n v="0.25"/>
    <n v="108"/>
  </r>
  <r>
    <x v="0"/>
    <x v="0"/>
    <n v="2"/>
    <x v="3"/>
    <n v="6"/>
    <n v="21"/>
    <n v="59"/>
    <n v="406"/>
    <s v="22/05//2025"/>
    <n v="22"/>
    <n v="23"/>
    <n v="21"/>
    <n v="28"/>
    <n v="38"/>
    <n v="47"/>
    <n v="29.833333333333332"/>
    <n v="0.25"/>
    <n v="119.33333333333333"/>
  </r>
  <r>
    <x v="1"/>
    <x v="5"/>
    <n v="2"/>
    <x v="0"/>
    <n v="8"/>
    <n v="32"/>
    <n v="8"/>
    <n v="108"/>
    <d v="2025-06-26T00:00:00"/>
    <n v="35"/>
    <n v="31"/>
    <n v="31"/>
    <n v="30"/>
    <n v="23"/>
    <n v="34"/>
    <n v="30.666666666666668"/>
    <n v="0.25"/>
    <n v="122.66666666666667"/>
  </r>
  <r>
    <x v="1"/>
    <x v="0"/>
    <n v="2"/>
    <x v="1"/>
    <n v="8"/>
    <n v="31"/>
    <n v="25"/>
    <n v="208"/>
    <d v="2025-06-26T00:00:00"/>
    <n v="41"/>
    <n v="33"/>
    <n v="21"/>
    <n v="39"/>
    <n v="36"/>
    <n v="27"/>
    <n v="32.833333333333336"/>
    <n v="0.25"/>
    <n v="131.33333333333334"/>
  </r>
  <r>
    <x v="1"/>
    <x v="1"/>
    <n v="2"/>
    <x v="2"/>
    <n v="8"/>
    <n v="30"/>
    <n v="40"/>
    <n v="308"/>
    <d v="2025-06-26T00:00:00"/>
    <n v="43"/>
    <n v="31"/>
    <n v="21"/>
    <n v="29"/>
    <n v="23"/>
    <n v="24"/>
    <n v="28.5"/>
    <n v="0.25"/>
    <n v="114"/>
  </r>
  <r>
    <x v="1"/>
    <x v="4"/>
    <n v="2"/>
    <x v="3"/>
    <n v="8"/>
    <n v="29"/>
    <n v="57"/>
    <n v="408"/>
    <d v="2025-06-26T00:00:00"/>
    <n v="35"/>
    <n v="37"/>
    <n v="23"/>
    <n v="35"/>
    <n v="44"/>
    <n v="29"/>
    <n v="33.833333333333336"/>
    <n v="0.25"/>
    <n v="135.33333333333334"/>
  </r>
  <r>
    <x v="0"/>
    <x v="3"/>
    <n v="3"/>
    <x v="0"/>
    <n v="10"/>
    <n v="40"/>
    <n v="10"/>
    <n v="110"/>
    <s v="22/05//2025"/>
    <n v="37"/>
    <n v="23"/>
    <n v="22"/>
    <n v="38"/>
    <n v="33"/>
    <n v="28"/>
    <n v="30.166666666666668"/>
    <n v="0.25"/>
    <n v="120.66666666666667"/>
  </r>
  <r>
    <x v="0"/>
    <x v="2"/>
    <n v="3"/>
    <x v="1"/>
    <n v="10"/>
    <n v="39"/>
    <n v="23"/>
    <n v="210"/>
    <s v="22/05//2025"/>
    <n v="36"/>
    <n v="44"/>
    <n v="36"/>
    <n v="26"/>
    <n v="36"/>
    <n v="22"/>
    <n v="33.333333333333336"/>
    <n v="0.25"/>
    <n v="133.33333333333334"/>
  </r>
  <r>
    <x v="0"/>
    <x v="0"/>
    <n v="3"/>
    <x v="2"/>
    <n v="10"/>
    <n v="38"/>
    <n v="42"/>
    <n v="310"/>
    <s v="22/05//2025"/>
    <n v="11"/>
    <n v="18"/>
    <n v="19"/>
    <n v="13"/>
    <n v="25"/>
    <n v="30"/>
    <n v="19.333333333333332"/>
    <n v="0.25"/>
    <n v="77.333333333333329"/>
  </r>
  <r>
    <x v="0"/>
    <x v="1"/>
    <n v="3"/>
    <x v="3"/>
    <n v="10"/>
    <n v="37"/>
    <n v="55"/>
    <n v="410"/>
    <s v="22/05//2025"/>
    <n v="16"/>
    <n v="18"/>
    <n v="27"/>
    <n v="21"/>
    <n v="31"/>
    <n v="25"/>
    <n v="23"/>
    <n v="0.25"/>
    <n v="92"/>
  </r>
  <r>
    <x v="1"/>
    <x v="0"/>
    <n v="3"/>
    <x v="0"/>
    <n v="12"/>
    <n v="48"/>
    <n v="12"/>
    <n v="112"/>
    <d v="2025-06-26T00:00:00"/>
    <n v="30"/>
    <n v="29"/>
    <n v="28"/>
    <n v="39"/>
    <n v="32"/>
    <n v="25"/>
    <n v="30.5"/>
    <n v="0.25"/>
    <n v="122"/>
  </r>
  <r>
    <x v="1"/>
    <x v="5"/>
    <n v="3"/>
    <x v="1"/>
    <n v="12"/>
    <n v="47"/>
    <n v="21"/>
    <n v="212"/>
    <d v="2025-06-26T00:00:00"/>
    <n v="35"/>
    <n v="20"/>
    <n v="13"/>
    <n v="24"/>
    <n v="26"/>
    <n v="39"/>
    <n v="26.166666666666668"/>
    <n v="0.25"/>
    <n v="104.66666666666667"/>
  </r>
  <r>
    <x v="1"/>
    <x v="4"/>
    <n v="3"/>
    <x v="2"/>
    <n v="12"/>
    <n v="46"/>
    <n v="44"/>
    <n v="312"/>
    <d v="2025-06-26T00:00:00"/>
    <n v="28"/>
    <n v="44"/>
    <n v="29"/>
    <n v="24"/>
    <n v="21"/>
    <n v="27"/>
    <n v="28.833333333333332"/>
    <n v="0.25"/>
    <n v="115.33333333333333"/>
  </r>
  <r>
    <x v="1"/>
    <x v="1"/>
    <n v="3"/>
    <x v="3"/>
    <n v="12"/>
    <n v="45"/>
    <n v="53"/>
    <n v="412"/>
    <d v="2025-06-26T00:00:00"/>
    <n v="39"/>
    <n v="28"/>
    <n v="36"/>
    <n v="34"/>
    <n v="53"/>
    <n v="46"/>
    <n v="39.333333333333336"/>
    <n v="0.25"/>
    <n v="157.33333333333334"/>
  </r>
  <r>
    <x v="0"/>
    <x v="1"/>
    <n v="4"/>
    <x v="0"/>
    <n v="14"/>
    <n v="56"/>
    <n v="14"/>
    <n v="114"/>
    <s v="22/05//2025"/>
    <n v="24"/>
    <n v="40"/>
    <n v="28"/>
    <n v="31"/>
    <n v="14"/>
    <n v="32"/>
    <n v="28.166666666666668"/>
    <n v="0.25"/>
    <n v="112.66666666666667"/>
  </r>
  <r>
    <x v="0"/>
    <x v="0"/>
    <n v="4"/>
    <x v="1"/>
    <n v="14"/>
    <n v="55"/>
    <n v="19"/>
    <n v="214"/>
    <s v="22/05//2025"/>
    <n v="26"/>
    <n v="9"/>
    <n v="22"/>
    <n v="27"/>
    <n v="37"/>
    <n v="28"/>
    <n v="24.833333333333332"/>
    <n v="0.25"/>
    <n v="99.333333333333329"/>
  </r>
  <r>
    <x v="0"/>
    <x v="3"/>
    <n v="4"/>
    <x v="2"/>
    <n v="14"/>
    <n v="54"/>
    <n v="46"/>
    <n v="314"/>
    <s v="22/05//2025"/>
    <n v="28"/>
    <n v="23"/>
    <n v="23"/>
    <n v="19"/>
    <n v="21"/>
    <n v="28"/>
    <n v="23.666666666666668"/>
    <n v="0.25"/>
    <n v="94.666666666666671"/>
  </r>
  <r>
    <x v="0"/>
    <x v="2"/>
    <n v="4"/>
    <x v="3"/>
    <n v="14"/>
    <n v="53"/>
    <n v="51"/>
    <n v="414"/>
    <s v="22/05//2025"/>
    <n v="40"/>
    <n v="35"/>
    <n v="23"/>
    <n v="30"/>
    <n v="17"/>
    <n v="29"/>
    <n v="29"/>
    <n v="0.25"/>
    <n v="116"/>
  </r>
  <r>
    <x v="1"/>
    <x v="1"/>
    <n v="4"/>
    <x v="0"/>
    <n v="16"/>
    <n v="64"/>
    <n v="16"/>
    <n v="116"/>
    <d v="2025-06-26T00:00:00"/>
    <n v="33"/>
    <n v="35"/>
    <n v="25"/>
    <n v="22"/>
    <n v="30"/>
    <n v="31"/>
    <n v="29.333333333333332"/>
    <n v="0.25"/>
    <n v="117.33333333333333"/>
  </r>
  <r>
    <x v="1"/>
    <x v="4"/>
    <n v="4"/>
    <x v="1"/>
    <n v="16"/>
    <n v="58"/>
    <n v="18"/>
    <n v="216"/>
    <d v="2025-06-26T00:00:00"/>
    <n v="30"/>
    <n v="27"/>
    <n v="24"/>
    <n v="36"/>
    <n v="21"/>
    <n v="32"/>
    <n v="28.333333333333332"/>
    <n v="0.25"/>
    <n v="113.33333333333333"/>
  </r>
  <r>
    <x v="1"/>
    <x v="0"/>
    <n v="4"/>
    <x v="2"/>
    <n v="16"/>
    <n v="62"/>
    <n v="48"/>
    <n v="316"/>
    <d v="2025-06-26T00:00:00"/>
    <n v="35"/>
    <n v="26"/>
    <n v="29"/>
    <n v="21"/>
    <n v="34"/>
    <n v="41"/>
    <n v="31"/>
    <n v="0.25"/>
    <n v="124"/>
  </r>
  <r>
    <x v="1"/>
    <x v="5"/>
    <n v="4"/>
    <x v="3"/>
    <n v="16"/>
    <n v="60"/>
    <n v="50"/>
    <n v="416"/>
    <d v="2025-06-26T00:00:00"/>
    <n v="38"/>
    <n v="38"/>
    <n v="29"/>
    <n v="42"/>
    <n v="44"/>
    <n v="34"/>
    <n v="37.5"/>
    <n v="0.25"/>
    <n v="150"/>
  </r>
  <r>
    <x v="2"/>
    <x v="6"/>
    <m/>
    <x v="4"/>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x v="0"/>
    <n v="1"/>
    <x v="0"/>
    <n v="2"/>
    <n v="8"/>
    <n v="2"/>
    <n v="102"/>
    <n v="1"/>
    <x v="0"/>
    <n v="13"/>
  </r>
  <r>
    <x v="0"/>
    <x v="1"/>
    <n v="2"/>
    <x v="0"/>
    <n v="6"/>
    <n v="24"/>
    <n v="6"/>
    <n v="106"/>
    <n v="1"/>
    <x v="0"/>
    <n v="12"/>
  </r>
  <r>
    <x v="0"/>
    <x v="2"/>
    <n v="3"/>
    <x v="0"/>
    <n v="10"/>
    <n v="40"/>
    <n v="10"/>
    <n v="110"/>
    <n v="1"/>
    <x v="0"/>
    <n v="13"/>
  </r>
  <r>
    <x v="0"/>
    <x v="3"/>
    <n v="4"/>
    <x v="0"/>
    <n v="14"/>
    <n v="56"/>
    <n v="14"/>
    <n v="114"/>
    <n v="1"/>
    <x v="0"/>
    <n v="25"/>
  </r>
  <r>
    <x v="0"/>
    <x v="3"/>
    <n v="1"/>
    <x v="1"/>
    <n v="2"/>
    <n v="7"/>
    <n v="31"/>
    <n v="202"/>
    <n v="1"/>
    <x v="0"/>
    <n v="12"/>
  </r>
  <r>
    <x v="0"/>
    <x v="2"/>
    <n v="2"/>
    <x v="1"/>
    <n v="6"/>
    <n v="23"/>
    <n v="27"/>
    <n v="206"/>
    <n v="1"/>
    <x v="0"/>
    <n v="13"/>
  </r>
  <r>
    <x v="0"/>
    <x v="1"/>
    <n v="3"/>
    <x v="1"/>
    <n v="10"/>
    <n v="39"/>
    <n v="23"/>
    <n v="210"/>
    <n v="1"/>
    <x v="0"/>
    <n v="24"/>
  </r>
  <r>
    <x v="0"/>
    <x v="0"/>
    <n v="4"/>
    <x v="1"/>
    <n v="14"/>
    <n v="55"/>
    <n v="19"/>
    <n v="214"/>
    <n v="1"/>
    <x v="0"/>
    <n v="14"/>
  </r>
  <r>
    <x v="0"/>
    <x v="1"/>
    <n v="1"/>
    <x v="2"/>
    <n v="2"/>
    <n v="6"/>
    <n v="34"/>
    <n v="302"/>
    <n v="1"/>
    <x v="0"/>
    <n v="13"/>
  </r>
  <r>
    <x v="0"/>
    <x v="3"/>
    <n v="2"/>
    <x v="2"/>
    <n v="6"/>
    <n v="22"/>
    <n v="38"/>
    <n v="306"/>
    <n v="1"/>
    <x v="0"/>
    <n v="6"/>
  </r>
  <r>
    <x v="0"/>
    <x v="0"/>
    <n v="3"/>
    <x v="2"/>
    <n v="10"/>
    <n v="38"/>
    <n v="42"/>
    <n v="310"/>
    <n v="1"/>
    <x v="0"/>
    <n v="7"/>
  </r>
  <r>
    <x v="0"/>
    <x v="2"/>
    <n v="4"/>
    <x v="2"/>
    <n v="14"/>
    <n v="54"/>
    <n v="46"/>
    <n v="314"/>
    <n v="1"/>
    <x v="0"/>
    <n v="4"/>
  </r>
  <r>
    <x v="0"/>
    <x v="2"/>
    <n v="1"/>
    <x v="3"/>
    <n v="2"/>
    <n v="5"/>
    <n v="63"/>
    <n v="402"/>
    <n v="1"/>
    <x v="0"/>
    <n v="10"/>
  </r>
  <r>
    <x v="0"/>
    <x v="0"/>
    <n v="2"/>
    <x v="3"/>
    <n v="6"/>
    <n v="21"/>
    <n v="59"/>
    <n v="406"/>
    <n v="1"/>
    <x v="0"/>
    <n v="3"/>
  </r>
  <r>
    <x v="0"/>
    <x v="3"/>
    <n v="3"/>
    <x v="3"/>
    <n v="10"/>
    <n v="37"/>
    <n v="55"/>
    <n v="410"/>
    <n v="1"/>
    <x v="0"/>
    <n v="7"/>
  </r>
  <r>
    <x v="0"/>
    <x v="1"/>
    <n v="4"/>
    <x v="3"/>
    <n v="14"/>
    <n v="53"/>
    <n v="51"/>
    <n v="414"/>
    <n v="1"/>
    <x v="0"/>
    <n v="6"/>
  </r>
  <r>
    <x v="1"/>
    <x v="4"/>
    <n v="1"/>
    <x v="0"/>
    <n v="4"/>
    <n v="16"/>
    <n v="4"/>
    <n v="104"/>
    <n v="1"/>
    <x v="1"/>
    <n v="21"/>
  </r>
  <r>
    <x v="1"/>
    <x v="5"/>
    <n v="2"/>
    <x v="0"/>
    <n v="8"/>
    <n v="32"/>
    <n v="8"/>
    <n v="108"/>
    <n v="1"/>
    <x v="1"/>
    <n v="20"/>
  </r>
  <r>
    <x v="1"/>
    <x v="0"/>
    <n v="3"/>
    <x v="0"/>
    <n v="12"/>
    <n v="48"/>
    <n v="12"/>
    <n v="112"/>
    <n v="1"/>
    <x v="1"/>
    <n v="16"/>
  </r>
  <r>
    <x v="1"/>
    <x v="3"/>
    <n v="4"/>
    <x v="0"/>
    <n v="16"/>
    <n v="64"/>
    <n v="16"/>
    <n v="116"/>
    <n v="1"/>
    <x v="1"/>
    <n v="20"/>
  </r>
  <r>
    <x v="1"/>
    <x v="3"/>
    <n v="1"/>
    <x v="1"/>
    <n v="4"/>
    <n v="15"/>
    <n v="29"/>
    <n v="204"/>
    <n v="1"/>
    <x v="1"/>
    <n v="37"/>
  </r>
  <r>
    <x v="1"/>
    <x v="0"/>
    <n v="2"/>
    <x v="1"/>
    <n v="8"/>
    <n v="31"/>
    <n v="25"/>
    <n v="208"/>
    <n v="1"/>
    <x v="1"/>
    <n v="21"/>
  </r>
  <r>
    <x v="1"/>
    <x v="5"/>
    <n v="3"/>
    <x v="1"/>
    <n v="12"/>
    <n v="47"/>
    <n v="21"/>
    <n v="212"/>
    <n v="1"/>
    <x v="1"/>
    <n v="16"/>
  </r>
  <r>
    <x v="1"/>
    <x v="4"/>
    <n v="4"/>
    <x v="1"/>
    <n v="16"/>
    <n v="58"/>
    <n v="18"/>
    <n v="216"/>
    <n v="1"/>
    <x v="1"/>
    <n v="18"/>
  </r>
  <r>
    <x v="1"/>
    <x v="5"/>
    <n v="1"/>
    <x v="2"/>
    <n v="4"/>
    <n v="14"/>
    <n v="36"/>
    <n v="304"/>
    <n v="1"/>
    <x v="1"/>
    <n v="0"/>
  </r>
  <r>
    <x v="1"/>
    <x v="3"/>
    <n v="2"/>
    <x v="2"/>
    <n v="8"/>
    <n v="30"/>
    <n v="40"/>
    <n v="308"/>
    <n v="1"/>
    <x v="1"/>
    <n v="8"/>
  </r>
  <r>
    <x v="1"/>
    <x v="4"/>
    <n v="3"/>
    <x v="2"/>
    <n v="12"/>
    <n v="46"/>
    <n v="44"/>
    <n v="312"/>
    <n v="1"/>
    <x v="1"/>
    <n v="31"/>
  </r>
  <r>
    <x v="1"/>
    <x v="0"/>
    <n v="4"/>
    <x v="2"/>
    <n v="16"/>
    <n v="62"/>
    <n v="48"/>
    <n v="316"/>
    <n v="1"/>
    <x v="1"/>
    <n v="9"/>
  </r>
  <r>
    <x v="1"/>
    <x v="0"/>
    <n v="1"/>
    <x v="3"/>
    <n v="4"/>
    <n v="13"/>
    <n v="61"/>
    <n v="404"/>
    <n v="1"/>
    <x v="1"/>
    <n v="17"/>
  </r>
  <r>
    <x v="1"/>
    <x v="4"/>
    <n v="2"/>
    <x v="3"/>
    <n v="8"/>
    <n v="29"/>
    <n v="57"/>
    <n v="408"/>
    <n v="1"/>
    <x v="1"/>
    <n v="17"/>
  </r>
  <r>
    <x v="1"/>
    <x v="3"/>
    <n v="3"/>
    <x v="3"/>
    <n v="12"/>
    <n v="45"/>
    <n v="53"/>
    <n v="412"/>
    <n v="1"/>
    <x v="1"/>
    <n v="20"/>
  </r>
  <r>
    <x v="1"/>
    <x v="5"/>
    <n v="4"/>
    <x v="3"/>
    <n v="16"/>
    <n v="60"/>
    <n v="50"/>
    <n v="416"/>
    <n v="1"/>
    <x v="1"/>
    <n v="15"/>
  </r>
  <r>
    <x v="0"/>
    <x v="0"/>
    <n v="1"/>
    <x v="0"/>
    <n v="2"/>
    <n v="8"/>
    <n v="2"/>
    <n v="102"/>
    <n v="2"/>
    <x v="2"/>
    <n v="31"/>
  </r>
  <r>
    <x v="0"/>
    <x v="1"/>
    <n v="2"/>
    <x v="0"/>
    <n v="6"/>
    <n v="24"/>
    <n v="6"/>
    <n v="106"/>
    <n v="2"/>
    <x v="2"/>
    <n v="33"/>
  </r>
  <r>
    <x v="0"/>
    <x v="2"/>
    <n v="3"/>
    <x v="0"/>
    <n v="10"/>
    <n v="40"/>
    <n v="10"/>
    <n v="110"/>
    <n v="2"/>
    <x v="2"/>
    <n v="35"/>
  </r>
  <r>
    <x v="0"/>
    <x v="3"/>
    <n v="4"/>
    <x v="0"/>
    <n v="14"/>
    <n v="56"/>
    <n v="14"/>
    <n v="114"/>
    <n v="2"/>
    <x v="2"/>
    <n v="37"/>
  </r>
  <r>
    <x v="0"/>
    <x v="3"/>
    <n v="1"/>
    <x v="1"/>
    <n v="2"/>
    <n v="7"/>
    <n v="31"/>
    <n v="202"/>
    <n v="2"/>
    <x v="2"/>
    <n v="26"/>
  </r>
  <r>
    <x v="0"/>
    <x v="2"/>
    <n v="2"/>
    <x v="1"/>
    <n v="6"/>
    <n v="23"/>
    <n v="27"/>
    <n v="206"/>
    <n v="2"/>
    <x v="2"/>
    <n v="36"/>
  </r>
  <r>
    <x v="0"/>
    <x v="1"/>
    <n v="3"/>
    <x v="1"/>
    <n v="10"/>
    <n v="39"/>
    <n v="23"/>
    <n v="210"/>
    <n v="2"/>
    <x v="2"/>
    <n v="44"/>
  </r>
  <r>
    <x v="0"/>
    <x v="0"/>
    <n v="4"/>
    <x v="1"/>
    <n v="14"/>
    <n v="55"/>
    <n v="19"/>
    <n v="214"/>
    <n v="2"/>
    <x v="2"/>
    <n v="27"/>
  </r>
  <r>
    <x v="0"/>
    <x v="1"/>
    <n v="1"/>
    <x v="2"/>
    <n v="2"/>
    <n v="6"/>
    <n v="34"/>
    <n v="302"/>
    <n v="2"/>
    <x v="2"/>
    <n v="27"/>
  </r>
  <r>
    <x v="0"/>
    <x v="3"/>
    <n v="2"/>
    <x v="2"/>
    <n v="6"/>
    <n v="22"/>
    <n v="38"/>
    <n v="306"/>
    <n v="2"/>
    <x v="2"/>
    <n v="14"/>
  </r>
  <r>
    <x v="0"/>
    <x v="0"/>
    <n v="3"/>
    <x v="2"/>
    <n v="10"/>
    <n v="38"/>
    <n v="42"/>
    <n v="310"/>
    <n v="2"/>
    <x v="2"/>
    <n v="20"/>
  </r>
  <r>
    <x v="0"/>
    <x v="2"/>
    <n v="4"/>
    <x v="2"/>
    <n v="14"/>
    <n v="54"/>
    <n v="46"/>
    <n v="314"/>
    <n v="2"/>
    <x v="2"/>
    <n v="19"/>
  </r>
  <r>
    <x v="0"/>
    <x v="2"/>
    <n v="1"/>
    <x v="3"/>
    <n v="2"/>
    <n v="5"/>
    <n v="63"/>
    <n v="402"/>
    <n v="2"/>
    <x v="2"/>
    <n v="21"/>
  </r>
  <r>
    <x v="0"/>
    <x v="0"/>
    <n v="2"/>
    <x v="3"/>
    <n v="6"/>
    <n v="21"/>
    <n v="59"/>
    <n v="406"/>
    <n v="2"/>
    <x v="2"/>
    <n v="11"/>
  </r>
  <r>
    <x v="0"/>
    <x v="3"/>
    <n v="3"/>
    <x v="3"/>
    <n v="10"/>
    <n v="37"/>
    <n v="55"/>
    <n v="410"/>
    <n v="2"/>
    <x v="2"/>
    <n v="13"/>
  </r>
  <r>
    <x v="0"/>
    <x v="1"/>
    <n v="4"/>
    <x v="3"/>
    <n v="14"/>
    <n v="53"/>
    <n v="51"/>
    <n v="414"/>
    <n v="2"/>
    <x v="2"/>
    <n v="26"/>
  </r>
  <r>
    <x v="1"/>
    <x v="4"/>
    <n v="1"/>
    <x v="0"/>
    <n v="4"/>
    <n v="16"/>
    <n v="4"/>
    <n v="104"/>
    <n v="2"/>
    <x v="3"/>
    <n v="27"/>
  </r>
  <r>
    <x v="1"/>
    <x v="5"/>
    <n v="2"/>
    <x v="0"/>
    <n v="8"/>
    <n v="32"/>
    <n v="8"/>
    <n v="108"/>
    <n v="2"/>
    <x v="3"/>
    <n v="38"/>
  </r>
  <r>
    <x v="1"/>
    <x v="0"/>
    <n v="3"/>
    <x v="0"/>
    <n v="12"/>
    <n v="48"/>
    <n v="12"/>
    <n v="112"/>
    <n v="2"/>
    <x v="3"/>
    <n v="21"/>
  </r>
  <r>
    <x v="1"/>
    <x v="3"/>
    <n v="4"/>
    <x v="0"/>
    <n v="16"/>
    <n v="64"/>
    <n v="16"/>
    <n v="116"/>
    <n v="2"/>
    <x v="3"/>
    <n v="27"/>
  </r>
  <r>
    <x v="1"/>
    <x v="3"/>
    <n v="1"/>
    <x v="1"/>
    <n v="4"/>
    <n v="15"/>
    <n v="29"/>
    <n v="204"/>
    <n v="2"/>
    <x v="3"/>
    <n v="38"/>
  </r>
  <r>
    <x v="1"/>
    <x v="0"/>
    <n v="2"/>
    <x v="1"/>
    <n v="8"/>
    <n v="31"/>
    <n v="25"/>
    <n v="208"/>
    <n v="2"/>
    <x v="3"/>
    <n v="24"/>
  </r>
  <r>
    <x v="1"/>
    <x v="5"/>
    <n v="3"/>
    <x v="1"/>
    <n v="12"/>
    <n v="47"/>
    <n v="21"/>
    <n v="212"/>
    <n v="2"/>
    <x v="3"/>
    <n v="24"/>
  </r>
  <r>
    <x v="1"/>
    <x v="4"/>
    <n v="4"/>
    <x v="1"/>
    <n v="16"/>
    <n v="58"/>
    <n v="18"/>
    <n v="216"/>
    <n v="2"/>
    <x v="3"/>
    <n v="23"/>
  </r>
  <r>
    <x v="1"/>
    <x v="5"/>
    <n v="1"/>
    <x v="2"/>
    <n v="4"/>
    <n v="14"/>
    <n v="36"/>
    <n v="304"/>
    <n v="2"/>
    <x v="3"/>
    <n v="8"/>
  </r>
  <r>
    <x v="1"/>
    <x v="3"/>
    <n v="2"/>
    <x v="2"/>
    <n v="8"/>
    <n v="30"/>
    <n v="40"/>
    <n v="308"/>
    <n v="2"/>
    <x v="3"/>
    <n v="20"/>
  </r>
  <r>
    <x v="1"/>
    <x v="4"/>
    <n v="3"/>
    <x v="2"/>
    <n v="12"/>
    <n v="46"/>
    <n v="44"/>
    <n v="312"/>
    <n v="2"/>
    <x v="3"/>
    <n v="36"/>
  </r>
  <r>
    <x v="1"/>
    <x v="0"/>
    <n v="4"/>
    <x v="2"/>
    <n v="16"/>
    <n v="62"/>
    <n v="48"/>
    <n v="316"/>
    <n v="2"/>
    <x v="3"/>
    <n v="21"/>
  </r>
  <r>
    <x v="1"/>
    <x v="0"/>
    <n v="1"/>
    <x v="3"/>
    <n v="4"/>
    <n v="13"/>
    <n v="61"/>
    <n v="404"/>
    <n v="2"/>
    <x v="3"/>
    <n v="22"/>
  </r>
  <r>
    <x v="1"/>
    <x v="4"/>
    <n v="2"/>
    <x v="3"/>
    <n v="8"/>
    <n v="29"/>
    <n v="57"/>
    <n v="408"/>
    <n v="2"/>
    <x v="3"/>
    <n v="21"/>
  </r>
  <r>
    <x v="1"/>
    <x v="3"/>
    <n v="3"/>
    <x v="3"/>
    <n v="12"/>
    <n v="45"/>
    <n v="53"/>
    <n v="412"/>
    <n v="2"/>
    <x v="3"/>
    <n v="23"/>
  </r>
  <r>
    <x v="1"/>
    <x v="5"/>
    <n v="4"/>
    <x v="3"/>
    <n v="16"/>
    <n v="60"/>
    <n v="50"/>
    <n v="416"/>
    <n v="2"/>
    <x v="3"/>
    <n v="23"/>
  </r>
  <r>
    <x v="0"/>
    <x v="0"/>
    <n v="1"/>
    <x v="0"/>
    <n v="2"/>
    <n v="8"/>
    <n v="2"/>
    <n v="102"/>
    <n v="3"/>
    <x v="4"/>
    <n v="38"/>
  </r>
  <r>
    <x v="0"/>
    <x v="1"/>
    <n v="2"/>
    <x v="0"/>
    <n v="6"/>
    <n v="24"/>
    <n v="6"/>
    <n v="106"/>
    <n v="3"/>
    <x v="4"/>
    <n v="37"/>
  </r>
  <r>
    <x v="0"/>
    <x v="2"/>
    <n v="3"/>
    <x v="0"/>
    <n v="10"/>
    <n v="40"/>
    <n v="10"/>
    <n v="110"/>
    <n v="3"/>
    <x v="4"/>
    <n v="38"/>
  </r>
  <r>
    <x v="0"/>
    <x v="3"/>
    <n v="4"/>
    <x v="0"/>
    <n v="14"/>
    <n v="56"/>
    <n v="14"/>
    <n v="114"/>
    <n v="3"/>
    <x v="4"/>
    <n v="37"/>
  </r>
  <r>
    <x v="0"/>
    <x v="3"/>
    <n v="1"/>
    <x v="1"/>
    <n v="2"/>
    <n v="7"/>
    <n v="31"/>
    <n v="202"/>
    <n v="3"/>
    <x v="4"/>
    <n v="33"/>
  </r>
  <r>
    <x v="0"/>
    <x v="2"/>
    <n v="2"/>
    <x v="1"/>
    <n v="6"/>
    <n v="23"/>
    <n v="27"/>
    <n v="206"/>
    <n v="3"/>
    <x v="4"/>
    <n v="40"/>
  </r>
  <r>
    <x v="0"/>
    <x v="1"/>
    <n v="3"/>
    <x v="1"/>
    <n v="10"/>
    <n v="39"/>
    <n v="23"/>
    <n v="210"/>
    <n v="3"/>
    <x v="4"/>
    <n v="45"/>
  </r>
  <r>
    <x v="0"/>
    <x v="0"/>
    <n v="4"/>
    <x v="1"/>
    <n v="14"/>
    <n v="55"/>
    <n v="19"/>
    <n v="214"/>
    <n v="3"/>
    <x v="4"/>
    <n v="32"/>
  </r>
  <r>
    <x v="0"/>
    <x v="1"/>
    <n v="1"/>
    <x v="2"/>
    <n v="2"/>
    <n v="6"/>
    <n v="34"/>
    <n v="302"/>
    <n v="3"/>
    <x v="4"/>
    <n v="31"/>
  </r>
  <r>
    <x v="0"/>
    <x v="3"/>
    <n v="2"/>
    <x v="2"/>
    <n v="6"/>
    <n v="22"/>
    <n v="38"/>
    <n v="306"/>
    <n v="3"/>
    <x v="4"/>
    <n v="16"/>
  </r>
  <r>
    <x v="0"/>
    <x v="0"/>
    <n v="3"/>
    <x v="2"/>
    <n v="10"/>
    <n v="38"/>
    <n v="42"/>
    <n v="310"/>
    <n v="3"/>
    <x v="4"/>
    <n v="26"/>
  </r>
  <r>
    <x v="0"/>
    <x v="2"/>
    <n v="4"/>
    <x v="2"/>
    <n v="14"/>
    <n v="54"/>
    <n v="46"/>
    <n v="314"/>
    <n v="3"/>
    <x v="4"/>
    <n v="31"/>
  </r>
  <r>
    <x v="0"/>
    <x v="2"/>
    <n v="1"/>
    <x v="3"/>
    <n v="2"/>
    <n v="5"/>
    <n v="63"/>
    <n v="402"/>
    <n v="3"/>
    <x v="4"/>
    <n v="22"/>
  </r>
  <r>
    <x v="0"/>
    <x v="0"/>
    <n v="2"/>
    <x v="3"/>
    <n v="6"/>
    <n v="21"/>
    <n v="59"/>
    <n v="406"/>
    <n v="3"/>
    <x v="4"/>
    <n v="19"/>
  </r>
  <r>
    <x v="0"/>
    <x v="3"/>
    <n v="3"/>
    <x v="3"/>
    <n v="10"/>
    <n v="37"/>
    <n v="55"/>
    <n v="410"/>
    <n v="3"/>
    <x v="4"/>
    <n v="22"/>
  </r>
  <r>
    <x v="0"/>
    <x v="1"/>
    <n v="4"/>
    <x v="3"/>
    <n v="14"/>
    <n v="53"/>
    <n v="51"/>
    <n v="414"/>
    <n v="3"/>
    <x v="4"/>
    <n v="32"/>
  </r>
  <r>
    <x v="1"/>
    <x v="4"/>
    <n v="1"/>
    <x v="0"/>
    <n v="4"/>
    <n v="16"/>
    <n v="4"/>
    <n v="104"/>
    <n v="3"/>
    <x v="5"/>
    <n v="26"/>
  </r>
  <r>
    <x v="1"/>
    <x v="5"/>
    <n v="2"/>
    <x v="0"/>
    <n v="8"/>
    <n v="32"/>
    <n v="8"/>
    <n v="108"/>
    <n v="3"/>
    <x v="5"/>
    <n v="38"/>
  </r>
  <r>
    <x v="1"/>
    <x v="0"/>
    <n v="3"/>
    <x v="0"/>
    <n v="12"/>
    <n v="48"/>
    <n v="12"/>
    <n v="112"/>
    <n v="3"/>
    <x v="5"/>
    <n v="28"/>
  </r>
  <r>
    <x v="1"/>
    <x v="3"/>
    <n v="4"/>
    <x v="0"/>
    <n v="16"/>
    <n v="64"/>
    <n v="16"/>
    <n v="116"/>
    <n v="3"/>
    <x v="5"/>
    <n v="33"/>
  </r>
  <r>
    <x v="1"/>
    <x v="3"/>
    <n v="1"/>
    <x v="1"/>
    <n v="4"/>
    <n v="15"/>
    <n v="29"/>
    <n v="204"/>
    <n v="3"/>
    <x v="5"/>
    <n v="41"/>
  </r>
  <r>
    <x v="1"/>
    <x v="0"/>
    <n v="2"/>
    <x v="1"/>
    <n v="8"/>
    <n v="31"/>
    <n v="25"/>
    <n v="208"/>
    <n v="3"/>
    <x v="5"/>
    <n v="25"/>
  </r>
  <r>
    <x v="1"/>
    <x v="5"/>
    <n v="3"/>
    <x v="1"/>
    <n v="12"/>
    <n v="47"/>
    <n v="21"/>
    <n v="212"/>
    <n v="3"/>
    <x v="5"/>
    <n v="33"/>
  </r>
  <r>
    <x v="1"/>
    <x v="4"/>
    <n v="4"/>
    <x v="1"/>
    <n v="16"/>
    <n v="58"/>
    <n v="18"/>
    <n v="216"/>
    <n v="3"/>
    <x v="5"/>
    <n v="24"/>
  </r>
  <r>
    <x v="1"/>
    <x v="5"/>
    <n v="1"/>
    <x v="2"/>
    <n v="4"/>
    <n v="14"/>
    <n v="36"/>
    <n v="304"/>
    <n v="3"/>
    <x v="5"/>
    <n v="26"/>
  </r>
  <r>
    <x v="1"/>
    <x v="3"/>
    <n v="2"/>
    <x v="2"/>
    <n v="8"/>
    <n v="30"/>
    <n v="40"/>
    <n v="308"/>
    <n v="3"/>
    <x v="5"/>
    <n v="27"/>
  </r>
  <r>
    <x v="1"/>
    <x v="4"/>
    <n v="3"/>
    <x v="2"/>
    <n v="12"/>
    <n v="46"/>
    <n v="44"/>
    <n v="312"/>
    <n v="3"/>
    <x v="5"/>
    <n v="43"/>
  </r>
  <r>
    <x v="1"/>
    <x v="0"/>
    <n v="4"/>
    <x v="2"/>
    <n v="16"/>
    <n v="62"/>
    <n v="48"/>
    <n v="316"/>
    <n v="3"/>
    <x v="5"/>
    <n v="23"/>
  </r>
  <r>
    <x v="1"/>
    <x v="0"/>
    <n v="1"/>
    <x v="3"/>
    <n v="4"/>
    <n v="13"/>
    <n v="61"/>
    <n v="404"/>
    <n v="3"/>
    <x v="5"/>
    <n v="29"/>
  </r>
  <r>
    <x v="1"/>
    <x v="4"/>
    <n v="2"/>
    <x v="3"/>
    <n v="8"/>
    <n v="29"/>
    <n v="57"/>
    <n v="408"/>
    <n v="3"/>
    <x v="5"/>
    <n v="25"/>
  </r>
  <r>
    <x v="1"/>
    <x v="3"/>
    <n v="3"/>
    <x v="3"/>
    <n v="12"/>
    <n v="45"/>
    <n v="53"/>
    <n v="412"/>
    <n v="3"/>
    <x v="5"/>
    <n v="24"/>
  </r>
  <r>
    <x v="1"/>
    <x v="5"/>
    <n v="4"/>
    <x v="3"/>
    <n v="16"/>
    <n v="60"/>
    <n v="50"/>
    <n v="416"/>
    <n v="3"/>
    <x v="5"/>
    <n v="26"/>
  </r>
  <r>
    <x v="0"/>
    <x v="0"/>
    <n v="1"/>
    <x v="0"/>
    <n v="2"/>
    <n v="8"/>
    <n v="2"/>
    <n v="102"/>
    <n v="4"/>
    <x v="6"/>
    <n v="32"/>
  </r>
  <r>
    <x v="0"/>
    <x v="1"/>
    <n v="2"/>
    <x v="0"/>
    <n v="6"/>
    <n v="24"/>
    <n v="6"/>
    <n v="106"/>
    <n v="4"/>
    <x v="6"/>
    <n v="40"/>
  </r>
  <r>
    <x v="0"/>
    <x v="2"/>
    <n v="3"/>
    <x v="0"/>
    <n v="10"/>
    <n v="40"/>
    <n v="10"/>
    <n v="110"/>
    <n v="4"/>
    <x v="6"/>
    <n v="38"/>
  </r>
  <r>
    <x v="0"/>
    <x v="3"/>
    <n v="4"/>
    <x v="0"/>
    <n v="14"/>
    <n v="56"/>
    <n v="14"/>
    <n v="114"/>
    <n v="4"/>
    <x v="6"/>
    <n v="35"/>
  </r>
  <r>
    <x v="0"/>
    <x v="3"/>
    <n v="1"/>
    <x v="1"/>
    <n v="2"/>
    <n v="7"/>
    <n v="31"/>
    <n v="202"/>
    <n v="4"/>
    <x v="6"/>
    <n v="32"/>
  </r>
  <r>
    <x v="0"/>
    <x v="2"/>
    <n v="2"/>
    <x v="1"/>
    <n v="6"/>
    <n v="23"/>
    <n v="27"/>
    <n v="206"/>
    <n v="4"/>
    <x v="6"/>
    <n v="41"/>
  </r>
  <r>
    <x v="0"/>
    <x v="1"/>
    <n v="3"/>
    <x v="1"/>
    <n v="10"/>
    <n v="39"/>
    <n v="23"/>
    <n v="210"/>
    <n v="4"/>
    <x v="6"/>
    <n v="45"/>
  </r>
  <r>
    <x v="0"/>
    <x v="0"/>
    <n v="4"/>
    <x v="1"/>
    <n v="14"/>
    <n v="55"/>
    <n v="19"/>
    <n v="214"/>
    <n v="4"/>
    <x v="6"/>
    <n v="30"/>
  </r>
  <r>
    <x v="0"/>
    <x v="1"/>
    <n v="1"/>
    <x v="2"/>
    <n v="2"/>
    <n v="6"/>
    <n v="34"/>
    <n v="302"/>
    <n v="4"/>
    <x v="6"/>
    <n v="31"/>
  </r>
  <r>
    <x v="0"/>
    <x v="3"/>
    <n v="2"/>
    <x v="2"/>
    <n v="6"/>
    <n v="22"/>
    <n v="38"/>
    <n v="306"/>
    <n v="4"/>
    <x v="6"/>
    <n v="13"/>
  </r>
  <r>
    <x v="0"/>
    <x v="0"/>
    <n v="3"/>
    <x v="2"/>
    <n v="10"/>
    <n v="38"/>
    <n v="42"/>
    <n v="310"/>
    <n v="4"/>
    <x v="6"/>
    <n v="12"/>
  </r>
  <r>
    <x v="0"/>
    <x v="2"/>
    <n v="4"/>
    <x v="2"/>
    <n v="14"/>
    <n v="54"/>
    <n v="46"/>
    <n v="314"/>
    <n v="4"/>
    <x v="6"/>
    <n v="32"/>
  </r>
  <r>
    <x v="0"/>
    <x v="2"/>
    <n v="1"/>
    <x v="3"/>
    <n v="2"/>
    <n v="5"/>
    <n v="63"/>
    <n v="402"/>
    <n v="4"/>
    <x v="6"/>
    <n v="18"/>
  </r>
  <r>
    <x v="0"/>
    <x v="0"/>
    <n v="2"/>
    <x v="3"/>
    <n v="6"/>
    <n v="21"/>
    <n v="59"/>
    <n v="406"/>
    <n v="4"/>
    <x v="6"/>
    <n v="18"/>
  </r>
  <r>
    <x v="0"/>
    <x v="3"/>
    <n v="3"/>
    <x v="3"/>
    <n v="10"/>
    <n v="37"/>
    <n v="55"/>
    <n v="410"/>
    <n v="4"/>
    <x v="6"/>
    <n v="23"/>
  </r>
  <r>
    <x v="0"/>
    <x v="1"/>
    <n v="4"/>
    <x v="3"/>
    <n v="14"/>
    <n v="53"/>
    <n v="51"/>
    <n v="414"/>
    <n v="4"/>
    <x v="6"/>
    <n v="32"/>
  </r>
  <r>
    <x v="1"/>
    <x v="4"/>
    <n v="1"/>
    <x v="0"/>
    <n v="4"/>
    <n v="16"/>
    <n v="4"/>
    <n v="104"/>
    <n v="4"/>
    <x v="7"/>
    <n v="28"/>
  </r>
  <r>
    <x v="1"/>
    <x v="5"/>
    <n v="2"/>
    <x v="0"/>
    <n v="8"/>
    <n v="32"/>
    <n v="8"/>
    <n v="108"/>
    <n v="4"/>
    <x v="7"/>
    <n v="39"/>
  </r>
  <r>
    <x v="1"/>
    <x v="0"/>
    <n v="3"/>
    <x v="0"/>
    <n v="12"/>
    <n v="48"/>
    <n v="12"/>
    <n v="112"/>
    <n v="4"/>
    <x v="7"/>
    <n v="30"/>
  </r>
  <r>
    <x v="1"/>
    <x v="3"/>
    <n v="4"/>
    <x v="0"/>
    <n v="16"/>
    <n v="64"/>
    <n v="16"/>
    <n v="116"/>
    <n v="4"/>
    <x v="7"/>
    <n v="35"/>
  </r>
  <r>
    <x v="1"/>
    <x v="3"/>
    <n v="1"/>
    <x v="1"/>
    <n v="4"/>
    <n v="15"/>
    <n v="29"/>
    <n v="204"/>
    <n v="4"/>
    <x v="7"/>
    <n v="42"/>
  </r>
  <r>
    <x v="1"/>
    <x v="0"/>
    <n v="2"/>
    <x v="1"/>
    <n v="8"/>
    <n v="31"/>
    <n v="25"/>
    <n v="208"/>
    <n v="4"/>
    <x v="7"/>
    <n v="27"/>
  </r>
  <r>
    <x v="1"/>
    <x v="5"/>
    <n v="3"/>
    <x v="1"/>
    <n v="12"/>
    <n v="47"/>
    <n v="21"/>
    <n v="212"/>
    <n v="4"/>
    <x v="7"/>
    <n v="34"/>
  </r>
  <r>
    <x v="1"/>
    <x v="4"/>
    <n v="4"/>
    <x v="1"/>
    <n v="16"/>
    <n v="58"/>
    <n v="18"/>
    <n v="216"/>
    <n v="4"/>
    <x v="7"/>
    <n v="25"/>
  </r>
  <r>
    <x v="1"/>
    <x v="5"/>
    <n v="1"/>
    <x v="2"/>
    <n v="4"/>
    <n v="14"/>
    <n v="36"/>
    <n v="304"/>
    <n v="4"/>
    <x v="7"/>
    <n v="32"/>
  </r>
  <r>
    <x v="1"/>
    <x v="3"/>
    <n v="2"/>
    <x v="2"/>
    <n v="8"/>
    <n v="30"/>
    <n v="40"/>
    <n v="308"/>
    <n v="4"/>
    <x v="7"/>
    <n v="27"/>
  </r>
  <r>
    <x v="1"/>
    <x v="4"/>
    <n v="3"/>
    <x v="2"/>
    <n v="12"/>
    <n v="46"/>
    <n v="44"/>
    <n v="312"/>
    <n v="4"/>
    <x v="7"/>
    <n v="48"/>
  </r>
  <r>
    <x v="1"/>
    <x v="0"/>
    <n v="4"/>
    <x v="2"/>
    <n v="16"/>
    <n v="62"/>
    <n v="48"/>
    <n v="316"/>
    <n v="4"/>
    <x v="7"/>
    <n v="24"/>
  </r>
  <r>
    <x v="1"/>
    <x v="0"/>
    <n v="1"/>
    <x v="3"/>
    <n v="4"/>
    <n v="13"/>
    <n v="61"/>
    <n v="404"/>
    <n v="4"/>
    <x v="7"/>
    <n v="29"/>
  </r>
  <r>
    <x v="1"/>
    <x v="4"/>
    <n v="2"/>
    <x v="3"/>
    <n v="8"/>
    <n v="29"/>
    <n v="57"/>
    <n v="408"/>
    <n v="4"/>
    <x v="7"/>
    <n v="26"/>
  </r>
  <r>
    <x v="1"/>
    <x v="3"/>
    <n v="3"/>
    <x v="3"/>
    <n v="12"/>
    <n v="45"/>
    <n v="53"/>
    <n v="412"/>
    <n v="4"/>
    <x v="7"/>
    <n v="25"/>
  </r>
  <r>
    <x v="1"/>
    <x v="5"/>
    <n v="4"/>
    <x v="3"/>
    <n v="16"/>
    <n v="60"/>
    <n v="50"/>
    <n v="416"/>
    <n v="4"/>
    <x v="7"/>
    <n v="27"/>
  </r>
  <r>
    <x v="0"/>
    <x v="0"/>
    <n v="1"/>
    <x v="0"/>
    <n v="2"/>
    <n v="8"/>
    <n v="2"/>
    <n v="102"/>
    <n v="5"/>
    <x v="8"/>
    <n v="25"/>
  </r>
  <r>
    <x v="0"/>
    <x v="1"/>
    <n v="2"/>
    <x v="0"/>
    <n v="6"/>
    <n v="24"/>
    <n v="6"/>
    <n v="106"/>
    <n v="5"/>
    <x v="8"/>
    <n v="36"/>
  </r>
  <r>
    <x v="0"/>
    <x v="2"/>
    <n v="3"/>
    <x v="0"/>
    <n v="10"/>
    <n v="40"/>
    <n v="10"/>
    <n v="110"/>
    <n v="5"/>
    <x v="8"/>
    <n v="34"/>
  </r>
  <r>
    <x v="0"/>
    <x v="3"/>
    <n v="4"/>
    <x v="0"/>
    <n v="14"/>
    <n v="56"/>
    <n v="14"/>
    <n v="114"/>
    <n v="5"/>
    <x v="8"/>
    <n v="32"/>
  </r>
  <r>
    <x v="0"/>
    <x v="3"/>
    <n v="1"/>
    <x v="1"/>
    <n v="2"/>
    <n v="7"/>
    <n v="31"/>
    <n v="202"/>
    <n v="5"/>
    <x v="8"/>
    <n v="29"/>
  </r>
  <r>
    <x v="0"/>
    <x v="2"/>
    <n v="2"/>
    <x v="1"/>
    <n v="6"/>
    <n v="23"/>
    <n v="27"/>
    <n v="206"/>
    <n v="5"/>
    <x v="8"/>
    <n v="37"/>
  </r>
  <r>
    <x v="0"/>
    <x v="1"/>
    <n v="3"/>
    <x v="1"/>
    <n v="10"/>
    <n v="39"/>
    <n v="23"/>
    <n v="210"/>
    <n v="5"/>
    <x v="8"/>
    <n v="44"/>
  </r>
  <r>
    <x v="0"/>
    <x v="0"/>
    <n v="4"/>
    <x v="1"/>
    <n v="14"/>
    <n v="55"/>
    <n v="19"/>
    <n v="214"/>
    <n v="5"/>
    <x v="8"/>
    <n v="32"/>
  </r>
  <r>
    <x v="0"/>
    <x v="1"/>
    <n v="1"/>
    <x v="2"/>
    <n v="2"/>
    <n v="6"/>
    <n v="34"/>
    <n v="302"/>
    <n v="5"/>
    <x v="8"/>
    <n v="31"/>
  </r>
  <r>
    <x v="0"/>
    <x v="3"/>
    <n v="2"/>
    <x v="2"/>
    <n v="6"/>
    <n v="22"/>
    <n v="38"/>
    <n v="306"/>
    <n v="5"/>
    <x v="8"/>
    <n v="13"/>
  </r>
  <r>
    <x v="0"/>
    <x v="0"/>
    <n v="3"/>
    <x v="2"/>
    <n v="10"/>
    <n v="38"/>
    <n v="42"/>
    <n v="310"/>
    <n v="5"/>
    <x v="8"/>
    <n v="18"/>
  </r>
  <r>
    <x v="0"/>
    <x v="2"/>
    <n v="4"/>
    <x v="2"/>
    <n v="14"/>
    <n v="54"/>
    <n v="46"/>
    <n v="314"/>
    <n v="5"/>
    <x v="8"/>
    <n v="33"/>
  </r>
  <r>
    <x v="0"/>
    <x v="2"/>
    <n v="1"/>
    <x v="3"/>
    <n v="2"/>
    <n v="5"/>
    <n v="63"/>
    <n v="402"/>
    <n v="5"/>
    <x v="8"/>
    <n v="20"/>
  </r>
  <r>
    <x v="0"/>
    <x v="0"/>
    <n v="2"/>
    <x v="3"/>
    <n v="6"/>
    <n v="21"/>
    <n v="59"/>
    <n v="406"/>
    <n v="5"/>
    <x v="8"/>
    <n v="21"/>
  </r>
  <r>
    <x v="0"/>
    <x v="3"/>
    <n v="3"/>
    <x v="3"/>
    <n v="10"/>
    <n v="37"/>
    <n v="55"/>
    <n v="410"/>
    <n v="5"/>
    <x v="8"/>
    <n v="21"/>
  </r>
  <r>
    <x v="0"/>
    <x v="1"/>
    <n v="4"/>
    <x v="3"/>
    <n v="14"/>
    <n v="53"/>
    <n v="51"/>
    <n v="414"/>
    <n v="5"/>
    <x v="8"/>
    <n v="37"/>
  </r>
  <r>
    <x v="1"/>
    <x v="4"/>
    <n v="1"/>
    <x v="0"/>
    <n v="4"/>
    <n v="16"/>
    <n v="4"/>
    <n v="104"/>
    <n v="5"/>
    <x v="9"/>
    <n v="31"/>
  </r>
  <r>
    <x v="1"/>
    <x v="5"/>
    <n v="2"/>
    <x v="0"/>
    <n v="8"/>
    <n v="32"/>
    <n v="8"/>
    <n v="108"/>
    <n v="5"/>
    <x v="9"/>
    <n v="38"/>
  </r>
  <r>
    <x v="1"/>
    <x v="0"/>
    <n v="3"/>
    <x v="0"/>
    <n v="12"/>
    <n v="48"/>
    <n v="12"/>
    <n v="112"/>
    <n v="5"/>
    <x v="9"/>
    <n v="34"/>
  </r>
  <r>
    <x v="1"/>
    <x v="3"/>
    <n v="4"/>
    <x v="0"/>
    <n v="16"/>
    <n v="64"/>
    <n v="16"/>
    <n v="116"/>
    <n v="5"/>
    <x v="9"/>
    <n v="39"/>
  </r>
  <r>
    <x v="1"/>
    <x v="3"/>
    <n v="1"/>
    <x v="1"/>
    <n v="4"/>
    <n v="15"/>
    <n v="29"/>
    <n v="204"/>
    <n v="5"/>
    <x v="9"/>
    <n v="44"/>
  </r>
  <r>
    <x v="1"/>
    <x v="0"/>
    <n v="2"/>
    <x v="1"/>
    <n v="8"/>
    <n v="31"/>
    <n v="25"/>
    <n v="208"/>
    <n v="5"/>
    <x v="9"/>
    <n v="30"/>
  </r>
  <r>
    <x v="1"/>
    <x v="5"/>
    <n v="3"/>
    <x v="1"/>
    <n v="12"/>
    <n v="47"/>
    <n v="21"/>
    <n v="212"/>
    <n v="5"/>
    <x v="9"/>
    <n v="34"/>
  </r>
  <r>
    <x v="1"/>
    <x v="4"/>
    <n v="4"/>
    <x v="1"/>
    <n v="16"/>
    <n v="58"/>
    <n v="18"/>
    <n v="216"/>
    <n v="5"/>
    <x v="9"/>
    <n v="28"/>
  </r>
  <r>
    <x v="1"/>
    <x v="5"/>
    <n v="1"/>
    <x v="2"/>
    <n v="4"/>
    <n v="14"/>
    <n v="36"/>
    <n v="304"/>
    <n v="5"/>
    <x v="9"/>
    <n v="36"/>
  </r>
  <r>
    <x v="1"/>
    <x v="3"/>
    <n v="2"/>
    <x v="2"/>
    <n v="8"/>
    <n v="30"/>
    <n v="40"/>
    <n v="308"/>
    <n v="5"/>
    <x v="9"/>
    <n v="28"/>
  </r>
  <r>
    <x v="1"/>
    <x v="4"/>
    <n v="3"/>
    <x v="2"/>
    <n v="12"/>
    <n v="46"/>
    <n v="44"/>
    <n v="312"/>
    <n v="5"/>
    <x v="9"/>
    <n v="51"/>
  </r>
  <r>
    <x v="1"/>
    <x v="0"/>
    <n v="4"/>
    <x v="2"/>
    <n v="16"/>
    <n v="62"/>
    <n v="48"/>
    <n v="316"/>
    <n v="5"/>
    <x v="9"/>
    <n v="25"/>
  </r>
  <r>
    <x v="1"/>
    <x v="0"/>
    <n v="1"/>
    <x v="3"/>
    <n v="4"/>
    <n v="13"/>
    <n v="61"/>
    <n v="404"/>
    <n v="5"/>
    <x v="9"/>
    <n v="30"/>
  </r>
  <r>
    <x v="1"/>
    <x v="4"/>
    <n v="2"/>
    <x v="3"/>
    <n v="8"/>
    <n v="29"/>
    <n v="57"/>
    <n v="408"/>
    <n v="5"/>
    <x v="9"/>
    <n v="26"/>
  </r>
  <r>
    <x v="1"/>
    <x v="3"/>
    <n v="3"/>
    <x v="3"/>
    <n v="12"/>
    <n v="45"/>
    <n v="53"/>
    <n v="412"/>
    <n v="5"/>
    <x v="9"/>
    <n v="26"/>
  </r>
  <r>
    <x v="1"/>
    <x v="5"/>
    <n v="4"/>
    <x v="3"/>
    <n v="16"/>
    <n v="60"/>
    <n v="50"/>
    <n v="416"/>
    <n v="5"/>
    <x v="9"/>
    <n v="30"/>
  </r>
  <r>
    <x v="0"/>
    <x v="0"/>
    <n v="1"/>
    <x v="0"/>
    <n v="2"/>
    <n v="8"/>
    <n v="2"/>
    <n v="102"/>
    <n v="6"/>
    <x v="10"/>
    <m/>
  </r>
  <r>
    <x v="0"/>
    <x v="1"/>
    <n v="2"/>
    <x v="0"/>
    <n v="6"/>
    <n v="24"/>
    <n v="6"/>
    <n v="106"/>
    <n v="6"/>
    <x v="10"/>
    <m/>
  </r>
  <r>
    <x v="0"/>
    <x v="2"/>
    <n v="3"/>
    <x v="0"/>
    <n v="10"/>
    <n v="40"/>
    <n v="10"/>
    <n v="110"/>
    <n v="6"/>
    <x v="10"/>
    <m/>
  </r>
  <r>
    <x v="0"/>
    <x v="3"/>
    <n v="4"/>
    <x v="0"/>
    <n v="14"/>
    <n v="56"/>
    <n v="14"/>
    <n v="114"/>
    <n v="6"/>
    <x v="10"/>
    <m/>
  </r>
  <r>
    <x v="0"/>
    <x v="3"/>
    <n v="1"/>
    <x v="1"/>
    <n v="2"/>
    <n v="7"/>
    <n v="31"/>
    <n v="202"/>
    <n v="6"/>
    <x v="10"/>
    <m/>
  </r>
  <r>
    <x v="0"/>
    <x v="2"/>
    <n v="2"/>
    <x v="1"/>
    <n v="6"/>
    <n v="23"/>
    <n v="27"/>
    <n v="206"/>
    <n v="6"/>
    <x v="10"/>
    <m/>
  </r>
  <r>
    <x v="0"/>
    <x v="1"/>
    <n v="3"/>
    <x v="1"/>
    <n v="10"/>
    <n v="39"/>
    <n v="23"/>
    <n v="210"/>
    <n v="6"/>
    <x v="10"/>
    <m/>
  </r>
  <r>
    <x v="0"/>
    <x v="0"/>
    <n v="4"/>
    <x v="1"/>
    <n v="14"/>
    <n v="55"/>
    <n v="19"/>
    <n v="214"/>
    <n v="6"/>
    <x v="10"/>
    <m/>
  </r>
  <r>
    <x v="0"/>
    <x v="1"/>
    <n v="1"/>
    <x v="2"/>
    <n v="2"/>
    <n v="6"/>
    <n v="34"/>
    <n v="302"/>
    <n v="6"/>
    <x v="10"/>
    <m/>
  </r>
  <r>
    <x v="0"/>
    <x v="3"/>
    <n v="2"/>
    <x v="2"/>
    <n v="6"/>
    <n v="22"/>
    <n v="38"/>
    <n v="306"/>
    <n v="6"/>
    <x v="10"/>
    <m/>
  </r>
  <r>
    <x v="0"/>
    <x v="0"/>
    <n v="3"/>
    <x v="2"/>
    <n v="10"/>
    <n v="38"/>
    <n v="42"/>
    <n v="310"/>
    <n v="6"/>
    <x v="10"/>
    <m/>
  </r>
  <r>
    <x v="0"/>
    <x v="2"/>
    <n v="4"/>
    <x v="2"/>
    <n v="14"/>
    <n v="54"/>
    <n v="46"/>
    <n v="314"/>
    <n v="6"/>
    <x v="10"/>
    <m/>
  </r>
  <r>
    <x v="0"/>
    <x v="2"/>
    <n v="1"/>
    <x v="3"/>
    <n v="2"/>
    <n v="5"/>
    <n v="63"/>
    <n v="402"/>
    <n v="6"/>
    <x v="10"/>
    <m/>
  </r>
  <r>
    <x v="0"/>
    <x v="0"/>
    <n v="2"/>
    <x v="3"/>
    <n v="6"/>
    <n v="21"/>
    <n v="59"/>
    <n v="406"/>
    <n v="6"/>
    <x v="10"/>
    <m/>
  </r>
  <r>
    <x v="0"/>
    <x v="3"/>
    <n v="3"/>
    <x v="3"/>
    <n v="10"/>
    <n v="37"/>
    <n v="55"/>
    <n v="410"/>
    <n v="6"/>
    <x v="10"/>
    <m/>
  </r>
  <r>
    <x v="0"/>
    <x v="1"/>
    <n v="4"/>
    <x v="3"/>
    <n v="14"/>
    <n v="53"/>
    <n v="51"/>
    <n v="414"/>
    <n v="6"/>
    <x v="10"/>
    <m/>
  </r>
  <r>
    <x v="1"/>
    <x v="4"/>
    <n v="1"/>
    <x v="0"/>
    <n v="4"/>
    <n v="16"/>
    <n v="4"/>
    <n v="104"/>
    <n v="6"/>
    <x v="11"/>
    <n v="29"/>
  </r>
  <r>
    <x v="1"/>
    <x v="5"/>
    <n v="2"/>
    <x v="0"/>
    <n v="8"/>
    <n v="32"/>
    <n v="8"/>
    <n v="108"/>
    <n v="6"/>
    <x v="11"/>
    <n v="39"/>
  </r>
  <r>
    <x v="1"/>
    <x v="0"/>
    <n v="3"/>
    <x v="0"/>
    <n v="12"/>
    <n v="48"/>
    <n v="12"/>
    <n v="112"/>
    <n v="6"/>
    <x v="11"/>
    <n v="32"/>
  </r>
  <r>
    <x v="1"/>
    <x v="3"/>
    <n v="4"/>
    <x v="0"/>
    <n v="16"/>
    <n v="64"/>
    <n v="16"/>
    <n v="116"/>
    <n v="6"/>
    <x v="11"/>
    <n v="38"/>
  </r>
  <r>
    <x v="1"/>
    <x v="3"/>
    <n v="1"/>
    <x v="1"/>
    <n v="4"/>
    <n v="15"/>
    <n v="29"/>
    <n v="204"/>
    <n v="6"/>
    <x v="11"/>
    <n v="44"/>
  </r>
  <r>
    <x v="1"/>
    <x v="0"/>
    <n v="2"/>
    <x v="1"/>
    <n v="8"/>
    <n v="31"/>
    <n v="25"/>
    <n v="208"/>
    <n v="6"/>
    <x v="11"/>
    <n v="31"/>
  </r>
  <r>
    <x v="1"/>
    <x v="5"/>
    <n v="3"/>
    <x v="1"/>
    <n v="12"/>
    <n v="47"/>
    <n v="21"/>
    <n v="212"/>
    <n v="6"/>
    <x v="11"/>
    <n v="37"/>
  </r>
  <r>
    <x v="1"/>
    <x v="4"/>
    <n v="4"/>
    <x v="1"/>
    <n v="16"/>
    <n v="58"/>
    <n v="18"/>
    <n v="216"/>
    <n v="6"/>
    <x v="11"/>
    <n v="27"/>
  </r>
  <r>
    <x v="1"/>
    <x v="5"/>
    <n v="1"/>
    <x v="2"/>
    <n v="4"/>
    <n v="14"/>
    <n v="36"/>
    <n v="304"/>
    <n v="6"/>
    <x v="11"/>
    <n v="41"/>
  </r>
  <r>
    <x v="1"/>
    <x v="3"/>
    <n v="2"/>
    <x v="2"/>
    <n v="8"/>
    <n v="30"/>
    <n v="40"/>
    <n v="308"/>
    <n v="6"/>
    <x v="11"/>
    <n v="29"/>
  </r>
  <r>
    <x v="1"/>
    <x v="4"/>
    <n v="3"/>
    <x v="2"/>
    <n v="12"/>
    <n v="46"/>
    <n v="44"/>
    <n v="312"/>
    <n v="6"/>
    <x v="11"/>
    <n v="48"/>
  </r>
  <r>
    <x v="1"/>
    <x v="0"/>
    <n v="4"/>
    <x v="2"/>
    <n v="16"/>
    <n v="62"/>
    <n v="48"/>
    <n v="316"/>
    <n v="6"/>
    <x v="11"/>
    <n v="26"/>
  </r>
  <r>
    <x v="1"/>
    <x v="0"/>
    <n v="1"/>
    <x v="3"/>
    <n v="4"/>
    <n v="13"/>
    <n v="61"/>
    <n v="404"/>
    <n v="6"/>
    <x v="11"/>
    <n v="30"/>
  </r>
  <r>
    <x v="1"/>
    <x v="4"/>
    <n v="2"/>
    <x v="3"/>
    <n v="8"/>
    <n v="29"/>
    <n v="57"/>
    <n v="408"/>
    <n v="6"/>
    <x v="11"/>
    <n v="27"/>
  </r>
  <r>
    <x v="1"/>
    <x v="3"/>
    <n v="3"/>
    <x v="3"/>
    <n v="12"/>
    <n v="45"/>
    <n v="53"/>
    <n v="412"/>
    <n v="6"/>
    <x v="11"/>
    <n v="27"/>
  </r>
  <r>
    <x v="1"/>
    <x v="5"/>
    <n v="4"/>
    <x v="3"/>
    <n v="16"/>
    <n v="60"/>
    <n v="50"/>
    <n v="416"/>
    <n v="6"/>
    <x v="11"/>
    <n v="29"/>
  </r>
  <r>
    <x v="0"/>
    <x v="0"/>
    <n v="1"/>
    <x v="0"/>
    <n v="2"/>
    <n v="8"/>
    <n v="2"/>
    <n v="102"/>
    <n v="7"/>
    <x v="10"/>
    <m/>
  </r>
  <r>
    <x v="0"/>
    <x v="1"/>
    <n v="2"/>
    <x v="0"/>
    <n v="6"/>
    <n v="24"/>
    <n v="6"/>
    <n v="106"/>
    <n v="7"/>
    <x v="10"/>
    <m/>
  </r>
  <r>
    <x v="0"/>
    <x v="2"/>
    <n v="3"/>
    <x v="0"/>
    <n v="10"/>
    <n v="40"/>
    <n v="10"/>
    <n v="110"/>
    <n v="7"/>
    <x v="10"/>
    <m/>
  </r>
  <r>
    <x v="0"/>
    <x v="3"/>
    <n v="4"/>
    <x v="0"/>
    <n v="14"/>
    <n v="56"/>
    <n v="14"/>
    <n v="114"/>
    <n v="7"/>
    <x v="10"/>
    <m/>
  </r>
  <r>
    <x v="0"/>
    <x v="3"/>
    <n v="1"/>
    <x v="1"/>
    <n v="2"/>
    <n v="7"/>
    <n v="31"/>
    <n v="202"/>
    <n v="7"/>
    <x v="10"/>
    <m/>
  </r>
  <r>
    <x v="0"/>
    <x v="2"/>
    <n v="2"/>
    <x v="1"/>
    <n v="6"/>
    <n v="23"/>
    <n v="27"/>
    <n v="206"/>
    <n v="7"/>
    <x v="10"/>
    <m/>
  </r>
  <r>
    <x v="0"/>
    <x v="1"/>
    <n v="3"/>
    <x v="1"/>
    <n v="10"/>
    <n v="39"/>
    <n v="23"/>
    <n v="210"/>
    <n v="7"/>
    <x v="10"/>
    <m/>
  </r>
  <r>
    <x v="0"/>
    <x v="0"/>
    <n v="4"/>
    <x v="1"/>
    <n v="14"/>
    <n v="55"/>
    <n v="19"/>
    <n v="214"/>
    <n v="7"/>
    <x v="10"/>
    <m/>
  </r>
  <r>
    <x v="0"/>
    <x v="1"/>
    <n v="1"/>
    <x v="2"/>
    <n v="2"/>
    <n v="6"/>
    <n v="34"/>
    <n v="302"/>
    <n v="7"/>
    <x v="10"/>
    <m/>
  </r>
  <r>
    <x v="0"/>
    <x v="3"/>
    <n v="2"/>
    <x v="2"/>
    <n v="6"/>
    <n v="22"/>
    <n v="38"/>
    <n v="306"/>
    <n v="7"/>
    <x v="10"/>
    <m/>
  </r>
  <r>
    <x v="0"/>
    <x v="0"/>
    <n v="3"/>
    <x v="2"/>
    <n v="10"/>
    <n v="38"/>
    <n v="42"/>
    <n v="310"/>
    <n v="7"/>
    <x v="10"/>
    <m/>
  </r>
  <r>
    <x v="0"/>
    <x v="2"/>
    <n v="4"/>
    <x v="2"/>
    <n v="14"/>
    <n v="54"/>
    <n v="46"/>
    <n v="314"/>
    <n v="7"/>
    <x v="10"/>
    <m/>
  </r>
  <r>
    <x v="0"/>
    <x v="2"/>
    <n v="1"/>
    <x v="3"/>
    <n v="2"/>
    <n v="5"/>
    <n v="63"/>
    <n v="402"/>
    <n v="7"/>
    <x v="10"/>
    <m/>
  </r>
  <r>
    <x v="0"/>
    <x v="0"/>
    <n v="2"/>
    <x v="3"/>
    <n v="6"/>
    <n v="21"/>
    <n v="59"/>
    <n v="406"/>
    <n v="7"/>
    <x v="10"/>
    <m/>
  </r>
  <r>
    <x v="0"/>
    <x v="3"/>
    <n v="3"/>
    <x v="3"/>
    <n v="10"/>
    <n v="37"/>
    <n v="55"/>
    <n v="410"/>
    <n v="7"/>
    <x v="10"/>
    <m/>
  </r>
  <r>
    <x v="0"/>
    <x v="1"/>
    <n v="4"/>
    <x v="3"/>
    <n v="14"/>
    <n v="53"/>
    <n v="51"/>
    <n v="414"/>
    <n v="7"/>
    <x v="10"/>
    <m/>
  </r>
  <r>
    <x v="1"/>
    <x v="4"/>
    <n v="1"/>
    <x v="0"/>
    <n v="4"/>
    <n v="16"/>
    <n v="4"/>
    <n v="104"/>
    <n v="7"/>
    <x v="12"/>
    <n v="29"/>
  </r>
  <r>
    <x v="1"/>
    <x v="5"/>
    <n v="2"/>
    <x v="0"/>
    <n v="8"/>
    <n v="32"/>
    <n v="8"/>
    <n v="108"/>
    <n v="7"/>
    <x v="12"/>
    <n v="38"/>
  </r>
  <r>
    <x v="1"/>
    <x v="0"/>
    <n v="3"/>
    <x v="0"/>
    <n v="12"/>
    <n v="48"/>
    <n v="12"/>
    <n v="112"/>
    <n v="7"/>
    <x v="12"/>
    <n v="35"/>
  </r>
  <r>
    <x v="1"/>
    <x v="3"/>
    <n v="4"/>
    <x v="0"/>
    <n v="16"/>
    <n v="64"/>
    <n v="16"/>
    <n v="116"/>
    <n v="7"/>
    <x v="12"/>
    <n v="41"/>
  </r>
  <r>
    <x v="1"/>
    <x v="3"/>
    <n v="1"/>
    <x v="1"/>
    <n v="4"/>
    <n v="15"/>
    <n v="29"/>
    <n v="204"/>
    <n v="7"/>
    <x v="12"/>
    <n v="43"/>
  </r>
  <r>
    <x v="1"/>
    <x v="0"/>
    <n v="2"/>
    <x v="1"/>
    <n v="8"/>
    <n v="31"/>
    <n v="25"/>
    <n v="208"/>
    <n v="7"/>
    <x v="12"/>
    <n v="30"/>
  </r>
  <r>
    <x v="1"/>
    <x v="5"/>
    <n v="3"/>
    <x v="1"/>
    <n v="12"/>
    <n v="47"/>
    <n v="21"/>
    <n v="212"/>
    <n v="7"/>
    <x v="12"/>
    <n v="37"/>
  </r>
  <r>
    <x v="1"/>
    <x v="4"/>
    <n v="4"/>
    <x v="1"/>
    <n v="16"/>
    <n v="58"/>
    <n v="18"/>
    <n v="216"/>
    <n v="7"/>
    <x v="12"/>
    <n v="29"/>
  </r>
  <r>
    <x v="1"/>
    <x v="5"/>
    <n v="1"/>
    <x v="2"/>
    <n v="4"/>
    <n v="14"/>
    <n v="36"/>
    <n v="304"/>
    <n v="7"/>
    <x v="12"/>
    <n v="41"/>
  </r>
  <r>
    <x v="1"/>
    <x v="3"/>
    <n v="2"/>
    <x v="2"/>
    <n v="8"/>
    <n v="30"/>
    <n v="40"/>
    <n v="308"/>
    <n v="7"/>
    <x v="12"/>
    <n v="30"/>
  </r>
  <r>
    <x v="1"/>
    <x v="4"/>
    <n v="3"/>
    <x v="2"/>
    <n v="12"/>
    <n v="46"/>
    <n v="44"/>
    <n v="312"/>
    <n v="7"/>
    <x v="12"/>
    <n v="51"/>
  </r>
  <r>
    <x v="1"/>
    <x v="0"/>
    <n v="4"/>
    <x v="2"/>
    <n v="16"/>
    <n v="62"/>
    <n v="48"/>
    <n v="316"/>
    <n v="7"/>
    <x v="12"/>
    <n v="25"/>
  </r>
  <r>
    <x v="1"/>
    <x v="0"/>
    <n v="1"/>
    <x v="3"/>
    <n v="4"/>
    <n v="13"/>
    <n v="61"/>
    <n v="404"/>
    <n v="7"/>
    <x v="12"/>
    <n v="31"/>
  </r>
  <r>
    <x v="1"/>
    <x v="4"/>
    <n v="2"/>
    <x v="3"/>
    <n v="8"/>
    <n v="29"/>
    <n v="57"/>
    <n v="408"/>
    <n v="7"/>
    <x v="12"/>
    <n v="25"/>
  </r>
  <r>
    <x v="1"/>
    <x v="3"/>
    <n v="3"/>
    <x v="3"/>
    <n v="12"/>
    <n v="45"/>
    <n v="53"/>
    <n v="412"/>
    <n v="7"/>
    <x v="12"/>
    <n v="26"/>
  </r>
  <r>
    <x v="1"/>
    <x v="5"/>
    <n v="4"/>
    <x v="3"/>
    <n v="16"/>
    <n v="60"/>
    <n v="50"/>
    <n v="416"/>
    <n v="7"/>
    <x v="12"/>
    <n v="30"/>
  </r>
  <r>
    <x v="2"/>
    <x v="6"/>
    <m/>
    <x v="4"/>
    <m/>
    <m/>
    <m/>
    <m/>
    <m/>
    <x v="1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x v="0"/>
    <n v="1"/>
    <n v="1"/>
    <n v="2"/>
    <n v="102"/>
    <n v="1"/>
    <n v="1"/>
    <x v="0"/>
    <n v="48"/>
    <n v="3.8"/>
  </r>
  <r>
    <x v="0"/>
    <x v="1"/>
    <n v="1"/>
    <n v="2"/>
    <n v="2"/>
    <n v="202"/>
    <n v="2"/>
    <n v="1"/>
    <x v="0"/>
    <n v="30"/>
    <n v="2"/>
  </r>
  <r>
    <x v="0"/>
    <x v="2"/>
    <n v="1"/>
    <n v="3"/>
    <n v="2"/>
    <n v="302"/>
    <n v="3"/>
    <n v="1"/>
    <x v="0"/>
    <n v="30"/>
    <n v="2"/>
  </r>
  <r>
    <x v="0"/>
    <x v="3"/>
    <n v="1"/>
    <n v="4"/>
    <n v="2"/>
    <n v="402"/>
    <n v="4"/>
    <n v="1"/>
    <x v="0"/>
    <n v="64"/>
    <n v="5.4"/>
  </r>
  <r>
    <x v="1"/>
    <x v="0"/>
    <n v="1"/>
    <n v="4"/>
    <n v="4"/>
    <n v="404"/>
    <n v="5"/>
    <n v="1"/>
    <x v="0"/>
    <n v="12"/>
    <n v="0.2"/>
  </r>
  <r>
    <x v="1"/>
    <x v="4"/>
    <n v="1"/>
    <n v="3"/>
    <n v="4"/>
    <n v="304"/>
    <n v="6"/>
    <n v="1"/>
    <x v="0"/>
    <n v="10"/>
    <n v="0"/>
  </r>
  <r>
    <x v="1"/>
    <x v="1"/>
    <n v="1"/>
    <n v="2"/>
    <n v="4"/>
    <n v="204"/>
    <n v="7"/>
    <n v="1"/>
    <x v="0"/>
    <n v="17"/>
    <n v="0.7"/>
  </r>
  <r>
    <x v="1"/>
    <x v="5"/>
    <n v="1"/>
    <n v="1"/>
    <n v="4"/>
    <n v="104"/>
    <n v="8"/>
    <n v="1"/>
    <x v="0"/>
    <n v="10"/>
    <n v="0"/>
  </r>
  <r>
    <x v="0"/>
    <x v="2"/>
    <n v="2"/>
    <n v="1"/>
    <n v="6"/>
    <n v="106"/>
    <n v="9"/>
    <n v="1"/>
    <x v="0"/>
    <n v="47"/>
    <n v="3.7"/>
  </r>
  <r>
    <x v="0"/>
    <x v="3"/>
    <n v="2"/>
    <n v="2"/>
    <n v="6"/>
    <n v="206"/>
    <n v="10"/>
    <n v="1"/>
    <x v="0"/>
    <n v="49"/>
    <n v="3.9"/>
  </r>
  <r>
    <x v="0"/>
    <x v="1"/>
    <n v="2"/>
    <n v="3"/>
    <n v="6"/>
    <n v="306"/>
    <n v="11"/>
    <n v="1"/>
    <x v="0"/>
    <n v="25"/>
    <n v="1.5"/>
  </r>
  <r>
    <x v="0"/>
    <x v="0"/>
    <n v="2"/>
    <n v="4"/>
    <n v="6"/>
    <n v="406"/>
    <n v="12"/>
    <n v="1"/>
    <x v="0"/>
    <n v="67"/>
    <n v="5.7"/>
  </r>
  <r>
    <x v="1"/>
    <x v="5"/>
    <n v="2"/>
    <n v="4"/>
    <n v="8"/>
    <n v="408"/>
    <n v="13"/>
    <n v="1"/>
    <x v="0"/>
    <n v="15"/>
    <n v="0.5"/>
  </r>
  <r>
    <x v="1"/>
    <x v="1"/>
    <n v="2"/>
    <n v="3"/>
    <n v="8"/>
    <n v="308"/>
    <n v="14"/>
    <n v="1"/>
    <x v="0"/>
    <n v="18"/>
    <n v="0.8"/>
  </r>
  <r>
    <x v="1"/>
    <x v="0"/>
    <n v="2"/>
    <n v="2"/>
    <n v="8"/>
    <n v="208"/>
    <n v="15"/>
    <n v="1"/>
    <x v="0"/>
    <n v="13"/>
    <n v="0.3"/>
  </r>
  <r>
    <x v="1"/>
    <x v="4"/>
    <n v="2"/>
    <n v="1"/>
    <n v="8"/>
    <n v="108"/>
    <n v="16"/>
    <n v="1"/>
    <x v="0"/>
    <n v="18"/>
    <n v="0.8"/>
  </r>
  <r>
    <x v="0"/>
    <x v="3"/>
    <n v="3"/>
    <n v="1"/>
    <n v="10"/>
    <n v="110"/>
    <n v="17"/>
    <n v="1"/>
    <x v="0"/>
    <n v="59"/>
    <n v="4.9000000000000004"/>
  </r>
  <r>
    <x v="0"/>
    <x v="2"/>
    <n v="3"/>
    <n v="2"/>
    <n v="10"/>
    <n v="210"/>
    <n v="18"/>
    <n v="1"/>
    <x v="0"/>
    <n v="70"/>
    <n v="6"/>
  </r>
  <r>
    <x v="0"/>
    <x v="0"/>
    <n v="3"/>
    <n v="3"/>
    <n v="10"/>
    <n v="310"/>
    <n v="19"/>
    <n v="1"/>
    <x v="0"/>
    <n v="28"/>
    <n v="1.8"/>
  </r>
  <r>
    <x v="0"/>
    <x v="1"/>
    <n v="3"/>
    <n v="4"/>
    <n v="10"/>
    <n v="410"/>
    <n v="20"/>
    <n v="1"/>
    <x v="0"/>
    <n v="44"/>
    <n v="3.4"/>
  </r>
  <r>
    <x v="1"/>
    <x v="1"/>
    <n v="3"/>
    <n v="4"/>
    <n v="12"/>
    <n v="412"/>
    <n v="21"/>
    <n v="1"/>
    <x v="0"/>
    <n v="12"/>
    <n v="0.2"/>
  </r>
  <r>
    <x v="1"/>
    <x v="5"/>
    <n v="3"/>
    <n v="3"/>
    <n v="12"/>
    <n v="312"/>
    <n v="22"/>
    <n v="1"/>
    <x v="0"/>
    <n v="12"/>
    <n v="0.2"/>
  </r>
  <r>
    <x v="1"/>
    <x v="4"/>
    <n v="3"/>
    <n v="2"/>
    <n v="12"/>
    <n v="212"/>
    <n v="23"/>
    <n v="1"/>
    <x v="0"/>
    <n v="12"/>
    <n v="0.2"/>
  </r>
  <r>
    <x v="1"/>
    <x v="0"/>
    <n v="3"/>
    <n v="1"/>
    <n v="12"/>
    <n v="112"/>
    <n v="24"/>
    <n v="1"/>
    <x v="0"/>
    <n v="17"/>
    <n v="0.7"/>
  </r>
  <r>
    <x v="0"/>
    <x v="1"/>
    <n v="4"/>
    <n v="1"/>
    <n v="14"/>
    <n v="114"/>
    <n v="25"/>
    <n v="1"/>
    <x v="0"/>
    <n v="42"/>
    <n v="3.2"/>
  </r>
  <r>
    <x v="0"/>
    <x v="0"/>
    <n v="4"/>
    <n v="2"/>
    <n v="14"/>
    <n v="214"/>
    <n v="26"/>
    <n v="1"/>
    <x v="0"/>
    <n v="47"/>
    <n v="3.7"/>
  </r>
  <r>
    <x v="0"/>
    <x v="3"/>
    <n v="4"/>
    <n v="3"/>
    <n v="14"/>
    <n v="314"/>
    <n v="27"/>
    <n v="1"/>
    <x v="0"/>
    <n v="44"/>
    <n v="3.4"/>
  </r>
  <r>
    <x v="0"/>
    <x v="2"/>
    <n v="4"/>
    <n v="4"/>
    <n v="14"/>
    <n v="414"/>
    <n v="28"/>
    <n v="1"/>
    <x v="0"/>
    <n v="45"/>
    <n v="3.5"/>
  </r>
  <r>
    <x v="1"/>
    <x v="4"/>
    <n v="4"/>
    <n v="4"/>
    <n v="16"/>
    <n v="416"/>
    <n v="29"/>
    <n v="1"/>
    <x v="0"/>
    <n v="18"/>
    <n v="0.8"/>
  </r>
  <r>
    <x v="1"/>
    <x v="0"/>
    <n v="4"/>
    <n v="3"/>
    <n v="16"/>
    <n v="316"/>
    <n v="30"/>
    <n v="1"/>
    <x v="0"/>
    <n v="11"/>
    <n v="0.1"/>
  </r>
  <r>
    <x v="1"/>
    <x v="5"/>
    <n v="4"/>
    <n v="2"/>
    <n v="16"/>
    <n v="216"/>
    <n v="31"/>
    <n v="1"/>
    <x v="0"/>
    <n v="14"/>
    <n v="0.4"/>
  </r>
  <r>
    <x v="1"/>
    <x v="1"/>
    <n v="4"/>
    <n v="1"/>
    <n v="16"/>
    <n v="116"/>
    <n v="32"/>
    <n v="1"/>
    <x v="0"/>
    <n v="19"/>
    <n v="0.9"/>
  </r>
  <r>
    <x v="0"/>
    <x v="0"/>
    <n v="1"/>
    <n v="1"/>
    <n v="2"/>
    <n v="102"/>
    <n v="1"/>
    <n v="2"/>
    <x v="1"/>
    <n v="50"/>
    <n v="4"/>
  </r>
  <r>
    <x v="0"/>
    <x v="1"/>
    <n v="1"/>
    <n v="2"/>
    <n v="2"/>
    <n v="202"/>
    <n v="2"/>
    <n v="2"/>
    <x v="1"/>
    <n v="51"/>
    <n v="4.0999999999999996"/>
  </r>
  <r>
    <x v="0"/>
    <x v="2"/>
    <n v="1"/>
    <n v="3"/>
    <n v="2"/>
    <n v="302"/>
    <n v="3"/>
    <n v="2"/>
    <x v="1"/>
    <n v="45"/>
    <n v="3.5"/>
  </r>
  <r>
    <x v="0"/>
    <x v="3"/>
    <n v="1"/>
    <n v="4"/>
    <n v="2"/>
    <n v="402"/>
    <n v="4"/>
    <n v="2"/>
    <x v="1"/>
    <n v="129"/>
    <n v="11.9"/>
  </r>
  <r>
    <x v="1"/>
    <x v="0"/>
    <n v="1"/>
    <n v="4"/>
    <n v="4"/>
    <n v="404"/>
    <n v="5"/>
    <n v="2"/>
    <x v="1"/>
    <n v="29"/>
    <n v="1.9"/>
  </r>
  <r>
    <x v="1"/>
    <x v="4"/>
    <n v="1"/>
    <n v="3"/>
    <n v="4"/>
    <n v="304"/>
    <n v="6"/>
    <n v="2"/>
    <x v="1"/>
    <n v="28"/>
    <n v="1.8"/>
  </r>
  <r>
    <x v="1"/>
    <x v="1"/>
    <n v="1"/>
    <n v="2"/>
    <n v="4"/>
    <n v="204"/>
    <n v="7"/>
    <n v="2"/>
    <x v="1"/>
    <n v="40"/>
    <n v="3"/>
  </r>
  <r>
    <x v="1"/>
    <x v="5"/>
    <n v="1"/>
    <n v="1"/>
    <n v="4"/>
    <n v="104"/>
    <n v="8"/>
    <n v="2"/>
    <x v="1"/>
    <n v="21"/>
    <n v="1.1000000000000001"/>
  </r>
  <r>
    <x v="0"/>
    <x v="2"/>
    <n v="2"/>
    <n v="1"/>
    <n v="6"/>
    <n v="106"/>
    <n v="9"/>
    <n v="2"/>
    <x v="1"/>
    <n v="53"/>
    <n v="4.3"/>
  </r>
  <r>
    <x v="0"/>
    <x v="3"/>
    <n v="2"/>
    <n v="2"/>
    <n v="6"/>
    <n v="206"/>
    <n v="10"/>
    <n v="2"/>
    <x v="1"/>
    <n v="94"/>
    <n v="8.4"/>
  </r>
  <r>
    <x v="0"/>
    <x v="1"/>
    <n v="2"/>
    <n v="3"/>
    <n v="6"/>
    <n v="306"/>
    <n v="11"/>
    <n v="2"/>
    <x v="1"/>
    <n v="31"/>
    <n v="2.1"/>
  </r>
  <r>
    <x v="0"/>
    <x v="0"/>
    <n v="2"/>
    <n v="4"/>
    <n v="6"/>
    <n v="406"/>
    <n v="12"/>
    <n v="2"/>
    <x v="1"/>
    <n v="70"/>
    <n v="6"/>
  </r>
  <r>
    <x v="1"/>
    <x v="5"/>
    <n v="2"/>
    <n v="4"/>
    <n v="8"/>
    <n v="408"/>
    <n v="13"/>
    <n v="2"/>
    <x v="1"/>
    <n v="33"/>
    <n v="2.2999999999999998"/>
  </r>
  <r>
    <x v="1"/>
    <x v="1"/>
    <n v="2"/>
    <n v="3"/>
    <n v="8"/>
    <n v="308"/>
    <n v="14"/>
    <n v="2"/>
    <x v="1"/>
    <n v="35"/>
    <n v="2.5"/>
  </r>
  <r>
    <x v="1"/>
    <x v="0"/>
    <n v="2"/>
    <n v="2"/>
    <n v="8"/>
    <n v="208"/>
    <n v="15"/>
    <n v="2"/>
    <x v="1"/>
    <n v="32"/>
    <n v="2.2000000000000002"/>
  </r>
  <r>
    <x v="1"/>
    <x v="4"/>
    <n v="2"/>
    <n v="1"/>
    <n v="8"/>
    <n v="108"/>
    <n v="16"/>
    <n v="2"/>
    <x v="1"/>
    <n v="36"/>
    <n v="2.6"/>
  </r>
  <r>
    <x v="0"/>
    <x v="3"/>
    <n v="3"/>
    <n v="1"/>
    <n v="10"/>
    <n v="110"/>
    <n v="17"/>
    <n v="2"/>
    <x v="1"/>
    <n v="94"/>
    <n v="8.4"/>
  </r>
  <r>
    <x v="0"/>
    <x v="2"/>
    <n v="3"/>
    <n v="2"/>
    <n v="10"/>
    <n v="210"/>
    <n v="18"/>
    <n v="2"/>
    <x v="1"/>
    <n v="85"/>
    <n v="7.5"/>
  </r>
  <r>
    <x v="0"/>
    <x v="0"/>
    <n v="3"/>
    <n v="3"/>
    <n v="10"/>
    <n v="310"/>
    <n v="19"/>
    <n v="2"/>
    <x v="1"/>
    <n v="35"/>
    <n v="2.5"/>
  </r>
  <r>
    <x v="0"/>
    <x v="1"/>
    <n v="3"/>
    <n v="4"/>
    <n v="10"/>
    <n v="410"/>
    <n v="20"/>
    <n v="2"/>
    <x v="1"/>
    <n v="60"/>
    <n v="5"/>
  </r>
  <r>
    <x v="1"/>
    <x v="1"/>
    <n v="3"/>
    <n v="4"/>
    <n v="12"/>
    <n v="412"/>
    <n v="21"/>
    <n v="2"/>
    <x v="1"/>
    <n v="31"/>
    <n v="2.1"/>
  </r>
  <r>
    <x v="1"/>
    <x v="5"/>
    <n v="3"/>
    <n v="3"/>
    <n v="12"/>
    <n v="312"/>
    <n v="22"/>
    <n v="2"/>
    <x v="1"/>
    <n v="19"/>
    <n v="0.9"/>
  </r>
  <r>
    <x v="1"/>
    <x v="4"/>
    <n v="3"/>
    <n v="2"/>
    <n v="12"/>
    <n v="212"/>
    <n v="23"/>
    <n v="2"/>
    <x v="1"/>
    <n v="38"/>
    <n v="2.8"/>
  </r>
  <r>
    <x v="1"/>
    <x v="0"/>
    <n v="3"/>
    <n v="1"/>
    <n v="12"/>
    <n v="112"/>
    <n v="24"/>
    <n v="2"/>
    <x v="1"/>
    <n v="23"/>
    <n v="1.3"/>
  </r>
  <r>
    <x v="0"/>
    <x v="1"/>
    <n v="4"/>
    <n v="1"/>
    <n v="14"/>
    <n v="114"/>
    <n v="25"/>
    <n v="2"/>
    <x v="1"/>
    <n v="63"/>
    <n v="5.3"/>
  </r>
  <r>
    <x v="0"/>
    <x v="0"/>
    <n v="4"/>
    <n v="2"/>
    <n v="14"/>
    <n v="214"/>
    <n v="26"/>
    <n v="2"/>
    <x v="1"/>
    <n v="64"/>
    <n v="5.4"/>
  </r>
  <r>
    <x v="0"/>
    <x v="3"/>
    <n v="4"/>
    <n v="3"/>
    <n v="14"/>
    <n v="314"/>
    <n v="27"/>
    <n v="2"/>
    <x v="1"/>
    <n v="85"/>
    <n v="7.5"/>
  </r>
  <r>
    <x v="0"/>
    <x v="2"/>
    <n v="4"/>
    <n v="4"/>
    <n v="14"/>
    <n v="414"/>
    <n v="28"/>
    <n v="2"/>
    <x v="1"/>
    <n v="51"/>
    <n v="4.0999999999999996"/>
  </r>
  <r>
    <x v="1"/>
    <x v="4"/>
    <n v="4"/>
    <n v="4"/>
    <n v="16"/>
    <n v="416"/>
    <n v="29"/>
    <n v="2"/>
    <x v="1"/>
    <n v="41"/>
    <n v="3.1"/>
  </r>
  <r>
    <x v="1"/>
    <x v="0"/>
    <n v="4"/>
    <n v="3"/>
    <n v="16"/>
    <n v="316"/>
    <n v="30"/>
    <n v="2"/>
    <x v="1"/>
    <n v="32"/>
    <n v="2.2000000000000002"/>
  </r>
  <r>
    <x v="1"/>
    <x v="5"/>
    <n v="4"/>
    <n v="2"/>
    <n v="16"/>
    <n v="216"/>
    <n v="31"/>
    <n v="2"/>
    <x v="1"/>
    <n v="29"/>
    <n v="1.9"/>
  </r>
  <r>
    <x v="1"/>
    <x v="1"/>
    <n v="4"/>
    <n v="1"/>
    <n v="16"/>
    <n v="116"/>
    <n v="32"/>
    <n v="2"/>
    <x v="1"/>
    <n v="45"/>
    <n v="3.5"/>
  </r>
  <r>
    <x v="2"/>
    <x v="6"/>
    <m/>
    <m/>
    <m/>
    <m/>
    <m/>
    <m/>
    <x v="2"/>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x v="0"/>
    <x v="0"/>
    <n v="1"/>
    <n v="1"/>
    <n v="2"/>
    <n v="102"/>
    <n v="1"/>
    <n v="1"/>
    <x v="0"/>
    <n v="4.2"/>
    <n v="4.3"/>
    <n v="4.0999999999999996"/>
    <n v="1"/>
    <n v="2"/>
    <n v="0"/>
    <n v="4.2"/>
  </r>
  <r>
    <x v="0"/>
    <x v="1"/>
    <n v="1"/>
    <n v="2"/>
    <n v="2"/>
    <n v="202"/>
    <n v="2"/>
    <n v="1"/>
    <x v="0"/>
    <n v="4"/>
    <n v="4.4000000000000004"/>
    <n v="4.3"/>
    <n v="1"/>
    <n v="2"/>
    <n v="1"/>
    <n v="4.2333333333333334"/>
  </r>
  <r>
    <x v="0"/>
    <x v="2"/>
    <n v="1"/>
    <n v="3"/>
    <n v="2"/>
    <n v="302"/>
    <n v="3"/>
    <n v="1"/>
    <x v="0"/>
    <n v="4"/>
    <n v="3.2"/>
    <n v="3.5"/>
    <n v="2"/>
    <n v="0"/>
    <n v="0"/>
    <n v="3.5666666666666664"/>
  </r>
  <r>
    <x v="0"/>
    <x v="3"/>
    <n v="1"/>
    <n v="4"/>
    <n v="2"/>
    <n v="402"/>
    <n v="4"/>
    <n v="1"/>
    <x v="0"/>
    <n v="4.2"/>
    <n v="4.4000000000000004"/>
    <n v="4"/>
    <n v="2"/>
    <n v="3"/>
    <n v="2"/>
    <n v="4.2"/>
  </r>
  <r>
    <x v="1"/>
    <x v="0"/>
    <n v="1"/>
    <n v="4"/>
    <n v="4"/>
    <n v="404"/>
    <n v="5"/>
    <n v="1"/>
    <x v="1"/>
    <n v="3.7"/>
    <n v="3.6"/>
    <n v="4"/>
    <m/>
    <m/>
    <m/>
    <n v="3.7666666666666671"/>
  </r>
  <r>
    <x v="1"/>
    <x v="4"/>
    <n v="1"/>
    <n v="3"/>
    <n v="4"/>
    <n v="304"/>
    <n v="6"/>
    <n v="1"/>
    <x v="1"/>
    <n v="3.4"/>
    <n v="3.2"/>
    <n v="3.2"/>
    <m/>
    <m/>
    <m/>
    <n v="3.2666666666666671"/>
  </r>
  <r>
    <x v="1"/>
    <x v="1"/>
    <n v="1"/>
    <n v="2"/>
    <n v="4"/>
    <n v="204"/>
    <n v="7"/>
    <n v="1"/>
    <x v="1"/>
    <n v="4.0999999999999996"/>
    <n v="4.4000000000000004"/>
    <n v="4.3"/>
    <m/>
    <m/>
    <m/>
    <n v="4.2666666666666666"/>
  </r>
  <r>
    <x v="1"/>
    <x v="5"/>
    <n v="1"/>
    <n v="1"/>
    <n v="4"/>
    <n v="104"/>
    <n v="8"/>
    <n v="1"/>
    <x v="1"/>
    <n v="3.7"/>
    <n v="3.5"/>
    <n v="3.5"/>
    <m/>
    <m/>
    <m/>
    <n v="3.5666666666666664"/>
  </r>
  <r>
    <x v="0"/>
    <x v="2"/>
    <n v="2"/>
    <n v="1"/>
    <n v="6"/>
    <n v="106"/>
    <n v="9"/>
    <n v="1"/>
    <x v="0"/>
    <n v="4"/>
    <n v="4.2"/>
    <n v="3.7"/>
    <n v="1"/>
    <n v="1"/>
    <n v="1"/>
    <n v="3.9666666666666663"/>
  </r>
  <r>
    <x v="0"/>
    <x v="3"/>
    <n v="2"/>
    <n v="2"/>
    <n v="6"/>
    <n v="206"/>
    <n v="10"/>
    <n v="1"/>
    <x v="0"/>
    <n v="4.5999999999999996"/>
    <n v="4.3"/>
    <n v="4.0999999999999996"/>
    <n v="3"/>
    <n v="2"/>
    <n v="1"/>
    <n v="4.333333333333333"/>
  </r>
  <r>
    <x v="0"/>
    <x v="1"/>
    <n v="2"/>
    <n v="3"/>
    <n v="6"/>
    <n v="306"/>
    <n v="11"/>
    <n v="1"/>
    <x v="0"/>
    <n v="3.5"/>
    <n v="3.5"/>
    <n v="3.5"/>
    <n v="0"/>
    <n v="0"/>
    <n v="0"/>
    <n v="3.5"/>
  </r>
  <r>
    <x v="0"/>
    <x v="0"/>
    <n v="2"/>
    <n v="4"/>
    <n v="6"/>
    <n v="406"/>
    <n v="12"/>
    <n v="1"/>
    <x v="0"/>
    <n v="3.8"/>
    <n v="3.4"/>
    <n v="4.0999999999999996"/>
    <n v="1"/>
    <n v="1"/>
    <n v="1"/>
    <n v="3.7666666666666662"/>
  </r>
  <r>
    <x v="1"/>
    <x v="5"/>
    <n v="2"/>
    <n v="4"/>
    <n v="8"/>
    <n v="408"/>
    <n v="13"/>
    <n v="1"/>
    <x v="1"/>
    <n v="3.6"/>
    <n v="3.6"/>
    <n v="3.1"/>
    <m/>
    <m/>
    <m/>
    <n v="3.4333333333333336"/>
  </r>
  <r>
    <x v="1"/>
    <x v="1"/>
    <n v="2"/>
    <n v="3"/>
    <n v="8"/>
    <n v="308"/>
    <n v="14"/>
    <n v="1"/>
    <x v="1"/>
    <n v="4"/>
    <n v="3.3"/>
    <n v="3.3"/>
    <m/>
    <m/>
    <m/>
    <n v="3.5333333333333332"/>
  </r>
  <r>
    <x v="1"/>
    <x v="0"/>
    <n v="2"/>
    <n v="2"/>
    <n v="8"/>
    <n v="208"/>
    <n v="15"/>
    <n v="1"/>
    <x v="1"/>
    <n v="4.2"/>
    <n v="4.0999999999999996"/>
    <n v="3.7"/>
    <m/>
    <m/>
    <m/>
    <n v="4"/>
  </r>
  <r>
    <x v="1"/>
    <x v="4"/>
    <n v="2"/>
    <n v="1"/>
    <n v="8"/>
    <n v="108"/>
    <n v="16"/>
    <n v="1"/>
    <x v="1"/>
    <n v="4.0999999999999996"/>
    <n v="3.1"/>
    <n v="3.3"/>
    <m/>
    <m/>
    <m/>
    <n v="3.5"/>
  </r>
  <r>
    <x v="0"/>
    <x v="3"/>
    <n v="3"/>
    <n v="1"/>
    <n v="10"/>
    <n v="110"/>
    <n v="17"/>
    <n v="1"/>
    <x v="0"/>
    <n v="3.8"/>
    <n v="3.7"/>
    <n v="4"/>
    <n v="2"/>
    <n v="2"/>
    <n v="3"/>
    <n v="3.8333333333333335"/>
  </r>
  <r>
    <x v="0"/>
    <x v="2"/>
    <n v="3"/>
    <n v="2"/>
    <n v="10"/>
    <n v="210"/>
    <n v="18"/>
    <n v="1"/>
    <x v="0"/>
    <n v="4.2"/>
    <n v="4.2"/>
    <n v="3.9"/>
    <n v="2"/>
    <n v="2"/>
    <n v="2"/>
    <n v="4.1000000000000005"/>
  </r>
  <r>
    <x v="0"/>
    <x v="0"/>
    <n v="3"/>
    <n v="3"/>
    <n v="10"/>
    <n v="310"/>
    <n v="19"/>
    <n v="1"/>
    <x v="0"/>
    <n v="2.9"/>
    <n v="3.4"/>
    <n v="3"/>
    <n v="0"/>
    <n v="0"/>
    <n v="0"/>
    <n v="3.1"/>
  </r>
  <r>
    <x v="0"/>
    <x v="1"/>
    <n v="3"/>
    <n v="4"/>
    <n v="10"/>
    <n v="410"/>
    <n v="20"/>
    <n v="1"/>
    <x v="0"/>
    <n v="3.8"/>
    <n v="3.9"/>
    <n v="4.2"/>
    <n v="0"/>
    <n v="3"/>
    <n v="3"/>
    <n v="3.9666666666666663"/>
  </r>
  <r>
    <x v="1"/>
    <x v="1"/>
    <n v="3"/>
    <n v="4"/>
    <n v="12"/>
    <n v="412"/>
    <n v="21"/>
    <n v="1"/>
    <x v="1"/>
    <n v="3.8"/>
    <n v="3.7"/>
    <n v="3.5"/>
    <m/>
    <m/>
    <m/>
    <n v="3.6666666666666665"/>
  </r>
  <r>
    <x v="1"/>
    <x v="5"/>
    <n v="3"/>
    <n v="3"/>
    <n v="12"/>
    <n v="312"/>
    <n v="22"/>
    <n v="1"/>
    <x v="1"/>
    <n v="3.3"/>
    <n v="3.4"/>
    <n v="3.3"/>
    <m/>
    <m/>
    <m/>
    <n v="3.3333333333333335"/>
  </r>
  <r>
    <x v="1"/>
    <x v="4"/>
    <n v="3"/>
    <n v="2"/>
    <n v="12"/>
    <n v="212"/>
    <n v="23"/>
    <n v="1"/>
    <x v="1"/>
    <n v="3.4"/>
    <n v="3.4"/>
    <n v="3.3"/>
    <m/>
    <m/>
    <m/>
    <n v="3.3666666666666667"/>
  </r>
  <r>
    <x v="1"/>
    <x v="0"/>
    <n v="3"/>
    <n v="1"/>
    <n v="12"/>
    <n v="112"/>
    <n v="24"/>
    <n v="1"/>
    <x v="1"/>
    <n v="3.3"/>
    <n v="4.0999999999999996"/>
    <n v="4.3"/>
    <m/>
    <m/>
    <m/>
    <n v="3.9"/>
  </r>
  <r>
    <x v="0"/>
    <x v="1"/>
    <n v="4"/>
    <n v="1"/>
    <n v="14"/>
    <n v="114"/>
    <n v="25"/>
    <n v="1"/>
    <x v="0"/>
    <n v="4.8"/>
    <n v="4.7"/>
    <n v="3.2"/>
    <n v="3"/>
    <n v="2"/>
    <n v="0"/>
    <n v="4.2333333333333334"/>
  </r>
  <r>
    <x v="0"/>
    <x v="0"/>
    <n v="4"/>
    <n v="2"/>
    <n v="14"/>
    <n v="214"/>
    <n v="26"/>
    <n v="1"/>
    <x v="0"/>
    <n v="3.3"/>
    <n v="3.2"/>
    <n v="3.2"/>
    <n v="2"/>
    <n v="0"/>
    <n v="0"/>
    <n v="3.2333333333333329"/>
  </r>
  <r>
    <x v="0"/>
    <x v="3"/>
    <n v="4"/>
    <n v="3"/>
    <n v="14"/>
    <n v="314"/>
    <n v="27"/>
    <n v="1"/>
    <x v="0"/>
    <n v="3.2"/>
    <n v="3.4"/>
    <n v="3"/>
    <n v="0"/>
    <n v="0"/>
    <n v="1"/>
    <n v="3.1999999999999997"/>
  </r>
  <r>
    <x v="0"/>
    <x v="2"/>
    <n v="4"/>
    <n v="4"/>
    <n v="14"/>
    <n v="414"/>
    <n v="28"/>
    <n v="1"/>
    <x v="0"/>
    <n v="3.2"/>
    <n v="3.5"/>
    <n v="3.5"/>
    <n v="0"/>
    <n v="1"/>
    <n v="2"/>
    <n v="3.4"/>
  </r>
  <r>
    <x v="1"/>
    <x v="4"/>
    <n v="4"/>
    <n v="4"/>
    <n v="16"/>
    <n v="416"/>
    <n v="29"/>
    <n v="1"/>
    <x v="1"/>
    <n v="3.6"/>
    <n v="3.2"/>
    <n v="3.4"/>
    <m/>
    <m/>
    <m/>
    <n v="3.4000000000000004"/>
  </r>
  <r>
    <x v="1"/>
    <x v="0"/>
    <n v="4"/>
    <n v="3"/>
    <n v="16"/>
    <n v="316"/>
    <n v="30"/>
    <n v="1"/>
    <x v="1"/>
    <n v="4.3"/>
    <n v="3.6"/>
    <n v="3.6"/>
    <m/>
    <m/>
    <m/>
    <n v="3.8333333333333335"/>
  </r>
  <r>
    <x v="1"/>
    <x v="5"/>
    <n v="4"/>
    <n v="2"/>
    <n v="16"/>
    <n v="216"/>
    <n v="31"/>
    <n v="1"/>
    <x v="1"/>
    <n v="3.4"/>
    <n v="3.4"/>
    <n v="3.8"/>
    <m/>
    <m/>
    <m/>
    <n v="3.5333333333333332"/>
  </r>
  <r>
    <x v="1"/>
    <x v="1"/>
    <n v="4"/>
    <n v="1"/>
    <n v="16"/>
    <n v="116"/>
    <n v="32"/>
    <n v="1"/>
    <x v="1"/>
    <n v="3.4"/>
    <n v="3.2"/>
    <n v="3.3"/>
    <m/>
    <m/>
    <m/>
    <n v="3.2999999999999994"/>
  </r>
  <r>
    <x v="0"/>
    <x v="0"/>
    <n v="1"/>
    <n v="1"/>
    <n v="2"/>
    <n v="102"/>
    <n v="1"/>
    <n v="2"/>
    <x v="2"/>
    <n v="5.4"/>
    <n v="5.2"/>
    <n v="5.5"/>
    <n v="4"/>
    <n v="3"/>
    <n v="4"/>
    <n v="5.3666666666666671"/>
  </r>
  <r>
    <x v="0"/>
    <x v="1"/>
    <n v="1"/>
    <n v="2"/>
    <n v="2"/>
    <n v="202"/>
    <n v="2"/>
    <n v="2"/>
    <x v="2"/>
    <n v="5.0999999999999996"/>
    <n v="4.7"/>
    <n v="4.5"/>
    <n v="1"/>
    <n v="2"/>
    <n v="3"/>
    <n v="4.7666666666666666"/>
  </r>
  <r>
    <x v="0"/>
    <x v="2"/>
    <n v="1"/>
    <n v="3"/>
    <n v="2"/>
    <n v="302"/>
    <n v="3"/>
    <n v="2"/>
    <x v="2"/>
    <n v="5.4"/>
    <n v="4.5"/>
    <n v="4.7"/>
    <n v="2"/>
    <n v="0"/>
    <n v="0"/>
    <n v="4.8666666666666671"/>
  </r>
  <r>
    <x v="0"/>
    <x v="3"/>
    <n v="1"/>
    <n v="4"/>
    <n v="2"/>
    <n v="402"/>
    <n v="4"/>
    <n v="2"/>
    <x v="2"/>
    <n v="5.4"/>
    <n v="5.4"/>
    <n v="5.2"/>
    <n v="3"/>
    <n v="3"/>
    <n v="2"/>
    <n v="5.333333333333333"/>
  </r>
  <r>
    <x v="1"/>
    <x v="0"/>
    <n v="1"/>
    <n v="4"/>
    <n v="4"/>
    <n v="404"/>
    <n v="5"/>
    <n v="2"/>
    <x v="3"/>
    <n v="4.5"/>
    <n v="4.3"/>
    <n v="4.5999999999999996"/>
    <m/>
    <m/>
    <m/>
    <n v="4.4666666666666668"/>
  </r>
  <r>
    <x v="1"/>
    <x v="4"/>
    <n v="1"/>
    <n v="3"/>
    <n v="4"/>
    <n v="304"/>
    <n v="6"/>
    <n v="2"/>
    <x v="3"/>
    <n v="4.3"/>
    <n v="4.0999999999999996"/>
    <n v="4.2"/>
    <m/>
    <m/>
    <m/>
    <n v="4.1999999999999993"/>
  </r>
  <r>
    <x v="1"/>
    <x v="1"/>
    <n v="1"/>
    <n v="2"/>
    <n v="4"/>
    <n v="204"/>
    <n v="7"/>
    <n v="2"/>
    <x v="3"/>
    <n v="4.7"/>
    <n v="5"/>
    <n v="5.0999999999999996"/>
    <m/>
    <m/>
    <m/>
    <n v="4.9333333333333327"/>
  </r>
  <r>
    <x v="1"/>
    <x v="5"/>
    <n v="1"/>
    <n v="1"/>
    <n v="4"/>
    <n v="104"/>
    <n v="8"/>
    <n v="2"/>
    <x v="3"/>
    <n v="4.3"/>
    <n v="4.2"/>
    <n v="4.3"/>
    <m/>
    <m/>
    <m/>
    <n v="4.2666666666666666"/>
  </r>
  <r>
    <x v="0"/>
    <x v="2"/>
    <n v="2"/>
    <n v="1"/>
    <n v="6"/>
    <n v="106"/>
    <n v="9"/>
    <n v="2"/>
    <x v="2"/>
    <n v="4.9000000000000004"/>
    <n v="5.4"/>
    <n v="4.8"/>
    <n v="2"/>
    <n v="2"/>
    <n v="2"/>
    <n v="5.0333333333333341"/>
  </r>
  <r>
    <x v="0"/>
    <x v="3"/>
    <n v="2"/>
    <n v="2"/>
    <n v="6"/>
    <n v="206"/>
    <n v="10"/>
    <n v="2"/>
    <x v="2"/>
    <n v="5.5"/>
    <n v="5.4"/>
    <n v="5.3"/>
    <n v="5"/>
    <n v="5"/>
    <n v="3"/>
    <n v="5.3999999999999995"/>
  </r>
  <r>
    <x v="0"/>
    <x v="1"/>
    <n v="2"/>
    <n v="3"/>
    <n v="6"/>
    <n v="306"/>
    <n v="11"/>
    <n v="2"/>
    <x v="2"/>
    <n v="4.8"/>
    <n v="4.7"/>
    <n v="5"/>
    <n v="0"/>
    <n v="1"/>
    <n v="1"/>
    <n v="4.833333333333333"/>
  </r>
  <r>
    <x v="0"/>
    <x v="0"/>
    <n v="2"/>
    <n v="4"/>
    <n v="6"/>
    <n v="406"/>
    <n v="12"/>
    <n v="2"/>
    <x v="2"/>
    <n v="5.0999999999999996"/>
    <n v="4.8"/>
    <n v="5.4"/>
    <n v="2"/>
    <n v="3"/>
    <n v="2"/>
    <n v="5.0999999999999996"/>
  </r>
  <r>
    <x v="1"/>
    <x v="5"/>
    <n v="2"/>
    <n v="4"/>
    <n v="8"/>
    <n v="408"/>
    <n v="13"/>
    <n v="2"/>
    <x v="3"/>
    <n v="4.3"/>
    <n v="4.3"/>
    <n v="3.8"/>
    <m/>
    <m/>
    <m/>
    <n v="4.1333333333333329"/>
  </r>
  <r>
    <x v="1"/>
    <x v="1"/>
    <n v="2"/>
    <n v="3"/>
    <n v="8"/>
    <n v="308"/>
    <n v="14"/>
    <n v="2"/>
    <x v="3"/>
    <n v="4.5999999999999996"/>
    <n v="4"/>
    <n v="4.2"/>
    <m/>
    <m/>
    <m/>
    <n v="4.2666666666666666"/>
  </r>
  <r>
    <x v="1"/>
    <x v="0"/>
    <n v="2"/>
    <n v="2"/>
    <n v="8"/>
    <n v="208"/>
    <n v="15"/>
    <n v="2"/>
    <x v="3"/>
    <n v="5"/>
    <n v="4.7"/>
    <n v="4.4000000000000004"/>
    <m/>
    <m/>
    <m/>
    <n v="4.7"/>
  </r>
  <r>
    <x v="1"/>
    <x v="4"/>
    <n v="2"/>
    <n v="1"/>
    <n v="8"/>
    <n v="108"/>
    <n v="16"/>
    <n v="2"/>
    <x v="3"/>
    <n v="4.5"/>
    <n v="3.7"/>
    <n v="4.0999999999999996"/>
    <m/>
    <m/>
    <m/>
    <n v="4.0999999999999996"/>
  </r>
  <r>
    <x v="0"/>
    <x v="3"/>
    <n v="3"/>
    <n v="1"/>
    <n v="10"/>
    <n v="110"/>
    <n v="17"/>
    <n v="2"/>
    <x v="2"/>
    <n v="5.3"/>
    <n v="4.7"/>
    <n v="4.5999999999999996"/>
    <n v="3"/>
    <n v="2"/>
    <n v="2"/>
    <n v="4.8666666666666663"/>
  </r>
  <r>
    <x v="0"/>
    <x v="2"/>
    <n v="3"/>
    <n v="2"/>
    <n v="10"/>
    <n v="210"/>
    <n v="18"/>
    <n v="2"/>
    <x v="2"/>
    <n v="5.4"/>
    <n v="5.4"/>
    <n v="5.4"/>
    <n v="3"/>
    <n v="3"/>
    <n v="3"/>
    <n v="5.4000000000000012"/>
  </r>
  <r>
    <x v="0"/>
    <x v="0"/>
    <n v="3"/>
    <n v="3"/>
    <n v="10"/>
    <n v="310"/>
    <n v="19"/>
    <n v="2"/>
    <x v="2"/>
    <n v="4.5"/>
    <n v="4.4000000000000004"/>
    <n v="4.2"/>
    <n v="1"/>
    <n v="1"/>
    <n v="1"/>
    <n v="4.3666666666666671"/>
  </r>
  <r>
    <x v="0"/>
    <x v="1"/>
    <n v="3"/>
    <n v="4"/>
    <n v="10"/>
    <n v="410"/>
    <n v="20"/>
    <n v="2"/>
    <x v="2"/>
    <n v="5.3"/>
    <n v="5.5"/>
    <n v="5.2"/>
    <n v="1"/>
    <n v="2"/>
    <n v="2"/>
    <n v="5.333333333333333"/>
  </r>
  <r>
    <x v="1"/>
    <x v="1"/>
    <n v="3"/>
    <n v="4"/>
    <n v="12"/>
    <n v="412"/>
    <n v="21"/>
    <n v="2"/>
    <x v="3"/>
    <n v="4.5"/>
    <n v="4.5"/>
    <n v="4.4000000000000004"/>
    <m/>
    <m/>
    <m/>
    <n v="4.4666666666666668"/>
  </r>
  <r>
    <x v="1"/>
    <x v="5"/>
    <n v="3"/>
    <n v="3"/>
    <n v="12"/>
    <n v="312"/>
    <n v="22"/>
    <n v="2"/>
    <x v="3"/>
    <n v="3.8"/>
    <n v="4"/>
    <n v="3.8"/>
    <m/>
    <m/>
    <m/>
    <n v="3.8666666666666667"/>
  </r>
  <r>
    <x v="1"/>
    <x v="4"/>
    <n v="3"/>
    <n v="2"/>
    <n v="12"/>
    <n v="212"/>
    <n v="23"/>
    <n v="2"/>
    <x v="3"/>
    <n v="4.3"/>
    <n v="4"/>
    <n v="4.0999999999999996"/>
    <m/>
    <m/>
    <m/>
    <n v="4.1333333333333337"/>
  </r>
  <r>
    <x v="1"/>
    <x v="0"/>
    <n v="3"/>
    <n v="1"/>
    <n v="12"/>
    <n v="112"/>
    <n v="24"/>
    <n v="2"/>
    <x v="3"/>
    <n v="4.0999999999999996"/>
    <n v="4.5999999999999996"/>
    <n v="4.7"/>
    <m/>
    <m/>
    <m/>
    <n v="4.4666666666666659"/>
  </r>
  <r>
    <x v="0"/>
    <x v="1"/>
    <n v="4"/>
    <n v="1"/>
    <n v="14"/>
    <n v="114"/>
    <n v="25"/>
    <n v="2"/>
    <x v="2"/>
    <n v="6.1"/>
    <n v="5.6"/>
    <n v="4.5"/>
    <n v="3"/>
    <n v="3"/>
    <n v="0"/>
    <n v="5.3999999999999995"/>
  </r>
  <r>
    <x v="0"/>
    <x v="0"/>
    <n v="4"/>
    <n v="2"/>
    <n v="14"/>
    <n v="214"/>
    <n v="26"/>
    <n v="2"/>
    <x v="2"/>
    <n v="4.5999999999999996"/>
    <n v="4.5"/>
    <n v="4.5"/>
    <n v="3"/>
    <n v="1"/>
    <n v="0"/>
    <n v="4.5333333333333332"/>
  </r>
  <r>
    <x v="0"/>
    <x v="3"/>
    <n v="4"/>
    <n v="3"/>
    <n v="14"/>
    <n v="314"/>
    <n v="27"/>
    <n v="2"/>
    <x v="2"/>
    <n v="4.5999999999999996"/>
    <n v="4.5"/>
    <n v="4.2"/>
    <n v="1"/>
    <n v="0"/>
    <n v="1"/>
    <n v="4.4333333333333336"/>
  </r>
  <r>
    <x v="0"/>
    <x v="2"/>
    <n v="4"/>
    <n v="4"/>
    <n v="14"/>
    <n v="414"/>
    <n v="28"/>
    <n v="2"/>
    <x v="2"/>
    <n v="4.7"/>
    <n v="5.2"/>
    <n v="5.2"/>
    <n v="2"/>
    <n v="2"/>
    <n v="2"/>
    <n v="5.0333333333333341"/>
  </r>
  <r>
    <x v="1"/>
    <x v="4"/>
    <n v="4"/>
    <n v="4"/>
    <n v="16"/>
    <n v="416"/>
    <n v="29"/>
    <n v="2"/>
    <x v="3"/>
    <n v="4.3"/>
    <n v="4.0999999999999996"/>
    <n v="4.3"/>
    <m/>
    <m/>
    <m/>
    <n v="4.2333333333333334"/>
  </r>
  <r>
    <x v="1"/>
    <x v="0"/>
    <n v="4"/>
    <n v="3"/>
    <n v="16"/>
    <n v="316"/>
    <n v="30"/>
    <n v="2"/>
    <x v="3"/>
    <n v="4.8"/>
    <n v="4.3"/>
    <n v="4.3"/>
    <m/>
    <m/>
    <m/>
    <n v="4.4666666666666659"/>
  </r>
  <r>
    <x v="1"/>
    <x v="5"/>
    <n v="4"/>
    <n v="2"/>
    <n v="16"/>
    <n v="216"/>
    <n v="31"/>
    <n v="2"/>
    <x v="3"/>
    <n v="4"/>
    <n v="4.0999999999999996"/>
    <n v="4.4000000000000004"/>
    <m/>
    <m/>
    <m/>
    <n v="4.166666666666667"/>
  </r>
  <r>
    <x v="1"/>
    <x v="1"/>
    <n v="4"/>
    <n v="1"/>
    <n v="16"/>
    <n v="116"/>
    <n v="32"/>
    <n v="2"/>
    <x v="3"/>
    <n v="4.0999999999999996"/>
    <n v="3.7"/>
    <n v="4.2"/>
    <m/>
    <m/>
    <m/>
    <n v="4"/>
  </r>
  <r>
    <x v="0"/>
    <x v="0"/>
    <n v="1"/>
    <n v="1"/>
    <n v="2"/>
    <n v="102"/>
    <n v="1"/>
    <n v="3"/>
    <x v="4"/>
    <n v="6.3"/>
    <n v="6"/>
    <n v="6.3"/>
    <n v="5"/>
    <n v="4"/>
    <n v="6"/>
    <n v="6.2"/>
  </r>
  <r>
    <x v="0"/>
    <x v="1"/>
    <n v="1"/>
    <n v="2"/>
    <n v="2"/>
    <n v="202"/>
    <n v="2"/>
    <n v="3"/>
    <x v="4"/>
    <n v="5.9"/>
    <n v="5.4"/>
    <n v="5.2"/>
    <n v="5"/>
    <n v="4"/>
    <n v="5"/>
    <n v="5.5"/>
  </r>
  <r>
    <x v="0"/>
    <x v="2"/>
    <n v="1"/>
    <n v="3"/>
    <n v="2"/>
    <n v="302"/>
    <n v="3"/>
    <n v="3"/>
    <x v="4"/>
    <n v="6"/>
    <n v="5.2"/>
    <n v="5.5"/>
    <n v="3"/>
    <n v="2"/>
    <n v="1"/>
    <n v="5.5666666666666664"/>
  </r>
  <r>
    <x v="0"/>
    <x v="3"/>
    <n v="1"/>
    <n v="4"/>
    <n v="2"/>
    <n v="402"/>
    <n v="4"/>
    <n v="3"/>
    <x v="4"/>
    <n v="6"/>
    <n v="6.3"/>
    <n v="6"/>
    <n v="4"/>
    <n v="6"/>
    <n v="5"/>
    <n v="6.1000000000000005"/>
  </r>
  <r>
    <x v="1"/>
    <x v="0"/>
    <n v="1"/>
    <n v="4"/>
    <n v="4"/>
    <n v="404"/>
    <n v="5"/>
    <n v="3"/>
    <x v="5"/>
    <n v="5.2"/>
    <n v="5"/>
    <n v="5.4"/>
    <m/>
    <m/>
    <m/>
    <n v="5.2"/>
  </r>
  <r>
    <x v="1"/>
    <x v="4"/>
    <n v="1"/>
    <n v="3"/>
    <n v="4"/>
    <n v="304"/>
    <n v="6"/>
    <n v="3"/>
    <x v="5"/>
    <n v="5.0999999999999996"/>
    <n v="5"/>
    <n v="5.0999999999999996"/>
    <m/>
    <m/>
    <m/>
    <n v="5.0666666666666664"/>
  </r>
  <r>
    <x v="1"/>
    <x v="1"/>
    <n v="1"/>
    <n v="2"/>
    <n v="4"/>
    <n v="204"/>
    <n v="7"/>
    <n v="3"/>
    <x v="5"/>
    <n v="5.4"/>
    <n v="5.5"/>
    <n v="5.6"/>
    <m/>
    <m/>
    <m/>
    <n v="5.5"/>
  </r>
  <r>
    <x v="1"/>
    <x v="5"/>
    <n v="1"/>
    <n v="1"/>
    <n v="4"/>
    <n v="104"/>
    <n v="8"/>
    <n v="3"/>
    <x v="5"/>
    <n v="5"/>
    <n v="5"/>
    <n v="4.8"/>
    <m/>
    <m/>
    <m/>
    <n v="4.9333333333333336"/>
  </r>
  <r>
    <x v="0"/>
    <x v="2"/>
    <n v="2"/>
    <n v="1"/>
    <n v="6"/>
    <n v="106"/>
    <n v="9"/>
    <n v="3"/>
    <x v="4"/>
    <n v="5.5"/>
    <n v="6.2"/>
    <n v="5.5"/>
    <n v="4"/>
    <n v="2"/>
    <n v="2"/>
    <n v="5.7333333333333334"/>
  </r>
  <r>
    <x v="0"/>
    <x v="3"/>
    <n v="2"/>
    <n v="2"/>
    <n v="6"/>
    <n v="206"/>
    <n v="10"/>
    <n v="3"/>
    <x v="4"/>
    <n v="6.2"/>
    <n v="6.1"/>
    <n v="6"/>
    <n v="5"/>
    <n v="6"/>
    <n v="5"/>
    <n v="6.1000000000000005"/>
  </r>
  <r>
    <x v="0"/>
    <x v="1"/>
    <n v="2"/>
    <n v="3"/>
    <n v="6"/>
    <n v="306"/>
    <n v="11"/>
    <n v="3"/>
    <x v="4"/>
    <n v="5.7"/>
    <n v="5.7"/>
    <n v="5.8"/>
    <n v="0"/>
    <n v="1"/>
    <n v="3"/>
    <n v="5.7333333333333334"/>
  </r>
  <r>
    <x v="0"/>
    <x v="0"/>
    <n v="2"/>
    <n v="4"/>
    <n v="6"/>
    <n v="406"/>
    <n v="12"/>
    <n v="3"/>
    <x v="4"/>
    <n v="5.7"/>
    <n v="5.4"/>
    <n v="6.2"/>
    <n v="4"/>
    <n v="5"/>
    <n v="4"/>
    <n v="5.7666666666666666"/>
  </r>
  <r>
    <x v="1"/>
    <x v="5"/>
    <n v="2"/>
    <n v="4"/>
    <n v="8"/>
    <n v="408"/>
    <n v="13"/>
    <n v="3"/>
    <x v="5"/>
    <n v="5"/>
    <n v="5"/>
    <n v="4.4000000000000004"/>
    <m/>
    <m/>
    <m/>
    <n v="4.8"/>
  </r>
  <r>
    <x v="1"/>
    <x v="1"/>
    <n v="2"/>
    <n v="3"/>
    <n v="8"/>
    <n v="308"/>
    <n v="14"/>
    <n v="3"/>
    <x v="5"/>
    <n v="5.4"/>
    <n v="4.8"/>
    <n v="5"/>
    <m/>
    <m/>
    <m/>
    <n v="5.0666666666666664"/>
  </r>
  <r>
    <x v="1"/>
    <x v="0"/>
    <n v="2"/>
    <n v="2"/>
    <n v="8"/>
    <n v="208"/>
    <n v="15"/>
    <n v="3"/>
    <x v="5"/>
    <n v="5.5"/>
    <n v="5.4"/>
    <n v="5"/>
    <m/>
    <m/>
    <m/>
    <n v="5.3"/>
  </r>
  <r>
    <x v="1"/>
    <x v="4"/>
    <n v="2"/>
    <n v="1"/>
    <n v="8"/>
    <n v="108"/>
    <n v="16"/>
    <n v="3"/>
    <x v="5"/>
    <n v="5.4"/>
    <n v="4.3"/>
    <n v="4.5"/>
    <m/>
    <m/>
    <m/>
    <n v="4.7333333333333334"/>
  </r>
  <r>
    <x v="0"/>
    <x v="3"/>
    <n v="3"/>
    <n v="1"/>
    <n v="10"/>
    <n v="110"/>
    <n v="17"/>
    <n v="3"/>
    <x v="4"/>
    <n v="6"/>
    <n v="5.4"/>
    <n v="5.3"/>
    <n v="4"/>
    <n v="2"/>
    <n v="2"/>
    <n v="5.5666666666666664"/>
  </r>
  <r>
    <x v="0"/>
    <x v="2"/>
    <n v="3"/>
    <n v="2"/>
    <n v="10"/>
    <n v="210"/>
    <n v="18"/>
    <n v="3"/>
    <x v="4"/>
    <n v="6.1"/>
    <n v="6.3"/>
    <n v="6.2"/>
    <n v="4"/>
    <n v="6"/>
    <n v="3"/>
    <n v="6.1999999999999993"/>
  </r>
  <r>
    <x v="0"/>
    <x v="0"/>
    <n v="3"/>
    <n v="3"/>
    <n v="10"/>
    <n v="310"/>
    <n v="19"/>
    <n v="3"/>
    <x v="4"/>
    <n v="5.2"/>
    <n v="5.2"/>
    <n v="5.0999999999999996"/>
    <n v="3"/>
    <n v="2"/>
    <n v="3"/>
    <n v="5.166666666666667"/>
  </r>
  <r>
    <x v="0"/>
    <x v="1"/>
    <n v="3"/>
    <n v="4"/>
    <n v="10"/>
    <n v="410"/>
    <n v="20"/>
    <n v="3"/>
    <x v="4"/>
    <n v="6"/>
    <n v="6.2"/>
    <n v="6"/>
    <n v="3"/>
    <n v="6"/>
    <n v="4"/>
    <n v="6.0666666666666664"/>
  </r>
  <r>
    <x v="1"/>
    <x v="1"/>
    <n v="3"/>
    <n v="4"/>
    <n v="12"/>
    <n v="412"/>
    <n v="21"/>
    <n v="3"/>
    <x v="5"/>
    <n v="5.3"/>
    <n v="5.2"/>
    <n v="5.0999999999999996"/>
    <m/>
    <m/>
    <m/>
    <n v="5.2"/>
  </r>
  <r>
    <x v="1"/>
    <x v="5"/>
    <n v="3"/>
    <n v="3"/>
    <n v="12"/>
    <n v="312"/>
    <n v="22"/>
    <n v="3"/>
    <x v="5"/>
    <n v="4.4000000000000004"/>
    <n v="4.5"/>
    <n v="4.4000000000000004"/>
    <m/>
    <m/>
    <m/>
    <n v="4.4333333333333336"/>
  </r>
  <r>
    <x v="1"/>
    <x v="4"/>
    <n v="3"/>
    <n v="2"/>
    <n v="12"/>
    <n v="212"/>
    <n v="23"/>
    <n v="3"/>
    <x v="5"/>
    <n v="5.0999999999999996"/>
    <n v="4.5999999999999996"/>
    <n v="4.7"/>
    <m/>
    <m/>
    <m/>
    <n v="4.8"/>
  </r>
  <r>
    <x v="1"/>
    <x v="0"/>
    <n v="3"/>
    <n v="1"/>
    <n v="12"/>
    <n v="112"/>
    <n v="24"/>
    <n v="3"/>
    <x v="5"/>
    <n v="4.8"/>
    <n v="5.3"/>
    <n v="5.3"/>
    <m/>
    <m/>
    <m/>
    <n v="5.1333333333333329"/>
  </r>
  <r>
    <x v="0"/>
    <x v="1"/>
    <n v="4"/>
    <n v="1"/>
    <n v="14"/>
    <n v="114"/>
    <n v="25"/>
    <n v="3"/>
    <x v="4"/>
    <n v="6.7"/>
    <n v="5.8"/>
    <n v="5.5"/>
    <n v="6"/>
    <n v="1"/>
    <n v="2"/>
    <n v="6"/>
  </r>
  <r>
    <x v="0"/>
    <x v="0"/>
    <n v="4"/>
    <n v="2"/>
    <n v="14"/>
    <n v="214"/>
    <n v="26"/>
    <n v="3"/>
    <x v="4"/>
    <n v="5.3"/>
    <n v="5.3"/>
    <n v="5.4"/>
    <n v="4"/>
    <n v="3"/>
    <n v="1"/>
    <n v="5.333333333333333"/>
  </r>
  <r>
    <x v="0"/>
    <x v="3"/>
    <n v="4"/>
    <n v="3"/>
    <n v="14"/>
    <n v="314"/>
    <n v="27"/>
    <n v="3"/>
    <x v="4"/>
    <n v="5.3"/>
    <n v="5.2"/>
    <n v="4.7"/>
    <n v="3"/>
    <n v="1"/>
    <n v="2"/>
    <n v="5.0666666666666664"/>
  </r>
  <r>
    <x v="0"/>
    <x v="2"/>
    <n v="4"/>
    <n v="4"/>
    <n v="14"/>
    <n v="414"/>
    <n v="28"/>
    <n v="3"/>
    <x v="4"/>
    <n v="5.3"/>
    <n v="6"/>
    <n v="6"/>
    <n v="2"/>
    <n v="4"/>
    <n v="3"/>
    <n v="5.7666666666666666"/>
  </r>
  <r>
    <x v="1"/>
    <x v="4"/>
    <n v="4"/>
    <n v="4"/>
    <n v="16"/>
    <n v="416"/>
    <n v="29"/>
    <n v="3"/>
    <x v="5"/>
    <n v="5.0999999999999996"/>
    <n v="4.8"/>
    <n v="5.0999999999999996"/>
    <m/>
    <m/>
    <m/>
    <n v="4.9999999999999991"/>
  </r>
  <r>
    <x v="1"/>
    <x v="0"/>
    <n v="4"/>
    <n v="3"/>
    <n v="16"/>
    <n v="316"/>
    <n v="30"/>
    <n v="3"/>
    <x v="5"/>
    <n v="5.4"/>
    <n v="4.7"/>
    <n v="4.8"/>
    <m/>
    <m/>
    <m/>
    <n v="4.9666666666666677"/>
  </r>
  <r>
    <x v="1"/>
    <x v="5"/>
    <n v="4"/>
    <n v="2"/>
    <n v="16"/>
    <n v="216"/>
    <n v="31"/>
    <n v="3"/>
    <x v="5"/>
    <n v="4.5999999999999996"/>
    <n v="4.7"/>
    <n v="5.0999999999999996"/>
    <m/>
    <m/>
    <m/>
    <n v="4.8"/>
  </r>
  <r>
    <x v="1"/>
    <x v="1"/>
    <n v="4"/>
    <n v="1"/>
    <n v="16"/>
    <n v="116"/>
    <n v="32"/>
    <n v="3"/>
    <x v="5"/>
    <n v="4.8"/>
    <n v="4.4000000000000004"/>
    <n v="4.8"/>
    <m/>
    <m/>
    <m/>
    <n v="4.666666666666667"/>
  </r>
  <r>
    <x v="0"/>
    <x v="0"/>
    <n v="1"/>
    <n v="1"/>
    <n v="2"/>
    <n v="102"/>
    <n v="1"/>
    <n v="4"/>
    <x v="6"/>
    <n v="6.6"/>
    <n v="6.4"/>
    <n v="6.7"/>
    <n v="6"/>
    <n v="5"/>
    <n v="6"/>
    <n v="6.5666666666666664"/>
  </r>
  <r>
    <x v="0"/>
    <x v="1"/>
    <n v="1"/>
    <n v="2"/>
    <n v="2"/>
    <n v="202"/>
    <n v="2"/>
    <n v="4"/>
    <x v="6"/>
    <n v="6.4"/>
    <n v="5.8"/>
    <n v="5.7"/>
    <n v="6"/>
    <n v="5"/>
    <n v="5"/>
    <n v="5.9666666666666659"/>
  </r>
  <r>
    <x v="0"/>
    <x v="2"/>
    <n v="1"/>
    <n v="3"/>
    <n v="2"/>
    <n v="302"/>
    <n v="3"/>
    <n v="4"/>
    <x v="6"/>
    <n v="6.5"/>
    <n v="5.5"/>
    <n v="6.2"/>
    <n v="6"/>
    <n v="3"/>
    <n v="3"/>
    <n v="6.0666666666666664"/>
  </r>
  <r>
    <x v="0"/>
    <x v="3"/>
    <n v="1"/>
    <n v="4"/>
    <n v="2"/>
    <n v="402"/>
    <n v="4"/>
    <n v="4"/>
    <x v="6"/>
    <n v="6.4"/>
    <n v="6.6"/>
    <n v="6.3"/>
    <n v="6"/>
    <n v="6"/>
    <n v="6"/>
    <n v="6.4333333333333336"/>
  </r>
  <r>
    <x v="1"/>
    <x v="0"/>
    <n v="1"/>
    <n v="4"/>
    <n v="4"/>
    <n v="404"/>
    <n v="5"/>
    <n v="4"/>
    <x v="7"/>
    <n v="5.6"/>
    <n v="5.5"/>
    <n v="5.8"/>
    <m/>
    <m/>
    <m/>
    <n v="5.6333333333333329"/>
  </r>
  <r>
    <x v="1"/>
    <x v="4"/>
    <n v="1"/>
    <n v="3"/>
    <n v="4"/>
    <n v="304"/>
    <n v="6"/>
    <n v="4"/>
    <x v="7"/>
    <n v="5.7"/>
    <n v="5.4"/>
    <n v="5.5"/>
    <m/>
    <m/>
    <m/>
    <n v="5.5333333333333341"/>
  </r>
  <r>
    <x v="1"/>
    <x v="1"/>
    <n v="1"/>
    <n v="2"/>
    <n v="4"/>
    <n v="204"/>
    <n v="7"/>
    <n v="4"/>
    <x v="7"/>
    <n v="6"/>
    <n v="6.2"/>
    <n v="6.3"/>
    <m/>
    <m/>
    <m/>
    <n v="6.166666666666667"/>
  </r>
  <r>
    <x v="1"/>
    <x v="5"/>
    <n v="1"/>
    <n v="1"/>
    <n v="4"/>
    <n v="104"/>
    <n v="8"/>
    <n v="4"/>
    <x v="7"/>
    <n v="5.4"/>
    <n v="5.4"/>
    <n v="5.3"/>
    <m/>
    <m/>
    <m/>
    <n v="5.3666666666666671"/>
  </r>
  <r>
    <x v="0"/>
    <x v="2"/>
    <n v="2"/>
    <n v="1"/>
    <n v="6"/>
    <n v="106"/>
    <n v="9"/>
    <n v="4"/>
    <x v="6"/>
    <n v="6.1"/>
    <n v="6.5"/>
    <n v="6.1"/>
    <n v="4"/>
    <n v="4"/>
    <n v="4"/>
    <n v="6.2333333333333334"/>
  </r>
  <r>
    <x v="0"/>
    <x v="3"/>
    <n v="2"/>
    <n v="2"/>
    <n v="6"/>
    <n v="206"/>
    <n v="10"/>
    <n v="4"/>
    <x v="6"/>
    <n v="6.6"/>
    <n v="6.4"/>
    <n v="6.3"/>
    <n v="6"/>
    <n v="6"/>
    <n v="4"/>
    <n v="6.4333333333333336"/>
  </r>
  <r>
    <x v="0"/>
    <x v="1"/>
    <n v="2"/>
    <n v="3"/>
    <n v="6"/>
    <n v="306"/>
    <n v="11"/>
    <n v="4"/>
    <x v="6"/>
    <n v="6.1"/>
    <n v="6.5"/>
    <n v="6.3"/>
    <n v="1"/>
    <n v="4"/>
    <n v="4"/>
    <n v="6.3"/>
  </r>
  <r>
    <x v="0"/>
    <x v="0"/>
    <n v="2"/>
    <n v="4"/>
    <n v="6"/>
    <n v="406"/>
    <n v="12"/>
    <n v="4"/>
    <x v="6"/>
    <n v="6.2"/>
    <n v="6"/>
    <n v="6.5"/>
    <n v="4"/>
    <n v="5"/>
    <n v="5"/>
    <n v="6.2333333333333334"/>
  </r>
  <r>
    <x v="1"/>
    <x v="5"/>
    <n v="2"/>
    <n v="4"/>
    <n v="8"/>
    <n v="408"/>
    <n v="13"/>
    <n v="4"/>
    <x v="7"/>
    <n v="5.4"/>
    <n v="5.5"/>
    <n v="5"/>
    <m/>
    <m/>
    <m/>
    <n v="5.3"/>
  </r>
  <r>
    <x v="1"/>
    <x v="1"/>
    <n v="2"/>
    <n v="3"/>
    <n v="8"/>
    <n v="308"/>
    <n v="14"/>
    <n v="4"/>
    <x v="7"/>
    <n v="6"/>
    <n v="5.2"/>
    <n v="5.6"/>
    <m/>
    <m/>
    <m/>
    <n v="5.5999999999999988"/>
  </r>
  <r>
    <x v="1"/>
    <x v="0"/>
    <n v="2"/>
    <n v="2"/>
    <n v="8"/>
    <n v="208"/>
    <n v="15"/>
    <n v="4"/>
    <x v="7"/>
    <n v="6.2"/>
    <n v="6"/>
    <n v="5.5"/>
    <m/>
    <m/>
    <m/>
    <n v="5.8999999999999995"/>
  </r>
  <r>
    <x v="1"/>
    <x v="4"/>
    <n v="2"/>
    <n v="1"/>
    <n v="8"/>
    <n v="108"/>
    <n v="16"/>
    <n v="4"/>
    <x v="7"/>
    <n v="6"/>
    <n v="4.7"/>
    <n v="5.0999999999999996"/>
    <m/>
    <m/>
    <m/>
    <n v="5.2666666666666666"/>
  </r>
  <r>
    <x v="0"/>
    <x v="3"/>
    <n v="3"/>
    <n v="1"/>
    <n v="10"/>
    <n v="110"/>
    <n v="17"/>
    <n v="4"/>
    <x v="6"/>
    <n v="6.4"/>
    <n v="6"/>
    <n v="6"/>
    <n v="6"/>
    <n v="5"/>
    <n v="4"/>
    <n v="6.1333333333333329"/>
  </r>
  <r>
    <x v="0"/>
    <x v="2"/>
    <n v="3"/>
    <n v="2"/>
    <n v="10"/>
    <n v="210"/>
    <n v="18"/>
    <n v="4"/>
    <x v="6"/>
    <n v="6.4"/>
    <n v="6.6"/>
    <n v="6.5"/>
    <n v="5"/>
    <n v="6"/>
    <n v="4"/>
    <n v="6.5"/>
  </r>
  <r>
    <x v="0"/>
    <x v="0"/>
    <n v="3"/>
    <n v="3"/>
    <n v="10"/>
    <n v="310"/>
    <n v="19"/>
    <n v="4"/>
    <x v="6"/>
    <n v="5.6"/>
    <n v="5.5"/>
    <n v="5.5"/>
    <n v="3"/>
    <n v="3"/>
    <n v="3"/>
    <n v="5.5333333333333341"/>
  </r>
  <r>
    <x v="0"/>
    <x v="1"/>
    <n v="3"/>
    <n v="4"/>
    <n v="10"/>
    <n v="410"/>
    <n v="20"/>
    <n v="4"/>
    <x v="6"/>
    <n v="6.4"/>
    <n v="6.6"/>
    <n v="6.7"/>
    <n v="3"/>
    <n v="6"/>
    <n v="5"/>
    <n v="6.5666666666666664"/>
  </r>
  <r>
    <x v="1"/>
    <x v="1"/>
    <n v="3"/>
    <n v="4"/>
    <n v="12"/>
    <n v="412"/>
    <n v="21"/>
    <n v="4"/>
    <x v="7"/>
    <n v="5.8"/>
    <n v="5.8"/>
    <n v="5.7"/>
    <m/>
    <m/>
    <m/>
    <n v="5.7666666666666666"/>
  </r>
  <r>
    <x v="1"/>
    <x v="5"/>
    <n v="3"/>
    <n v="3"/>
    <n v="12"/>
    <n v="312"/>
    <n v="22"/>
    <n v="4"/>
    <x v="7"/>
    <n v="5"/>
    <n v="5.0999999999999996"/>
    <n v="5"/>
    <m/>
    <m/>
    <m/>
    <n v="5.0333333333333332"/>
  </r>
  <r>
    <x v="1"/>
    <x v="4"/>
    <n v="3"/>
    <n v="2"/>
    <n v="12"/>
    <n v="212"/>
    <n v="23"/>
    <n v="4"/>
    <x v="7"/>
    <n v="5.6"/>
    <n v="5.3"/>
    <n v="5.3"/>
    <m/>
    <m/>
    <m/>
    <n v="5.3999999999999995"/>
  </r>
  <r>
    <x v="1"/>
    <x v="0"/>
    <n v="3"/>
    <n v="1"/>
    <n v="12"/>
    <n v="112"/>
    <n v="24"/>
    <n v="4"/>
    <x v="7"/>
    <n v="5.4"/>
    <n v="5.7"/>
    <n v="5.8"/>
    <m/>
    <m/>
    <m/>
    <n v="5.6333333333333337"/>
  </r>
  <r>
    <x v="0"/>
    <x v="1"/>
    <n v="4"/>
    <n v="1"/>
    <n v="14"/>
    <n v="114"/>
    <n v="25"/>
    <n v="4"/>
    <x v="6"/>
    <n v="7.4"/>
    <n v="6.4"/>
    <n v="6.1"/>
    <n v="7"/>
    <n v="2"/>
    <n v="2"/>
    <n v="6.6333333333333329"/>
  </r>
  <r>
    <x v="0"/>
    <x v="0"/>
    <n v="4"/>
    <n v="2"/>
    <n v="14"/>
    <n v="214"/>
    <n v="26"/>
    <n v="4"/>
    <x v="6"/>
    <n v="5.8"/>
    <n v="5.8"/>
    <n v="5.8"/>
    <n v="5"/>
    <n v="3"/>
    <n v="2"/>
    <n v="5.8"/>
  </r>
  <r>
    <x v="0"/>
    <x v="3"/>
    <n v="4"/>
    <n v="3"/>
    <n v="14"/>
    <n v="314"/>
    <n v="27"/>
    <n v="4"/>
    <x v="6"/>
    <n v="5.6"/>
    <n v="5.7"/>
    <n v="5.3"/>
    <n v="2"/>
    <n v="3"/>
    <n v="3"/>
    <n v="5.5333333333333341"/>
  </r>
  <r>
    <x v="0"/>
    <x v="2"/>
    <n v="4"/>
    <n v="4"/>
    <n v="14"/>
    <n v="414"/>
    <n v="28"/>
    <n v="4"/>
    <x v="6"/>
    <n v="5.7"/>
    <n v="6.3"/>
    <n v="6.4"/>
    <n v="2"/>
    <n v="4"/>
    <n v="3"/>
    <n v="6.1333333333333329"/>
  </r>
  <r>
    <x v="1"/>
    <x v="4"/>
    <n v="4"/>
    <n v="4"/>
    <n v="16"/>
    <n v="416"/>
    <n v="29"/>
    <n v="4"/>
    <x v="7"/>
    <n v="5.5"/>
    <n v="5.4"/>
    <n v="5.5"/>
    <m/>
    <m/>
    <m/>
    <n v="5.4666666666666659"/>
  </r>
  <r>
    <x v="1"/>
    <x v="0"/>
    <n v="4"/>
    <n v="3"/>
    <n v="16"/>
    <n v="316"/>
    <n v="30"/>
    <n v="4"/>
    <x v="7"/>
    <n v="5.9"/>
    <n v="5.3"/>
    <n v="5.4"/>
    <m/>
    <m/>
    <m/>
    <n v="5.5333333333333341"/>
  </r>
  <r>
    <x v="1"/>
    <x v="5"/>
    <n v="4"/>
    <n v="2"/>
    <n v="16"/>
    <n v="216"/>
    <n v="31"/>
    <n v="4"/>
    <x v="7"/>
    <n v="5.3"/>
    <n v="5.2"/>
    <n v="5.5"/>
    <m/>
    <m/>
    <m/>
    <n v="5.333333333333333"/>
  </r>
  <r>
    <x v="1"/>
    <x v="1"/>
    <n v="4"/>
    <n v="1"/>
    <n v="16"/>
    <n v="116"/>
    <n v="32"/>
    <n v="4"/>
    <x v="7"/>
    <n v="5.4"/>
    <n v="5.0999999999999996"/>
    <n v="5.3"/>
    <m/>
    <m/>
    <m/>
    <n v="5.2666666666666666"/>
  </r>
  <r>
    <x v="0"/>
    <x v="0"/>
    <n v="1"/>
    <n v="1"/>
    <n v="2"/>
    <n v="102"/>
    <n v="1"/>
    <n v="5"/>
    <x v="8"/>
    <n v="7.3"/>
    <n v="7.1"/>
    <n v="7.3"/>
    <m/>
    <m/>
    <m/>
    <n v="7.2333333333333334"/>
  </r>
  <r>
    <x v="0"/>
    <x v="1"/>
    <n v="1"/>
    <n v="2"/>
    <n v="2"/>
    <n v="202"/>
    <n v="2"/>
    <n v="5"/>
    <x v="8"/>
    <n v="6.4"/>
    <n v="6.4"/>
    <n v="7.1"/>
    <m/>
    <m/>
    <m/>
    <n v="6.6333333333333329"/>
  </r>
  <r>
    <x v="0"/>
    <x v="2"/>
    <n v="1"/>
    <n v="3"/>
    <n v="2"/>
    <n v="302"/>
    <n v="3"/>
    <n v="5"/>
    <x v="8"/>
    <n v="6.9"/>
    <n v="6.2"/>
    <n v="6.5"/>
    <m/>
    <m/>
    <m/>
    <n v="6.5333333333333341"/>
  </r>
  <r>
    <x v="0"/>
    <x v="3"/>
    <n v="1"/>
    <n v="4"/>
    <n v="2"/>
    <n v="402"/>
    <n v="4"/>
    <n v="5"/>
    <x v="8"/>
    <n v="6.7"/>
    <n v="7.2"/>
    <n v="6.7"/>
    <m/>
    <m/>
    <m/>
    <n v="6.8666666666666671"/>
  </r>
  <r>
    <x v="1"/>
    <x v="0"/>
    <n v="1"/>
    <n v="4"/>
    <n v="4"/>
    <n v="404"/>
    <n v="5"/>
    <n v="5"/>
    <x v="9"/>
    <n v="6.4"/>
    <n v="6.5"/>
    <n v="6.8"/>
    <m/>
    <m/>
    <m/>
    <n v="6.5666666666666664"/>
  </r>
  <r>
    <x v="1"/>
    <x v="4"/>
    <n v="1"/>
    <n v="3"/>
    <n v="4"/>
    <n v="304"/>
    <n v="6"/>
    <n v="5"/>
    <x v="9"/>
    <n v="6.5"/>
    <n v="6.4"/>
    <n v="6.5"/>
    <m/>
    <m/>
    <m/>
    <n v="6.4666666666666659"/>
  </r>
  <r>
    <x v="1"/>
    <x v="1"/>
    <n v="1"/>
    <n v="2"/>
    <n v="4"/>
    <n v="204"/>
    <n v="7"/>
    <n v="5"/>
    <x v="9"/>
    <n v="6.9"/>
    <n v="7"/>
    <n v="7.2"/>
    <m/>
    <m/>
    <m/>
    <n v="7.0333333333333341"/>
  </r>
  <r>
    <x v="1"/>
    <x v="5"/>
    <n v="1"/>
    <n v="1"/>
    <n v="4"/>
    <n v="104"/>
    <n v="8"/>
    <n v="5"/>
    <x v="9"/>
    <n v="6.3"/>
    <n v="6.1"/>
    <n v="6.1"/>
    <m/>
    <m/>
    <m/>
    <n v="6.166666666666667"/>
  </r>
  <r>
    <x v="0"/>
    <x v="2"/>
    <n v="2"/>
    <n v="1"/>
    <n v="6"/>
    <n v="106"/>
    <n v="9"/>
    <n v="5"/>
    <x v="8"/>
    <n v="6.5"/>
    <n v="7.2"/>
    <n v="6.5"/>
    <m/>
    <m/>
    <m/>
    <n v="6.7333333333333334"/>
  </r>
  <r>
    <x v="0"/>
    <x v="3"/>
    <n v="2"/>
    <n v="2"/>
    <n v="6"/>
    <n v="206"/>
    <n v="10"/>
    <n v="5"/>
    <x v="8"/>
    <n v="7.2"/>
    <n v="7.2"/>
    <n v="6.8"/>
    <m/>
    <m/>
    <m/>
    <n v="7.0666666666666664"/>
  </r>
  <r>
    <x v="0"/>
    <x v="1"/>
    <n v="2"/>
    <n v="3"/>
    <n v="6"/>
    <n v="306"/>
    <n v="11"/>
    <n v="5"/>
    <x v="8"/>
    <n v="6.7"/>
    <n v="7.2"/>
    <n v="6.8"/>
    <m/>
    <m/>
    <m/>
    <n v="6.8999999999999995"/>
  </r>
  <r>
    <x v="0"/>
    <x v="0"/>
    <n v="2"/>
    <n v="4"/>
    <n v="6"/>
    <n v="406"/>
    <n v="12"/>
    <n v="5"/>
    <x v="8"/>
    <n v="6.6"/>
    <n v="6.4"/>
    <n v="7.1"/>
    <m/>
    <m/>
    <m/>
    <n v="6.7"/>
  </r>
  <r>
    <x v="1"/>
    <x v="5"/>
    <n v="2"/>
    <n v="4"/>
    <n v="8"/>
    <n v="408"/>
    <n v="13"/>
    <n v="5"/>
    <x v="9"/>
    <n v="6.3"/>
    <n v="6.3"/>
    <n v="5.9"/>
    <m/>
    <m/>
    <m/>
    <n v="6.166666666666667"/>
  </r>
  <r>
    <x v="1"/>
    <x v="1"/>
    <n v="2"/>
    <n v="3"/>
    <n v="8"/>
    <n v="308"/>
    <n v="14"/>
    <n v="5"/>
    <x v="9"/>
    <n v="6.8"/>
    <n v="6.3"/>
    <n v="6.5"/>
    <m/>
    <m/>
    <m/>
    <n v="6.5333333333333341"/>
  </r>
  <r>
    <x v="1"/>
    <x v="0"/>
    <n v="2"/>
    <n v="2"/>
    <n v="8"/>
    <n v="208"/>
    <n v="15"/>
    <n v="5"/>
    <x v="9"/>
    <n v="7.2"/>
    <n v="7.1"/>
    <n v="6.5"/>
    <m/>
    <m/>
    <m/>
    <n v="6.9333333333333336"/>
  </r>
  <r>
    <x v="1"/>
    <x v="4"/>
    <n v="2"/>
    <n v="1"/>
    <n v="8"/>
    <n v="108"/>
    <n v="16"/>
    <n v="5"/>
    <x v="9"/>
    <n v="7"/>
    <n v="5.8"/>
    <n v="6.1"/>
    <m/>
    <m/>
    <m/>
    <n v="6.3"/>
  </r>
  <r>
    <x v="0"/>
    <x v="3"/>
    <n v="3"/>
    <n v="1"/>
    <n v="10"/>
    <n v="110"/>
    <n v="17"/>
    <n v="5"/>
    <x v="8"/>
    <n v="5.8"/>
    <n v="6.3"/>
    <n v="6.3"/>
    <m/>
    <m/>
    <m/>
    <n v="6.1333333333333329"/>
  </r>
  <r>
    <x v="0"/>
    <x v="2"/>
    <n v="3"/>
    <n v="2"/>
    <n v="10"/>
    <n v="210"/>
    <n v="18"/>
    <n v="5"/>
    <x v="8"/>
    <n v="6.8"/>
    <n v="7.2"/>
    <n v="7.3"/>
    <m/>
    <m/>
    <m/>
    <n v="7.1000000000000005"/>
  </r>
  <r>
    <x v="0"/>
    <x v="0"/>
    <n v="3"/>
    <n v="3"/>
    <n v="10"/>
    <n v="310"/>
    <n v="19"/>
    <n v="5"/>
    <x v="8"/>
    <n v="6.1"/>
    <n v="6.2"/>
    <n v="6.3"/>
    <m/>
    <m/>
    <m/>
    <n v="6.2"/>
  </r>
  <r>
    <x v="0"/>
    <x v="1"/>
    <n v="3"/>
    <n v="4"/>
    <n v="10"/>
    <n v="410"/>
    <n v="20"/>
    <n v="5"/>
    <x v="8"/>
    <n v="6.7"/>
    <n v="7.2"/>
    <n v="7.4"/>
    <m/>
    <m/>
    <m/>
    <n v="7.1000000000000005"/>
  </r>
  <r>
    <x v="1"/>
    <x v="1"/>
    <n v="3"/>
    <n v="4"/>
    <n v="12"/>
    <n v="412"/>
    <n v="21"/>
    <n v="5"/>
    <x v="9"/>
    <n v="6.7"/>
    <n v="6.8"/>
    <n v="6.5"/>
    <m/>
    <m/>
    <m/>
    <n v="6.666666666666667"/>
  </r>
  <r>
    <x v="1"/>
    <x v="5"/>
    <n v="3"/>
    <n v="3"/>
    <n v="12"/>
    <n v="312"/>
    <n v="22"/>
    <n v="5"/>
    <x v="9"/>
    <n v="5.8"/>
    <n v="5.9"/>
    <n v="5.8"/>
    <m/>
    <m/>
    <m/>
    <n v="5.833333333333333"/>
  </r>
  <r>
    <x v="1"/>
    <x v="4"/>
    <n v="3"/>
    <n v="2"/>
    <n v="12"/>
    <n v="212"/>
    <n v="23"/>
    <n v="5"/>
    <x v="9"/>
    <n v="6.7"/>
    <n v="6.2"/>
    <n v="6.3"/>
    <m/>
    <m/>
    <m/>
    <n v="6.3999999999999995"/>
  </r>
  <r>
    <x v="1"/>
    <x v="0"/>
    <n v="3"/>
    <n v="1"/>
    <n v="12"/>
    <n v="112"/>
    <n v="24"/>
    <n v="5"/>
    <x v="9"/>
    <n v="6.4"/>
    <n v="6.8"/>
    <n v="6.9"/>
    <m/>
    <m/>
    <m/>
    <n v="6.7"/>
  </r>
  <r>
    <x v="0"/>
    <x v="1"/>
    <n v="4"/>
    <n v="1"/>
    <n v="14"/>
    <n v="114"/>
    <n v="25"/>
    <n v="5"/>
    <x v="8"/>
    <n v="7.8"/>
    <n v="6.8"/>
    <n v="6.7"/>
    <m/>
    <m/>
    <m/>
    <n v="7.1000000000000005"/>
  </r>
  <r>
    <x v="0"/>
    <x v="0"/>
    <n v="4"/>
    <n v="2"/>
    <n v="14"/>
    <n v="214"/>
    <n v="26"/>
    <n v="5"/>
    <x v="8"/>
    <n v="6.4"/>
    <n v="6.5"/>
    <n v="6.5"/>
    <m/>
    <m/>
    <m/>
    <n v="6.4666666666666659"/>
  </r>
  <r>
    <x v="0"/>
    <x v="3"/>
    <n v="4"/>
    <n v="3"/>
    <n v="14"/>
    <n v="314"/>
    <n v="27"/>
    <n v="5"/>
    <x v="8"/>
    <n v="6.4"/>
    <n v="6.4"/>
    <n v="6"/>
    <m/>
    <m/>
    <m/>
    <n v="6.2666666666666666"/>
  </r>
  <r>
    <x v="0"/>
    <x v="2"/>
    <n v="4"/>
    <n v="4"/>
    <n v="14"/>
    <n v="414"/>
    <n v="28"/>
    <n v="5"/>
    <x v="8"/>
    <n v="6.7"/>
    <n v="6.4"/>
    <n v="6.7"/>
    <m/>
    <m/>
    <m/>
    <n v="6.6000000000000005"/>
  </r>
  <r>
    <x v="1"/>
    <x v="4"/>
    <n v="4"/>
    <n v="4"/>
    <n v="16"/>
    <n v="416"/>
    <n v="29"/>
    <n v="5"/>
    <x v="9"/>
    <n v="6.5"/>
    <n v="6.3"/>
    <n v="6.6"/>
    <m/>
    <m/>
    <m/>
    <n v="6.4666666666666659"/>
  </r>
  <r>
    <x v="1"/>
    <x v="0"/>
    <n v="4"/>
    <n v="3"/>
    <n v="16"/>
    <n v="316"/>
    <n v="30"/>
    <n v="5"/>
    <x v="9"/>
    <n v="6.7"/>
    <n v="6.2"/>
    <n v="6.4"/>
    <m/>
    <m/>
    <m/>
    <n v="6.4333333333333336"/>
  </r>
  <r>
    <x v="1"/>
    <x v="5"/>
    <n v="4"/>
    <n v="2"/>
    <n v="16"/>
    <n v="216"/>
    <n v="31"/>
    <n v="5"/>
    <x v="9"/>
    <n v="5.9"/>
    <n v="6"/>
    <n v="6.5"/>
    <m/>
    <m/>
    <m/>
    <n v="6.1333333333333329"/>
  </r>
  <r>
    <x v="1"/>
    <x v="1"/>
    <n v="4"/>
    <n v="1"/>
    <n v="16"/>
    <n v="116"/>
    <n v="32"/>
    <n v="5"/>
    <x v="9"/>
    <n v="6.4"/>
    <n v="6"/>
    <n v="6.1"/>
    <m/>
    <m/>
    <m/>
    <n v="6.166666666666667"/>
  </r>
  <r>
    <x v="0"/>
    <x v="0"/>
    <n v="1"/>
    <n v="1"/>
    <n v="2"/>
    <n v="102"/>
    <n v="1"/>
    <n v="6"/>
    <x v="10"/>
    <n v="8"/>
    <n v="7.8"/>
    <n v="8.1"/>
    <m/>
    <m/>
    <m/>
    <n v="7.9666666666666659"/>
  </r>
  <r>
    <x v="0"/>
    <x v="1"/>
    <n v="1"/>
    <n v="2"/>
    <n v="2"/>
    <n v="202"/>
    <n v="2"/>
    <n v="6"/>
    <x v="10"/>
    <n v="7.8"/>
    <n v="7.2"/>
    <n v="7.3"/>
    <m/>
    <m/>
    <m/>
    <n v="7.4333333333333336"/>
  </r>
  <r>
    <x v="0"/>
    <x v="2"/>
    <n v="1"/>
    <n v="3"/>
    <n v="2"/>
    <n v="302"/>
    <n v="3"/>
    <n v="6"/>
    <x v="10"/>
    <n v="7.7"/>
    <n v="7.1"/>
    <n v="7.3"/>
    <m/>
    <m/>
    <m/>
    <n v="7.3666666666666671"/>
  </r>
  <r>
    <x v="0"/>
    <x v="3"/>
    <n v="1"/>
    <n v="4"/>
    <n v="2"/>
    <n v="402"/>
    <n v="4"/>
    <n v="6"/>
    <x v="10"/>
    <n v="7.4"/>
    <n v="8"/>
    <n v="7.5"/>
    <m/>
    <m/>
    <m/>
    <n v="7.6333333333333329"/>
  </r>
  <r>
    <x v="1"/>
    <x v="0"/>
    <n v="1"/>
    <n v="4"/>
    <n v="4"/>
    <n v="404"/>
    <n v="5"/>
    <n v="6"/>
    <x v="11"/>
    <n v="7.4"/>
    <n v="7.4"/>
    <n v="7.6"/>
    <m/>
    <m/>
    <m/>
    <n v="7.4666666666666659"/>
  </r>
  <r>
    <x v="1"/>
    <x v="4"/>
    <n v="1"/>
    <n v="3"/>
    <n v="4"/>
    <n v="304"/>
    <n v="6"/>
    <n v="6"/>
    <x v="11"/>
    <n v="7.5"/>
    <n v="7.4"/>
    <n v="7.4"/>
    <m/>
    <m/>
    <m/>
    <n v="7.4333333333333336"/>
  </r>
  <r>
    <x v="1"/>
    <x v="1"/>
    <n v="1"/>
    <n v="2"/>
    <n v="4"/>
    <n v="204"/>
    <n v="7"/>
    <n v="6"/>
    <x v="11"/>
    <n v="7.7"/>
    <n v="7.8"/>
    <n v="8.1"/>
    <m/>
    <m/>
    <m/>
    <n v="7.8666666666666671"/>
  </r>
  <r>
    <x v="1"/>
    <x v="5"/>
    <n v="1"/>
    <n v="1"/>
    <n v="4"/>
    <n v="104"/>
    <n v="8"/>
    <n v="6"/>
    <x v="11"/>
    <n v="7.1"/>
    <n v="7"/>
    <n v="7.1"/>
    <m/>
    <m/>
    <m/>
    <n v="7.0666666666666664"/>
  </r>
  <r>
    <x v="0"/>
    <x v="2"/>
    <n v="2"/>
    <n v="1"/>
    <n v="6"/>
    <n v="106"/>
    <n v="9"/>
    <n v="6"/>
    <x v="10"/>
    <n v="7.4"/>
    <n v="8"/>
    <n v="7.3"/>
    <m/>
    <m/>
    <m/>
    <n v="7.5666666666666664"/>
  </r>
  <r>
    <x v="0"/>
    <x v="3"/>
    <n v="2"/>
    <n v="2"/>
    <n v="6"/>
    <n v="206"/>
    <n v="10"/>
    <n v="6"/>
    <x v="10"/>
    <n v="8"/>
    <n v="7.6"/>
    <n v="7.5"/>
    <m/>
    <m/>
    <m/>
    <n v="7.7"/>
  </r>
  <r>
    <x v="0"/>
    <x v="1"/>
    <n v="2"/>
    <n v="3"/>
    <n v="6"/>
    <n v="306"/>
    <n v="11"/>
    <n v="6"/>
    <x v="10"/>
    <n v="7.2"/>
    <n v="7.8"/>
    <n v="7.6"/>
    <m/>
    <m/>
    <m/>
    <n v="7.5333333333333341"/>
  </r>
  <r>
    <x v="0"/>
    <x v="0"/>
    <n v="2"/>
    <n v="4"/>
    <n v="6"/>
    <n v="406"/>
    <n v="12"/>
    <n v="6"/>
    <x v="10"/>
    <n v="7.3"/>
    <n v="7.2"/>
    <n v="7.8"/>
    <m/>
    <m/>
    <m/>
    <n v="7.4333333333333336"/>
  </r>
  <r>
    <x v="1"/>
    <x v="5"/>
    <n v="2"/>
    <n v="4"/>
    <n v="8"/>
    <n v="408"/>
    <n v="13"/>
    <n v="6"/>
    <x v="11"/>
    <n v="7.3"/>
    <n v="7.2"/>
    <n v="6.4"/>
    <m/>
    <m/>
    <m/>
    <n v="6.9666666666666659"/>
  </r>
  <r>
    <x v="1"/>
    <x v="1"/>
    <n v="2"/>
    <n v="3"/>
    <n v="8"/>
    <n v="308"/>
    <n v="14"/>
    <n v="6"/>
    <x v="11"/>
    <n v="7.5"/>
    <n v="7.1"/>
    <n v="7.4"/>
    <m/>
    <m/>
    <m/>
    <n v="7.333333333333333"/>
  </r>
  <r>
    <x v="1"/>
    <x v="0"/>
    <n v="2"/>
    <n v="2"/>
    <n v="8"/>
    <n v="208"/>
    <n v="15"/>
    <n v="6"/>
    <x v="11"/>
    <n v="8.1"/>
    <n v="7.8"/>
    <n v="7.3"/>
    <m/>
    <m/>
    <m/>
    <n v="7.7333333333333334"/>
  </r>
  <r>
    <x v="1"/>
    <x v="4"/>
    <n v="2"/>
    <n v="1"/>
    <n v="8"/>
    <n v="108"/>
    <n v="16"/>
    <n v="6"/>
    <x v="11"/>
    <n v="7.7"/>
    <n v="6.6"/>
    <n v="6.8"/>
    <m/>
    <m/>
    <m/>
    <n v="7.0333333333333341"/>
  </r>
  <r>
    <x v="0"/>
    <x v="3"/>
    <n v="3"/>
    <n v="1"/>
    <n v="10"/>
    <n v="110"/>
    <n v="17"/>
    <n v="6"/>
    <x v="10"/>
    <n v="6.4"/>
    <n v="7.3"/>
    <n v="7.2"/>
    <m/>
    <m/>
    <m/>
    <n v="6.9666666666666659"/>
  </r>
  <r>
    <x v="0"/>
    <x v="2"/>
    <n v="3"/>
    <n v="2"/>
    <n v="10"/>
    <n v="210"/>
    <n v="18"/>
    <n v="6"/>
    <x v="10"/>
    <n v="7.6"/>
    <n v="8.1"/>
    <n v="8.1"/>
    <m/>
    <m/>
    <m/>
    <n v="7.9333333333333327"/>
  </r>
  <r>
    <x v="0"/>
    <x v="0"/>
    <n v="3"/>
    <n v="3"/>
    <n v="10"/>
    <n v="310"/>
    <n v="19"/>
    <n v="6"/>
    <x v="10"/>
    <n v="7.6"/>
    <n v="7"/>
    <n v="6.8"/>
    <m/>
    <m/>
    <m/>
    <n v="7.1333333333333329"/>
  </r>
  <r>
    <x v="0"/>
    <x v="1"/>
    <n v="3"/>
    <n v="4"/>
    <n v="10"/>
    <n v="410"/>
    <n v="20"/>
    <n v="6"/>
    <x v="10"/>
    <n v="7.5"/>
    <n v="7.8"/>
    <n v="7.9"/>
    <m/>
    <m/>
    <m/>
    <n v="7.7333333333333343"/>
  </r>
  <r>
    <x v="1"/>
    <x v="1"/>
    <n v="3"/>
    <n v="4"/>
    <n v="12"/>
    <n v="412"/>
    <n v="21"/>
    <n v="6"/>
    <x v="11"/>
    <n v="7.6"/>
    <n v="7.7"/>
    <n v="7.5"/>
    <m/>
    <m/>
    <m/>
    <n v="7.6000000000000005"/>
  </r>
  <r>
    <x v="1"/>
    <x v="5"/>
    <n v="3"/>
    <n v="3"/>
    <n v="12"/>
    <n v="312"/>
    <n v="22"/>
    <n v="6"/>
    <x v="11"/>
    <n v="6.4"/>
    <n v="6.4"/>
    <n v="6.4"/>
    <m/>
    <m/>
    <m/>
    <n v="6.4000000000000012"/>
  </r>
  <r>
    <x v="1"/>
    <x v="4"/>
    <n v="3"/>
    <n v="2"/>
    <n v="12"/>
    <n v="212"/>
    <n v="23"/>
    <n v="6"/>
    <x v="11"/>
    <n v="7.5"/>
    <n v="7.2"/>
    <n v="7.1"/>
    <m/>
    <m/>
    <m/>
    <n v="7.2666666666666657"/>
  </r>
  <r>
    <x v="1"/>
    <x v="0"/>
    <n v="3"/>
    <n v="1"/>
    <n v="12"/>
    <n v="112"/>
    <n v="24"/>
    <n v="6"/>
    <x v="11"/>
    <n v="7.2"/>
    <n v="7.5"/>
    <n v="7.6"/>
    <m/>
    <m/>
    <m/>
    <n v="7.4333333333333327"/>
  </r>
  <r>
    <x v="0"/>
    <x v="1"/>
    <n v="4"/>
    <n v="1"/>
    <n v="14"/>
    <n v="114"/>
    <n v="25"/>
    <n v="6"/>
    <x v="10"/>
    <n v="8.8000000000000007"/>
    <n v="7.2"/>
    <n v="7.5"/>
    <m/>
    <m/>
    <m/>
    <n v="7.833333333333333"/>
  </r>
  <r>
    <x v="0"/>
    <x v="0"/>
    <n v="4"/>
    <n v="2"/>
    <n v="14"/>
    <n v="214"/>
    <n v="26"/>
    <n v="6"/>
    <x v="10"/>
    <n v="7.1"/>
    <n v="7.1"/>
    <n v="7.4"/>
    <m/>
    <m/>
    <m/>
    <n v="7.2"/>
  </r>
  <r>
    <x v="0"/>
    <x v="3"/>
    <n v="4"/>
    <n v="3"/>
    <n v="14"/>
    <n v="314"/>
    <n v="27"/>
    <n v="6"/>
    <x v="10"/>
    <n v="7.3"/>
    <n v="7.3"/>
    <n v="7.3"/>
    <m/>
    <m/>
    <m/>
    <n v="7.3"/>
  </r>
  <r>
    <x v="0"/>
    <x v="2"/>
    <n v="4"/>
    <n v="4"/>
    <n v="14"/>
    <n v="414"/>
    <n v="28"/>
    <n v="6"/>
    <x v="10"/>
    <n v="7.4"/>
    <n v="7.7"/>
    <n v="7.4"/>
    <m/>
    <m/>
    <m/>
    <n v="7.5"/>
  </r>
  <r>
    <x v="1"/>
    <x v="4"/>
    <n v="4"/>
    <n v="4"/>
    <n v="16"/>
    <n v="416"/>
    <n v="29"/>
    <n v="6"/>
    <x v="11"/>
    <n v="7.4"/>
    <n v="7.1"/>
    <n v="7.5"/>
    <m/>
    <m/>
    <m/>
    <n v="7.333333333333333"/>
  </r>
  <r>
    <x v="1"/>
    <x v="0"/>
    <n v="4"/>
    <n v="3"/>
    <n v="16"/>
    <n v="316"/>
    <n v="30"/>
    <n v="6"/>
    <x v="11"/>
    <n v="7.6"/>
    <n v="7"/>
    <n v="7.1"/>
    <m/>
    <m/>
    <m/>
    <n v="7.2333333333333334"/>
  </r>
  <r>
    <x v="1"/>
    <x v="5"/>
    <n v="4"/>
    <n v="2"/>
    <n v="16"/>
    <n v="216"/>
    <n v="31"/>
    <n v="6"/>
    <x v="11"/>
    <n v="6.5"/>
    <n v="6.7"/>
    <n v="7.4"/>
    <m/>
    <m/>
    <m/>
    <n v="6.8666666666666671"/>
  </r>
  <r>
    <x v="1"/>
    <x v="1"/>
    <n v="4"/>
    <n v="1"/>
    <n v="16"/>
    <n v="116"/>
    <n v="32"/>
    <n v="6"/>
    <x v="11"/>
    <n v="7.3"/>
    <n v="6.8"/>
    <n v="7"/>
    <m/>
    <m/>
    <m/>
    <n v="7.0333333333333341"/>
  </r>
  <r>
    <x v="0"/>
    <x v="0"/>
    <n v="1"/>
    <n v="1"/>
    <n v="2"/>
    <n v="102"/>
    <n v="1"/>
    <n v="7"/>
    <x v="12"/>
    <n v="8.5"/>
    <n v="8.3000000000000007"/>
    <n v="8.6"/>
    <m/>
    <m/>
    <m/>
    <n v="8.4666666666666668"/>
  </r>
  <r>
    <x v="0"/>
    <x v="1"/>
    <n v="1"/>
    <n v="2"/>
    <n v="2"/>
    <n v="202"/>
    <n v="2"/>
    <n v="7"/>
    <x v="12"/>
    <n v="8.3000000000000007"/>
    <n v="7.7"/>
    <n v="7.8"/>
    <m/>
    <m/>
    <m/>
    <n v="7.9333333333333336"/>
  </r>
  <r>
    <x v="0"/>
    <x v="2"/>
    <n v="1"/>
    <n v="3"/>
    <n v="2"/>
    <n v="302"/>
    <n v="3"/>
    <n v="7"/>
    <x v="12"/>
    <n v="8.4"/>
    <n v="7.5"/>
    <n v="7.7"/>
    <m/>
    <m/>
    <m/>
    <n v="7.8666666666666671"/>
  </r>
  <r>
    <x v="0"/>
    <x v="3"/>
    <n v="1"/>
    <n v="4"/>
    <n v="2"/>
    <n v="402"/>
    <n v="4"/>
    <n v="7"/>
    <x v="12"/>
    <n v="8.1"/>
    <n v="8.3000000000000007"/>
    <n v="8.1"/>
    <m/>
    <m/>
    <m/>
    <n v="8.1666666666666661"/>
  </r>
  <r>
    <x v="1"/>
    <x v="0"/>
    <n v="1"/>
    <n v="4"/>
    <n v="4"/>
    <n v="404"/>
    <n v="5"/>
    <n v="7"/>
    <x v="13"/>
    <m/>
    <m/>
    <m/>
    <m/>
    <m/>
    <m/>
    <m/>
  </r>
  <r>
    <x v="1"/>
    <x v="4"/>
    <n v="1"/>
    <n v="3"/>
    <n v="4"/>
    <n v="304"/>
    <n v="6"/>
    <n v="7"/>
    <x v="13"/>
    <m/>
    <m/>
    <m/>
    <m/>
    <m/>
    <m/>
    <m/>
  </r>
  <r>
    <x v="1"/>
    <x v="1"/>
    <n v="1"/>
    <n v="2"/>
    <n v="4"/>
    <n v="204"/>
    <n v="7"/>
    <n v="7"/>
    <x v="13"/>
    <m/>
    <m/>
    <m/>
    <m/>
    <m/>
    <m/>
    <m/>
  </r>
  <r>
    <x v="1"/>
    <x v="5"/>
    <n v="1"/>
    <n v="1"/>
    <n v="4"/>
    <n v="104"/>
    <n v="8"/>
    <n v="7"/>
    <x v="13"/>
    <m/>
    <m/>
    <m/>
    <m/>
    <m/>
    <m/>
    <m/>
  </r>
  <r>
    <x v="0"/>
    <x v="2"/>
    <n v="2"/>
    <n v="1"/>
    <n v="6"/>
    <n v="106"/>
    <n v="9"/>
    <n v="7"/>
    <x v="12"/>
    <n v="8"/>
    <n v="8.4"/>
    <n v="7.6"/>
    <m/>
    <m/>
    <m/>
    <n v="8"/>
  </r>
  <r>
    <x v="0"/>
    <x v="3"/>
    <n v="2"/>
    <n v="2"/>
    <n v="6"/>
    <n v="206"/>
    <n v="10"/>
    <n v="7"/>
    <x v="12"/>
    <n v="8.4"/>
    <n v="8.3000000000000007"/>
    <n v="8.1999999999999993"/>
    <m/>
    <m/>
    <m/>
    <n v="8.3000000000000007"/>
  </r>
  <r>
    <x v="0"/>
    <x v="1"/>
    <n v="2"/>
    <n v="3"/>
    <n v="6"/>
    <n v="306"/>
    <n v="11"/>
    <n v="7"/>
    <x v="12"/>
    <n v="7.8"/>
    <n v="8.4"/>
    <n v="8.3000000000000007"/>
    <m/>
    <m/>
    <m/>
    <n v="8.1666666666666661"/>
  </r>
  <r>
    <x v="0"/>
    <x v="0"/>
    <n v="2"/>
    <n v="4"/>
    <n v="6"/>
    <n v="406"/>
    <n v="12"/>
    <n v="7"/>
    <x v="12"/>
    <n v="7.8"/>
    <n v="7.7"/>
    <n v="8.3000000000000007"/>
    <m/>
    <m/>
    <m/>
    <n v="7.9333333333333336"/>
  </r>
  <r>
    <x v="1"/>
    <x v="5"/>
    <n v="2"/>
    <n v="4"/>
    <n v="8"/>
    <n v="408"/>
    <n v="13"/>
    <n v="7"/>
    <x v="13"/>
    <m/>
    <m/>
    <m/>
    <m/>
    <m/>
    <m/>
    <m/>
  </r>
  <r>
    <x v="1"/>
    <x v="1"/>
    <n v="2"/>
    <n v="3"/>
    <n v="8"/>
    <n v="308"/>
    <n v="14"/>
    <n v="7"/>
    <x v="13"/>
    <m/>
    <m/>
    <m/>
    <m/>
    <m/>
    <m/>
    <m/>
  </r>
  <r>
    <x v="1"/>
    <x v="0"/>
    <n v="2"/>
    <n v="2"/>
    <n v="8"/>
    <n v="208"/>
    <n v="15"/>
    <n v="7"/>
    <x v="13"/>
    <m/>
    <m/>
    <m/>
    <m/>
    <m/>
    <m/>
    <m/>
  </r>
  <r>
    <x v="1"/>
    <x v="4"/>
    <n v="2"/>
    <n v="1"/>
    <n v="8"/>
    <n v="108"/>
    <n v="16"/>
    <n v="7"/>
    <x v="13"/>
    <m/>
    <m/>
    <m/>
    <m/>
    <m/>
    <m/>
    <m/>
  </r>
  <r>
    <x v="0"/>
    <x v="3"/>
    <n v="3"/>
    <n v="1"/>
    <n v="10"/>
    <n v="110"/>
    <n v="17"/>
    <n v="7"/>
    <x v="12"/>
    <n v="7.2"/>
    <n v="8"/>
    <n v="7.5"/>
    <m/>
    <m/>
    <m/>
    <n v="7.5666666666666664"/>
  </r>
  <r>
    <x v="0"/>
    <x v="2"/>
    <n v="3"/>
    <n v="2"/>
    <n v="10"/>
    <n v="210"/>
    <n v="18"/>
    <n v="7"/>
    <x v="12"/>
    <n v="8.4"/>
    <n v="8.5"/>
    <n v="8.6"/>
    <m/>
    <m/>
    <m/>
    <n v="8.5"/>
  </r>
  <r>
    <x v="0"/>
    <x v="0"/>
    <n v="3"/>
    <n v="3"/>
    <n v="10"/>
    <n v="310"/>
    <n v="19"/>
    <n v="7"/>
    <x v="12"/>
    <n v="8.1999999999999993"/>
    <n v="7.4"/>
    <n v="7.4"/>
    <m/>
    <m/>
    <m/>
    <n v="7.666666666666667"/>
  </r>
  <r>
    <x v="0"/>
    <x v="1"/>
    <n v="3"/>
    <n v="4"/>
    <n v="10"/>
    <n v="410"/>
    <n v="20"/>
    <n v="7"/>
    <x v="12"/>
    <n v="8"/>
    <n v="8.6999999999999993"/>
    <n v="8.4"/>
    <m/>
    <m/>
    <m/>
    <n v="8.3666666666666671"/>
  </r>
  <r>
    <x v="1"/>
    <x v="1"/>
    <n v="3"/>
    <n v="4"/>
    <n v="12"/>
    <n v="412"/>
    <n v="21"/>
    <n v="7"/>
    <x v="13"/>
    <m/>
    <m/>
    <m/>
    <m/>
    <m/>
    <m/>
    <m/>
  </r>
  <r>
    <x v="1"/>
    <x v="5"/>
    <n v="3"/>
    <n v="3"/>
    <n v="12"/>
    <n v="312"/>
    <n v="22"/>
    <n v="7"/>
    <x v="13"/>
    <m/>
    <m/>
    <m/>
    <m/>
    <m/>
    <m/>
    <m/>
  </r>
  <r>
    <x v="1"/>
    <x v="4"/>
    <n v="3"/>
    <n v="2"/>
    <n v="12"/>
    <n v="212"/>
    <n v="23"/>
    <n v="7"/>
    <x v="13"/>
    <m/>
    <m/>
    <m/>
    <m/>
    <m/>
    <m/>
    <m/>
  </r>
  <r>
    <x v="1"/>
    <x v="0"/>
    <n v="3"/>
    <n v="1"/>
    <n v="12"/>
    <n v="112"/>
    <n v="24"/>
    <n v="7"/>
    <x v="13"/>
    <m/>
    <m/>
    <m/>
    <m/>
    <m/>
    <m/>
    <m/>
  </r>
  <r>
    <x v="0"/>
    <x v="1"/>
    <n v="4"/>
    <n v="1"/>
    <n v="14"/>
    <n v="114"/>
    <n v="25"/>
    <n v="7"/>
    <x v="12"/>
    <n v="9.1999999999999993"/>
    <n v="8.3000000000000007"/>
    <n v="8"/>
    <m/>
    <m/>
    <m/>
    <n v="8.5"/>
  </r>
  <r>
    <x v="0"/>
    <x v="0"/>
    <n v="4"/>
    <n v="2"/>
    <n v="14"/>
    <n v="214"/>
    <n v="26"/>
    <n v="7"/>
    <x v="12"/>
    <n v="7.8"/>
    <n v="7.7"/>
    <n v="7.8"/>
    <m/>
    <m/>
    <m/>
    <n v="7.7666666666666666"/>
  </r>
  <r>
    <x v="0"/>
    <x v="3"/>
    <n v="4"/>
    <n v="3"/>
    <n v="14"/>
    <n v="314"/>
    <n v="27"/>
    <n v="7"/>
    <x v="12"/>
    <n v="7.5"/>
    <n v="7.5"/>
    <n v="7.3"/>
    <m/>
    <m/>
    <m/>
    <n v="7.4333333333333336"/>
  </r>
  <r>
    <x v="0"/>
    <x v="2"/>
    <n v="4"/>
    <n v="4"/>
    <n v="14"/>
    <n v="414"/>
    <n v="28"/>
    <n v="7"/>
    <x v="12"/>
    <n v="7.5"/>
    <n v="8"/>
    <n v="8.4"/>
    <m/>
    <m/>
    <m/>
    <n v="7.9666666666666659"/>
  </r>
  <r>
    <x v="1"/>
    <x v="4"/>
    <n v="4"/>
    <n v="4"/>
    <n v="16"/>
    <n v="416"/>
    <n v="29"/>
    <n v="7"/>
    <x v="13"/>
    <m/>
    <m/>
    <m/>
    <m/>
    <m/>
    <m/>
    <m/>
  </r>
  <r>
    <x v="1"/>
    <x v="0"/>
    <n v="4"/>
    <n v="3"/>
    <n v="16"/>
    <n v="316"/>
    <n v="30"/>
    <n v="7"/>
    <x v="13"/>
    <m/>
    <m/>
    <m/>
    <m/>
    <m/>
    <m/>
    <m/>
  </r>
  <r>
    <x v="1"/>
    <x v="5"/>
    <n v="4"/>
    <n v="2"/>
    <n v="16"/>
    <n v="216"/>
    <n v="31"/>
    <n v="7"/>
    <x v="13"/>
    <m/>
    <m/>
    <m/>
    <m/>
    <m/>
    <m/>
    <m/>
  </r>
  <r>
    <x v="1"/>
    <x v="1"/>
    <n v="4"/>
    <n v="1"/>
    <n v="16"/>
    <n v="116"/>
    <n v="32"/>
    <n v="7"/>
    <x v="13"/>
    <m/>
    <m/>
    <m/>
    <m/>
    <m/>
    <m/>
    <m/>
  </r>
  <r>
    <x v="0"/>
    <x v="0"/>
    <n v="1"/>
    <n v="1"/>
    <n v="2"/>
    <n v="102"/>
    <n v="1"/>
    <n v="8"/>
    <x v="14"/>
    <n v="9.4"/>
    <n v="8.8000000000000007"/>
    <n v="9.3000000000000007"/>
    <m/>
    <m/>
    <m/>
    <n v="9.1666666666666679"/>
  </r>
  <r>
    <x v="0"/>
    <x v="1"/>
    <n v="1"/>
    <n v="2"/>
    <n v="2"/>
    <n v="202"/>
    <n v="2"/>
    <n v="8"/>
    <x v="14"/>
    <n v="9.1"/>
    <n v="8.4"/>
    <n v="8.5"/>
    <m/>
    <m/>
    <m/>
    <n v="8.6666666666666661"/>
  </r>
  <r>
    <x v="0"/>
    <x v="2"/>
    <n v="1"/>
    <n v="3"/>
    <n v="2"/>
    <n v="302"/>
    <n v="3"/>
    <n v="8"/>
    <x v="14"/>
    <n v="9.1999999999999993"/>
    <n v="8.4"/>
    <n v="8.5"/>
    <m/>
    <m/>
    <m/>
    <n v="8.7000000000000011"/>
  </r>
  <r>
    <x v="0"/>
    <x v="3"/>
    <n v="1"/>
    <n v="4"/>
    <n v="2"/>
    <n v="402"/>
    <n v="4"/>
    <n v="8"/>
    <x v="14"/>
    <n v="8.5"/>
    <n v="9.1"/>
    <n v="8.6"/>
    <m/>
    <m/>
    <m/>
    <n v="8.7333333333333343"/>
  </r>
  <r>
    <x v="1"/>
    <x v="0"/>
    <n v="1"/>
    <n v="4"/>
    <n v="4"/>
    <n v="404"/>
    <n v="5"/>
    <n v="8"/>
    <x v="13"/>
    <m/>
    <m/>
    <m/>
    <m/>
    <m/>
    <m/>
    <m/>
  </r>
  <r>
    <x v="1"/>
    <x v="4"/>
    <n v="1"/>
    <n v="3"/>
    <n v="4"/>
    <n v="304"/>
    <n v="6"/>
    <n v="8"/>
    <x v="13"/>
    <m/>
    <m/>
    <m/>
    <m/>
    <m/>
    <m/>
    <m/>
  </r>
  <r>
    <x v="1"/>
    <x v="1"/>
    <n v="1"/>
    <n v="2"/>
    <n v="4"/>
    <n v="204"/>
    <n v="7"/>
    <n v="8"/>
    <x v="13"/>
    <m/>
    <m/>
    <m/>
    <m/>
    <m/>
    <m/>
    <m/>
  </r>
  <r>
    <x v="1"/>
    <x v="5"/>
    <n v="1"/>
    <n v="1"/>
    <n v="4"/>
    <n v="104"/>
    <n v="8"/>
    <n v="8"/>
    <x v="13"/>
    <m/>
    <m/>
    <m/>
    <m/>
    <m/>
    <m/>
    <m/>
  </r>
  <r>
    <x v="0"/>
    <x v="2"/>
    <n v="2"/>
    <n v="1"/>
    <n v="6"/>
    <n v="106"/>
    <n v="9"/>
    <n v="8"/>
    <x v="14"/>
    <n v="8.6"/>
    <n v="9.5"/>
    <n v="8.4"/>
    <m/>
    <m/>
    <m/>
    <n v="8.8333333333333339"/>
  </r>
  <r>
    <x v="0"/>
    <x v="3"/>
    <n v="2"/>
    <n v="2"/>
    <n v="6"/>
    <n v="206"/>
    <n v="10"/>
    <n v="8"/>
    <x v="14"/>
    <n v="9.1"/>
    <n v="9"/>
    <n v="9"/>
    <m/>
    <m/>
    <m/>
    <n v="9.0333333333333332"/>
  </r>
  <r>
    <x v="0"/>
    <x v="1"/>
    <n v="2"/>
    <n v="3"/>
    <n v="6"/>
    <n v="306"/>
    <n v="11"/>
    <n v="8"/>
    <x v="14"/>
    <n v="8.3000000000000007"/>
    <n v="9.3000000000000007"/>
    <n v="9"/>
    <m/>
    <m/>
    <m/>
    <n v="8.8666666666666671"/>
  </r>
  <r>
    <x v="0"/>
    <x v="0"/>
    <n v="2"/>
    <n v="4"/>
    <n v="6"/>
    <n v="406"/>
    <n v="12"/>
    <n v="8"/>
    <x v="14"/>
    <n v="8.4"/>
    <n v="8.4"/>
    <n v="9"/>
    <m/>
    <m/>
    <m/>
    <n v="8.6"/>
  </r>
  <r>
    <x v="1"/>
    <x v="5"/>
    <n v="2"/>
    <n v="4"/>
    <n v="8"/>
    <n v="408"/>
    <n v="13"/>
    <n v="8"/>
    <x v="13"/>
    <m/>
    <m/>
    <m/>
    <m/>
    <m/>
    <m/>
    <m/>
  </r>
  <r>
    <x v="1"/>
    <x v="1"/>
    <n v="2"/>
    <n v="3"/>
    <n v="8"/>
    <n v="308"/>
    <n v="14"/>
    <n v="8"/>
    <x v="13"/>
    <m/>
    <m/>
    <m/>
    <m/>
    <m/>
    <m/>
    <m/>
  </r>
  <r>
    <x v="1"/>
    <x v="0"/>
    <n v="2"/>
    <n v="2"/>
    <n v="8"/>
    <n v="208"/>
    <n v="15"/>
    <n v="8"/>
    <x v="13"/>
    <m/>
    <m/>
    <m/>
    <m/>
    <m/>
    <m/>
    <m/>
  </r>
  <r>
    <x v="1"/>
    <x v="4"/>
    <n v="2"/>
    <n v="1"/>
    <n v="8"/>
    <n v="108"/>
    <n v="16"/>
    <n v="8"/>
    <x v="13"/>
    <m/>
    <m/>
    <m/>
    <m/>
    <m/>
    <m/>
    <m/>
  </r>
  <r>
    <x v="0"/>
    <x v="3"/>
    <n v="3"/>
    <n v="1"/>
    <n v="10"/>
    <n v="110"/>
    <n v="17"/>
    <n v="8"/>
    <x v="14"/>
    <n v="7.9"/>
    <n v="8.4"/>
    <n v="8.3000000000000007"/>
    <m/>
    <m/>
    <m/>
    <n v="8.2000000000000011"/>
  </r>
  <r>
    <x v="0"/>
    <x v="2"/>
    <n v="3"/>
    <n v="2"/>
    <n v="10"/>
    <n v="210"/>
    <n v="18"/>
    <n v="8"/>
    <x v="14"/>
    <n v="9.1"/>
    <n v="9.3000000000000007"/>
    <n v="9.4"/>
    <m/>
    <m/>
    <m/>
    <n v="9.2666666666666657"/>
  </r>
  <r>
    <x v="0"/>
    <x v="0"/>
    <n v="3"/>
    <n v="3"/>
    <n v="10"/>
    <n v="310"/>
    <n v="19"/>
    <n v="8"/>
    <x v="14"/>
    <n v="8.9"/>
    <n v="8.1"/>
    <n v="8"/>
    <m/>
    <m/>
    <m/>
    <n v="8.3333333333333339"/>
  </r>
  <r>
    <x v="0"/>
    <x v="1"/>
    <n v="3"/>
    <n v="4"/>
    <n v="10"/>
    <n v="410"/>
    <n v="20"/>
    <n v="8"/>
    <x v="14"/>
    <n v="8.6999999999999993"/>
    <n v="9.3000000000000007"/>
    <n v="9.3000000000000007"/>
    <m/>
    <m/>
    <m/>
    <n v="9.1"/>
  </r>
  <r>
    <x v="1"/>
    <x v="1"/>
    <n v="3"/>
    <n v="4"/>
    <n v="12"/>
    <n v="412"/>
    <n v="21"/>
    <n v="8"/>
    <x v="13"/>
    <m/>
    <m/>
    <m/>
    <m/>
    <m/>
    <m/>
    <m/>
  </r>
  <r>
    <x v="1"/>
    <x v="5"/>
    <n v="3"/>
    <n v="3"/>
    <n v="12"/>
    <n v="312"/>
    <n v="22"/>
    <n v="8"/>
    <x v="13"/>
    <m/>
    <m/>
    <m/>
    <m/>
    <m/>
    <m/>
    <m/>
  </r>
  <r>
    <x v="1"/>
    <x v="4"/>
    <n v="3"/>
    <n v="2"/>
    <n v="12"/>
    <n v="212"/>
    <n v="23"/>
    <n v="8"/>
    <x v="13"/>
    <m/>
    <m/>
    <m/>
    <m/>
    <m/>
    <m/>
    <m/>
  </r>
  <r>
    <x v="1"/>
    <x v="0"/>
    <n v="3"/>
    <n v="1"/>
    <n v="12"/>
    <n v="112"/>
    <n v="24"/>
    <n v="8"/>
    <x v="13"/>
    <m/>
    <m/>
    <m/>
    <m/>
    <m/>
    <m/>
    <m/>
  </r>
  <r>
    <x v="0"/>
    <x v="1"/>
    <n v="4"/>
    <n v="1"/>
    <n v="14"/>
    <n v="114"/>
    <n v="25"/>
    <n v="8"/>
    <x v="14"/>
    <n v="9.9"/>
    <n v="9.1"/>
    <n v="8.6999999999999993"/>
    <m/>
    <m/>
    <m/>
    <n v="9.2333333333333325"/>
  </r>
  <r>
    <x v="0"/>
    <x v="0"/>
    <n v="4"/>
    <n v="2"/>
    <n v="14"/>
    <n v="214"/>
    <n v="26"/>
    <n v="8"/>
    <x v="14"/>
    <n v="8.6"/>
    <n v="8.5"/>
    <n v="8.5"/>
    <m/>
    <m/>
    <m/>
    <n v="8.5333333333333332"/>
  </r>
  <r>
    <x v="0"/>
    <x v="3"/>
    <n v="4"/>
    <n v="3"/>
    <n v="14"/>
    <n v="314"/>
    <n v="27"/>
    <n v="8"/>
    <x v="14"/>
    <n v="8.4"/>
    <n v="8.3000000000000007"/>
    <n v="8.3000000000000007"/>
    <m/>
    <m/>
    <m/>
    <n v="8.3333333333333339"/>
  </r>
  <r>
    <x v="0"/>
    <x v="2"/>
    <n v="4"/>
    <n v="4"/>
    <n v="14"/>
    <n v="414"/>
    <n v="28"/>
    <n v="8"/>
    <x v="14"/>
    <n v="8.4"/>
    <n v="8.6"/>
    <n v="9.1"/>
    <m/>
    <m/>
    <m/>
    <n v="8.7000000000000011"/>
  </r>
  <r>
    <x v="1"/>
    <x v="4"/>
    <n v="4"/>
    <n v="4"/>
    <n v="16"/>
    <n v="416"/>
    <n v="29"/>
    <n v="8"/>
    <x v="13"/>
    <m/>
    <m/>
    <m/>
    <m/>
    <m/>
    <m/>
    <m/>
  </r>
  <r>
    <x v="1"/>
    <x v="0"/>
    <n v="4"/>
    <n v="3"/>
    <n v="16"/>
    <n v="316"/>
    <n v="30"/>
    <n v="8"/>
    <x v="13"/>
    <m/>
    <m/>
    <m/>
    <m/>
    <m/>
    <m/>
    <m/>
  </r>
  <r>
    <x v="1"/>
    <x v="5"/>
    <n v="4"/>
    <n v="2"/>
    <n v="16"/>
    <n v="216"/>
    <n v="31"/>
    <n v="8"/>
    <x v="13"/>
    <m/>
    <m/>
    <m/>
    <m/>
    <m/>
    <m/>
    <m/>
  </r>
  <r>
    <x v="1"/>
    <x v="1"/>
    <n v="4"/>
    <n v="1"/>
    <n v="16"/>
    <n v="116"/>
    <n v="32"/>
    <n v="8"/>
    <x v="13"/>
    <m/>
    <m/>
    <m/>
    <m/>
    <m/>
    <m/>
    <m/>
  </r>
  <r>
    <x v="0"/>
    <x v="0"/>
    <n v="1"/>
    <n v="1"/>
    <n v="2"/>
    <n v="102"/>
    <n v="1"/>
    <n v="9"/>
    <x v="15"/>
    <n v="10.3"/>
    <n v="9.6"/>
    <n v="10.4"/>
    <m/>
    <m/>
    <m/>
    <n v="10.1"/>
  </r>
  <r>
    <x v="0"/>
    <x v="1"/>
    <n v="1"/>
    <n v="2"/>
    <n v="2"/>
    <n v="202"/>
    <n v="2"/>
    <n v="9"/>
    <x v="15"/>
    <n v="9.8000000000000007"/>
    <n v="9.1999999999999993"/>
    <n v="9.4"/>
    <m/>
    <m/>
    <m/>
    <n v="9.4666666666666668"/>
  </r>
  <r>
    <x v="0"/>
    <x v="2"/>
    <n v="1"/>
    <n v="3"/>
    <n v="2"/>
    <n v="302"/>
    <n v="3"/>
    <n v="9"/>
    <x v="15"/>
    <n v="9.9"/>
    <n v="9.1999999999999993"/>
    <n v="9.4"/>
    <m/>
    <m/>
    <m/>
    <n v="9.5"/>
  </r>
  <r>
    <x v="0"/>
    <x v="3"/>
    <n v="1"/>
    <n v="4"/>
    <n v="2"/>
    <n v="402"/>
    <n v="4"/>
    <n v="9"/>
    <x v="15"/>
    <n v="9.3000000000000007"/>
    <n v="9.6999999999999993"/>
    <n v="9.4"/>
    <m/>
    <m/>
    <m/>
    <n v="9.4666666666666668"/>
  </r>
  <r>
    <x v="1"/>
    <x v="0"/>
    <n v="1"/>
    <n v="4"/>
    <n v="4"/>
    <n v="404"/>
    <n v="5"/>
    <n v="9"/>
    <x v="13"/>
    <m/>
    <m/>
    <m/>
    <m/>
    <m/>
    <m/>
    <m/>
  </r>
  <r>
    <x v="1"/>
    <x v="4"/>
    <n v="1"/>
    <n v="3"/>
    <n v="4"/>
    <n v="304"/>
    <n v="6"/>
    <n v="9"/>
    <x v="13"/>
    <m/>
    <m/>
    <m/>
    <m/>
    <m/>
    <m/>
    <m/>
  </r>
  <r>
    <x v="1"/>
    <x v="1"/>
    <n v="1"/>
    <n v="2"/>
    <n v="4"/>
    <n v="204"/>
    <n v="7"/>
    <n v="9"/>
    <x v="13"/>
    <m/>
    <m/>
    <m/>
    <m/>
    <m/>
    <m/>
    <m/>
  </r>
  <r>
    <x v="1"/>
    <x v="5"/>
    <n v="1"/>
    <n v="1"/>
    <n v="4"/>
    <n v="104"/>
    <n v="8"/>
    <n v="9"/>
    <x v="13"/>
    <m/>
    <m/>
    <m/>
    <m/>
    <m/>
    <m/>
    <m/>
  </r>
  <r>
    <x v="0"/>
    <x v="2"/>
    <n v="2"/>
    <n v="1"/>
    <n v="6"/>
    <n v="106"/>
    <n v="9"/>
    <n v="9"/>
    <x v="15"/>
    <n v="9.6999999999999993"/>
    <n v="10.4"/>
    <n v="9.3000000000000007"/>
    <m/>
    <m/>
    <m/>
    <n v="9.8000000000000007"/>
  </r>
  <r>
    <x v="0"/>
    <x v="3"/>
    <n v="2"/>
    <n v="2"/>
    <n v="6"/>
    <n v="206"/>
    <n v="10"/>
    <n v="9"/>
    <x v="15"/>
    <n v="9.8000000000000007"/>
    <n v="9.5"/>
    <n v="9.6"/>
    <m/>
    <m/>
    <m/>
    <n v="9.6333333333333329"/>
  </r>
  <r>
    <x v="0"/>
    <x v="1"/>
    <n v="2"/>
    <n v="3"/>
    <n v="6"/>
    <n v="306"/>
    <n v="11"/>
    <n v="9"/>
    <x v="15"/>
    <n v="9"/>
    <n v="10.1"/>
    <n v="9.8000000000000007"/>
    <m/>
    <m/>
    <m/>
    <n v="9.6333333333333346"/>
  </r>
  <r>
    <x v="0"/>
    <x v="0"/>
    <n v="2"/>
    <n v="4"/>
    <n v="6"/>
    <n v="406"/>
    <n v="12"/>
    <n v="9"/>
    <x v="15"/>
    <n v="9.4"/>
    <n v="9.4"/>
    <n v="9.8000000000000007"/>
    <m/>
    <m/>
    <m/>
    <n v="9.5333333333333332"/>
  </r>
  <r>
    <x v="1"/>
    <x v="5"/>
    <n v="2"/>
    <n v="4"/>
    <n v="8"/>
    <n v="408"/>
    <n v="13"/>
    <n v="9"/>
    <x v="13"/>
    <m/>
    <m/>
    <m/>
    <m/>
    <m/>
    <m/>
    <m/>
  </r>
  <r>
    <x v="1"/>
    <x v="1"/>
    <n v="2"/>
    <n v="3"/>
    <n v="8"/>
    <n v="308"/>
    <n v="14"/>
    <n v="9"/>
    <x v="13"/>
    <m/>
    <m/>
    <m/>
    <m/>
    <m/>
    <m/>
    <m/>
  </r>
  <r>
    <x v="1"/>
    <x v="0"/>
    <n v="2"/>
    <n v="2"/>
    <n v="8"/>
    <n v="208"/>
    <n v="15"/>
    <n v="9"/>
    <x v="13"/>
    <m/>
    <m/>
    <m/>
    <m/>
    <m/>
    <m/>
    <m/>
  </r>
  <r>
    <x v="1"/>
    <x v="4"/>
    <n v="2"/>
    <n v="1"/>
    <n v="8"/>
    <n v="108"/>
    <n v="16"/>
    <n v="9"/>
    <x v="13"/>
    <m/>
    <m/>
    <m/>
    <m/>
    <m/>
    <m/>
    <m/>
  </r>
  <r>
    <x v="0"/>
    <x v="3"/>
    <n v="3"/>
    <n v="1"/>
    <n v="10"/>
    <n v="110"/>
    <n v="17"/>
    <n v="9"/>
    <x v="15"/>
    <n v="8.5"/>
    <n v="9.3000000000000007"/>
    <n v="9"/>
    <m/>
    <m/>
    <m/>
    <n v="8.9333333333333336"/>
  </r>
  <r>
    <x v="0"/>
    <x v="2"/>
    <n v="3"/>
    <n v="2"/>
    <n v="10"/>
    <n v="210"/>
    <n v="18"/>
    <n v="9"/>
    <x v="15"/>
    <n v="9.8000000000000007"/>
    <n v="10.199999999999999"/>
    <n v="10.4"/>
    <m/>
    <m/>
    <m/>
    <n v="10.133333333333333"/>
  </r>
  <r>
    <x v="0"/>
    <x v="0"/>
    <n v="3"/>
    <n v="3"/>
    <n v="10"/>
    <n v="310"/>
    <n v="19"/>
    <n v="9"/>
    <x v="15"/>
    <n v="9.5"/>
    <n v="8.8000000000000007"/>
    <n v="8.8000000000000007"/>
    <m/>
    <m/>
    <m/>
    <n v="9.0333333333333332"/>
  </r>
  <r>
    <x v="0"/>
    <x v="1"/>
    <n v="3"/>
    <n v="4"/>
    <n v="10"/>
    <n v="410"/>
    <n v="20"/>
    <n v="9"/>
    <x v="15"/>
    <n v="9.6"/>
    <n v="10.1"/>
    <n v="10.1"/>
    <m/>
    <m/>
    <m/>
    <n v="9.9333333333333318"/>
  </r>
  <r>
    <x v="1"/>
    <x v="1"/>
    <n v="3"/>
    <n v="4"/>
    <n v="12"/>
    <n v="412"/>
    <n v="21"/>
    <n v="9"/>
    <x v="13"/>
    <m/>
    <m/>
    <m/>
    <m/>
    <m/>
    <m/>
    <m/>
  </r>
  <r>
    <x v="1"/>
    <x v="5"/>
    <n v="3"/>
    <n v="3"/>
    <n v="12"/>
    <n v="312"/>
    <n v="22"/>
    <n v="9"/>
    <x v="13"/>
    <m/>
    <m/>
    <m/>
    <m/>
    <m/>
    <m/>
    <m/>
  </r>
  <r>
    <x v="1"/>
    <x v="4"/>
    <n v="3"/>
    <n v="2"/>
    <n v="12"/>
    <n v="212"/>
    <n v="23"/>
    <n v="9"/>
    <x v="13"/>
    <m/>
    <m/>
    <m/>
    <m/>
    <m/>
    <m/>
    <m/>
  </r>
  <r>
    <x v="1"/>
    <x v="0"/>
    <n v="3"/>
    <n v="1"/>
    <n v="12"/>
    <n v="112"/>
    <n v="24"/>
    <n v="9"/>
    <x v="13"/>
    <m/>
    <m/>
    <m/>
    <m/>
    <m/>
    <m/>
    <m/>
  </r>
  <r>
    <x v="0"/>
    <x v="1"/>
    <n v="4"/>
    <n v="1"/>
    <n v="14"/>
    <n v="114"/>
    <n v="25"/>
    <n v="9"/>
    <x v="15"/>
    <n v="10.8"/>
    <n v="9.8000000000000007"/>
    <n v="9.6"/>
    <m/>
    <m/>
    <m/>
    <n v="10.066666666666668"/>
  </r>
  <r>
    <x v="0"/>
    <x v="0"/>
    <n v="4"/>
    <n v="2"/>
    <n v="14"/>
    <n v="214"/>
    <n v="26"/>
    <n v="9"/>
    <x v="15"/>
    <n v="9.5"/>
    <n v="9.3000000000000007"/>
    <n v="9.4"/>
    <m/>
    <m/>
    <m/>
    <n v="9.4"/>
  </r>
  <r>
    <x v="0"/>
    <x v="3"/>
    <n v="4"/>
    <n v="3"/>
    <n v="14"/>
    <n v="314"/>
    <n v="27"/>
    <n v="9"/>
    <x v="15"/>
    <n v="9"/>
    <n v="9.1999999999999993"/>
    <n v="9"/>
    <m/>
    <m/>
    <m/>
    <n v="9.0666666666666664"/>
  </r>
  <r>
    <x v="0"/>
    <x v="2"/>
    <n v="4"/>
    <n v="4"/>
    <n v="14"/>
    <n v="414"/>
    <n v="28"/>
    <n v="9"/>
    <x v="15"/>
    <n v="9.1999999999999993"/>
    <n v="9.4"/>
    <n v="9.8000000000000007"/>
    <m/>
    <m/>
    <m/>
    <n v="9.4666666666666668"/>
  </r>
  <r>
    <x v="1"/>
    <x v="4"/>
    <n v="4"/>
    <n v="4"/>
    <n v="16"/>
    <n v="416"/>
    <n v="29"/>
    <n v="9"/>
    <x v="13"/>
    <m/>
    <m/>
    <m/>
    <m/>
    <m/>
    <m/>
    <m/>
  </r>
  <r>
    <x v="1"/>
    <x v="0"/>
    <n v="4"/>
    <n v="3"/>
    <n v="16"/>
    <n v="316"/>
    <n v="30"/>
    <n v="9"/>
    <x v="13"/>
    <m/>
    <m/>
    <m/>
    <m/>
    <m/>
    <m/>
    <m/>
  </r>
  <r>
    <x v="1"/>
    <x v="5"/>
    <n v="4"/>
    <n v="2"/>
    <n v="16"/>
    <n v="216"/>
    <n v="31"/>
    <n v="9"/>
    <x v="13"/>
    <m/>
    <m/>
    <m/>
    <m/>
    <m/>
    <m/>
    <m/>
  </r>
  <r>
    <x v="1"/>
    <x v="1"/>
    <n v="4"/>
    <n v="1"/>
    <n v="16"/>
    <n v="116"/>
    <n v="32"/>
    <n v="9"/>
    <x v="13"/>
    <m/>
    <m/>
    <m/>
    <m/>
    <m/>
    <m/>
    <m/>
  </r>
  <r>
    <x v="0"/>
    <x v="0"/>
    <n v="1"/>
    <n v="1"/>
    <n v="2"/>
    <n v="102"/>
    <n v="1"/>
    <n v="10"/>
    <x v="16"/>
    <n v="11.2"/>
    <n v="10.5"/>
    <n v="11.2"/>
    <m/>
    <m/>
    <m/>
    <n v="10.966666666666667"/>
  </r>
  <r>
    <x v="0"/>
    <x v="1"/>
    <n v="1"/>
    <n v="2"/>
    <n v="2"/>
    <n v="202"/>
    <n v="2"/>
    <n v="10"/>
    <x v="16"/>
    <n v="10.7"/>
    <n v="10.1"/>
    <n v="10.4"/>
    <m/>
    <m/>
    <m/>
    <n v="10.399999999999999"/>
  </r>
  <r>
    <x v="0"/>
    <x v="2"/>
    <n v="1"/>
    <n v="3"/>
    <n v="2"/>
    <n v="302"/>
    <n v="3"/>
    <n v="10"/>
    <x v="16"/>
    <n v="10.8"/>
    <n v="10.199999999999999"/>
    <n v="10.4"/>
    <m/>
    <m/>
    <m/>
    <n v="10.466666666666667"/>
  </r>
  <r>
    <x v="0"/>
    <x v="3"/>
    <n v="1"/>
    <n v="4"/>
    <n v="2"/>
    <n v="402"/>
    <n v="4"/>
    <n v="10"/>
    <x v="16"/>
    <n v="10.1"/>
    <n v="10.4"/>
    <n v="10.199999999999999"/>
    <m/>
    <m/>
    <m/>
    <n v="10.233333333333333"/>
  </r>
  <r>
    <x v="1"/>
    <x v="0"/>
    <n v="1"/>
    <n v="4"/>
    <n v="4"/>
    <n v="404"/>
    <n v="5"/>
    <n v="10"/>
    <x v="13"/>
    <m/>
    <m/>
    <m/>
    <m/>
    <m/>
    <m/>
    <m/>
  </r>
  <r>
    <x v="1"/>
    <x v="4"/>
    <n v="1"/>
    <n v="3"/>
    <n v="4"/>
    <n v="304"/>
    <n v="6"/>
    <n v="10"/>
    <x v="13"/>
    <m/>
    <m/>
    <m/>
    <m/>
    <m/>
    <m/>
    <m/>
  </r>
  <r>
    <x v="1"/>
    <x v="1"/>
    <n v="1"/>
    <n v="2"/>
    <n v="4"/>
    <n v="204"/>
    <n v="7"/>
    <n v="10"/>
    <x v="13"/>
    <m/>
    <m/>
    <m/>
    <m/>
    <m/>
    <m/>
    <m/>
  </r>
  <r>
    <x v="1"/>
    <x v="5"/>
    <n v="1"/>
    <n v="1"/>
    <n v="4"/>
    <n v="104"/>
    <n v="8"/>
    <n v="10"/>
    <x v="13"/>
    <m/>
    <m/>
    <m/>
    <m/>
    <m/>
    <m/>
    <m/>
  </r>
  <r>
    <x v="0"/>
    <x v="2"/>
    <n v="2"/>
    <n v="1"/>
    <n v="6"/>
    <n v="106"/>
    <n v="9"/>
    <n v="10"/>
    <x v="16"/>
    <n v="10.4"/>
    <n v="11.3"/>
    <n v="10"/>
    <m/>
    <m/>
    <m/>
    <n v="10.566666666666668"/>
  </r>
  <r>
    <x v="0"/>
    <x v="3"/>
    <n v="2"/>
    <n v="2"/>
    <n v="6"/>
    <n v="206"/>
    <n v="10"/>
    <n v="10"/>
    <x v="16"/>
    <n v="10.4"/>
    <n v="10.3"/>
    <n v="10.5"/>
    <m/>
    <m/>
    <m/>
    <n v="10.4"/>
  </r>
  <r>
    <x v="0"/>
    <x v="1"/>
    <n v="2"/>
    <n v="3"/>
    <n v="6"/>
    <n v="306"/>
    <n v="11"/>
    <n v="10"/>
    <x v="16"/>
    <n v="9.8000000000000007"/>
    <n v="11"/>
    <n v="10.6"/>
    <m/>
    <m/>
    <m/>
    <n v="10.466666666666667"/>
  </r>
  <r>
    <x v="0"/>
    <x v="0"/>
    <n v="2"/>
    <n v="4"/>
    <n v="6"/>
    <n v="406"/>
    <n v="12"/>
    <n v="10"/>
    <x v="16"/>
    <n v="10.3"/>
    <n v="10"/>
    <n v="10.7"/>
    <m/>
    <m/>
    <m/>
    <n v="10.333333333333334"/>
  </r>
  <r>
    <x v="1"/>
    <x v="5"/>
    <n v="2"/>
    <n v="4"/>
    <n v="8"/>
    <n v="408"/>
    <n v="13"/>
    <n v="10"/>
    <x v="13"/>
    <m/>
    <m/>
    <m/>
    <m/>
    <m/>
    <m/>
    <m/>
  </r>
  <r>
    <x v="1"/>
    <x v="1"/>
    <n v="2"/>
    <n v="3"/>
    <n v="8"/>
    <n v="308"/>
    <n v="14"/>
    <n v="10"/>
    <x v="13"/>
    <m/>
    <m/>
    <m/>
    <m/>
    <m/>
    <m/>
    <m/>
  </r>
  <r>
    <x v="1"/>
    <x v="0"/>
    <n v="2"/>
    <n v="2"/>
    <n v="8"/>
    <n v="208"/>
    <n v="15"/>
    <n v="10"/>
    <x v="13"/>
    <m/>
    <m/>
    <m/>
    <m/>
    <m/>
    <m/>
    <m/>
  </r>
  <r>
    <x v="1"/>
    <x v="4"/>
    <n v="2"/>
    <n v="1"/>
    <n v="8"/>
    <n v="108"/>
    <n v="16"/>
    <n v="10"/>
    <x v="13"/>
    <m/>
    <m/>
    <m/>
    <m/>
    <m/>
    <m/>
    <m/>
  </r>
  <r>
    <x v="0"/>
    <x v="3"/>
    <n v="3"/>
    <n v="1"/>
    <n v="10"/>
    <n v="110"/>
    <n v="17"/>
    <n v="10"/>
    <x v="16"/>
    <n v="9.1999999999999993"/>
    <n v="10"/>
    <n v="9.6999999999999993"/>
    <m/>
    <m/>
    <m/>
    <n v="9.6333333333333329"/>
  </r>
  <r>
    <x v="0"/>
    <x v="2"/>
    <n v="3"/>
    <n v="2"/>
    <n v="10"/>
    <n v="210"/>
    <n v="18"/>
    <n v="10"/>
    <x v="16"/>
    <n v="10.7"/>
    <n v="10.8"/>
    <n v="11.4"/>
    <m/>
    <m/>
    <m/>
    <n v="10.966666666666667"/>
  </r>
  <r>
    <x v="0"/>
    <x v="0"/>
    <n v="3"/>
    <n v="3"/>
    <n v="10"/>
    <n v="310"/>
    <n v="19"/>
    <n v="10"/>
    <x v="16"/>
    <n v="10.4"/>
    <n v="9.6999999999999993"/>
    <n v="9.6999999999999993"/>
    <m/>
    <m/>
    <m/>
    <n v="9.9333333333333336"/>
  </r>
  <r>
    <x v="0"/>
    <x v="1"/>
    <n v="3"/>
    <n v="4"/>
    <n v="10"/>
    <n v="410"/>
    <n v="20"/>
    <n v="10"/>
    <x v="16"/>
    <n v="10.5"/>
    <n v="10.8"/>
    <n v="10.9"/>
    <m/>
    <m/>
    <m/>
    <n v="10.733333333333334"/>
  </r>
  <r>
    <x v="1"/>
    <x v="1"/>
    <n v="3"/>
    <n v="4"/>
    <n v="12"/>
    <n v="412"/>
    <n v="21"/>
    <n v="10"/>
    <x v="13"/>
    <m/>
    <m/>
    <m/>
    <m/>
    <m/>
    <m/>
    <m/>
  </r>
  <r>
    <x v="1"/>
    <x v="5"/>
    <n v="3"/>
    <n v="3"/>
    <n v="12"/>
    <n v="312"/>
    <n v="22"/>
    <n v="10"/>
    <x v="13"/>
    <m/>
    <m/>
    <m/>
    <m/>
    <m/>
    <m/>
    <m/>
  </r>
  <r>
    <x v="1"/>
    <x v="4"/>
    <n v="3"/>
    <n v="2"/>
    <n v="12"/>
    <n v="212"/>
    <n v="23"/>
    <n v="10"/>
    <x v="13"/>
    <m/>
    <m/>
    <m/>
    <m/>
    <m/>
    <m/>
    <m/>
  </r>
  <r>
    <x v="1"/>
    <x v="0"/>
    <n v="3"/>
    <n v="1"/>
    <n v="12"/>
    <n v="112"/>
    <n v="24"/>
    <n v="10"/>
    <x v="13"/>
    <m/>
    <m/>
    <m/>
    <m/>
    <m/>
    <m/>
    <m/>
  </r>
  <r>
    <x v="0"/>
    <x v="1"/>
    <n v="4"/>
    <n v="1"/>
    <n v="14"/>
    <n v="114"/>
    <n v="25"/>
    <n v="10"/>
    <x v="16"/>
    <n v="11.7"/>
    <n v="10.8"/>
    <n v="10.4"/>
    <m/>
    <m/>
    <m/>
    <n v="10.966666666666667"/>
  </r>
  <r>
    <x v="0"/>
    <x v="0"/>
    <n v="4"/>
    <n v="2"/>
    <n v="14"/>
    <n v="214"/>
    <n v="26"/>
    <n v="10"/>
    <x v="16"/>
    <n v="10.3"/>
    <n v="10.199999999999999"/>
    <n v="10.1"/>
    <m/>
    <m/>
    <m/>
    <n v="10.200000000000001"/>
  </r>
  <r>
    <x v="0"/>
    <x v="3"/>
    <n v="4"/>
    <n v="3"/>
    <n v="14"/>
    <n v="314"/>
    <n v="27"/>
    <n v="10"/>
    <x v="16"/>
    <n v="10"/>
    <n v="9.6"/>
    <n v="9.6999999999999993"/>
    <m/>
    <m/>
    <m/>
    <n v="9.7666666666666675"/>
  </r>
  <r>
    <x v="0"/>
    <x v="2"/>
    <n v="4"/>
    <n v="4"/>
    <n v="14"/>
    <n v="414"/>
    <n v="28"/>
    <n v="10"/>
    <x v="16"/>
    <n v="10.1"/>
    <n v="10.199999999999999"/>
    <n v="10.8"/>
    <m/>
    <m/>
    <m/>
    <n v="10.366666666666665"/>
  </r>
  <r>
    <x v="1"/>
    <x v="4"/>
    <n v="4"/>
    <n v="4"/>
    <n v="16"/>
    <n v="416"/>
    <n v="29"/>
    <n v="10"/>
    <x v="13"/>
    <m/>
    <m/>
    <m/>
    <m/>
    <m/>
    <m/>
    <m/>
  </r>
  <r>
    <x v="1"/>
    <x v="0"/>
    <n v="4"/>
    <n v="3"/>
    <n v="16"/>
    <n v="316"/>
    <n v="30"/>
    <n v="10"/>
    <x v="13"/>
    <m/>
    <m/>
    <m/>
    <m/>
    <m/>
    <m/>
    <m/>
  </r>
  <r>
    <x v="1"/>
    <x v="5"/>
    <n v="4"/>
    <n v="2"/>
    <n v="16"/>
    <n v="216"/>
    <n v="31"/>
    <n v="10"/>
    <x v="13"/>
    <m/>
    <m/>
    <m/>
    <m/>
    <m/>
    <m/>
    <m/>
  </r>
  <r>
    <x v="1"/>
    <x v="1"/>
    <n v="4"/>
    <n v="1"/>
    <n v="16"/>
    <n v="116"/>
    <n v="32"/>
    <n v="10"/>
    <x v="13"/>
    <m/>
    <m/>
    <m/>
    <m/>
    <m/>
    <m/>
    <m/>
  </r>
  <r>
    <x v="0"/>
    <x v="0"/>
    <n v="1"/>
    <n v="1"/>
    <n v="2"/>
    <n v="102"/>
    <n v="1"/>
    <n v="11"/>
    <x v="17"/>
    <n v="12.1"/>
    <n v="11.2"/>
    <n v="12"/>
    <m/>
    <m/>
    <m/>
    <n v="11.766666666666666"/>
  </r>
  <r>
    <x v="0"/>
    <x v="1"/>
    <n v="1"/>
    <n v="2"/>
    <n v="2"/>
    <n v="202"/>
    <n v="2"/>
    <n v="11"/>
    <x v="17"/>
    <n v="11.7"/>
    <n v="11.1"/>
    <n v="11.1"/>
    <m/>
    <m/>
    <m/>
    <n v="11.299999999999999"/>
  </r>
  <r>
    <x v="0"/>
    <x v="2"/>
    <n v="1"/>
    <n v="3"/>
    <n v="2"/>
    <n v="302"/>
    <n v="3"/>
    <n v="11"/>
    <x v="17"/>
    <n v="11.9"/>
    <n v="11.2"/>
    <n v="11.3"/>
    <m/>
    <m/>
    <m/>
    <n v="11.466666666666669"/>
  </r>
  <r>
    <x v="0"/>
    <x v="3"/>
    <n v="1"/>
    <n v="4"/>
    <n v="2"/>
    <n v="402"/>
    <n v="4"/>
    <n v="11"/>
    <x v="17"/>
    <n v="10.9"/>
    <n v="11.3"/>
    <n v="10.9"/>
    <m/>
    <m/>
    <m/>
    <n v="11.033333333333333"/>
  </r>
  <r>
    <x v="1"/>
    <x v="0"/>
    <n v="1"/>
    <n v="4"/>
    <n v="4"/>
    <n v="404"/>
    <n v="5"/>
    <n v="11"/>
    <x v="13"/>
    <m/>
    <m/>
    <m/>
    <m/>
    <m/>
    <m/>
    <m/>
  </r>
  <r>
    <x v="1"/>
    <x v="4"/>
    <n v="1"/>
    <n v="3"/>
    <n v="4"/>
    <n v="304"/>
    <n v="6"/>
    <n v="11"/>
    <x v="13"/>
    <m/>
    <m/>
    <m/>
    <m/>
    <m/>
    <m/>
    <m/>
  </r>
  <r>
    <x v="1"/>
    <x v="1"/>
    <n v="1"/>
    <n v="2"/>
    <n v="4"/>
    <n v="204"/>
    <n v="7"/>
    <n v="11"/>
    <x v="13"/>
    <m/>
    <m/>
    <m/>
    <m/>
    <m/>
    <m/>
    <m/>
  </r>
  <r>
    <x v="1"/>
    <x v="5"/>
    <n v="1"/>
    <n v="1"/>
    <n v="4"/>
    <n v="104"/>
    <n v="8"/>
    <n v="11"/>
    <x v="13"/>
    <m/>
    <m/>
    <m/>
    <m/>
    <m/>
    <m/>
    <m/>
  </r>
  <r>
    <x v="0"/>
    <x v="2"/>
    <n v="2"/>
    <n v="1"/>
    <n v="6"/>
    <n v="106"/>
    <n v="9"/>
    <n v="11"/>
    <x v="17"/>
    <n v="11.1"/>
    <n v="12.4"/>
    <n v="10.8"/>
    <m/>
    <m/>
    <m/>
    <n v="11.433333333333332"/>
  </r>
  <r>
    <x v="0"/>
    <x v="3"/>
    <n v="2"/>
    <n v="2"/>
    <n v="6"/>
    <n v="206"/>
    <n v="10"/>
    <n v="11"/>
    <x v="17"/>
    <n v="11.4"/>
    <n v="11.2"/>
    <n v="11.4"/>
    <m/>
    <m/>
    <m/>
    <n v="11.333333333333334"/>
  </r>
  <r>
    <x v="0"/>
    <x v="1"/>
    <n v="2"/>
    <n v="3"/>
    <n v="6"/>
    <n v="306"/>
    <n v="11"/>
    <n v="11"/>
    <x v="17"/>
    <n v="10.9"/>
    <n v="11.9"/>
    <n v="11.7"/>
    <m/>
    <m/>
    <m/>
    <n v="11.5"/>
  </r>
  <r>
    <x v="0"/>
    <x v="0"/>
    <n v="2"/>
    <n v="4"/>
    <n v="6"/>
    <n v="406"/>
    <n v="12"/>
    <n v="11"/>
    <x v="17"/>
    <n v="11.2"/>
    <n v="10.9"/>
    <n v="11.4"/>
    <m/>
    <m/>
    <m/>
    <n v="11.166666666666666"/>
  </r>
  <r>
    <x v="1"/>
    <x v="5"/>
    <n v="2"/>
    <n v="4"/>
    <n v="8"/>
    <n v="408"/>
    <n v="13"/>
    <n v="11"/>
    <x v="13"/>
    <m/>
    <m/>
    <m/>
    <m/>
    <m/>
    <m/>
    <m/>
  </r>
  <r>
    <x v="1"/>
    <x v="1"/>
    <n v="2"/>
    <n v="3"/>
    <n v="8"/>
    <n v="308"/>
    <n v="14"/>
    <n v="11"/>
    <x v="13"/>
    <m/>
    <m/>
    <m/>
    <m/>
    <m/>
    <m/>
    <m/>
  </r>
  <r>
    <x v="1"/>
    <x v="0"/>
    <n v="2"/>
    <n v="2"/>
    <n v="8"/>
    <n v="208"/>
    <n v="15"/>
    <n v="11"/>
    <x v="13"/>
    <m/>
    <m/>
    <m/>
    <m/>
    <m/>
    <m/>
    <m/>
  </r>
  <r>
    <x v="1"/>
    <x v="4"/>
    <n v="2"/>
    <n v="1"/>
    <n v="8"/>
    <n v="108"/>
    <n v="16"/>
    <n v="11"/>
    <x v="13"/>
    <m/>
    <m/>
    <m/>
    <m/>
    <m/>
    <m/>
    <m/>
  </r>
  <r>
    <x v="0"/>
    <x v="3"/>
    <n v="3"/>
    <n v="1"/>
    <n v="10"/>
    <n v="110"/>
    <n v="17"/>
    <n v="11"/>
    <x v="17"/>
    <n v="10.199999999999999"/>
    <n v="10.8"/>
    <n v="10.5"/>
    <m/>
    <m/>
    <m/>
    <n v="10.5"/>
  </r>
  <r>
    <x v="0"/>
    <x v="2"/>
    <n v="3"/>
    <n v="2"/>
    <n v="10"/>
    <n v="210"/>
    <n v="18"/>
    <n v="11"/>
    <x v="17"/>
    <n v="11.7"/>
    <n v="11.8"/>
    <n v="12.4"/>
    <m/>
    <m/>
    <m/>
    <n v="11.966666666666667"/>
  </r>
  <r>
    <x v="0"/>
    <x v="0"/>
    <n v="3"/>
    <n v="3"/>
    <n v="10"/>
    <n v="310"/>
    <n v="19"/>
    <n v="11"/>
    <x v="17"/>
    <n v="11.7"/>
    <n v="10.8"/>
    <n v="10.9"/>
    <m/>
    <m/>
    <m/>
    <n v="11.133333333333333"/>
  </r>
  <r>
    <x v="0"/>
    <x v="1"/>
    <n v="3"/>
    <n v="4"/>
    <n v="10"/>
    <n v="410"/>
    <n v="20"/>
    <n v="11"/>
    <x v="17"/>
    <n v="11.7"/>
    <n v="11.8"/>
    <n v="11.9"/>
    <m/>
    <m/>
    <m/>
    <n v="11.799999999999999"/>
  </r>
  <r>
    <x v="1"/>
    <x v="1"/>
    <n v="3"/>
    <n v="4"/>
    <n v="12"/>
    <n v="412"/>
    <n v="21"/>
    <n v="11"/>
    <x v="13"/>
    <m/>
    <m/>
    <m/>
    <m/>
    <m/>
    <m/>
    <m/>
  </r>
  <r>
    <x v="1"/>
    <x v="5"/>
    <n v="3"/>
    <n v="3"/>
    <n v="12"/>
    <n v="312"/>
    <n v="22"/>
    <n v="11"/>
    <x v="13"/>
    <m/>
    <m/>
    <m/>
    <m/>
    <m/>
    <m/>
    <m/>
  </r>
  <r>
    <x v="1"/>
    <x v="4"/>
    <n v="3"/>
    <n v="2"/>
    <n v="12"/>
    <n v="212"/>
    <n v="23"/>
    <n v="11"/>
    <x v="13"/>
    <m/>
    <m/>
    <m/>
    <m/>
    <m/>
    <m/>
    <m/>
  </r>
  <r>
    <x v="1"/>
    <x v="0"/>
    <n v="3"/>
    <n v="1"/>
    <n v="12"/>
    <n v="112"/>
    <n v="24"/>
    <n v="11"/>
    <x v="13"/>
    <m/>
    <m/>
    <m/>
    <m/>
    <m/>
    <m/>
    <m/>
  </r>
  <r>
    <x v="0"/>
    <x v="1"/>
    <n v="4"/>
    <n v="1"/>
    <n v="14"/>
    <n v="114"/>
    <n v="25"/>
    <n v="11"/>
    <x v="17"/>
    <n v="12.7"/>
    <n v="11.8"/>
    <n v="11.5"/>
    <m/>
    <m/>
    <m/>
    <n v="12"/>
  </r>
  <r>
    <x v="0"/>
    <x v="0"/>
    <n v="4"/>
    <n v="2"/>
    <n v="14"/>
    <n v="214"/>
    <n v="26"/>
    <n v="11"/>
    <x v="17"/>
    <n v="11.1"/>
    <n v="11.2"/>
    <n v="10.9"/>
    <m/>
    <m/>
    <m/>
    <n v="11.066666666666665"/>
  </r>
  <r>
    <x v="0"/>
    <x v="3"/>
    <n v="4"/>
    <n v="3"/>
    <n v="14"/>
    <n v="314"/>
    <n v="27"/>
    <n v="11"/>
    <x v="17"/>
    <n v="10.5"/>
    <n v="10.8"/>
    <n v="10.6"/>
    <m/>
    <m/>
    <m/>
    <n v="10.633333333333333"/>
  </r>
  <r>
    <x v="0"/>
    <x v="2"/>
    <n v="4"/>
    <n v="4"/>
    <n v="14"/>
    <n v="414"/>
    <n v="28"/>
    <n v="11"/>
    <x v="17"/>
    <n v="11.1"/>
    <n v="10.9"/>
    <n v="11.9"/>
    <m/>
    <m/>
    <m/>
    <n v="11.299999999999999"/>
  </r>
  <r>
    <x v="1"/>
    <x v="4"/>
    <n v="4"/>
    <n v="4"/>
    <n v="16"/>
    <n v="416"/>
    <n v="29"/>
    <n v="11"/>
    <x v="13"/>
    <m/>
    <m/>
    <m/>
    <m/>
    <m/>
    <m/>
    <m/>
  </r>
  <r>
    <x v="1"/>
    <x v="0"/>
    <n v="4"/>
    <n v="3"/>
    <n v="16"/>
    <n v="316"/>
    <n v="30"/>
    <n v="11"/>
    <x v="13"/>
    <m/>
    <m/>
    <m/>
    <m/>
    <m/>
    <m/>
    <m/>
  </r>
  <r>
    <x v="1"/>
    <x v="5"/>
    <n v="4"/>
    <n v="2"/>
    <n v="16"/>
    <n v="216"/>
    <n v="31"/>
    <n v="11"/>
    <x v="13"/>
    <m/>
    <m/>
    <m/>
    <m/>
    <m/>
    <m/>
    <m/>
  </r>
  <r>
    <x v="1"/>
    <x v="1"/>
    <n v="4"/>
    <n v="1"/>
    <n v="16"/>
    <n v="116"/>
    <n v="32"/>
    <n v="11"/>
    <x v="13"/>
    <m/>
    <m/>
    <m/>
    <m/>
    <m/>
    <m/>
    <m/>
  </r>
  <r>
    <x v="2"/>
    <x v="6"/>
    <m/>
    <m/>
    <m/>
    <m/>
    <m/>
    <m/>
    <x v="13"/>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n v="1"/>
    <x v="0"/>
    <n v="2"/>
    <n v="102"/>
    <n v="1"/>
    <d v="2025-11-24T00:00:00"/>
    <n v="0.5"/>
    <n v="703"/>
    <n v="696"/>
    <n v="135.21428571428601"/>
    <n v="560.78571428571399"/>
    <n v="232.47"/>
    <n v="629"/>
    <n v="493.78571428571399"/>
    <n v="217.45"/>
    <n v="20"/>
    <n v="10.8"/>
    <n v="15.89"/>
    <n v="34.15"/>
    <n v="17"/>
    <n v="25.89"/>
    <n v="200"/>
    <n v="6.4"/>
    <n v="60.84"/>
    <n v="3.578823529411765"/>
    <n v="1243.2514285714281"/>
    <n v="0.17751479289940827"/>
    <n v="0.2611768573307035"/>
    <n v="0.56130834976988819"/>
    <n v="0.42554240631163709"/>
    <n v="220.69551986475054"/>
    <n v="324.7085009861932"/>
    <n v="697.84740772048428"/>
    <n v="529.0562045646659"/>
    <n v="516.72"/>
    <n v="0.41561987231636882"/>
    <n v="87.077902525056984"/>
    <n v="32"/>
    <n v="16147.5"/>
  </r>
  <r>
    <x v="0"/>
    <x v="1"/>
    <n v="1"/>
    <x v="1"/>
    <n v="2"/>
    <n v="202"/>
    <n v="2"/>
    <d v="2025-11-24T00:00:00"/>
    <n v="0.5"/>
    <n v="636"/>
    <n v="622"/>
    <n v="135.21428571428601"/>
    <n v="486.78571428571399"/>
    <n v="149.47"/>
    <n v="634"/>
    <n v="498.78571428571399"/>
    <n v="182.56"/>
    <n v="20"/>
    <n v="7.83"/>
    <n v="17.420000000000002"/>
    <n v="22.17"/>
    <n v="19"/>
    <n v="16.899999999999999"/>
    <n v="200"/>
    <n v="4.74"/>
    <n v="47.42"/>
    <n v="2.4957894736842108"/>
    <n v="1068.4114285714279"/>
    <n v="0.16512020244622522"/>
    <n v="0.36735554618304517"/>
    <n v="0.46752425137072967"/>
    <n v="0.35638970898355121"/>
    <n v="176.41631138157487"/>
    <n v="392.48686389106444"/>
    <n v="499.50825329878865"/>
    <n v="380.77083810327139"/>
    <n v="332.74"/>
    <n v="0.31143433241340968"/>
    <n v="144.27644343346492"/>
    <n v="23.7"/>
    <n v="14039.662447257384"/>
  </r>
  <r>
    <x v="0"/>
    <x v="2"/>
    <n v="1"/>
    <x v="2"/>
    <n v="2"/>
    <n v="302"/>
    <n v="3"/>
    <d v="2025-11-24T00:00:00"/>
    <n v="0.5"/>
    <n v="591"/>
    <n v="586"/>
    <n v="135.21428571428601"/>
    <n v="450.78571428571399"/>
    <n v="168.11"/>
    <n v="680"/>
    <n v="544.78571428571399"/>
    <n v="229.45"/>
    <n v="20"/>
    <n v="9.14"/>
    <n v="18.989999999999998"/>
    <n v="35.299999999999997"/>
    <n v="19"/>
    <n v="26.43"/>
    <n v="200"/>
    <n v="5.76"/>
    <n v="63.429999999999993"/>
    <n v="3.3384210526315785"/>
    <n v="1028.4314285714279"/>
    <n v="0.14409585369698882"/>
    <n v="0.29938514898313101"/>
    <n v="0.55651899731988019"/>
    <n v="0.41667980450890751"/>
    <n v="148.19270466881369"/>
    <n v="307.89709646179119"/>
    <n v="572.341627440823"/>
    <n v="428.52660660795908"/>
    <n v="389.08000000000004"/>
    <n v="0.37832371628360556"/>
    <n v="172.97602760097553"/>
    <n v="28.8"/>
    <n v="13509.722222222224"/>
  </r>
  <r>
    <x v="0"/>
    <x v="3"/>
    <n v="1"/>
    <x v="3"/>
    <n v="2"/>
    <n v="402"/>
    <n v="4"/>
    <d v="2025-11-24T00:00:00"/>
    <n v="0.5"/>
    <n v="624"/>
    <n v="568"/>
    <n v="135.21428571428601"/>
    <n v="432.78571428571399"/>
    <n v="145.01"/>
    <n v="621"/>
    <n v="485.78571428571399"/>
    <n v="198.94"/>
    <n v="20"/>
    <n v="6.09"/>
    <n v="13.03"/>
    <n v="21.22"/>
    <n v="17"/>
    <n v="17.350000000000001"/>
    <n v="200"/>
    <n v="7.16"/>
    <n v="40.339999999999996"/>
    <n v="2.3729411764705879"/>
    <n v="946.25142857142794"/>
    <n v="0.15096678235002481"/>
    <n v="0.32300446207238476"/>
    <n v="0.52602875557759055"/>
    <n v="0.43009419930589993"/>
    <n v="142.85253346554282"/>
    <n v="305.64343367093971"/>
    <n v="497.75546143494557"/>
    <n v="406.97725051349227"/>
    <n v="324.71999999999997"/>
    <n v="0.34316460741331228"/>
    <n v="174.38107716709195"/>
    <n v="35.799999999999997"/>
    <n v="9070.3910614525139"/>
  </r>
  <r>
    <x v="1"/>
    <x v="0"/>
    <n v="1"/>
    <x v="3"/>
    <n v="4"/>
    <n v="404"/>
    <n v="5"/>
    <d v="2025-11-24T00:00:00"/>
    <n v="0.5"/>
    <n v="498"/>
    <n v="520"/>
    <n v="135.21428571428601"/>
    <n v="384.78571428571399"/>
    <n v="174.44"/>
    <n v="519"/>
    <n v="383.78571428571399"/>
    <n v="196.52"/>
    <n v="20"/>
    <n v="5.5"/>
    <n v="10.14"/>
    <n v="29.83"/>
    <n v="18"/>
    <n v="22.36"/>
    <n v="200"/>
    <n v="5.94"/>
    <n v="45.47"/>
    <n v="2.5261111111111112"/>
    <n v="860.51142857142804"/>
    <n v="0.12095887398284584"/>
    <n v="0.22300417857928306"/>
    <n v="0.65603694743787111"/>
    <n v="0.49175280404662414"/>
    <n v="104.08649344937001"/>
    <n v="191.89764428665671"/>
    <n v="564.52729083540135"/>
    <n v="423.15890791416604"/>
    <n v="393.6"/>
    <n v="0.4574024085344599"/>
    <n v="125.31529465718874"/>
    <n v="29.7"/>
    <n v="13252.525252525253"/>
  </r>
  <r>
    <x v="1"/>
    <x v="4"/>
    <n v="1"/>
    <x v="2"/>
    <n v="4"/>
    <n v="304"/>
    <n v="6"/>
    <d v="2025-11-24T00:00:00"/>
    <n v="0.5"/>
    <n v="554"/>
    <n v="520"/>
    <n v="135.21428571428601"/>
    <n v="384.78571428571399"/>
    <n v="146.46"/>
    <n v="469"/>
    <n v="333.78571428571399"/>
    <n v="149.68"/>
    <n v="20"/>
    <n v="6.96"/>
    <n v="14.57"/>
    <n v="25.8"/>
    <n v="15"/>
    <n v="20.059999999999999"/>
    <n v="200"/>
    <n v="6.83"/>
    <n v="47.33"/>
    <n v="3.1553333333333331"/>
    <n v="864.23142857142795"/>
    <n v="0.14705260933868583"/>
    <n v="0.30783858018170296"/>
    <n v="0.54510881047961124"/>
    <n v="0.42383266427213184"/>
    <n v="127.08748664392856"/>
    <n v="266.04377591983319"/>
    <n v="471.10016600766619"/>
    <n v="366.28950891913894"/>
    <n v="333.04"/>
    <n v="0.38535974160360514"/>
    <n v="104.39710501160727"/>
    <n v="34.15"/>
    <n v="9752.2693997071747"/>
  </r>
  <r>
    <x v="1"/>
    <x v="1"/>
    <n v="1"/>
    <x v="1"/>
    <n v="4"/>
    <n v="204"/>
    <n v="7"/>
    <d v="2025-11-24T00:00:00"/>
    <n v="0.5"/>
    <n v="593"/>
    <n v="598"/>
    <n v="135.21428571428601"/>
    <n v="462.78571428571399"/>
    <n v="186.73"/>
    <n v="467"/>
    <n v="331.78571428571399"/>
    <n v="150.69999999999999"/>
    <n v="20"/>
    <n v="8.34"/>
    <n v="13.27"/>
    <n v="24.74"/>
    <n v="19"/>
    <n v="19.75"/>
    <n v="200"/>
    <n v="5.87"/>
    <n v="46.349999999999994"/>
    <n v="2.439473684210526"/>
    <n v="1018.271428571428"/>
    <n v="0.17993527508090618"/>
    <n v="0.28629989212513485"/>
    <n v="0.53376483279395903"/>
    <n v="0.42610571736785335"/>
    <n v="183.2229496070272"/>
    <n v="291.53100015410678"/>
    <n v="543.51747881029405"/>
    <n v="433.89127754661718"/>
    <n v="412.96"/>
    <n v="0.40555002174553534"/>
    <n v="61.40952176939966"/>
    <n v="29.35"/>
    <n v="14070.187393526405"/>
  </r>
  <r>
    <x v="1"/>
    <x v="5"/>
    <n v="1"/>
    <x v="0"/>
    <n v="4"/>
    <n v="104"/>
    <n v="8"/>
    <d v="2025-11-24T00:00:00"/>
    <n v="0.5"/>
    <n v="659"/>
    <n v="614"/>
    <n v="135.21428571428601"/>
    <n v="478.78571428571399"/>
    <n v="208.38"/>
    <n v="518"/>
    <n v="382.78571428571399"/>
    <n v="178.16"/>
    <n v="20"/>
    <n v="6.25"/>
    <n v="21.96"/>
    <n v="38.15"/>
    <n v="20"/>
    <n v="25.95"/>
    <n v="200"/>
    <n v="6.32"/>
    <n v="66.36"/>
    <n v="3.3180000000000001"/>
    <n v="1090.291428571428"/>
    <n v="9.418324291742014E-2"/>
    <n v="0.3309222423146474"/>
    <n v="0.57489451476793252"/>
    <n v="0.3910488245931284"/>
    <n v="102.68718246792383"/>
    <n v="360.80168431929718"/>
    <n v="626.80256178420711"/>
    <n v="426.35718160681972"/>
    <n v="468.65999999999997"/>
    <n v="0.42984837605672943"/>
    <n v="70.995297053460021"/>
    <n v="31.6"/>
    <n v="14831.012658227846"/>
  </r>
  <r>
    <x v="0"/>
    <x v="2"/>
    <n v="2"/>
    <x v="0"/>
    <n v="6"/>
    <n v="106"/>
    <n v="9"/>
    <d v="2025-11-24T00:00:00"/>
    <n v="0.5"/>
    <n v="715"/>
    <n v="701"/>
    <n v="135.21428571428601"/>
    <n v="565.78571428571399"/>
    <n v="183.45"/>
    <n v="576"/>
    <n v="440.78571428571399"/>
    <n v="183.02"/>
    <n v="20"/>
    <n v="8.4499999999999993"/>
    <n v="16.28"/>
    <n v="19.739999999999998"/>
    <n v="15"/>
    <n v="14.85"/>
    <n v="200"/>
    <n v="5.48"/>
    <n v="44.47"/>
    <n v="2.9646666666666666"/>
    <n v="1220.511428571428"/>
    <n v="0.19001574094895435"/>
    <n v="0.3660894985383405"/>
    <n v="0.44389476051270516"/>
    <n v="0.33393298853159431"/>
    <n v="231.91638343666668"/>
    <n v="446.81641684602766"/>
    <n v="541.77862828873367"/>
    <n v="407.56902887982244"/>
    <n v="396.59999999999997"/>
    <n v="0.32494574873764875"/>
    <n v="99.531207413464188"/>
    <n v="27.4"/>
    <n v="14474.452554744525"/>
  </r>
  <r>
    <x v="0"/>
    <x v="3"/>
    <n v="2"/>
    <x v="1"/>
    <n v="6"/>
    <n v="206"/>
    <n v="10"/>
    <d v="2025-11-24T00:00:00"/>
    <n v="0.5"/>
    <n v="785"/>
    <n v="680"/>
    <n v="135.21428571428601"/>
    <n v="544.78571428571399"/>
    <n v="205.08"/>
    <n v="646"/>
    <n v="510.78571428571399"/>
    <n v="208.25"/>
    <n v="20"/>
    <n v="6.56"/>
    <n v="16.37"/>
    <n v="30.21"/>
    <n v="19"/>
    <n v="24.12"/>
    <n v="200"/>
    <n v="7.4"/>
    <n v="53.14"/>
    <n v="2.796842105263158"/>
    <n v="1195.851428571428"/>
    <n v="0.12344749717726759"/>
    <n v="0.30805419646217541"/>
    <n v="0.56849830636055698"/>
    <n v="0.45389537071885588"/>
    <n v="147.62486585300277"/>
    <n v="368.38705091671579"/>
    <n v="679.83951180170936"/>
    <n v="542.79142749610173"/>
    <n v="458.40000000000003"/>
    <n v="0.38332521001175512"/>
    <n v="103.09147649697678"/>
    <n v="37"/>
    <n v="12389.18918918919"/>
  </r>
  <r>
    <x v="0"/>
    <x v="1"/>
    <n v="2"/>
    <x v="2"/>
    <n v="6"/>
    <n v="306"/>
    <n v="11"/>
    <d v="2025-11-24T00:00:00"/>
    <n v="0.5"/>
    <n v="535"/>
    <n v="541"/>
    <n v="135.21428571428601"/>
    <n v="405.78571428571399"/>
    <n v="168.23"/>
    <n v="635"/>
    <n v="499.78571428571399"/>
    <n v="232.94"/>
    <n v="20"/>
    <n v="6.45"/>
    <n v="19.670000000000002"/>
    <n v="33.68"/>
    <n v="19"/>
    <n v="26.47"/>
    <n v="200"/>
    <n v="6.09"/>
    <n v="59.8"/>
    <n v="3.1473684210526316"/>
    <n v="931.17142857142801"/>
    <n v="0.10785953177257526"/>
    <n v="0.32892976588628769"/>
    <n v="0.56321070234113713"/>
    <n v="0.44264214046822742"/>
    <n v="100.43571428571424"/>
    <n v="306.28999999999991"/>
    <n v="524.44571428571396"/>
    <n v="412.17571428571404"/>
    <n v="389.4"/>
    <n v="0.41818293393881767"/>
    <n v="176.93039291446235"/>
    <n v="30.45"/>
    <n v="12788.177339901478"/>
  </r>
  <r>
    <x v="0"/>
    <x v="0"/>
    <n v="2"/>
    <x v="3"/>
    <n v="6"/>
    <n v="406"/>
    <n v="12"/>
    <d v="2025-11-24T00:00:00"/>
    <n v="0.5"/>
    <n v="615"/>
    <n v="631"/>
    <n v="135.21428571428601"/>
    <n v="495.78571428571399"/>
    <n v="210.74"/>
    <n v="519"/>
    <n v="383.78571428571399"/>
    <n v="191.13"/>
    <n v="20"/>
    <n v="6.85"/>
    <n v="15.95"/>
    <n v="37.659999999999997"/>
    <n v="20"/>
    <n v="22.75"/>
    <n v="200"/>
    <n v="5.92"/>
    <n v="60.459999999999994"/>
    <n v="3.0229999999999997"/>
    <n v="1112.4914285714281"/>
    <n v="0.11329804829639431"/>
    <n v="0.26381078398941449"/>
    <n v="0.62289116771419117"/>
    <n v="0.37628183923255049"/>
    <n v="126.04310760361035"/>
    <n v="293.48723595293217"/>
    <n v="692.9610850148855"/>
    <n v="418.61032087330449"/>
    <n v="466.98"/>
    <n v="0.41976053748086684"/>
    <n v="81.389389769384067"/>
    <n v="29.6"/>
    <n v="15776.35135135135"/>
  </r>
  <r>
    <x v="1"/>
    <x v="5"/>
    <n v="2"/>
    <x v="3"/>
    <n v="8"/>
    <n v="408"/>
    <n v="13"/>
    <d v="2025-11-24T00:00:00"/>
    <n v="0.5"/>
    <n v="581"/>
    <n v="579"/>
    <n v="135.21428571428601"/>
    <n v="443.78571428571399"/>
    <n v="192.49"/>
    <n v="503"/>
    <n v="367.78571428571399"/>
    <n v="166.74"/>
    <n v="20"/>
    <n v="7.25"/>
    <n v="20.28"/>
    <n v="34.21"/>
    <n v="19"/>
    <n v="26.43"/>
    <n v="200"/>
    <n v="5.93"/>
    <n v="61.74"/>
    <n v="3.2494736842105265"/>
    <n v="1011.051428571428"/>
    <n v="0.11742792355037253"/>
    <n v="0.32847424684159376"/>
    <n v="0.55409782960803367"/>
    <n v="0.42808551992225458"/>
    <n v="118.72566985978058"/>
    <n v="332.10435651811724"/>
    <n v="560.22140219353014"/>
    <n v="432.81647646813798"/>
    <n v="437.84000000000003"/>
    <n v="0.43305413317960395"/>
    <n v="73.245363395501059"/>
    <n v="29.65"/>
    <n v="14766.947723440138"/>
  </r>
  <r>
    <x v="1"/>
    <x v="1"/>
    <n v="2"/>
    <x v="2"/>
    <n v="8"/>
    <n v="308"/>
    <n v="14"/>
    <d v="2025-11-24T00:00:00"/>
    <n v="0.5"/>
    <n v="544"/>
    <n v="532"/>
    <n v="135.21428571428601"/>
    <n v="396.78571428571399"/>
    <n v="179.74"/>
    <n v="462"/>
    <n v="326.78571428571399"/>
    <n v="158.61000000000001"/>
    <n v="20"/>
    <n v="7.89"/>
    <n v="10.8"/>
    <n v="24.08"/>
    <n v="17"/>
    <n v="19.670000000000002"/>
    <n v="200"/>
    <n v="6.76"/>
    <n v="42.769999999999996"/>
    <n v="2.5158823529411762"/>
    <n v="879.11142857142795"/>
    <n v="0.18447509936871639"/>
    <n v="0.25251344400280573"/>
    <n v="0.56301145662847796"/>
    <n v="0.4599018003273323"/>
    <n v="162.1741681418884"/>
    <n v="221.98745449079783"/>
    <n v="494.9498059387418"/>
    <n v="404.30492868833272"/>
    <n v="398.82000000000005"/>
    <n v="0.45366262687323927"/>
    <n v="76.488260821186159"/>
    <n v="33.799999999999997"/>
    <n v="11799.408284023672"/>
  </r>
  <r>
    <x v="1"/>
    <x v="0"/>
    <n v="2"/>
    <x v="1"/>
    <n v="8"/>
    <n v="208"/>
    <n v="15"/>
    <d v="2025-11-24T00:00:00"/>
    <n v="0.5"/>
    <n v="488"/>
    <n v="516"/>
    <n v="135.21428571428601"/>
    <n v="380.78571428571399"/>
    <n v="162.84"/>
    <n v="564"/>
    <n v="428.78571428571399"/>
    <n v="206.32"/>
    <n v="20"/>
    <n v="7.54"/>
    <n v="11.45"/>
    <n v="31.85"/>
    <n v="19"/>
    <n v="24.14"/>
    <n v="200"/>
    <n v="5.42"/>
    <n v="50.84"/>
    <n v="2.6757894736842105"/>
    <n v="863.25142857142805"/>
    <n v="0.14830841856805663"/>
    <n v="0.22521636506687645"/>
    <n v="0.62647521636506687"/>
    <n v="0.47482297403619195"/>
    <n v="128.02745419804418"/>
    <n v="194.41834888164536"/>
    <n v="540.80562549173851"/>
    <n v="409.89161065527679"/>
    <n v="373.96000000000004"/>
    <n v="0.43319939895014892"/>
    <n v="153.4021125030705"/>
    <n v="27.1"/>
    <n v="13799.261992619928"/>
  </r>
  <r>
    <x v="1"/>
    <x v="4"/>
    <n v="2"/>
    <x v="0"/>
    <n v="8"/>
    <n v="108"/>
    <n v="16"/>
    <d v="2025-11-24T00:00:00"/>
    <n v="0.5"/>
    <n v="643"/>
    <n v="596"/>
    <n v="135.21428571428601"/>
    <n v="460.78571428571399"/>
    <n v="174.37"/>
    <n v="462"/>
    <n v="326.78571428571399"/>
    <n v="147.28"/>
    <n v="20"/>
    <n v="7.09"/>
    <n v="17.600000000000001"/>
    <n v="24.81"/>
    <n v="19"/>
    <n v="19.38"/>
    <n v="200"/>
    <n v="6.92"/>
    <n v="49.5"/>
    <n v="2.6052631578947367"/>
    <n v="1020.571428571428"/>
    <n v="0.14323232323232324"/>
    <n v="0.35555555555555557"/>
    <n v="0.50121212121212122"/>
    <n v="0.39151515151515148"/>
    <n v="146.17881673881666"/>
    <n v="362.86984126984106"/>
    <n v="511.52277056277029"/>
    <n v="399.56917748917721"/>
    <n v="387.5"/>
    <n v="0.37968924972004503"/>
    <n v="68.928141308711361"/>
    <n v="34.6"/>
    <n v="11199.421965317919"/>
  </r>
  <r>
    <x v="0"/>
    <x v="3"/>
    <n v="3"/>
    <x v="0"/>
    <n v="10"/>
    <n v="110"/>
    <n v="17"/>
    <d v="2025-11-24T00:00:00"/>
    <n v="0.5"/>
    <n v="649"/>
    <n v="589"/>
    <n v="135.21428571428601"/>
    <n v="453.78571428571399"/>
    <n v="161.84"/>
    <n v="599"/>
    <n v="463.78571428571399"/>
    <n v="179.58"/>
    <n v="20"/>
    <n v="6.56"/>
    <n v="12.15"/>
    <n v="17.47"/>
    <n v="18"/>
    <n v="13.12"/>
    <n v="200"/>
    <n v="6.33"/>
    <n v="36.18"/>
    <n v="2.0099999999999998"/>
    <n v="979.931428571428"/>
    <n v="0.18131564400221115"/>
    <n v="0.33582089552238809"/>
    <n v="0.48286346047540074"/>
    <n v="0.36263128800442229"/>
    <n v="177.67689804943524"/>
    <n v="329.08144989339002"/>
    <n v="473.17308062860269"/>
    <n v="355.35379609887048"/>
    <n v="349.92"/>
    <n v="0.35708621011382741"/>
    <n v="121.92288680177955"/>
    <n v="31.65"/>
    <n v="11055.924170616114"/>
  </r>
  <r>
    <x v="0"/>
    <x v="2"/>
    <n v="3"/>
    <x v="1"/>
    <n v="10"/>
    <n v="210"/>
    <n v="18"/>
    <d v="2025-11-24T00:00:00"/>
    <n v="0.5"/>
    <n v="685"/>
    <n v="651"/>
    <n v="135.21428571428601"/>
    <n v="515.78571428571399"/>
    <n v="167.99"/>
    <n v="656"/>
    <n v="520.78571428571399"/>
    <n v="203.82"/>
    <n v="20"/>
    <n v="10.43"/>
    <n v="24.2"/>
    <n v="39.54"/>
    <n v="17"/>
    <n v="30.57"/>
    <n v="200"/>
    <n v="5.14"/>
    <n v="74.169999999999987"/>
    <n v="4.3629411764705877"/>
    <n v="1179.9114285714279"/>
    <n v="0.14062289335310774"/>
    <n v="0.3262774706754753"/>
    <n v="0.53309963597141707"/>
    <n v="0.41216125117972235"/>
    <n v="165.9225589861129"/>
    <n v="384.97851653537225"/>
    <n v="629.01035304994286"/>
    <n v="486.31377068125335"/>
    <n v="397.12"/>
    <n v="0.33656763582738675"/>
    <n v="142.65730102982317"/>
    <n v="25.7"/>
    <n v="15452.140077821012"/>
  </r>
  <r>
    <x v="0"/>
    <x v="0"/>
    <n v="3"/>
    <x v="2"/>
    <n v="10"/>
    <n v="310"/>
    <n v="19"/>
    <d v="2025-11-24T00:00:00"/>
    <n v="0.5"/>
    <n v="608"/>
    <n v="609"/>
    <n v="135.21428571428601"/>
    <n v="473.78571428571399"/>
    <n v="217.72"/>
    <n v="554"/>
    <n v="418.78571428571399"/>
    <n v="203.81"/>
    <n v="20"/>
    <n v="6.83"/>
    <n v="13.81"/>
    <n v="33.93"/>
    <n v="20"/>
    <n v="25.92"/>
    <n v="200"/>
    <n v="6.77"/>
    <n v="54.57"/>
    <n v="2.7284999999999999"/>
    <n v="1056.7114285714281"/>
    <n v="0.12516034451163643"/>
    <n v="0.25306945207989739"/>
    <n v="0.62177020340846623"/>
    <n v="0.4749862561847169"/>
    <n v="132.25836644938343"/>
    <n v="267.42138223513695"/>
    <n v="657.0316798869078"/>
    <n v="501.92340532474651"/>
    <n v="487.28"/>
    <n v="0.46112873091450857"/>
    <n v="87.22212015432666"/>
    <n v="33.85"/>
    <n v="14395.273264401772"/>
  </r>
  <r>
    <x v="0"/>
    <x v="1"/>
    <n v="3"/>
    <x v="3"/>
    <n v="10"/>
    <n v="410"/>
    <n v="20"/>
    <d v="2025-11-24T00:00:00"/>
    <n v="0.5"/>
    <n v="641"/>
    <n v="627"/>
    <n v="135.21428571428601"/>
    <n v="491.78571428571399"/>
    <n v="192.04"/>
    <n v="634"/>
    <n v="498.78571428571399"/>
    <n v="222.86"/>
    <n v="20"/>
    <n v="7.28"/>
    <n v="19.59"/>
    <n v="32.729999999999997"/>
    <n v="19"/>
    <n v="24.52"/>
    <n v="200"/>
    <n v="6.1"/>
    <n v="59.599999999999994"/>
    <n v="3.1368421052631574"/>
    <n v="1102.771428571428"/>
    <n v="0.12214765100671142"/>
    <n v="0.32869127516778529"/>
    <n v="0.54916107382550339"/>
    <n v="0.4114093959731544"/>
    <n v="134.70093959731537"/>
    <n v="362.47134707574293"/>
    <n v="605.59914189836979"/>
    <n v="453.69052732502377"/>
    <n v="433.12"/>
    <n v="0.39275591367204726"/>
    <n v="132.09747969173091"/>
    <n v="30.5"/>
    <n v="14200.655737704918"/>
  </r>
  <r>
    <x v="1"/>
    <x v="1"/>
    <n v="3"/>
    <x v="3"/>
    <n v="12"/>
    <n v="412"/>
    <n v="21"/>
    <d v="2025-11-24T00:00:00"/>
    <n v="0.5"/>
    <n v="638"/>
    <n v="616"/>
    <n v="135.21428571428601"/>
    <n v="480.78571428571399"/>
    <n v="199.71"/>
    <n v="520"/>
    <n v="384.78571428571399"/>
    <n v="183.56"/>
    <n v="20"/>
    <n v="6.83"/>
    <n v="13.06"/>
    <n v="25.34"/>
    <n v="18"/>
    <n v="20.32"/>
    <n v="200"/>
    <n v="6.05"/>
    <n v="45.230000000000004"/>
    <n v="2.512777777777778"/>
    <n v="1052.031428571428"/>
    <n v="0.15100596948927703"/>
    <n v="0.28874640725182399"/>
    <n v="0.56024762325889887"/>
    <n v="0.44925934114525756"/>
    <n v="158.86302580461759"/>
    <n v="303.77029531600374"/>
    <n v="589.39810745080661"/>
    <n v="472.63494646410385"/>
    <n v="440.06"/>
    <n v="0.41829548818476386"/>
    <n v="83.826548495318207"/>
    <n v="30.25"/>
    <n v="14547.438016528926"/>
  </r>
  <r>
    <x v="1"/>
    <x v="5"/>
    <n v="3"/>
    <x v="2"/>
    <n v="12"/>
    <n v="312"/>
    <n v="22"/>
    <d v="2025-11-24T00:00:00"/>
    <n v="0.5"/>
    <n v="513"/>
    <n v="469"/>
    <n v="135.21428571428601"/>
    <n v="333.78571428571399"/>
    <n v="148.29"/>
    <n v="445"/>
    <n v="309.78571428571399"/>
    <n v="148.15"/>
    <n v="20"/>
    <n v="6.27"/>
    <n v="19.600000000000001"/>
    <n v="39.14"/>
    <n v="19"/>
    <n v="29.62"/>
    <n v="200"/>
    <n v="6.2"/>
    <n v="65.010000000000005"/>
    <n v="3.4215789473684213"/>
    <n v="797.59142857142797"/>
    <n v="9.6446700507614197E-2"/>
    <n v="0.30149207814182433"/>
    <n v="0.60206122135056139"/>
    <n v="0.45562221196738961"/>
    <n v="76.925061638868669"/>
    <n v="240.46749730810626"/>
    <n v="480.19886962445298"/>
    <n v="363.40037093194422"/>
    <n v="355.82"/>
    <n v="0.44611813423987251"/>
    <n v="99.811180794389387"/>
    <n v="31"/>
    <n v="11478.064516129032"/>
  </r>
  <r>
    <x v="1"/>
    <x v="4"/>
    <n v="3"/>
    <x v="1"/>
    <n v="12"/>
    <n v="212"/>
    <n v="23"/>
    <d v="2025-11-24T00:00:00"/>
    <n v="0.5"/>
    <n v="565"/>
    <n v="538"/>
    <n v="135.21428571428601"/>
    <n v="402.78571428571399"/>
    <n v="150.41999999999999"/>
    <n v="516"/>
    <n v="380.78571428571399"/>
    <n v="163.28"/>
    <n v="20"/>
    <n v="8.6999999999999993"/>
    <n v="16.27"/>
    <n v="25.99"/>
    <n v="17"/>
    <n v="20.21"/>
    <n v="200"/>
    <n v="6.92"/>
    <n v="50.959999999999994"/>
    <n v="2.9976470588235289"/>
    <n v="907.49142857142795"/>
    <n v="0.1707221350078493"/>
    <n v="0.31927001569858715"/>
    <n v="0.51000784929356358"/>
    <n v="0.39658555729984307"/>
    <n v="154.92887418703737"/>
    <n v="289.73480264633309"/>
    <n v="462.82775173805754"/>
    <n v="359.89799394483049"/>
    <n v="341.26"/>
    <n v="0.37604762894257981"/>
    <n v="117.09879005451404"/>
    <n v="34.6"/>
    <n v="9863.0057803468208"/>
  </r>
  <r>
    <x v="1"/>
    <x v="0"/>
    <n v="3"/>
    <x v="0"/>
    <n v="12"/>
    <n v="112"/>
    <n v="24"/>
    <d v="2025-11-24T00:00:00"/>
    <n v="0.5"/>
    <n v="517"/>
    <n v="511"/>
    <n v="135.21428571428601"/>
    <n v="375.78571428571399"/>
    <n v="190.43"/>
    <n v="426"/>
    <n v="290.78571428571399"/>
    <n v="153.05000000000001"/>
    <n v="20"/>
    <n v="5.77"/>
    <n v="14.47"/>
    <n v="42.48"/>
    <n v="20"/>
    <n v="32.770000000000003"/>
    <n v="200"/>
    <n v="7.01"/>
    <n v="62.72"/>
    <n v="3.1360000000000001"/>
    <n v="877.01142857142804"/>
    <n v="9.1996173469387751E-2"/>
    <n v="0.23070790816326531"/>
    <n v="0.67729591836734693"/>
    <n v="0.52248086734693888"/>
    <n v="80.681695517492656"/>
    <n v="202.33347212099113"/>
    <n v="593.99626093294421"/>
    <n v="458.22169187317763"/>
    <n v="446.40000000000003"/>
    <n v="0.5090013487362931"/>
    <n v="60.741479808853654"/>
    <n v="35.049999999999997"/>
    <n v="12736.091298145509"/>
  </r>
  <r>
    <x v="0"/>
    <x v="1"/>
    <n v="4"/>
    <x v="0"/>
    <n v="14"/>
    <n v="114"/>
    <n v="25"/>
    <d v="2025-11-24T00:00:00"/>
    <n v="0.5"/>
    <n v="778"/>
    <n v="760"/>
    <n v="135.21428571428601"/>
    <n v="624.78571428571399"/>
    <n v="257.63"/>
    <n v="749"/>
    <n v="613.78571428571399"/>
    <n v="271.47000000000003"/>
    <n v="20"/>
    <n v="6.04"/>
    <m/>
    <n v="30.7"/>
    <n v="19"/>
    <n v="24.86"/>
    <n v="200"/>
    <n v="6.54"/>
    <n v="36.74"/>
    <n v="1.9336842105263159"/>
    <n v="1323.051428571428"/>
    <n v="0.16439847577572128"/>
    <m/>
    <n v="0.83560152422427869"/>
    <n v="0.67664670658682624"/>
    <n v="217.50763823003334"/>
    <m/>
    <m/>
    <m/>
    <n v="564.98"/>
    <n v="0.42702799588829304"/>
    <n v="110.74409036214729"/>
    <n v="32.700000000000003"/>
    <n v="17277.675840978591"/>
  </r>
  <r>
    <x v="0"/>
    <x v="0"/>
    <n v="4"/>
    <x v="1"/>
    <n v="14"/>
    <n v="214"/>
    <n v="26"/>
    <d v="2025-11-24T00:00:00"/>
    <n v="0.5"/>
    <n v="682"/>
    <n v="683"/>
    <n v="135.21428571428601"/>
    <n v="547.78571428571399"/>
    <n v="218.62"/>
    <n v="628"/>
    <n v="492.78571428571399"/>
    <n v="211.86"/>
    <n v="20"/>
    <n v="9.07"/>
    <n v="14.35"/>
    <n v="31.87"/>
    <n v="20"/>
    <n v="23.52"/>
    <n v="200"/>
    <n v="5.39"/>
    <n v="55.290000000000006"/>
    <n v="2.7645000000000004"/>
    <n v="1206.1514285714279"/>
    <n v="0.16404413094592149"/>
    <n v="0.25954060408753837"/>
    <n v="0.57641526496654005"/>
    <n v="0.42539338035811169"/>
    <n v="197.8620628891816"/>
    <n v="313.0452703924758"/>
    <n v="695.24409528977048"/>
    <n v="513.08883342376521"/>
    <n v="484.28000000000003"/>
    <n v="0.40150845783400829"/>
    <n v="93.815753361998006"/>
    <n v="26.95"/>
    <n v="17969.573283859001"/>
  </r>
  <r>
    <x v="0"/>
    <x v="3"/>
    <n v="4"/>
    <x v="2"/>
    <n v="14"/>
    <n v="314"/>
    <n v="27"/>
    <d v="2025-11-24T00:00:00"/>
    <n v="0.5"/>
    <n v="639"/>
    <n v="594"/>
    <n v="135.21428571428601"/>
    <n v="458.78571428571399"/>
    <n v="188.68"/>
    <n v="551"/>
    <n v="415.78571428571399"/>
    <n v="183.84"/>
    <n v="20"/>
    <n v="6.72"/>
    <n v="13.29"/>
    <n v="25.07"/>
    <n v="18"/>
    <n v="20.03"/>
    <n v="200"/>
    <n v="6.98"/>
    <n v="45.08"/>
    <n v="2.5044444444444443"/>
    <n v="1007.731428571428"/>
    <n v="0.14906832298136646"/>
    <n v="0.29480922803904169"/>
    <n v="0.55612244897959184"/>
    <n v="0.44432120674356701"/>
    <n v="150.22083407275946"/>
    <n v="297.08852452782338"/>
    <n v="560.4220699708452"/>
    <n v="447.7564444162756"/>
    <n v="417.42"/>
    <n v="0.41421750693211939"/>
    <n v="94.869620521517916"/>
    <n v="34.9"/>
    <n v="11960.458452722063"/>
  </r>
  <r>
    <x v="0"/>
    <x v="2"/>
    <n v="4"/>
    <x v="3"/>
    <n v="14"/>
    <n v="414"/>
    <n v="28"/>
    <d v="2025-11-24T00:00:00"/>
    <n v="0.5"/>
    <n v="679"/>
    <n v="661"/>
    <n v="135.21428571428601"/>
    <n v="525.78571428571399"/>
    <n v="226.24"/>
    <n v="567"/>
    <n v="431.78571428571399"/>
    <n v="196.9"/>
    <n v="20"/>
    <n v="8.19"/>
    <n v="19.399999999999999"/>
    <n v="38.43"/>
    <n v="20"/>
    <n v="29.52"/>
    <n v="200"/>
    <n v="6.5"/>
    <n v="66.02"/>
    <n v="3.3009999999999997"/>
    <n v="1183.611428571428"/>
    <n v="0.12405331717661315"/>
    <n v="0.29385034837927898"/>
    <n v="0.58209633444410791"/>
    <n v="0.44713723114207815"/>
    <n v="146.83092396243555"/>
    <n v="347.80463063141019"/>
    <n v="688.9758739775823"/>
    <n v="529.23673691954787"/>
    <n v="511.52000000000004"/>
    <n v="0.43216885850568748"/>
    <n v="74.062942008486559"/>
    <n v="32.5"/>
    <n v="15739.076923076926"/>
  </r>
  <r>
    <x v="1"/>
    <x v="4"/>
    <n v="4"/>
    <x v="3"/>
    <n v="16"/>
    <n v="416"/>
    <n v="29"/>
    <d v="2025-11-24T00:00:00"/>
    <n v="0.5"/>
    <n v="751"/>
    <n v="690"/>
    <n v="135.21428571428601"/>
    <n v="554.78571428571399"/>
    <n v="209.71"/>
    <n v="536"/>
    <n v="400.78571428571399"/>
    <n v="177.67"/>
    <n v="20"/>
    <n v="6.79"/>
    <n v="16.13"/>
    <n v="25.85"/>
    <n v="16"/>
    <n v="20.48"/>
    <n v="200"/>
    <n v="6.76"/>
    <n v="48.769999999999996"/>
    <n v="3.0481249999999998"/>
    <n v="1207.111428571428"/>
    <n v="0.13922493336067257"/>
    <n v="0.3307361082632766"/>
    <n v="0.53003895837605097"/>
    <n v="0.41993028501127749"/>
    <n v="168.06000820176331"/>
    <n v="399.23533612583827"/>
    <n v="639.81608424382648"/>
    <n v="506.90264624037007"/>
    <n v="460.38"/>
    <n v="0.38138981133236627"/>
    <n v="69.443517238090678"/>
    <n v="33.799999999999997"/>
    <n v="13620.710059171599"/>
  </r>
  <r>
    <x v="1"/>
    <x v="0"/>
    <n v="4"/>
    <x v="2"/>
    <n v="16"/>
    <n v="316"/>
    <n v="30"/>
    <d v="2025-11-24T00:00:00"/>
    <n v="0.5"/>
    <n v="529"/>
    <n v="535"/>
    <n v="135.21428571428601"/>
    <n v="399.78571428571399"/>
    <n v="203.49"/>
    <n v="489"/>
    <n v="353.78571428571399"/>
    <n v="182.23"/>
    <n v="20"/>
    <n v="6.53"/>
    <n v="10.44"/>
    <n v="34.950000000000003"/>
    <n v="19"/>
    <n v="27.31"/>
    <n v="200"/>
    <n v="7.26"/>
    <n v="51.92"/>
    <n v="2.7326315789473683"/>
    <n v="903.41142857142802"/>
    <n v="0.1257704160246533"/>
    <n v="0.20107858243451462"/>
    <n v="0.67315100154083207"/>
    <n v="0.52600154083204931"/>
    <n v="113.62243121285486"/>
    <n v="181.6566894122825"/>
    <n v="608.13230794629067"/>
    <n v="475.195803433854"/>
    <n v="461.6"/>
    <n v="0.51095213697919661"/>
    <n v="79.104624305862671"/>
    <n v="36.299999999999997"/>
    <n v="12716.253443526171"/>
  </r>
  <r>
    <x v="1"/>
    <x v="5"/>
    <n v="4"/>
    <x v="1"/>
    <n v="16"/>
    <n v="216"/>
    <n v="31"/>
    <d v="2025-11-24T00:00:00"/>
    <n v="0.5"/>
    <n v="609"/>
    <n v="559"/>
    <n v="135.21428571428601"/>
    <n v="423.78571428571399"/>
    <n v="178.41"/>
    <n v="538"/>
    <n v="402.78571428571399"/>
    <n v="184.43"/>
    <n v="20"/>
    <n v="6.11"/>
    <n v="16.649999999999999"/>
    <n v="29.23"/>
    <n v="16"/>
    <n v="22.32"/>
    <n v="200"/>
    <n v="5.71"/>
    <n v="51.989999999999995"/>
    <n v="3.2493749999999997"/>
    <n v="951.551428571428"/>
    <n v="0.11752260050009619"/>
    <n v="0.32025389497980383"/>
    <n v="0.56222350452010006"/>
    <n v="0.42931332948643974"/>
    <n v="111.82879839529575"/>
    <n v="304.7380512735964"/>
    <n v="534.98457890253587"/>
    <n v="408.51371197757788"/>
    <n v="401.46"/>
    <n v="0.42190047531399871"/>
    <n v="106.74850064458271"/>
    <n v="28.55"/>
    <n v="14061.646234676007"/>
  </r>
  <r>
    <x v="1"/>
    <x v="1"/>
    <n v="4"/>
    <x v="0"/>
    <n v="16"/>
    <n v="116"/>
    <n v="32"/>
    <d v="2025-11-24T00:00:00"/>
    <n v="0.5"/>
    <n v="660"/>
    <n v="617"/>
    <n v="135.21428571428601"/>
    <n v="481.78571428571399"/>
    <n v="224.56"/>
    <n v="507"/>
    <n v="371.78571428571399"/>
    <n v="187.42"/>
    <n v="20"/>
    <n v="5.77"/>
    <n v="12.83"/>
    <n v="32.020000000000003"/>
    <n v="18"/>
    <n v="24.75"/>
    <n v="200"/>
    <n v="7.19"/>
    <n v="50.620000000000005"/>
    <n v="2.8122222222222226"/>
    <n v="1064.811428571428"/>
    <n v="0.11398656657447648"/>
    <n v="0.25345713156854993"/>
    <n v="0.63255630185697354"/>
    <n v="0.48893717898064004"/>
    <n v="121.37419879212048"/>
    <n v="269.88405034712406"/>
    <n v="673.55317943218347"/>
    <n v="520.62589603205925"/>
    <n v="498.62"/>
    <n v="0.46827070655032171"/>
    <n v="66.921980762379746"/>
    <n v="35.950000000000003"/>
    <n v="13869.81919332406"/>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r>
    <x v="2"/>
    <x v="6"/>
    <m/>
    <x v="4"/>
    <m/>
    <m/>
    <m/>
    <m/>
    <m/>
    <m/>
    <m/>
    <m/>
    <m/>
    <m/>
    <m/>
    <m/>
    <m/>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x v="0"/>
    <n v="1"/>
    <x v="0"/>
    <n v="1"/>
    <n v="1"/>
    <m/>
    <d v="2025-11-27T00:00:00"/>
    <n v="6.6"/>
    <n v="1"/>
    <m/>
    <n v="6.6"/>
    <n v="2.92"/>
    <n v="4.4242424242424239"/>
    <n v="10.3"/>
    <m/>
    <m/>
    <m/>
    <m/>
  </r>
  <r>
    <x v="0"/>
    <x v="1"/>
    <n v="1"/>
    <x v="1"/>
    <n v="1"/>
    <n v="2"/>
    <m/>
    <d v="2025-11-27T00:00:00"/>
    <n v="7"/>
    <n v="1"/>
    <m/>
    <n v="7"/>
    <n v="3.2949999999999999"/>
    <n v="4.7071428571428564"/>
    <n v="10.1"/>
    <m/>
    <m/>
    <m/>
    <m/>
  </r>
  <r>
    <x v="0"/>
    <x v="2"/>
    <n v="1"/>
    <x v="2"/>
    <n v="1"/>
    <n v="3"/>
    <m/>
    <d v="2025-11-27T00:00:00"/>
    <n v="6.6"/>
    <n v="1"/>
    <m/>
    <n v="6.6"/>
    <n v="3"/>
    <n v="4.5454545454545459"/>
    <n v="10.4"/>
    <m/>
    <m/>
    <m/>
    <m/>
  </r>
  <r>
    <x v="0"/>
    <x v="3"/>
    <n v="1"/>
    <x v="3"/>
    <n v="1"/>
    <n v="4"/>
    <m/>
    <d v="2025-11-27T00:00:00"/>
    <n v="7.1"/>
    <n v="1"/>
    <m/>
    <n v="7.1"/>
    <n v="2.8650000000000002"/>
    <n v="4.0352112676056349"/>
    <n v="12.9"/>
    <m/>
    <m/>
    <m/>
    <m/>
  </r>
  <r>
    <x v="1"/>
    <x v="0"/>
    <n v="1"/>
    <x v="3"/>
    <n v="3"/>
    <n v="5"/>
    <m/>
    <d v="2025-11-27T00:00:00"/>
    <n v="7.1"/>
    <n v="1"/>
    <m/>
    <n v="7.1"/>
    <n v="2.2850000000000001"/>
    <n v="3.2183098591549304"/>
    <n v="10.8"/>
    <m/>
    <m/>
    <m/>
    <m/>
  </r>
  <r>
    <x v="1"/>
    <x v="4"/>
    <n v="1"/>
    <x v="2"/>
    <n v="3"/>
    <n v="6"/>
    <m/>
    <d v="2025-11-27T00:00:00"/>
    <n v="6.6"/>
    <n v="1"/>
    <m/>
    <n v="6.6"/>
    <n v="2.41"/>
    <n v="3.6515151515151518"/>
    <n v="11.9"/>
    <m/>
    <m/>
    <m/>
    <m/>
  </r>
  <r>
    <x v="1"/>
    <x v="1"/>
    <n v="1"/>
    <x v="1"/>
    <n v="3"/>
    <n v="7"/>
    <m/>
    <d v="2025-11-27T00:00:00"/>
    <n v="7"/>
    <n v="1"/>
    <m/>
    <n v="7"/>
    <n v="3.2850000000000001"/>
    <n v="4.6928571428571431"/>
    <n v="11.1"/>
    <m/>
    <m/>
    <m/>
    <m/>
  </r>
  <r>
    <x v="1"/>
    <x v="5"/>
    <n v="1"/>
    <x v="0"/>
    <n v="3"/>
    <n v="8"/>
    <m/>
    <d v="2025-11-27T00:00:00"/>
    <n v="6.6"/>
    <n v="1"/>
    <m/>
    <n v="6.6"/>
    <n v="3.6549999999999998"/>
    <n v="5.5378787878787881"/>
    <n v="13"/>
    <m/>
    <m/>
    <m/>
    <m/>
  </r>
  <r>
    <x v="0"/>
    <x v="2"/>
    <n v="2"/>
    <x v="0"/>
    <n v="5"/>
    <n v="9"/>
    <m/>
    <d v="2025-11-27T00:00:00"/>
    <n v="6.6"/>
    <n v="1"/>
    <m/>
    <n v="6.6"/>
    <n v="3.2"/>
    <n v="4.8484848484848486"/>
    <n v="10.4"/>
    <m/>
    <m/>
    <m/>
    <m/>
  </r>
  <r>
    <x v="0"/>
    <x v="3"/>
    <n v="2"/>
    <x v="1"/>
    <n v="5"/>
    <n v="10"/>
    <m/>
    <d v="2025-11-27T00:00:00"/>
    <n v="7.1"/>
    <n v="1"/>
    <m/>
    <n v="7.1"/>
    <n v="3.24"/>
    <n v="4.5633802816901419"/>
    <n v="12.6"/>
    <m/>
    <m/>
    <m/>
    <m/>
  </r>
  <r>
    <x v="0"/>
    <x v="1"/>
    <n v="2"/>
    <x v="2"/>
    <n v="5"/>
    <n v="11"/>
    <m/>
    <d v="2025-11-27T00:00:00"/>
    <n v="6.6"/>
    <n v="1"/>
    <m/>
    <n v="6.6"/>
    <n v="2.8050000000000002"/>
    <n v="4.25"/>
    <n v="10.6"/>
    <m/>
    <m/>
    <m/>
    <m/>
  </r>
  <r>
    <x v="0"/>
    <x v="0"/>
    <n v="2"/>
    <x v="3"/>
    <n v="5"/>
    <n v="12"/>
    <m/>
    <d v="2025-11-27T00:00:00"/>
    <n v="7.1"/>
    <n v="1"/>
    <m/>
    <n v="7.1"/>
    <n v="3.34"/>
    <n v="4.704225352112676"/>
    <n v="10.7"/>
    <m/>
    <m/>
    <m/>
    <m/>
  </r>
  <r>
    <x v="1"/>
    <x v="5"/>
    <n v="2"/>
    <x v="3"/>
    <n v="7"/>
    <n v="13"/>
    <m/>
    <d v="2025-11-27T00:00:00"/>
    <n v="7.1"/>
    <n v="1"/>
    <m/>
    <n v="7.1"/>
    <n v="3.7549999999999999"/>
    <n v="5.2887323943661979"/>
    <n v="11.4"/>
    <m/>
    <m/>
    <m/>
    <m/>
  </r>
  <r>
    <x v="1"/>
    <x v="1"/>
    <n v="2"/>
    <x v="2"/>
    <n v="7"/>
    <n v="14"/>
    <m/>
    <d v="2025-11-27T00:00:00"/>
    <n v="6.7"/>
    <n v="1"/>
    <m/>
    <n v="6.7"/>
    <n v="2.81"/>
    <n v="4.1940298507462686"/>
    <n v="11.6"/>
    <m/>
    <m/>
    <m/>
    <m/>
  </r>
  <r>
    <x v="1"/>
    <x v="0"/>
    <n v="2"/>
    <x v="1"/>
    <n v="7"/>
    <n v="15"/>
    <m/>
    <d v="2025-11-27T00:00:00"/>
    <n v="7.1"/>
    <n v="1"/>
    <m/>
    <n v="7.1"/>
    <n v="3.26"/>
    <n v="4.591549295774648"/>
    <n v="11"/>
    <m/>
    <m/>
    <m/>
    <m/>
  </r>
  <r>
    <x v="1"/>
    <x v="4"/>
    <n v="2"/>
    <x v="0"/>
    <n v="7"/>
    <n v="16"/>
    <m/>
    <d v="2025-11-27T00:00:00"/>
    <n v="6.5"/>
    <n v="1"/>
    <m/>
    <n v="6.5"/>
    <n v="3.41"/>
    <n v="5.2461538461538471"/>
    <n v="12.1"/>
    <m/>
    <m/>
    <m/>
    <m/>
  </r>
  <r>
    <x v="0"/>
    <x v="3"/>
    <n v="3"/>
    <x v="0"/>
    <n v="9"/>
    <n v="17"/>
    <m/>
    <d v="2025-11-27T00:00:00"/>
    <n v="6.5"/>
    <n v="1"/>
    <m/>
    <n v="6.5"/>
    <n v="3.38"/>
    <n v="5.2"/>
    <n v="13.3"/>
    <m/>
    <m/>
    <m/>
    <m/>
  </r>
  <r>
    <x v="0"/>
    <x v="2"/>
    <n v="3"/>
    <x v="1"/>
    <n v="9"/>
    <n v="18"/>
    <m/>
    <d v="2025-11-27T00:00:00"/>
    <n v="7.1"/>
    <n v="1"/>
    <m/>
    <n v="7.1"/>
    <n v="3.0449999999999999"/>
    <n v="4.2887323943661979"/>
    <n v="10.6"/>
    <m/>
    <m/>
    <m/>
    <m/>
  </r>
  <r>
    <x v="0"/>
    <x v="0"/>
    <n v="3"/>
    <x v="2"/>
    <n v="9"/>
    <n v="19"/>
    <m/>
    <d v="2025-11-27T00:00:00"/>
    <n v="6.6"/>
    <n v="1"/>
    <m/>
    <n v="6.6"/>
    <n v="3.0550000000000002"/>
    <n v="4.6287878787878789"/>
    <n v="10.4"/>
    <m/>
    <m/>
    <m/>
    <m/>
  </r>
  <r>
    <x v="0"/>
    <x v="1"/>
    <n v="3"/>
    <x v="3"/>
    <n v="9"/>
    <n v="20"/>
    <m/>
    <d v="2025-11-27T00:00:00"/>
    <n v="7.1"/>
    <n v="1"/>
    <m/>
    <n v="7.1"/>
    <n v="3.5049999999999999"/>
    <n v="4.9366197183098599"/>
    <n v="10.3"/>
    <m/>
    <m/>
    <m/>
    <m/>
  </r>
  <r>
    <x v="1"/>
    <x v="1"/>
    <n v="3"/>
    <x v="3"/>
    <n v="11"/>
    <n v="21"/>
    <m/>
    <d v="2025-11-27T00:00:00"/>
    <n v="7.1"/>
    <n v="1"/>
    <m/>
    <n v="7.1"/>
    <n v="3.605"/>
    <n v="5.0774647887323949"/>
    <n v="11.2"/>
    <m/>
    <m/>
    <m/>
    <m/>
  </r>
  <r>
    <x v="1"/>
    <x v="5"/>
    <n v="3"/>
    <x v="2"/>
    <n v="11"/>
    <n v="22"/>
    <m/>
    <d v="2025-11-27T00:00:00"/>
    <n v="6.5"/>
    <n v="1"/>
    <m/>
    <n v="6.5"/>
    <n v="3.06"/>
    <n v="4.7076923076923078"/>
    <n v="12.1"/>
    <m/>
    <m/>
    <m/>
    <m/>
  </r>
  <r>
    <x v="1"/>
    <x v="4"/>
    <n v="3"/>
    <x v="1"/>
    <n v="11"/>
    <n v="23"/>
    <m/>
    <d v="2025-11-27T00:00:00"/>
    <n v="7.1"/>
    <n v="1"/>
    <m/>
    <n v="7.1"/>
    <n v="2.9550000000000001"/>
    <n v="4.1619718309859159"/>
    <n v="11.7"/>
    <m/>
    <m/>
    <m/>
    <m/>
  </r>
  <r>
    <x v="1"/>
    <x v="0"/>
    <n v="3"/>
    <x v="0"/>
    <n v="11"/>
    <n v="24"/>
    <m/>
    <d v="2025-11-27T00:00:00"/>
    <n v="6.6"/>
    <n v="1"/>
    <m/>
    <n v="6.6"/>
    <n v="3.17"/>
    <n v="4.8030303030303028"/>
    <n v="11.3"/>
    <m/>
    <m/>
    <m/>
    <m/>
  </r>
  <r>
    <x v="0"/>
    <x v="1"/>
    <n v="4"/>
    <x v="0"/>
    <n v="13"/>
    <n v="25"/>
    <m/>
    <d v="2025-11-27T00:00:00"/>
    <n v="6.6"/>
    <n v="1"/>
    <m/>
    <n v="6.6"/>
    <n v="3.88"/>
    <n v="5.8787878787878789"/>
    <n v="10.7"/>
    <m/>
    <m/>
    <m/>
    <m/>
  </r>
  <r>
    <x v="0"/>
    <x v="0"/>
    <n v="4"/>
    <x v="1"/>
    <n v="13"/>
    <n v="26"/>
    <m/>
    <d v="2025-11-27T00:00:00"/>
    <n v="7.2"/>
    <n v="1"/>
    <m/>
    <n v="7.2"/>
    <n v="3.01"/>
    <n v="4.1805555555555545"/>
    <n v="10.1"/>
    <m/>
    <m/>
    <m/>
    <m/>
  </r>
  <r>
    <x v="0"/>
    <x v="3"/>
    <n v="4"/>
    <x v="2"/>
    <n v="13"/>
    <n v="27"/>
    <m/>
    <d v="2025-11-27T00:00:00"/>
    <n v="6.5"/>
    <n v="1"/>
    <m/>
    <n v="6.5"/>
    <n v="3.1150000000000002"/>
    <n v="4.792307692307693"/>
    <n v="15.4"/>
    <m/>
    <m/>
    <m/>
    <m/>
  </r>
  <r>
    <x v="0"/>
    <x v="2"/>
    <n v="4"/>
    <x v="3"/>
    <n v="13"/>
    <n v="28"/>
    <m/>
    <d v="2025-11-27T00:00:00"/>
    <n v="7.2"/>
    <n v="1"/>
    <m/>
    <n v="7.2"/>
    <n v="3.5"/>
    <n v="4.8611111111111107"/>
    <n v="11"/>
    <m/>
    <m/>
    <m/>
    <m/>
  </r>
  <r>
    <x v="1"/>
    <x v="4"/>
    <n v="4"/>
    <x v="3"/>
    <n v="15"/>
    <n v="29"/>
    <m/>
    <d v="2025-11-27T00:00:00"/>
    <n v="7.1"/>
    <n v="1"/>
    <m/>
    <n v="7.1"/>
    <n v="3.24"/>
    <n v="4.5633802816901419"/>
    <n v="11.9"/>
    <m/>
    <m/>
    <m/>
    <m/>
  </r>
  <r>
    <x v="1"/>
    <x v="0"/>
    <n v="4"/>
    <x v="2"/>
    <n v="15"/>
    <n v="30"/>
    <m/>
    <d v="2025-11-27T00:00:00"/>
    <n v="6.7"/>
    <n v="1"/>
    <m/>
    <n v="6.7"/>
    <n v="2.79"/>
    <n v="4.1641791044776113"/>
    <n v="11.3"/>
    <m/>
    <m/>
    <m/>
    <m/>
  </r>
  <r>
    <x v="1"/>
    <x v="5"/>
    <n v="4"/>
    <x v="1"/>
    <n v="15"/>
    <n v="31"/>
    <m/>
    <d v="2025-11-27T00:00:00"/>
    <n v="7.2"/>
    <n v="1"/>
    <m/>
    <n v="7.2"/>
    <n v="3.4"/>
    <n v="4.7222222222222214"/>
    <n v="13.2"/>
    <m/>
    <m/>
    <m/>
    <m/>
  </r>
  <r>
    <x v="1"/>
    <x v="1"/>
    <n v="4"/>
    <x v="0"/>
    <n v="15"/>
    <n v="32"/>
    <m/>
    <d v="2025-11-27T00:00:00"/>
    <n v="6.6"/>
    <n v="1"/>
    <m/>
    <n v="6.6"/>
    <n v="3.64"/>
    <n v="5.5151515151515156"/>
    <n v="13.2"/>
    <m/>
    <m/>
    <m/>
    <m/>
  </r>
  <r>
    <x v="2"/>
    <x v="6"/>
    <m/>
    <x v="4"/>
    <m/>
    <m/>
    <m/>
    <m/>
    <m/>
    <m/>
    <m/>
    <m/>
    <m/>
    <m/>
    <m/>
    <m/>
    <m/>
    <m/>
    <m/>
  </r>
  <r>
    <x v="2"/>
    <x v="6"/>
    <m/>
    <x v="4"/>
    <m/>
    <m/>
    <m/>
    <m/>
    <m/>
    <m/>
    <m/>
    <m/>
    <m/>
    <m/>
    <m/>
    <m/>
    <m/>
    <m/>
    <m/>
  </r>
  <r>
    <x v="2"/>
    <x v="6"/>
    <m/>
    <x v="4"/>
    <m/>
    <m/>
    <m/>
    <m/>
    <m/>
    <m/>
    <m/>
    <m/>
    <m/>
    <m/>
    <m/>
    <m/>
    <m/>
    <m/>
    <m/>
  </r>
  <r>
    <x v="2"/>
    <x v="6"/>
    <m/>
    <x v="4"/>
    <m/>
    <m/>
    <m/>
    <m/>
    <m/>
    <m/>
    <m/>
    <m/>
    <m/>
    <m/>
    <m/>
    <m/>
    <m/>
    <m/>
    <m/>
  </r>
  <r>
    <x v="2"/>
    <x v="6"/>
    <m/>
    <x v="4"/>
    <m/>
    <m/>
    <m/>
    <m/>
    <m/>
    <m/>
    <m/>
    <m/>
    <m/>
    <m/>
    <m/>
    <m/>
    <m/>
    <m/>
    <m/>
  </r>
  <r>
    <x v="2"/>
    <x v="6"/>
    <m/>
    <x v="4"/>
    <m/>
    <m/>
    <m/>
    <m/>
    <m/>
    <m/>
    <m/>
    <m/>
    <m/>
    <m/>
    <m/>
    <m/>
    <m/>
    <m/>
    <m/>
  </r>
  <r>
    <x v="2"/>
    <x v="6"/>
    <m/>
    <x v="4"/>
    <m/>
    <m/>
    <m/>
    <m/>
    <m/>
    <m/>
    <m/>
    <m/>
    <m/>
    <m/>
    <m/>
    <m/>
    <m/>
    <m/>
    <m/>
  </r>
  <r>
    <x v="2"/>
    <x v="6"/>
    <m/>
    <x v="4"/>
    <m/>
    <m/>
    <m/>
    <m/>
    <m/>
    <m/>
    <m/>
    <m/>
    <m/>
    <m/>
    <m/>
    <m/>
    <m/>
    <m/>
    <m/>
  </r>
  <r>
    <x v="2"/>
    <x v="6"/>
    <m/>
    <x v="4"/>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n v="1"/>
    <x v="0"/>
    <n v="2"/>
    <n v="102"/>
    <n v="1"/>
    <d v="2025-10-03T00:00:00"/>
    <n v="0.74"/>
    <n v="9.8000000000000004E-2"/>
    <n v="0.161"/>
    <n v="0.26300000000000001"/>
    <n v="0.437"/>
    <n v="0.90200000000000002"/>
    <n v="0.83899999999999997"/>
    <n v="0.73699999999999999"/>
    <n v="0.56299999999999994"/>
    <n v="0.6"/>
    <n v="2.8"/>
    <n v="12.5"/>
    <n v="1.4"/>
    <n v="38.5"/>
    <n v="4.0999999999999996"/>
    <n v="35.200000000000003"/>
    <n v="40.1"/>
    <n v="53.2"/>
    <n v="52.2"/>
    <n v="51.4"/>
    <n v="49.1"/>
    <n v="50.9"/>
    <n v="54.1"/>
    <n v="47"/>
    <n v="45.6"/>
    <n v="53.9"/>
    <n v="58.4"/>
    <n v="52"/>
    <n v="49.4"/>
    <n v="70"/>
    <n v="0.5"/>
    <n v="1623"/>
    <n v="175.9"/>
    <n v="20"/>
    <n v="20"/>
    <n v="70.400000000000006"/>
    <n v="22.59"/>
    <n v="67.911931818181813"/>
    <n v="11.5"/>
    <n v="3.38"/>
    <n v="31.04"/>
    <n v="11.82"/>
    <n v="57.74"/>
    <n v="2.887"/>
    <n v="8.7949999999999999"/>
    <n v="0.3208806818181818"/>
    <n v="520.78934659090908"/>
    <n v="1041.5786931818182"/>
    <n v="0.19916868721856598"/>
    <n v="5.8538275025978519E-2"/>
    <n v="0.53758226532732933"/>
    <n v="0.20471077242812608"/>
    <n v="207.44986095585224"/>
    <n v="60.972220002676565"/>
    <n v="559.93423339736114"/>
    <n v="213.22237882592813"/>
    <n v="4.3250000000000002"/>
    <n v="29.475000000000001"/>
    <n v="51.475000000000001"/>
    <n v="49.4"/>
    <n v="53.425000000000004"/>
  </r>
  <r>
    <x v="0"/>
    <x v="1"/>
    <n v="1"/>
    <x v="1"/>
    <n v="2"/>
    <n v="202"/>
    <n v="2"/>
    <d v="2025-10-07T00:00:00"/>
    <n v="0.6"/>
    <n v="9.1999999999999998E-2"/>
    <n v="0.17399999999999999"/>
    <n v="0.36599999999999999"/>
    <n v="0.60099999999999998"/>
    <n v="0.90800000000000003"/>
    <n v="0.82600000000000007"/>
    <n v="0.63400000000000001"/>
    <n v="0.39900000000000002"/>
    <n v="0"/>
    <n v="0"/>
    <n v="0"/>
    <n v="0"/>
    <n v="0"/>
    <n v="0"/>
    <n v="0"/>
    <n v="0"/>
    <n v="31.7"/>
    <n v="20.7"/>
    <n v="0"/>
    <n v="21.2"/>
    <n v="50.8"/>
    <n v="34"/>
    <n v="42.6"/>
    <n v="49.3"/>
    <n v="52.8"/>
    <n v="54.1"/>
    <n v="48.9"/>
    <n v="48.7"/>
    <n v="84"/>
    <n v="0.5"/>
    <n v="1348"/>
    <n v="76.5"/>
    <n v="20"/>
    <n v="20"/>
    <n v="65.400000000000006"/>
    <n v="28.34"/>
    <n v="56.666666666666664"/>
    <n v="6.67"/>
    <n v="4.4400000000000004"/>
    <n v="26.51"/>
    <n v="12.15"/>
    <n v="49.77"/>
    <n v="2.4885000000000002"/>
    <n v="3.8250000000000002"/>
    <n v="0.43333333333333329"/>
    <n v="584.13333333333333"/>
    <n v="1168.2666666666667"/>
    <n v="0.13401647578862769"/>
    <n v="8.9210367691380354E-2"/>
    <n v="0.532650190878039"/>
    <n v="0.24412296564195299"/>
    <n v="156.5669814479941"/>
    <n v="104.22149889491662"/>
    <n v="622.27746299645037"/>
    <n v="285.20072332730558"/>
    <n v="0"/>
    <n v="0"/>
    <n v="18.399999999999999"/>
    <n v="44.174999999999997"/>
    <n v="51.125"/>
  </r>
  <r>
    <x v="0"/>
    <x v="2"/>
    <n v="1"/>
    <x v="2"/>
    <n v="2"/>
    <n v="302"/>
    <n v="3"/>
    <d v="2025-10-07T00:00:00"/>
    <n v="0.64"/>
    <n v="0.105"/>
    <n v="0.159"/>
    <n v="0.26800000000000002"/>
    <n v="0.496"/>
    <n v="0.89500000000000002"/>
    <n v="0.84099999999999997"/>
    <n v="0.73199999999999998"/>
    <n v="0.504"/>
    <n v="0"/>
    <n v="0"/>
    <n v="0"/>
    <n v="0"/>
    <n v="11.2"/>
    <n v="0"/>
    <n v="0"/>
    <n v="41.4"/>
    <n v="43.7"/>
    <n v="9.6999999999999993"/>
    <n v="38.200000000000003"/>
    <n v="31.8"/>
    <n v="40.799999999999997"/>
    <n v="45.3"/>
    <n v="46.5"/>
    <n v="50.9"/>
    <n v="46.9"/>
    <n v="46.3"/>
    <n v="43.8"/>
    <n v="50.3"/>
    <n v="80"/>
    <n v="0.5"/>
    <n v="1332"/>
    <n v="150.44999999999999"/>
    <n v="20"/>
    <n v="20"/>
    <n v="74.22"/>
    <n v="30.38"/>
    <n v="59.067636755591487"/>
    <n v="10.119999999999999"/>
    <n v="2.93"/>
    <n v="35.840000000000003"/>
    <n v="13.6"/>
    <n v="62.49"/>
    <n v="3.1245000000000003"/>
    <n v="7.5224999999999991"/>
    <n v="0.40932363244408515"/>
    <n v="545.21907841552138"/>
    <n v="1090.4381568310428"/>
    <n v="0.16194591134581532"/>
    <n v="4.6887502000320054E-2"/>
    <n v="0.57353176508241321"/>
    <n v="0.21763482157145142"/>
    <n v="176.59200107425431"/>
    <n v="51.127921259640829"/>
    <n v="625.40092080052125"/>
    <n v="237.31731369662634"/>
    <n v="0"/>
    <n v="13.149999999999999"/>
    <n v="30.85"/>
    <n v="45.875"/>
    <n v="46.825000000000003"/>
  </r>
  <r>
    <x v="0"/>
    <x v="3"/>
    <n v="1"/>
    <x v="3"/>
    <n v="2"/>
    <n v="402"/>
    <n v="4"/>
    <d v="2025-10-14T00:00:00"/>
    <n v="0.59"/>
    <n v="0.24399999999999999"/>
    <n v="0.30449999999999999"/>
    <n v="0.59549999999999992"/>
    <n v="0.95599999999999996"/>
    <n v="0.75600000000000001"/>
    <n v="0.69550000000000001"/>
    <n v="0.40450000000000008"/>
    <n v="4.4000000000000039E-2"/>
    <n v="0"/>
    <n v="0"/>
    <n v="2.8"/>
    <n v="2.8"/>
    <n v="0"/>
    <n v="9.1"/>
    <n v="45.1"/>
    <n v="44.3"/>
    <n v="24.3"/>
    <n v="47"/>
    <n v="51.9"/>
    <n v="50.8"/>
    <n v="42"/>
    <n v="54.1"/>
    <n v="52.2"/>
    <n v="53.7"/>
    <n v="47.9"/>
    <n v="50.7"/>
    <n v="50.9"/>
    <n v="51.1"/>
    <n v="67"/>
    <n v="0.5"/>
    <n v="960"/>
    <n v="125.5"/>
    <n v="20"/>
    <n v="20"/>
    <n v="70.7"/>
    <n v="26.51"/>
    <n v="62.503536067892504"/>
    <n v="8.08"/>
    <n v="2.36"/>
    <n v="27.48"/>
    <n v="10"/>
    <n v="47.92"/>
    <n v="2.3959999999999999"/>
    <n v="6.2750000000000004"/>
    <n v="0.37496463932107499"/>
    <n v="359.96605374823201"/>
    <n v="719.93210749646403"/>
    <n v="0.1686143572621035"/>
    <n v="4.9248747913188645E-2"/>
    <n v="0.57345575959933226"/>
    <n v="0.20868113522537562"/>
    <n v="121.39088957786788"/>
    <n v="35.455754876703985"/>
    <n v="412.8492135643329"/>
    <n v="150.23624947755928"/>
    <n v="1.4"/>
    <n v="24.625"/>
    <n v="43.5"/>
    <n v="50.5"/>
    <n v="50.15"/>
  </r>
  <r>
    <x v="1"/>
    <x v="0"/>
    <n v="1"/>
    <x v="3"/>
    <n v="4"/>
    <n v="404"/>
    <n v="5"/>
    <d v="2025-10-09T00:00:00"/>
    <n v="0.52"/>
    <n v="0.318"/>
    <n v="0.40400000000000003"/>
    <n v="0.57199999999999995"/>
    <n v="0.61199999999999999"/>
    <n v="0.68199999999999994"/>
    <n v="0.59599999999999997"/>
    <n v="0.42800000000000005"/>
    <n v="0.38800000000000001"/>
    <n v="0"/>
    <n v="0"/>
    <n v="0"/>
    <n v="0"/>
    <n v="0.9"/>
    <n v="0"/>
    <n v="0"/>
    <n v="18.8"/>
    <n v="42.7"/>
    <n v="33.6"/>
    <n v="21.5"/>
    <n v="45"/>
    <n v="48.7"/>
    <n v="48.1"/>
    <n v="52.1"/>
    <n v="51.4"/>
    <n v="52.7"/>
    <n v="54.6"/>
    <n v="51"/>
    <n v="48.3"/>
    <n v="53"/>
    <n v="0.5"/>
    <n v="949"/>
    <n v="72.900000000000006"/>
    <n v="20"/>
    <n v="20"/>
    <n v="57.6"/>
    <n v="21.2"/>
    <n v="63.19444444444445"/>
    <n v="6.24"/>
    <n v="2.4500000000000002"/>
    <n v="11.92"/>
    <n v="7.04"/>
    <n v="27.65"/>
    <n v="1.3824999999999998"/>
    <n v="3.6450000000000005"/>
    <n v="0.36805555555555552"/>
    <n v="349.28472222222217"/>
    <n v="698.56944444444434"/>
    <n v="0.22567811934900545"/>
    <n v="8.8607594936708875E-2"/>
    <n v="0.43110307414104887"/>
    <n v="0.25461121157323691"/>
    <n v="157.65183845690174"/>
    <n v="61.898558368495081"/>
    <n v="301.15543500100461"/>
    <n v="177.86361261804299"/>
    <n v="0"/>
    <n v="4.9249999999999998"/>
    <n v="35.700000000000003"/>
    <n v="50.075000000000003"/>
    <n v="51.650000000000006"/>
  </r>
  <r>
    <x v="1"/>
    <x v="4"/>
    <n v="1"/>
    <x v="2"/>
    <n v="4"/>
    <n v="304"/>
    <n v="6"/>
    <d v="2025-10-14T00:00:00"/>
    <n v="0.5"/>
    <n v="0.30449999999999999"/>
    <n v="0.40649999999999997"/>
    <n v="0.46150000000000002"/>
    <n v="0.70750000000000002"/>
    <n v="0.69550000000000001"/>
    <n v="0.59350000000000003"/>
    <n v="0.53849999999999998"/>
    <n v="0.29249999999999998"/>
    <n v="0"/>
    <n v="0"/>
    <n v="0"/>
    <n v="0"/>
    <n v="7.8"/>
    <n v="0"/>
    <n v="36.700000000000003"/>
    <n v="12.8"/>
    <n v="37.799999999999997"/>
    <n v="8.6"/>
    <n v="45.4"/>
    <n v="34.4"/>
    <n v="53.7"/>
    <n v="48.9"/>
    <n v="54.1"/>
    <n v="52.9"/>
    <n v="45.8"/>
    <n v="50.5"/>
    <n v="50.5"/>
    <n v="48.7"/>
    <n v="70"/>
    <n v="0.5"/>
    <n v="846"/>
    <n v="85.6"/>
    <n v="20"/>
    <n v="18"/>
    <n v="79.8"/>
    <n v="33.04"/>
    <n v="58.596491228070178"/>
    <n v="5.37"/>
    <n v="3.18"/>
    <n v="21.39"/>
    <n v="7.13"/>
    <n v="37.07"/>
    <n v="2.0594444444444444"/>
    <n v="4.7555555555555555"/>
    <n v="0.41403508771929826"/>
    <n v="350.27368421052631"/>
    <n v="700.54736842105262"/>
    <n v="0.14486107364445644"/>
    <n v="8.578365254923119E-2"/>
    <n v="0.57701645535473434"/>
    <n v="0.1923388184515781"/>
    <n v="101.48204392827226"/>
    <n v="60.095512046909832"/>
    <n v="404.22735933440293"/>
    <n v="134.74245311146763"/>
    <n v="0"/>
    <n v="14.324999999999999"/>
    <n v="31.549999999999997"/>
    <n v="52.4"/>
    <n v="48.875"/>
  </r>
  <r>
    <x v="1"/>
    <x v="1"/>
    <n v="1"/>
    <x v="1"/>
    <n v="4"/>
    <n v="204"/>
    <n v="7"/>
    <d v="2025-10-09T00:00:00"/>
    <n v="0.61"/>
    <n v="0.189"/>
    <n v="0.33100000000000002"/>
    <n v="0.46100000000000002"/>
    <n v="0.73799999999999999"/>
    <n v="0.81099999999999994"/>
    <n v="0.66900000000000004"/>
    <n v="0.53899999999999992"/>
    <n v="0.26200000000000001"/>
    <n v="0"/>
    <n v="0"/>
    <n v="0"/>
    <n v="0"/>
    <n v="2.1"/>
    <n v="43.4"/>
    <n v="30.1"/>
    <n v="11.3"/>
    <n v="15.7"/>
    <n v="31.3"/>
    <n v="55.1"/>
    <n v="48.6"/>
    <n v="58.8"/>
    <n v="57.5"/>
    <n v="58.1"/>
    <n v="53.3"/>
    <n v="56.9"/>
    <n v="52.4"/>
    <n v="55.4"/>
    <n v="52.8"/>
    <n v="73"/>
    <n v="0.5"/>
    <n v="1056"/>
    <n v="74.2"/>
    <n v="20"/>
    <n v="20"/>
    <n v="51.2"/>
    <n v="21.28"/>
    <n v="58.4375"/>
    <n v="5.85"/>
    <n v="2.13"/>
    <n v="16.190000000000001"/>
    <n v="6.56"/>
    <n v="30.73"/>
    <n v="1.5365"/>
    <n v="3.71"/>
    <n v="0.41562500000000002"/>
    <n v="438.90000000000003"/>
    <n v="877.80000000000007"/>
    <n v="0.19036771884152293"/>
    <n v="6.9313374552554499E-2"/>
    <n v="0.52684672958021483"/>
    <n v="0.21347217702570775"/>
    <n v="167.10478359908885"/>
    <n v="60.843280182232341"/>
    <n v="462.46605922551259"/>
    <n v="187.38587699316628"/>
    <n v="0"/>
    <n v="21.724999999999998"/>
    <n v="37.674999999999997"/>
    <n v="56.924999999999997"/>
    <n v="54.375"/>
  </r>
  <r>
    <x v="1"/>
    <x v="5"/>
    <n v="1"/>
    <x v="0"/>
    <n v="4"/>
    <n v="104"/>
    <n v="8"/>
    <d v="2025-10-10T00:00:00"/>
    <n v="0.67"/>
    <n v="0.13550000000000001"/>
    <n v="0.253"/>
    <n v="0.47949999999999998"/>
    <n v="0.74750000000000005"/>
    <n v="0.86450000000000005"/>
    <n v="0.747"/>
    <n v="0.52049999999999996"/>
    <n v="0.25249999999999995"/>
    <n v="0"/>
    <n v="0"/>
    <n v="0"/>
    <n v="1.3"/>
    <n v="1.5"/>
    <n v="1.9"/>
    <n v="0"/>
    <n v="42.9"/>
    <n v="49.6"/>
    <n v="41.2"/>
    <n v="4"/>
    <n v="52.2"/>
    <n v="54.7"/>
    <n v="50.5"/>
    <n v="52.8"/>
    <n v="46.7"/>
    <n v="49.9"/>
    <n v="49.1"/>
    <n v="43.5"/>
    <n v="46.9"/>
    <n v="81"/>
    <n v="0.5"/>
    <n v="1500"/>
    <n v="159.5"/>
    <n v="20"/>
    <n v="20"/>
    <n v="81.400000000000006"/>
    <n v="30.56"/>
    <n v="62.457002457002453"/>
    <n v="9.02"/>
    <n v="2.1800000000000002"/>
    <n v="36.22"/>
    <n v="11.44"/>
    <n v="58.86"/>
    <n v="2.9430000000000001"/>
    <n v="7.9749999999999996"/>
    <n v="0.37542997542997542"/>
    <n v="563.14496314496307"/>
    <n v="1126.2899262899261"/>
    <n v="0.15324498810737341"/>
    <n v="3.7037037037037042E-2"/>
    <n v="0.61535847774379882"/>
    <n v="0.19435949711179068"/>
    <n v="172.59828635975421"/>
    <n v="41.714441714441712"/>
    <n v="693.07205453994436"/>
    <n v="218.90514367578584"/>
    <n v="0.32500000000000001"/>
    <n v="11.574999999999999"/>
    <n v="36.75"/>
    <n v="51.174999999999997"/>
    <n v="47.35"/>
  </r>
  <r>
    <x v="0"/>
    <x v="2"/>
    <n v="2"/>
    <x v="0"/>
    <n v="6"/>
    <n v="106"/>
    <n v="9"/>
    <d v="2025-10-07T00:00:00"/>
    <n v="0.71"/>
    <n v="4.2999999999999997E-2"/>
    <n v="7.3999999999999996E-2"/>
    <n v="0.09"/>
    <n v="0.371"/>
    <n v="0.95699999999999996"/>
    <n v="0.92600000000000005"/>
    <n v="0.91"/>
    <n v="0.629"/>
    <n v="0"/>
    <n v="0"/>
    <n v="0"/>
    <n v="0"/>
    <n v="39.799999999999997"/>
    <n v="0"/>
    <n v="29"/>
    <n v="2.4"/>
    <n v="48.8"/>
    <n v="15.1"/>
    <n v="44.4"/>
    <n v="28.3"/>
    <n v="49.5"/>
    <n v="44.7"/>
    <n v="46.5"/>
    <n v="43.2"/>
    <n v="44.1"/>
    <n v="51.2"/>
    <n v="45.9"/>
    <n v="43.1"/>
    <n v="80"/>
    <n v="0.5"/>
    <n v="1381"/>
    <n v="113.74"/>
    <n v="20"/>
    <n v="17"/>
    <n v="72.599999999999994"/>
    <n v="29.59"/>
    <n v="59.242424242424235"/>
    <n v="9.39"/>
    <n v="5.16"/>
    <n v="24.78"/>
    <n v="9.58"/>
    <n v="48.91"/>
    <n v="2.8770588235294117"/>
    <n v="6.6905882352941175"/>
    <n v="0.40757575757575759"/>
    <n v="562.86212121212122"/>
    <n v="1125.7242424242424"/>
    <n v="0.19198527908403193"/>
    <n v="0.1054998977714169"/>
    <n v="0.50664485790226954"/>
    <n v="0.19586996524228176"/>
    <n v="216.1224828534786"/>
    <n v="118.7637924945633"/>
    <n v="570.34239884017029"/>
    <n v="220.49556823603032"/>
    <n v="0"/>
    <n v="17.8"/>
    <n v="34.15"/>
    <n v="45.974999999999994"/>
    <n v="46.075000000000003"/>
  </r>
  <r>
    <x v="0"/>
    <x v="3"/>
    <n v="2"/>
    <x v="1"/>
    <n v="6"/>
    <n v="206"/>
    <n v="10"/>
    <d v="2025-10-14T00:00:00"/>
    <n v="0.66"/>
    <n v="0.16399999999999998"/>
    <n v="0.11799999999999999"/>
    <n v="0.29799999999999999"/>
    <n v="0.71"/>
    <n v="0.83600000000000008"/>
    <n v="0.88200000000000001"/>
    <n v="0.70199999999999996"/>
    <n v="0.29000000000000004"/>
    <n v="0"/>
    <n v="0"/>
    <n v="0"/>
    <n v="2.9"/>
    <n v="31.2"/>
    <n v="20.2"/>
    <n v="0"/>
    <n v="29.9"/>
    <n v="55.8"/>
    <n v="50.6"/>
    <n v="25.2"/>
    <n v="47.5"/>
    <n v="52.5"/>
    <n v="52.5"/>
    <n v="51"/>
    <n v="56.2"/>
    <n v="50.8"/>
    <n v="47"/>
    <n v="46.7"/>
    <n v="53.3"/>
    <n v="71"/>
    <n v="0.5"/>
    <n v="1118"/>
    <n v="97.8"/>
    <n v="20"/>
    <n v="20"/>
    <n v="67.3"/>
    <n v="30.31"/>
    <n v="54.962852897473994"/>
    <n v="6.25"/>
    <n v="4.05"/>
    <n v="23.24"/>
    <n v="8.1199999999999992"/>
    <n v="41.66"/>
    <n v="2.0829999999999997"/>
    <n v="4.8899999999999997"/>
    <n v="0.45037147102526004"/>
    <n v="503.5153046062407"/>
    <n v="1007.0306092124814"/>
    <n v="0.15002400384061451"/>
    <n v="9.72155544887182E-2"/>
    <n v="0.55784925588094092"/>
    <n v="0.19491118578972635"/>
    <n v="151.07876398410968"/>
    <n v="97.899039061703064"/>
    <n v="561.77127599851337"/>
    <n v="196.28153016815529"/>
    <n v="0.72499999999999998"/>
    <n v="20.324999999999999"/>
    <n v="44.774999999999999"/>
    <n v="53.05"/>
    <n v="49.45"/>
  </r>
  <r>
    <x v="0"/>
    <x v="1"/>
    <n v="2"/>
    <x v="2"/>
    <n v="6"/>
    <n v="306"/>
    <n v="11"/>
    <d v="2025-10-07T00:00:00"/>
    <n v="0.52"/>
    <n v="0.223"/>
    <n v="0.29299999999999998"/>
    <n v="0.34699999999999998"/>
    <n v="0.64700000000000002"/>
    <n v="0.77700000000000002"/>
    <n v="0.70700000000000007"/>
    <n v="0.65300000000000002"/>
    <n v="0.35299999999999998"/>
    <n v="0"/>
    <n v="0"/>
    <n v="0"/>
    <n v="0"/>
    <n v="0"/>
    <n v="0"/>
    <n v="1.4"/>
    <n v="0"/>
    <n v="14.1"/>
    <n v="36.299999999999997"/>
    <n v="34.299999999999997"/>
    <n v="6.4"/>
    <n v="40.200000000000003"/>
    <n v="46.5"/>
    <n v="49.5"/>
    <n v="43"/>
    <n v="47"/>
    <n v="49.3"/>
    <n v="49.1"/>
    <n v="50.7"/>
    <n v="82"/>
    <n v="0.5"/>
    <n v="1191"/>
    <n v="124.48"/>
    <n v="20"/>
    <n v="20"/>
    <n v="96.47"/>
    <n v="37.67"/>
    <n v="60.951591168238835"/>
    <n v="7.02"/>
    <n v="2.5099999999999998"/>
    <n v="30.47"/>
    <n v="11.56"/>
    <n v="51.56"/>
    <n v="2.5780000000000003"/>
    <n v="6.2240000000000002"/>
    <n v="0.39048408831761172"/>
    <n v="465.06654918627555"/>
    <n v="930.1330983725511"/>
    <n v="0.13615205585725368"/>
    <n v="4.8681148176881295E-2"/>
    <n v="0.5909619860356865"/>
    <n v="0.22420480993017844"/>
    <n v="126.63953356430001"/>
    <n v="45.279947186095868"/>
    <n v="549.67330309176941"/>
    <n v="208.54031453038579"/>
    <n v="0"/>
    <n v="0.35"/>
    <n v="22.774999999999999"/>
    <n v="44.8"/>
    <n v="49.025000000000006"/>
  </r>
  <r>
    <x v="0"/>
    <x v="0"/>
    <n v="2"/>
    <x v="3"/>
    <n v="6"/>
    <n v="406"/>
    <n v="12"/>
    <d v="2025-10-03T00:00:00"/>
    <n v="0.56000000000000005"/>
    <n v="0.22"/>
    <n v="0.26700000000000002"/>
    <n v="0.42699999999999999"/>
    <n v="0.53300000000000003"/>
    <n v="0.78"/>
    <n v="0.73299999999999998"/>
    <n v="0.57299999999999995"/>
    <n v="0.46699999999999997"/>
    <n v="2.4"/>
    <n v="0"/>
    <n v="1.3"/>
    <n v="0"/>
    <n v="15.2"/>
    <n v="6.8"/>
    <n v="42.6"/>
    <n v="7.9"/>
    <n v="37.5"/>
    <n v="43.4"/>
    <n v="48.6"/>
    <n v="41.3"/>
    <n v="47.9"/>
    <n v="42.3"/>
    <n v="48"/>
    <n v="52.9"/>
    <n v="47.6"/>
    <n v="52.8"/>
    <n v="50.3"/>
    <n v="52.5"/>
    <n v="67"/>
    <n v="0.5"/>
    <n v="1398"/>
    <n v="150.19999999999999"/>
    <n v="20"/>
    <n v="19"/>
    <n v="85.4"/>
    <n v="29.76"/>
    <n v="65.152224824355969"/>
    <n v="10.54"/>
    <n v="2.4500000000000002"/>
    <n v="28.5"/>
    <n v="12.55"/>
    <n v="54.039999999999992"/>
    <n v="2.8442105263157891"/>
    <n v="7.9052631578947361"/>
    <n v="0.3484777517564403"/>
    <n v="487.17189695550354"/>
    <n v="974.34379391100708"/>
    <n v="0.19504071058475206"/>
    <n v="4.5336787564766848E-2"/>
    <n v="0.52738712065136939"/>
    <n v="0.23223538119911183"/>
    <n v="190.03670591824604"/>
    <n v="44.173617599592298"/>
    <n v="513.8563679952573"/>
    <n v="226.27710239791159"/>
    <n v="0.92500000000000004"/>
    <n v="18.125"/>
    <n v="42.7"/>
    <n v="47.774999999999999"/>
    <n v="50.8"/>
  </r>
  <r>
    <x v="1"/>
    <x v="5"/>
    <n v="2"/>
    <x v="3"/>
    <n v="8"/>
    <n v="408"/>
    <n v="13"/>
    <d v="2025-10-10T00:00:00"/>
    <n v="0.64"/>
    <n v="0.24399999999999999"/>
    <n v="0.32450000000000001"/>
    <n v="0.51350000000000007"/>
    <n v="0.76800000000000002"/>
    <n v="0.75600000000000001"/>
    <n v="0.67549999999999999"/>
    <n v="0.48649999999999993"/>
    <n v="0.23199999999999998"/>
    <n v="0"/>
    <n v="0"/>
    <n v="0"/>
    <n v="0"/>
    <n v="0"/>
    <n v="0"/>
    <n v="1.9"/>
    <n v="0"/>
    <n v="9.3000000000000007"/>
    <n v="11.9"/>
    <n v="48.3"/>
    <n v="27.3"/>
    <n v="50.7"/>
    <n v="51.9"/>
    <n v="46.8"/>
    <n v="50.1"/>
    <n v="45.1"/>
    <n v="47.1"/>
    <n v="47.6"/>
    <n v="49.6"/>
    <n v="78"/>
    <n v="0.5"/>
    <n v="1191"/>
    <n v="137.30000000000001"/>
    <n v="20"/>
    <n v="20"/>
    <n v="69.599999999999994"/>
    <n v="26.57"/>
    <n v="61.824712643678154"/>
    <n v="8.4499999999999993"/>
    <n v="2.4500000000000002"/>
    <n v="32.28"/>
    <n v="11.85"/>
    <n v="55.03"/>
    <n v="2.7515000000000001"/>
    <n v="6.8650000000000002"/>
    <n v="0.38175287356321841"/>
    <n v="454.66767241379313"/>
    <n v="909.33534482758625"/>
    <n v="0.15355260766854442"/>
    <n v="4.4521170270761405E-2"/>
    <n v="0.58658913320007267"/>
    <n v="0.21533708886062147"/>
    <n v="139.6308134434509"/>
    <n v="40.484673720290502"/>
    <n v="533.40623171060304"/>
    <n v="195.8136259532418"/>
    <n v="0"/>
    <n v="0.47499999999999998"/>
    <n v="24.2"/>
    <n v="49.874999999999993"/>
    <n v="47.35"/>
  </r>
  <r>
    <x v="1"/>
    <x v="1"/>
    <n v="2"/>
    <x v="2"/>
    <n v="8"/>
    <n v="308"/>
    <n v="14"/>
    <d v="2025-10-09T00:00:00"/>
    <n v="0.55000000000000004"/>
    <n v="0.28299999999999997"/>
    <n v="0.36599999999999999"/>
    <n v="0.55200000000000005"/>
    <n v="0.74"/>
    <n v="0.71700000000000008"/>
    <n v="0.63400000000000001"/>
    <n v="0.44799999999999995"/>
    <n v="0.26"/>
    <n v="0"/>
    <n v="0"/>
    <n v="5.5"/>
    <n v="0"/>
    <n v="14.5"/>
    <n v="0"/>
    <n v="29.7"/>
    <n v="20.8"/>
    <n v="50.5"/>
    <n v="34.700000000000003"/>
    <n v="53.3"/>
    <n v="36.1"/>
    <n v="54.6"/>
    <n v="52.9"/>
    <n v="58.9"/>
    <n v="57.2"/>
    <n v="51.8"/>
    <n v="51.3"/>
    <n v="46.9"/>
    <n v="56.8"/>
    <n v="65"/>
    <n v="0.5"/>
    <n v="858"/>
    <n v="112.7"/>
    <n v="20"/>
    <n v="20"/>
    <n v="78.099999999999994"/>
    <n v="27.91"/>
    <n v="64.263764404609475"/>
    <n v="9"/>
    <n v="1.34"/>
    <n v="20.23"/>
    <n v="9.16"/>
    <n v="39.730000000000004"/>
    <n v="1.9865000000000002"/>
    <n v="5.6349999999999998"/>
    <n v="0.35736235595390525"/>
    <n v="306.6169014084507"/>
    <n v="613.2338028169014"/>
    <n v="0.22652907123080793"/>
    <n v="3.3727661716586962E-2"/>
    <n v="0.50918701233324937"/>
    <n v="0.23055625471935562"/>
    <n v="138.91528379944907"/>
    <n v="20.682942254584642"/>
    <n v="312.25068791809497"/>
    <n v="141.3848888447726"/>
    <n v="1.375"/>
    <n v="16.25"/>
    <n v="43.65"/>
    <n v="55.900000000000006"/>
    <n v="51.7"/>
  </r>
  <r>
    <x v="1"/>
    <x v="0"/>
    <n v="2"/>
    <x v="1"/>
    <n v="8"/>
    <n v="208"/>
    <n v="15"/>
    <d v="2025-10-09T00:00:00"/>
    <n v="0.67"/>
    <n v="0.22700000000000001"/>
    <n v="0.20699999999999999"/>
    <n v="0.317"/>
    <n v="0.438"/>
    <n v="0.77300000000000002"/>
    <n v="0.79300000000000004"/>
    <n v="0.68300000000000005"/>
    <n v="0.56200000000000006"/>
    <n v="0"/>
    <n v="0"/>
    <n v="0"/>
    <n v="0"/>
    <n v="12.7"/>
    <n v="36.799999999999997"/>
    <n v="25.7"/>
    <n v="0.8"/>
    <n v="45"/>
    <n v="51.2"/>
    <n v="51.5"/>
    <n v="27.9"/>
    <n v="54.2"/>
    <n v="57.3"/>
    <n v="54.2"/>
    <n v="49.6"/>
    <n v="57.4"/>
    <n v="54.6"/>
    <n v="52.1"/>
    <n v="54.9"/>
    <n v="62"/>
    <n v="0.5"/>
    <n v="1246"/>
    <n v="101.8"/>
    <n v="20"/>
    <n v="20"/>
    <n v="60.78"/>
    <n v="21.62"/>
    <n v="64.429088515959194"/>
    <n v="8.15"/>
    <n v="2.5099999999999998"/>
    <n v="16.32"/>
    <n v="9.2100000000000009"/>
    <n v="36.19"/>
    <n v="1.8094999999999999"/>
    <n v="5.09"/>
    <n v="0.35570911484040801"/>
    <n v="443.2135570911484"/>
    <n v="886.4271141822968"/>
    <n v="0.22520033158331032"/>
    <n v="6.9356175739154466E-2"/>
    <n v="0.45095330201713185"/>
    <n v="0.25449019066040346"/>
    <n v="199.62368003829013"/>
    <n v="61.47919471117892"/>
    <n v="399.73723413802389"/>
    <n v="225.58700529480393"/>
    <n v="0"/>
    <n v="19"/>
    <n v="43.9"/>
    <n v="53.824999999999996"/>
    <n v="54.75"/>
  </r>
  <r>
    <x v="1"/>
    <x v="4"/>
    <n v="2"/>
    <x v="0"/>
    <n v="8"/>
    <n v="108"/>
    <n v="16"/>
    <d v="2025-10-14T00:00:00"/>
    <n v="0.67"/>
    <n v="0.13600000000000001"/>
    <n v="0.216"/>
    <n v="0.45500000000000002"/>
    <n v="0.51700000000000002"/>
    <n v="0.86399999999999999"/>
    <n v="0.78400000000000003"/>
    <n v="0.54499999999999993"/>
    <n v="0.48299999999999998"/>
    <n v="0"/>
    <n v="0"/>
    <n v="0"/>
    <n v="0"/>
    <n v="0"/>
    <n v="5.0999999999999996"/>
    <n v="12.2"/>
    <n v="0"/>
    <n v="15.8"/>
    <n v="49.2"/>
    <n v="46.7"/>
    <n v="21.5"/>
    <n v="47.1"/>
    <n v="50.5"/>
    <n v="52.1"/>
    <n v="53.1"/>
    <n v="42.8"/>
    <n v="46.9"/>
    <n v="47.3"/>
    <n v="48.2"/>
    <n v="82"/>
    <n v="0.5"/>
    <n v="1099"/>
    <n v="133.69999999999999"/>
    <n v="20"/>
    <n v="20"/>
    <n v="77.3"/>
    <n v="29.92"/>
    <n v="61.293661060802073"/>
    <n v="7.31"/>
    <n v="3.5"/>
    <n v="32.119999999999997"/>
    <n v="10.09"/>
    <n v="53.019999999999996"/>
    <n v="2.6509999999999998"/>
    <n v="6.6849999999999996"/>
    <n v="0.38706338939197932"/>
    <n v="425.38266494178527"/>
    <n v="850.76532988357053"/>
    <n v="0.13787250094304038"/>
    <n v="6.6012825348924942E-2"/>
    <n v="0.60580912863070535"/>
    <n v="0.19030554507732933"/>
    <n v="117.29714374667863"/>
    <n v="56.161423134524654"/>
    <n v="515.40140316598047"/>
    <n v="161.90535983638679"/>
    <n v="0"/>
    <n v="4.3249999999999993"/>
    <n v="33.299999999999997"/>
    <n v="50.699999999999996"/>
    <n v="46.3"/>
  </r>
  <r>
    <x v="0"/>
    <x v="3"/>
    <n v="3"/>
    <x v="0"/>
    <n v="10"/>
    <n v="110"/>
    <n v="17"/>
    <d v="2025-10-14T00:00:00"/>
    <n v="0.7"/>
    <n v="0.10150000000000001"/>
    <n v="0.17399999999999999"/>
    <n v="0.26749999999999996"/>
    <n v="0.55899999999999994"/>
    <n v="0.89849999999999997"/>
    <n v="0.82600000000000007"/>
    <n v="0.73250000000000004"/>
    <n v="0.44100000000000006"/>
    <n v="0"/>
    <n v="0"/>
    <n v="0"/>
    <n v="0"/>
    <n v="2.1"/>
    <n v="8.5"/>
    <n v="34.200000000000003"/>
    <n v="12.7"/>
    <n v="45.3"/>
    <n v="49.3"/>
    <n v="53.3"/>
    <n v="49.8"/>
    <n v="57.3"/>
    <n v="52.4"/>
    <n v="56.9"/>
    <n v="55.7"/>
    <n v="53"/>
    <n v="52.7"/>
    <n v="50.4"/>
    <n v="53.2"/>
    <n v="83"/>
    <n v="0.5"/>
    <n v="1474"/>
    <n v="90.7"/>
    <n v="20"/>
    <n v="20"/>
    <n v="74.2"/>
    <n v="30.94"/>
    <n v="58.301886792452841"/>
    <n v="5.38"/>
    <n v="5.17"/>
    <n v="20.59"/>
    <n v="5.73"/>
    <n v="36.870000000000005"/>
    <n v="1.8435000000000001"/>
    <n v="4.5350000000000001"/>
    <n v="0.41698113207547172"/>
    <n v="614.63018867924529"/>
    <n v="1229.2603773584906"/>
    <n v="0.14591809058855437"/>
    <n v="0.14022240303770001"/>
    <n v="0.55844860320043388"/>
    <n v="0.15541090317331163"/>
    <n v="179.37132710031676"/>
    <n v="172.36984407223747"/>
    <n v="686.47874070548733"/>
    <n v="191.04046548044889"/>
    <n v="0"/>
    <n v="14.375"/>
    <n v="49.424999999999997"/>
    <n v="55.575000000000003"/>
    <n v="52.325000000000003"/>
  </r>
  <r>
    <x v="0"/>
    <x v="2"/>
    <n v="3"/>
    <x v="1"/>
    <n v="10"/>
    <n v="210"/>
    <n v="18"/>
    <d v="2025-10-07T00:00:00"/>
    <n v="0.67"/>
    <n v="5.6000000000000001E-2"/>
    <n v="8.5000000000000006E-2"/>
    <n v="0.17399999999999999"/>
    <n v="0.41099999999999998"/>
    <n v="0.94399999999999995"/>
    <n v="0.91500000000000004"/>
    <n v="0.82600000000000007"/>
    <n v="0.58899999999999997"/>
    <n v="0"/>
    <n v="3.7"/>
    <n v="0"/>
    <n v="0"/>
    <n v="9.6999999999999993"/>
    <n v="12.1"/>
    <n v="5.9"/>
    <n v="17.600000000000001"/>
    <n v="36.5"/>
    <n v="27.8"/>
    <n v="35"/>
    <n v="54.2"/>
    <n v="45.5"/>
    <n v="49.2"/>
    <n v="43.3"/>
    <n v="45.3"/>
    <n v="50.2"/>
    <n v="50.7"/>
    <n v="47.9"/>
    <n v="51.7"/>
    <n v="75"/>
    <n v="0.5"/>
    <n v="1201"/>
    <n v="109.06"/>
    <n v="20"/>
    <n v="19"/>
    <n v="62.44"/>
    <n v="26.95"/>
    <n v="56.83856502242152"/>
    <n v="6.84"/>
    <n v="4.29"/>
    <n v="25.08"/>
    <n v="10.54"/>
    <n v="46.749999999999993"/>
    <n v="2.4605263157894735"/>
    <n v="5.74"/>
    <n v="0.43161434977578478"/>
    <n v="518.36883408071753"/>
    <n v="1036.7376681614351"/>
    <n v="0.14631016042780751"/>
    <n v="9.1764705882352957E-2"/>
    <n v="0.53647058823529414"/>
    <n v="0.22545454545454546"/>
    <n v="151.68525455025062"/>
    <n v="95.135927195990533"/>
    <n v="556.1792666842523"/>
    <n v="233.73721973094175"/>
    <n v="0.92500000000000004"/>
    <n v="11.324999999999999"/>
    <n v="38.375"/>
    <n v="45.825000000000003"/>
    <n v="50.125"/>
  </r>
  <r>
    <x v="0"/>
    <x v="0"/>
    <n v="3"/>
    <x v="2"/>
    <n v="10"/>
    <n v="310"/>
    <n v="19"/>
    <d v="2025-10-03T00:00:00"/>
    <n v="0.64"/>
    <n v="0.17699999999999999"/>
    <n v="0.224"/>
    <n v="0.30299999999999999"/>
    <n v="0.503"/>
    <n v="0.82299999999999995"/>
    <n v="0.77600000000000002"/>
    <n v="0.69700000000000006"/>
    <n v="0.497"/>
    <n v="0"/>
    <n v="7.3"/>
    <n v="2.9"/>
    <n v="3"/>
    <n v="21.3"/>
    <n v="0.5"/>
    <n v="44.8"/>
    <n v="45"/>
    <n v="49.1"/>
    <n v="40.9"/>
    <n v="48.4"/>
    <n v="48.1"/>
    <n v="45.8"/>
    <n v="39"/>
    <n v="47.4"/>
    <n v="53.6"/>
    <n v="52.3"/>
    <n v="51.2"/>
    <n v="49.8"/>
    <n v="53.1"/>
    <n v="61"/>
    <n v="0.5"/>
    <n v="1466"/>
    <n v="173.8"/>
    <n v="20"/>
    <n v="20"/>
    <n v="85.9"/>
    <n v="29.97"/>
    <n v="65.110593713620489"/>
    <n v="10.8"/>
    <n v="2.88"/>
    <n v="32.880000000000003"/>
    <n v="12.99"/>
    <n v="59.550000000000004"/>
    <n v="2.9775"/>
    <n v="8.6900000000000013"/>
    <n v="0.3488940628637951"/>
    <n v="511.4786961583236"/>
    <n v="1022.9573923166472"/>
    <n v="0.181360201511335"/>
    <n v="4.8362720403022662E-2"/>
    <n v="0.55214105793450885"/>
    <n v="0.21813602015113348"/>
    <n v="185.5237588080569"/>
    <n v="49.473002348815172"/>
    <n v="564.81677681563997"/>
    <n v="223.14385434413512"/>
    <n v="3.3"/>
    <n v="27.9"/>
    <n v="46.625"/>
    <n v="46.449999999999996"/>
    <n v="51.6"/>
  </r>
  <r>
    <x v="0"/>
    <x v="1"/>
    <n v="3"/>
    <x v="3"/>
    <n v="10"/>
    <n v="410"/>
    <n v="20"/>
    <d v="2025-10-07T00:00:00"/>
    <n v="0.53"/>
    <n v="0.20300000000000001"/>
    <n v="0.27200000000000002"/>
    <n v="0.46500000000000002"/>
    <n v="0.58399999999999996"/>
    <n v="0.79699999999999993"/>
    <n v="0.72799999999999998"/>
    <n v="0.53499999999999992"/>
    <n v="0.41600000000000004"/>
    <n v="0"/>
    <n v="0"/>
    <n v="0"/>
    <n v="0"/>
    <n v="0"/>
    <n v="20.399999999999999"/>
    <n v="11"/>
    <n v="25.8"/>
    <n v="5.4"/>
    <n v="26.4"/>
    <n v="36.799999999999997"/>
    <n v="48.5"/>
    <n v="51.5"/>
    <n v="52.2"/>
    <n v="43.5"/>
    <n v="49.7"/>
    <n v="51.8"/>
    <n v="50.7"/>
    <n v="48.5"/>
    <n v="50.5"/>
    <n v="81"/>
    <n v="0.5"/>
    <n v="1065"/>
    <n v="126.1"/>
    <n v="20"/>
    <n v="20"/>
    <n v="73.53"/>
    <n v="29.4"/>
    <n v="60.016319869441041"/>
    <n v="5.99"/>
    <n v="3.14"/>
    <n v="33.56"/>
    <n v="10.36"/>
    <n v="53.050000000000004"/>
    <n v="2.6525000000000003"/>
    <n v="6.3049999999999997"/>
    <n v="0.39983680130558952"/>
    <n v="425.82619339045283"/>
    <n v="851.65238678090566"/>
    <n v="0.11291234684260132"/>
    <n v="5.9189443920829407E-2"/>
    <n v="0.63261074458058431"/>
    <n v="0.1952874646559849"/>
    <n v="96.162069685534874"/>
    <n v="50.408831187408929"/>
    <n v="538.7644505253005"/>
    <n v="166.31703538266129"/>
    <n v="0"/>
    <n v="14.3"/>
    <n v="29.274999999999999"/>
    <n v="49.224999999999994"/>
    <n v="50.375"/>
  </r>
  <r>
    <x v="1"/>
    <x v="1"/>
    <n v="3"/>
    <x v="3"/>
    <n v="12"/>
    <n v="412"/>
    <n v="21"/>
    <d v="2025-10-09T00:00:00"/>
    <n v="0.57999999999999996"/>
    <n v="0.26800000000000002"/>
    <n v="0.3"/>
    <n v="0.36299999999999999"/>
    <n v="0.629"/>
    <n v="0.73199999999999998"/>
    <n v="0.7"/>
    <n v="0.63700000000000001"/>
    <n v="0.371"/>
    <n v="12.1"/>
    <n v="0"/>
    <n v="0"/>
    <n v="0"/>
    <n v="38.299999999999997"/>
    <n v="1.5"/>
    <n v="9.1999999999999993"/>
    <n v="0"/>
    <n v="54.4"/>
    <n v="46.7"/>
    <n v="48.2"/>
    <n v="47.5"/>
    <n v="57.4"/>
    <n v="56"/>
    <n v="51.3"/>
    <n v="48.4"/>
    <n v="51.5"/>
    <n v="47.9"/>
    <n v="50"/>
    <n v="50.8"/>
    <n v="72"/>
    <n v="0.5"/>
    <n v="1010"/>
    <n v="94.4"/>
    <n v="20"/>
    <n v="17"/>
    <n v="73.099999999999994"/>
    <n v="28.2"/>
    <n v="61.422708618331043"/>
    <n v="6.92"/>
    <n v="2.2999999999999998"/>
    <n v="17.37"/>
    <n v="8.02"/>
    <n v="34.61"/>
    <n v="2.0358823529411763"/>
    <n v="5.5529411764705889"/>
    <n v="0.38577291381668949"/>
    <n v="389.6306429548564"/>
    <n v="779.2612859097128"/>
    <n v="0.1999422132331696"/>
    <n v="6.6454781854955208E-2"/>
    <n v="0.50187806992198791"/>
    <n v="0.2317249349898873"/>
    <n v="155.80722619171374"/>
    <n v="51.785638763141847"/>
    <n v="391.09415013729307"/>
    <n v="180.57427081756418"/>
    <n v="3.0249999999999999"/>
    <n v="12.25"/>
    <n v="49.2"/>
    <n v="53.274999999999999"/>
    <n v="50.05"/>
  </r>
  <r>
    <x v="1"/>
    <x v="5"/>
    <n v="3"/>
    <x v="2"/>
    <n v="12"/>
    <n v="312"/>
    <n v="22"/>
    <d v="2025-10-10T00:00:00"/>
    <n v="0.67"/>
    <n v="0.16849999999999998"/>
    <n v="0.22550000000000001"/>
    <n v="0.58549999999999991"/>
    <n v="0.71750000000000003"/>
    <n v="0.83150000000000002"/>
    <n v="0.77449999999999997"/>
    <n v="0.41450000000000009"/>
    <n v="0.28249999999999997"/>
    <n v="0"/>
    <n v="4.8"/>
    <n v="0"/>
    <n v="0"/>
    <n v="20.5"/>
    <n v="44.1"/>
    <n v="10.3"/>
    <n v="38.5"/>
    <n v="54.8"/>
    <n v="51"/>
    <n v="52.3"/>
    <n v="57.5"/>
    <n v="50.2"/>
    <n v="52"/>
    <n v="46.3"/>
    <n v="47.6"/>
    <n v="49"/>
    <n v="57.5"/>
    <n v="44.4"/>
    <n v="52"/>
    <n v="81"/>
    <n v="0.5"/>
    <n v="1245"/>
    <n v="167.1"/>
    <n v="20"/>
    <n v="20"/>
    <n v="99.5"/>
    <n v="37.53"/>
    <n v="62.281407035175882"/>
    <n v="9.86"/>
    <n v="2.06"/>
    <n v="38.79"/>
    <n v="13.69"/>
    <n v="64.400000000000006"/>
    <n v="3.22"/>
    <n v="8.3550000000000004"/>
    <n v="0.37718592964824121"/>
    <n v="469.59648241206031"/>
    <n v="939.19296482412062"/>
    <n v="0.15310559006211177"/>
    <n v="3.1987577639751553E-2"/>
    <n v="0.60232919254658379"/>
    <n v="0.21257763975155278"/>
    <n v="143.79569306158118"/>
    <n v="30.042507881020008"/>
    <n v="565.70334014794469"/>
    <n v="199.65142373357469"/>
    <n v="1.2"/>
    <n v="28.349999999999998"/>
    <n v="53.9"/>
    <n v="49.024999999999999"/>
    <n v="50.725000000000001"/>
  </r>
  <r>
    <x v="1"/>
    <x v="4"/>
    <n v="3"/>
    <x v="1"/>
    <n v="12"/>
    <n v="212"/>
    <n v="23"/>
    <d v="2025-10-14T00:00:00"/>
    <n v="0.65"/>
    <n v="0.16250000000000001"/>
    <n v="0.14399999999999999"/>
    <n v="0.34450000000000003"/>
    <n v="0.59200000000000008"/>
    <n v="0.83750000000000002"/>
    <n v="0.85599999999999998"/>
    <n v="0.65549999999999997"/>
    <n v="0.40799999999999992"/>
    <n v="7.9"/>
    <n v="0"/>
    <n v="0"/>
    <n v="0"/>
    <n v="38.6"/>
    <n v="0"/>
    <n v="24.7"/>
    <n v="0"/>
    <n v="44.3"/>
    <n v="22.1"/>
    <n v="49.8"/>
    <n v="47.7"/>
    <n v="56.4"/>
    <n v="51.7"/>
    <n v="53.2"/>
    <n v="55.2"/>
    <n v="52.2"/>
    <n v="50.5"/>
    <n v="50.7"/>
    <n v="50.7"/>
    <n v="78"/>
    <n v="0.5"/>
    <n v="1261"/>
    <n v="124.5"/>
    <n v="20"/>
    <n v="20"/>
    <n v="78.8"/>
    <n v="33.72"/>
    <n v="57.208121827411169"/>
    <n v="8.1199999999999992"/>
    <n v="4.5999999999999996"/>
    <n v="29.43"/>
    <n v="11.05"/>
    <n v="53.2"/>
    <n v="2.66"/>
    <n v="6.2249999999999996"/>
    <n v="0.42791878172588832"/>
    <n v="539.60558375634514"/>
    <n v="1079.2111675126903"/>
    <n v="0.1526315789473684"/>
    <n v="8.646616541353383E-2"/>
    <n v="0.55319548872180446"/>
    <n v="0.20770676691729323"/>
    <n v="164.72170451509481"/>
    <n v="93.315251326285249"/>
    <n v="597.01474924621186"/>
    <n v="224.15946242509827"/>
    <n v="1.9750000000000001"/>
    <n v="15.824999999999999"/>
    <n v="40.975000000000001"/>
    <n v="54.125"/>
    <n v="51.025000000000006"/>
  </r>
  <r>
    <x v="1"/>
    <x v="0"/>
    <n v="3"/>
    <x v="0"/>
    <n v="12"/>
    <n v="112"/>
    <n v="24"/>
    <d v="2025-10-09T00:00:00"/>
    <n v="0.57999999999999996"/>
    <n v="0.27900000000000003"/>
    <n v="0.316"/>
    <n v="0.42"/>
    <n v="0.65600000000000003"/>
    <n v="0.72099999999999997"/>
    <n v="0.68399999999999994"/>
    <n v="0.58000000000000007"/>
    <n v="0.34399999999999997"/>
    <n v="9.9"/>
    <n v="0"/>
    <n v="0.9"/>
    <n v="0"/>
    <n v="34.799999999999997"/>
    <n v="5.2"/>
    <n v="19.899999999999999"/>
    <n v="0"/>
    <n v="54.1"/>
    <n v="45.8"/>
    <n v="52"/>
    <n v="52.5"/>
    <n v="51.3"/>
    <n v="48"/>
    <n v="47"/>
    <n v="50.7"/>
    <n v="53.7"/>
    <n v="45"/>
    <n v="49.4"/>
    <n v="52.6"/>
    <n v="54"/>
    <n v="0.5"/>
    <n v="1076"/>
    <n v="107.5"/>
    <n v="20"/>
    <n v="20"/>
    <n v="67.3"/>
    <n v="23.26"/>
    <n v="65.43833580980683"/>
    <n v="8.0399999999999991"/>
    <n v="2.2200000000000002"/>
    <n v="18.34"/>
    <n v="10.42"/>
    <n v="39.020000000000003"/>
    <n v="1.9510000000000001"/>
    <n v="5.375"/>
    <n v="0.3456166419019317"/>
    <n v="371.88350668647848"/>
    <n v="743.76701337295697"/>
    <n v="0.20604818042029724"/>
    <n v="5.6893900563813431E-2"/>
    <n v="0.47001537672988208"/>
    <n v="0.26704254228600716"/>
    <n v="153.25183976213665"/>
    <n v="42.315806501485511"/>
    <n v="349.58193298974959"/>
    <n v="198.61743411958511"/>
    <n v="2.7"/>
    <n v="14.975"/>
    <n v="51.1"/>
    <n v="49.25"/>
    <n v="50.174999999999997"/>
  </r>
  <r>
    <x v="0"/>
    <x v="1"/>
    <n v="4"/>
    <x v="0"/>
    <n v="14"/>
    <n v="114"/>
    <n v="25"/>
    <d v="2025-10-07T00:00:00"/>
    <n v="0.6"/>
    <n v="0.14000000000000001"/>
    <n v="0.20799999999999999"/>
    <n v="0.30599999999999999"/>
    <n v="0.59699999999999998"/>
    <n v="0.86"/>
    <n v="0.79200000000000004"/>
    <n v="0.69399999999999995"/>
    <n v="0.40300000000000002"/>
    <n v="0"/>
    <n v="4.5999999999999996"/>
    <n v="1.6"/>
    <n v="0"/>
    <n v="2.7"/>
    <n v="40.700000000000003"/>
    <n v="41.4"/>
    <n v="2.7"/>
    <n v="44.8"/>
    <n v="48.6"/>
    <n v="47"/>
    <n v="40.1"/>
    <n v="50"/>
    <n v="50.5"/>
    <n v="49.1"/>
    <n v="50.2"/>
    <n v="51.5"/>
    <n v="53.1"/>
    <n v="47.9"/>
    <n v="49.3"/>
    <n v="81"/>
    <n v="0.5"/>
    <n v="1375"/>
    <n v="147.79"/>
    <n v="20"/>
    <n v="19"/>
    <n v="82.19"/>
    <n v="32.01"/>
    <n v="61.05365616255019"/>
    <n v="8.3000000000000007"/>
    <n v="1.77"/>
    <n v="34.07"/>
    <n v="10.46"/>
    <n v="54.6"/>
    <n v="2.8736842105263158"/>
    <n v="7.7784210526315789"/>
    <n v="0.38946343837449809"/>
    <n v="535.51222776493489"/>
    <n v="1071.0244555298698"/>
    <n v="0.15201465201465203"/>
    <n v="3.241758241758242E-2"/>
    <n v="0.623992673992674"/>
    <n v="0.19157509157509159"/>
    <n v="162.81140990655533"/>
    <n v="34.72002355838589"/>
    <n v="668.31141391763117"/>
    <n v="205.18160814729742"/>
    <n v="1.5499999999999998"/>
    <n v="21.875000000000004"/>
    <n v="45.125"/>
    <n v="49.95"/>
    <n v="50.45"/>
  </r>
  <r>
    <x v="0"/>
    <x v="0"/>
    <n v="4"/>
    <x v="1"/>
    <n v="14"/>
    <n v="214"/>
    <n v="26"/>
    <d v="2025-10-03T00:00:00"/>
    <n v="0.69"/>
    <n v="0.126"/>
    <n v="0.19"/>
    <n v="0.29499999999999998"/>
    <n v="0.39500000000000002"/>
    <n v="0.874"/>
    <n v="0.81"/>
    <n v="0.70500000000000007"/>
    <n v="0.60499999999999998"/>
    <n v="0.3"/>
    <n v="1.7"/>
    <n v="0.4"/>
    <n v="0"/>
    <n v="0.6"/>
    <n v="40.6"/>
    <n v="45"/>
    <n v="10.4"/>
    <n v="38"/>
    <n v="50.4"/>
    <n v="47.2"/>
    <n v="33.799999999999997"/>
    <n v="51.9"/>
    <n v="51.9"/>
    <n v="49.8"/>
    <n v="53.8"/>
    <n v="50"/>
    <n v="48.9"/>
    <n v="53.1"/>
    <n v="54.5"/>
    <n v="69"/>
    <n v="0.5"/>
    <n v="1691"/>
    <n v="123"/>
    <n v="20"/>
    <n v="19"/>
    <n v="74.099999999999994"/>
    <n v="27.45"/>
    <n v="62.955465587044529"/>
    <n v="9.41"/>
    <n v="3.82"/>
    <n v="22.59"/>
    <n v="10.96"/>
    <n v="46.78"/>
    <n v="2.4621052631578948"/>
    <n v="6.4736842105263159"/>
    <n v="0.37044534412955465"/>
    <n v="626.42307692307691"/>
    <n v="1252.8461538461538"/>
    <n v="0.20115433946130826"/>
    <n v="8.1658828559213331E-2"/>
    <n v="0.48289867464728514"/>
    <n v="0.23428815733219327"/>
    <n v="252.01544052356365"/>
    <n v="102.30594928799289"/>
    <n v="604.99774722925633"/>
    <n v="293.52701680534091"/>
    <n v="0.6"/>
    <n v="24.150000000000002"/>
    <n v="42.350000000000009"/>
    <n v="51.849999999999994"/>
    <n v="51.625"/>
  </r>
  <r>
    <x v="0"/>
    <x v="3"/>
    <n v="4"/>
    <x v="2"/>
    <n v="14"/>
    <n v="314"/>
    <n v="27"/>
    <d v="2025-10-14T00:00:00"/>
    <n v="0.63"/>
    <n v="0.25750000000000001"/>
    <n v="0.41099999999999998"/>
    <n v="0.34250000000000003"/>
    <n v="0.63050000000000006"/>
    <n v="0.74249999999999994"/>
    <n v="0.58899999999999997"/>
    <n v="0.65749999999999997"/>
    <n v="0.36949999999999994"/>
    <n v="0"/>
    <n v="0"/>
    <n v="0"/>
    <n v="24.3"/>
    <n v="11"/>
    <n v="29.7"/>
    <n v="12.4"/>
    <n v="49.5"/>
    <n v="48.7"/>
    <n v="53.7"/>
    <n v="55.5"/>
    <n v="53"/>
    <n v="49.6"/>
    <n v="54.7"/>
    <n v="53.5"/>
    <n v="50.8"/>
    <n v="44"/>
    <n v="48.4"/>
    <n v="48.6"/>
    <n v="48.9"/>
    <n v="67"/>
    <n v="0.5"/>
    <n v="1090"/>
    <n v="70.900000000000006"/>
    <n v="20"/>
    <n v="19"/>
    <n v="70.3"/>
    <n v="27.35"/>
    <n v="61.095305832147943"/>
    <n v="4.6500000000000004"/>
    <n v="3.12"/>
    <n v="16.25"/>
    <n v="5.52"/>
    <n v="29.54"/>
    <n v="1.5547368421052632"/>
    <n v="3.7315789473684213"/>
    <n v="0.38904694167852066"/>
    <n v="424.0611664295875"/>
    <n v="848.122332859175"/>
    <n v="0.15741367637102235"/>
    <n v="0.10561949898442791"/>
    <n v="0.55010155721056198"/>
    <n v="0.18686526743398779"/>
    <n v="133.50605442773067"/>
    <n v="89.57825587409026"/>
    <n v="466.55341601088674"/>
    <n v="158.48460654646735"/>
    <n v="6.0750000000000002"/>
    <n v="25.65"/>
    <n v="52.725000000000001"/>
    <n v="52.150000000000006"/>
    <n v="47.475000000000001"/>
  </r>
  <r>
    <x v="0"/>
    <x v="2"/>
    <n v="4"/>
    <x v="3"/>
    <n v="14"/>
    <n v="414"/>
    <n v="28"/>
    <d v="2025-10-07T00:00:00"/>
    <n v="0.68"/>
    <n v="9.2999999999999999E-2"/>
    <n v="0.14899999999999999"/>
    <n v="0.192"/>
    <n v="0.44"/>
    <n v="0.90700000000000003"/>
    <n v="0.85099999999999998"/>
    <n v="0.80800000000000005"/>
    <n v="0.56000000000000005"/>
    <n v="0"/>
    <n v="0"/>
    <n v="0"/>
    <n v="0"/>
    <n v="1.2"/>
    <n v="5.4"/>
    <n v="11.1"/>
    <n v="0"/>
    <n v="26.2"/>
    <n v="37"/>
    <n v="41.3"/>
    <n v="26.2"/>
    <n v="41.2"/>
    <n v="48.5"/>
    <n v="41.6"/>
    <n v="47.1"/>
    <n v="45.7"/>
    <n v="43.8"/>
    <n v="44.6"/>
    <n v="46.1"/>
    <n v="78"/>
    <n v="0.5"/>
    <n v="1380"/>
    <n v="121.81"/>
    <n v="20"/>
    <n v="20"/>
    <n v="91.35"/>
    <n v="34.380000000000003"/>
    <n v="62.364532019704427"/>
    <n v="8.5399999999999991"/>
    <n v="3.13"/>
    <n v="23.13"/>
    <n v="9.85"/>
    <n v="44.65"/>
    <n v="2.2324999999999999"/>
    <n v="6.0905000000000005"/>
    <n v="0.37635467980295573"/>
    <n v="519.36945812807892"/>
    <n v="1038.7389162561578"/>
    <n v="0.19126539753639415"/>
    <n v="7.0100783874580061E-2"/>
    <n v="0.51802911534154539"/>
    <n v="0.22060470324748041"/>
    <n v="198.67481175425726"/>
    <n v="72.816412270588444"/>
    <n v="538.09700185901306"/>
    <n v="229.1506903722991"/>
    <n v="0"/>
    <n v="4.4249999999999998"/>
    <n v="32.674999999999997"/>
    <n v="44.6"/>
    <n v="45.05"/>
  </r>
  <r>
    <x v="1"/>
    <x v="4"/>
    <n v="4"/>
    <x v="3"/>
    <n v="16"/>
    <n v="416"/>
    <n v="29"/>
    <d v="2025-10-14T00:00:00"/>
    <n v="0.64"/>
    <n v="0.23049999999999998"/>
    <n v="0.23349999999999999"/>
    <n v="0.504"/>
    <n v="0.66549999999999998"/>
    <n v="0.76950000000000007"/>
    <n v="0.76649999999999996"/>
    <n v="0.496"/>
    <n v="0.33450000000000002"/>
    <n v="0"/>
    <n v="0"/>
    <n v="0"/>
    <n v="0"/>
    <n v="0"/>
    <n v="0"/>
    <n v="0"/>
    <n v="28.6"/>
    <n v="41.9"/>
    <n v="18"/>
    <n v="28.2"/>
    <n v="51.9"/>
    <n v="54.6"/>
    <n v="50.4"/>
    <n v="53"/>
    <n v="54.9"/>
    <n v="50.9"/>
    <n v="48.9"/>
    <n v="47.6"/>
    <n v="52.3"/>
    <n v="72"/>
    <n v="0.5"/>
    <n v="1175"/>
    <n v="123.8"/>
    <n v="20"/>
    <n v="20"/>
    <n v="75.900000000000006"/>
    <n v="33.65"/>
    <n v="55.665349143610023"/>
    <n v="7.3"/>
    <n v="5.04"/>
    <n v="31.15"/>
    <n v="11.57"/>
    <n v="55.059999999999995"/>
    <n v="2.7529999999999997"/>
    <n v="6.1899999999999995"/>
    <n v="0.44334650856389984"/>
    <n v="520.93214756258237"/>
    <n v="1041.8642951251647"/>
    <n v="0.13258263712313839"/>
    <n v="9.1536505630221587E-2"/>
    <n v="0.56574645840900839"/>
    <n v="0.21013439883763169"/>
    <n v="138.13311577213409"/>
    <n v="95.36861691665149"/>
    <n v="589.43103510985986"/>
    <n v="218.93152732651939"/>
    <n v="0"/>
    <n v="7.15"/>
    <n v="35"/>
    <n v="53.225000000000001"/>
    <n v="49.924999999999997"/>
  </r>
  <r>
    <x v="1"/>
    <x v="0"/>
    <n v="4"/>
    <x v="2"/>
    <n v="16"/>
    <n v="316"/>
    <n v="30"/>
    <d v="2025-10-09T00:00:00"/>
    <n v="0.56999999999999995"/>
    <n v="0.41799999999999998"/>
    <n v="0.38"/>
    <n v="0.38800000000000001"/>
    <n v="0.61499999999999999"/>
    <n v="0.58200000000000007"/>
    <n v="0.62"/>
    <n v="0.61199999999999999"/>
    <n v="0.38500000000000001"/>
    <n v="0"/>
    <n v="2.5"/>
    <n v="0.2"/>
    <n v="0"/>
    <n v="0"/>
    <n v="11.7"/>
    <n v="29.1"/>
    <n v="31.4"/>
    <n v="29.3"/>
    <n v="44.8"/>
    <n v="51.5"/>
    <n v="51.4"/>
    <n v="43.9"/>
    <n v="49.8"/>
    <n v="47.9"/>
    <n v="54.1"/>
    <n v="46.5"/>
    <n v="51"/>
    <n v="52.2"/>
    <n v="52.6"/>
    <n v="55"/>
    <n v="0.5"/>
    <n v="908"/>
    <n v="103.2"/>
    <n v="20"/>
    <n v="19"/>
    <n v="63.4"/>
    <n v="21.22"/>
    <n v="66.529968454258679"/>
    <n v="831"/>
    <n v="2.1"/>
    <n v="16.690000000000001"/>
    <n v="9.2899999999999991"/>
    <n v="859.08"/>
    <n v="45.214736842105268"/>
    <n v="5.4315789473684211"/>
    <n v="0.33470031545741324"/>
    <n v="303.90788643533125"/>
    <n v="607.8157728706625"/>
    <n v="0.96731387065232566"/>
    <n v="2.4444754854029893E-3"/>
    <n v="1.9427759929226615E-2"/>
    <n v="1.0813893933044652E-2"/>
    <n v="587.9486278990554"/>
    <n v="1.4857907564236057"/>
    <n v="11.808498916528562"/>
    <n v="6.5728552986549031"/>
    <n v="0.67500000000000004"/>
    <n v="18.049999999999997"/>
    <n v="44.25"/>
    <n v="48.924999999999997"/>
    <n v="50.574999999999996"/>
  </r>
  <r>
    <x v="1"/>
    <x v="5"/>
    <n v="4"/>
    <x v="1"/>
    <n v="16"/>
    <n v="216"/>
    <n v="31"/>
    <d v="2025-10-10T00:00:00"/>
    <n v="0.7"/>
    <n v="0.21949999999999997"/>
    <n v="0.29349999999999998"/>
    <n v="0.63400000000000001"/>
    <n v="0.89149999999999996"/>
    <n v="0.78049999999999997"/>
    <n v="0.70650000000000002"/>
    <n v="0.36599999999999999"/>
    <n v="0.10850000000000004"/>
    <n v="0"/>
    <n v="3.3"/>
    <n v="0"/>
    <n v="0"/>
    <n v="37.1"/>
    <n v="43.9"/>
    <n v="44.3"/>
    <n v="1.7"/>
    <n v="46.2"/>
    <n v="51.8"/>
    <n v="55.3"/>
    <n v="44.9"/>
    <n v="49.7"/>
    <n v="47.5"/>
    <n v="49.1"/>
    <n v="51.6"/>
    <n v="50.8"/>
    <n v="45.5"/>
    <n v="46.8"/>
    <n v="48.2"/>
    <n v="77"/>
    <n v="0.5"/>
    <n v="1295"/>
    <n v="176.3"/>
    <n v="20"/>
    <n v="20"/>
    <n v="70.5"/>
    <n v="24.03"/>
    <n v="65.914893617021278"/>
    <n v="9.99"/>
    <n v="1.53"/>
    <n v="36.58"/>
    <n v="11.69"/>
    <n v="59.789999999999992"/>
    <n v="2.9894999999999996"/>
    <n v="8.8150000000000013"/>
    <n v="0.34085106382978725"/>
    <n v="441.40212765957449"/>
    <n v="882.80425531914898"/>
    <n v="0.16708479678876068"/>
    <n v="2.5589563472152538E-2"/>
    <n v="0.61180799464793445"/>
    <n v="0.19551764509115238"/>
    <n v="147.5031696042532"/>
    <n v="22.590575524975719"/>
    <n v="540.10670111347167"/>
    <n v="172.60380907644844"/>
    <n v="0.82499999999999996"/>
    <n v="31.75"/>
    <n v="49.550000000000004"/>
    <n v="49.475000000000001"/>
    <n v="47.825000000000003"/>
  </r>
  <r>
    <x v="1"/>
    <x v="1"/>
    <n v="4"/>
    <x v="0"/>
    <n v="16"/>
    <n v="116"/>
    <n v="32"/>
    <d v="2025-10-09T00:00:00"/>
    <n v="0.65"/>
    <n v="0.17100000000000001"/>
    <n v="0.248"/>
    <n v="0.26400000000000001"/>
    <n v="0.41099999999999998"/>
    <n v="0.82899999999999996"/>
    <n v="0.752"/>
    <n v="0.73599999999999999"/>
    <n v="0.58899999999999997"/>
    <n v="28.1"/>
    <n v="0"/>
    <n v="30.5"/>
    <n v="38.799999999999997"/>
    <n v="51.9"/>
    <n v="22"/>
    <n v="50.5"/>
    <n v="50.3"/>
    <n v="53.9"/>
    <n v="52.9"/>
    <n v="55.5"/>
    <n v="50.6"/>
    <n v="58.5"/>
    <n v="54.9"/>
    <n v="58.6"/>
    <n v="52.5"/>
    <n v="55.2"/>
    <n v="48.8"/>
    <n v="54.3"/>
    <n v="55.8"/>
    <n v="72"/>
    <n v="0.5"/>
    <n v="1373"/>
    <n v="137.80000000000001"/>
    <n v="20"/>
    <n v="20"/>
    <n v="80.8"/>
    <n v="25.06"/>
    <n v="68.985148514851474"/>
    <n v="10.91"/>
    <n v="0.72"/>
    <n v="21.24"/>
    <n v="8.61"/>
    <n v="41.48"/>
    <n v="2.0739999999999998"/>
    <n v="6.8900000000000006"/>
    <n v="0.31014851485148515"/>
    <n v="425.83391089108909"/>
    <n v="851.66782178217818"/>
    <n v="0.26301832208293158"/>
    <n v="1.7357762777242044E-2"/>
    <n v="0.51205400192864026"/>
    <n v="0.20756991321118612"/>
    <n v="224.00424145717372"/>
    <n v="14.783048015505504"/>
    <n v="436.09991645741229"/>
    <n v="176.78061585208664"/>
    <n v="24.35"/>
    <n v="43.674999999999997"/>
    <n v="53.225000000000001"/>
    <n v="56.125"/>
    <n v="53.525000000000006"/>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n v="1"/>
    <x v="0"/>
    <n v="2"/>
    <n v="102"/>
    <n v="1"/>
    <d v="2025-09-09T00:00:00"/>
    <n v="0.8"/>
    <n v="0.52900000000000003"/>
    <n v="0.151"/>
    <n v="9.2999999999999999E-2"/>
    <n v="3.3000000000000002E-2"/>
    <n v="0.47099999999999997"/>
    <n v="0.84899999999999998"/>
    <n v="0.90700000000000003"/>
    <n v="0.96699999999999997"/>
    <n v="37.299999999999997"/>
    <n v="13.7"/>
    <n v="48.6"/>
    <n v="45.7"/>
    <n v="46"/>
    <n v="53.5"/>
    <n v="51.5"/>
    <n v="55.7"/>
    <n v="49.9"/>
    <n v="56.2"/>
    <n v="51.4"/>
    <n v="54"/>
    <n v="52.4"/>
    <n v="55"/>
    <n v="49.2"/>
    <n v="50.6"/>
    <n v="48.9"/>
    <n v="52.6"/>
    <n v="38.200000000000003"/>
    <n v="49"/>
    <n v="68"/>
    <n v="0.5"/>
    <n v="1554"/>
    <n v="3108"/>
    <n v="120.5"/>
    <n v="20"/>
    <n v="19"/>
    <n v="139.4"/>
    <n v="32.82"/>
    <n v="76.456241032998577"/>
    <n v="10.23"/>
    <n v="0.66"/>
    <n v="14.51"/>
    <n v="1.4"/>
    <n v="26.799999999999997"/>
    <n v="1.4105263157894736"/>
    <n v="6.3421052631578947"/>
    <n v="0.23543758967001435"/>
    <n v="365.8700143472023"/>
    <n v="731.7400286944046"/>
    <n v="0.3817164179104478"/>
    <n v="2.4626865671641796E-2"/>
    <n v="0.54141791044776122"/>
    <n v="5.2238805970149259E-2"/>
    <n v="279.3171825949164"/>
    <n v="18.020463393220414"/>
    <n v="396.17715732670939"/>
    <n v="38.225225379558452"/>
    <n v="36.325000000000003"/>
    <n v="51.674999999999997"/>
    <n v="52.875"/>
    <n v="51.800000000000004"/>
    <n v="47.174999999999997"/>
  </r>
  <r>
    <x v="0"/>
    <x v="1"/>
    <n v="1"/>
    <x v="1"/>
    <n v="2"/>
    <n v="202"/>
    <n v="2"/>
    <d v="2025-09-12T00:00:00"/>
    <n v="0.79"/>
    <n v="0.27100000000000002"/>
    <n v="0.114"/>
    <n v="8.5000000000000006E-2"/>
    <n v="5.0999999999999997E-2"/>
    <n v="0.72899999999999998"/>
    <n v="0.88600000000000001"/>
    <n v="0.91500000000000004"/>
    <n v="0.94899999999999995"/>
    <n v="38"/>
    <n v="31.6"/>
    <n v="21.4"/>
    <n v="50.2"/>
    <n v="51.8"/>
    <n v="50.5"/>
    <n v="45.6"/>
    <n v="49.1"/>
    <n v="33.700000000000003"/>
    <n v="58.4"/>
    <n v="50.1"/>
    <n v="57.6"/>
    <n v="36.299999999999997"/>
    <n v="53.3"/>
    <n v="50.8"/>
    <n v="55.9"/>
    <n v="54.6"/>
    <n v="51.6"/>
    <n v="51.1"/>
    <n v="50.7"/>
    <n v="75"/>
    <n v="0.5"/>
    <n v="1806"/>
    <n v="3612"/>
    <n v="171.6"/>
    <n v="20"/>
    <n v="20"/>
    <n v="90.7"/>
    <n v="17.670000000000002"/>
    <n v="80.518191841234838"/>
    <n v="11.62"/>
    <n v="1.55"/>
    <n v="21.12"/>
    <n v="1.58"/>
    <n v="35.869999999999997"/>
    <n v="1.7934999999999999"/>
    <n v="8.58"/>
    <n v="0.1948180815876516"/>
    <n v="351.84145534729879"/>
    <n v="703.68291069459758"/>
    <n v="0.32394758851407862"/>
    <n v="4.321159743518261E-2"/>
    <n v="0.58879286311681078"/>
    <n v="4.4047950933928076E-2"/>
    <n v="227.95638199808263"/>
    <n v="30.407262658952508"/>
    <n v="414.32347571424316"/>
    <n v="30.995790323319326"/>
    <n v="35.299999999999997"/>
    <n v="49.25"/>
    <n v="49.949999999999996"/>
    <n v="49.074999999999996"/>
    <n v="52"/>
  </r>
  <r>
    <x v="0"/>
    <x v="2"/>
    <n v="1"/>
    <x v="2"/>
    <n v="2"/>
    <n v="302"/>
    <n v="3"/>
    <d v="2025-09-15T00:00:00"/>
    <n v="0.8"/>
    <n v="0.34100000000000003"/>
    <n v="0.224"/>
    <n v="0.104"/>
    <n v="2.7E-2"/>
    <n v="0.65900000000000003"/>
    <n v="0.77600000000000002"/>
    <n v="0.89600000000000002"/>
    <n v="0.97299999999999998"/>
    <n v="42.5"/>
    <n v="43.2"/>
    <n v="50.7"/>
    <n v="40.9"/>
    <n v="47.3"/>
    <n v="51"/>
    <n v="53.3"/>
    <n v="47.1"/>
    <n v="56.5"/>
    <n v="56.5"/>
    <n v="55.7"/>
    <n v="52.5"/>
    <n v="51.1"/>
    <n v="45.1"/>
    <n v="53.1"/>
    <n v="47.1"/>
    <n v="46.2"/>
    <n v="47.8"/>
    <n v="53.5"/>
    <n v="45.5"/>
    <n v="65"/>
    <n v="0.5"/>
    <n v="1677"/>
    <n v="3354"/>
    <n v="170.7"/>
    <n v="20"/>
    <n v="19"/>
    <n v="130.5"/>
    <n v="30.85"/>
    <n v="76.360153256704976"/>
    <n v="12.87"/>
    <n v="1.45"/>
    <n v="26.93"/>
    <n v="1.33"/>
    <n v="42.58"/>
    <n v="2.2410526315789472"/>
    <n v="8.9842105263157883"/>
    <n v="0.2363984674329502"/>
    <n v="396.44022988505748"/>
    <n v="792.88045977011495"/>
    <n v="0.30225457961484264"/>
    <n v="3.4053546265852511E-2"/>
    <n v="0.63245655237200571"/>
    <n v="3.1235321747299205E-2"/>
    <n v="239.65175005263924"/>
    <n v="27.00039142007202"/>
    <n v="501.46244202933769"/>
    <n v="24.765876268066066"/>
    <n v="44.325000000000003"/>
    <n v="49.674999999999997"/>
    <n v="55.3"/>
    <n v="49.1"/>
    <n v="48.25"/>
  </r>
  <r>
    <x v="0"/>
    <x v="3"/>
    <n v="1"/>
    <x v="3"/>
    <n v="2"/>
    <n v="402"/>
    <n v="4"/>
    <d v="2025-09-30T00:00:00"/>
    <n v="0.7"/>
    <n v="0.59050000000000002"/>
    <n v="0.379"/>
    <n v="0.23949999999999999"/>
    <n v="0.14949999999999999"/>
    <n v="0.40949999999999998"/>
    <n v="0.621"/>
    <n v="0.76049999999999995"/>
    <n v="0.85050000000000003"/>
    <n v="60.3"/>
    <n v="49.9"/>
    <n v="45.6"/>
    <n v="47.8"/>
    <n v="57.2"/>
    <n v="57.9"/>
    <n v="57.6"/>
    <n v="55.9"/>
    <n v="59"/>
    <n v="63"/>
    <n v="58.9"/>
    <n v="61.5"/>
    <n v="55.7"/>
    <n v="59.3"/>
    <n v="54.7"/>
    <n v="53.6"/>
    <n v="51.6"/>
    <n v="44.3"/>
    <n v="50.7"/>
    <n v="48.6"/>
    <n v="54"/>
    <n v="0.5"/>
    <n v="1351"/>
    <n v="2702"/>
    <n v="88.8"/>
    <n v="20"/>
    <n v="17"/>
    <n v="49.1"/>
    <n v="13.26"/>
    <n v="72.993890020366607"/>
    <n v="7.2"/>
    <n v="0.89"/>
    <n v="14.66"/>
    <n v="1.25"/>
    <n v="24"/>
    <n v="1.411764705882353"/>
    <n v="5.223529411764706"/>
    <n v="0.27006109979633403"/>
    <n v="364.85254582484725"/>
    <n v="729.70509164969451"/>
    <n v="0.3"/>
    <n v="3.7083333333333336E-2"/>
    <n v="0.61083333333333334"/>
    <n v="5.2083333333333336E-2"/>
    <n v="218.91152749490834"/>
    <n v="27.059897148676175"/>
    <n v="445.72819348268843"/>
    <n v="38.005473523421593"/>
    <n v="50.899999999999991"/>
    <n v="57.15"/>
    <n v="60.6"/>
    <n v="55.824999999999996"/>
    <n v="48.800000000000004"/>
  </r>
  <r>
    <x v="1"/>
    <x v="0"/>
    <n v="1"/>
    <x v="3"/>
    <n v="4"/>
    <n v="404"/>
    <n v="5"/>
    <d v="2025-09-22T00:00:00"/>
    <n v="0.79"/>
    <n v="0.41299999999999998"/>
    <n v="0.22700000000000001"/>
    <n v="0.14799999999999999"/>
    <n v="0.107"/>
    <n v="0.58699999999999997"/>
    <n v="0.77300000000000002"/>
    <n v="0.85199999999999998"/>
    <n v="0.89300000000000002"/>
    <n v="40"/>
    <n v="54.2"/>
    <n v="14.7"/>
    <n v="45.2"/>
    <n v="42.6"/>
    <n v="51"/>
    <n v="49.9"/>
    <n v="53.3"/>
    <n v="51.8"/>
    <n v="52.1"/>
    <n v="54.4"/>
    <n v="51.9"/>
    <n v="54.7"/>
    <n v="52.3"/>
    <n v="55.1"/>
    <n v="54.4"/>
    <n v="49.6"/>
    <n v="49.9"/>
    <n v="50.8"/>
    <n v="48.5"/>
    <n v="48"/>
    <n v="0.5"/>
    <n v="1424"/>
    <n v="2848"/>
    <n v="104.2"/>
    <n v="20"/>
    <n v="19"/>
    <n v="63.6"/>
    <n v="15.13"/>
    <n v="76.210691823899367"/>
    <n v="8.68"/>
    <n v="0.67"/>
    <n v="12.86"/>
    <n v="1.9"/>
    <n v="24.11"/>
    <n v="1.2689473684210526"/>
    <n v="5.4842105263157892"/>
    <n v="0.23789308176100629"/>
    <n v="338.75974842767295"/>
    <n v="677.51949685534589"/>
    <n v="0.36001659062629615"/>
    <n v="2.7789299046038992E-2"/>
    <n v="0.53338863542098713"/>
    <n v="7.8805474906677719E-2"/>
    <n v="243.91825934070519"/>
    <n v="18.827791907635081"/>
    <n v="361.38119989878675"/>
    <n v="53.392245708218873"/>
    <n v="38.525000000000006"/>
    <n v="49.2"/>
    <n v="52.550000000000004"/>
    <n v="54.125"/>
    <n v="49.7"/>
  </r>
  <r>
    <x v="1"/>
    <x v="4"/>
    <n v="1"/>
    <x v="2"/>
    <n v="4"/>
    <n v="304"/>
    <n v="6"/>
    <d v="2025-09-25T00:00:00"/>
    <n v="0.78"/>
    <n v="0.75"/>
    <n v="0.35"/>
    <n v="0.16200000000000001"/>
    <n v="0.13350000000000001"/>
    <n v="0.25"/>
    <n v="0.65"/>
    <n v="0.83799999999999997"/>
    <n v="0.86650000000000005"/>
    <n v="18.399999999999999"/>
    <n v="43.8"/>
    <n v="52"/>
    <n v="35.6"/>
    <n v="45.2"/>
    <n v="54.4"/>
    <n v="47.7"/>
    <n v="47.3"/>
    <n v="52.3"/>
    <n v="51.2"/>
    <n v="55.9"/>
    <n v="51"/>
    <n v="53.9"/>
    <n v="52.6"/>
    <n v="57.8"/>
    <n v="50.3"/>
    <n v="50"/>
    <n v="44.4"/>
    <n v="49.4"/>
    <n v="48.2"/>
    <n v="54"/>
    <n v="0.5"/>
    <n v="1127"/>
    <n v="2254"/>
    <n v="113.1"/>
    <n v="20"/>
    <n v="19"/>
    <n v="98.6"/>
    <n v="24.82"/>
    <n v="74.827586206896555"/>
    <n v="10.3"/>
    <n v="0.08"/>
    <n v="16.25"/>
    <n v="1.03"/>
    <n v="27.660000000000004"/>
    <n v="1.4557894736842107"/>
    <n v="5.9526315789473685"/>
    <n v="0.25172413793103449"/>
    <n v="283.69310344827585"/>
    <n v="567.3862068965517"/>
    <n v="0.37237888647866951"/>
    <n v="2.892263195950831E-3"/>
    <n v="0.58749096167751258"/>
    <n v="3.7237888647866951E-2"/>
    <n v="211.28264392749392"/>
    <n v="1.6410302440970401"/>
    <n v="333.33426833221125"/>
    <n v="21.12826439274939"/>
    <n v="37.449999999999996"/>
    <n v="48.650000000000006"/>
    <n v="52.6"/>
    <n v="53.650000000000006"/>
    <n v="48"/>
  </r>
  <r>
    <x v="1"/>
    <x v="1"/>
    <n v="1"/>
    <x v="1"/>
    <n v="4"/>
    <n v="204"/>
    <n v="7"/>
    <d v="2025-09-22T00:00:00"/>
    <n v="0.8"/>
    <n v="0.34200000000000003"/>
    <n v="0.24"/>
    <n v="0.14199999999999999"/>
    <n v="8.2000000000000003E-2"/>
    <n v="0.65799999999999992"/>
    <n v="0.76"/>
    <n v="0.85799999999999998"/>
    <n v="0.91800000000000004"/>
    <n v="16.5"/>
    <n v="51"/>
    <n v="28.5"/>
    <n v="42.7"/>
    <n v="50.6"/>
    <n v="57"/>
    <n v="57.4"/>
    <n v="55.5"/>
    <n v="43.9"/>
    <n v="54.6"/>
    <n v="58.6"/>
    <n v="51.4"/>
    <n v="54.8"/>
    <n v="59.9"/>
    <n v="52.9"/>
    <n v="55.2"/>
    <n v="52.7"/>
    <n v="51"/>
    <n v="51.3"/>
    <n v="56.8"/>
    <n v="59"/>
    <n v="0.5"/>
    <n v="1358"/>
    <n v="2716"/>
    <n v="119.6"/>
    <n v="20"/>
    <n v="16"/>
    <n v="89.9"/>
    <n v="19.920000000000002"/>
    <n v="77.842046718576185"/>
    <n v="9.01"/>
    <n v="0.44"/>
    <n v="15.44"/>
    <n v="1.35"/>
    <n v="26.240000000000002"/>
    <n v="1.6400000000000001"/>
    <n v="7.4749999999999996"/>
    <n v="0.22157953281423803"/>
    <n v="300.90500556173527"/>
    <n v="601.81001112347053"/>
    <n v="0.34336890243902435"/>
    <n v="1.6768292682926827E-2"/>
    <n v="0.58841463414634143"/>
    <n v="5.1448170731707314E-2"/>
    <n v="206.64284299628312"/>
    <n v="10.091326406033803"/>
    <n v="354.11381752082258"/>
    <n v="30.96202420033099"/>
    <n v="34.674999999999997"/>
    <n v="55.125"/>
    <n v="52.125"/>
    <n v="55.7"/>
    <n v="52.95"/>
  </r>
  <r>
    <x v="1"/>
    <x v="5"/>
    <n v="1"/>
    <x v="0"/>
    <n v="4"/>
    <n v="104"/>
    <n v="8"/>
    <d v="2025-09-22T00:00:00"/>
    <n v="0.77"/>
    <n v="0.53200000000000003"/>
    <n v="0.307"/>
    <n v="0.17599999999999999"/>
    <n v="6.7000000000000004E-2"/>
    <n v="0.46799999999999997"/>
    <n v="0.69300000000000006"/>
    <n v="0.82400000000000007"/>
    <n v="0.93300000000000005"/>
    <n v="45.6"/>
    <n v="50.6"/>
    <n v="46.4"/>
    <n v="42.1"/>
    <n v="46.3"/>
    <n v="54.8"/>
    <n v="49.4"/>
    <n v="45.3"/>
    <n v="52"/>
    <n v="54.1"/>
    <n v="52.2"/>
    <n v="48.8"/>
    <n v="50.8"/>
    <n v="54.6"/>
    <n v="55.3"/>
    <n v="53.8"/>
    <n v="45.7"/>
    <n v="47"/>
    <n v="42.6"/>
    <n v="45.6"/>
    <n v="58"/>
    <n v="0.5"/>
    <n v="1409"/>
    <n v="2818"/>
    <n v="179.7"/>
    <n v="20"/>
    <n v="19"/>
    <n v="77.900000000000006"/>
    <n v="19.559999999999999"/>
    <n v="74.890885750962767"/>
    <n v="13.15"/>
    <n v="0.23"/>
    <n v="27.16"/>
    <n v="1.94"/>
    <n v="42.48"/>
    <n v="2.2357894736842105"/>
    <n v="9.4578947368421051"/>
    <n v="0.25109114249037223"/>
    <n v="353.78741976893446"/>
    <n v="707.57483953786891"/>
    <n v="0.30955743879472697"/>
    <n v="5.4143126177024492E-3"/>
    <n v="0.63935969868173259"/>
    <n v="4.5668549905838046E-2"/>
    <n v="219.03505508293262"/>
    <n v="3.8310313816786694"/>
    <n v="452.39483620170716"/>
    <n v="32.313916871550511"/>
    <n v="46.174999999999997"/>
    <n v="48.95"/>
    <n v="51.775000000000006"/>
    <n v="53.625"/>
    <n v="45.225000000000001"/>
  </r>
  <r>
    <x v="0"/>
    <x v="2"/>
    <n v="2"/>
    <x v="0"/>
    <n v="6"/>
    <n v="106"/>
    <n v="9"/>
    <d v="2025-09-15T00:00:00"/>
    <n v="0.83"/>
    <n v="0.152"/>
    <n v="5.2999999999999999E-2"/>
    <n v="3.9E-2"/>
    <n v="3.5000000000000003E-2"/>
    <n v="0.84799999999999998"/>
    <n v="0.94699999999999995"/>
    <n v="0.96099999999999997"/>
    <n v="0.96499999999999997"/>
    <n v="50.2"/>
    <n v="37"/>
    <n v="40.299999999999997"/>
    <n v="44.1"/>
    <n v="51"/>
    <n v="52.2"/>
    <n v="41.7"/>
    <n v="52.8"/>
    <n v="51.2"/>
    <n v="56.9"/>
    <n v="56.6"/>
    <n v="52.6"/>
    <n v="54.2"/>
    <n v="56.1"/>
    <n v="54.2"/>
    <n v="50.9"/>
    <n v="47.1"/>
    <n v="53.9"/>
    <n v="52.6"/>
    <n v="48.3"/>
    <n v="65"/>
    <n v="0.5"/>
    <n v="1743"/>
    <n v="3486"/>
    <n v="172.1"/>
    <n v="20"/>
    <n v="20"/>
    <n v="112.3"/>
    <n v="26.95"/>
    <n v="76.001780943900272"/>
    <n v="13.34"/>
    <n v="3.21"/>
    <n v="24.58"/>
    <n v="1.69"/>
    <n v="42.819999999999993"/>
    <n v="2.1409999999999996"/>
    <n v="8.6050000000000004"/>
    <n v="0.23998219056099732"/>
    <n v="418.28895814781833"/>
    <n v="836.57791629563667"/>
    <n v="0.31153666510976186"/>
    <n v="7.4964969640354984E-2"/>
    <n v="0.57403082671648764"/>
    <n v="3.9467538533395616E-2"/>
    <n v="260.62469414721613"/>
    <n v="62.714038096893837"/>
    <n v="480.22151290394089"/>
    <n v="33.017671147585851"/>
    <n v="42.9"/>
    <n v="49.424999999999997"/>
    <n v="54.324999999999996"/>
    <n v="53.85"/>
    <n v="50.474999999999994"/>
  </r>
  <r>
    <x v="0"/>
    <x v="3"/>
    <n v="2"/>
    <x v="1"/>
    <n v="6"/>
    <n v="206"/>
    <n v="10"/>
    <d v="2025-09-30T00:00:00"/>
    <n v="0.82"/>
    <n v="0.58850000000000002"/>
    <n v="0.159"/>
    <n v="7.9000000000000001E-2"/>
    <n v="6.25E-2"/>
    <n v="0.41149999999999998"/>
    <n v="0.84099999999999997"/>
    <n v="0.92100000000000004"/>
    <n v="0.9375"/>
    <n v="40.5"/>
    <n v="14.1"/>
    <n v="47.1"/>
    <n v="52.9"/>
    <n v="53.4"/>
    <n v="36.4"/>
    <n v="56.2"/>
    <n v="58.3"/>
    <n v="56"/>
    <n v="63.7"/>
    <n v="63.2"/>
    <n v="57.1"/>
    <n v="57.1"/>
    <n v="55.7"/>
    <n v="54.3"/>
    <n v="48.5"/>
    <n v="52.9"/>
    <n v="57.2"/>
    <n v="51.5"/>
    <n v="48.7"/>
    <n v="62"/>
    <n v="0.5"/>
    <n v="1703"/>
    <n v="3406"/>
    <n v="94.8"/>
    <n v="20"/>
    <n v="20"/>
    <n v="69.5"/>
    <n v="20.399999999999999"/>
    <n v="70.647482014388487"/>
    <n v="7.7"/>
    <n v="1.35"/>
    <n v="15.82"/>
    <n v="1.35"/>
    <n v="26.220000000000002"/>
    <n v="1.3110000000000002"/>
    <n v="4.74"/>
    <n v="0.29352517985611509"/>
    <n v="499.87338129496402"/>
    <n v="999.74676258992804"/>
    <n v="0.29366895499618612"/>
    <n v="5.1487414187643021E-2"/>
    <n v="0.60335621662852779"/>
    <n v="5.1487414187643021E-2"/>
    <n v="293.59458703060432"/>
    <n v="51.474375648222839"/>
    <n v="603.203424262878"/>
    <n v="51.474375648222839"/>
    <n v="38.65"/>
    <n v="51.075000000000003"/>
    <n v="60"/>
    <n v="53.900000000000006"/>
    <n v="52.575000000000003"/>
  </r>
  <r>
    <x v="0"/>
    <x v="1"/>
    <n v="2"/>
    <x v="2"/>
    <n v="6"/>
    <n v="306"/>
    <n v="11"/>
    <d v="2025-09-12T00:00:00"/>
    <n v="0.6"/>
    <n v="0.51300000000000001"/>
    <n v="0.29499999999999998"/>
    <n v="0.182"/>
    <n v="0.17699999999999999"/>
    <n v="0.48699999999999999"/>
    <n v="0.70500000000000007"/>
    <n v="0.81800000000000006"/>
    <n v="0.82299999999999995"/>
    <n v="44"/>
    <n v="38.200000000000003"/>
    <n v="44.2"/>
    <n v="42.9"/>
    <n v="48.8"/>
    <n v="38.4"/>
    <n v="44.6"/>
    <n v="44.9"/>
    <n v="50.4"/>
    <n v="47.2"/>
    <n v="55.3"/>
    <n v="40.799999999999997"/>
    <n v="53.4"/>
    <n v="44.3"/>
    <n v="46.2"/>
    <n v="48.2"/>
    <n v="49.8"/>
    <n v="49.8"/>
    <n v="51.7"/>
    <n v="44.8"/>
    <n v="59"/>
    <n v="0.5"/>
    <n v="1135"/>
    <n v="2270"/>
    <n v="108.4"/>
    <n v="20"/>
    <n v="18"/>
    <n v="98.4"/>
    <n v="20.04"/>
    <n v="79.634146341463435"/>
    <n v="8.31"/>
    <n v="0.48"/>
    <n v="13.27"/>
    <n v="0.27"/>
    <n v="22.330000000000002"/>
    <n v="1.2405555555555556"/>
    <n v="6.0222222222222221"/>
    <n v="0.20365853658536584"/>
    <n v="231.15243902439022"/>
    <n v="462.30487804878044"/>
    <n v="0.37214509628302733"/>
    <n v="2.1495745633676667E-2"/>
    <n v="0.59426780116435285"/>
    <n v="1.2091356918943126E-2"/>
    <n v="172.0444933535766"/>
    <n v="9.9375880637444958"/>
    <n v="274.73290334560306"/>
    <n v="5.5898932858562791"/>
    <n v="42.325000000000003"/>
    <n v="44.174999999999997"/>
    <n v="48.424999999999997"/>
    <n v="48.024999999999991"/>
    <n v="49.025000000000006"/>
  </r>
  <r>
    <x v="0"/>
    <x v="0"/>
    <n v="2"/>
    <x v="3"/>
    <n v="6"/>
    <n v="406"/>
    <n v="12"/>
    <d v="2025-09-09T00:00:00"/>
    <n v="0.78"/>
    <n v="0.45100000000000001"/>
    <n v="0.22"/>
    <n v="9.9000000000000005E-2"/>
    <n v="2.7E-2"/>
    <n v="0.54899999999999993"/>
    <n v="0.78"/>
    <n v="0.90100000000000002"/>
    <n v="0.97299999999999998"/>
    <n v="43.6"/>
    <n v="39.799999999999997"/>
    <n v="46.4"/>
    <n v="48.8"/>
    <n v="47.1"/>
    <n v="50.3"/>
    <n v="53.7"/>
    <n v="50.6"/>
    <n v="48.3"/>
    <n v="48.3"/>
    <n v="53.7"/>
    <n v="50.1"/>
    <n v="51.9"/>
    <n v="42.1"/>
    <n v="40.9"/>
    <n v="48.9"/>
    <n v="50.4"/>
    <n v="47.5"/>
    <n v="47.5"/>
    <n v="49.1"/>
    <n v="54"/>
    <n v="0.5"/>
    <n v="1526"/>
    <n v="3052"/>
    <n v="106.8"/>
    <n v="20"/>
    <n v="18"/>
    <n v="114.1"/>
    <n v="26.97"/>
    <n v="76.362839614373357"/>
    <n v="9.94"/>
    <n v="1.35"/>
    <n v="13.76"/>
    <n v="0.89"/>
    <n v="25.939999999999998"/>
    <n v="1.441111111111111"/>
    <n v="5.9333333333333336"/>
    <n v="0.23637160385626643"/>
    <n v="360.7030674846626"/>
    <n v="721.40613496932519"/>
    <n v="0.38319198149575945"/>
    <n v="5.2043176561295305E-2"/>
    <n v="0.53045489591364692"/>
    <n v="3.4309946029298384E-2"/>
    <n v="276.43704632209301"/>
    <n v="37.544266854610221"/>
    <n v="382.67341623661974"/>
    <n v="24.751405556002293"/>
    <n v="44.650000000000006"/>
    <n v="50.425000000000004"/>
    <n v="50.1"/>
    <n v="45.95"/>
    <n v="48.625"/>
  </r>
  <r>
    <x v="1"/>
    <x v="5"/>
    <n v="2"/>
    <x v="3"/>
    <n v="8"/>
    <n v="408"/>
    <n v="13"/>
    <d v="2025-09-22T00:00:00"/>
    <n v="0.84"/>
    <n v="0.35399999999999998"/>
    <n v="0.157"/>
    <n v="0.14899999999999999"/>
    <n v="0.1"/>
    <n v="0.64600000000000002"/>
    <n v="0.84299999999999997"/>
    <n v="0.85099999999999998"/>
    <n v="0.9"/>
    <n v="35.5"/>
    <n v="33.9"/>
    <n v="43.2"/>
    <n v="50.5"/>
    <n v="43.1"/>
    <n v="39.6"/>
    <n v="50.3"/>
    <n v="56.8"/>
    <n v="54.3"/>
    <n v="45.7"/>
    <n v="52.6"/>
    <n v="55.4"/>
    <n v="50.3"/>
    <n v="49.5"/>
    <n v="58"/>
    <n v="62.4"/>
    <n v="48.5"/>
    <n v="47.5"/>
    <n v="46.4"/>
    <n v="53.3"/>
    <n v="64"/>
    <n v="0.5"/>
    <n v="1757"/>
    <n v="3514"/>
    <n v="147.1"/>
    <n v="20"/>
    <n v="18"/>
    <n v="78.099999999999994"/>
    <n v="18.05"/>
    <n v="76.888604353393092"/>
    <n v="11.2"/>
    <n v="0.14000000000000001"/>
    <n v="19.03"/>
    <n v="1.5"/>
    <n v="31.87"/>
    <n v="1.7705555555555557"/>
    <n v="8.1722222222222225"/>
    <n v="0.23111395646606916"/>
    <n v="406.06722151088354"/>
    <n v="812.13444302176708"/>
    <n v="0.35142767492940064"/>
    <n v="4.3928459366175086E-3"/>
    <n v="0.59711327267022285"/>
    <n v="4.7066206463759017E-2"/>
    <n v="285.40651904122342"/>
    <n v="3.5675814880152932"/>
    <n v="484.93625512093598"/>
    <n v="38.224087371592425"/>
    <n v="40.775000000000006"/>
    <n v="47.45"/>
    <n v="52"/>
    <n v="55.050000000000004"/>
    <n v="48.924999999999997"/>
  </r>
  <r>
    <x v="1"/>
    <x v="1"/>
    <n v="2"/>
    <x v="2"/>
    <n v="8"/>
    <n v="308"/>
    <n v="14"/>
    <d v="2025-09-22T00:00:00"/>
    <n v="0.67"/>
    <n v="0.43099999999999999"/>
    <n v="0.374"/>
    <n v="0.22800000000000001"/>
    <n v="0.20599999999999999"/>
    <n v="0.56899999999999995"/>
    <n v="0.626"/>
    <n v="0.77200000000000002"/>
    <n v="0.79400000000000004"/>
    <n v="46.7"/>
    <n v="37.9"/>
    <n v="45.2"/>
    <n v="41.8"/>
    <n v="48.1"/>
    <n v="42.4"/>
    <n v="53.9"/>
    <n v="46.3"/>
    <n v="50.9"/>
    <n v="50.5"/>
    <n v="52.4"/>
    <n v="54.3"/>
    <n v="52.1"/>
    <n v="51.2"/>
    <n v="53.5"/>
    <n v="49.7"/>
    <n v="48.1"/>
    <n v="55.3"/>
    <n v="53.8"/>
    <n v="48.1"/>
    <n v="50"/>
    <n v="0.5"/>
    <n v="1106"/>
    <n v="2212"/>
    <n v="130"/>
    <n v="20"/>
    <n v="17"/>
    <n v="73.900000000000006"/>
    <n v="16.57"/>
    <n v="77.577807848443854"/>
    <n v="9.31"/>
    <n v="0.77"/>
    <n v="17.899999999999999"/>
    <n v="1.1200000000000001"/>
    <n v="29.099999999999998"/>
    <n v="1.7117647058823529"/>
    <n v="7.6470588235294121"/>
    <n v="0.22422192151556156"/>
    <n v="247.98944519621108"/>
    <n v="495.97889039242216"/>
    <n v="0.31993127147766326"/>
    <n v="2.6460481099656361E-2"/>
    <n v="0.61512027491408938"/>
    <n v="3.8487972508591074E-2"/>
    <n v="158.67915702932819"/>
    <n v="13.123840055057221"/>
    <n v="305.08667140977172"/>
    <n v="19.089221898265048"/>
    <n v="42.900000000000006"/>
    <n v="47.674999999999997"/>
    <n v="52.025000000000006"/>
    <n v="51.625"/>
    <n v="51.324999999999996"/>
  </r>
  <r>
    <x v="1"/>
    <x v="0"/>
    <n v="2"/>
    <x v="1"/>
    <n v="8"/>
    <n v="208"/>
    <n v="15"/>
    <d v="2025-09-22T00:00:00"/>
    <n v="0.77"/>
    <n v="0.48899999999999999"/>
    <n v="0.22800000000000001"/>
    <n v="0.189"/>
    <n v="0.114"/>
    <n v="0.51100000000000001"/>
    <n v="0.77200000000000002"/>
    <n v="0.81099999999999994"/>
    <n v="0.88600000000000001"/>
    <n v="36"/>
    <n v="41"/>
    <n v="27"/>
    <n v="46.1"/>
    <n v="46.8"/>
    <n v="47.6"/>
    <n v="50"/>
    <n v="52.1"/>
    <n v="52"/>
    <n v="47.6"/>
    <n v="49.7"/>
    <n v="50.5"/>
    <n v="50.6"/>
    <n v="53.1"/>
    <n v="52.5"/>
    <n v="51.3"/>
    <n v="51"/>
    <n v="47.9"/>
    <n v="48.6"/>
    <n v="51.6"/>
    <n v="52"/>
    <n v="0.5"/>
    <n v="1479"/>
    <n v="2958"/>
    <n v="125.3"/>
    <n v="20"/>
    <n v="20"/>
    <n v="79.2"/>
    <n v="18.5"/>
    <n v="76.641414141414145"/>
    <n v="9.76"/>
    <n v="0.7"/>
    <n v="15.07"/>
    <n v="2.82"/>
    <n v="28.35"/>
    <n v="1.4175"/>
    <n v="6.2649999999999997"/>
    <n v="0.23358585858585859"/>
    <n v="345.47348484848487"/>
    <n v="690.94696969696975"/>
    <n v="0.34426807760141093"/>
    <n v="2.4691358024691357E-2"/>
    <n v="0.53156966490299817"/>
    <n v="9.947089947089946E-2"/>
    <n v="237.8709849820961"/>
    <n v="17.060419004863448"/>
    <n v="367.28644914756023"/>
    <n v="68.729116562449889"/>
    <n v="37.524999999999999"/>
    <n v="49.125"/>
    <n v="49.95"/>
    <n v="51.875"/>
    <n v="49.774999999999999"/>
  </r>
  <r>
    <x v="1"/>
    <x v="4"/>
    <n v="2"/>
    <x v="0"/>
    <n v="8"/>
    <n v="108"/>
    <n v="16"/>
    <d v="2025-09-25T00:00:00"/>
    <n v="0.72"/>
    <n v="0.68700000000000006"/>
    <n v="0.436"/>
    <n v="0.22799999999999998"/>
    <n v="0.14549999999999999"/>
    <n v="0.31299999999999994"/>
    <n v="0.56400000000000006"/>
    <n v="0.77200000000000002"/>
    <n v="0.85450000000000004"/>
    <n v="52.7"/>
    <n v="33.200000000000003"/>
    <n v="48.5"/>
    <n v="56.6"/>
    <n v="57.9"/>
    <n v="44.2"/>
    <n v="42.6"/>
    <n v="54.6"/>
    <n v="52.9"/>
    <n v="43.2"/>
    <n v="50.7"/>
    <n v="54.3"/>
    <n v="51.3"/>
    <n v="50.3"/>
    <n v="50.1"/>
    <n v="49.6"/>
    <n v="45"/>
    <n v="44.1"/>
    <n v="50.7"/>
    <n v="43.2"/>
    <n v="61"/>
    <n v="0.5"/>
    <n v="1213"/>
    <n v="2426"/>
    <n v="135.9"/>
    <n v="20"/>
    <n v="19"/>
    <n v="98.7"/>
    <n v="24.75"/>
    <n v="74.924012158054708"/>
    <n v="11.34"/>
    <n v="0"/>
    <n v="18.13"/>
    <n v="0.84"/>
    <n v="30.31"/>
    <n v="1.5952631578947367"/>
    <n v="7.1526315789473687"/>
    <n v="0.25075987841945285"/>
    <n v="304.17173252279633"/>
    <n v="608.34346504559267"/>
    <n v="0.37413394919168591"/>
    <n v="0"/>
    <n v="0.59815242494226328"/>
    <n v="2.771362586605081E-2"/>
    <n v="227.60194304246193"/>
    <n v="0"/>
    <n v="363.88211881480021"/>
    <n v="16.859403188330514"/>
    <n v="47.75"/>
    <n v="49.824999999999996"/>
    <n v="50.275000000000006"/>
    <n v="50.324999999999996"/>
    <n v="45.75"/>
  </r>
  <r>
    <x v="0"/>
    <x v="3"/>
    <n v="3"/>
    <x v="0"/>
    <n v="10"/>
    <n v="110"/>
    <n v="17"/>
    <d v="2025-09-30T00:00:00"/>
    <n v="0.77"/>
    <n v="0.67799999999999994"/>
    <n v="0.28349999999999997"/>
    <n v="0.14400000000000002"/>
    <n v="8.5499999999999993E-2"/>
    <n v="0.32200000000000006"/>
    <n v="0.71650000000000003"/>
    <n v="0.85599999999999998"/>
    <n v="0.91449999999999998"/>
    <n v="56.4"/>
    <n v="47.5"/>
    <n v="27.2"/>
    <n v="54.3"/>
    <n v="56.1"/>
    <n v="52.1"/>
    <n v="49.6"/>
    <n v="60"/>
    <n v="53.7"/>
    <n v="57"/>
    <n v="56.2"/>
    <n v="55.4"/>
    <n v="56"/>
    <n v="52"/>
    <n v="59.4"/>
    <n v="57.4"/>
    <n v="52.5"/>
    <n v="49.8"/>
    <n v="52.3"/>
    <n v="52.5"/>
    <n v="68"/>
    <n v="0.5"/>
    <n v="1791"/>
    <n v="3582"/>
    <n v="144.5"/>
    <n v="20"/>
    <n v="20"/>
    <n v="83.1"/>
    <n v="20.48"/>
    <n v="75.354993983152823"/>
    <n v="9.0399999999999991"/>
    <n v="0.72"/>
    <n v="21.62"/>
    <n v="2.56"/>
    <n v="33.940000000000005"/>
    <n v="1.6970000000000003"/>
    <n v="7.2249999999999996"/>
    <n v="0.24645006016847174"/>
    <n v="441.39205776173287"/>
    <n v="882.78411552346574"/>
    <n v="0.26635238656452559"/>
    <n v="2.1213906894519737E-2"/>
    <n v="0.63700648202710664"/>
    <n v="7.5427224513847951E-2"/>
    <n v="235.13165599092898"/>
    <n v="18.727300034675757"/>
    <n v="562.33920381901385"/>
    <n v="66.585955678847142"/>
    <n v="46.349999999999994"/>
    <n v="54.45"/>
    <n v="55.575000000000003"/>
    <n v="56.2"/>
    <n v="51.774999999999999"/>
  </r>
  <r>
    <x v="0"/>
    <x v="2"/>
    <n v="3"/>
    <x v="1"/>
    <n v="10"/>
    <n v="210"/>
    <n v="18"/>
    <d v="2025-09-15T00:00:00"/>
    <n v="0.86"/>
    <n v="0.16900000000000001"/>
    <n v="8.7999999999999995E-2"/>
    <n v="4.4999999999999998E-2"/>
    <n v="1.0999999999999999E-2"/>
    <n v="0.83099999999999996"/>
    <n v="0.91200000000000003"/>
    <n v="0.95499999999999996"/>
    <n v="0.98899999999999999"/>
    <n v="26.1"/>
    <n v="43.4"/>
    <n v="11.3"/>
    <n v="44.1"/>
    <n v="52.2"/>
    <n v="53.4"/>
    <n v="40.4"/>
    <n v="48.1"/>
    <n v="47.1"/>
    <n v="49.8"/>
    <n v="56.2"/>
    <n v="52.8"/>
    <n v="53.4"/>
    <n v="51"/>
    <n v="49.1"/>
    <n v="51.7"/>
    <n v="48.5"/>
    <n v="48.5"/>
    <n v="46.6"/>
    <n v="47.6"/>
    <n v="63"/>
    <n v="0.5"/>
    <n v="1811"/>
    <n v="3622"/>
    <n v="138.80000000000001"/>
    <n v="20"/>
    <n v="20"/>
    <n v="106.1"/>
    <n v="23.81"/>
    <n v="77.558906691800189"/>
    <n v="11.41"/>
    <n v="1.98"/>
    <n v="18.91"/>
    <n v="1.1399999999999999"/>
    <n v="33.44"/>
    <n v="1.6719999999999999"/>
    <n v="6.94"/>
    <n v="0.22441093308199811"/>
    <n v="406.40819981149855"/>
    <n v="812.8163996229971"/>
    <n v="0.3412081339712919"/>
    <n v="5.9210526315789477E-2"/>
    <n v="0.56549043062200965"/>
    <n v="3.4090909090909088E-2"/>
    <n v="277.33956697662671"/>
    <n v="48.127286819782725"/>
    <n v="459.6398958394401"/>
    <n v="27.709649987147625"/>
    <n v="31.225000000000001"/>
    <n v="48.524999999999999"/>
    <n v="51.475000000000009"/>
    <n v="51.3"/>
    <n v="47.8"/>
  </r>
  <r>
    <x v="0"/>
    <x v="0"/>
    <n v="3"/>
    <x v="2"/>
    <n v="10"/>
    <n v="310"/>
    <n v="19"/>
    <d v="2025-09-09T00:00:00"/>
    <n v="0.69"/>
    <n v="0.41199999999999998"/>
    <n v="0.28899999999999998"/>
    <n v="0.183"/>
    <n v="0.107"/>
    <n v="0.58800000000000008"/>
    <n v="0.71100000000000008"/>
    <n v="0.81699999999999995"/>
    <n v="0.89300000000000002"/>
    <n v="43.8"/>
    <n v="48.2"/>
    <n v="40.700000000000003"/>
    <n v="44"/>
    <n v="48"/>
    <n v="45.2"/>
    <n v="49.9"/>
    <n v="51.5"/>
    <n v="52.5"/>
    <n v="50.7"/>
    <n v="50"/>
    <n v="51.9"/>
    <n v="51.5"/>
    <n v="47.3"/>
    <n v="45.3"/>
    <n v="55.3"/>
    <n v="48"/>
    <n v="44.1"/>
    <n v="44.2"/>
    <n v="49.9"/>
    <n v="52"/>
    <n v="0.5"/>
    <n v="1224"/>
    <n v="2448"/>
    <n v="100.6"/>
    <n v="20"/>
    <n v="19"/>
    <n v="128.19999999999999"/>
    <n v="29.43"/>
    <n v="77.043681747269886"/>
    <n v="9"/>
    <n v="0.83"/>
    <n v="13.49"/>
    <n v="0.4"/>
    <n v="23.72"/>
    <n v="1.2484210526315789"/>
    <n v="5.2947368421052632"/>
    <n v="0.22956318252730112"/>
    <n v="280.98533541341658"/>
    <n v="561.97067082683316"/>
    <n v="0.37942664418212479"/>
    <n v="3.499156829679595E-2"/>
    <n v="0.56871838111298489"/>
    <n v="1.6863406408094438E-2"/>
    <n v="213.22664576060279"/>
    <n v="19.664235109033367"/>
    <n v="319.6030501456147"/>
    <n v="9.4767398115823482"/>
    <n v="44.174999999999997"/>
    <n v="48.65"/>
    <n v="51.274999999999999"/>
    <n v="49.849999999999994"/>
    <n v="46.550000000000004"/>
  </r>
  <r>
    <x v="0"/>
    <x v="1"/>
    <n v="3"/>
    <x v="3"/>
    <n v="10"/>
    <n v="410"/>
    <n v="20"/>
    <d v="2025-09-12T00:00:00"/>
    <n v="0.74"/>
    <n v="0.41199999999999998"/>
    <n v="0.22900000000000001"/>
    <n v="0.124"/>
    <n v="6.5000000000000002E-2"/>
    <n v="0.58800000000000008"/>
    <n v="0.77100000000000002"/>
    <n v="0.876"/>
    <n v="0.93500000000000005"/>
    <n v="48.7"/>
    <n v="43.4"/>
    <n v="47.9"/>
    <n v="46.2"/>
    <n v="42.3"/>
    <n v="46.3"/>
    <n v="50"/>
    <n v="53.9"/>
    <n v="52.3"/>
    <n v="47.9"/>
    <n v="52.3"/>
    <n v="51.7"/>
    <n v="51.4"/>
    <n v="53.8"/>
    <n v="59.3"/>
    <n v="55.3"/>
    <n v="49.5"/>
    <n v="42.9"/>
    <n v="50.5"/>
    <n v="51.2"/>
    <n v="67"/>
    <n v="0.5"/>
    <n v="1527"/>
    <n v="3054"/>
    <n v="127.4"/>
    <n v="20"/>
    <n v="19"/>
    <n v="101.2"/>
    <n v="20.329999999999998"/>
    <n v="79.911067193675891"/>
    <n v="9.69"/>
    <n v="1.0900000000000001"/>
    <n v="17.97"/>
    <n v="0.84"/>
    <n v="29.59"/>
    <n v="1.5573684210526315"/>
    <n v="6.7052631578947368"/>
    <n v="0.20088932806324108"/>
    <n v="306.75800395256914"/>
    <n v="613.51600790513828"/>
    <n v="0.32747549847921592"/>
    <n v="3.6836769178776617E-2"/>
    <n v="0.60729976343359238"/>
    <n v="2.8387968908415002E-2"/>
    <n v="200.91146051371373"/>
    <n v="22.599947570686069"/>
    <n v="372.58812646351248"/>
    <n v="17.416473357225957"/>
    <n v="46.55"/>
    <n v="48.125"/>
    <n v="51.05"/>
    <n v="54.95"/>
    <n v="48.525000000000006"/>
  </r>
  <r>
    <x v="1"/>
    <x v="1"/>
    <n v="3"/>
    <x v="3"/>
    <n v="12"/>
    <n v="412"/>
    <n v="21"/>
    <d v="2025-09-22T00:00:00"/>
    <n v="0.66"/>
    <n v="0.36299999999999999"/>
    <n v="0.32200000000000001"/>
    <n v="0.19400000000000001"/>
    <n v="0.14199999999999999"/>
    <n v="0.63700000000000001"/>
    <n v="0.67799999999999994"/>
    <n v="0.80600000000000005"/>
    <n v="0.85799999999999998"/>
    <n v="1.4"/>
    <n v="38.200000000000003"/>
    <n v="19.3"/>
    <n v="44.9"/>
    <n v="48.4"/>
    <n v="48.1"/>
    <n v="50.6"/>
    <n v="54.7"/>
    <n v="53"/>
    <n v="53.4"/>
    <n v="57"/>
    <n v="52.5"/>
    <n v="56.6"/>
    <n v="53.3"/>
    <n v="56.3"/>
    <n v="52.2"/>
    <n v="48.1"/>
    <n v="50.1"/>
    <n v="52.7"/>
    <n v="51.4"/>
    <n v="55"/>
    <n v="0.5"/>
    <n v="1536"/>
    <n v="3072"/>
    <n v="102.3"/>
    <n v="20"/>
    <n v="18"/>
    <n v="65.099999999999994"/>
    <n v="13.89"/>
    <n v="78.663594470046078"/>
    <n v="7.39"/>
    <n v="0.61"/>
    <n v="13.2"/>
    <n v="0.87"/>
    <n v="22.07"/>
    <n v="1.2261111111111112"/>
    <n v="5.6833333333333336"/>
    <n v="0.2133640552995392"/>
    <n v="327.72718894009222"/>
    <n v="655.45437788018444"/>
    <n v="0.33484367920253738"/>
    <n v="2.7639329406434071E-2"/>
    <n v="0.59809696420480285"/>
    <n v="3.9420027186225642E-2"/>
    <n v="219.4747554388112"/>
    <n v="18.11631946111973"/>
    <n v="392.02527358488601"/>
    <n v="25.838029395367485"/>
    <n v="25.950000000000003"/>
    <n v="50.45"/>
    <n v="53.975000000000001"/>
    <n v="54.599999999999994"/>
    <n v="50.575000000000003"/>
  </r>
  <r>
    <x v="1"/>
    <x v="5"/>
    <n v="3"/>
    <x v="2"/>
    <n v="12"/>
    <n v="312"/>
    <n v="22"/>
    <d v="2025-09-22T00:00:00"/>
    <n v="0.79"/>
    <n v="0.48699999999999999"/>
    <n v="0.24099999999999999"/>
    <n v="0.15"/>
    <n v="0.122"/>
    <n v="0.51300000000000001"/>
    <n v="0.75900000000000001"/>
    <n v="0.85"/>
    <n v="0.878"/>
    <n v="21.7"/>
    <n v="24.8"/>
    <n v="46.2"/>
    <n v="39.1"/>
    <n v="53.2"/>
    <n v="52.2"/>
    <n v="54.5"/>
    <n v="42.5"/>
    <n v="55.8"/>
    <n v="49.7"/>
    <n v="51.8"/>
    <n v="49.8"/>
    <n v="51.9"/>
    <n v="51"/>
    <n v="55.1"/>
    <n v="54"/>
    <n v="45.5"/>
    <n v="47.2"/>
    <n v="53.7"/>
    <n v="52.6"/>
    <n v="65"/>
    <n v="0.5"/>
    <n v="1647"/>
    <n v="3294"/>
    <n v="162.6"/>
    <n v="20"/>
    <n v="20"/>
    <n v="83.2"/>
    <n v="18.7"/>
    <n v="77.524038461538453"/>
    <n v="11.65"/>
    <n v="0.72"/>
    <n v="26.74"/>
    <n v="2.61"/>
    <n v="41.72"/>
    <n v="2.0859999999999999"/>
    <n v="8.129999999999999"/>
    <n v="0.22475961538461536"/>
    <n v="370.17908653846149"/>
    <n v="740.35817307692298"/>
    <n v="0.27924256951102588"/>
    <n v="1.725790987535954E-2"/>
    <n v="0.64093959731543626"/>
    <n v="6.2559923298178333E-2"/>
    <n v="206.73951860848879"/>
    <n v="12.777034626447376"/>
    <n v="474.52486932111509"/>
    <n v="46.316750520871743"/>
    <n v="32.950000000000003"/>
    <n v="50.6"/>
    <n v="51.775000000000006"/>
    <n v="53"/>
    <n v="49.75"/>
  </r>
  <r>
    <x v="1"/>
    <x v="4"/>
    <n v="3"/>
    <x v="1"/>
    <n v="12"/>
    <n v="212"/>
    <n v="23"/>
    <d v="2025-09-25T00:00:00"/>
    <n v="0.83"/>
    <n v="0.3765"/>
    <n v="0.1895"/>
    <n v="6.7500000000000004E-2"/>
    <n v="4.2999999999999997E-2"/>
    <n v="0.62349999999999994"/>
    <n v="0.8105"/>
    <n v="0.9325"/>
    <n v="0.95699999999999996"/>
    <n v="52.2"/>
    <n v="39.700000000000003"/>
    <n v="29.8"/>
    <n v="41.9"/>
    <n v="52.7"/>
    <n v="47.3"/>
    <n v="45.9"/>
    <n v="46.4"/>
    <n v="50.3"/>
    <n v="50.5"/>
    <n v="52.6"/>
    <n v="49.8"/>
    <n v="54.1"/>
    <n v="54.5"/>
    <n v="55.5"/>
    <n v="54.8"/>
    <n v="48"/>
    <n v="51.1"/>
    <n v="49.8"/>
    <n v="47.9"/>
    <n v="68"/>
    <n v="0.5"/>
    <n v="1778"/>
    <n v="3556"/>
    <n v="137.4"/>
    <n v="20"/>
    <n v="20"/>
    <n v="82.4"/>
    <n v="19.21"/>
    <n v="76.6868932038835"/>
    <n v="10.97"/>
    <n v="0.12"/>
    <n v="17.87"/>
    <n v="1.43"/>
    <n v="30.39"/>
    <n v="1.5195000000000001"/>
    <n v="6.87"/>
    <n v="0.23313106796116503"/>
    <n v="414.5070388349514"/>
    <n v="829.0140776699028"/>
    <n v="0.36097400460677859"/>
    <n v="3.9486673247778872E-3"/>
    <n v="0.58802237578150707"/>
    <n v="4.7054952286936493E-2"/>
    <n v="299.25253149189979"/>
    <n v="3.2735008002760226"/>
    <n v="487.47882750777109"/>
    <n v="39.00921786995594"/>
    <n v="40.9"/>
    <n v="48.075000000000003"/>
    <n v="50.8"/>
    <n v="54.724999999999994"/>
    <n v="49.199999999999996"/>
  </r>
  <r>
    <x v="1"/>
    <x v="0"/>
    <n v="3"/>
    <x v="0"/>
    <n v="12"/>
    <n v="112"/>
    <n v="24"/>
    <d v="2025-09-22T00:00:00"/>
    <n v="0.75"/>
    <n v="0.438"/>
    <n v="0.35599999999999998"/>
    <n v="0.184"/>
    <n v="0.14099999999999999"/>
    <n v="0.56200000000000006"/>
    <n v="0.64400000000000002"/>
    <n v="0.81600000000000006"/>
    <n v="0.85899999999999999"/>
    <n v="36.1"/>
    <n v="7.9"/>
    <n v="37.6"/>
    <n v="54.1"/>
    <n v="53.8"/>
    <n v="52.6"/>
    <n v="49.7"/>
    <n v="52.2"/>
    <n v="55.4"/>
    <n v="51.6"/>
    <n v="51.5"/>
    <n v="48.9"/>
    <n v="53.9"/>
    <n v="53.8"/>
    <n v="55.1"/>
    <n v="53"/>
    <n v="51"/>
    <n v="53.7"/>
    <n v="50.9"/>
    <n v="46.3"/>
    <n v="49"/>
    <n v="0.5"/>
    <n v="1019"/>
    <n v="2038"/>
    <n v="96.9"/>
    <n v="20"/>
    <n v="17"/>
    <n v="77.099999999999994"/>
    <n v="18.61"/>
    <n v="75.862516212710759"/>
    <n v="9.01"/>
    <n v="0.21"/>
    <n v="12.21"/>
    <n v="1.19"/>
    <n v="22.62"/>
    <n v="1.3305882352941176"/>
    <n v="5.7"/>
    <n v="0.24137483787289235"/>
    <n v="245.9609597924773"/>
    <n v="491.92191958495459"/>
    <n v="0.39832007073386383"/>
    <n v="9.2838196286472146E-3"/>
    <n v="0.53978779840848812"/>
    <n v="5.2608311229000879E-2"/>
    <n v="195.94237380461718"/>
    <n v="4.566914372804618"/>
    <n v="265.53344996163997"/>
    <n v="25.879181445892833"/>
    <n v="33.924999999999997"/>
    <n v="52.075000000000003"/>
    <n v="51.85"/>
    <n v="53.949999999999996"/>
    <n v="50.474999999999994"/>
  </r>
  <r>
    <x v="0"/>
    <x v="1"/>
    <n v="4"/>
    <x v="0"/>
    <n v="14"/>
    <n v="114"/>
    <n v="25"/>
    <d v="2025-09-12T00:00:00"/>
    <n v="0.76"/>
    <n v="0.311"/>
    <n v="0.22500000000000001"/>
    <n v="6.6000000000000003E-2"/>
    <n v="2.5000000000000001E-2"/>
    <n v="0.68900000000000006"/>
    <n v="0.77500000000000002"/>
    <n v="0.93399999999999994"/>
    <n v="0.97499999999999998"/>
    <n v="41.8"/>
    <n v="47.8"/>
    <n v="48.6"/>
    <n v="44.8"/>
    <n v="51.8"/>
    <n v="56.5"/>
    <n v="54.3"/>
    <n v="53.5"/>
    <n v="55.1"/>
    <n v="54.7"/>
    <n v="51.9"/>
    <n v="48.8"/>
    <n v="51.4"/>
    <n v="56.5"/>
    <n v="50.4"/>
    <n v="53"/>
    <n v="51.7"/>
    <n v="53"/>
    <n v="51.9"/>
    <n v="51.5"/>
    <n v="69"/>
    <n v="0.5"/>
    <n v="1773"/>
    <n v="3546"/>
    <n v="143.6"/>
    <n v="20"/>
    <n v="19"/>
    <n v="93.8"/>
    <n v="20.8"/>
    <n v="77.82515991471216"/>
    <n v="10.52"/>
    <n v="1.34"/>
    <n v="18.48"/>
    <n v="0.88"/>
    <n v="31.22"/>
    <n v="1.6431578947368422"/>
    <n v="7.5578947368421048"/>
    <n v="0.22174840085287847"/>
    <n v="393.15991471215352"/>
    <n v="786.31982942430704"/>
    <n v="0.33696348494554773"/>
    <n v="4.2921204356181936E-2"/>
    <n v="0.59192825112107628"/>
    <n v="2.8187059577194109E-2"/>
    <n v="264.96107000460313"/>
    <n v="33.749794088038804"/>
    <n v="465.44492145295311"/>
    <n v="22.164043878712054"/>
    <n v="45.75"/>
    <n v="54.024999999999999"/>
    <n v="52.625"/>
    <n v="52.825000000000003"/>
    <n v="52.024999999999999"/>
  </r>
  <r>
    <x v="0"/>
    <x v="0"/>
    <n v="4"/>
    <x v="1"/>
    <n v="14"/>
    <n v="214"/>
    <n v="26"/>
    <d v="2025-09-09T00:00:00"/>
    <n v="0.8"/>
    <n v="0.34499999999999997"/>
    <n v="0.2"/>
    <n v="0.10199999999999999"/>
    <n v="3.2000000000000001E-2"/>
    <n v="0.65500000000000003"/>
    <n v="0.8"/>
    <n v="0.89800000000000002"/>
    <n v="0.96799999999999997"/>
    <n v="25.5"/>
    <n v="41.9"/>
    <n v="15.3"/>
    <n v="29.7"/>
    <n v="50"/>
    <n v="46"/>
    <n v="48.2"/>
    <n v="48.7"/>
    <n v="52.1"/>
    <n v="49.5"/>
    <n v="49.4"/>
    <n v="53"/>
    <n v="40.5"/>
    <n v="50.5"/>
    <n v="48.3"/>
    <n v="51.1"/>
    <n v="52.5"/>
    <n v="50.5"/>
    <n v="39.200000000000003"/>
    <n v="45.6"/>
    <n v="54"/>
    <n v="0.5"/>
    <n v="1583"/>
    <n v="3166"/>
    <n v="110.9"/>
    <n v="20"/>
    <n v="20"/>
    <n v="129.5"/>
    <n v="28.48"/>
    <n v="78.007722007722009"/>
    <n v="10.43"/>
    <n v="1.32"/>
    <n v="12.35"/>
    <n v="1.08"/>
    <n v="25.18"/>
    <n v="1.2589999999999999"/>
    <n v="5.5449999999999999"/>
    <n v="0.21992277992277992"/>
    <n v="348.13776061776059"/>
    <n v="696.27552123552118"/>
    <n v="0.41421763304209691"/>
    <n v="5.2422557585385228E-2"/>
    <n v="0.49046862589356632"/>
    <n v="4.2891183478951551E-2"/>
    <n v="288.40959835132986"/>
    <n v="36.500543607263225"/>
    <n v="341.50129814371275"/>
    <n v="29.864081133215365"/>
    <n v="28.1"/>
    <n v="48.224999999999994"/>
    <n v="51"/>
    <n v="47.6"/>
    <n v="46.949999999999996"/>
  </r>
  <r>
    <x v="0"/>
    <x v="3"/>
    <n v="4"/>
    <x v="2"/>
    <n v="14"/>
    <n v="314"/>
    <n v="27"/>
    <d v="2025-09-30T00:00:00"/>
    <n v="0.71"/>
    <n v="0.6915"/>
    <n v="0.33050000000000002"/>
    <n v="0.14549999999999999"/>
    <n v="0.1135"/>
    <n v="0.3085"/>
    <n v="0.66949999999999998"/>
    <n v="0.85450000000000004"/>
    <n v="0.88649999999999995"/>
    <n v="2.2000000000000002"/>
    <n v="47.5"/>
    <n v="37.200000000000003"/>
    <n v="38.1"/>
    <n v="52.5"/>
    <n v="49.3"/>
    <n v="52.5"/>
    <n v="52.3"/>
    <n v="59.9"/>
    <n v="50.5"/>
    <n v="56.5"/>
    <n v="52.9"/>
    <n v="56.4"/>
    <n v="53.8"/>
    <n v="55"/>
    <n v="51.9"/>
    <n v="47.5"/>
    <n v="47.5"/>
    <n v="52.4"/>
    <n v="56.6"/>
    <n v="60"/>
    <n v="0.5"/>
    <n v="1633"/>
    <n v="3266"/>
    <n v="124.5"/>
    <n v="20"/>
    <n v="20"/>
    <n v="68.5"/>
    <n v="17.89"/>
    <n v="73.883211678832112"/>
    <n v="8.33"/>
    <n v="1.04"/>
    <n v="22.71"/>
    <n v="2.23"/>
    <n v="34.309999999999995"/>
    <n v="1.7154999999999998"/>
    <n v="6.2249999999999996"/>
    <n v="0.26116788321167883"/>
    <n v="426.48715328467154"/>
    <n v="852.97430656934307"/>
    <n v="0.24278635966190618"/>
    <n v="3.0311862430778203E-2"/>
    <n v="0.66190614981055096"/>
    <n v="6.4995628096764804E-2"/>
    <n v="207.09052677710955"/>
    <n v="25.855239837718361"/>
    <n v="564.58893914863836"/>
    <n v="55.439600805876871"/>
    <n v="31.25"/>
    <n v="51.650000000000006"/>
    <n v="54.95"/>
    <n v="54.274999999999999"/>
    <n v="51"/>
  </r>
  <r>
    <x v="0"/>
    <x v="2"/>
    <n v="4"/>
    <x v="3"/>
    <n v="14"/>
    <n v="414"/>
    <n v="28"/>
    <d v="2025-09-15T00:00:00"/>
    <n v="0.82"/>
    <n v="0.15"/>
    <n v="7.6999999999999999E-2"/>
    <n v="4.9000000000000002E-2"/>
    <n v="2.5999999999999999E-2"/>
    <n v="0.85"/>
    <n v="0.92300000000000004"/>
    <n v="0.95099999999999996"/>
    <n v="0.97399999999999998"/>
    <n v="51.6"/>
    <n v="46.2"/>
    <n v="45.2"/>
    <n v="42.8"/>
    <n v="57"/>
    <n v="39.799999999999997"/>
    <n v="47.8"/>
    <n v="43.6"/>
    <n v="59.2"/>
    <n v="49.1"/>
    <n v="47.8"/>
    <n v="49.4"/>
    <n v="56.6"/>
    <n v="54.8"/>
    <n v="46.7"/>
    <n v="46.2"/>
    <n v="53.2"/>
    <n v="49.3"/>
    <n v="44.1"/>
    <n v="46.6"/>
    <n v="56"/>
    <n v="0.5"/>
    <n v="1490"/>
    <n v="2980"/>
    <n v="149.9"/>
    <n v="20"/>
    <n v="19"/>
    <n v="106.2"/>
    <n v="25.01"/>
    <n v="76.45009416195856"/>
    <n v="11.38"/>
    <n v="1.22"/>
    <n v="22.02"/>
    <n v="0.93"/>
    <n v="35.550000000000004"/>
    <n v="1.8710526315789475"/>
    <n v="7.8894736842105262"/>
    <n v="0.23549905838041432"/>
    <n v="350.89359698681733"/>
    <n v="701.78719397363466"/>
    <n v="0.320112517580872"/>
    <n v="3.4317862165963428E-2"/>
    <n v="0.61940928270042184"/>
    <n v="2.6160337552742614E-2"/>
    <n v="224.65086546891595"/>
    <n v="24.083836192625434"/>
    <n v="434.69350242755087"/>
    <n v="18.358989884542339"/>
    <n v="46.45"/>
    <n v="47.05"/>
    <n v="51.375000000000007"/>
    <n v="51.075000000000003"/>
    <n v="48.3"/>
  </r>
  <r>
    <x v="1"/>
    <x v="4"/>
    <n v="4"/>
    <x v="3"/>
    <n v="16"/>
    <n v="416"/>
    <n v="29"/>
    <d v="2025-09-25T00:00:00"/>
    <n v="0.82"/>
    <n v="0.42000000000000004"/>
    <n v="0.16199999999999998"/>
    <n v="7.5499999999999998E-2"/>
    <n v="5.7500000000000002E-2"/>
    <n v="0.57999999999999996"/>
    <n v="0.83800000000000008"/>
    <n v="0.92449999999999999"/>
    <n v="0.9425"/>
    <n v="49.7"/>
    <n v="15.7"/>
    <n v="27.3"/>
    <n v="20.100000000000001"/>
    <n v="53.3"/>
    <n v="50"/>
    <n v="53.3"/>
    <n v="39.200000000000003"/>
    <n v="56.5"/>
    <n v="53"/>
    <n v="50.9"/>
    <n v="47.3"/>
    <n v="54.1"/>
    <n v="52.3"/>
    <n v="49.9"/>
    <n v="52.7"/>
    <n v="45.7"/>
    <n v="50.9"/>
    <n v="52.3"/>
    <n v="52.2"/>
    <n v="65"/>
    <n v="0.5"/>
    <n v="1879"/>
    <n v="3758"/>
    <n v="149.30000000000001"/>
    <n v="20"/>
    <n v="19"/>
    <n v="97.3"/>
    <n v="22.98"/>
    <n v="76.382322713257963"/>
    <n v="12.58"/>
    <n v="0.18"/>
    <n v="19.57"/>
    <n v="2.08"/>
    <n v="34.409999999999997"/>
    <n v="1.8110526315789472"/>
    <n v="7.8578947368421055"/>
    <n v="0.23617677286742036"/>
    <n v="443.77615621788289"/>
    <n v="887.55231243576577"/>
    <n v="0.36559139784946243"/>
    <n v="5.2310374891020054E-3"/>
    <n v="0.56873002034292364"/>
    <n v="6.044754431851207E-2"/>
    <n v="324.48149056791442"/>
    <n v="4.6428194198906665"/>
    <n v="504.77764470700197"/>
    <n v="53.650357740958825"/>
    <n v="28.200000000000003"/>
    <n v="48.95"/>
    <n v="51.924999999999997"/>
    <n v="52.25"/>
    <n v="50.274999999999991"/>
  </r>
  <r>
    <x v="1"/>
    <x v="0"/>
    <n v="4"/>
    <x v="2"/>
    <n v="16"/>
    <n v="316"/>
    <n v="30"/>
    <d v="2025-09-22T00:00:00"/>
    <n v="0.77"/>
    <n v="0.48699999999999999"/>
    <n v="0.36499999999999999"/>
    <n v="0.216"/>
    <n v="0.14499999999999999"/>
    <n v="0.51300000000000001"/>
    <n v="0.63500000000000001"/>
    <n v="0.78400000000000003"/>
    <n v="0.85499999999999998"/>
    <n v="39.299999999999997"/>
    <n v="5.5"/>
    <n v="40.700000000000003"/>
    <n v="14.8"/>
    <n v="54.8"/>
    <n v="52.3"/>
    <n v="44.8"/>
    <n v="41.3"/>
    <n v="50.1"/>
    <n v="48.9"/>
    <n v="49.2"/>
    <n v="49.7"/>
    <n v="53.2"/>
    <n v="52.3"/>
    <n v="51"/>
    <n v="52.3"/>
    <n v="47.6"/>
    <n v="48.6"/>
    <n v="46.6"/>
    <n v="50.8"/>
    <n v="48"/>
    <n v="0.5"/>
    <n v="1459"/>
    <n v="2918"/>
    <n v="127.4"/>
    <n v="20"/>
    <n v="20"/>
    <n v="53.1"/>
    <n v="10.36"/>
    <n v="80.489642184557439"/>
    <n v="10.28"/>
    <n v="0.42"/>
    <n v="14.1"/>
    <n v="2.23"/>
    <n v="27.029999999999998"/>
    <n v="1.3514999999999999"/>
    <n v="6.37"/>
    <n v="0.19510357815442558"/>
    <n v="284.65612052730694"/>
    <n v="569.31224105461388"/>
    <n v="0.38031816500184978"/>
    <n v="1.5538290788013319E-2"/>
    <n v="0.52164261931187572"/>
    <n v="8.2500924898261205E-2"/>
    <n v="216.51978683098153"/>
    <n v="8.8461391506821254"/>
    <n v="296.9775286300428"/>
    <n v="46.968786442907479"/>
    <n v="25.074999999999999"/>
    <n v="48.3"/>
    <n v="49.474999999999994"/>
    <n v="52.2"/>
    <n v="48.400000000000006"/>
  </r>
  <r>
    <x v="1"/>
    <x v="5"/>
    <n v="4"/>
    <x v="1"/>
    <n v="16"/>
    <n v="216"/>
    <n v="31"/>
    <d v="2025-09-22T00:00:00"/>
    <n v="0.78"/>
    <n v="0.47"/>
    <n v="0.29299999999999998"/>
    <n v="0.219"/>
    <n v="0.105"/>
    <n v="0.53"/>
    <n v="0.70700000000000007"/>
    <n v="0.78100000000000003"/>
    <n v="0.89500000000000002"/>
    <n v="1.3"/>
    <n v="41.5"/>
    <n v="37"/>
    <n v="43.4"/>
    <n v="39.5"/>
    <n v="44.4"/>
    <n v="43.1"/>
    <n v="53.5"/>
    <n v="52.6"/>
    <n v="51.6"/>
    <n v="47.6"/>
    <n v="51.9"/>
    <n v="51.3"/>
    <n v="52.4"/>
    <n v="49.6"/>
    <n v="55.7"/>
    <n v="52.7"/>
    <n v="40.4"/>
    <n v="47.6"/>
    <n v="48.5"/>
    <n v="57"/>
    <n v="0.5"/>
    <n v="1325"/>
    <n v="2650"/>
    <n v="125.3"/>
    <n v="20"/>
    <n v="18"/>
    <n v="60"/>
    <n v="12.73"/>
    <n v="78.783333333333331"/>
    <n v="9.73"/>
    <n v="0"/>
    <n v="16.63"/>
    <n v="0.8"/>
    <n v="27.16"/>
    <n v="1.5088888888888889"/>
    <n v="6.9611111111111112"/>
    <n v="0.21216666666666667"/>
    <n v="281.12083333333334"/>
    <n v="562.24166666666667"/>
    <n v="0.35824742268041238"/>
    <n v="0"/>
    <n v="0.61229749631811481"/>
    <n v="2.9455081001472757E-2"/>
    <n v="201.42162800687285"/>
    <n v="0"/>
    <n v="344.2591648257241"/>
    <n v="16.560873834069714"/>
    <n v="30.799999999999997"/>
    <n v="45.125"/>
    <n v="50.925000000000004"/>
    <n v="52.25"/>
    <n v="47.3"/>
  </r>
  <r>
    <x v="1"/>
    <x v="1"/>
    <n v="4"/>
    <x v="0"/>
    <n v="16"/>
    <n v="116"/>
    <n v="32"/>
    <d v="2025-09-22T00:00:00"/>
    <n v="0.79"/>
    <n v="0.48599999999999999"/>
    <n v="0.314"/>
    <n v="0.24"/>
    <n v="0.186"/>
    <n v="0.51400000000000001"/>
    <n v="0.68599999999999994"/>
    <n v="0.76"/>
    <n v="0.81400000000000006"/>
    <n v="42.2"/>
    <n v="27.2"/>
    <n v="50.2"/>
    <n v="43.9"/>
    <n v="43.3"/>
    <n v="54.4"/>
    <n v="49.2"/>
    <n v="46"/>
    <n v="45.5"/>
    <n v="56.1"/>
    <n v="52.7"/>
    <n v="54.9"/>
    <n v="46"/>
    <n v="54.9"/>
    <n v="55.3"/>
    <n v="53.2"/>
    <n v="45.4"/>
    <n v="52.1"/>
    <n v="49.7"/>
    <n v="52"/>
    <n v="56"/>
    <n v="0.5"/>
    <n v="1372"/>
    <n v="2744"/>
    <n v="135.9"/>
    <n v="20"/>
    <n v="20"/>
    <n v="61.1"/>
    <n v="12.53"/>
    <n v="79.492635024549912"/>
    <n v="10.3"/>
    <n v="7.0000000000000007E-2"/>
    <n v="15.78"/>
    <n v="1.1200000000000001"/>
    <n v="27.27"/>
    <n v="1.3634999999999999"/>
    <n v="6.7949999999999999"/>
    <n v="0.20507364975450079"/>
    <n v="281.36104746317511"/>
    <n v="562.72209492635022"/>
    <n v="0.37770443711037771"/>
    <n v="2.5669233590025673E-3"/>
    <n v="0.57865786578657863"/>
    <n v="4.1070773744041077E-2"/>
    <n v="212.54263211372964"/>
    <n v="1.4444644900933084"/>
    <n v="325.62356648103435"/>
    <n v="23.111431841492934"/>
    <n v="40.875"/>
    <n v="48.224999999999994"/>
    <n v="52.300000000000004"/>
    <n v="52.349999999999994"/>
    <n v="49.8"/>
  </r>
  <r>
    <x v="2"/>
    <x v="6"/>
    <m/>
    <x v="4"/>
    <m/>
    <m/>
    <m/>
    <m/>
    <m/>
    <m/>
    <m/>
    <m/>
    <m/>
    <m/>
    <m/>
    <m/>
    <m/>
    <m/>
    <m/>
    <m/>
    <m/>
    <m/>
    <m/>
    <m/>
    <m/>
    <m/>
    <m/>
    <m/>
    <m/>
    <m/>
    <m/>
    <m/>
    <m/>
    <m/>
    <m/>
    <m/>
    <m/>
    <m/>
    <m/>
    <m/>
    <m/>
    <m/>
    <m/>
    <m/>
    <m/>
    <m/>
    <m/>
    <m/>
    <m/>
    <m/>
    <m/>
    <m/>
    <m/>
    <m/>
    <m/>
    <m/>
    <m/>
    <m/>
    <m/>
    <m/>
    <m/>
    <m/>
    <m/>
    <m/>
    <m/>
    <m/>
    <m/>
    <m/>
    <m/>
    <m/>
  </r>
  <r>
    <x v="2"/>
    <x v="6"/>
    <m/>
    <x v="4"/>
    <m/>
    <m/>
    <m/>
    <m/>
    <m/>
    <m/>
    <m/>
    <m/>
    <m/>
    <m/>
    <m/>
    <m/>
    <m/>
    <m/>
    <m/>
    <m/>
    <m/>
    <m/>
    <m/>
    <m/>
    <m/>
    <m/>
    <m/>
    <m/>
    <m/>
    <m/>
    <m/>
    <m/>
    <m/>
    <m/>
    <m/>
    <m/>
    <m/>
    <m/>
    <m/>
    <m/>
    <m/>
    <m/>
    <m/>
    <m/>
    <m/>
    <m/>
    <m/>
    <m/>
    <m/>
    <m/>
    <m/>
    <m/>
    <m/>
    <m/>
    <m/>
    <m/>
    <m/>
    <m/>
    <m/>
    <m/>
    <m/>
    <m/>
    <m/>
    <m/>
    <m/>
    <m/>
    <m/>
    <m/>
    <m/>
    <m/>
  </r>
  <r>
    <x v="2"/>
    <x v="6"/>
    <m/>
    <x v="4"/>
    <m/>
    <m/>
    <m/>
    <m/>
    <m/>
    <m/>
    <m/>
    <m/>
    <m/>
    <m/>
    <m/>
    <m/>
    <m/>
    <m/>
    <m/>
    <m/>
    <m/>
    <m/>
    <m/>
    <m/>
    <s v="Average of Culm NO2/M2"/>
    <m/>
    <s v="!Range"/>
    <m/>
    <m/>
    <m/>
    <m/>
    <m/>
    <m/>
    <m/>
    <m/>
    <m/>
    <m/>
    <m/>
    <m/>
    <m/>
    <m/>
    <m/>
    <m/>
    <m/>
    <m/>
    <m/>
    <m/>
    <m/>
    <m/>
    <m/>
    <m/>
    <m/>
    <m/>
    <m/>
    <m/>
    <m/>
    <m/>
    <m/>
    <m/>
    <m/>
    <m/>
    <m/>
    <m/>
    <m/>
    <m/>
    <m/>
    <m/>
    <m/>
    <m/>
    <m/>
  </r>
  <r>
    <x v="2"/>
    <x v="6"/>
    <m/>
    <x v="4"/>
    <m/>
    <m/>
    <m/>
    <m/>
    <m/>
    <m/>
    <m/>
    <m/>
    <m/>
    <m/>
    <m/>
    <m/>
    <m/>
    <m/>
    <m/>
    <m/>
    <m/>
    <m/>
    <m/>
    <m/>
    <s v="!Sow_time"/>
    <s v="!Line"/>
    <n v="1"/>
    <n v="2"/>
    <n v="3"/>
    <n v="4"/>
    <s v="(blank)"/>
    <s v="Grand Total"/>
    <m/>
    <m/>
    <m/>
    <m/>
    <m/>
    <m/>
    <m/>
    <m/>
    <m/>
    <m/>
    <m/>
    <m/>
    <m/>
    <m/>
    <m/>
    <m/>
    <m/>
    <m/>
    <m/>
    <m/>
    <m/>
    <m/>
    <m/>
    <m/>
    <m/>
    <m/>
    <m/>
    <m/>
    <m/>
    <m/>
    <m/>
    <m/>
    <m/>
    <m/>
    <m/>
    <m/>
    <m/>
    <m/>
  </r>
  <r>
    <x v="2"/>
    <x v="6"/>
    <m/>
    <x v="4"/>
    <m/>
    <m/>
    <m/>
    <m/>
    <m/>
    <m/>
    <m/>
    <m/>
    <m/>
    <m/>
    <m/>
    <m/>
    <m/>
    <m/>
    <m/>
    <m/>
    <m/>
    <m/>
    <m/>
    <m/>
    <s v="Mid_April"/>
    <s v="Big_Red"/>
    <n v="604.44251631241434"/>
    <n v="633.07076129447364"/>
    <n v="543.92025436108952"/>
    <n v="512.37775631193495"/>
    <m/>
    <n v="573.45282206997808"/>
    <m/>
    <m/>
    <m/>
    <m/>
    <m/>
    <m/>
    <m/>
    <m/>
    <m/>
    <m/>
    <m/>
    <m/>
    <m/>
    <m/>
    <m/>
    <m/>
    <m/>
    <m/>
    <m/>
    <m/>
    <m/>
    <m/>
    <m/>
    <m/>
    <m/>
    <m/>
    <m/>
    <m/>
    <m/>
    <m/>
    <m/>
    <m/>
    <m/>
    <m/>
    <m/>
    <m/>
    <m/>
    <m/>
  </r>
  <r>
    <x v="2"/>
    <x v="6"/>
    <m/>
    <x v="4"/>
    <m/>
    <m/>
    <m/>
    <m/>
    <m/>
    <m/>
    <m/>
    <m/>
    <m/>
    <m/>
    <m/>
    <m/>
    <m/>
    <m/>
    <m/>
    <m/>
    <m/>
    <m/>
    <m/>
    <m/>
    <m/>
    <s v="Illabo"/>
    <n v="440.58981574502684"/>
    <n v="477.43021440157389"/>
    <n v="392.84074675021913"/>
    <n v="339.37320915639248"/>
    <m/>
    <n v="412.55849651330306"/>
    <m/>
    <m/>
    <m/>
    <m/>
    <m/>
    <m/>
    <m/>
    <m/>
    <m/>
    <m/>
    <m/>
    <m/>
    <m/>
    <m/>
    <m/>
    <m/>
    <m/>
    <m/>
    <m/>
    <m/>
    <m/>
    <m/>
    <m/>
    <m/>
    <m/>
    <m/>
    <m/>
    <m/>
    <m/>
    <m/>
    <m/>
    <m/>
    <m/>
    <m/>
    <m/>
    <m/>
    <m/>
    <m/>
  </r>
  <r>
    <x v="2"/>
    <x v="6"/>
    <m/>
    <x v="4"/>
    <m/>
    <m/>
    <m/>
    <m/>
    <m/>
    <m/>
    <m/>
    <m/>
    <m/>
    <m/>
    <m/>
    <m/>
    <m/>
    <m/>
    <m/>
    <m/>
    <m/>
    <m/>
    <m/>
    <m/>
    <m/>
    <s v="UOM001_3_47"/>
    <n v="392.74481756361519"/>
    <n v="400.16893388869192"/>
    <n v="414.76130589387833"/>
    <n v="464.88662838463557"/>
    <m/>
    <n v="418.14042143270524"/>
    <m/>
    <m/>
    <m/>
    <m/>
    <m/>
    <m/>
    <m/>
    <m/>
    <m/>
    <m/>
    <m/>
    <m/>
    <m/>
    <m/>
    <m/>
    <m/>
    <m/>
    <m/>
    <m/>
    <m/>
    <m/>
    <m/>
    <m/>
    <m/>
    <m/>
    <m/>
    <m/>
    <m/>
    <m/>
    <m/>
    <m/>
    <m/>
    <m/>
    <m/>
    <m/>
    <m/>
    <m/>
    <m/>
  </r>
  <r>
    <x v="2"/>
    <x v="6"/>
    <m/>
    <x v="4"/>
    <m/>
    <m/>
    <m/>
    <m/>
    <m/>
    <m/>
    <m/>
    <m/>
    <m/>
    <m/>
    <m/>
    <m/>
    <m/>
    <m/>
    <m/>
    <m/>
    <m/>
    <m/>
    <m/>
    <m/>
    <m/>
    <s v="UOM001_9_1"/>
    <n v="450.0303038910979"/>
    <n v="420.2906525451022"/>
    <n v="473.98766592434987"/>
    <n v="489.39966026133715"/>
    <m/>
    <n v="458.42707065547177"/>
    <m/>
    <m/>
    <m/>
    <m/>
    <m/>
    <m/>
    <m/>
    <m/>
    <m/>
    <m/>
    <m/>
    <m/>
    <m/>
    <m/>
    <m/>
    <m/>
    <m/>
    <m/>
    <m/>
    <m/>
    <m/>
    <m/>
    <m/>
    <m/>
    <m/>
    <m/>
    <m/>
    <m/>
    <m/>
    <m/>
    <m/>
    <m/>
    <m/>
    <m/>
    <m/>
    <m/>
    <m/>
    <m/>
  </r>
  <r>
    <x v="2"/>
    <x v="6"/>
    <m/>
    <x v="4"/>
    <m/>
    <m/>
    <m/>
    <m/>
    <m/>
    <m/>
    <m/>
    <m/>
    <m/>
    <m/>
    <m/>
    <m/>
    <m/>
    <m/>
    <m/>
    <m/>
    <m/>
    <m/>
    <m/>
    <m/>
    <s v="Mid_May"/>
    <s v="RGT_Zanzibar"/>
    <n v="352.5471671744416"/>
    <n v="468.10009256364134"/>
    <n v="458.40702366573015"/>
    <n v="401.57967960719111"/>
    <m/>
    <n v="420.15849075275105"/>
    <m/>
    <m/>
    <m/>
    <m/>
    <m/>
    <m/>
    <m/>
    <m/>
    <m/>
    <m/>
    <m/>
    <m/>
    <m/>
    <m/>
    <m/>
    <m/>
    <m/>
    <m/>
    <m/>
    <m/>
    <m/>
    <m/>
    <m/>
    <m/>
    <m/>
    <m/>
    <m/>
    <m/>
    <m/>
    <m/>
    <m/>
    <m/>
    <m/>
    <m/>
    <m/>
    <m/>
    <m/>
    <m/>
  </r>
  <r>
    <x v="2"/>
    <x v="6"/>
    <m/>
    <x v="4"/>
    <m/>
    <m/>
    <m/>
    <m/>
    <m/>
    <m/>
    <m/>
    <m/>
    <m/>
    <m/>
    <m/>
    <m/>
    <m/>
    <m/>
    <m/>
    <m/>
    <m/>
    <m/>
    <m/>
    <m/>
    <m/>
    <s v="Sunmaster"/>
    <n v="354.46809671934051"/>
    <n v="402.96727171109501"/>
    <n v="389.28073195754695"/>
    <n v="534.79090362190107"/>
    <m/>
    <n v="420.37675100247088"/>
    <m/>
    <m/>
    <m/>
    <m/>
    <m/>
    <m/>
    <m/>
    <m/>
    <m/>
    <m/>
    <m/>
    <m/>
    <m/>
    <m/>
    <m/>
    <m/>
    <m/>
    <m/>
    <m/>
    <m/>
    <m/>
    <m/>
    <m/>
    <m/>
    <m/>
    <m/>
    <m/>
    <m/>
    <m/>
    <m/>
    <m/>
    <m/>
    <m/>
    <m/>
    <m/>
    <m/>
    <m/>
    <m/>
  </r>
  <r>
    <x v="2"/>
    <x v="6"/>
    <m/>
    <x v="4"/>
    <m/>
    <m/>
    <m/>
    <m/>
    <m/>
    <m/>
    <m/>
    <m/>
    <m/>
    <m/>
    <m/>
    <m/>
    <m/>
    <m/>
    <m/>
    <m/>
    <m/>
    <m/>
    <m/>
    <m/>
    <m/>
    <s v="UOM001_3_47"/>
    <n v="504.49217949033414"/>
    <n v="445.38605757265719"/>
    <n v="486.16849594504288"/>
    <n v="471.13217736203023"/>
    <m/>
    <n v="476.7947275925161"/>
    <m/>
    <m/>
    <m/>
    <m/>
    <m/>
    <m/>
    <m/>
    <m/>
    <m/>
    <m/>
    <m/>
    <m/>
    <m/>
    <m/>
    <m/>
    <m/>
    <m/>
    <m/>
    <m/>
    <m/>
    <m/>
    <m/>
    <m/>
    <m/>
    <m/>
    <m/>
    <m/>
    <m/>
    <m/>
    <m/>
    <m/>
    <m/>
    <m/>
    <m/>
    <m/>
    <m/>
    <m/>
    <m/>
  </r>
  <r>
    <x v="2"/>
    <x v="6"/>
    <m/>
    <x v="4"/>
    <m/>
    <m/>
    <m/>
    <m/>
    <m/>
    <m/>
    <m/>
    <m/>
    <m/>
    <m/>
    <m/>
    <m/>
    <m/>
    <m/>
    <m/>
    <m/>
    <m/>
    <m/>
    <m/>
    <m/>
    <m/>
    <s v="UOM001_9_1"/>
    <n v="498.83099182218496"/>
    <n v="482.59137747878196"/>
    <n v="413.98662879991201"/>
    <n v="468.94302496855346"/>
    <m/>
    <n v="466.08800576735814"/>
    <m/>
    <m/>
    <m/>
    <m/>
    <m/>
    <m/>
    <m/>
    <m/>
    <m/>
    <m/>
    <m/>
    <m/>
    <m/>
    <m/>
    <m/>
    <m/>
    <m/>
    <m/>
    <m/>
    <m/>
    <m/>
    <m/>
    <m/>
    <m/>
    <m/>
    <m/>
    <m/>
    <m/>
    <m/>
    <m/>
    <m/>
    <m/>
    <m/>
    <m/>
    <m/>
    <m/>
    <m/>
    <m/>
  </r>
  <r>
    <x v="2"/>
    <x v="6"/>
    <m/>
    <x v="4"/>
    <m/>
    <m/>
    <m/>
    <m/>
    <m/>
    <m/>
    <m/>
    <m/>
    <m/>
    <m/>
    <m/>
    <m/>
    <m/>
    <m/>
    <m/>
    <m/>
    <m/>
    <m/>
    <m/>
    <m/>
    <s v="(blank)"/>
    <s v="(blank)"/>
    <m/>
    <m/>
    <m/>
    <m/>
    <m/>
    <m/>
    <m/>
    <m/>
    <m/>
    <m/>
    <m/>
    <m/>
    <m/>
    <m/>
    <m/>
    <m/>
    <m/>
    <m/>
    <m/>
    <m/>
    <m/>
    <m/>
    <m/>
    <m/>
    <m/>
    <m/>
    <m/>
    <m/>
    <m/>
    <m/>
    <m/>
    <m/>
    <m/>
    <m/>
    <m/>
    <m/>
    <m/>
    <m/>
    <m/>
    <m/>
    <m/>
    <m/>
    <m/>
    <m/>
  </r>
  <r>
    <x v="2"/>
    <x v="6"/>
    <m/>
    <x v="4"/>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61C95-0303-434F-9A59-88CB361D9817}" name="PivotTable1" cacheId="3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O5:AB17" firstHeaderRow="1" firstDataRow="2" firstDataCol="1"/>
  <pivotFields count="11">
    <pivotField axis="axisRow" showAll="0">
      <items count="4">
        <item x="0"/>
        <item x="1"/>
        <item x="2"/>
        <item t="default"/>
      </items>
    </pivotField>
    <pivotField axis="axisRow" showAll="0">
      <items count="8">
        <item x="2"/>
        <item x="1"/>
        <item x="5"/>
        <item x="4"/>
        <item x="0"/>
        <item x="3"/>
        <item x="6"/>
        <item t="default"/>
      </items>
    </pivotField>
    <pivotField showAll="0"/>
    <pivotField showAll="0">
      <items count="6">
        <item x="0"/>
        <item x="1"/>
        <item x="2"/>
        <item x="3"/>
        <item x="4"/>
        <item t="default"/>
      </items>
    </pivotField>
    <pivotField showAll="0"/>
    <pivotField showAll="0"/>
    <pivotField showAll="0"/>
    <pivotField showAll="0"/>
    <pivotField showAll="0"/>
    <pivotField axis="axisCol" showAll="0" defaultSubtotal="0">
      <items count="14">
        <item x="0"/>
        <item x="2"/>
        <item x="4"/>
        <item h="1" x="10"/>
        <item m="1" x="13"/>
        <item x="1"/>
        <item x="3"/>
        <item x="5"/>
        <item x="6"/>
        <item x="7"/>
        <item x="8"/>
        <item x="9"/>
        <item x="11"/>
        <item x="12"/>
      </items>
    </pivotField>
    <pivotField dataField="1" showAll="0"/>
  </pivotFields>
  <rowFields count="2">
    <field x="0"/>
    <field x="1"/>
  </rowFields>
  <rowItems count="11">
    <i>
      <x/>
    </i>
    <i r="1">
      <x/>
    </i>
    <i r="1">
      <x v="1"/>
    </i>
    <i r="1">
      <x v="4"/>
    </i>
    <i r="1">
      <x v="5"/>
    </i>
    <i>
      <x v="1"/>
    </i>
    <i r="1">
      <x v="2"/>
    </i>
    <i r="1">
      <x v="3"/>
    </i>
    <i r="1">
      <x v="4"/>
    </i>
    <i r="1">
      <x v="5"/>
    </i>
    <i t="grand">
      <x/>
    </i>
  </rowItems>
  <colFields count="1">
    <field x="9"/>
  </colFields>
  <colItems count="13">
    <i>
      <x/>
    </i>
    <i>
      <x v="1"/>
    </i>
    <i>
      <x v="2"/>
    </i>
    <i>
      <x v="5"/>
    </i>
    <i>
      <x v="6"/>
    </i>
    <i>
      <x v="7"/>
    </i>
    <i>
      <x v="8"/>
    </i>
    <i>
      <x v="9"/>
    </i>
    <i>
      <x v="10"/>
    </i>
    <i>
      <x v="11"/>
    </i>
    <i>
      <x v="12"/>
    </i>
    <i>
      <x v="13"/>
    </i>
    <i t="grand">
      <x/>
    </i>
  </colItems>
  <dataFields count="1">
    <dataField name="Average of Plants emerged (plants/1 m of row)" fld="10" subtotal="average" baseField="0" baseItem="0" numFmtId="1"/>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33EC6-7C16-4B30-BD64-71CEB6CCA0AC}" name="PivotTable4" cacheId="29"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X2:AC13" firstHeaderRow="1" firstDataRow="2" firstDataCol="1"/>
  <pivotFields count="18">
    <pivotField axis="axisRow" showAll="0">
      <items count="4">
        <item x="0"/>
        <item x="1"/>
        <item h="1" x="2"/>
        <item t="default"/>
      </items>
    </pivotField>
    <pivotField axis="axisRow" showAll="0">
      <items count="8">
        <item x="3"/>
        <item x="2"/>
        <item x="5"/>
        <item x="4"/>
        <item x="0"/>
        <item x="1"/>
        <item x="6"/>
        <item t="default"/>
      </items>
    </pivotField>
    <pivotField showAll="0"/>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0"/>
    <field x="1"/>
  </rowFields>
  <rowItems count="10">
    <i>
      <x/>
    </i>
    <i r="1">
      <x/>
    </i>
    <i r="1">
      <x v="1"/>
    </i>
    <i r="1">
      <x v="4"/>
    </i>
    <i r="1">
      <x v="5"/>
    </i>
    <i>
      <x v="1"/>
    </i>
    <i r="1">
      <x v="2"/>
    </i>
    <i r="1">
      <x v="3"/>
    </i>
    <i r="1">
      <x v="4"/>
    </i>
    <i r="1">
      <x v="5"/>
    </i>
  </rowItems>
  <colFields count="1">
    <field x="3"/>
  </colFields>
  <colItems count="5">
    <i>
      <x/>
    </i>
    <i>
      <x v="1"/>
    </i>
    <i>
      <x v="2"/>
    </i>
    <i>
      <x v="3"/>
    </i>
    <i t="grand">
      <x/>
    </i>
  </colItems>
  <dataFields count="1">
    <dataField name="Average of Plant population density (plants/m2)" fld="17" subtotal="average" baseField="0" baseItem="0" numFmtId="1"/>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DF18C-29D5-4484-B881-B9EBF9D51554}"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R20" firstHeaderRow="1" firstDataRow="2" firstDataCol="1"/>
  <pivotFields count="11">
    <pivotField axis="axisRow" showAll="0">
      <items count="4">
        <item x="0"/>
        <item x="1"/>
        <item x="2"/>
        <item t="default"/>
      </items>
    </pivotField>
    <pivotField axis="axisRow" showAll="0">
      <items count="8">
        <item x="3"/>
        <item x="2"/>
        <item x="4"/>
        <item x="5"/>
        <item x="0"/>
        <item x="1"/>
        <item x="6"/>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dataField="1" showAll="0"/>
  </pivotFields>
  <rowFields count="2">
    <field x="0"/>
    <field x="1"/>
  </rowFields>
  <rowItems count="13">
    <i>
      <x/>
    </i>
    <i r="1">
      <x/>
    </i>
    <i r="1">
      <x v="1"/>
    </i>
    <i r="1">
      <x v="4"/>
    </i>
    <i r="1">
      <x v="5"/>
    </i>
    <i>
      <x v="1"/>
    </i>
    <i r="1">
      <x v="2"/>
    </i>
    <i r="1">
      <x v="3"/>
    </i>
    <i r="1">
      <x v="4"/>
    </i>
    <i r="1">
      <x v="5"/>
    </i>
    <i>
      <x v="2"/>
    </i>
    <i r="1">
      <x v="6"/>
    </i>
    <i t="grand">
      <x/>
    </i>
  </rowItems>
  <colFields count="1">
    <field x="8"/>
  </colFields>
  <colItems count="4">
    <i>
      <x/>
    </i>
    <i>
      <x v="1"/>
    </i>
    <i>
      <x v="2"/>
    </i>
    <i t="grand">
      <x/>
    </i>
  </colItems>
  <dataFields count="1">
    <dataField name="Average of Tiller No per plant" fld="10" subtotal="average" baseField="0" baseItem="0" numFmtId="16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6F05D8-606F-4C6F-931A-AAD7E146807C}" name="PivotTable2"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3:AJ14" firstHeaderRow="1" firstDataRow="2" firstDataCol="1"/>
  <pivotFields count="16">
    <pivotField axis="axisRow" showAll="0">
      <items count="4">
        <item x="0"/>
        <item x="1"/>
        <item h="1" x="2"/>
        <item t="default"/>
      </items>
    </pivotField>
    <pivotField axis="axisRow" showAll="0">
      <items count="8">
        <item x="3"/>
        <item x="2"/>
        <item x="4"/>
        <item x="5"/>
        <item x="0"/>
        <item x="1"/>
        <item x="6"/>
        <item t="default"/>
      </items>
    </pivotField>
    <pivotField showAll="0"/>
    <pivotField showAll="0"/>
    <pivotField showAll="0"/>
    <pivotField showAll="0"/>
    <pivotField showAll="0"/>
    <pivotField showAll="0"/>
    <pivotField axis="axisCol" showAll="0" sortType="ascending">
      <items count="20">
        <item m="1" x="18"/>
        <item x="0"/>
        <item x="2"/>
        <item x="4"/>
        <item x="6"/>
        <item x="8"/>
        <item x="1"/>
        <item x="10"/>
        <item x="3"/>
        <item x="12"/>
        <item x="5"/>
        <item x="14"/>
        <item x="7"/>
        <item x="15"/>
        <item x="9"/>
        <item x="16"/>
        <item x="11"/>
        <item x="17"/>
        <item h="1" x="13"/>
        <item t="default"/>
      </items>
    </pivotField>
    <pivotField showAll="0"/>
    <pivotField showAll="0"/>
    <pivotField showAll="0"/>
    <pivotField showAll="0"/>
    <pivotField showAll="0"/>
    <pivotField showAll="0"/>
    <pivotField dataField="1" showAll="0"/>
  </pivotFields>
  <rowFields count="2">
    <field x="0"/>
    <field x="1"/>
  </rowFields>
  <rowItems count="10">
    <i>
      <x/>
    </i>
    <i r="1">
      <x/>
    </i>
    <i r="1">
      <x v="1"/>
    </i>
    <i r="1">
      <x v="4"/>
    </i>
    <i r="1">
      <x v="5"/>
    </i>
    <i>
      <x v="1"/>
    </i>
    <i r="1">
      <x v="2"/>
    </i>
    <i r="1">
      <x v="3"/>
    </i>
    <i r="1">
      <x v="4"/>
    </i>
    <i r="1">
      <x v="5"/>
    </i>
  </rowItems>
  <colFields count="1">
    <field x="8"/>
  </colFields>
  <colItems count="17">
    <i>
      <x v="1"/>
    </i>
    <i>
      <x v="2"/>
    </i>
    <i>
      <x v="3"/>
    </i>
    <i>
      <x v="4"/>
    </i>
    <i>
      <x v="5"/>
    </i>
    <i>
      <x v="6"/>
    </i>
    <i>
      <x v="7"/>
    </i>
    <i>
      <x v="8"/>
    </i>
    <i>
      <x v="9"/>
    </i>
    <i>
      <x v="10"/>
    </i>
    <i>
      <x v="11"/>
    </i>
    <i>
      <x v="12"/>
    </i>
    <i>
      <x v="13"/>
    </i>
    <i>
      <x v="14"/>
    </i>
    <i>
      <x v="15"/>
    </i>
    <i>
      <x v="16"/>
    </i>
    <i>
      <x v="17"/>
    </i>
  </colItems>
  <dataFields count="1">
    <dataField name="Average of Mean Haun stage" fld="15" subtotal="average" baseField="0" baseItem="0" numFmtId="2"/>
  </dataFields>
  <formats count="5">
    <format dxfId="56">
      <pivotArea outline="0" collapsedLevelsAreSubtotals="1" fieldPosition="0"/>
    </format>
    <format dxfId="55">
      <pivotArea dataOnly="0" labelOnly="1" outline="0" axis="axisValues" fieldPosition="0"/>
    </format>
    <format dxfId="54">
      <pivotArea collapsedLevelsAreSubtotals="1" fieldPosition="0">
        <references count="2">
          <reference field="0" count="1" selected="0">
            <x v="0"/>
          </reference>
          <reference field="1" count="4">
            <x v="0"/>
            <x v="1"/>
            <x v="4"/>
            <x v="5"/>
          </reference>
        </references>
      </pivotArea>
    </format>
    <format dxfId="53">
      <pivotArea collapsedLevelsAreSubtotals="1" fieldPosition="0">
        <references count="1">
          <reference field="0" count="1">
            <x v="1"/>
          </reference>
        </references>
      </pivotArea>
    </format>
    <format dxfId="52">
      <pivotArea collapsedLevelsAreSubtotals="1" fieldPosition="0">
        <references count="2">
          <reference field="0" count="1" selected="0">
            <x v="1"/>
          </reference>
          <reference field="1" count="4">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602EC5-15F8-4D37-9D0E-D21790FFE7F0}" name="PivotTable1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U5:BV18" firstHeaderRow="1" firstDataRow="1" firstDataCol="1"/>
  <pivotFields count="70">
    <pivotField axis="axisRow" showAll="0">
      <items count="4">
        <item x="0"/>
        <item x="1"/>
        <item x="2"/>
        <item t="default"/>
      </items>
    </pivotField>
    <pivotField axis="axisRow" showAll="0">
      <items count="8">
        <item x="3"/>
        <item x="2"/>
        <item x="4"/>
        <item x="5"/>
        <item x="0"/>
        <item x="1"/>
        <item x="6"/>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i>
    <i r="1">
      <x/>
    </i>
    <i r="1">
      <x v="1"/>
    </i>
    <i r="1">
      <x v="4"/>
    </i>
    <i r="1">
      <x v="5"/>
    </i>
    <i>
      <x v="1"/>
    </i>
    <i r="1">
      <x v="2"/>
    </i>
    <i r="1">
      <x v="3"/>
    </i>
    <i r="1">
      <x v="4"/>
    </i>
    <i r="1">
      <x v="5"/>
    </i>
    <i>
      <x v="2"/>
    </i>
    <i r="1">
      <x v="6"/>
    </i>
    <i t="grand">
      <x/>
    </i>
  </rowItems>
  <colItems count="1">
    <i/>
  </colItems>
  <dataFields count="1">
    <dataField name="Average of Shoot moisture content (%)" fld="46"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EB39C3-217C-4F1C-A9D5-E442D3AB2D28}" name="PivotTable16" cacheId="2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Z36:AG46" firstHeaderRow="1" firstDataRow="2" firstDataCol="2"/>
  <pivotFields count="75">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items count="8">
        <item x="0"/>
        <item x="1"/>
        <item x="4"/>
        <item x="5"/>
        <item x="2"/>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5"/>
    <field x="6"/>
  </rowFields>
  <rowItems count="9">
    <i>
      <x/>
      <x/>
    </i>
    <i r="1">
      <x v="1"/>
    </i>
    <i r="1">
      <x v="4"/>
    </i>
    <i r="1">
      <x v="5"/>
    </i>
    <i>
      <x v="1"/>
      <x v="2"/>
    </i>
    <i r="1">
      <x v="3"/>
    </i>
    <i r="1">
      <x v="4"/>
    </i>
    <i r="1">
      <x v="5"/>
    </i>
    <i>
      <x v="2"/>
      <x v="6"/>
    </i>
  </rowItems>
  <colFields count="1">
    <field x="0"/>
  </colFields>
  <colItems count="6">
    <i>
      <x/>
    </i>
    <i>
      <x v="1"/>
    </i>
    <i>
      <x v="2"/>
    </i>
    <i>
      <x v="3"/>
    </i>
    <i>
      <x v="4"/>
    </i>
    <i t="grand">
      <x/>
    </i>
  </colItems>
  <dataFields count="1">
    <dataField name="Average of Culm NO2/M2" fld="74" subtotal="average" baseField="6" baseItem="0"/>
  </dataFields>
  <formats count="40">
    <format dxfId="50">
      <pivotArea outline="0" collapsedLevelsAreSubtotals="1" fieldPosition="0"/>
    </format>
    <format dxfId="49">
      <pivotArea dataOnly="0" labelOnly="1" outline="0" fieldPosition="0">
        <references count="1">
          <reference field="5" count="0"/>
        </references>
      </pivotArea>
    </format>
    <format dxfId="48">
      <pivotArea dataOnly="0" labelOnly="1" grandRow="1" outline="0" fieldPosition="0"/>
    </format>
    <format dxfId="47">
      <pivotArea dataOnly="0" labelOnly="1" outline="0" fieldPosition="0">
        <references count="2">
          <reference field="5" count="1" selected="0">
            <x v="0"/>
          </reference>
          <reference field="6" count="4">
            <x v="0"/>
            <x v="1"/>
            <x v="4"/>
            <x v="5"/>
          </reference>
        </references>
      </pivotArea>
    </format>
    <format dxfId="46">
      <pivotArea dataOnly="0" labelOnly="1" outline="0" fieldPosition="0">
        <references count="2">
          <reference field="5" count="1" selected="0">
            <x v="1"/>
          </reference>
          <reference field="6" count="4">
            <x v="2"/>
            <x v="3"/>
            <x v="4"/>
            <x v="5"/>
          </reference>
        </references>
      </pivotArea>
    </format>
    <format dxfId="45">
      <pivotArea outline="0" fieldPosition="0">
        <references count="2">
          <reference field="5" count="0" selected="0"/>
          <reference field="6" count="0" selected="0"/>
        </references>
      </pivotArea>
    </format>
    <format dxfId="44">
      <pivotArea field="-2" type="button" dataOnly="0" labelOnly="1" outline="0" axis="axisValues" fieldPosition="0"/>
    </format>
    <format dxfId="43">
      <pivotArea outline="0" fieldPosition="0">
        <references count="2">
          <reference field="5" count="1" selected="0">
            <x v="0"/>
          </reference>
          <reference field="6" count="3" selected="0">
            <x v="1"/>
            <x v="4"/>
            <x v="5"/>
          </reference>
        </references>
      </pivotArea>
    </format>
    <format dxfId="42">
      <pivotArea outline="0" fieldPosition="0">
        <references count="1">
          <reference field="5" count="1" selected="0">
            <x v="1"/>
          </reference>
        </references>
      </pivotArea>
    </format>
    <format dxfId="41">
      <pivotArea dataOnly="0" labelOnly="1" outline="0" offset="IV2:IV256" fieldPosition="0">
        <references count="1">
          <reference field="5" count="1">
            <x v="0"/>
          </reference>
        </references>
      </pivotArea>
    </format>
    <format dxfId="40">
      <pivotArea dataOnly="0" labelOnly="1" outline="0" fieldPosition="0">
        <references count="1">
          <reference field="5" count="1">
            <x v="1"/>
          </reference>
        </references>
      </pivotArea>
    </format>
    <format dxfId="39">
      <pivotArea dataOnly="0" labelOnly="1" outline="0" fieldPosition="0">
        <references count="2">
          <reference field="5" count="1" selected="0">
            <x v="0"/>
          </reference>
          <reference field="6" count="3">
            <x v="1"/>
            <x v="4"/>
            <x v="5"/>
          </reference>
        </references>
      </pivotArea>
    </format>
    <format dxfId="38">
      <pivotArea dataOnly="0" labelOnly="1" outline="0" fieldPosition="0">
        <references count="2">
          <reference field="5" count="1" selected="0">
            <x v="1"/>
          </reference>
          <reference field="6" count="4">
            <x v="2"/>
            <x v="3"/>
            <x v="4"/>
            <x v="5"/>
          </reference>
        </references>
      </pivotArea>
    </format>
    <format dxfId="37">
      <pivotArea outline="0" collapsedLevelsAreSubtotals="1"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0" type="button" dataOnly="0" labelOnly="1" outline="0" axis="axisCol" fieldPosition="0"/>
    </format>
    <format dxfId="32">
      <pivotArea type="topRight" dataOnly="0" labelOnly="1" outline="0" fieldPosition="0"/>
    </format>
    <format dxfId="31">
      <pivotArea field="5" type="button" dataOnly="0" labelOnly="1" outline="0" axis="axisRow" fieldPosition="0"/>
    </format>
    <format dxfId="30">
      <pivotArea field="6" type="button" dataOnly="0" labelOnly="1" outline="0" axis="axisRow" fieldPosition="1"/>
    </format>
    <format dxfId="29">
      <pivotArea dataOnly="0" labelOnly="1" outline="0" fieldPosition="0">
        <references count="1">
          <reference field="5" count="0"/>
        </references>
      </pivotArea>
    </format>
    <format dxfId="28">
      <pivotArea dataOnly="0" labelOnly="1" outline="0" fieldPosition="0">
        <references count="2">
          <reference field="5" count="1" selected="0">
            <x v="0"/>
          </reference>
          <reference field="6" count="4">
            <x v="0"/>
            <x v="1"/>
            <x v="4"/>
            <x v="5"/>
          </reference>
        </references>
      </pivotArea>
    </format>
    <format dxfId="27">
      <pivotArea dataOnly="0" labelOnly="1" outline="0" fieldPosition="0">
        <references count="2">
          <reference field="5" count="1" selected="0">
            <x v="1"/>
          </reference>
          <reference field="6" count="4">
            <x v="2"/>
            <x v="3"/>
            <x v="4"/>
            <x v="5"/>
          </reference>
        </references>
      </pivotArea>
    </format>
    <format dxfId="26">
      <pivotArea dataOnly="0" labelOnly="1" outline="0" fieldPosition="0">
        <references count="2">
          <reference field="5" count="1" selected="0">
            <x v="2"/>
          </reference>
          <reference field="6" count="1">
            <x v="6"/>
          </reference>
        </references>
      </pivotArea>
    </format>
    <format dxfId="25">
      <pivotArea dataOnly="0" labelOnly="1" outline="0" fieldPosition="0">
        <references count="1">
          <reference field="0" count="0"/>
        </references>
      </pivotArea>
    </format>
    <format dxfId="24">
      <pivotArea dataOnly="0" labelOnly="1" grandCol="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0" type="button" dataOnly="0" labelOnly="1" outline="0" axis="axisCol" fieldPosition="0"/>
    </format>
    <format dxfId="19">
      <pivotArea type="topRight" dataOnly="0" labelOnly="1" outline="0" fieldPosition="0"/>
    </format>
    <format dxfId="18">
      <pivotArea field="5" type="button" dataOnly="0" labelOnly="1" outline="0" axis="axisRow" fieldPosition="0"/>
    </format>
    <format dxfId="17">
      <pivotArea field="6" type="button" dataOnly="0" labelOnly="1" outline="0" axis="axisRow" fieldPosition="1"/>
    </format>
    <format dxfId="16">
      <pivotArea dataOnly="0" labelOnly="1" outline="0" fieldPosition="0">
        <references count="1">
          <reference field="5" count="0"/>
        </references>
      </pivotArea>
    </format>
    <format dxfId="15">
      <pivotArea dataOnly="0" labelOnly="1" outline="0" fieldPosition="0">
        <references count="2">
          <reference field="5" count="1" selected="0">
            <x v="0"/>
          </reference>
          <reference field="6" count="4">
            <x v="0"/>
            <x v="1"/>
            <x v="4"/>
            <x v="5"/>
          </reference>
        </references>
      </pivotArea>
    </format>
    <format dxfId="14">
      <pivotArea dataOnly="0" labelOnly="1" outline="0" fieldPosition="0">
        <references count="2">
          <reference field="5" count="1" selected="0">
            <x v="1"/>
          </reference>
          <reference field="6" count="4">
            <x v="2"/>
            <x v="3"/>
            <x v="4"/>
            <x v="5"/>
          </reference>
        </references>
      </pivotArea>
    </format>
    <format dxfId="13">
      <pivotArea dataOnly="0" labelOnly="1" outline="0" fieldPosition="0">
        <references count="2">
          <reference field="5" count="1" selected="0">
            <x v="2"/>
          </reference>
          <reference field="6" count="1">
            <x v="6"/>
          </reference>
        </references>
      </pivotArea>
    </format>
    <format dxfId="12">
      <pivotArea dataOnly="0" labelOnly="1" outline="0" fieldPosition="0">
        <references count="1">
          <reference field="0" count="0"/>
        </references>
      </pivotArea>
    </format>
    <format dxfId="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966FE4-F242-480B-803D-01C16CD49CCD}"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Y5:BZ18" firstHeaderRow="1" firstDataRow="1" firstDataCol="1"/>
  <pivotFields count="70">
    <pivotField axis="axisRow" showAll="0">
      <items count="4">
        <item x="0"/>
        <item x="1"/>
        <item x="2"/>
        <item t="default"/>
      </items>
    </pivotField>
    <pivotField axis="axisRow" showAll="0">
      <items count="8">
        <item x="3"/>
        <item x="2"/>
        <item x="4"/>
        <item x="5"/>
        <item x="0"/>
        <item x="1"/>
        <item x="6"/>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i>
    <i r="1">
      <x/>
    </i>
    <i r="1">
      <x v="1"/>
    </i>
    <i r="1">
      <x v="4"/>
    </i>
    <i r="1">
      <x v="5"/>
    </i>
    <i>
      <x v="1"/>
    </i>
    <i r="1">
      <x v="2"/>
    </i>
    <i r="1">
      <x v="3"/>
    </i>
    <i r="1">
      <x v="4"/>
    </i>
    <i r="1">
      <x v="5"/>
    </i>
    <i>
      <x v="2"/>
    </i>
    <i r="1">
      <x v="6"/>
    </i>
    <i t="grand">
      <x/>
    </i>
  </rowItems>
  <colItems count="1">
    <i/>
  </colItems>
  <dataFields count="1">
    <dataField name="StdDev of Shoot moisture content (%)" fld="46" subtotal="stdDev" baseField="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57A60E-5BEB-4C20-BF53-BA39F46055D5}" name="PivotTable1" cacheId="3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6:V16" firstHeaderRow="1" firstDataRow="1" firstDataCol="1"/>
  <pivotFields count="19">
    <pivotField axis="axisRow" showAll="0" defaultSubtotal="0">
      <items count="3">
        <item x="0"/>
        <item x="1"/>
        <item h="1" x="2"/>
      </items>
    </pivotField>
    <pivotField axis="axisRow" showAll="0">
      <items count="8">
        <item x="3"/>
        <item x="2"/>
        <item x="4"/>
        <item x="5"/>
        <item x="0"/>
        <item x="1"/>
        <item x="6"/>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0"/>
    <field x="1"/>
  </rowFields>
  <rowItems count="10">
    <i>
      <x/>
    </i>
    <i r="1">
      <x/>
    </i>
    <i r="1">
      <x v="1"/>
    </i>
    <i r="1">
      <x v="4"/>
    </i>
    <i r="1">
      <x v="5"/>
    </i>
    <i>
      <x v="1"/>
    </i>
    <i r="1">
      <x v="2"/>
    </i>
    <i r="1">
      <x v="3"/>
    </i>
    <i r="1">
      <x v="4"/>
    </i>
    <i r="1">
      <x v="5"/>
    </i>
  </rowItems>
  <colItems count="1">
    <i/>
  </colItems>
  <dataFields count="1">
    <dataField name="Average of Machine harvest yield (t/ha)" fld="13" subtotal="average" baseField="0" baseItem="0" numFmtId="2"/>
  </dataFields>
  <formats count="1">
    <format dxfId="60">
      <pivotArea outline="0" collapsedLevelsAreSubtotals="1" fieldPosition="0"/>
    </format>
  </formats>
  <conditionalFormats count="1">
    <conditionalFormat priority="1">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257D14-42F6-4801-8F36-07CD29B8C6A2}"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T4:BU17" firstHeaderRow="1" firstDataRow="1" firstDataCol="1"/>
  <pivotFields count="69">
    <pivotField axis="axisRow" showAll="0" defaultSubtotal="0">
      <items count="3">
        <item x="0"/>
        <item x="1"/>
        <item x="2"/>
      </items>
    </pivotField>
    <pivotField axis="axisRow" showAll="0">
      <items count="8">
        <item x="3"/>
        <item x="2"/>
        <item x="4"/>
        <item x="5"/>
        <item x="0"/>
        <item x="1"/>
        <item x="6"/>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i>
    <i r="1">
      <x/>
    </i>
    <i r="1">
      <x v="1"/>
    </i>
    <i r="1">
      <x v="4"/>
    </i>
    <i r="1">
      <x v="5"/>
    </i>
    <i>
      <x v="1"/>
    </i>
    <i r="1">
      <x v="2"/>
    </i>
    <i r="1">
      <x v="3"/>
    </i>
    <i r="1">
      <x v="4"/>
    </i>
    <i r="1">
      <x v="5"/>
    </i>
    <i>
      <x v="2"/>
    </i>
    <i r="1">
      <x v="6"/>
    </i>
    <i t="grand">
      <x/>
    </i>
  </rowItems>
  <colItems count="1">
    <i/>
  </colItems>
  <dataFields count="1">
    <dataField name="Average of Moisture content (%)" fld="45"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226212-4DBC-4A94-91F9-2F2837AECF61}" name="PivotTable2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W4:BX17" firstHeaderRow="1" firstDataRow="1" firstDataCol="1"/>
  <pivotFields count="69">
    <pivotField axis="axisRow" showAll="0" defaultSubtotal="0">
      <items count="3">
        <item x="0"/>
        <item x="1"/>
        <item x="2"/>
      </items>
    </pivotField>
    <pivotField axis="axisRow" showAll="0">
      <items count="8">
        <item x="3"/>
        <item x="2"/>
        <item x="4"/>
        <item x="5"/>
        <item x="0"/>
        <item x="1"/>
        <item x="6"/>
        <item t="default"/>
      </items>
    </pivotField>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i>
    <i r="1">
      <x/>
    </i>
    <i r="1">
      <x v="1"/>
    </i>
    <i r="1">
      <x v="4"/>
    </i>
    <i r="1">
      <x v="5"/>
    </i>
    <i>
      <x v="1"/>
    </i>
    <i r="1">
      <x v="2"/>
    </i>
    <i r="1">
      <x v="3"/>
    </i>
    <i r="1">
      <x v="4"/>
    </i>
    <i r="1">
      <x v="5"/>
    </i>
    <i>
      <x v="2"/>
    </i>
    <i r="1">
      <x v="6"/>
    </i>
    <i t="grand">
      <x/>
    </i>
  </rowItems>
  <colItems count="1">
    <i/>
  </colItems>
  <dataFields count="1">
    <dataField name="StdDev of Moisture content (%)" fld="45" subtotal="stdDev"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F30CB5-E859-47DA-B18C-133DADA8D446}" name="PivotTable3"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R18:AW29" firstHeaderRow="1" firstDataRow="2" firstDataCol="1"/>
  <pivotFields count="41">
    <pivotField axis="axisRow" showAll="0">
      <items count="4">
        <item x="0"/>
        <item x="1"/>
        <item h="1" x="2"/>
        <item t="default"/>
      </items>
    </pivotField>
    <pivotField axis="axisRow" showAll="0">
      <items count="8">
        <item x="3"/>
        <item x="2"/>
        <item x="4"/>
        <item x="5"/>
        <item x="0"/>
        <item x="1"/>
        <item x="6"/>
        <item t="default"/>
      </items>
    </pivotField>
    <pivotField showAll="0"/>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0"/>
    <field x="1"/>
  </rowFields>
  <rowItems count="10">
    <i>
      <x/>
    </i>
    <i r="1">
      <x/>
    </i>
    <i r="1">
      <x v="1"/>
    </i>
    <i r="1">
      <x v="4"/>
    </i>
    <i r="1">
      <x v="5"/>
    </i>
    <i>
      <x v="1"/>
    </i>
    <i r="1">
      <x v="2"/>
    </i>
    <i r="1">
      <x v="3"/>
    </i>
    <i r="1">
      <x v="4"/>
    </i>
    <i r="1">
      <x v="5"/>
    </i>
  </rowItems>
  <colFields count="1">
    <field x="3"/>
  </colFields>
  <colItems count="5">
    <i>
      <x/>
    </i>
    <i>
      <x v="1"/>
    </i>
    <i>
      <x v="2"/>
    </i>
    <i>
      <x v="3"/>
    </i>
    <i t="grand">
      <x/>
    </i>
  </colItems>
  <dataFields count="1">
    <dataField name="Average of Whole sample grain yield (g/m²)" fld="36" subtotal="average" baseField="0" baseItem="0"/>
  </dataFields>
  <formats count="4">
    <format dxfId="5">
      <pivotArea outline="0" collapsedLevelsAreSubtotals="1" fieldPosition="0"/>
    </format>
    <format dxfId="4">
      <pivotArea collapsedLevelsAreSubtotals="1" fieldPosition="0">
        <references count="2">
          <reference field="0" count="1" selected="0">
            <x v="0"/>
          </reference>
          <reference field="1" count="4">
            <x v="0"/>
            <x v="1"/>
            <x v="4"/>
            <x v="5"/>
          </reference>
        </references>
      </pivotArea>
    </format>
    <format dxfId="3">
      <pivotArea collapsedLevelsAreSubtotals="1" fieldPosition="0">
        <references count="1">
          <reference field="0" count="1">
            <x v="1"/>
          </reference>
        </references>
      </pivotArea>
    </format>
    <format dxfId="2">
      <pivotArea collapsedLevelsAreSubtotals="1" fieldPosition="0">
        <references count="2">
          <reference field="0" count="1" selected="0">
            <x v="1"/>
          </reference>
          <reference field="1" count="4">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7D3895-F99D-4548-965B-19672B39FE5C}" name="PivotTable2"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R4:AW14" firstHeaderRow="0" firstDataRow="1" firstDataCol="1"/>
  <pivotFields count="41">
    <pivotField axis="axisRow" showAll="0">
      <items count="4">
        <item x="0"/>
        <item x="1"/>
        <item h="1" x="2"/>
        <item t="default"/>
      </items>
    </pivotField>
    <pivotField axis="axisRow" showAll="0">
      <items count="8">
        <item x="3"/>
        <item x="2"/>
        <item x="4"/>
        <item x="5"/>
        <item x="0"/>
        <item x="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s>
  <rowFields count="2">
    <field x="0"/>
    <field x="1"/>
  </rowFields>
  <rowItems count="10">
    <i>
      <x/>
    </i>
    <i r="1">
      <x/>
    </i>
    <i r="1">
      <x v="1"/>
    </i>
    <i r="1">
      <x v="4"/>
    </i>
    <i r="1">
      <x v="5"/>
    </i>
    <i>
      <x v="1"/>
    </i>
    <i r="1">
      <x v="2"/>
    </i>
    <i r="1">
      <x v="3"/>
    </i>
    <i r="1">
      <x v="4"/>
    </i>
    <i r="1">
      <x v="5"/>
    </i>
  </rowItems>
  <colFields count="1">
    <field x="-2"/>
  </colFields>
  <colItems count="5">
    <i>
      <x/>
    </i>
    <i i="1">
      <x v="1"/>
    </i>
    <i i="2">
      <x v="2"/>
    </i>
    <i i="3">
      <x v="3"/>
    </i>
    <i i="4">
      <x v="4"/>
    </i>
  </colItems>
  <dataFields count="5">
    <dataField name="Average of Estimated dry matter at PCDS 10.0 (g/m²)" fld="27" subtotal="average" baseField="0" baseItem="0"/>
    <dataField name="Average of Whole sample grain yield (g/m²)" fld="36" subtotal="average" baseField="0" baseItem="0"/>
    <dataField name="Average of Harvest index" fld="37" subtotal="average" baseField="0" baseItem="0" numFmtId="2"/>
    <dataField name="Average of Individual grain weight (mg)" fld="39" subtotal="average" baseField="0" baseItem="0"/>
    <dataField name="Average of Grain number (grains/m²)" fld="40" subtotal="average" baseField="0" baseItem="0"/>
  </dataFields>
  <formats count="2">
    <format dxfId="7">
      <pivotArea outline="0" collapsedLevelsAreSubtotals="1" fieldPosition="0"/>
    </format>
    <format dxfId="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dT="2025-07-11T02:01:28.47" personId="{A0EE4313-A0CE-4A97-9B58-AF1BBC688A87}" id="{2AF4ABE5-BDFD-4EEB-8F4D-E355382BF2B3}">
    <text>@James Hunt @Juan Wang 
See irrigation diary for EVA</text>
    <mentions>
      <mention mentionpersonId="{21BEE49F-0518-4D96-A534-ADF556E45267}" mentionId="{1D941138-CFB4-4E7F-8BA1-5F8E0D028692}" startIndex="0" length="11"/>
      <mention mentionpersonId="{6013FB9D-7164-4167-A58A-F563C16FFB3F}" mentionId="{42A38120-A078-4B64-BD93-57EBCA645A88}" startIndex="12" length="10"/>
    </mentions>
  </threadedComment>
  <threadedComment ref="D10" dT="2025-07-11T02:03:39.60" personId="{A0EE4313-A0CE-4A97-9B58-AF1BBC688A87}" id="{BA66503D-A75A-4736-B9E7-827AA0DBF9D3}">
    <text xml:space="preserve">@James Hunt @Juan Wang </text>
    <mentions>
      <mention mentionpersonId="{21BEE49F-0518-4D96-A534-ADF556E45267}" mentionId="{D728FE23-1AD6-45CC-B9E5-48624F68BDFF}" startIndex="0" length="11"/>
      <mention mentionpersonId="{6013FB9D-7164-4167-A58A-F563C16FFB3F}" mentionId="{FC7F5E17-7F81-4CA3-9D77-69115A5719D2}" startIndex="12" length="1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107" dT="2025-05-01T23:46:33.30" personId="{B959D934-98B9-4029-8D79-53141ADE86B6}" id="{3EF9F93B-D732-4FD5-8DB9-883CDBF038C7}">
    <text>Next to the pink pole, there is a 1-2 metre gap with no plants</text>
  </threadedComment>
  <threadedComment ref="K108" dT="2025-05-01T23:47:09.21" personId="{B959D934-98B9-4029-8D79-53141ADE86B6}" id="{ECC23C44-1D33-4712-BDB6-8081B6A8C4DE}">
    <text xml:space="preserve">Next to the pink pole, there is a 1-2 metre gap with no plants
</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4-05-17T02:05:14.49" personId="{B959D934-98B9-4029-8D79-53141ADE86B6}" id="{1DFBAE8C-BA17-4A71-995A-3DEA535F8B85}">
    <text>Plant No along 1 meter</text>
  </threadedComment>
</ThreadedComments>
</file>

<file path=xl/threadedComments/threadedComment4.xml><?xml version="1.0" encoding="utf-8"?>
<ThreadedComments xmlns="http://schemas.microsoft.com/office/spreadsheetml/2018/threadedcomments" xmlns:x="http://schemas.openxmlformats.org/spreadsheetml/2006/main">
  <threadedComment ref="L229" dT="2025-07-24T05:29:47.15" personId="{A0EE4313-A0CE-4A97-9B58-AF1BBC688A87}" id="{D001D248-C6CE-4AF2-A4ED-3B70FE6B0F8B}">
    <text>Tag fell of 6th leaf, but i am very confident i put back on 6th leaf, and that this reading is correct.</text>
  </threadedComment>
</ThreadedComments>
</file>

<file path=xl/threadedComments/threadedComment5.xml><?xml version="1.0" encoding="utf-8"?>
<ThreadedComments xmlns="http://schemas.microsoft.com/office/spreadsheetml/2018/threadedcomments" xmlns:x="http://schemas.openxmlformats.org/spreadsheetml/2006/main">
  <threadedComment ref="I1" dT="2026-01-14T03:12:40.63" personId="{A0EE4313-A0CE-4A97-9B58-AF1BBC688A87}" id="{23D990D4-EE50-4C59-964F-7778B7FFF3B5}">
    <text>Plot lengths taken on 13/1/2026</text>
  </threadedComment>
</ThreadedComments>
</file>

<file path=xl/threadedComments/threadedComment6.xml><?xml version="1.0" encoding="utf-8"?>
<ThreadedComments xmlns="http://schemas.microsoft.com/office/spreadsheetml/2018/threadedcomments" xmlns:x="http://schemas.openxmlformats.org/spreadsheetml/2006/main">
  <threadedComment ref="S1" dT="2025-04-01T22:53:26.92" personId="{B959D934-98B9-4029-8D79-53141ADE86B6}" id="{2A4941F0-CE1A-4BB3-B10A-32C9163A1D8F}">
    <text>Number of spikelets that the first florets do not contain a grain</text>
  </threadedComment>
</ThreadedComments>
</file>

<file path=xl/threadedComments/threadedComment7.xml><?xml version="1.0" encoding="utf-8"?>
<ThreadedComments xmlns="http://schemas.microsoft.com/office/spreadsheetml/2018/threadedcomments" xmlns:x="http://schemas.openxmlformats.org/spreadsheetml/2006/main">
  <threadedComment ref="Z13" dT="2026-01-14T01:08:23.50" personId="{A0EE4313-A0CE-4A97-9B58-AF1BBC688A87}" id="{1893B828-F677-4E49-889A-A3E25581CB82}">
    <text>looking like lots of broken grains in this sample, was very careful while counting 200 grain weight.</text>
  </threadedComment>
  <threadedComment ref="U26" dT="2026-02-27T00:28:52.45" personId="{B959D934-98B9-4029-8D79-53141ADE86B6}" id="{AC203A0C-F86C-47A0-8B22-FCF576442A61}">
    <text xml:space="preserve">Missing? @Andre Pasquale </text>
    <mentions>
      <mention mentionpersonId="{F80D37D5-D7A3-4567-8973-43AFF8AEF364}" mentionId="{EC0B5E47-CDE0-41E7-B05C-FBC7E5C1FBEB}" startIndex="9" length="15"/>
    </mentions>
  </threadedComment>
  <threadedComment ref="U26" dT="2026-02-27T02:20:13.42" personId="{C47D5F9F-424F-4DA4-9F07-12EE339B787E}" id="{45B43CA7-F616-4543-B4C1-9F217B75165C}" parentId="{AC203A0C-F86C-47A0-8B22-FCF576442A61}">
    <text xml:space="preserve">Andre emailed me, found the sample in the container it was supposed to be in and weighed it. Will dry it in 70 oven for a few hours and weigh it again to make sure it hasn’t absorbed moisture. </text>
  </threadedComment>
  <threadedComment ref="U26" dT="2026-02-27T03:14:04.88" personId="{B959D934-98B9-4029-8D79-53141ADE86B6}" id="{E51C7E73-79AF-4FD9-9666-8A16E310A9E9}" parentId="{AC203A0C-F86C-47A0-8B22-FCF576442A61}">
    <text>Thanks Lily!</text>
  </threadedComment>
  <threadedComment ref="U26" dT="2026-02-27T05:25:14.45" personId="{C47D5F9F-424F-4DA4-9F07-12EE339B787E}" id="{7499A8CB-8774-48E1-ADA1-1EC88EDBF36C}" parentId="{AC203A0C-F86C-47A0-8B22-FCF576442A61}">
    <text>Was 18.44 before 4 hours in oven, updated to 17.45</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www.bom.gov.au/climate/averages/tables/cw_081013.shtml" TargetMode="External"/><Relationship Id="rId1" Type="http://schemas.openxmlformats.org/officeDocument/2006/relationships/hyperlink" Target="http://weatherplus.ikcaldwell.com.au/wpdookiecollege/weather/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pivotTable" Target="../pivotTables/pivotTable4.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microsoft.com/office/2017/10/relationships/threadedComment" Target="../threadedComments/threadedComment5.xml"/><Relationship Id="rId4" Type="http://schemas.openxmlformats.org/officeDocument/2006/relationships/comments" Target="../comments7.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17/10/relationships/threadedComment" Target="../threadedComments/threadedComment7.xml"/><Relationship Id="rId5" Type="http://schemas.openxmlformats.org/officeDocument/2006/relationships/comments" Target="../comments10.xml"/><Relationship Id="rId4"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B8"/>
  <sheetViews>
    <sheetView workbookViewId="0">
      <selection activeCell="B8" sqref="B7:B8"/>
    </sheetView>
  </sheetViews>
  <sheetFormatPr defaultRowHeight="14.5" x14ac:dyDescent="0.35"/>
  <cols>
    <col min="1" max="1" width="33.26953125" bestFit="1" customWidth="1"/>
  </cols>
  <sheetData>
    <row r="1" spans="1:2" x14ac:dyDescent="0.35">
      <c r="A1" s="1" t="s">
        <v>0</v>
      </c>
      <c r="B1" t="s">
        <v>1</v>
      </c>
    </row>
    <row r="2" spans="1:2" x14ac:dyDescent="0.35">
      <c r="A2" s="1" t="s">
        <v>2</v>
      </c>
      <c r="B2" t="s">
        <v>3</v>
      </c>
    </row>
    <row r="3" spans="1:2" x14ac:dyDescent="0.35">
      <c r="A3" s="1" t="s">
        <v>4</v>
      </c>
    </row>
    <row r="4" spans="1:2" x14ac:dyDescent="0.35">
      <c r="A4" s="1" t="s">
        <v>5</v>
      </c>
    </row>
    <row r="5" spans="1:2" x14ac:dyDescent="0.35">
      <c r="A5" s="1" t="s">
        <v>6</v>
      </c>
      <c r="B5" s="2" t="s">
        <v>7</v>
      </c>
    </row>
    <row r="6" spans="1:2" x14ac:dyDescent="0.35">
      <c r="A6" s="1" t="s">
        <v>8</v>
      </c>
      <c r="B6" s="2" t="s">
        <v>9</v>
      </c>
    </row>
    <row r="7" spans="1:2" x14ac:dyDescent="0.35">
      <c r="A7" s="1" t="s">
        <v>10</v>
      </c>
      <c r="B7" s="3"/>
    </row>
    <row r="8" spans="1:2" x14ac:dyDescent="0.35">
      <c r="A8" s="1" t="s">
        <v>11</v>
      </c>
    </row>
  </sheetData>
  <hyperlinks>
    <hyperlink ref="B5" r:id="rId1" xr:uid="{CE05CE20-5E70-4FBD-B106-0CB231878BD8}"/>
    <hyperlink ref="B6" r:id="rId2" xr:uid="{6ADCB901-D393-4ED4-8CA0-4158C6725B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B5"/>
  <sheetViews>
    <sheetView workbookViewId="0">
      <selection activeCell="E14" sqref="E14"/>
    </sheetView>
  </sheetViews>
  <sheetFormatPr defaultRowHeight="14.5" x14ac:dyDescent="0.35"/>
  <cols>
    <col min="1" max="1" width="17.7265625" bestFit="1" customWidth="1"/>
  </cols>
  <sheetData>
    <row r="1" spans="1:2" x14ac:dyDescent="0.35">
      <c r="A1" s="1" t="s">
        <v>12</v>
      </c>
      <c r="B1" t="s">
        <v>13</v>
      </c>
    </row>
    <row r="2" spans="1:2" x14ac:dyDescent="0.35">
      <c r="A2" s="1" t="s">
        <v>14</v>
      </c>
      <c r="B2" t="s">
        <v>15</v>
      </c>
    </row>
    <row r="3" spans="1:2" x14ac:dyDescent="0.35">
      <c r="A3" s="1" t="s">
        <v>16</v>
      </c>
      <c r="B3" t="s">
        <v>17</v>
      </c>
    </row>
    <row r="4" spans="1:2" x14ac:dyDescent="0.35">
      <c r="A4" s="1" t="s">
        <v>18</v>
      </c>
    </row>
    <row r="5" spans="1:2" x14ac:dyDescent="0.35">
      <c r="A5" s="1" t="s">
        <v>19</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dimension ref="A1:H65"/>
  <sheetViews>
    <sheetView workbookViewId="0">
      <selection sqref="A1:H65"/>
    </sheetView>
  </sheetViews>
  <sheetFormatPr defaultRowHeight="14.5" x14ac:dyDescent="0.35"/>
  <cols>
    <col min="1" max="1" width="13.81640625" style="62" customWidth="1"/>
    <col min="2" max="2" width="16.453125" style="62" customWidth="1"/>
    <col min="3" max="3" width="13.54296875" style="62" customWidth="1"/>
    <col min="4" max="5" width="9.1796875" style="62"/>
    <col min="6" max="6" width="8.54296875" style="62" customWidth="1"/>
    <col min="7" max="7" width="9.1796875" style="62"/>
    <col min="8" max="8" width="11.54296875" style="62" customWidth="1"/>
  </cols>
  <sheetData>
    <row r="1" spans="1:8" s="83" customFormat="1" ht="29" x14ac:dyDescent="0.35">
      <c r="A1" s="82" t="s">
        <v>20</v>
      </c>
      <c r="B1" s="82" t="s">
        <v>21</v>
      </c>
      <c r="C1" s="82" t="s">
        <v>22</v>
      </c>
      <c r="D1" s="82" t="s">
        <v>23</v>
      </c>
      <c r="E1" s="82" t="s">
        <v>24</v>
      </c>
      <c r="F1" s="82" t="s">
        <v>25</v>
      </c>
      <c r="G1" s="82" t="s">
        <v>26</v>
      </c>
      <c r="H1" s="82" t="s">
        <v>27</v>
      </c>
    </row>
    <row r="2" spans="1:8" x14ac:dyDescent="0.35">
      <c r="A2" s="62" t="s">
        <v>28</v>
      </c>
      <c r="B2" s="62" t="s">
        <v>29</v>
      </c>
      <c r="C2" s="62">
        <v>1</v>
      </c>
      <c r="D2" s="62">
        <v>1</v>
      </c>
      <c r="E2" s="62">
        <v>1</v>
      </c>
      <c r="F2" s="62">
        <v>101</v>
      </c>
      <c r="G2" s="62">
        <v>1</v>
      </c>
      <c r="H2" s="62">
        <v>1</v>
      </c>
    </row>
    <row r="3" spans="1:8" x14ac:dyDescent="0.35">
      <c r="A3" s="62" t="s">
        <v>28</v>
      </c>
      <c r="B3" s="62" t="s">
        <v>30</v>
      </c>
      <c r="C3" s="62">
        <v>1</v>
      </c>
      <c r="D3" s="62">
        <v>2</v>
      </c>
      <c r="E3" s="62">
        <v>1</v>
      </c>
      <c r="F3" s="62">
        <v>201</v>
      </c>
      <c r="G3" s="62">
        <v>2</v>
      </c>
      <c r="H3" s="62">
        <v>32</v>
      </c>
    </row>
    <row r="4" spans="1:8" x14ac:dyDescent="0.35">
      <c r="A4" s="62" t="s">
        <v>28</v>
      </c>
      <c r="B4" s="62" t="s">
        <v>31</v>
      </c>
      <c r="C4" s="62">
        <v>1</v>
      </c>
      <c r="D4" s="62">
        <v>3</v>
      </c>
      <c r="E4" s="62">
        <v>1</v>
      </c>
      <c r="F4" s="62">
        <v>301</v>
      </c>
      <c r="G4" s="62">
        <v>3</v>
      </c>
      <c r="H4" s="62">
        <v>33</v>
      </c>
    </row>
    <row r="5" spans="1:8" x14ac:dyDescent="0.35">
      <c r="A5" s="62" t="s">
        <v>28</v>
      </c>
      <c r="B5" s="62" t="s">
        <v>32</v>
      </c>
      <c r="C5" s="62">
        <v>1</v>
      </c>
      <c r="D5" s="62">
        <v>4</v>
      </c>
      <c r="E5" s="62">
        <v>1</v>
      </c>
      <c r="F5" s="62">
        <v>401</v>
      </c>
      <c r="G5" s="62">
        <v>4</v>
      </c>
      <c r="H5" s="62">
        <v>64</v>
      </c>
    </row>
    <row r="6" spans="1:8" x14ac:dyDescent="0.35">
      <c r="A6" s="62" t="s">
        <v>28</v>
      </c>
      <c r="B6" s="62" t="s">
        <v>32</v>
      </c>
      <c r="C6" s="62">
        <v>1</v>
      </c>
      <c r="D6" s="62">
        <v>4</v>
      </c>
      <c r="E6" s="62">
        <v>2</v>
      </c>
      <c r="F6" s="62">
        <v>402</v>
      </c>
      <c r="G6" s="62">
        <v>5</v>
      </c>
      <c r="H6" s="62">
        <v>63</v>
      </c>
    </row>
    <row r="7" spans="1:8" x14ac:dyDescent="0.35">
      <c r="A7" s="62" t="s">
        <v>28</v>
      </c>
      <c r="B7" s="62" t="s">
        <v>31</v>
      </c>
      <c r="C7" s="62">
        <v>1</v>
      </c>
      <c r="D7" s="62">
        <v>3</v>
      </c>
      <c r="E7" s="62">
        <v>2</v>
      </c>
      <c r="F7" s="62">
        <v>302</v>
      </c>
      <c r="G7" s="62">
        <v>6</v>
      </c>
      <c r="H7" s="62">
        <v>34</v>
      </c>
    </row>
    <row r="8" spans="1:8" x14ac:dyDescent="0.35">
      <c r="A8" s="62" t="s">
        <v>28</v>
      </c>
      <c r="B8" s="62" t="s">
        <v>30</v>
      </c>
      <c r="C8" s="62">
        <v>1</v>
      </c>
      <c r="D8" s="62">
        <v>2</v>
      </c>
      <c r="E8" s="62">
        <v>2</v>
      </c>
      <c r="F8" s="62">
        <v>202</v>
      </c>
      <c r="G8" s="62">
        <v>7</v>
      </c>
      <c r="H8" s="62">
        <v>31</v>
      </c>
    </row>
    <row r="9" spans="1:8" x14ac:dyDescent="0.35">
      <c r="A9" s="62" t="s">
        <v>28</v>
      </c>
      <c r="B9" s="62" t="s">
        <v>29</v>
      </c>
      <c r="C9" s="62">
        <v>1</v>
      </c>
      <c r="D9" s="62">
        <v>1</v>
      </c>
      <c r="E9" s="62">
        <v>2</v>
      </c>
      <c r="F9" s="62">
        <v>102</v>
      </c>
      <c r="G9" s="62">
        <v>8</v>
      </c>
      <c r="H9" s="62">
        <v>2</v>
      </c>
    </row>
    <row r="10" spans="1:8" x14ac:dyDescent="0.35">
      <c r="A10" s="62" t="s">
        <v>33</v>
      </c>
      <c r="B10" s="62" t="s">
        <v>34</v>
      </c>
      <c r="C10" s="62">
        <v>1</v>
      </c>
      <c r="D10" s="62">
        <v>1</v>
      </c>
      <c r="E10" s="62">
        <v>3</v>
      </c>
      <c r="F10" s="62">
        <v>103</v>
      </c>
      <c r="G10" s="62">
        <v>9</v>
      </c>
      <c r="H10" s="62">
        <v>3</v>
      </c>
    </row>
    <row r="11" spans="1:8" x14ac:dyDescent="0.35">
      <c r="A11" s="62" t="s">
        <v>33</v>
      </c>
      <c r="B11" s="62" t="s">
        <v>30</v>
      </c>
      <c r="C11" s="62">
        <v>1</v>
      </c>
      <c r="D11" s="62">
        <v>2</v>
      </c>
      <c r="E11" s="62">
        <v>3</v>
      </c>
      <c r="F11" s="62">
        <v>203</v>
      </c>
      <c r="G11" s="62">
        <v>10</v>
      </c>
      <c r="H11" s="62">
        <v>30</v>
      </c>
    </row>
    <row r="12" spans="1:8" x14ac:dyDescent="0.35">
      <c r="A12" s="62" t="s">
        <v>33</v>
      </c>
      <c r="B12" s="62" t="s">
        <v>35</v>
      </c>
      <c r="C12" s="62">
        <v>1</v>
      </c>
      <c r="D12" s="62">
        <v>3</v>
      </c>
      <c r="E12" s="62">
        <v>3</v>
      </c>
      <c r="F12" s="62">
        <v>303</v>
      </c>
      <c r="G12" s="62">
        <v>11</v>
      </c>
      <c r="H12" s="62">
        <v>35</v>
      </c>
    </row>
    <row r="13" spans="1:8" x14ac:dyDescent="0.35">
      <c r="A13" s="62" t="s">
        <v>33</v>
      </c>
      <c r="B13" s="62" t="s">
        <v>29</v>
      </c>
      <c r="C13" s="62">
        <v>1</v>
      </c>
      <c r="D13" s="62">
        <v>4</v>
      </c>
      <c r="E13" s="62">
        <v>3</v>
      </c>
      <c r="F13" s="62">
        <v>403</v>
      </c>
      <c r="G13" s="62">
        <v>12</v>
      </c>
      <c r="H13" s="62">
        <v>62</v>
      </c>
    </row>
    <row r="14" spans="1:8" x14ac:dyDescent="0.35">
      <c r="A14" s="62" t="s">
        <v>33</v>
      </c>
      <c r="B14" s="62" t="s">
        <v>29</v>
      </c>
      <c r="C14" s="62">
        <v>1</v>
      </c>
      <c r="D14" s="62">
        <v>4</v>
      </c>
      <c r="E14" s="62">
        <v>4</v>
      </c>
      <c r="F14" s="62">
        <v>404</v>
      </c>
      <c r="G14" s="62">
        <v>13</v>
      </c>
      <c r="H14" s="62">
        <v>61</v>
      </c>
    </row>
    <row r="15" spans="1:8" x14ac:dyDescent="0.35">
      <c r="A15" s="62" t="s">
        <v>33</v>
      </c>
      <c r="B15" s="62" t="s">
        <v>35</v>
      </c>
      <c r="C15" s="62">
        <v>1</v>
      </c>
      <c r="D15" s="62">
        <v>3</v>
      </c>
      <c r="E15" s="62">
        <v>4</v>
      </c>
      <c r="F15" s="62">
        <v>304</v>
      </c>
      <c r="G15" s="62">
        <v>14</v>
      </c>
      <c r="H15" s="62">
        <v>36</v>
      </c>
    </row>
    <row r="16" spans="1:8" x14ac:dyDescent="0.35">
      <c r="A16" s="62" t="s">
        <v>33</v>
      </c>
      <c r="B16" s="62" t="s">
        <v>30</v>
      </c>
      <c r="C16" s="62">
        <v>1</v>
      </c>
      <c r="D16" s="62">
        <v>2</v>
      </c>
      <c r="E16" s="62">
        <v>4</v>
      </c>
      <c r="F16" s="62">
        <v>204</v>
      </c>
      <c r="G16" s="62">
        <v>15</v>
      </c>
      <c r="H16" s="62">
        <v>29</v>
      </c>
    </row>
    <row r="17" spans="1:8" x14ac:dyDescent="0.35">
      <c r="A17" s="62" t="s">
        <v>33</v>
      </c>
      <c r="B17" s="62" t="s">
        <v>34</v>
      </c>
      <c r="C17" s="62">
        <v>1</v>
      </c>
      <c r="D17" s="62">
        <v>1</v>
      </c>
      <c r="E17" s="62">
        <v>4</v>
      </c>
      <c r="F17" s="62">
        <v>104</v>
      </c>
      <c r="G17" s="62">
        <v>16</v>
      </c>
      <c r="H17" s="62">
        <v>4</v>
      </c>
    </row>
    <row r="18" spans="1:8" x14ac:dyDescent="0.35">
      <c r="A18" s="62" t="s">
        <v>28</v>
      </c>
      <c r="B18" s="62" t="s">
        <v>31</v>
      </c>
      <c r="C18" s="62">
        <v>2</v>
      </c>
      <c r="D18" s="62">
        <v>1</v>
      </c>
      <c r="E18" s="62">
        <v>5</v>
      </c>
      <c r="F18" s="62">
        <v>105</v>
      </c>
      <c r="G18" s="62">
        <v>17</v>
      </c>
      <c r="H18" s="62">
        <v>5</v>
      </c>
    </row>
    <row r="19" spans="1:8" x14ac:dyDescent="0.35">
      <c r="A19" s="62" t="s">
        <v>28</v>
      </c>
      <c r="B19" s="62" t="s">
        <v>32</v>
      </c>
      <c r="C19" s="62">
        <v>2</v>
      </c>
      <c r="D19" s="62">
        <v>2</v>
      </c>
      <c r="E19" s="62">
        <v>5</v>
      </c>
      <c r="F19" s="62">
        <v>205</v>
      </c>
      <c r="G19" s="62">
        <v>18</v>
      </c>
      <c r="H19" s="62">
        <v>28</v>
      </c>
    </row>
    <row r="20" spans="1:8" x14ac:dyDescent="0.35">
      <c r="A20" s="62" t="s">
        <v>28</v>
      </c>
      <c r="B20" s="62" t="s">
        <v>30</v>
      </c>
      <c r="C20" s="62">
        <v>2</v>
      </c>
      <c r="D20" s="62">
        <v>3</v>
      </c>
      <c r="E20" s="62">
        <v>5</v>
      </c>
      <c r="F20" s="62">
        <v>305</v>
      </c>
      <c r="G20" s="62">
        <v>19</v>
      </c>
      <c r="H20" s="62">
        <v>37</v>
      </c>
    </row>
    <row r="21" spans="1:8" x14ac:dyDescent="0.35">
      <c r="A21" s="62" t="s">
        <v>28</v>
      </c>
      <c r="B21" s="62" t="s">
        <v>29</v>
      </c>
      <c r="C21" s="62">
        <v>2</v>
      </c>
      <c r="D21" s="62">
        <v>4</v>
      </c>
      <c r="E21" s="62">
        <v>5</v>
      </c>
      <c r="F21" s="62">
        <v>405</v>
      </c>
      <c r="G21" s="62">
        <v>20</v>
      </c>
      <c r="H21" s="62">
        <v>60</v>
      </c>
    </row>
    <row r="22" spans="1:8" x14ac:dyDescent="0.35">
      <c r="A22" s="62" t="s">
        <v>28</v>
      </c>
      <c r="B22" s="62" t="s">
        <v>29</v>
      </c>
      <c r="C22" s="62">
        <v>2</v>
      </c>
      <c r="D22" s="62">
        <v>4</v>
      </c>
      <c r="E22" s="62">
        <v>6</v>
      </c>
      <c r="F22" s="62">
        <v>406</v>
      </c>
      <c r="G22" s="62">
        <v>21</v>
      </c>
      <c r="H22" s="62">
        <v>59</v>
      </c>
    </row>
    <row r="23" spans="1:8" x14ac:dyDescent="0.35">
      <c r="A23" s="62" t="s">
        <v>28</v>
      </c>
      <c r="B23" s="62" t="s">
        <v>30</v>
      </c>
      <c r="C23" s="62">
        <v>2</v>
      </c>
      <c r="D23" s="62">
        <v>3</v>
      </c>
      <c r="E23" s="62">
        <v>6</v>
      </c>
      <c r="F23" s="62">
        <v>306</v>
      </c>
      <c r="G23" s="62">
        <v>22</v>
      </c>
      <c r="H23" s="62">
        <v>38</v>
      </c>
    </row>
    <row r="24" spans="1:8" x14ac:dyDescent="0.35">
      <c r="A24" s="62" t="s">
        <v>28</v>
      </c>
      <c r="B24" s="62" t="s">
        <v>32</v>
      </c>
      <c r="C24" s="62">
        <v>2</v>
      </c>
      <c r="D24" s="62">
        <v>2</v>
      </c>
      <c r="E24" s="62">
        <v>6</v>
      </c>
      <c r="F24" s="62">
        <v>206</v>
      </c>
      <c r="G24" s="62">
        <v>23</v>
      </c>
      <c r="H24" s="62">
        <v>27</v>
      </c>
    </row>
    <row r="25" spans="1:8" x14ac:dyDescent="0.35">
      <c r="A25" s="62" t="s">
        <v>28</v>
      </c>
      <c r="B25" s="62" t="s">
        <v>31</v>
      </c>
      <c r="C25" s="62">
        <v>2</v>
      </c>
      <c r="D25" s="62">
        <v>1</v>
      </c>
      <c r="E25" s="62">
        <v>6</v>
      </c>
      <c r="F25" s="62">
        <v>106</v>
      </c>
      <c r="G25" s="62">
        <v>24</v>
      </c>
      <c r="H25" s="62">
        <v>6</v>
      </c>
    </row>
    <row r="26" spans="1:8" x14ac:dyDescent="0.35">
      <c r="A26" s="62" t="s">
        <v>33</v>
      </c>
      <c r="B26" s="62" t="s">
        <v>35</v>
      </c>
      <c r="C26" s="62">
        <v>2</v>
      </c>
      <c r="D26" s="62">
        <v>1</v>
      </c>
      <c r="E26" s="62">
        <v>7</v>
      </c>
      <c r="F26" s="62">
        <v>107</v>
      </c>
      <c r="G26" s="62">
        <v>25</v>
      </c>
      <c r="H26" s="62">
        <v>7</v>
      </c>
    </row>
    <row r="27" spans="1:8" x14ac:dyDescent="0.35">
      <c r="A27" s="62" t="s">
        <v>33</v>
      </c>
      <c r="B27" s="62" t="s">
        <v>29</v>
      </c>
      <c r="C27" s="62">
        <v>2</v>
      </c>
      <c r="D27" s="62">
        <v>2</v>
      </c>
      <c r="E27" s="62">
        <v>7</v>
      </c>
      <c r="F27" s="62">
        <v>207</v>
      </c>
      <c r="G27" s="62">
        <v>26</v>
      </c>
      <c r="H27" s="62">
        <v>26</v>
      </c>
    </row>
    <row r="28" spans="1:8" x14ac:dyDescent="0.35">
      <c r="A28" s="62" t="s">
        <v>33</v>
      </c>
      <c r="B28" s="62" t="s">
        <v>30</v>
      </c>
      <c r="C28" s="62">
        <v>2</v>
      </c>
      <c r="D28" s="62">
        <v>3</v>
      </c>
      <c r="E28" s="62">
        <v>7</v>
      </c>
      <c r="F28" s="62">
        <v>307</v>
      </c>
      <c r="G28" s="62">
        <v>27</v>
      </c>
      <c r="H28" s="62">
        <v>39</v>
      </c>
    </row>
    <row r="29" spans="1:8" x14ac:dyDescent="0.35">
      <c r="A29" s="62" t="s">
        <v>33</v>
      </c>
      <c r="B29" s="62" t="s">
        <v>34</v>
      </c>
      <c r="C29" s="62">
        <v>2</v>
      </c>
      <c r="D29" s="62">
        <v>4</v>
      </c>
      <c r="E29" s="62">
        <v>7</v>
      </c>
      <c r="F29" s="62">
        <v>407</v>
      </c>
      <c r="G29" s="62">
        <v>28</v>
      </c>
      <c r="H29" s="62">
        <v>58</v>
      </c>
    </row>
    <row r="30" spans="1:8" x14ac:dyDescent="0.35">
      <c r="A30" s="62" t="s">
        <v>33</v>
      </c>
      <c r="B30" s="62" t="s">
        <v>34</v>
      </c>
      <c r="C30" s="62">
        <v>2</v>
      </c>
      <c r="D30" s="62">
        <v>4</v>
      </c>
      <c r="E30" s="62">
        <v>8</v>
      </c>
      <c r="F30" s="62">
        <v>408</v>
      </c>
      <c r="G30" s="62">
        <v>29</v>
      </c>
      <c r="H30" s="62">
        <v>57</v>
      </c>
    </row>
    <row r="31" spans="1:8" x14ac:dyDescent="0.35">
      <c r="A31" s="62" t="s">
        <v>33</v>
      </c>
      <c r="B31" s="62" t="s">
        <v>30</v>
      </c>
      <c r="C31" s="62">
        <v>2</v>
      </c>
      <c r="D31" s="62">
        <v>3</v>
      </c>
      <c r="E31" s="62">
        <v>8</v>
      </c>
      <c r="F31" s="62">
        <v>308</v>
      </c>
      <c r="G31" s="62">
        <v>30</v>
      </c>
      <c r="H31" s="62">
        <v>40</v>
      </c>
    </row>
    <row r="32" spans="1:8" x14ac:dyDescent="0.35">
      <c r="A32" s="62" t="s">
        <v>33</v>
      </c>
      <c r="B32" s="62" t="s">
        <v>29</v>
      </c>
      <c r="C32" s="62">
        <v>2</v>
      </c>
      <c r="D32" s="62">
        <v>2</v>
      </c>
      <c r="E32" s="62">
        <v>8</v>
      </c>
      <c r="F32" s="62">
        <v>208</v>
      </c>
      <c r="G32" s="62">
        <v>31</v>
      </c>
      <c r="H32" s="62">
        <v>25</v>
      </c>
    </row>
    <row r="33" spans="1:8" x14ac:dyDescent="0.35">
      <c r="A33" s="62" t="s">
        <v>33</v>
      </c>
      <c r="B33" s="62" t="s">
        <v>35</v>
      </c>
      <c r="C33" s="62">
        <v>2</v>
      </c>
      <c r="D33" s="62">
        <v>1</v>
      </c>
      <c r="E33" s="62">
        <v>8</v>
      </c>
      <c r="F33" s="62">
        <v>108</v>
      </c>
      <c r="G33" s="62">
        <v>32</v>
      </c>
      <c r="H33" s="62">
        <v>8</v>
      </c>
    </row>
    <row r="34" spans="1:8" x14ac:dyDescent="0.35">
      <c r="A34" s="62" t="s">
        <v>28</v>
      </c>
      <c r="B34" s="62" t="s">
        <v>32</v>
      </c>
      <c r="C34" s="62">
        <v>3</v>
      </c>
      <c r="D34" s="62">
        <v>1</v>
      </c>
      <c r="E34" s="62">
        <v>9</v>
      </c>
      <c r="F34" s="62">
        <v>109</v>
      </c>
      <c r="G34" s="62">
        <v>33</v>
      </c>
      <c r="H34" s="62">
        <v>9</v>
      </c>
    </row>
    <row r="35" spans="1:8" x14ac:dyDescent="0.35">
      <c r="A35" s="62" t="s">
        <v>28</v>
      </c>
      <c r="B35" s="62" t="s">
        <v>31</v>
      </c>
      <c r="C35" s="62">
        <v>3</v>
      </c>
      <c r="D35" s="62">
        <v>2</v>
      </c>
      <c r="E35" s="62">
        <v>9</v>
      </c>
      <c r="F35" s="62">
        <v>209</v>
      </c>
      <c r="G35" s="62">
        <v>34</v>
      </c>
      <c r="H35" s="62">
        <v>24</v>
      </c>
    </row>
    <row r="36" spans="1:8" x14ac:dyDescent="0.35">
      <c r="A36" s="62" t="s">
        <v>28</v>
      </c>
      <c r="B36" s="62" t="s">
        <v>29</v>
      </c>
      <c r="C36" s="62">
        <v>3</v>
      </c>
      <c r="D36" s="62">
        <v>3</v>
      </c>
      <c r="E36" s="62">
        <v>9</v>
      </c>
      <c r="F36" s="62">
        <v>309</v>
      </c>
      <c r="G36" s="62">
        <v>35</v>
      </c>
      <c r="H36" s="62">
        <v>41</v>
      </c>
    </row>
    <row r="37" spans="1:8" x14ac:dyDescent="0.35">
      <c r="A37" s="62" t="s">
        <v>28</v>
      </c>
      <c r="B37" s="62" t="s">
        <v>30</v>
      </c>
      <c r="C37" s="62">
        <v>3</v>
      </c>
      <c r="D37" s="62">
        <v>4</v>
      </c>
      <c r="E37" s="62">
        <v>9</v>
      </c>
      <c r="F37" s="62">
        <v>409</v>
      </c>
      <c r="G37" s="62">
        <v>36</v>
      </c>
      <c r="H37" s="62">
        <v>56</v>
      </c>
    </row>
    <row r="38" spans="1:8" x14ac:dyDescent="0.35">
      <c r="A38" s="62" t="s">
        <v>28</v>
      </c>
      <c r="B38" s="62" t="s">
        <v>30</v>
      </c>
      <c r="C38" s="62">
        <v>3</v>
      </c>
      <c r="D38" s="62">
        <v>4</v>
      </c>
      <c r="E38" s="62">
        <v>10</v>
      </c>
      <c r="F38" s="62">
        <v>410</v>
      </c>
      <c r="G38" s="62">
        <v>37</v>
      </c>
      <c r="H38" s="62">
        <v>55</v>
      </c>
    </row>
    <row r="39" spans="1:8" x14ac:dyDescent="0.35">
      <c r="A39" s="62" t="s">
        <v>28</v>
      </c>
      <c r="B39" s="62" t="s">
        <v>29</v>
      </c>
      <c r="C39" s="62">
        <v>3</v>
      </c>
      <c r="D39" s="62">
        <v>3</v>
      </c>
      <c r="E39" s="62">
        <v>10</v>
      </c>
      <c r="F39" s="62">
        <v>310</v>
      </c>
      <c r="G39" s="62">
        <v>38</v>
      </c>
      <c r="H39" s="62">
        <v>42</v>
      </c>
    </row>
    <row r="40" spans="1:8" x14ac:dyDescent="0.35">
      <c r="A40" s="62" t="s">
        <v>28</v>
      </c>
      <c r="B40" s="62" t="s">
        <v>31</v>
      </c>
      <c r="C40" s="62">
        <v>3</v>
      </c>
      <c r="D40" s="62">
        <v>2</v>
      </c>
      <c r="E40" s="62">
        <v>10</v>
      </c>
      <c r="F40" s="62">
        <v>210</v>
      </c>
      <c r="G40" s="62">
        <v>39</v>
      </c>
      <c r="H40" s="62">
        <v>23</v>
      </c>
    </row>
    <row r="41" spans="1:8" x14ac:dyDescent="0.35">
      <c r="A41" s="62" t="s">
        <v>28</v>
      </c>
      <c r="B41" s="62" t="s">
        <v>32</v>
      </c>
      <c r="C41" s="62">
        <v>3</v>
      </c>
      <c r="D41" s="62">
        <v>1</v>
      </c>
      <c r="E41" s="62">
        <v>10</v>
      </c>
      <c r="F41" s="62">
        <v>110</v>
      </c>
      <c r="G41" s="62">
        <v>40</v>
      </c>
      <c r="H41" s="62">
        <v>10</v>
      </c>
    </row>
    <row r="42" spans="1:8" x14ac:dyDescent="0.35">
      <c r="A42" s="62" t="s">
        <v>33</v>
      </c>
      <c r="B42" s="62" t="s">
        <v>29</v>
      </c>
      <c r="C42" s="62">
        <v>3</v>
      </c>
      <c r="D42" s="62">
        <v>1</v>
      </c>
      <c r="E42" s="62">
        <v>11</v>
      </c>
      <c r="F42" s="62">
        <v>111</v>
      </c>
      <c r="G42" s="62">
        <v>41</v>
      </c>
      <c r="H42" s="62">
        <v>11</v>
      </c>
    </row>
    <row r="43" spans="1:8" x14ac:dyDescent="0.35">
      <c r="A43" s="62" t="s">
        <v>33</v>
      </c>
      <c r="B43" s="62" t="s">
        <v>35</v>
      </c>
      <c r="C43" s="62">
        <v>3</v>
      </c>
      <c r="D43" s="62">
        <v>2</v>
      </c>
      <c r="E43" s="62">
        <v>11</v>
      </c>
      <c r="F43" s="62">
        <v>211</v>
      </c>
      <c r="G43" s="62">
        <v>42</v>
      </c>
      <c r="H43" s="62">
        <v>22</v>
      </c>
    </row>
    <row r="44" spans="1:8" x14ac:dyDescent="0.35">
      <c r="A44" s="62" t="s">
        <v>33</v>
      </c>
      <c r="B44" s="62" t="s">
        <v>34</v>
      </c>
      <c r="C44" s="62">
        <v>3</v>
      </c>
      <c r="D44" s="62">
        <v>3</v>
      </c>
      <c r="E44" s="62">
        <v>11</v>
      </c>
      <c r="F44" s="62">
        <v>311</v>
      </c>
      <c r="G44" s="62">
        <v>43</v>
      </c>
      <c r="H44" s="62">
        <v>43</v>
      </c>
    </row>
    <row r="45" spans="1:8" x14ac:dyDescent="0.35">
      <c r="A45" s="62" t="s">
        <v>33</v>
      </c>
      <c r="B45" s="62" t="s">
        <v>30</v>
      </c>
      <c r="C45" s="62">
        <v>3</v>
      </c>
      <c r="D45" s="62">
        <v>4</v>
      </c>
      <c r="E45" s="62">
        <v>11</v>
      </c>
      <c r="F45" s="62">
        <v>411</v>
      </c>
      <c r="G45" s="62">
        <v>44</v>
      </c>
      <c r="H45" s="62">
        <v>54</v>
      </c>
    </row>
    <row r="46" spans="1:8" x14ac:dyDescent="0.35">
      <c r="A46" s="62" t="s">
        <v>33</v>
      </c>
      <c r="B46" s="62" t="s">
        <v>30</v>
      </c>
      <c r="C46" s="62">
        <v>3</v>
      </c>
      <c r="D46" s="62">
        <v>4</v>
      </c>
      <c r="E46" s="62">
        <v>12</v>
      </c>
      <c r="F46" s="62">
        <v>412</v>
      </c>
      <c r="G46" s="62">
        <v>45</v>
      </c>
      <c r="H46" s="62">
        <v>53</v>
      </c>
    </row>
    <row r="47" spans="1:8" x14ac:dyDescent="0.35">
      <c r="A47" s="62" t="s">
        <v>33</v>
      </c>
      <c r="B47" s="62" t="s">
        <v>34</v>
      </c>
      <c r="C47" s="62">
        <v>3</v>
      </c>
      <c r="D47" s="62">
        <v>3</v>
      </c>
      <c r="E47" s="62">
        <v>12</v>
      </c>
      <c r="F47" s="62">
        <v>312</v>
      </c>
      <c r="G47" s="62">
        <v>46</v>
      </c>
      <c r="H47" s="62">
        <v>44</v>
      </c>
    </row>
    <row r="48" spans="1:8" x14ac:dyDescent="0.35">
      <c r="A48" s="62" t="s">
        <v>33</v>
      </c>
      <c r="B48" s="62" t="s">
        <v>35</v>
      </c>
      <c r="C48" s="62">
        <v>3</v>
      </c>
      <c r="D48" s="62">
        <v>2</v>
      </c>
      <c r="E48" s="62">
        <v>12</v>
      </c>
      <c r="F48" s="62">
        <v>212</v>
      </c>
      <c r="G48" s="62">
        <v>47</v>
      </c>
      <c r="H48" s="62">
        <v>21</v>
      </c>
    </row>
    <row r="49" spans="1:8" x14ac:dyDescent="0.35">
      <c r="A49" s="62" t="s">
        <v>33</v>
      </c>
      <c r="B49" s="62" t="s">
        <v>29</v>
      </c>
      <c r="C49" s="62">
        <v>3</v>
      </c>
      <c r="D49" s="62">
        <v>1</v>
      </c>
      <c r="E49" s="62">
        <v>12</v>
      </c>
      <c r="F49" s="62">
        <v>112</v>
      </c>
      <c r="G49" s="62">
        <v>48</v>
      </c>
      <c r="H49" s="62">
        <v>12</v>
      </c>
    </row>
    <row r="50" spans="1:8" x14ac:dyDescent="0.35">
      <c r="A50" s="62" t="s">
        <v>28</v>
      </c>
      <c r="B50" s="62" t="s">
        <v>30</v>
      </c>
      <c r="C50" s="62">
        <v>4</v>
      </c>
      <c r="D50" s="62">
        <v>1</v>
      </c>
      <c r="E50" s="62">
        <v>13</v>
      </c>
      <c r="F50" s="62">
        <v>113</v>
      </c>
      <c r="G50" s="62">
        <v>49</v>
      </c>
      <c r="H50" s="62">
        <v>13</v>
      </c>
    </row>
    <row r="51" spans="1:8" x14ac:dyDescent="0.35">
      <c r="A51" s="62" t="s">
        <v>28</v>
      </c>
      <c r="B51" s="62" t="s">
        <v>29</v>
      </c>
      <c r="C51" s="62">
        <v>4</v>
      </c>
      <c r="D51" s="62">
        <v>2</v>
      </c>
      <c r="E51" s="62">
        <v>13</v>
      </c>
      <c r="F51" s="62">
        <v>213</v>
      </c>
      <c r="G51" s="62">
        <v>50</v>
      </c>
      <c r="H51" s="62">
        <v>20</v>
      </c>
    </row>
    <row r="52" spans="1:8" x14ac:dyDescent="0.35">
      <c r="A52" s="62" t="s">
        <v>28</v>
      </c>
      <c r="B52" s="62" t="s">
        <v>32</v>
      </c>
      <c r="C52" s="62">
        <v>4</v>
      </c>
      <c r="D52" s="62">
        <v>3</v>
      </c>
      <c r="E52" s="62">
        <v>13</v>
      </c>
      <c r="F52" s="62">
        <v>313</v>
      </c>
      <c r="G52" s="62">
        <v>51</v>
      </c>
      <c r="H52" s="62">
        <v>45</v>
      </c>
    </row>
    <row r="53" spans="1:8" x14ac:dyDescent="0.35">
      <c r="A53" s="62" t="s">
        <v>28</v>
      </c>
      <c r="B53" s="62" t="s">
        <v>31</v>
      </c>
      <c r="C53" s="62">
        <v>4</v>
      </c>
      <c r="D53" s="62">
        <v>4</v>
      </c>
      <c r="E53" s="62">
        <v>13</v>
      </c>
      <c r="F53" s="62">
        <v>413</v>
      </c>
      <c r="G53" s="62">
        <v>52</v>
      </c>
      <c r="H53" s="62">
        <v>52</v>
      </c>
    </row>
    <row r="54" spans="1:8" x14ac:dyDescent="0.35">
      <c r="A54" s="62" t="s">
        <v>28</v>
      </c>
      <c r="B54" s="62" t="s">
        <v>31</v>
      </c>
      <c r="C54" s="62">
        <v>4</v>
      </c>
      <c r="D54" s="62">
        <v>4</v>
      </c>
      <c r="E54" s="62">
        <v>14</v>
      </c>
      <c r="F54" s="62">
        <v>414</v>
      </c>
      <c r="G54" s="62">
        <v>53</v>
      </c>
      <c r="H54" s="62">
        <v>51</v>
      </c>
    </row>
    <row r="55" spans="1:8" x14ac:dyDescent="0.35">
      <c r="A55" s="62" t="s">
        <v>28</v>
      </c>
      <c r="B55" s="62" t="s">
        <v>32</v>
      </c>
      <c r="C55" s="62">
        <v>4</v>
      </c>
      <c r="D55" s="62">
        <v>3</v>
      </c>
      <c r="E55" s="62">
        <v>14</v>
      </c>
      <c r="F55" s="62">
        <v>314</v>
      </c>
      <c r="G55" s="62">
        <v>54</v>
      </c>
      <c r="H55" s="62">
        <v>46</v>
      </c>
    </row>
    <row r="56" spans="1:8" x14ac:dyDescent="0.35">
      <c r="A56" s="62" t="s">
        <v>28</v>
      </c>
      <c r="B56" s="62" t="s">
        <v>29</v>
      </c>
      <c r="C56" s="62">
        <v>4</v>
      </c>
      <c r="D56" s="62">
        <v>2</v>
      </c>
      <c r="E56" s="62">
        <v>14</v>
      </c>
      <c r="F56" s="62">
        <v>214</v>
      </c>
      <c r="G56" s="62">
        <v>55</v>
      </c>
      <c r="H56" s="62">
        <v>19</v>
      </c>
    </row>
    <row r="57" spans="1:8" x14ac:dyDescent="0.35">
      <c r="A57" s="62" t="s">
        <v>28</v>
      </c>
      <c r="B57" s="62" t="s">
        <v>30</v>
      </c>
      <c r="C57" s="62">
        <v>4</v>
      </c>
      <c r="D57" s="62">
        <v>1</v>
      </c>
      <c r="E57" s="62">
        <v>14</v>
      </c>
      <c r="F57" s="62">
        <v>114</v>
      </c>
      <c r="G57" s="62">
        <v>56</v>
      </c>
      <c r="H57" s="62">
        <v>14</v>
      </c>
    </row>
    <row r="58" spans="1:8" x14ac:dyDescent="0.35">
      <c r="A58" s="62" t="s">
        <v>33</v>
      </c>
      <c r="B58" s="62" t="s">
        <v>30</v>
      </c>
      <c r="C58" s="62">
        <v>4</v>
      </c>
      <c r="D58" s="62">
        <v>1</v>
      </c>
      <c r="E58" s="62">
        <v>15</v>
      </c>
      <c r="F58" s="62">
        <v>115</v>
      </c>
      <c r="G58" s="62">
        <v>57</v>
      </c>
      <c r="H58" s="62">
        <v>15</v>
      </c>
    </row>
    <row r="59" spans="1:8" x14ac:dyDescent="0.35">
      <c r="A59" s="62" t="s">
        <v>33</v>
      </c>
      <c r="B59" s="62" t="s">
        <v>34</v>
      </c>
      <c r="C59" s="62">
        <v>4</v>
      </c>
      <c r="D59" s="62">
        <v>2</v>
      </c>
      <c r="E59" s="62">
        <v>15</v>
      </c>
      <c r="F59" s="62">
        <v>215</v>
      </c>
      <c r="G59" s="62">
        <v>58</v>
      </c>
      <c r="H59" s="62">
        <v>18</v>
      </c>
    </row>
    <row r="60" spans="1:8" x14ac:dyDescent="0.35">
      <c r="A60" s="62" t="s">
        <v>33</v>
      </c>
      <c r="B60" s="62" t="s">
        <v>29</v>
      </c>
      <c r="C60" s="62">
        <v>4</v>
      </c>
      <c r="D60" s="62">
        <v>3</v>
      </c>
      <c r="E60" s="62">
        <v>15</v>
      </c>
      <c r="F60" s="62">
        <v>315</v>
      </c>
      <c r="G60" s="62">
        <v>59</v>
      </c>
      <c r="H60" s="62">
        <v>47</v>
      </c>
    </row>
    <row r="61" spans="1:8" x14ac:dyDescent="0.35">
      <c r="A61" s="62" t="s">
        <v>33</v>
      </c>
      <c r="B61" s="62" t="s">
        <v>35</v>
      </c>
      <c r="C61" s="62">
        <v>4</v>
      </c>
      <c r="D61" s="62">
        <v>4</v>
      </c>
      <c r="E61" s="62">
        <v>15</v>
      </c>
      <c r="F61" s="62">
        <v>415</v>
      </c>
      <c r="G61" s="62">
        <v>60</v>
      </c>
      <c r="H61" s="62">
        <v>50</v>
      </c>
    </row>
    <row r="62" spans="1:8" x14ac:dyDescent="0.35">
      <c r="A62" s="62" t="s">
        <v>33</v>
      </c>
      <c r="B62" s="62" t="s">
        <v>35</v>
      </c>
      <c r="C62" s="62">
        <v>4</v>
      </c>
      <c r="D62" s="62">
        <v>4</v>
      </c>
      <c r="E62" s="62">
        <v>16</v>
      </c>
      <c r="F62" s="62">
        <v>416</v>
      </c>
      <c r="G62" s="62">
        <v>61</v>
      </c>
      <c r="H62" s="62">
        <v>49</v>
      </c>
    </row>
    <row r="63" spans="1:8" x14ac:dyDescent="0.35">
      <c r="A63" s="62" t="s">
        <v>33</v>
      </c>
      <c r="B63" s="62" t="s">
        <v>29</v>
      </c>
      <c r="C63" s="62">
        <v>4</v>
      </c>
      <c r="D63" s="62">
        <v>3</v>
      </c>
      <c r="E63" s="62">
        <v>16</v>
      </c>
      <c r="F63" s="62">
        <v>316</v>
      </c>
      <c r="G63" s="62">
        <v>62</v>
      </c>
      <c r="H63" s="62">
        <v>48</v>
      </c>
    </row>
    <row r="64" spans="1:8" x14ac:dyDescent="0.35">
      <c r="A64" s="62" t="s">
        <v>33</v>
      </c>
      <c r="B64" s="62" t="s">
        <v>34</v>
      </c>
      <c r="C64" s="62">
        <v>4</v>
      </c>
      <c r="D64" s="62">
        <v>2</v>
      </c>
      <c r="E64" s="62">
        <v>16</v>
      </c>
      <c r="F64" s="62">
        <v>216</v>
      </c>
      <c r="G64" s="62">
        <v>63</v>
      </c>
      <c r="H64" s="62">
        <v>17</v>
      </c>
    </row>
    <row r="65" spans="1:8" x14ac:dyDescent="0.35">
      <c r="A65" s="62" t="s">
        <v>33</v>
      </c>
      <c r="B65" s="62" t="s">
        <v>30</v>
      </c>
      <c r="C65" s="62">
        <v>4</v>
      </c>
      <c r="D65" s="62">
        <v>1</v>
      </c>
      <c r="E65" s="62">
        <v>16</v>
      </c>
      <c r="F65" s="62">
        <v>116</v>
      </c>
      <c r="G65" s="62">
        <v>64</v>
      </c>
      <c r="H65" s="62">
        <v>16</v>
      </c>
    </row>
  </sheetData>
  <sortState xmlns:xlrd2="http://schemas.microsoft.com/office/spreadsheetml/2017/richdata2" ref="C1:I33">
    <sortCondition ref="D2:D33"/>
    <sortCondition ref="C2:C3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5BD3-95C5-4F46-A44B-16807B56CE92}">
  <dimension ref="A1:N11"/>
  <sheetViews>
    <sheetView workbookViewId="0">
      <selection activeCell="H13" sqref="H13"/>
    </sheetView>
  </sheetViews>
  <sheetFormatPr defaultRowHeight="14.5" x14ac:dyDescent="0.35"/>
  <cols>
    <col min="1" max="1" width="15.54296875" customWidth="1"/>
    <col min="2" max="2" width="16.1796875" customWidth="1"/>
    <col min="3" max="8" width="8.54296875" style="4"/>
    <col min="9" max="9" width="8.54296875" style="12"/>
    <col min="13" max="13" width="19.26953125" customWidth="1"/>
  </cols>
  <sheetData>
    <row r="1" spans="1:14" ht="58" x14ac:dyDescent="0.35">
      <c r="A1" s="6" t="s">
        <v>36</v>
      </c>
      <c r="B1" s="6" t="s">
        <v>37</v>
      </c>
      <c r="C1" s="7" t="s">
        <v>38</v>
      </c>
      <c r="D1" s="8" t="s">
        <v>39</v>
      </c>
      <c r="E1" s="9" t="s">
        <v>40</v>
      </c>
      <c r="F1" s="10" t="s">
        <v>41</v>
      </c>
      <c r="G1" s="10" t="s">
        <v>42</v>
      </c>
      <c r="H1" s="10" t="s">
        <v>43</v>
      </c>
      <c r="I1" s="8" t="s">
        <v>44</v>
      </c>
      <c r="J1" s="10"/>
    </row>
    <row r="2" spans="1:14" x14ac:dyDescent="0.35">
      <c r="A2" s="32" t="s">
        <v>32</v>
      </c>
      <c r="B2" t="s">
        <v>45</v>
      </c>
      <c r="C2" s="51">
        <v>4.5074999999999997E-2</v>
      </c>
      <c r="D2" s="4">
        <v>200</v>
      </c>
      <c r="E2" s="11">
        <f t="shared" ref="E2:E9" si="0">D2*C2</f>
        <v>9.0149999999999988</v>
      </c>
      <c r="F2" s="4">
        <v>9</v>
      </c>
      <c r="G2" s="4">
        <v>1.5</v>
      </c>
      <c r="H2" s="4">
        <f t="shared" ref="H2" si="1">F2*G2</f>
        <v>13.5</v>
      </c>
      <c r="I2" s="12">
        <f t="shared" ref="I2:I9" si="2">H2*E2</f>
        <v>121.70249999999999</v>
      </c>
    </row>
    <row r="3" spans="1:14" x14ac:dyDescent="0.35">
      <c r="A3" s="32" t="s">
        <v>31</v>
      </c>
      <c r="B3" t="s">
        <v>46</v>
      </c>
      <c r="C3" s="51">
        <v>4.2325000000000002E-2</v>
      </c>
      <c r="D3" s="4">
        <v>200</v>
      </c>
      <c r="E3" s="11">
        <f t="shared" si="0"/>
        <v>8.4649999999999999</v>
      </c>
      <c r="F3" s="4">
        <v>9</v>
      </c>
      <c r="G3" s="4">
        <v>1.5</v>
      </c>
      <c r="H3" s="4">
        <f>F3*G3</f>
        <v>13.5</v>
      </c>
      <c r="I3" s="12">
        <f t="shared" si="2"/>
        <v>114.2775</v>
      </c>
      <c r="M3" s="4"/>
      <c r="N3" s="12"/>
    </row>
    <row r="4" spans="1:14" x14ac:dyDescent="0.35">
      <c r="A4" s="32" t="s">
        <v>29</v>
      </c>
      <c r="B4" t="s">
        <v>47</v>
      </c>
      <c r="C4" s="51">
        <v>4.3649081326043053E-2</v>
      </c>
      <c r="D4" s="4">
        <v>200</v>
      </c>
      <c r="E4" s="11">
        <f t="shared" si="0"/>
        <v>8.7298162652086102</v>
      </c>
      <c r="F4" s="4">
        <v>9</v>
      </c>
      <c r="G4" s="4">
        <v>1.5</v>
      </c>
      <c r="H4" s="4">
        <f t="shared" ref="H4:H5" si="3">F4*G4</f>
        <v>13.5</v>
      </c>
      <c r="I4" s="12">
        <f t="shared" si="2"/>
        <v>117.85251958031624</v>
      </c>
      <c r="M4" s="4"/>
      <c r="N4" s="12"/>
    </row>
    <row r="5" spans="1:14" x14ac:dyDescent="0.35">
      <c r="A5" s="32" t="s">
        <v>30</v>
      </c>
      <c r="B5" t="s">
        <v>47</v>
      </c>
      <c r="C5" s="51">
        <v>4.4776119402985079E-2</v>
      </c>
      <c r="D5" s="4">
        <v>200</v>
      </c>
      <c r="E5" s="11">
        <f t="shared" si="0"/>
        <v>8.9552238805970159</v>
      </c>
      <c r="F5" s="4">
        <v>9</v>
      </c>
      <c r="G5" s="4">
        <v>1.5</v>
      </c>
      <c r="H5" s="4">
        <f t="shared" si="3"/>
        <v>13.5</v>
      </c>
      <c r="I5" s="12">
        <f t="shared" si="2"/>
        <v>120.89552238805972</v>
      </c>
      <c r="M5" s="4"/>
      <c r="N5" s="12"/>
    </row>
    <row r="6" spans="1:14" x14ac:dyDescent="0.35">
      <c r="A6" s="32" t="s">
        <v>35</v>
      </c>
      <c r="B6" t="s">
        <v>46</v>
      </c>
      <c r="C6" s="51">
        <v>4.8226600985221676E-2</v>
      </c>
      <c r="D6" s="4">
        <v>200</v>
      </c>
      <c r="E6" s="11">
        <f t="shared" si="0"/>
        <v>9.6453201970443345</v>
      </c>
      <c r="F6" s="4">
        <v>9</v>
      </c>
      <c r="G6" s="4">
        <v>1.5</v>
      </c>
      <c r="H6" s="4">
        <f t="shared" ref="H6" si="4">F6*G6</f>
        <v>13.5</v>
      </c>
      <c r="I6" s="12">
        <f t="shared" si="2"/>
        <v>130.21182266009851</v>
      </c>
    </row>
    <row r="7" spans="1:14" x14ac:dyDescent="0.35">
      <c r="A7" s="32" t="s">
        <v>34</v>
      </c>
      <c r="B7" t="s">
        <v>46</v>
      </c>
      <c r="C7" s="51">
        <v>4.2015346534653469E-2</v>
      </c>
      <c r="D7" s="4">
        <v>200</v>
      </c>
      <c r="E7" s="11">
        <f t="shared" si="0"/>
        <v>8.4030693069306945</v>
      </c>
      <c r="F7" s="4">
        <v>9</v>
      </c>
      <c r="G7" s="4">
        <v>1.5</v>
      </c>
      <c r="H7" s="4">
        <f t="shared" ref="H7:H9" si="5">F7*G7</f>
        <v>13.5</v>
      </c>
      <c r="I7" s="12">
        <f t="shared" si="2"/>
        <v>113.44143564356438</v>
      </c>
    </row>
    <row r="8" spans="1:14" x14ac:dyDescent="0.35">
      <c r="A8" s="32" t="s">
        <v>29</v>
      </c>
      <c r="B8" t="s">
        <v>48</v>
      </c>
      <c r="C8" s="51">
        <v>4.5773911134955853E-2</v>
      </c>
      <c r="D8" s="4">
        <v>200</v>
      </c>
      <c r="E8" s="11">
        <f t="shared" si="0"/>
        <v>9.1547822269911698</v>
      </c>
      <c r="F8" s="4">
        <v>9</v>
      </c>
      <c r="G8" s="4">
        <v>1.5</v>
      </c>
      <c r="H8" s="4">
        <f t="shared" si="5"/>
        <v>13.5</v>
      </c>
      <c r="I8" s="12">
        <f t="shared" si="2"/>
        <v>123.58956006438079</v>
      </c>
      <c r="M8" s="4"/>
      <c r="N8" s="12"/>
    </row>
    <row r="9" spans="1:14" x14ac:dyDescent="0.35">
      <c r="A9" s="32" t="s">
        <v>30</v>
      </c>
      <c r="B9" t="s">
        <v>48</v>
      </c>
      <c r="C9" s="51">
        <v>4.3156125314023942E-2</v>
      </c>
      <c r="D9" s="4">
        <v>200</v>
      </c>
      <c r="E9" s="11">
        <f t="shared" si="0"/>
        <v>8.6312250628047877</v>
      </c>
      <c r="F9" s="4">
        <v>9</v>
      </c>
      <c r="G9" s="4">
        <v>1.5</v>
      </c>
      <c r="H9" s="4">
        <f t="shared" si="5"/>
        <v>13.5</v>
      </c>
      <c r="I9" s="12">
        <f t="shared" si="2"/>
        <v>116.52153834786463</v>
      </c>
      <c r="M9" s="4"/>
      <c r="N9" s="12"/>
    </row>
    <row r="10" spans="1:14" x14ac:dyDescent="0.35">
      <c r="A10" s="4"/>
      <c r="C10" s="13"/>
      <c r="E10" s="11"/>
      <c r="M10" s="4"/>
      <c r="N10" s="12"/>
    </row>
    <row r="11" spans="1:14" x14ac:dyDescent="0.35">
      <c r="C11" s="13"/>
      <c r="E11" s="11"/>
    </row>
  </sheetData>
  <conditionalFormatting sqref="N8:N10 N3:N5">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6507-F4C4-4D7B-82C0-05D30678B465}">
  <dimension ref="A1:AA49"/>
  <sheetViews>
    <sheetView topLeftCell="F10" workbookViewId="0"/>
  </sheetViews>
  <sheetFormatPr defaultRowHeight="14.5" x14ac:dyDescent="0.35"/>
  <cols>
    <col min="1" max="1" width="4.26953125" customWidth="1"/>
    <col min="2" max="2" width="3.1796875" customWidth="1"/>
    <col min="3" max="18" width="3.7265625" customWidth="1"/>
    <col min="19" max="19" width="4.26953125" customWidth="1"/>
    <col min="20" max="20" width="3.7265625" customWidth="1"/>
    <col min="21" max="21" width="8.54296875" customWidth="1"/>
    <col min="24" max="24" width="6" customWidth="1"/>
    <col min="25" max="25" width="11.1796875" customWidth="1"/>
  </cols>
  <sheetData>
    <row r="1" spans="1:27" x14ac:dyDescent="0.35">
      <c r="A1" s="18" t="s">
        <v>49</v>
      </c>
    </row>
    <row r="2" spans="1:27" x14ac:dyDescent="0.35">
      <c r="I2" t="s">
        <v>50</v>
      </c>
    </row>
    <row r="3" spans="1:27" x14ac:dyDescent="0.35">
      <c r="B3" s="23" t="s">
        <v>51</v>
      </c>
    </row>
    <row r="4" spans="1:27" x14ac:dyDescent="0.35">
      <c r="B4" s="24" t="s">
        <v>52</v>
      </c>
    </row>
    <row r="5" spans="1:27" x14ac:dyDescent="0.35">
      <c r="B5" s="24"/>
      <c r="D5" s="156" t="s">
        <v>53</v>
      </c>
      <c r="E5" s="156"/>
      <c r="F5" s="156"/>
      <c r="G5" s="156"/>
      <c r="H5" s="156"/>
      <c r="I5" s="156"/>
      <c r="J5" s="156"/>
      <c r="K5" s="156"/>
      <c r="L5" s="156"/>
      <c r="M5" s="156"/>
      <c r="N5" s="156"/>
      <c r="O5" s="156"/>
      <c r="P5" s="156"/>
      <c r="Q5" s="156"/>
      <c r="R5" s="156"/>
      <c r="S5" s="156"/>
    </row>
    <row r="6" spans="1:27" ht="15" thickBot="1" x14ac:dyDescent="0.4">
      <c r="D6" s="156">
        <v>1</v>
      </c>
      <c r="E6" s="156"/>
      <c r="F6" s="156"/>
      <c r="G6" s="156"/>
      <c r="H6" s="157">
        <v>2</v>
      </c>
      <c r="I6" s="157"/>
      <c r="J6" s="157"/>
      <c r="K6" s="157"/>
      <c r="L6" s="157">
        <v>3</v>
      </c>
      <c r="M6" s="157"/>
      <c r="N6" s="157"/>
      <c r="O6" s="157"/>
      <c r="P6" s="157">
        <v>4</v>
      </c>
      <c r="Q6" s="157"/>
      <c r="R6" s="157"/>
      <c r="S6" s="157"/>
    </row>
    <row r="7" spans="1:27" s="16" customFormat="1" ht="60" customHeight="1" thickTop="1" thickBot="1" x14ac:dyDescent="0.4">
      <c r="A7" s="155"/>
      <c r="B7" s="17">
        <v>4</v>
      </c>
      <c r="C7" s="58" t="s">
        <v>54</v>
      </c>
      <c r="D7" s="19" t="str">
        <f>$Z17</f>
        <v>Big_Red</v>
      </c>
      <c r="E7" s="19" t="str">
        <f>$Z17</f>
        <v>Big_Red</v>
      </c>
      <c r="F7" s="22" t="str">
        <f>$Z21</f>
        <v>UOM001_3_47</v>
      </c>
      <c r="G7" s="22" t="str">
        <f>$Z21</f>
        <v>UOM001_3_47</v>
      </c>
      <c r="H7" s="20" t="str">
        <f>$Z25</f>
        <v>UOM001_3_47</v>
      </c>
      <c r="I7" s="20" t="str">
        <f>$Z25</f>
        <v>UOM001_3_47</v>
      </c>
      <c r="J7" s="22" t="str">
        <f>$Z29</f>
        <v>Sunmaster</v>
      </c>
      <c r="K7" s="22" t="str">
        <f>$Z29</f>
        <v>Sunmaster</v>
      </c>
      <c r="L7" s="21" t="str">
        <f>$Z33</f>
        <v>UOM001_9_1</v>
      </c>
      <c r="M7" s="21" t="str">
        <f>$Z33</f>
        <v>UOM001_9_1</v>
      </c>
      <c r="N7" s="22" t="str">
        <f>$Z37</f>
        <v>UOM001_9_1</v>
      </c>
      <c r="O7" s="22" t="str">
        <f>$Z37</f>
        <v>UOM001_9_1</v>
      </c>
      <c r="P7" s="21" t="str">
        <f>$Z41</f>
        <v>Illabo</v>
      </c>
      <c r="Q7" s="21" t="str">
        <f>$Z41</f>
        <v>Illabo</v>
      </c>
      <c r="R7" s="22" t="str">
        <f>$Z45</f>
        <v>RGT_Zanzibar</v>
      </c>
      <c r="S7" s="22" t="str">
        <f>$Z45</f>
        <v>RGT_Zanzibar</v>
      </c>
      <c r="T7" s="55" t="s">
        <v>55</v>
      </c>
    </row>
    <row r="8" spans="1:27" s="16" customFormat="1" ht="60" customHeight="1" thickTop="1" thickBot="1" x14ac:dyDescent="0.4">
      <c r="A8" s="155"/>
      <c r="B8" s="17">
        <v>3</v>
      </c>
      <c r="C8" s="59" t="s">
        <v>54</v>
      </c>
      <c r="D8" s="20" t="str">
        <f>$Z16</f>
        <v>Illabo</v>
      </c>
      <c r="E8" s="20" t="str">
        <f>$Z16</f>
        <v>Illabo</v>
      </c>
      <c r="F8" s="22" t="str">
        <f>$Z20</f>
        <v>RGT_Zanzibar</v>
      </c>
      <c r="G8" s="22" t="str">
        <f>$Z20</f>
        <v>RGT_Zanzibar</v>
      </c>
      <c r="H8" s="20" t="str">
        <f>$Z24</f>
        <v>UOM001_9_1</v>
      </c>
      <c r="I8" s="20" t="str">
        <f>$Z24</f>
        <v>UOM001_9_1</v>
      </c>
      <c r="J8" s="22" t="str">
        <f>$Z28</f>
        <v>UOM001_9_1</v>
      </c>
      <c r="K8" s="22" t="str">
        <f>$Z28</f>
        <v>UOM001_9_1</v>
      </c>
      <c r="L8" s="21" t="str">
        <f>$Z32</f>
        <v>UOM001_3_47</v>
      </c>
      <c r="M8" s="21" t="str">
        <f>$Z32</f>
        <v>UOM001_3_47</v>
      </c>
      <c r="N8" s="22" t="str">
        <f>$Z36</f>
        <v>Sunmaster</v>
      </c>
      <c r="O8" s="22" t="str">
        <f>$Z36</f>
        <v>Sunmaster</v>
      </c>
      <c r="P8" s="21" t="str">
        <f>$Z40</f>
        <v>Big_Red</v>
      </c>
      <c r="Q8" s="21" t="str">
        <f>$Z40</f>
        <v>Big_Red</v>
      </c>
      <c r="R8" s="22" t="str">
        <f>$Z44</f>
        <v>UOM001_3_47</v>
      </c>
      <c r="S8" s="22" t="str">
        <f>$Z44</f>
        <v>UOM001_3_47</v>
      </c>
      <c r="T8" s="56" t="s">
        <v>55</v>
      </c>
    </row>
    <row r="9" spans="1:27" s="16" customFormat="1" ht="60" customHeight="1" thickTop="1" thickBot="1" x14ac:dyDescent="0.4">
      <c r="A9" s="155"/>
      <c r="B9" s="17">
        <v>2</v>
      </c>
      <c r="C9" s="59" t="s">
        <v>54</v>
      </c>
      <c r="D9" s="20" t="str">
        <f>$Z15</f>
        <v>UOM001_9_1</v>
      </c>
      <c r="E9" s="20" t="str">
        <f>$Z15</f>
        <v>UOM001_9_1</v>
      </c>
      <c r="F9" s="22" t="str">
        <f>$Z19</f>
        <v>UOM001_9_1</v>
      </c>
      <c r="G9" s="22" t="str">
        <f>$Z19</f>
        <v>UOM001_9_1</v>
      </c>
      <c r="H9" s="20" t="str">
        <f>$Z23</f>
        <v>Big_Red</v>
      </c>
      <c r="I9" s="20" t="str">
        <f>$Z23</f>
        <v>Big_Red</v>
      </c>
      <c r="J9" s="22" t="str">
        <f>$Z27</f>
        <v>UOM001_3_47</v>
      </c>
      <c r="K9" s="22" t="str">
        <f>$Z27</f>
        <v>UOM001_3_47</v>
      </c>
      <c r="L9" s="21" t="str">
        <f>$Z31</f>
        <v>Illabo</v>
      </c>
      <c r="M9" s="21" t="str">
        <f>$Z31</f>
        <v>Illabo</v>
      </c>
      <c r="N9" s="22" t="str">
        <f>$Z35</f>
        <v>RGT_Zanzibar</v>
      </c>
      <c r="O9" s="22" t="str">
        <f>$Z35</f>
        <v>RGT_Zanzibar</v>
      </c>
      <c r="P9" s="21" t="str">
        <f>$Z39</f>
        <v>UOM001_3_47</v>
      </c>
      <c r="Q9" s="21" t="str">
        <f>$Z39</f>
        <v>UOM001_3_47</v>
      </c>
      <c r="R9" s="22" t="str">
        <f>$Z43</f>
        <v>Sunmaster</v>
      </c>
      <c r="S9" s="22" t="str">
        <f>$Z43</f>
        <v>Sunmaster</v>
      </c>
      <c r="T9" s="56" t="s">
        <v>55</v>
      </c>
    </row>
    <row r="10" spans="1:27" s="16" customFormat="1" ht="60" customHeight="1" thickTop="1" thickBot="1" x14ac:dyDescent="0.4">
      <c r="A10" s="155"/>
      <c r="B10" s="17">
        <v>1</v>
      </c>
      <c r="C10" s="60" t="s">
        <v>54</v>
      </c>
      <c r="D10" s="21" t="str">
        <f>$Z14</f>
        <v>UOM001_3_47</v>
      </c>
      <c r="E10" s="21" t="str">
        <f>$Z14</f>
        <v>UOM001_3_47</v>
      </c>
      <c r="F10" s="22" t="str">
        <f>$Z18</f>
        <v>Sunmaster</v>
      </c>
      <c r="G10" s="22" t="str">
        <f>$Z18</f>
        <v>Sunmaster</v>
      </c>
      <c r="H10" s="21" t="str">
        <f>$Z22</f>
        <v>Illabo</v>
      </c>
      <c r="I10" s="21" t="str">
        <f>$Z22</f>
        <v>Illabo</v>
      </c>
      <c r="J10" s="22" t="str">
        <f>$Z26</f>
        <v>RGT_Zanzibar</v>
      </c>
      <c r="K10" s="22" t="str">
        <f>$Z26</f>
        <v>RGT_Zanzibar</v>
      </c>
      <c r="L10" s="21" t="str">
        <f>$Z30</f>
        <v>Big_Red</v>
      </c>
      <c r="M10" s="21" t="str">
        <f>$Z30</f>
        <v>Big_Red</v>
      </c>
      <c r="N10" s="22" t="str">
        <f>$Z34</f>
        <v>UOM001_3_47</v>
      </c>
      <c r="O10" s="22" t="str">
        <f>$Z34</f>
        <v>UOM001_3_47</v>
      </c>
      <c r="P10" s="21" t="str">
        <f>$Z38</f>
        <v>UOM001_9_1</v>
      </c>
      <c r="Q10" s="21" t="str">
        <f>$Z38</f>
        <v>UOM001_9_1</v>
      </c>
      <c r="R10" s="22" t="str">
        <f>$Z42</f>
        <v>UOM001_9_1</v>
      </c>
      <c r="S10" s="22" t="str">
        <f>$Z42</f>
        <v>UOM001_9_1</v>
      </c>
      <c r="T10" s="57" t="s">
        <v>55</v>
      </c>
    </row>
    <row r="11" spans="1:27" ht="15" thickTop="1" x14ac:dyDescent="0.35">
      <c r="B11" s="4"/>
      <c r="C11" s="4" t="s">
        <v>56</v>
      </c>
      <c r="D11" s="4">
        <v>1</v>
      </c>
      <c r="E11" s="4">
        <v>2</v>
      </c>
      <c r="F11" s="4">
        <v>3</v>
      </c>
      <c r="G11" s="4">
        <v>4</v>
      </c>
      <c r="H11" s="4">
        <v>5</v>
      </c>
      <c r="I11" s="4">
        <v>6</v>
      </c>
      <c r="J11" s="4">
        <v>7</v>
      </c>
      <c r="K11" s="4">
        <v>8</v>
      </c>
      <c r="L11" s="4">
        <v>9</v>
      </c>
      <c r="M11" s="4">
        <v>10</v>
      </c>
      <c r="N11" s="4">
        <v>11</v>
      </c>
      <c r="O11" s="4">
        <v>12</v>
      </c>
      <c r="P11" s="4">
        <v>13</v>
      </c>
      <c r="Q11" s="4">
        <v>14</v>
      </c>
      <c r="R11" s="4">
        <v>15</v>
      </c>
      <c r="S11" s="4">
        <v>16</v>
      </c>
      <c r="T11" s="4" t="s">
        <v>56</v>
      </c>
    </row>
    <row r="12" spans="1:27" x14ac:dyDescent="0.35">
      <c r="C12" s="156" t="s">
        <v>57</v>
      </c>
      <c r="D12" s="156"/>
      <c r="E12" s="156"/>
      <c r="F12" s="156"/>
      <c r="G12" s="156"/>
      <c r="H12" s="156"/>
      <c r="I12" s="156"/>
      <c r="J12" s="156"/>
      <c r="K12" s="156"/>
      <c r="L12" s="156"/>
      <c r="M12" s="156"/>
      <c r="N12" s="156"/>
      <c r="O12" s="156"/>
      <c r="P12" s="156"/>
      <c r="Q12" s="156"/>
      <c r="R12" s="156"/>
      <c r="S12" s="156"/>
    </row>
    <row r="13" spans="1:27" x14ac:dyDescent="0.35">
      <c r="Q13" s="5"/>
      <c r="R13" s="5"/>
      <c r="S13" s="5"/>
      <c r="T13" s="5"/>
      <c r="U13" s="38" t="s">
        <v>23</v>
      </c>
      <c r="V13" s="38" t="s">
        <v>24</v>
      </c>
      <c r="W13" s="38" t="s">
        <v>25</v>
      </c>
      <c r="X13" s="38" t="s">
        <v>22</v>
      </c>
      <c r="Y13" s="38" t="s">
        <v>20</v>
      </c>
      <c r="Z13" s="52" t="s">
        <v>21</v>
      </c>
      <c r="AA13" s="37"/>
    </row>
    <row r="14" spans="1:27" x14ac:dyDescent="0.35">
      <c r="Q14" s="4"/>
      <c r="R14" s="4"/>
      <c r="S14" s="4"/>
      <c r="T14" s="4"/>
      <c r="U14" s="36">
        <v>1</v>
      </c>
      <c r="V14" s="36">
        <v>1</v>
      </c>
      <c r="W14" s="36">
        <v>101</v>
      </c>
      <c r="X14" s="36">
        <v>1</v>
      </c>
      <c r="Y14" s="36" t="s">
        <v>28</v>
      </c>
      <c r="Z14" s="37" t="s">
        <v>29</v>
      </c>
      <c r="AA14" s="37"/>
    </row>
    <row r="15" spans="1:27" x14ac:dyDescent="0.35">
      <c r="Q15" s="4"/>
      <c r="R15" s="4"/>
      <c r="S15" s="4"/>
      <c r="T15" s="4"/>
      <c r="U15" s="36">
        <v>2</v>
      </c>
      <c r="V15" s="36">
        <v>1</v>
      </c>
      <c r="W15" s="36">
        <v>201</v>
      </c>
      <c r="X15" s="36">
        <v>1</v>
      </c>
      <c r="Y15" s="36" t="s">
        <v>28</v>
      </c>
      <c r="Z15" s="37" t="s">
        <v>30</v>
      </c>
      <c r="AA15" s="37"/>
    </row>
    <row r="16" spans="1:27" x14ac:dyDescent="0.35">
      <c r="Q16" s="4"/>
      <c r="R16" s="4"/>
      <c r="S16" s="4"/>
      <c r="T16" s="4"/>
      <c r="U16" s="36">
        <v>3</v>
      </c>
      <c r="V16" s="36">
        <v>1</v>
      </c>
      <c r="W16" s="36">
        <v>301</v>
      </c>
      <c r="X16" s="36">
        <v>1</v>
      </c>
      <c r="Y16" s="36" t="s">
        <v>28</v>
      </c>
      <c r="Z16" s="37" t="s">
        <v>31</v>
      </c>
      <c r="AA16" s="37"/>
    </row>
    <row r="17" spans="16:27" x14ac:dyDescent="0.35">
      <c r="P17" s="5"/>
      <c r="Q17" s="4"/>
      <c r="R17" s="4"/>
      <c r="S17" s="4"/>
      <c r="T17" s="4"/>
      <c r="U17" s="36">
        <v>4</v>
      </c>
      <c r="V17" s="36">
        <v>1</v>
      </c>
      <c r="W17" s="36">
        <v>401</v>
      </c>
      <c r="X17" s="36">
        <v>1</v>
      </c>
      <c r="Y17" s="36" t="s">
        <v>28</v>
      </c>
      <c r="Z17" s="37" t="s">
        <v>32</v>
      </c>
      <c r="AA17" s="37"/>
    </row>
    <row r="18" spans="16:27" x14ac:dyDescent="0.35">
      <c r="P18" s="4"/>
      <c r="Q18" s="54"/>
      <c r="R18" s="54"/>
      <c r="S18" s="54"/>
      <c r="T18" s="54"/>
      <c r="U18" s="36">
        <v>1</v>
      </c>
      <c r="V18" s="36">
        <v>3</v>
      </c>
      <c r="W18" s="36">
        <v>103</v>
      </c>
      <c r="X18" s="36">
        <v>1</v>
      </c>
      <c r="Y18" s="36" t="s">
        <v>33</v>
      </c>
      <c r="Z18" s="37" t="s">
        <v>34</v>
      </c>
      <c r="AA18" s="37"/>
    </row>
    <row r="19" spans="16:27" x14ac:dyDescent="0.35">
      <c r="P19" s="4"/>
      <c r="Q19" s="54"/>
      <c r="R19" s="54"/>
      <c r="S19" s="54"/>
      <c r="T19" s="54"/>
      <c r="U19" s="36">
        <v>2</v>
      </c>
      <c r="V19" s="36">
        <v>3</v>
      </c>
      <c r="W19" s="36">
        <v>203</v>
      </c>
      <c r="X19" s="36">
        <v>1</v>
      </c>
      <c r="Y19" s="36" t="s">
        <v>33</v>
      </c>
      <c r="Z19" s="37" t="s">
        <v>30</v>
      </c>
      <c r="AA19" s="37"/>
    </row>
    <row r="20" spans="16:27" x14ac:dyDescent="0.35">
      <c r="P20" s="4"/>
      <c r="Q20" s="54"/>
      <c r="R20" s="54"/>
      <c r="S20" s="54"/>
      <c r="T20" s="54"/>
      <c r="U20" s="36">
        <v>3</v>
      </c>
      <c r="V20" s="36">
        <v>3</v>
      </c>
      <c r="W20" s="36">
        <v>303</v>
      </c>
      <c r="X20" s="36">
        <v>1</v>
      </c>
      <c r="Y20" s="36" t="s">
        <v>33</v>
      </c>
      <c r="Z20" s="37" t="s">
        <v>35</v>
      </c>
      <c r="AA20" s="37"/>
    </row>
    <row r="21" spans="16:27" x14ac:dyDescent="0.35">
      <c r="P21" s="4"/>
      <c r="Q21" s="54"/>
      <c r="R21" s="54"/>
      <c r="S21" s="54"/>
      <c r="T21" s="54"/>
      <c r="U21" s="36">
        <v>4</v>
      </c>
      <c r="V21" s="36">
        <v>3</v>
      </c>
      <c r="W21" s="36">
        <v>403</v>
      </c>
      <c r="X21" s="36">
        <v>1</v>
      </c>
      <c r="Y21" s="36" t="s">
        <v>33</v>
      </c>
      <c r="Z21" s="37" t="s">
        <v>29</v>
      </c>
      <c r="AA21" s="37"/>
    </row>
    <row r="22" spans="16:27" x14ac:dyDescent="0.35">
      <c r="P22" s="4"/>
      <c r="Q22" s="4"/>
      <c r="R22" s="4"/>
      <c r="S22" s="4"/>
      <c r="T22" s="4"/>
      <c r="U22" s="36">
        <v>1</v>
      </c>
      <c r="V22" s="36">
        <v>5</v>
      </c>
      <c r="W22" s="36">
        <v>105</v>
      </c>
      <c r="X22" s="36">
        <v>2</v>
      </c>
      <c r="Y22" s="36" t="s">
        <v>28</v>
      </c>
      <c r="Z22" s="37" t="s">
        <v>31</v>
      </c>
      <c r="AA22" s="37"/>
    </row>
    <row r="23" spans="16:27" x14ac:dyDescent="0.35">
      <c r="P23" s="4"/>
      <c r="Q23" s="4"/>
      <c r="R23" s="4"/>
      <c r="S23" s="4"/>
      <c r="T23" s="4"/>
      <c r="U23" s="36">
        <v>2</v>
      </c>
      <c r="V23" s="36">
        <v>5</v>
      </c>
      <c r="W23" s="36">
        <v>205</v>
      </c>
      <c r="X23" s="36">
        <v>2</v>
      </c>
      <c r="Y23" s="36" t="s">
        <v>28</v>
      </c>
      <c r="Z23" s="37" t="s">
        <v>32</v>
      </c>
      <c r="AA23" s="37"/>
    </row>
    <row r="24" spans="16:27" x14ac:dyDescent="0.35">
      <c r="P24" s="4"/>
      <c r="Q24" s="4"/>
      <c r="R24" s="4"/>
      <c r="S24" s="4"/>
      <c r="T24" s="4"/>
      <c r="U24" s="36">
        <v>3</v>
      </c>
      <c r="V24" s="36">
        <v>5</v>
      </c>
      <c r="W24" s="36">
        <v>305</v>
      </c>
      <c r="X24" s="36">
        <v>2</v>
      </c>
      <c r="Y24" s="36" t="s">
        <v>28</v>
      </c>
      <c r="Z24" s="37" t="s">
        <v>30</v>
      </c>
      <c r="AA24" s="37"/>
    </row>
    <row r="25" spans="16:27" x14ac:dyDescent="0.35">
      <c r="P25" s="4"/>
      <c r="Q25" s="4"/>
      <c r="R25" s="4"/>
      <c r="S25" s="4"/>
      <c r="T25" s="4"/>
      <c r="U25" s="36">
        <v>4</v>
      </c>
      <c r="V25" s="36">
        <v>5</v>
      </c>
      <c r="W25" s="36">
        <v>405</v>
      </c>
      <c r="X25" s="36">
        <v>2</v>
      </c>
      <c r="Y25" s="36" t="s">
        <v>28</v>
      </c>
      <c r="Z25" s="37" t="s">
        <v>29</v>
      </c>
      <c r="AA25" s="37"/>
    </row>
    <row r="26" spans="16:27" x14ac:dyDescent="0.35">
      <c r="P26" s="4"/>
      <c r="Q26" s="54"/>
      <c r="R26" s="54"/>
      <c r="S26" s="54"/>
      <c r="T26" s="54"/>
      <c r="U26" s="36">
        <v>1</v>
      </c>
      <c r="V26" s="36">
        <v>7</v>
      </c>
      <c r="W26" s="36">
        <v>107</v>
      </c>
      <c r="X26" s="36">
        <v>2</v>
      </c>
      <c r="Y26" s="36" t="s">
        <v>33</v>
      </c>
      <c r="Z26" s="37" t="s">
        <v>35</v>
      </c>
      <c r="AA26" s="37"/>
    </row>
    <row r="27" spans="16:27" x14ac:dyDescent="0.35">
      <c r="P27" s="4"/>
      <c r="Q27" s="54"/>
      <c r="R27" s="54"/>
      <c r="S27" s="54"/>
      <c r="T27" s="54"/>
      <c r="U27" s="36">
        <v>2</v>
      </c>
      <c r="V27" s="36">
        <v>7</v>
      </c>
      <c r="W27" s="36">
        <v>207</v>
      </c>
      <c r="X27" s="36">
        <v>2</v>
      </c>
      <c r="Y27" s="36" t="s">
        <v>33</v>
      </c>
      <c r="Z27" s="37" t="s">
        <v>29</v>
      </c>
      <c r="AA27" s="37"/>
    </row>
    <row r="28" spans="16:27" x14ac:dyDescent="0.35">
      <c r="P28" s="4"/>
      <c r="Q28" s="54"/>
      <c r="R28" s="54"/>
      <c r="S28" s="54"/>
      <c r="T28" s="54"/>
      <c r="U28" s="36">
        <v>3</v>
      </c>
      <c r="V28" s="36">
        <v>7</v>
      </c>
      <c r="W28" s="36">
        <v>307</v>
      </c>
      <c r="X28" s="36">
        <v>2</v>
      </c>
      <c r="Y28" s="36" t="s">
        <v>33</v>
      </c>
      <c r="Z28" s="37" t="s">
        <v>30</v>
      </c>
      <c r="AA28" s="37"/>
    </row>
    <row r="29" spans="16:27" x14ac:dyDescent="0.35">
      <c r="P29" s="4"/>
      <c r="Q29" s="54"/>
      <c r="R29" s="54"/>
      <c r="S29" s="54"/>
      <c r="T29" s="54"/>
      <c r="U29" s="36">
        <v>4</v>
      </c>
      <c r="V29" s="36">
        <v>7</v>
      </c>
      <c r="W29" s="36">
        <v>407</v>
      </c>
      <c r="X29" s="36">
        <v>2</v>
      </c>
      <c r="Y29" s="36" t="s">
        <v>33</v>
      </c>
      <c r="Z29" s="37" t="s">
        <v>34</v>
      </c>
      <c r="AA29" s="37"/>
    </row>
    <row r="30" spans="16:27" x14ac:dyDescent="0.35">
      <c r="P30" s="4"/>
      <c r="Q30" s="4"/>
      <c r="R30" s="4"/>
      <c r="S30" s="4"/>
      <c r="T30" s="4"/>
      <c r="U30" s="36">
        <v>1</v>
      </c>
      <c r="V30" s="36">
        <v>9</v>
      </c>
      <c r="W30" s="36">
        <v>109</v>
      </c>
      <c r="X30" s="36">
        <v>3</v>
      </c>
      <c r="Y30" s="36" t="s">
        <v>28</v>
      </c>
      <c r="Z30" s="37" t="s">
        <v>32</v>
      </c>
      <c r="AA30" s="37"/>
    </row>
    <row r="31" spans="16:27" x14ac:dyDescent="0.35">
      <c r="P31" s="4"/>
      <c r="Q31" s="4"/>
      <c r="R31" s="4"/>
      <c r="S31" s="4"/>
      <c r="T31" s="4"/>
      <c r="U31" s="36">
        <v>2</v>
      </c>
      <c r="V31" s="36">
        <v>9</v>
      </c>
      <c r="W31" s="36">
        <v>209</v>
      </c>
      <c r="X31" s="36">
        <v>3</v>
      </c>
      <c r="Y31" s="36" t="s">
        <v>28</v>
      </c>
      <c r="Z31" s="37" t="s">
        <v>31</v>
      </c>
      <c r="AA31" s="37"/>
    </row>
    <row r="32" spans="16:27" x14ac:dyDescent="0.35">
      <c r="P32" s="4"/>
      <c r="Q32" s="4"/>
      <c r="R32" s="4"/>
      <c r="S32" s="4"/>
      <c r="T32" s="4"/>
      <c r="U32" s="36">
        <v>3</v>
      </c>
      <c r="V32" s="36">
        <v>9</v>
      </c>
      <c r="W32" s="36">
        <v>309</v>
      </c>
      <c r="X32" s="36">
        <v>3</v>
      </c>
      <c r="Y32" s="36" t="s">
        <v>28</v>
      </c>
      <c r="Z32" s="37" t="s">
        <v>29</v>
      </c>
      <c r="AA32" s="37"/>
    </row>
    <row r="33" spans="16:27" x14ac:dyDescent="0.35">
      <c r="P33" s="4"/>
      <c r="Q33" s="4"/>
      <c r="R33" s="4"/>
      <c r="S33" s="4"/>
      <c r="T33" s="4"/>
      <c r="U33" s="36">
        <v>4</v>
      </c>
      <c r="V33" s="36">
        <v>9</v>
      </c>
      <c r="W33" s="36">
        <v>409</v>
      </c>
      <c r="X33" s="36">
        <v>3</v>
      </c>
      <c r="Y33" s="36" t="s">
        <v>28</v>
      </c>
      <c r="Z33" s="37" t="s">
        <v>30</v>
      </c>
      <c r="AA33" s="37"/>
    </row>
    <row r="34" spans="16:27" x14ac:dyDescent="0.35">
      <c r="P34" s="4"/>
      <c r="Q34" s="54"/>
      <c r="R34" s="54"/>
      <c r="S34" s="54"/>
      <c r="T34" s="54"/>
      <c r="U34" s="36">
        <v>1</v>
      </c>
      <c r="V34" s="36">
        <v>11</v>
      </c>
      <c r="W34" s="36">
        <v>111</v>
      </c>
      <c r="X34" s="36">
        <v>3</v>
      </c>
      <c r="Y34" s="36" t="s">
        <v>33</v>
      </c>
      <c r="Z34" s="37" t="s">
        <v>29</v>
      </c>
      <c r="AA34" s="37"/>
    </row>
    <row r="35" spans="16:27" x14ac:dyDescent="0.35">
      <c r="P35" s="4"/>
      <c r="Q35" s="54"/>
      <c r="R35" s="54"/>
      <c r="S35" s="54"/>
      <c r="T35" s="54"/>
      <c r="U35" s="36">
        <v>2</v>
      </c>
      <c r="V35" s="36">
        <v>11</v>
      </c>
      <c r="W35" s="36">
        <v>211</v>
      </c>
      <c r="X35" s="36">
        <v>3</v>
      </c>
      <c r="Y35" s="36" t="s">
        <v>33</v>
      </c>
      <c r="Z35" s="37" t="s">
        <v>35</v>
      </c>
      <c r="AA35" s="37"/>
    </row>
    <row r="36" spans="16:27" x14ac:dyDescent="0.35">
      <c r="P36" s="4"/>
      <c r="Q36" s="54"/>
      <c r="R36" s="54"/>
      <c r="S36" s="54"/>
      <c r="T36" s="54"/>
      <c r="U36" s="36">
        <v>3</v>
      </c>
      <c r="V36" s="36">
        <v>11</v>
      </c>
      <c r="W36" s="36">
        <v>311</v>
      </c>
      <c r="X36" s="36">
        <v>3</v>
      </c>
      <c r="Y36" s="36" t="s">
        <v>33</v>
      </c>
      <c r="Z36" s="37" t="s">
        <v>34</v>
      </c>
      <c r="AA36" s="37"/>
    </row>
    <row r="37" spans="16:27" x14ac:dyDescent="0.35">
      <c r="P37" s="4"/>
      <c r="Q37" s="54"/>
      <c r="R37" s="54"/>
      <c r="S37" s="54"/>
      <c r="T37" s="54"/>
      <c r="U37" s="36">
        <v>4</v>
      </c>
      <c r="V37" s="36">
        <v>11</v>
      </c>
      <c r="W37" s="36">
        <v>411</v>
      </c>
      <c r="X37" s="36">
        <v>3</v>
      </c>
      <c r="Y37" s="36" t="s">
        <v>33</v>
      </c>
      <c r="Z37" s="37" t="s">
        <v>30</v>
      </c>
      <c r="AA37" s="37"/>
    </row>
    <row r="38" spans="16:27" x14ac:dyDescent="0.35">
      <c r="P38" s="4"/>
      <c r="Q38" s="4"/>
      <c r="R38" s="4"/>
      <c r="S38" s="4"/>
      <c r="T38" s="4"/>
      <c r="U38" s="36">
        <v>1</v>
      </c>
      <c r="V38" s="36">
        <v>13</v>
      </c>
      <c r="W38" s="36">
        <v>113</v>
      </c>
      <c r="X38" s="36">
        <v>4</v>
      </c>
      <c r="Y38" s="36" t="s">
        <v>28</v>
      </c>
      <c r="Z38" s="37" t="s">
        <v>30</v>
      </c>
      <c r="AA38" s="37"/>
    </row>
    <row r="39" spans="16:27" x14ac:dyDescent="0.35">
      <c r="P39" s="4"/>
      <c r="Q39" s="4"/>
      <c r="R39" s="4"/>
      <c r="S39" s="4"/>
      <c r="T39" s="4"/>
      <c r="U39" s="36">
        <v>2</v>
      </c>
      <c r="V39" s="36">
        <v>13</v>
      </c>
      <c r="W39" s="36">
        <v>213</v>
      </c>
      <c r="X39" s="36">
        <v>4</v>
      </c>
      <c r="Y39" s="36" t="s">
        <v>28</v>
      </c>
      <c r="Z39" s="37" t="s">
        <v>29</v>
      </c>
      <c r="AA39" s="37"/>
    </row>
    <row r="40" spans="16:27" x14ac:dyDescent="0.35">
      <c r="P40" s="4"/>
      <c r="Q40" s="4"/>
      <c r="R40" s="4"/>
      <c r="S40" s="4"/>
      <c r="T40" s="4"/>
      <c r="U40" s="36">
        <v>3</v>
      </c>
      <c r="V40" s="36">
        <v>13</v>
      </c>
      <c r="W40" s="36">
        <v>313</v>
      </c>
      <c r="X40" s="36">
        <v>4</v>
      </c>
      <c r="Y40" s="36" t="s">
        <v>28</v>
      </c>
      <c r="Z40" s="37" t="s">
        <v>32</v>
      </c>
      <c r="AA40" s="37"/>
    </row>
    <row r="41" spans="16:27" x14ac:dyDescent="0.35">
      <c r="P41" s="4"/>
      <c r="Q41" s="4"/>
      <c r="R41" s="4"/>
      <c r="S41" s="4"/>
      <c r="T41" s="4"/>
      <c r="U41" s="36">
        <v>4</v>
      </c>
      <c r="V41" s="36">
        <v>13</v>
      </c>
      <c r="W41" s="36">
        <v>413</v>
      </c>
      <c r="X41" s="36">
        <v>4</v>
      </c>
      <c r="Y41" s="36" t="s">
        <v>28</v>
      </c>
      <c r="Z41" s="37" t="s">
        <v>31</v>
      </c>
      <c r="AA41" s="37"/>
    </row>
    <row r="42" spans="16:27" x14ac:dyDescent="0.35">
      <c r="P42" s="4"/>
      <c r="Q42" s="54"/>
      <c r="R42" s="54"/>
      <c r="S42" s="54"/>
      <c r="T42" s="54"/>
      <c r="U42" s="36">
        <v>1</v>
      </c>
      <c r="V42" s="36">
        <v>15</v>
      </c>
      <c r="W42" s="36">
        <v>115</v>
      </c>
      <c r="X42" s="36">
        <v>4</v>
      </c>
      <c r="Y42" s="36" t="s">
        <v>33</v>
      </c>
      <c r="Z42" s="37" t="s">
        <v>30</v>
      </c>
      <c r="AA42" s="37"/>
    </row>
    <row r="43" spans="16:27" x14ac:dyDescent="0.35">
      <c r="P43" s="4"/>
      <c r="Q43" s="54"/>
      <c r="R43" s="54"/>
      <c r="S43" s="54"/>
      <c r="T43" s="54"/>
      <c r="U43" s="36">
        <v>2</v>
      </c>
      <c r="V43" s="36">
        <v>15</v>
      </c>
      <c r="W43" s="36">
        <v>215</v>
      </c>
      <c r="X43" s="36">
        <v>4</v>
      </c>
      <c r="Y43" s="36" t="s">
        <v>33</v>
      </c>
      <c r="Z43" s="37" t="s">
        <v>34</v>
      </c>
      <c r="AA43" s="37"/>
    </row>
    <row r="44" spans="16:27" x14ac:dyDescent="0.35">
      <c r="P44" s="4"/>
      <c r="Q44" s="54"/>
      <c r="R44" s="54"/>
      <c r="S44" s="54"/>
      <c r="T44" s="54"/>
      <c r="U44" s="36">
        <v>3</v>
      </c>
      <c r="V44" s="36">
        <v>15</v>
      </c>
      <c r="W44" s="36">
        <v>315</v>
      </c>
      <c r="X44" s="36">
        <v>4</v>
      </c>
      <c r="Y44" s="36" t="s">
        <v>33</v>
      </c>
      <c r="Z44" s="37" t="s">
        <v>29</v>
      </c>
      <c r="AA44" s="37"/>
    </row>
    <row r="45" spans="16:27" x14ac:dyDescent="0.35">
      <c r="P45" s="4"/>
      <c r="Q45" s="54"/>
      <c r="R45" s="54"/>
      <c r="S45" s="54"/>
      <c r="T45" s="54"/>
      <c r="U45" s="36">
        <v>4</v>
      </c>
      <c r="V45" s="36">
        <v>15</v>
      </c>
      <c r="W45" s="36">
        <v>415</v>
      </c>
      <c r="X45" s="36">
        <v>4</v>
      </c>
      <c r="Y45" s="36" t="s">
        <v>33</v>
      </c>
      <c r="Z45" s="37" t="s">
        <v>35</v>
      </c>
      <c r="AA45" s="37"/>
    </row>
    <row r="46" spans="16:27" x14ac:dyDescent="0.35">
      <c r="P46" s="4"/>
    </row>
    <row r="47" spans="16:27" x14ac:dyDescent="0.35">
      <c r="P47" s="4"/>
    </row>
    <row r="48" spans="16:27" x14ac:dyDescent="0.35">
      <c r="P48" s="4"/>
    </row>
    <row r="49" spans="16:16" x14ac:dyDescent="0.35">
      <c r="P49" s="4"/>
    </row>
  </sheetData>
  <sortState xmlns:xlrd2="http://schemas.microsoft.com/office/spreadsheetml/2017/richdata2" ref="P17:V49">
    <sortCondition ref="R18:R49"/>
    <sortCondition descending="1" ref="P18:P49"/>
  </sortState>
  <mergeCells count="7">
    <mergeCell ref="A7:A10"/>
    <mergeCell ref="C12:S12"/>
    <mergeCell ref="D5:S5"/>
    <mergeCell ref="D6:G6"/>
    <mergeCell ref="H6:K6"/>
    <mergeCell ref="L6:O6"/>
    <mergeCell ref="P6:S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dimension ref="A1:N117"/>
  <sheetViews>
    <sheetView zoomScale="89" zoomScaleNormal="89" workbookViewId="0">
      <selection activeCell="D127" sqref="D127"/>
    </sheetView>
  </sheetViews>
  <sheetFormatPr defaultRowHeight="14.5" x14ac:dyDescent="0.35"/>
  <cols>
    <col min="1" max="1" width="12.1796875" style="15" customWidth="1"/>
    <col min="2" max="2" width="23.7265625" style="15" customWidth="1"/>
    <col min="3" max="3" width="40.54296875" style="15" bestFit="1" customWidth="1"/>
    <col min="4" max="4" width="108.7265625" style="15" customWidth="1"/>
    <col min="5" max="5" width="42.1796875" customWidth="1"/>
    <col min="9" max="9" width="1.81640625" customWidth="1"/>
    <col min="10" max="10" width="21" customWidth="1"/>
    <col min="13" max="13" width="109.7265625" customWidth="1"/>
  </cols>
  <sheetData>
    <row r="1" spans="1:14" x14ac:dyDescent="0.35">
      <c r="A1" s="6" t="s">
        <v>58</v>
      </c>
      <c r="B1" s="6" t="s">
        <v>59</v>
      </c>
      <c r="C1" s="6" t="s">
        <v>60</v>
      </c>
      <c r="D1" s="6" t="s">
        <v>61</v>
      </c>
    </row>
    <row r="2" spans="1:14" ht="33" customHeight="1" x14ac:dyDescent="0.35">
      <c r="A2" s="14">
        <v>45736</v>
      </c>
      <c r="B2" s="15" t="s">
        <v>62</v>
      </c>
      <c r="C2" s="25" t="s">
        <v>63</v>
      </c>
      <c r="D2" s="25" t="s">
        <v>64</v>
      </c>
    </row>
    <row r="3" spans="1:14" ht="145" x14ac:dyDescent="0.35">
      <c r="A3" s="84">
        <v>45762</v>
      </c>
      <c r="B3" s="25" t="s">
        <v>65</v>
      </c>
      <c r="C3" s="25" t="s">
        <v>66</v>
      </c>
      <c r="D3" s="25" t="s">
        <v>67</v>
      </c>
      <c r="J3" s="36"/>
      <c r="K3" s="36"/>
      <c r="L3" s="36"/>
      <c r="M3" s="43"/>
    </row>
    <row r="4" spans="1:14" ht="101.5" x14ac:dyDescent="0.35">
      <c r="A4" s="85">
        <v>45763</v>
      </c>
      <c r="B4" s="86" t="s">
        <v>68</v>
      </c>
      <c r="C4" s="25" t="s">
        <v>69</v>
      </c>
      <c r="D4" s="25" t="s">
        <v>70</v>
      </c>
      <c r="J4" s="36"/>
      <c r="K4" s="36"/>
      <c r="L4" s="36"/>
      <c r="M4" s="43"/>
    </row>
    <row r="5" spans="1:14" ht="72.5" x14ac:dyDescent="0.35">
      <c r="A5" s="14">
        <v>45770</v>
      </c>
      <c r="B5" s="15" t="s">
        <v>62</v>
      </c>
      <c r="C5" s="15" t="s">
        <v>71</v>
      </c>
      <c r="D5" s="15" t="s">
        <v>72</v>
      </c>
      <c r="J5" s="36"/>
      <c r="K5" s="36"/>
      <c r="L5" s="36"/>
      <c r="M5" s="43"/>
    </row>
    <row r="6" spans="1:14" x14ac:dyDescent="0.35">
      <c r="A6" s="14">
        <v>45772</v>
      </c>
      <c r="B6" s="15" t="s">
        <v>73</v>
      </c>
      <c r="C6" s="15" t="s">
        <v>71</v>
      </c>
      <c r="D6" s="15" t="s">
        <v>74</v>
      </c>
      <c r="J6" s="36"/>
      <c r="K6" s="36"/>
      <c r="L6" s="36"/>
      <c r="M6" s="43"/>
    </row>
    <row r="7" spans="1:14" x14ac:dyDescent="0.35">
      <c r="A7" s="14">
        <v>45775</v>
      </c>
      <c r="B7" s="15" t="s">
        <v>73</v>
      </c>
      <c r="C7" s="15" t="s">
        <v>71</v>
      </c>
      <c r="D7" s="15" t="s">
        <v>74</v>
      </c>
      <c r="J7" s="36"/>
      <c r="K7" s="36"/>
      <c r="L7" s="36"/>
      <c r="M7" s="43"/>
    </row>
    <row r="8" spans="1:14" ht="29" x14ac:dyDescent="0.35">
      <c r="A8" s="14">
        <v>45778</v>
      </c>
      <c r="B8" s="15" t="s">
        <v>75</v>
      </c>
      <c r="C8" s="15" t="s">
        <v>71</v>
      </c>
      <c r="D8" s="92" t="s">
        <v>76</v>
      </c>
      <c r="J8" s="36"/>
      <c r="K8" s="36"/>
      <c r="L8" s="36"/>
      <c r="M8" s="43"/>
    </row>
    <row r="9" spans="1:14" ht="130.5" x14ac:dyDescent="0.35">
      <c r="A9" s="14">
        <v>45785</v>
      </c>
      <c r="B9" s="15" t="s">
        <v>73</v>
      </c>
      <c r="C9" s="15" t="s">
        <v>77</v>
      </c>
      <c r="D9" s="92" t="s">
        <v>78</v>
      </c>
      <c r="J9" s="36"/>
      <c r="K9" s="36"/>
      <c r="L9" s="36"/>
      <c r="M9" s="43"/>
    </row>
    <row r="10" spans="1:14" ht="188.5" x14ac:dyDescent="0.35">
      <c r="A10" s="14">
        <v>45786</v>
      </c>
      <c r="B10" s="15" t="s">
        <v>73</v>
      </c>
      <c r="C10" s="15" t="s">
        <v>77</v>
      </c>
      <c r="D10" s="92" t="s">
        <v>79</v>
      </c>
      <c r="J10" s="36"/>
      <c r="K10" s="36"/>
      <c r="L10" s="36"/>
      <c r="M10" s="108"/>
    </row>
    <row r="11" spans="1:14" ht="15.5" x14ac:dyDescent="0.35">
      <c r="A11" s="85">
        <v>45790</v>
      </c>
      <c r="B11" s="86" t="s">
        <v>80</v>
      </c>
      <c r="C11" s="25" t="s">
        <v>81</v>
      </c>
      <c r="D11" s="92" t="s">
        <v>82</v>
      </c>
      <c r="M11" s="112"/>
    </row>
    <row r="12" spans="1:14" ht="15.5" x14ac:dyDescent="0.35">
      <c r="A12" s="97">
        <v>45790</v>
      </c>
      <c r="B12" s="98" t="s">
        <v>83</v>
      </c>
      <c r="C12" s="99" t="s">
        <v>84</v>
      </c>
      <c r="D12" s="100" t="s">
        <v>85</v>
      </c>
      <c r="J12" s="36"/>
      <c r="K12" s="36"/>
      <c r="L12" s="36"/>
      <c r="M12" s="108" t="s">
        <v>86</v>
      </c>
    </row>
    <row r="13" spans="1:14" ht="58" x14ac:dyDescent="0.35">
      <c r="A13" s="97">
        <v>45791</v>
      </c>
      <c r="B13" s="98" t="s">
        <v>83</v>
      </c>
      <c r="C13" s="99" t="s">
        <v>66</v>
      </c>
      <c r="D13" s="99" t="s">
        <v>87</v>
      </c>
      <c r="J13" s="36"/>
      <c r="K13" s="36"/>
      <c r="L13" s="36"/>
      <c r="N13" s="110"/>
    </row>
    <row r="14" spans="1:14" ht="15.5" x14ac:dyDescent="0.35">
      <c r="A14" s="101">
        <v>45792</v>
      </c>
      <c r="B14" s="98" t="s">
        <v>83</v>
      </c>
      <c r="C14" s="102" t="s">
        <v>66</v>
      </c>
      <c r="D14" s="99" t="s">
        <v>88</v>
      </c>
      <c r="J14" s="36"/>
      <c r="K14" s="36"/>
      <c r="L14" s="36"/>
      <c r="N14" s="110"/>
    </row>
    <row r="15" spans="1:14" ht="43.5" x14ac:dyDescent="0.35">
      <c r="A15" s="101">
        <v>45798</v>
      </c>
      <c r="B15" s="102" t="s">
        <v>75</v>
      </c>
      <c r="C15" s="102" t="s">
        <v>89</v>
      </c>
      <c r="D15" s="103" t="s">
        <v>90</v>
      </c>
      <c r="J15" s="36"/>
      <c r="K15" s="36"/>
      <c r="L15" s="36"/>
      <c r="M15" s="108"/>
    </row>
    <row r="16" spans="1:14" ht="43.5" x14ac:dyDescent="0.35">
      <c r="A16" s="101">
        <v>45799</v>
      </c>
      <c r="B16" s="102" t="s">
        <v>91</v>
      </c>
      <c r="C16" s="102" t="s">
        <v>92</v>
      </c>
      <c r="D16" s="103" t="s">
        <v>93</v>
      </c>
      <c r="M16" s="109"/>
    </row>
    <row r="17" spans="1:13" x14ac:dyDescent="0.35">
      <c r="A17" s="101">
        <v>45803</v>
      </c>
      <c r="B17" s="102" t="s">
        <v>73</v>
      </c>
      <c r="C17" s="102" t="s">
        <v>94</v>
      </c>
      <c r="D17" s="103" t="s">
        <v>95</v>
      </c>
      <c r="M17" s="109"/>
    </row>
    <row r="18" spans="1:13" ht="58" x14ac:dyDescent="0.35">
      <c r="A18" s="101">
        <v>45804</v>
      </c>
      <c r="B18" s="102" t="s">
        <v>73</v>
      </c>
      <c r="C18" s="102" t="s">
        <v>96</v>
      </c>
      <c r="D18" s="102" t="s">
        <v>97</v>
      </c>
      <c r="M18" s="108"/>
    </row>
    <row r="19" spans="1:13" x14ac:dyDescent="0.35">
      <c r="A19" s="101">
        <v>45805</v>
      </c>
      <c r="B19" s="102" t="s">
        <v>73</v>
      </c>
      <c r="C19" s="102" t="s">
        <v>98</v>
      </c>
      <c r="D19" s="103" t="s">
        <v>99</v>
      </c>
      <c r="M19" s="111" t="s">
        <v>86</v>
      </c>
    </row>
    <row r="20" spans="1:13" x14ac:dyDescent="0.35">
      <c r="A20" s="101">
        <v>45807</v>
      </c>
      <c r="B20" s="102" t="s">
        <v>73</v>
      </c>
      <c r="C20" s="102" t="s">
        <v>98</v>
      </c>
      <c r="D20" s="102" t="s">
        <v>100</v>
      </c>
    </row>
    <row r="21" spans="1:13" x14ac:dyDescent="0.35">
      <c r="A21" s="101">
        <v>45810</v>
      </c>
      <c r="B21" s="102" t="s">
        <v>73</v>
      </c>
      <c r="C21" s="102" t="s">
        <v>101</v>
      </c>
      <c r="D21" s="102" t="s">
        <v>102</v>
      </c>
    </row>
    <row r="22" spans="1:13" ht="29" x14ac:dyDescent="0.35">
      <c r="A22" s="101">
        <v>45811</v>
      </c>
      <c r="B22" s="102" t="s">
        <v>73</v>
      </c>
      <c r="C22" s="102" t="s">
        <v>103</v>
      </c>
      <c r="D22" s="102" t="s">
        <v>104</v>
      </c>
    </row>
    <row r="23" spans="1:13" ht="29" x14ac:dyDescent="0.35">
      <c r="A23" s="101">
        <v>45812</v>
      </c>
      <c r="B23" s="102" t="s">
        <v>73</v>
      </c>
      <c r="C23" s="102" t="s">
        <v>105</v>
      </c>
      <c r="D23" s="102" t="s">
        <v>106</v>
      </c>
    </row>
    <row r="24" spans="1:13" x14ac:dyDescent="0.35">
      <c r="A24" s="101">
        <v>45813</v>
      </c>
      <c r="B24" s="102" t="s">
        <v>73</v>
      </c>
      <c r="C24" s="102" t="s">
        <v>101</v>
      </c>
      <c r="D24" s="102" t="s">
        <v>107</v>
      </c>
    </row>
    <row r="25" spans="1:13" x14ac:dyDescent="0.35">
      <c r="A25" s="101">
        <v>45819</v>
      </c>
      <c r="B25" s="102" t="s">
        <v>73</v>
      </c>
      <c r="C25" s="102" t="s">
        <v>101</v>
      </c>
      <c r="D25" s="102" t="s">
        <v>108</v>
      </c>
    </row>
    <row r="26" spans="1:13" ht="43.5" x14ac:dyDescent="0.35">
      <c r="A26" s="101">
        <v>45821</v>
      </c>
      <c r="B26" s="102" t="s">
        <v>73</v>
      </c>
      <c r="C26" s="102" t="s">
        <v>109</v>
      </c>
      <c r="D26" s="102" t="s">
        <v>110</v>
      </c>
    </row>
    <row r="27" spans="1:13" x14ac:dyDescent="0.35">
      <c r="A27" s="101">
        <v>45825</v>
      </c>
      <c r="B27" s="102" t="s">
        <v>73</v>
      </c>
      <c r="C27" s="102" t="s">
        <v>101</v>
      </c>
      <c r="D27" s="102" t="s">
        <v>111</v>
      </c>
    </row>
    <row r="28" spans="1:13" ht="29" x14ac:dyDescent="0.35">
      <c r="A28" s="101">
        <v>45825</v>
      </c>
      <c r="B28" s="102" t="s">
        <v>73</v>
      </c>
      <c r="C28" s="102" t="s">
        <v>105</v>
      </c>
      <c r="D28" s="102" t="s">
        <v>112</v>
      </c>
    </row>
    <row r="29" spans="1:13" x14ac:dyDescent="0.35">
      <c r="A29" s="101">
        <v>45828</v>
      </c>
      <c r="B29" s="102" t="s">
        <v>73</v>
      </c>
      <c r="C29" s="102" t="s">
        <v>103</v>
      </c>
      <c r="D29" s="102" t="s">
        <v>113</v>
      </c>
    </row>
    <row r="30" spans="1:13" x14ac:dyDescent="0.35">
      <c r="A30" s="101">
        <v>45834</v>
      </c>
      <c r="B30" s="102" t="s">
        <v>114</v>
      </c>
      <c r="C30" s="102" t="s">
        <v>115</v>
      </c>
      <c r="D30" s="102" t="s">
        <v>116</v>
      </c>
    </row>
    <row r="31" spans="1:13" x14ac:dyDescent="0.35">
      <c r="A31" s="101">
        <v>45835</v>
      </c>
      <c r="B31" s="102" t="s">
        <v>117</v>
      </c>
      <c r="C31" s="102" t="s">
        <v>103</v>
      </c>
      <c r="D31" s="102" t="s">
        <v>118</v>
      </c>
    </row>
    <row r="32" spans="1:13" x14ac:dyDescent="0.35">
      <c r="A32" s="101">
        <v>45838</v>
      </c>
      <c r="B32" s="102" t="s">
        <v>73</v>
      </c>
      <c r="C32" s="102" t="s">
        <v>105</v>
      </c>
      <c r="D32" s="102" t="s">
        <v>119</v>
      </c>
    </row>
    <row r="33" spans="1:4" x14ac:dyDescent="0.35">
      <c r="A33" s="14">
        <v>45842</v>
      </c>
      <c r="B33" s="15" t="s">
        <v>73</v>
      </c>
      <c r="C33" s="15" t="s">
        <v>120</v>
      </c>
      <c r="D33" s="15" t="s">
        <v>121</v>
      </c>
    </row>
    <row r="34" spans="1:4" x14ac:dyDescent="0.35">
      <c r="A34" s="14">
        <v>45845</v>
      </c>
      <c r="B34" s="15" t="s">
        <v>73</v>
      </c>
      <c r="C34" s="15" t="s">
        <v>122</v>
      </c>
      <c r="D34" s="15" t="s">
        <v>123</v>
      </c>
    </row>
    <row r="35" spans="1:4" x14ac:dyDescent="0.35">
      <c r="A35" s="14">
        <v>45845</v>
      </c>
      <c r="B35" s="15" t="s">
        <v>124</v>
      </c>
      <c r="C35" s="15" t="s">
        <v>125</v>
      </c>
      <c r="D35" s="15" t="s">
        <v>126</v>
      </c>
    </row>
    <row r="36" spans="1:4" x14ac:dyDescent="0.35">
      <c r="A36" s="14">
        <v>45849</v>
      </c>
      <c r="B36" s="15" t="s">
        <v>73</v>
      </c>
      <c r="C36" s="15" t="s">
        <v>120</v>
      </c>
      <c r="D36" s="15" t="s">
        <v>127</v>
      </c>
    </row>
    <row r="37" spans="1:4" x14ac:dyDescent="0.35">
      <c r="A37" s="14">
        <v>45852</v>
      </c>
      <c r="B37" s="15" t="s">
        <v>73</v>
      </c>
      <c r="C37" s="15" t="s">
        <v>125</v>
      </c>
      <c r="D37" s="15" t="s">
        <v>127</v>
      </c>
    </row>
    <row r="38" spans="1:4" x14ac:dyDescent="0.35">
      <c r="A38" s="85">
        <v>45854</v>
      </c>
      <c r="B38" s="86" t="s">
        <v>62</v>
      </c>
      <c r="C38" s="25" t="s">
        <v>128</v>
      </c>
      <c r="D38" s="25" t="s">
        <v>129</v>
      </c>
    </row>
    <row r="39" spans="1:4" x14ac:dyDescent="0.35">
      <c r="A39" s="14">
        <v>45856</v>
      </c>
      <c r="B39" s="15" t="s">
        <v>73</v>
      </c>
      <c r="C39" s="15" t="s">
        <v>120</v>
      </c>
      <c r="D39" s="15" t="s">
        <v>130</v>
      </c>
    </row>
    <row r="40" spans="1:4" ht="58" x14ac:dyDescent="0.35">
      <c r="A40" s="14">
        <v>45856</v>
      </c>
      <c r="B40" s="15" t="s">
        <v>73</v>
      </c>
      <c r="C40" s="15" t="s">
        <v>105</v>
      </c>
      <c r="D40" s="15" t="s">
        <v>131</v>
      </c>
    </row>
    <row r="41" spans="1:4" x14ac:dyDescent="0.35">
      <c r="A41" s="14">
        <v>45862</v>
      </c>
      <c r="B41" s="15" t="s">
        <v>117</v>
      </c>
      <c r="C41" s="15" t="s">
        <v>125</v>
      </c>
      <c r="D41" s="15" t="s">
        <v>132</v>
      </c>
    </row>
    <row r="42" spans="1:4" x14ac:dyDescent="0.35">
      <c r="A42" s="14">
        <v>45862</v>
      </c>
      <c r="B42" s="15" t="s">
        <v>73</v>
      </c>
      <c r="C42" s="15" t="s">
        <v>122</v>
      </c>
      <c r="D42" s="15" t="s">
        <v>133</v>
      </c>
    </row>
    <row r="43" spans="1:4" x14ac:dyDescent="0.35">
      <c r="A43" s="14">
        <v>45863</v>
      </c>
      <c r="B43" s="15" t="s">
        <v>73</v>
      </c>
      <c r="C43" s="15" t="s">
        <v>120</v>
      </c>
      <c r="D43" s="15" t="s">
        <v>134</v>
      </c>
    </row>
    <row r="44" spans="1:4" ht="29" x14ac:dyDescent="0.35">
      <c r="A44" s="14">
        <v>45866</v>
      </c>
      <c r="B44" s="15" t="s">
        <v>73</v>
      </c>
      <c r="C44" s="15" t="s">
        <v>105</v>
      </c>
      <c r="D44" s="15" t="s">
        <v>135</v>
      </c>
    </row>
    <row r="45" spans="1:4" ht="29" x14ac:dyDescent="0.35">
      <c r="A45" s="14">
        <v>45869</v>
      </c>
      <c r="B45" s="15" t="s">
        <v>136</v>
      </c>
      <c r="C45" s="114" t="s">
        <v>137</v>
      </c>
      <c r="D45" s="15" t="s">
        <v>138</v>
      </c>
    </row>
    <row r="46" spans="1:4" x14ac:dyDescent="0.35">
      <c r="A46" s="14">
        <v>45869</v>
      </c>
      <c r="B46" s="15" t="s">
        <v>139</v>
      </c>
      <c r="C46" s="15" t="s">
        <v>94</v>
      </c>
      <c r="D46" s="15" t="s">
        <v>140</v>
      </c>
    </row>
    <row r="47" spans="1:4" x14ac:dyDescent="0.35">
      <c r="A47" s="14">
        <v>45870</v>
      </c>
      <c r="B47" s="15" t="s">
        <v>139</v>
      </c>
      <c r="C47" s="15" t="s">
        <v>94</v>
      </c>
      <c r="D47" s="15" t="s">
        <v>141</v>
      </c>
    </row>
    <row r="48" spans="1:4" x14ac:dyDescent="0.35">
      <c r="A48" s="14">
        <v>45873</v>
      </c>
      <c r="B48" s="15" t="s">
        <v>73</v>
      </c>
      <c r="C48" s="15" t="s">
        <v>125</v>
      </c>
      <c r="D48" s="15" t="s">
        <v>142</v>
      </c>
    </row>
    <row r="49" spans="1:4" x14ac:dyDescent="0.35">
      <c r="A49" s="14">
        <v>45874</v>
      </c>
      <c r="B49" s="15" t="s">
        <v>136</v>
      </c>
      <c r="C49" s="15" t="s">
        <v>143</v>
      </c>
      <c r="D49" s="15" t="s">
        <v>144</v>
      </c>
    </row>
    <row r="50" spans="1:4" x14ac:dyDescent="0.35">
      <c r="A50" s="14">
        <v>45875</v>
      </c>
      <c r="B50" s="15" t="s">
        <v>145</v>
      </c>
      <c r="C50" s="15" t="s">
        <v>120</v>
      </c>
      <c r="D50" s="15" t="s">
        <v>146</v>
      </c>
    </row>
    <row r="51" spans="1:4" ht="29" x14ac:dyDescent="0.35">
      <c r="A51" s="14">
        <v>45875</v>
      </c>
      <c r="B51" s="15" t="s">
        <v>145</v>
      </c>
      <c r="C51" s="15" t="s">
        <v>147</v>
      </c>
      <c r="D51" s="15" t="s">
        <v>148</v>
      </c>
    </row>
    <row r="52" spans="1:4" x14ac:dyDescent="0.35">
      <c r="A52" s="14">
        <v>45880</v>
      </c>
      <c r="B52" s="15" t="s">
        <v>73</v>
      </c>
      <c r="C52" s="15" t="s">
        <v>105</v>
      </c>
      <c r="D52" s="15" t="s">
        <v>149</v>
      </c>
    </row>
    <row r="53" spans="1:4" x14ac:dyDescent="0.35">
      <c r="A53" s="14">
        <v>45882</v>
      </c>
      <c r="B53" s="15" t="s">
        <v>136</v>
      </c>
      <c r="C53" s="15" t="s">
        <v>150</v>
      </c>
      <c r="D53" s="15" t="s">
        <v>151</v>
      </c>
    </row>
    <row r="54" spans="1:4" x14ac:dyDescent="0.35">
      <c r="A54" s="14">
        <v>45883</v>
      </c>
      <c r="B54" s="15" t="s">
        <v>73</v>
      </c>
      <c r="C54" s="15" t="s">
        <v>125</v>
      </c>
      <c r="D54" s="15" t="s">
        <v>152</v>
      </c>
    </row>
    <row r="55" spans="1:4" x14ac:dyDescent="0.35">
      <c r="A55" s="14">
        <v>45884</v>
      </c>
      <c r="B55" s="15" t="s">
        <v>73</v>
      </c>
      <c r="C55" s="15" t="s">
        <v>120</v>
      </c>
      <c r="D55" s="15" t="s">
        <v>152</v>
      </c>
    </row>
    <row r="56" spans="1:4" x14ac:dyDescent="0.35">
      <c r="A56" s="14">
        <v>45888</v>
      </c>
      <c r="B56" s="15" t="s">
        <v>73</v>
      </c>
      <c r="C56" s="15" t="s">
        <v>147</v>
      </c>
      <c r="D56" s="15" t="s">
        <v>119</v>
      </c>
    </row>
    <row r="57" spans="1:4" x14ac:dyDescent="0.35">
      <c r="A57" s="14">
        <v>45889</v>
      </c>
      <c r="B57" s="15" t="s">
        <v>117</v>
      </c>
      <c r="C57" s="15" t="s">
        <v>153</v>
      </c>
      <c r="D57" s="15" t="s">
        <v>154</v>
      </c>
    </row>
    <row r="58" spans="1:4" x14ac:dyDescent="0.35">
      <c r="A58" s="14">
        <v>45894</v>
      </c>
      <c r="B58" s="15" t="s">
        <v>73</v>
      </c>
      <c r="C58" s="15" t="s">
        <v>155</v>
      </c>
      <c r="D58" s="15" t="s">
        <v>156</v>
      </c>
    </row>
    <row r="59" spans="1:4" x14ac:dyDescent="0.35">
      <c r="A59" s="14">
        <v>45894</v>
      </c>
      <c r="B59" s="15" t="s">
        <v>73</v>
      </c>
      <c r="C59" s="15" t="s">
        <v>157</v>
      </c>
      <c r="D59" s="15" t="s">
        <v>158</v>
      </c>
    </row>
    <row r="60" spans="1:4" x14ac:dyDescent="0.35">
      <c r="A60" s="14">
        <v>45896</v>
      </c>
      <c r="B60" s="15" t="s">
        <v>73</v>
      </c>
      <c r="C60" s="15" t="s">
        <v>159</v>
      </c>
      <c r="D60" s="15" t="s">
        <v>160</v>
      </c>
    </row>
    <row r="61" spans="1:4" ht="43.5" x14ac:dyDescent="0.35">
      <c r="A61" s="119">
        <v>45897</v>
      </c>
      <c r="B61" s="120" t="s">
        <v>161</v>
      </c>
      <c r="C61" s="120" t="s">
        <v>162</v>
      </c>
      <c r="D61" s="120" t="s">
        <v>163</v>
      </c>
    </row>
    <row r="62" spans="1:4" x14ac:dyDescent="0.35">
      <c r="A62" s="14">
        <v>45899</v>
      </c>
      <c r="B62" s="15" t="s">
        <v>73</v>
      </c>
      <c r="C62" s="15" t="s">
        <v>157</v>
      </c>
      <c r="D62" s="15" t="s">
        <v>164</v>
      </c>
    </row>
    <row r="63" spans="1:4" x14ac:dyDescent="0.35">
      <c r="A63" s="14">
        <v>45899</v>
      </c>
      <c r="B63" s="15" t="s">
        <v>73</v>
      </c>
      <c r="C63" s="15" t="s">
        <v>165</v>
      </c>
      <c r="D63" s="15" t="s">
        <v>166</v>
      </c>
    </row>
    <row r="64" spans="1:4" x14ac:dyDescent="0.35">
      <c r="A64" s="14">
        <v>45904</v>
      </c>
      <c r="B64" s="15" t="s">
        <v>73</v>
      </c>
      <c r="C64" s="15" t="s">
        <v>125</v>
      </c>
      <c r="D64" s="15" t="s">
        <v>167</v>
      </c>
    </row>
    <row r="65" spans="1:4" x14ac:dyDescent="0.35">
      <c r="A65" s="14">
        <v>45904</v>
      </c>
      <c r="B65" s="15" t="s">
        <v>73</v>
      </c>
      <c r="C65" s="15" t="s">
        <v>157</v>
      </c>
      <c r="D65" s="15" t="s">
        <v>168</v>
      </c>
    </row>
    <row r="66" spans="1:4" x14ac:dyDescent="0.35">
      <c r="A66" s="14">
        <v>45908</v>
      </c>
      <c r="B66" s="15" t="s">
        <v>73</v>
      </c>
      <c r="C66" s="15" t="s">
        <v>157</v>
      </c>
    </row>
    <row r="67" spans="1:4" x14ac:dyDescent="0.35">
      <c r="A67" s="14">
        <v>45909</v>
      </c>
      <c r="B67" s="15" t="s">
        <v>73</v>
      </c>
      <c r="C67" s="15" t="s">
        <v>157</v>
      </c>
    </row>
    <row r="68" spans="1:4" ht="101.5" x14ac:dyDescent="0.35">
      <c r="A68" s="85">
        <v>45909</v>
      </c>
      <c r="B68" s="86" t="s">
        <v>169</v>
      </c>
      <c r="C68" s="25" t="s">
        <v>170</v>
      </c>
      <c r="D68" s="25" t="s">
        <v>171</v>
      </c>
    </row>
    <row r="69" spans="1:4" x14ac:dyDescent="0.35">
      <c r="A69" s="85">
        <v>45910</v>
      </c>
      <c r="B69" s="86" t="s">
        <v>73</v>
      </c>
      <c r="C69" s="25" t="s">
        <v>172</v>
      </c>
      <c r="D69" s="25" t="s">
        <v>173</v>
      </c>
    </row>
    <row r="70" spans="1:4" x14ac:dyDescent="0.35">
      <c r="A70" s="85">
        <v>45911</v>
      </c>
      <c r="B70" s="86" t="s">
        <v>174</v>
      </c>
      <c r="C70" s="25" t="s">
        <v>175</v>
      </c>
      <c r="D70" s="25" t="s">
        <v>176</v>
      </c>
    </row>
    <row r="71" spans="1:4" x14ac:dyDescent="0.35">
      <c r="A71" s="85">
        <v>45911</v>
      </c>
      <c r="B71" s="86" t="s">
        <v>174</v>
      </c>
      <c r="C71" s="25" t="s">
        <v>177</v>
      </c>
      <c r="D71" s="25" t="s">
        <v>178</v>
      </c>
    </row>
    <row r="72" spans="1:4" x14ac:dyDescent="0.35">
      <c r="A72" s="85">
        <v>45911</v>
      </c>
      <c r="B72" s="86" t="s">
        <v>73</v>
      </c>
      <c r="C72" s="25" t="s">
        <v>120</v>
      </c>
      <c r="D72" s="25" t="s">
        <v>179</v>
      </c>
    </row>
    <row r="73" spans="1:4" x14ac:dyDescent="0.35">
      <c r="A73" s="85">
        <v>45912</v>
      </c>
      <c r="B73" s="86" t="s">
        <v>169</v>
      </c>
      <c r="C73" s="25" t="s">
        <v>180</v>
      </c>
      <c r="D73" s="25" t="s">
        <v>181</v>
      </c>
    </row>
    <row r="74" spans="1:4" x14ac:dyDescent="0.35">
      <c r="A74" s="85">
        <v>45913</v>
      </c>
      <c r="B74" s="86" t="s">
        <v>73</v>
      </c>
      <c r="C74" s="25" t="s">
        <v>157</v>
      </c>
      <c r="D74" s="25"/>
    </row>
    <row r="75" spans="1:4" x14ac:dyDescent="0.35">
      <c r="A75" s="85">
        <v>45915</v>
      </c>
      <c r="B75" s="86" t="s">
        <v>73</v>
      </c>
      <c r="C75" s="25" t="s">
        <v>157</v>
      </c>
      <c r="D75" s="25"/>
    </row>
    <row r="76" spans="1:4" x14ac:dyDescent="0.35">
      <c r="A76" s="85">
        <v>45915</v>
      </c>
      <c r="B76" s="86" t="s">
        <v>182</v>
      </c>
      <c r="C76" s="125" t="s">
        <v>183</v>
      </c>
      <c r="D76" s="25" t="s">
        <v>181</v>
      </c>
    </row>
    <row r="77" spans="1:4" x14ac:dyDescent="0.35">
      <c r="A77" s="85">
        <v>45918</v>
      </c>
      <c r="B77" s="86" t="s">
        <v>73</v>
      </c>
      <c r="C77" s="125" t="s">
        <v>125</v>
      </c>
      <c r="D77" s="25" t="s">
        <v>184</v>
      </c>
    </row>
    <row r="78" spans="1:4" x14ac:dyDescent="0.35">
      <c r="A78" s="85">
        <v>45919</v>
      </c>
      <c r="B78" s="86" t="s">
        <v>73</v>
      </c>
      <c r="C78" s="125" t="s">
        <v>157</v>
      </c>
      <c r="D78" s="25"/>
    </row>
    <row r="79" spans="1:4" x14ac:dyDescent="0.35">
      <c r="A79" s="85">
        <v>45922</v>
      </c>
      <c r="B79" s="86" t="s">
        <v>73</v>
      </c>
      <c r="C79" s="125" t="s">
        <v>157</v>
      </c>
      <c r="D79" s="25"/>
    </row>
    <row r="80" spans="1:4" x14ac:dyDescent="0.35">
      <c r="A80" s="85">
        <v>45922</v>
      </c>
      <c r="B80" s="86" t="s">
        <v>182</v>
      </c>
      <c r="C80" s="125" t="s">
        <v>185</v>
      </c>
      <c r="D80" s="25" t="s">
        <v>181</v>
      </c>
    </row>
    <row r="81" spans="1:4" x14ac:dyDescent="0.35">
      <c r="A81" s="85">
        <v>45923</v>
      </c>
      <c r="B81" s="86" t="s">
        <v>73</v>
      </c>
      <c r="C81" s="125" t="s">
        <v>157</v>
      </c>
      <c r="D81" s="25"/>
    </row>
    <row r="82" spans="1:4" x14ac:dyDescent="0.35">
      <c r="A82" s="85">
        <v>45924</v>
      </c>
      <c r="B82" s="86" t="s">
        <v>186</v>
      </c>
      <c r="C82" s="125" t="s">
        <v>187</v>
      </c>
      <c r="D82" s="25" t="s">
        <v>188</v>
      </c>
    </row>
    <row r="83" spans="1:4" x14ac:dyDescent="0.35">
      <c r="A83" s="85">
        <v>45924</v>
      </c>
      <c r="B83" s="86" t="s">
        <v>73</v>
      </c>
      <c r="C83" s="125" t="s">
        <v>120</v>
      </c>
      <c r="D83" s="25" t="s">
        <v>189</v>
      </c>
    </row>
    <row r="84" spans="1:4" x14ac:dyDescent="0.35">
      <c r="A84" s="85">
        <v>45925</v>
      </c>
      <c r="B84" s="86" t="s">
        <v>73</v>
      </c>
      <c r="C84" s="125" t="s">
        <v>157</v>
      </c>
      <c r="D84" s="25"/>
    </row>
    <row r="85" spans="1:4" x14ac:dyDescent="0.35">
      <c r="A85" s="85">
        <v>45925</v>
      </c>
      <c r="B85" s="86" t="s">
        <v>190</v>
      </c>
      <c r="C85" s="125" t="s">
        <v>191</v>
      </c>
      <c r="D85" s="25" t="s">
        <v>181</v>
      </c>
    </row>
    <row r="86" spans="1:4" x14ac:dyDescent="0.35">
      <c r="A86" s="14">
        <v>45926</v>
      </c>
      <c r="B86" s="15" t="s">
        <v>174</v>
      </c>
      <c r="C86" s="15" t="s">
        <v>175</v>
      </c>
      <c r="D86" s="15" t="s">
        <v>176</v>
      </c>
    </row>
    <row r="87" spans="1:4" x14ac:dyDescent="0.35">
      <c r="A87" s="14">
        <v>45929</v>
      </c>
      <c r="B87" s="15" t="s">
        <v>73</v>
      </c>
      <c r="C87" s="15" t="s">
        <v>157</v>
      </c>
      <c r="D87" s="15" t="s">
        <v>192</v>
      </c>
    </row>
    <row r="88" spans="1:4" x14ac:dyDescent="0.35">
      <c r="A88" s="14">
        <v>45929</v>
      </c>
      <c r="B88" s="15" t="s">
        <v>73</v>
      </c>
      <c r="C88" s="15" t="s">
        <v>193</v>
      </c>
      <c r="D88" s="15" t="s">
        <v>194</v>
      </c>
    </row>
    <row r="89" spans="1:4" x14ac:dyDescent="0.35">
      <c r="A89" s="14">
        <v>45930</v>
      </c>
      <c r="B89" s="15" t="s">
        <v>195</v>
      </c>
      <c r="C89" s="15" t="s">
        <v>196</v>
      </c>
      <c r="D89" s="15" t="s">
        <v>181</v>
      </c>
    </row>
    <row r="90" spans="1:4" x14ac:dyDescent="0.35">
      <c r="A90" s="14">
        <v>45931</v>
      </c>
      <c r="B90" s="15" t="s">
        <v>73</v>
      </c>
      <c r="C90" s="15" t="s">
        <v>193</v>
      </c>
    </row>
    <row r="91" spans="1:4" x14ac:dyDescent="0.35">
      <c r="A91" s="14">
        <v>45933</v>
      </c>
      <c r="B91" s="15" t="s">
        <v>73</v>
      </c>
      <c r="C91" s="15" t="s">
        <v>193</v>
      </c>
    </row>
    <row r="92" spans="1:4" ht="101.5" x14ac:dyDescent="0.35">
      <c r="A92" s="14">
        <v>45933</v>
      </c>
      <c r="B92" s="15" t="s">
        <v>197</v>
      </c>
      <c r="C92" s="15" t="s">
        <v>198</v>
      </c>
      <c r="D92" s="25" t="s">
        <v>171</v>
      </c>
    </row>
    <row r="93" spans="1:4" x14ac:dyDescent="0.35">
      <c r="A93" s="14">
        <v>45936</v>
      </c>
      <c r="B93" s="15" t="s">
        <v>73</v>
      </c>
      <c r="C93" s="15" t="s">
        <v>193</v>
      </c>
    </row>
    <row r="94" spans="1:4" x14ac:dyDescent="0.35">
      <c r="A94" s="14">
        <v>45937</v>
      </c>
      <c r="B94" s="15" t="s">
        <v>199</v>
      </c>
      <c r="C94" s="15" t="s">
        <v>200</v>
      </c>
      <c r="D94" s="15" t="s">
        <v>181</v>
      </c>
    </row>
    <row r="95" spans="1:4" x14ac:dyDescent="0.35">
      <c r="A95" s="14">
        <v>45938</v>
      </c>
      <c r="B95" s="15" t="s">
        <v>73</v>
      </c>
      <c r="C95" s="15" t="s">
        <v>193</v>
      </c>
    </row>
    <row r="96" spans="1:4" x14ac:dyDescent="0.35">
      <c r="A96" s="14">
        <v>45939</v>
      </c>
      <c r="B96" s="15" t="s">
        <v>201</v>
      </c>
      <c r="C96" s="15" t="s">
        <v>202</v>
      </c>
      <c r="D96" s="15" t="s">
        <v>181</v>
      </c>
    </row>
    <row r="97" spans="1:4" x14ac:dyDescent="0.35">
      <c r="A97" s="14">
        <v>45940</v>
      </c>
      <c r="B97" s="15" t="s">
        <v>73</v>
      </c>
      <c r="C97" s="15" t="s">
        <v>193</v>
      </c>
    </row>
    <row r="98" spans="1:4" x14ac:dyDescent="0.35">
      <c r="A98" s="14">
        <v>45940</v>
      </c>
      <c r="B98" s="15" t="s">
        <v>73</v>
      </c>
      <c r="C98" s="15" t="s">
        <v>203</v>
      </c>
      <c r="D98" s="15" t="s">
        <v>204</v>
      </c>
    </row>
    <row r="99" spans="1:4" x14ac:dyDescent="0.35">
      <c r="A99" s="14">
        <v>45940</v>
      </c>
      <c r="B99" s="15" t="s">
        <v>73</v>
      </c>
      <c r="C99" s="15" t="s">
        <v>205</v>
      </c>
      <c r="D99" s="15" t="s">
        <v>181</v>
      </c>
    </row>
    <row r="100" spans="1:4" x14ac:dyDescent="0.35">
      <c r="A100" s="14">
        <v>45943</v>
      </c>
      <c r="B100" s="15" t="s">
        <v>73</v>
      </c>
      <c r="C100" s="15" t="s">
        <v>193</v>
      </c>
    </row>
    <row r="101" spans="1:4" x14ac:dyDescent="0.35">
      <c r="A101" s="14">
        <v>45944</v>
      </c>
      <c r="B101" s="15" t="s">
        <v>73</v>
      </c>
      <c r="C101" s="15" t="s">
        <v>193</v>
      </c>
      <c r="D101" s="15" t="s">
        <v>206</v>
      </c>
    </row>
    <row r="102" spans="1:4" x14ac:dyDescent="0.35">
      <c r="A102" s="14">
        <v>45944</v>
      </c>
      <c r="B102" s="15" t="s">
        <v>201</v>
      </c>
      <c r="C102" s="15" t="s">
        <v>207</v>
      </c>
      <c r="D102" s="15" t="s">
        <v>181</v>
      </c>
    </row>
    <row r="103" spans="1:4" ht="29" x14ac:dyDescent="0.35">
      <c r="A103" s="14">
        <v>45946</v>
      </c>
      <c r="B103" s="15" t="s">
        <v>73</v>
      </c>
      <c r="C103" s="15" t="s">
        <v>208</v>
      </c>
      <c r="D103" s="15" t="s">
        <v>209</v>
      </c>
    </row>
    <row r="104" spans="1:4" x14ac:dyDescent="0.35">
      <c r="A104" s="14">
        <v>45947</v>
      </c>
      <c r="B104" s="15" t="s">
        <v>210</v>
      </c>
      <c r="C104" s="15" t="s">
        <v>211</v>
      </c>
      <c r="D104" s="15" t="s">
        <v>212</v>
      </c>
    </row>
    <row r="105" spans="1:4" x14ac:dyDescent="0.35">
      <c r="A105" s="14">
        <v>45951</v>
      </c>
      <c r="B105" s="15" t="s">
        <v>73</v>
      </c>
      <c r="C105" s="15" t="s">
        <v>213</v>
      </c>
      <c r="D105" s="15" t="s">
        <v>214</v>
      </c>
    </row>
    <row r="106" spans="1:4" ht="87" x14ac:dyDescent="0.35">
      <c r="A106" s="14">
        <v>45955</v>
      </c>
      <c r="B106" s="15" t="s">
        <v>139</v>
      </c>
      <c r="C106" s="15" t="s">
        <v>215</v>
      </c>
      <c r="D106" s="15" t="s">
        <v>216</v>
      </c>
    </row>
    <row r="107" spans="1:4" x14ac:dyDescent="0.35">
      <c r="A107" s="14">
        <v>45959</v>
      </c>
      <c r="B107" s="15" t="s">
        <v>73</v>
      </c>
      <c r="C107" s="15" t="s">
        <v>217</v>
      </c>
      <c r="D107" s="15" t="s">
        <v>218</v>
      </c>
    </row>
    <row r="108" spans="1:4" x14ac:dyDescent="0.35">
      <c r="A108" s="14">
        <v>45961</v>
      </c>
      <c r="B108" s="15" t="s">
        <v>73</v>
      </c>
      <c r="C108" s="15" t="s">
        <v>213</v>
      </c>
      <c r="D108" s="15" t="s">
        <v>219</v>
      </c>
    </row>
    <row r="109" spans="1:4" x14ac:dyDescent="0.35">
      <c r="A109" s="14">
        <v>45967</v>
      </c>
      <c r="B109" s="15" t="s">
        <v>73</v>
      </c>
      <c r="C109" s="15" t="s">
        <v>213</v>
      </c>
      <c r="D109" s="15" t="s">
        <v>219</v>
      </c>
    </row>
    <row r="110" spans="1:4" x14ac:dyDescent="0.35">
      <c r="A110" s="14">
        <v>45975</v>
      </c>
      <c r="B110" s="15" t="s">
        <v>73</v>
      </c>
      <c r="C110" s="15" t="s">
        <v>213</v>
      </c>
      <c r="D110" s="15" t="s">
        <v>219</v>
      </c>
    </row>
    <row r="111" spans="1:4" x14ac:dyDescent="0.35">
      <c r="A111" s="14">
        <v>45982</v>
      </c>
      <c r="B111" s="15" t="s">
        <v>139</v>
      </c>
      <c r="C111" s="15" t="s">
        <v>213</v>
      </c>
      <c r="D111" s="15" t="s">
        <v>219</v>
      </c>
    </row>
    <row r="112" spans="1:4" ht="29" x14ac:dyDescent="0.35">
      <c r="A112" s="14">
        <v>45984</v>
      </c>
      <c r="B112" s="15" t="s">
        <v>73</v>
      </c>
      <c r="C112" s="15" t="s">
        <v>220</v>
      </c>
      <c r="D112" s="15" t="s">
        <v>221</v>
      </c>
    </row>
    <row r="113" spans="1:4" ht="43.5" x14ac:dyDescent="0.35">
      <c r="A113" s="14">
        <v>45985</v>
      </c>
      <c r="B113" s="15" t="s">
        <v>222</v>
      </c>
      <c r="C113" s="15" t="s">
        <v>223</v>
      </c>
      <c r="D113" s="15" t="s">
        <v>224</v>
      </c>
    </row>
    <row r="114" spans="1:4" x14ac:dyDescent="0.35">
      <c r="A114" s="14">
        <v>45987</v>
      </c>
      <c r="B114" s="15" t="s">
        <v>174</v>
      </c>
      <c r="C114" s="15" t="s">
        <v>225</v>
      </c>
      <c r="D114" s="15" t="s">
        <v>226</v>
      </c>
    </row>
    <row r="115" spans="1:4" ht="58" x14ac:dyDescent="0.35">
      <c r="A115" s="14">
        <v>45988</v>
      </c>
      <c r="B115" s="15" t="s">
        <v>227</v>
      </c>
      <c r="C115" s="15" t="s">
        <v>228</v>
      </c>
      <c r="D115" s="15" t="s">
        <v>229</v>
      </c>
    </row>
    <row r="116" spans="1:4" x14ac:dyDescent="0.35">
      <c r="A116" s="14">
        <v>46035</v>
      </c>
      <c r="B116" s="15" t="s">
        <v>230</v>
      </c>
      <c r="C116" s="15" t="s">
        <v>231</v>
      </c>
      <c r="D116" s="15" t="s">
        <v>232</v>
      </c>
    </row>
    <row r="117" spans="1:4" ht="29" x14ac:dyDescent="0.35">
      <c r="A117" s="14">
        <v>46035</v>
      </c>
      <c r="B117" s="15" t="s">
        <v>230</v>
      </c>
      <c r="C117" s="15" t="s">
        <v>233</v>
      </c>
      <c r="D117" s="15" t="s">
        <v>234</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DB09-6F08-4443-A086-34AF8BE63BA9}">
  <dimension ref="A1:C77"/>
  <sheetViews>
    <sheetView workbookViewId="0">
      <selection activeCell="N23" sqref="N23"/>
    </sheetView>
  </sheetViews>
  <sheetFormatPr defaultRowHeight="14.5" x14ac:dyDescent="0.35"/>
  <cols>
    <col min="1" max="1" width="39.54296875" customWidth="1"/>
    <col min="2" max="3" width="18.54296875" customWidth="1"/>
  </cols>
  <sheetData>
    <row r="1" spans="1:3" x14ac:dyDescent="0.35">
      <c r="A1" s="66" t="s">
        <v>235</v>
      </c>
      <c r="B1" s="67" t="s">
        <v>236</v>
      </c>
      <c r="C1" s="67" t="s">
        <v>237</v>
      </c>
    </row>
    <row r="2" spans="1:3" x14ac:dyDescent="0.35">
      <c r="A2" s="68" t="s">
        <v>238</v>
      </c>
      <c r="B2" s="69" t="s">
        <v>239</v>
      </c>
      <c r="C2" s="69"/>
    </row>
    <row r="3" spans="1:3" x14ac:dyDescent="0.35">
      <c r="A3" s="68" t="s">
        <v>240</v>
      </c>
      <c r="B3" s="70" t="s">
        <v>241</v>
      </c>
      <c r="C3" s="70">
        <v>45399</v>
      </c>
    </row>
    <row r="4" spans="1:3" x14ac:dyDescent="0.35">
      <c r="A4" s="68" t="s">
        <v>242</v>
      </c>
      <c r="B4" s="71" t="s">
        <v>243</v>
      </c>
      <c r="C4" s="71"/>
    </row>
    <row r="5" spans="1:3" x14ac:dyDescent="0.35">
      <c r="A5" s="68" t="s">
        <v>244</v>
      </c>
      <c r="B5" s="71">
        <v>160</v>
      </c>
      <c r="C5" s="71"/>
    </row>
    <row r="6" spans="1:3" x14ac:dyDescent="0.35">
      <c r="A6" s="68" t="s">
        <v>245</v>
      </c>
      <c r="B6" s="71"/>
      <c r="C6" s="71"/>
    </row>
    <row r="7" spans="1:3" x14ac:dyDescent="0.35">
      <c r="A7" s="68" t="s">
        <v>246</v>
      </c>
      <c r="B7" s="71"/>
      <c r="C7" s="71"/>
    </row>
    <row r="8" spans="1:3" x14ac:dyDescent="0.35">
      <c r="A8" s="68" t="s">
        <v>247</v>
      </c>
      <c r="B8" s="71">
        <v>0.8</v>
      </c>
      <c r="C8" s="71"/>
    </row>
    <row r="9" spans="1:3" x14ac:dyDescent="0.35">
      <c r="A9" s="68" t="s">
        <v>248</v>
      </c>
      <c r="B9" s="71"/>
      <c r="C9" s="71"/>
    </row>
    <row r="10" spans="1:3" x14ac:dyDescent="0.35">
      <c r="A10" s="68" t="s">
        <v>249</v>
      </c>
      <c r="B10" s="71"/>
      <c r="C10" s="71"/>
    </row>
    <row r="11" spans="1:3" x14ac:dyDescent="0.35">
      <c r="A11" s="68" t="s">
        <v>250</v>
      </c>
      <c r="B11" s="72" t="s">
        <v>251</v>
      </c>
      <c r="C11" s="72"/>
    </row>
    <row r="12" spans="1:3" x14ac:dyDescent="0.35">
      <c r="A12" s="68" t="s">
        <v>252</v>
      </c>
      <c r="B12" s="72"/>
      <c r="C12" s="72"/>
    </row>
    <row r="13" spans="1:3" x14ac:dyDescent="0.35">
      <c r="A13" s="68" t="s">
        <v>253</v>
      </c>
      <c r="B13" s="72"/>
      <c r="C13" s="72"/>
    </row>
    <row r="14" spans="1:3" x14ac:dyDescent="0.35">
      <c r="A14" s="68" t="s">
        <v>254</v>
      </c>
      <c r="B14" s="72" t="s">
        <v>255</v>
      </c>
      <c r="C14" s="72"/>
    </row>
    <row r="15" spans="1:3" x14ac:dyDescent="0.35">
      <c r="A15" s="68" t="s">
        <v>256</v>
      </c>
      <c r="B15" s="72"/>
      <c r="C15" s="72"/>
    </row>
    <row r="16" spans="1:3" x14ac:dyDescent="0.35">
      <c r="A16" s="68" t="s">
        <v>257</v>
      </c>
      <c r="B16" s="72"/>
      <c r="C16" s="72"/>
    </row>
    <row r="17" spans="1:3" x14ac:dyDescent="0.35">
      <c r="A17" s="68" t="s">
        <v>258</v>
      </c>
      <c r="B17" s="71" t="s">
        <v>259</v>
      </c>
      <c r="C17" s="71"/>
    </row>
    <row r="18" spans="1:3" x14ac:dyDescent="0.35">
      <c r="A18" s="68" t="s">
        <v>260</v>
      </c>
      <c r="B18" s="71">
        <v>0.25</v>
      </c>
      <c r="C18" s="71">
        <v>0.25</v>
      </c>
    </row>
    <row r="19" spans="1:3" ht="15" thickBot="1" x14ac:dyDescent="0.4">
      <c r="A19" s="68" t="s">
        <v>261</v>
      </c>
      <c r="B19" s="71">
        <v>6</v>
      </c>
      <c r="C19" s="71">
        <v>6</v>
      </c>
    </row>
    <row r="20" spans="1:3" x14ac:dyDescent="0.35">
      <c r="A20" s="73" t="s">
        <v>262</v>
      </c>
      <c r="B20" s="74" t="s">
        <v>263</v>
      </c>
      <c r="C20" s="74"/>
    </row>
    <row r="21" spans="1:3" ht="15" thickBot="1" x14ac:dyDescent="0.4">
      <c r="A21" s="75" t="s">
        <v>264</v>
      </c>
      <c r="B21" s="76" t="s">
        <v>265</v>
      </c>
      <c r="C21" s="76"/>
    </row>
    <row r="22" spans="1:3" x14ac:dyDescent="0.35">
      <c r="A22" s="73" t="s">
        <v>266</v>
      </c>
      <c r="B22" s="74" t="s">
        <v>267</v>
      </c>
      <c r="C22" s="74" t="s">
        <v>268</v>
      </c>
    </row>
    <row r="23" spans="1:3" x14ac:dyDescent="0.35">
      <c r="A23" s="68" t="s">
        <v>269</v>
      </c>
      <c r="B23" s="71" t="s">
        <v>270</v>
      </c>
      <c r="C23" s="71"/>
    </row>
    <row r="24" spans="1:3" x14ac:dyDescent="0.35">
      <c r="A24" s="68" t="s">
        <v>271</v>
      </c>
      <c r="B24" s="71" t="s">
        <v>272</v>
      </c>
      <c r="C24" s="71"/>
    </row>
    <row r="25" spans="1:3" x14ac:dyDescent="0.35">
      <c r="A25" s="68" t="s">
        <v>273</v>
      </c>
      <c r="B25" s="71">
        <v>450</v>
      </c>
      <c r="C25" s="71"/>
    </row>
    <row r="26" spans="1:3" ht="15" thickBot="1" x14ac:dyDescent="0.4">
      <c r="A26" s="77" t="s">
        <v>274</v>
      </c>
      <c r="B26" s="78">
        <v>2</v>
      </c>
      <c r="C26" s="78"/>
    </row>
    <row r="27" spans="1:3" x14ac:dyDescent="0.35">
      <c r="A27" s="73" t="s">
        <v>275</v>
      </c>
      <c r="B27" s="74" t="s">
        <v>276</v>
      </c>
      <c r="C27" s="74" t="s">
        <v>268</v>
      </c>
    </row>
    <row r="28" spans="1:3" x14ac:dyDescent="0.35">
      <c r="A28" s="68" t="s">
        <v>277</v>
      </c>
      <c r="B28" s="71" t="s">
        <v>270</v>
      </c>
      <c r="C28" s="71"/>
    </row>
    <row r="29" spans="1:3" x14ac:dyDescent="0.35">
      <c r="A29" s="68" t="s">
        <v>278</v>
      </c>
      <c r="B29" s="71" t="s">
        <v>279</v>
      </c>
      <c r="C29" s="71"/>
    </row>
    <row r="30" spans="1:3" x14ac:dyDescent="0.35">
      <c r="A30" s="68" t="s">
        <v>280</v>
      </c>
      <c r="B30" s="71">
        <v>500</v>
      </c>
      <c r="C30" s="71"/>
    </row>
    <row r="31" spans="1:3" ht="15" thickBot="1" x14ac:dyDescent="0.4">
      <c r="A31" s="77" t="s">
        <v>281</v>
      </c>
      <c r="B31" s="78">
        <v>2</v>
      </c>
      <c r="C31" s="78"/>
    </row>
    <row r="32" spans="1:3" x14ac:dyDescent="0.35">
      <c r="A32" s="73" t="s">
        <v>282</v>
      </c>
      <c r="B32" s="74" t="s">
        <v>283</v>
      </c>
      <c r="C32" s="74" t="s">
        <v>268</v>
      </c>
    </row>
    <row r="33" spans="1:3" x14ac:dyDescent="0.35">
      <c r="A33" s="68" t="s">
        <v>284</v>
      </c>
      <c r="B33" s="71" t="s">
        <v>270</v>
      </c>
      <c r="C33" s="71"/>
    </row>
    <row r="34" spans="1:3" x14ac:dyDescent="0.35">
      <c r="A34" s="68" t="s">
        <v>285</v>
      </c>
      <c r="B34" s="71" t="s">
        <v>286</v>
      </c>
      <c r="C34" s="71"/>
    </row>
    <row r="35" spans="1:3" x14ac:dyDescent="0.35">
      <c r="A35" s="68" t="s">
        <v>287</v>
      </c>
      <c r="B35" s="79">
        <v>480</v>
      </c>
      <c r="C35" s="71"/>
    </row>
    <row r="36" spans="1:3" ht="15" thickBot="1" x14ac:dyDescent="0.4">
      <c r="A36" s="75" t="s">
        <v>288</v>
      </c>
      <c r="B36" s="76">
        <v>0.21</v>
      </c>
      <c r="C36" s="76"/>
    </row>
    <row r="37" spans="1:3" x14ac:dyDescent="0.35">
      <c r="A37" s="73" t="s">
        <v>289</v>
      </c>
      <c r="B37" s="74" t="s">
        <v>290</v>
      </c>
      <c r="C37" s="74"/>
    </row>
    <row r="38" spans="1:3" x14ac:dyDescent="0.35">
      <c r="A38" s="68" t="s">
        <v>291</v>
      </c>
      <c r="B38" s="71"/>
      <c r="C38" s="71"/>
    </row>
    <row r="39" spans="1:3" x14ac:dyDescent="0.35">
      <c r="A39" s="68" t="s">
        <v>292</v>
      </c>
      <c r="B39" s="71"/>
      <c r="C39" s="71"/>
    </row>
    <row r="40" spans="1:3" ht="15" thickBot="1" x14ac:dyDescent="0.4">
      <c r="A40" s="75" t="s">
        <v>293</v>
      </c>
      <c r="B40" s="76"/>
      <c r="C40" s="76"/>
    </row>
    <row r="41" spans="1:3" x14ac:dyDescent="0.35">
      <c r="A41" s="73" t="s">
        <v>294</v>
      </c>
      <c r="B41" s="74"/>
      <c r="C41" s="74"/>
    </row>
    <row r="42" spans="1:3" x14ac:dyDescent="0.35">
      <c r="A42" s="68" t="s">
        <v>295</v>
      </c>
      <c r="B42" s="71"/>
      <c r="C42" s="71"/>
    </row>
    <row r="43" spans="1:3" x14ac:dyDescent="0.35">
      <c r="A43" s="68" t="s">
        <v>296</v>
      </c>
      <c r="B43" s="71"/>
      <c r="C43" s="71"/>
    </row>
    <row r="44" spans="1:3" ht="15" thickBot="1" x14ac:dyDescent="0.4">
      <c r="A44" s="75" t="s">
        <v>297</v>
      </c>
      <c r="B44" s="76"/>
      <c r="C44" s="76"/>
    </row>
    <row r="45" spans="1:3" x14ac:dyDescent="0.35">
      <c r="A45" s="73" t="s">
        <v>298</v>
      </c>
      <c r="B45" s="74" t="s">
        <v>290</v>
      </c>
      <c r="C45" s="74"/>
    </row>
    <row r="46" spans="1:3" x14ac:dyDescent="0.35">
      <c r="A46" s="68" t="s">
        <v>299</v>
      </c>
      <c r="B46" s="71"/>
      <c r="C46" s="71"/>
    </row>
    <row r="47" spans="1:3" x14ac:dyDescent="0.35">
      <c r="A47" s="68" t="s">
        <v>300</v>
      </c>
      <c r="B47" s="71"/>
      <c r="C47" s="71"/>
    </row>
    <row r="48" spans="1:3" ht="15" thickBot="1" x14ac:dyDescent="0.4">
      <c r="A48" s="75" t="s">
        <v>301</v>
      </c>
      <c r="B48" s="76"/>
      <c r="C48" s="76"/>
    </row>
    <row r="49" spans="1:3" x14ac:dyDescent="0.35">
      <c r="A49" s="73" t="s">
        <v>302</v>
      </c>
      <c r="B49" s="74" t="s">
        <v>303</v>
      </c>
      <c r="C49" s="74"/>
    </row>
    <row r="50" spans="1:3" x14ac:dyDescent="0.35">
      <c r="A50" s="68" t="s">
        <v>304</v>
      </c>
      <c r="B50" s="71"/>
      <c r="C50" s="71"/>
    </row>
    <row r="51" spans="1:3" x14ac:dyDescent="0.35">
      <c r="A51" s="68" t="s">
        <v>305</v>
      </c>
      <c r="B51" s="71"/>
      <c r="C51" s="71"/>
    </row>
    <row r="52" spans="1:3" ht="15" thickBot="1" x14ac:dyDescent="0.4">
      <c r="A52" s="75" t="s">
        <v>306</v>
      </c>
      <c r="B52" s="76"/>
      <c r="C52" s="76"/>
    </row>
    <row r="53" spans="1:3" x14ac:dyDescent="0.35">
      <c r="A53" s="73" t="s">
        <v>307</v>
      </c>
      <c r="B53" s="74" t="s">
        <v>308</v>
      </c>
      <c r="C53" s="74"/>
    </row>
    <row r="54" spans="1:3" x14ac:dyDescent="0.35">
      <c r="A54" s="68" t="s">
        <v>309</v>
      </c>
      <c r="B54" s="71" t="s">
        <v>310</v>
      </c>
      <c r="C54" s="71"/>
    </row>
    <row r="55" spans="1:3" x14ac:dyDescent="0.35">
      <c r="A55" s="68" t="s">
        <v>311</v>
      </c>
      <c r="B55" s="71"/>
      <c r="C55" s="71"/>
    </row>
    <row r="56" spans="1:3" ht="15" thickBot="1" x14ac:dyDescent="0.4">
      <c r="A56" s="75" t="s">
        <v>312</v>
      </c>
      <c r="B56" s="76"/>
      <c r="C56" s="76"/>
    </row>
    <row r="57" spans="1:3" x14ac:dyDescent="0.35">
      <c r="A57" s="73" t="s">
        <v>313</v>
      </c>
      <c r="B57" s="74"/>
      <c r="C57" s="74"/>
    </row>
    <row r="58" spans="1:3" x14ac:dyDescent="0.35">
      <c r="A58" s="68" t="s">
        <v>314</v>
      </c>
      <c r="B58" s="71"/>
      <c r="C58" s="71"/>
    </row>
    <row r="59" spans="1:3" x14ac:dyDescent="0.35">
      <c r="A59" s="68" t="s">
        <v>315</v>
      </c>
      <c r="B59" s="71"/>
      <c r="C59" s="71"/>
    </row>
    <row r="60" spans="1:3" ht="15" thickBot="1" x14ac:dyDescent="0.4">
      <c r="A60" s="75" t="s">
        <v>316</v>
      </c>
      <c r="B60" s="76"/>
      <c r="C60" s="76"/>
    </row>
    <row r="61" spans="1:3" ht="29" x14ac:dyDescent="0.35">
      <c r="A61" s="73" t="s">
        <v>317</v>
      </c>
      <c r="B61" s="74" t="s">
        <v>318</v>
      </c>
      <c r="C61" s="74"/>
    </row>
    <row r="62" spans="1:3" x14ac:dyDescent="0.35">
      <c r="A62" s="68" t="s">
        <v>319</v>
      </c>
      <c r="B62" s="71"/>
      <c r="C62" s="71"/>
    </row>
    <row r="63" spans="1:3" ht="15" thickBot="1" x14ac:dyDescent="0.4">
      <c r="A63" s="75" t="s">
        <v>320</v>
      </c>
      <c r="B63" s="76"/>
      <c r="C63" s="76"/>
    </row>
    <row r="64" spans="1:3" x14ac:dyDescent="0.35">
      <c r="A64" s="73" t="s">
        <v>321</v>
      </c>
      <c r="B64" s="74"/>
      <c r="C64" s="74"/>
    </row>
    <row r="65" spans="1:3" x14ac:dyDescent="0.35">
      <c r="A65" s="68" t="s">
        <v>322</v>
      </c>
      <c r="B65" s="71"/>
      <c r="C65" s="71"/>
    </row>
    <row r="66" spans="1:3" ht="15" thickBot="1" x14ac:dyDescent="0.4">
      <c r="A66" s="75" t="s">
        <v>323</v>
      </c>
      <c r="B66" s="76"/>
      <c r="C66" s="76"/>
    </row>
    <row r="67" spans="1:3" x14ac:dyDescent="0.35">
      <c r="A67" s="73" t="s">
        <v>324</v>
      </c>
      <c r="B67" s="74" t="s">
        <v>325</v>
      </c>
      <c r="C67" s="74"/>
    </row>
    <row r="68" spans="1:3" x14ac:dyDescent="0.35">
      <c r="A68" s="68" t="s">
        <v>326</v>
      </c>
      <c r="B68" s="71"/>
      <c r="C68" s="71"/>
    </row>
    <row r="69" spans="1:3" ht="15" thickBot="1" x14ac:dyDescent="0.4">
      <c r="A69" s="75" t="s">
        <v>327</v>
      </c>
      <c r="B69" s="76"/>
      <c r="C69" s="76"/>
    </row>
    <row r="70" spans="1:3" x14ac:dyDescent="0.35">
      <c r="A70" s="73" t="s">
        <v>328</v>
      </c>
      <c r="B70" s="74"/>
      <c r="C70" s="74"/>
    </row>
    <row r="71" spans="1:3" x14ac:dyDescent="0.35">
      <c r="A71" s="68" t="s">
        <v>329</v>
      </c>
      <c r="B71" s="71"/>
      <c r="C71" s="71"/>
    </row>
    <row r="72" spans="1:3" ht="15" thickBot="1" x14ac:dyDescent="0.4">
      <c r="A72" s="75" t="s">
        <v>330</v>
      </c>
      <c r="B72" s="76"/>
      <c r="C72" s="76"/>
    </row>
    <row r="73" spans="1:3" x14ac:dyDescent="0.35">
      <c r="A73" s="73" t="s">
        <v>331</v>
      </c>
      <c r="B73" s="74"/>
      <c r="C73" s="74"/>
    </row>
    <row r="74" spans="1:3" x14ac:dyDescent="0.35">
      <c r="A74" s="68" t="s">
        <v>332</v>
      </c>
      <c r="B74" s="71"/>
      <c r="C74" s="71"/>
    </row>
    <row r="75" spans="1:3" ht="15" thickBot="1" x14ac:dyDescent="0.4">
      <c r="A75" s="75" t="s">
        <v>333</v>
      </c>
      <c r="B75" s="76"/>
      <c r="C75" s="76"/>
    </row>
    <row r="76" spans="1:3" x14ac:dyDescent="0.35">
      <c r="A76" s="68" t="s">
        <v>334</v>
      </c>
      <c r="B76" s="71" t="s">
        <v>335</v>
      </c>
      <c r="C76" s="71"/>
    </row>
    <row r="77" spans="1:3" x14ac:dyDescent="0.35">
      <c r="B77" s="71"/>
      <c r="C77" s="7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dimension ref="A1:E18"/>
  <sheetViews>
    <sheetView topLeftCell="M12" workbookViewId="0">
      <selection activeCell="B15" sqref="B15"/>
    </sheetView>
  </sheetViews>
  <sheetFormatPr defaultRowHeight="14.5" x14ac:dyDescent="0.35"/>
  <cols>
    <col min="1" max="1" width="16.453125" style="25" customWidth="1"/>
    <col min="2" max="2" width="61.453125" style="25" customWidth="1"/>
    <col min="3" max="3" width="14.54296875" style="25" customWidth="1"/>
    <col min="4" max="4" width="16.453125" style="25" customWidth="1"/>
    <col min="5" max="5" width="21.54296875" style="25" customWidth="1"/>
  </cols>
  <sheetData>
    <row r="1" spans="1:5" ht="43.5" x14ac:dyDescent="0.35">
      <c r="A1" s="26" t="s">
        <v>336</v>
      </c>
      <c r="B1" s="26" t="s">
        <v>337</v>
      </c>
      <c r="C1" s="26" t="s">
        <v>338</v>
      </c>
      <c r="D1" s="26" t="s">
        <v>339</v>
      </c>
      <c r="E1" s="26" t="s">
        <v>340</v>
      </c>
    </row>
    <row r="2" spans="1:5" ht="145" x14ac:dyDescent="0.35">
      <c r="A2" s="25" t="s">
        <v>341</v>
      </c>
      <c r="B2" s="25" t="s">
        <v>342</v>
      </c>
      <c r="C2" s="25" t="s">
        <v>343</v>
      </c>
      <c r="D2" s="25" t="s">
        <v>344</v>
      </c>
      <c r="E2" s="25" t="s">
        <v>345</v>
      </c>
    </row>
    <row r="3" spans="1:5" ht="217.5" x14ac:dyDescent="0.35">
      <c r="A3" s="25" t="s">
        <v>346</v>
      </c>
      <c r="B3" s="25" t="s">
        <v>347</v>
      </c>
      <c r="C3" s="25" t="s">
        <v>348</v>
      </c>
      <c r="D3" s="25" t="s">
        <v>349</v>
      </c>
      <c r="E3" s="25" t="s">
        <v>350</v>
      </c>
    </row>
    <row r="4" spans="1:5" ht="87" x14ac:dyDescent="0.35">
      <c r="A4" s="25" t="s">
        <v>351</v>
      </c>
      <c r="B4" s="25" t="s">
        <v>352</v>
      </c>
      <c r="D4" s="25" t="s">
        <v>353</v>
      </c>
      <c r="E4" s="25" t="s">
        <v>350</v>
      </c>
    </row>
    <row r="5" spans="1:5" ht="58" x14ac:dyDescent="0.35">
      <c r="A5" s="25" t="s">
        <v>354</v>
      </c>
      <c r="B5" s="25" t="s">
        <v>355</v>
      </c>
      <c r="C5" s="25" t="s">
        <v>356</v>
      </c>
      <c r="D5" s="25" t="s">
        <v>357</v>
      </c>
      <c r="E5" s="25" t="s">
        <v>358</v>
      </c>
    </row>
    <row r="6" spans="1:5" ht="116" x14ac:dyDescent="0.35">
      <c r="A6" s="25" t="s">
        <v>359</v>
      </c>
      <c r="B6" s="25" t="s">
        <v>360</v>
      </c>
      <c r="C6" s="25" t="s">
        <v>361</v>
      </c>
      <c r="D6" s="25" t="s">
        <v>362</v>
      </c>
      <c r="E6" s="25" t="s">
        <v>363</v>
      </c>
    </row>
    <row r="7" spans="1:5" ht="43.5" x14ac:dyDescent="0.35">
      <c r="A7" s="25" t="s">
        <v>364</v>
      </c>
      <c r="B7" s="25" t="s">
        <v>365</v>
      </c>
      <c r="C7" s="25" t="s">
        <v>366</v>
      </c>
      <c r="D7" s="25" t="s">
        <v>367</v>
      </c>
      <c r="E7" s="25" t="s">
        <v>368</v>
      </c>
    </row>
    <row r="8" spans="1:5" ht="58" x14ac:dyDescent="0.35">
      <c r="A8" s="25" t="s">
        <v>369</v>
      </c>
      <c r="B8" s="25" t="s">
        <v>370</v>
      </c>
      <c r="C8" s="25" t="s">
        <v>356</v>
      </c>
      <c r="D8" s="25" t="s">
        <v>371</v>
      </c>
      <c r="E8" s="25" t="s">
        <v>372</v>
      </c>
    </row>
    <row r="9" spans="1:5" ht="72.5" x14ac:dyDescent="0.35">
      <c r="A9" s="25" t="s">
        <v>373</v>
      </c>
      <c r="B9" s="25" t="s">
        <v>374</v>
      </c>
      <c r="C9" s="25" t="s">
        <v>375</v>
      </c>
      <c r="D9" s="25" t="s">
        <v>376</v>
      </c>
      <c r="E9" s="25" t="s">
        <v>377</v>
      </c>
    </row>
    <row r="10" spans="1:5" ht="145" x14ac:dyDescent="0.35">
      <c r="A10" s="25" t="s">
        <v>378</v>
      </c>
      <c r="B10" s="25" t="s">
        <v>379</v>
      </c>
      <c r="C10" s="25" t="s">
        <v>380</v>
      </c>
      <c r="D10" s="25" t="s">
        <v>381</v>
      </c>
      <c r="E10" s="25" t="s">
        <v>382</v>
      </c>
    </row>
    <row r="11" spans="1:5" ht="130.5" x14ac:dyDescent="0.35">
      <c r="A11" s="25" t="s">
        <v>383</v>
      </c>
      <c r="B11" s="25" t="s">
        <v>384</v>
      </c>
      <c r="C11" s="25" t="s">
        <v>385</v>
      </c>
      <c r="D11" s="25" t="s">
        <v>381</v>
      </c>
      <c r="E11" s="25" t="s">
        <v>386</v>
      </c>
    </row>
    <row r="12" spans="1:5" ht="333.5" x14ac:dyDescent="0.35">
      <c r="A12" s="25" t="s">
        <v>387</v>
      </c>
      <c r="B12" s="87" t="s">
        <v>388</v>
      </c>
      <c r="C12" s="25" t="s">
        <v>389</v>
      </c>
      <c r="D12" s="25" t="s">
        <v>390</v>
      </c>
      <c r="E12" s="25" t="s">
        <v>391</v>
      </c>
    </row>
    <row r="14" spans="1:5" ht="348" x14ac:dyDescent="0.35">
      <c r="A14" s="25" t="s">
        <v>392</v>
      </c>
      <c r="B14" s="87" t="s">
        <v>393</v>
      </c>
      <c r="C14" s="25" t="s">
        <v>394</v>
      </c>
      <c r="D14" s="25" t="s">
        <v>390</v>
      </c>
      <c r="E14" s="25" t="s">
        <v>395</v>
      </c>
    </row>
    <row r="15" spans="1:5" ht="72.5" x14ac:dyDescent="0.35">
      <c r="A15" s="87" t="s">
        <v>396</v>
      </c>
      <c r="B15" s="87" t="s">
        <v>397</v>
      </c>
      <c r="C15" s="87" t="s">
        <v>398</v>
      </c>
      <c r="D15" s="87" t="s">
        <v>399</v>
      </c>
      <c r="E15" s="87" t="s">
        <v>400</v>
      </c>
    </row>
    <row r="16" spans="1:5" ht="174" x14ac:dyDescent="0.35">
      <c r="A16" s="25" t="s">
        <v>401</v>
      </c>
      <c r="B16" s="87" t="s">
        <v>402</v>
      </c>
      <c r="C16" s="25" t="s">
        <v>403</v>
      </c>
      <c r="D16" s="25" t="s">
        <v>390</v>
      </c>
      <c r="E16" s="25" t="s">
        <v>404</v>
      </c>
    </row>
    <row r="17" spans="1:5" ht="72.5" x14ac:dyDescent="0.35">
      <c r="A17" s="25" t="s">
        <v>405</v>
      </c>
      <c r="B17" s="25" t="s">
        <v>406</v>
      </c>
      <c r="C17" s="25" t="s">
        <v>403</v>
      </c>
      <c r="D17" s="25" t="s">
        <v>407</v>
      </c>
      <c r="E17" s="25" t="s">
        <v>404</v>
      </c>
    </row>
    <row r="18" spans="1:5" ht="72.5" x14ac:dyDescent="0.35">
      <c r="A18" s="25" t="s">
        <v>408</v>
      </c>
      <c r="B18" s="25" t="s">
        <v>409</v>
      </c>
      <c r="C18" s="25" t="s">
        <v>410</v>
      </c>
      <c r="D18" s="25" t="s">
        <v>407</v>
      </c>
      <c r="E18" s="25" t="s">
        <v>411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7FAF-0AB8-4F21-A78C-9DC4283784B2}">
  <dimension ref="A1:AB225"/>
  <sheetViews>
    <sheetView topLeftCell="F1" workbookViewId="0">
      <selection activeCell="P28" sqref="P28"/>
    </sheetView>
  </sheetViews>
  <sheetFormatPr defaultRowHeight="14.5" x14ac:dyDescent="0.35"/>
  <cols>
    <col min="1" max="1" width="13.81640625" style="62" customWidth="1"/>
    <col min="2" max="2" width="16.453125" style="62" customWidth="1"/>
    <col min="3" max="3" width="13.54296875" style="62" customWidth="1"/>
    <col min="4" max="7" width="8.81640625" style="62"/>
    <col min="8" max="8" width="8.54296875" style="62" customWidth="1"/>
    <col min="9" max="9" width="14.453125" style="63" customWidth="1"/>
    <col min="10" max="10" width="14.453125" style="65" customWidth="1"/>
    <col min="11" max="11" width="12.54296875" style="63" customWidth="1"/>
    <col min="12" max="12" width="8.453125" customWidth="1"/>
    <col min="15" max="15" width="29.453125" customWidth="1"/>
    <col min="16" max="16" width="10.81640625" customWidth="1"/>
    <col min="17" max="20" width="10.7265625" bestFit="1" customWidth="1"/>
    <col min="21" max="23" width="9.7265625" bestFit="1" customWidth="1"/>
    <col min="24" max="28" width="10.7265625" bestFit="1" customWidth="1"/>
    <col min="29" max="31" width="3" bestFit="1" customWidth="1"/>
    <col min="32" max="32" width="12.7265625" bestFit="1" customWidth="1"/>
    <col min="33" max="35" width="3" bestFit="1" customWidth="1"/>
    <col min="36" max="36" width="11.7265625" bestFit="1" customWidth="1"/>
    <col min="37" max="39" width="3" bestFit="1" customWidth="1"/>
    <col min="40" max="40" width="11.7265625" bestFit="1" customWidth="1"/>
    <col min="41" max="43" width="3" bestFit="1" customWidth="1"/>
    <col min="44" max="44" width="11.7265625" bestFit="1" customWidth="1"/>
    <col min="45" max="47" width="3" bestFit="1" customWidth="1"/>
    <col min="48" max="48" width="12.7265625" bestFit="1" customWidth="1"/>
    <col min="49" max="51" width="3" bestFit="1" customWidth="1"/>
    <col min="52" max="52" width="12.7265625" bestFit="1" customWidth="1"/>
    <col min="53" max="55" width="3" bestFit="1" customWidth="1"/>
    <col min="56" max="56" width="12.7265625" bestFit="1" customWidth="1"/>
    <col min="57" max="59" width="3" bestFit="1" customWidth="1"/>
    <col min="60" max="60" width="12.7265625" bestFit="1" customWidth="1"/>
    <col min="61" max="63" width="3" bestFit="1" customWidth="1"/>
    <col min="64" max="64" width="10.7265625" bestFit="1" customWidth="1"/>
  </cols>
  <sheetData>
    <row r="1" spans="1:28" s="15" customFormat="1" ht="58" x14ac:dyDescent="0.35">
      <c r="A1" s="61" t="s">
        <v>20</v>
      </c>
      <c r="B1" s="61" t="s">
        <v>21</v>
      </c>
      <c r="C1" s="61" t="s">
        <v>22</v>
      </c>
      <c r="D1" s="61" t="s">
        <v>23</v>
      </c>
      <c r="E1" s="61" t="s">
        <v>24</v>
      </c>
      <c r="F1" s="61" t="s">
        <v>26</v>
      </c>
      <c r="G1" s="61" t="s">
        <v>27</v>
      </c>
      <c r="H1" s="61" t="s">
        <v>25</v>
      </c>
      <c r="I1" s="61" t="s">
        <v>412</v>
      </c>
      <c r="J1" s="61" t="s">
        <v>413</v>
      </c>
      <c r="K1" s="89" t="s">
        <v>414</v>
      </c>
      <c r="L1" s="28"/>
      <c r="M1" s="28"/>
    </row>
    <row r="2" spans="1:28" x14ac:dyDescent="0.35">
      <c r="A2" s="62" t="s">
        <v>28</v>
      </c>
      <c r="B2" s="62" t="s">
        <v>29</v>
      </c>
      <c r="C2" s="62">
        <v>1</v>
      </c>
      <c r="D2" s="62">
        <v>1</v>
      </c>
      <c r="E2" s="62">
        <v>2</v>
      </c>
      <c r="F2" s="62">
        <v>8</v>
      </c>
      <c r="G2" s="62">
        <v>2</v>
      </c>
      <c r="H2" s="127">
        <v>102</v>
      </c>
      <c r="I2" s="63">
        <v>1</v>
      </c>
      <c r="J2" s="93">
        <v>45770</v>
      </c>
      <c r="K2" s="63">
        <v>13</v>
      </c>
      <c r="L2" s="63"/>
    </row>
    <row r="3" spans="1:28" x14ac:dyDescent="0.35">
      <c r="A3" s="62" t="s">
        <v>28</v>
      </c>
      <c r="B3" s="62" t="s">
        <v>31</v>
      </c>
      <c r="C3" s="62">
        <v>2</v>
      </c>
      <c r="D3" s="62">
        <v>1</v>
      </c>
      <c r="E3" s="62">
        <v>6</v>
      </c>
      <c r="F3" s="62">
        <v>24</v>
      </c>
      <c r="G3" s="62">
        <v>6</v>
      </c>
      <c r="H3" s="127">
        <v>106</v>
      </c>
      <c r="I3" s="63">
        <v>1</v>
      </c>
      <c r="J3" s="93">
        <v>45770</v>
      </c>
      <c r="K3" s="63">
        <v>12</v>
      </c>
      <c r="L3" s="63"/>
    </row>
    <row r="4" spans="1:28" x14ac:dyDescent="0.35">
      <c r="A4" s="62" t="s">
        <v>28</v>
      </c>
      <c r="B4" s="62" t="s">
        <v>32</v>
      </c>
      <c r="C4" s="62">
        <v>3</v>
      </c>
      <c r="D4" s="62">
        <v>1</v>
      </c>
      <c r="E4" s="62">
        <v>10</v>
      </c>
      <c r="F4" s="62">
        <v>40</v>
      </c>
      <c r="G4" s="62">
        <v>10</v>
      </c>
      <c r="H4" s="127">
        <v>110</v>
      </c>
      <c r="I4" s="63">
        <v>1</v>
      </c>
      <c r="J4" s="93">
        <v>45770</v>
      </c>
      <c r="K4" s="63">
        <v>13</v>
      </c>
      <c r="L4" s="63"/>
    </row>
    <row r="5" spans="1:28" x14ac:dyDescent="0.35">
      <c r="A5" s="62" t="s">
        <v>28</v>
      </c>
      <c r="B5" s="62" t="s">
        <v>30</v>
      </c>
      <c r="C5" s="62">
        <v>4</v>
      </c>
      <c r="D5" s="62">
        <v>1</v>
      </c>
      <c r="E5" s="62">
        <v>14</v>
      </c>
      <c r="F5" s="62">
        <v>56</v>
      </c>
      <c r="G5" s="62">
        <v>14</v>
      </c>
      <c r="H5" s="127">
        <v>114</v>
      </c>
      <c r="I5" s="63">
        <v>1</v>
      </c>
      <c r="J5" s="93">
        <v>45770</v>
      </c>
      <c r="K5" s="63">
        <v>25</v>
      </c>
      <c r="L5" s="63"/>
      <c r="O5" s="29" t="s">
        <v>415</v>
      </c>
      <c r="P5" s="29" t="s">
        <v>416</v>
      </c>
    </row>
    <row r="6" spans="1:28" x14ac:dyDescent="0.35">
      <c r="A6" s="62" t="s">
        <v>28</v>
      </c>
      <c r="B6" s="62" t="s">
        <v>30</v>
      </c>
      <c r="C6" s="62">
        <v>1</v>
      </c>
      <c r="D6" s="62">
        <v>2</v>
      </c>
      <c r="E6" s="62">
        <v>2</v>
      </c>
      <c r="F6" s="62">
        <v>7</v>
      </c>
      <c r="G6" s="62">
        <v>31</v>
      </c>
      <c r="H6" s="127">
        <v>202</v>
      </c>
      <c r="I6" s="63">
        <v>1</v>
      </c>
      <c r="J6" s="93">
        <v>45770</v>
      </c>
      <c r="K6" s="63">
        <v>12</v>
      </c>
      <c r="L6" s="63"/>
      <c r="O6" s="29" t="s">
        <v>417</v>
      </c>
      <c r="P6" s="88">
        <v>45770</v>
      </c>
      <c r="Q6" s="88">
        <v>45772</v>
      </c>
      <c r="R6" s="88">
        <v>45775</v>
      </c>
      <c r="S6" s="88">
        <v>45805</v>
      </c>
      <c r="T6" s="88">
        <v>45807</v>
      </c>
      <c r="U6" s="88">
        <v>45810</v>
      </c>
      <c r="V6" s="88">
        <v>45778</v>
      </c>
      <c r="W6" s="88">
        <v>45813</v>
      </c>
      <c r="X6" s="88">
        <v>45790</v>
      </c>
      <c r="Y6" s="88">
        <v>45819</v>
      </c>
      <c r="Z6" s="88">
        <v>45821</v>
      </c>
      <c r="AA6" s="88">
        <v>45825</v>
      </c>
      <c r="AB6" t="s">
        <v>418</v>
      </c>
    </row>
    <row r="7" spans="1:28" x14ac:dyDescent="0.35">
      <c r="A7" s="62" t="s">
        <v>28</v>
      </c>
      <c r="B7" s="62" t="s">
        <v>32</v>
      </c>
      <c r="C7" s="62">
        <v>2</v>
      </c>
      <c r="D7" s="62">
        <v>2</v>
      </c>
      <c r="E7" s="62">
        <v>6</v>
      </c>
      <c r="F7" s="62">
        <v>23</v>
      </c>
      <c r="G7" s="62">
        <v>27</v>
      </c>
      <c r="H7" s="127">
        <v>206</v>
      </c>
      <c r="I7" s="63">
        <v>1</v>
      </c>
      <c r="J7" s="93">
        <v>45770</v>
      </c>
      <c r="K7" s="63">
        <v>13</v>
      </c>
      <c r="L7" s="63"/>
      <c r="O7" s="32" t="s">
        <v>28</v>
      </c>
      <c r="P7" s="34">
        <v>11.375</v>
      </c>
      <c r="Q7" s="34">
        <v>26.25</v>
      </c>
      <c r="R7" s="34">
        <v>31.1875</v>
      </c>
      <c r="S7" s="34"/>
      <c r="T7" s="34"/>
      <c r="U7" s="34"/>
      <c r="V7" s="34">
        <v>29.5</v>
      </c>
      <c r="W7" s="34"/>
      <c r="X7" s="34">
        <v>28.9375</v>
      </c>
      <c r="Y7" s="34"/>
      <c r="Z7" s="34"/>
      <c r="AA7" s="34"/>
      <c r="AB7" s="34">
        <v>25.45</v>
      </c>
    </row>
    <row r="8" spans="1:28" x14ac:dyDescent="0.35">
      <c r="A8" s="62" t="s">
        <v>28</v>
      </c>
      <c r="B8" s="62" t="s">
        <v>31</v>
      </c>
      <c r="C8" s="62">
        <v>3</v>
      </c>
      <c r="D8" s="62">
        <v>2</v>
      </c>
      <c r="E8" s="62">
        <v>10</v>
      </c>
      <c r="F8" s="62">
        <v>39</v>
      </c>
      <c r="G8" s="62">
        <v>23</v>
      </c>
      <c r="H8" s="127">
        <v>210</v>
      </c>
      <c r="I8" s="63">
        <v>1</v>
      </c>
      <c r="J8" s="93">
        <v>45770</v>
      </c>
      <c r="K8" s="63">
        <v>24</v>
      </c>
      <c r="L8" s="63"/>
      <c r="O8" s="91" t="s">
        <v>32</v>
      </c>
      <c r="P8" s="34">
        <v>10</v>
      </c>
      <c r="Q8" s="34">
        <v>27.75</v>
      </c>
      <c r="R8" s="34">
        <v>32.75</v>
      </c>
      <c r="S8" s="34"/>
      <c r="T8" s="34"/>
      <c r="U8" s="34"/>
      <c r="V8" s="34">
        <v>32.25</v>
      </c>
      <c r="W8" s="34"/>
      <c r="X8" s="34">
        <v>31</v>
      </c>
      <c r="Y8" s="34"/>
      <c r="Z8" s="34"/>
      <c r="AA8" s="34"/>
      <c r="AB8" s="34">
        <v>26.75</v>
      </c>
    </row>
    <row r="9" spans="1:28" x14ac:dyDescent="0.35">
      <c r="A9" s="62" t="s">
        <v>28</v>
      </c>
      <c r="B9" s="62" t="s">
        <v>29</v>
      </c>
      <c r="C9" s="62">
        <v>4</v>
      </c>
      <c r="D9" s="62">
        <v>2</v>
      </c>
      <c r="E9" s="62">
        <v>14</v>
      </c>
      <c r="F9" s="62">
        <v>55</v>
      </c>
      <c r="G9" s="62">
        <v>19</v>
      </c>
      <c r="H9" s="127">
        <v>214</v>
      </c>
      <c r="I9" s="63">
        <v>1</v>
      </c>
      <c r="J9" s="93">
        <v>45770</v>
      </c>
      <c r="K9" s="63">
        <v>14</v>
      </c>
      <c r="L9" s="63"/>
      <c r="O9" s="91" t="s">
        <v>31</v>
      </c>
      <c r="P9" s="34">
        <v>13.75</v>
      </c>
      <c r="Q9" s="34">
        <v>32.5</v>
      </c>
      <c r="R9" s="34">
        <v>36.25</v>
      </c>
      <c r="S9" s="34"/>
      <c r="T9" s="34"/>
      <c r="U9" s="34"/>
      <c r="V9" s="34">
        <v>37</v>
      </c>
      <c r="W9" s="34"/>
      <c r="X9" s="34">
        <v>37</v>
      </c>
      <c r="Y9" s="34"/>
      <c r="Z9" s="34"/>
      <c r="AA9" s="34"/>
      <c r="AB9" s="34">
        <v>31.3</v>
      </c>
    </row>
    <row r="10" spans="1:28" x14ac:dyDescent="0.35">
      <c r="A10" s="62" t="s">
        <v>28</v>
      </c>
      <c r="B10" s="62" t="s">
        <v>31</v>
      </c>
      <c r="C10" s="62">
        <v>1</v>
      </c>
      <c r="D10" s="62">
        <v>3</v>
      </c>
      <c r="E10" s="62">
        <v>2</v>
      </c>
      <c r="F10" s="62">
        <v>6</v>
      </c>
      <c r="G10" s="62">
        <v>34</v>
      </c>
      <c r="H10" s="127">
        <v>302</v>
      </c>
      <c r="I10" s="63">
        <v>1</v>
      </c>
      <c r="J10" s="93">
        <v>45770</v>
      </c>
      <c r="K10" s="63">
        <v>13</v>
      </c>
      <c r="L10" s="63"/>
      <c r="O10" s="91" t="s">
        <v>29</v>
      </c>
      <c r="P10" s="34">
        <v>9.25</v>
      </c>
      <c r="Q10" s="34">
        <v>22.25</v>
      </c>
      <c r="R10" s="34">
        <v>28.75</v>
      </c>
      <c r="S10" s="34"/>
      <c r="T10" s="34"/>
      <c r="U10" s="34"/>
      <c r="V10" s="34">
        <v>23</v>
      </c>
      <c r="W10" s="34"/>
      <c r="X10" s="34">
        <v>24</v>
      </c>
      <c r="Y10" s="34"/>
      <c r="Z10" s="34"/>
      <c r="AA10" s="34"/>
      <c r="AB10" s="34">
        <v>21.45</v>
      </c>
    </row>
    <row r="11" spans="1:28" x14ac:dyDescent="0.35">
      <c r="A11" s="62" t="s">
        <v>28</v>
      </c>
      <c r="B11" s="62" t="s">
        <v>30</v>
      </c>
      <c r="C11" s="62">
        <v>2</v>
      </c>
      <c r="D11" s="62">
        <v>3</v>
      </c>
      <c r="E11" s="62">
        <v>6</v>
      </c>
      <c r="F11" s="62">
        <v>22</v>
      </c>
      <c r="G11" s="62">
        <v>38</v>
      </c>
      <c r="H11" s="127">
        <v>306</v>
      </c>
      <c r="I11" s="63">
        <v>1</v>
      </c>
      <c r="J11" s="93">
        <v>45770</v>
      </c>
      <c r="K11" s="63">
        <v>6</v>
      </c>
      <c r="L11" s="63"/>
      <c r="O11" s="91" t="s">
        <v>30</v>
      </c>
      <c r="P11" s="34">
        <v>12.5</v>
      </c>
      <c r="Q11" s="34">
        <v>22.5</v>
      </c>
      <c r="R11" s="34">
        <v>27</v>
      </c>
      <c r="S11" s="34"/>
      <c r="T11" s="34"/>
      <c r="U11" s="34"/>
      <c r="V11" s="34">
        <v>25.75</v>
      </c>
      <c r="W11" s="34"/>
      <c r="X11" s="34">
        <v>23.75</v>
      </c>
      <c r="Y11" s="34"/>
      <c r="Z11" s="34"/>
      <c r="AA11" s="34"/>
      <c r="AB11" s="34">
        <v>22.3</v>
      </c>
    </row>
    <row r="12" spans="1:28" x14ac:dyDescent="0.35">
      <c r="A12" s="62" t="s">
        <v>28</v>
      </c>
      <c r="B12" s="62" t="s">
        <v>29</v>
      </c>
      <c r="C12" s="62">
        <v>3</v>
      </c>
      <c r="D12" s="62">
        <v>3</v>
      </c>
      <c r="E12" s="62">
        <v>10</v>
      </c>
      <c r="F12" s="62">
        <v>38</v>
      </c>
      <c r="G12" s="62">
        <v>42</v>
      </c>
      <c r="H12" s="127">
        <v>310</v>
      </c>
      <c r="I12" s="63">
        <v>1</v>
      </c>
      <c r="J12" s="93">
        <v>45770</v>
      </c>
      <c r="K12" s="63">
        <v>7</v>
      </c>
      <c r="L12" s="63"/>
      <c r="O12" s="32" t="s">
        <v>33</v>
      </c>
      <c r="P12" s="34"/>
      <c r="Q12" s="34"/>
      <c r="R12" s="34"/>
      <c r="S12" s="34">
        <v>17.875</v>
      </c>
      <c r="T12" s="34">
        <v>24.75</v>
      </c>
      <c r="U12" s="34">
        <v>29.4375</v>
      </c>
      <c r="V12" s="34"/>
      <c r="W12" s="34">
        <v>31.125</v>
      </c>
      <c r="X12" s="34"/>
      <c r="Y12" s="34">
        <v>33.125</v>
      </c>
      <c r="Z12" s="34">
        <v>33.375</v>
      </c>
      <c r="AA12" s="34">
        <v>33.8125</v>
      </c>
      <c r="AB12" s="34">
        <v>29.071428571428573</v>
      </c>
    </row>
    <row r="13" spans="1:28" x14ac:dyDescent="0.35">
      <c r="A13" s="62" t="s">
        <v>28</v>
      </c>
      <c r="B13" s="62" t="s">
        <v>32</v>
      </c>
      <c r="C13" s="62">
        <v>4</v>
      </c>
      <c r="D13" s="62">
        <v>3</v>
      </c>
      <c r="E13" s="62">
        <v>14</v>
      </c>
      <c r="F13" s="62">
        <v>54</v>
      </c>
      <c r="G13" s="62">
        <v>46</v>
      </c>
      <c r="H13" s="127">
        <v>314</v>
      </c>
      <c r="I13" s="63">
        <v>1</v>
      </c>
      <c r="J13" s="93">
        <v>45770</v>
      </c>
      <c r="K13" s="63">
        <v>4</v>
      </c>
      <c r="L13" s="63"/>
      <c r="O13" s="91" t="s">
        <v>35</v>
      </c>
      <c r="P13" s="34"/>
      <c r="Q13" s="34"/>
      <c r="R13" s="34"/>
      <c r="S13" s="34">
        <v>12.75</v>
      </c>
      <c r="T13" s="34">
        <v>23.25</v>
      </c>
      <c r="U13" s="34">
        <v>30.75</v>
      </c>
      <c r="V13" s="34"/>
      <c r="W13" s="34">
        <v>33</v>
      </c>
      <c r="X13" s="34"/>
      <c r="Y13" s="34">
        <v>34.5</v>
      </c>
      <c r="Z13" s="34">
        <v>36.5</v>
      </c>
      <c r="AA13" s="34">
        <v>36.5</v>
      </c>
      <c r="AB13" s="34">
        <v>29.607142857142858</v>
      </c>
    </row>
    <row r="14" spans="1:28" x14ac:dyDescent="0.35">
      <c r="A14" s="62" t="s">
        <v>28</v>
      </c>
      <c r="B14" s="62" t="s">
        <v>32</v>
      </c>
      <c r="C14" s="62">
        <v>1</v>
      </c>
      <c r="D14" s="62">
        <v>4</v>
      </c>
      <c r="E14" s="62">
        <v>2</v>
      </c>
      <c r="F14" s="62">
        <v>5</v>
      </c>
      <c r="G14" s="62">
        <v>63</v>
      </c>
      <c r="H14" s="127">
        <v>402</v>
      </c>
      <c r="I14" s="63">
        <v>1</v>
      </c>
      <c r="J14" s="93">
        <v>45770</v>
      </c>
      <c r="K14" s="63">
        <v>10</v>
      </c>
      <c r="L14" s="63"/>
      <c r="O14" s="91" t="s">
        <v>34</v>
      </c>
      <c r="P14" s="34"/>
      <c r="Q14" s="34"/>
      <c r="R14" s="34"/>
      <c r="S14" s="34">
        <v>21.75</v>
      </c>
      <c r="T14" s="34">
        <v>26.75</v>
      </c>
      <c r="U14" s="34">
        <v>29.5</v>
      </c>
      <c r="V14" s="34"/>
      <c r="W14" s="34">
        <v>31.75</v>
      </c>
      <c r="X14" s="34"/>
      <c r="Y14" s="34">
        <v>34</v>
      </c>
      <c r="Z14" s="34">
        <v>32.75</v>
      </c>
      <c r="AA14" s="34">
        <v>33.5</v>
      </c>
      <c r="AB14" s="34">
        <v>30</v>
      </c>
    </row>
    <row r="15" spans="1:28" x14ac:dyDescent="0.35">
      <c r="A15" s="62" t="s">
        <v>28</v>
      </c>
      <c r="B15" s="62" t="s">
        <v>29</v>
      </c>
      <c r="C15" s="62">
        <v>2</v>
      </c>
      <c r="D15" s="62">
        <v>4</v>
      </c>
      <c r="E15" s="62">
        <v>6</v>
      </c>
      <c r="F15" s="62">
        <v>21</v>
      </c>
      <c r="G15" s="62">
        <v>59</v>
      </c>
      <c r="H15" s="127">
        <v>406</v>
      </c>
      <c r="I15" s="63">
        <v>1</v>
      </c>
      <c r="J15" s="93">
        <v>45770</v>
      </c>
      <c r="K15" s="63">
        <v>3</v>
      </c>
      <c r="L15" s="63"/>
      <c r="O15" s="91" t="s">
        <v>29</v>
      </c>
      <c r="P15" s="34"/>
      <c r="Q15" s="34"/>
      <c r="R15" s="34"/>
      <c r="S15" s="34">
        <v>15.75</v>
      </c>
      <c r="T15" s="34">
        <v>22</v>
      </c>
      <c r="U15" s="34">
        <v>26.25</v>
      </c>
      <c r="V15" s="34"/>
      <c r="W15" s="34">
        <v>27.5</v>
      </c>
      <c r="X15" s="34"/>
      <c r="Y15" s="34">
        <v>29.75</v>
      </c>
      <c r="Z15" s="34">
        <v>29.75</v>
      </c>
      <c r="AA15" s="34">
        <v>30.25</v>
      </c>
      <c r="AB15" s="34">
        <v>25.892857142857142</v>
      </c>
    </row>
    <row r="16" spans="1:28" x14ac:dyDescent="0.35">
      <c r="A16" s="62" t="s">
        <v>28</v>
      </c>
      <c r="B16" s="62" t="s">
        <v>30</v>
      </c>
      <c r="C16" s="62">
        <v>3</v>
      </c>
      <c r="D16" s="62">
        <v>4</v>
      </c>
      <c r="E16" s="62">
        <v>10</v>
      </c>
      <c r="F16" s="62">
        <v>37</v>
      </c>
      <c r="G16" s="62">
        <v>55</v>
      </c>
      <c r="H16" s="127">
        <v>410</v>
      </c>
      <c r="I16" s="63">
        <v>1</v>
      </c>
      <c r="J16" s="93">
        <v>45770</v>
      </c>
      <c r="K16" s="63">
        <v>7</v>
      </c>
      <c r="L16" s="63"/>
      <c r="O16" s="91" t="s">
        <v>30</v>
      </c>
      <c r="P16" s="34"/>
      <c r="Q16" s="34"/>
      <c r="R16" s="34"/>
      <c r="S16" s="34">
        <v>21.25</v>
      </c>
      <c r="T16" s="34">
        <v>27</v>
      </c>
      <c r="U16" s="34">
        <v>31.25</v>
      </c>
      <c r="V16" s="34"/>
      <c r="W16" s="34">
        <v>32.25</v>
      </c>
      <c r="X16" s="34"/>
      <c r="Y16" s="34">
        <v>34.25</v>
      </c>
      <c r="Z16" s="34">
        <v>34.5</v>
      </c>
      <c r="AA16" s="34">
        <v>35</v>
      </c>
      <c r="AB16" s="34">
        <v>30.785714285714285</v>
      </c>
    </row>
    <row r="17" spans="1:28" x14ac:dyDescent="0.35">
      <c r="A17" s="62" t="s">
        <v>28</v>
      </c>
      <c r="B17" s="62" t="s">
        <v>31</v>
      </c>
      <c r="C17" s="62">
        <v>4</v>
      </c>
      <c r="D17" s="62">
        <v>4</v>
      </c>
      <c r="E17" s="62">
        <v>14</v>
      </c>
      <c r="F17" s="62">
        <v>53</v>
      </c>
      <c r="G17" s="62">
        <v>51</v>
      </c>
      <c r="H17" s="127">
        <v>414</v>
      </c>
      <c r="I17" s="63">
        <v>1</v>
      </c>
      <c r="J17" s="93">
        <v>45770</v>
      </c>
      <c r="K17" s="63">
        <v>6</v>
      </c>
      <c r="L17" s="63"/>
      <c r="O17" s="32" t="s">
        <v>418</v>
      </c>
      <c r="P17" s="34">
        <v>11.375</v>
      </c>
      <c r="Q17" s="34">
        <v>26.25</v>
      </c>
      <c r="R17" s="34">
        <v>31.1875</v>
      </c>
      <c r="S17" s="34">
        <v>17.875</v>
      </c>
      <c r="T17" s="34">
        <v>24.75</v>
      </c>
      <c r="U17" s="34">
        <v>29.4375</v>
      </c>
      <c r="V17" s="34">
        <v>29.5</v>
      </c>
      <c r="W17" s="34">
        <v>31.125</v>
      </c>
      <c r="X17" s="34">
        <v>28.9375</v>
      </c>
      <c r="Y17" s="34">
        <v>33.125</v>
      </c>
      <c r="Z17" s="34">
        <v>33.375</v>
      </c>
      <c r="AA17" s="34">
        <v>33.8125</v>
      </c>
      <c r="AB17" s="34">
        <v>27.5625</v>
      </c>
    </row>
    <row r="18" spans="1:28" x14ac:dyDescent="0.35">
      <c r="A18" s="62" t="s">
        <v>33</v>
      </c>
      <c r="B18" s="62" t="s">
        <v>34</v>
      </c>
      <c r="C18" s="62">
        <v>1</v>
      </c>
      <c r="D18" s="62">
        <v>1</v>
      </c>
      <c r="E18" s="62">
        <v>4</v>
      </c>
      <c r="F18" s="62">
        <v>16</v>
      </c>
      <c r="G18" s="62">
        <v>4</v>
      </c>
      <c r="H18" s="127">
        <v>104</v>
      </c>
      <c r="I18" s="63">
        <v>1</v>
      </c>
      <c r="J18" s="88">
        <v>45805</v>
      </c>
      <c r="K18" s="63">
        <v>21</v>
      </c>
    </row>
    <row r="19" spans="1:28" x14ac:dyDescent="0.35">
      <c r="A19" s="62" t="s">
        <v>33</v>
      </c>
      <c r="B19" s="62" t="s">
        <v>35</v>
      </c>
      <c r="C19" s="62">
        <v>2</v>
      </c>
      <c r="D19" s="62">
        <v>1</v>
      </c>
      <c r="E19" s="62">
        <v>8</v>
      </c>
      <c r="F19" s="62">
        <v>32</v>
      </c>
      <c r="G19" s="62">
        <v>8</v>
      </c>
      <c r="H19" s="127">
        <v>108</v>
      </c>
      <c r="I19" s="63">
        <v>1</v>
      </c>
      <c r="J19" s="88">
        <v>45805</v>
      </c>
      <c r="K19" s="63">
        <v>20</v>
      </c>
    </row>
    <row r="20" spans="1:28" x14ac:dyDescent="0.35">
      <c r="A20" s="62" t="s">
        <v>33</v>
      </c>
      <c r="B20" s="62" t="s">
        <v>29</v>
      </c>
      <c r="C20" s="62">
        <v>3</v>
      </c>
      <c r="D20" s="62">
        <v>1</v>
      </c>
      <c r="E20" s="62">
        <v>12</v>
      </c>
      <c r="F20" s="62">
        <v>48</v>
      </c>
      <c r="G20" s="62">
        <v>12</v>
      </c>
      <c r="H20" s="127">
        <v>112</v>
      </c>
      <c r="I20" s="63">
        <v>1</v>
      </c>
      <c r="J20" s="88">
        <v>45805</v>
      </c>
      <c r="K20" s="63">
        <v>16</v>
      </c>
    </row>
    <row r="21" spans="1:28" x14ac:dyDescent="0.35">
      <c r="A21" s="62" t="s">
        <v>33</v>
      </c>
      <c r="B21" s="62" t="s">
        <v>30</v>
      </c>
      <c r="C21" s="62">
        <v>4</v>
      </c>
      <c r="D21" s="62">
        <v>1</v>
      </c>
      <c r="E21" s="62">
        <v>16</v>
      </c>
      <c r="F21" s="62">
        <v>64</v>
      </c>
      <c r="G21" s="62">
        <v>16</v>
      </c>
      <c r="H21" s="127">
        <v>116</v>
      </c>
      <c r="I21" s="63">
        <v>1</v>
      </c>
      <c r="J21" s="88">
        <v>45805</v>
      </c>
      <c r="K21" s="63">
        <v>20</v>
      </c>
    </row>
    <row r="22" spans="1:28" x14ac:dyDescent="0.35">
      <c r="A22" s="62" t="s">
        <v>33</v>
      </c>
      <c r="B22" s="62" t="s">
        <v>30</v>
      </c>
      <c r="C22" s="62">
        <v>1</v>
      </c>
      <c r="D22" s="62">
        <v>2</v>
      </c>
      <c r="E22" s="62">
        <v>4</v>
      </c>
      <c r="F22" s="62">
        <v>15</v>
      </c>
      <c r="G22" s="62">
        <v>29</v>
      </c>
      <c r="H22" s="127">
        <v>204</v>
      </c>
      <c r="I22" s="63">
        <v>1</v>
      </c>
      <c r="J22" s="88">
        <v>45805</v>
      </c>
      <c r="K22" s="63">
        <v>37</v>
      </c>
    </row>
    <row r="23" spans="1:28" x14ac:dyDescent="0.35">
      <c r="A23" s="62" t="s">
        <v>33</v>
      </c>
      <c r="B23" s="62" t="s">
        <v>29</v>
      </c>
      <c r="C23" s="62">
        <v>2</v>
      </c>
      <c r="D23" s="62">
        <v>2</v>
      </c>
      <c r="E23" s="62">
        <v>8</v>
      </c>
      <c r="F23" s="62">
        <v>31</v>
      </c>
      <c r="G23" s="62">
        <v>25</v>
      </c>
      <c r="H23" s="127">
        <v>208</v>
      </c>
      <c r="I23" s="63">
        <v>1</v>
      </c>
      <c r="J23" s="88">
        <v>45805</v>
      </c>
      <c r="K23" s="63">
        <v>21</v>
      </c>
    </row>
    <row r="24" spans="1:28" x14ac:dyDescent="0.35">
      <c r="A24" s="62" t="s">
        <v>33</v>
      </c>
      <c r="B24" s="62" t="s">
        <v>35</v>
      </c>
      <c r="C24" s="62">
        <v>3</v>
      </c>
      <c r="D24" s="62">
        <v>2</v>
      </c>
      <c r="E24" s="62">
        <v>12</v>
      </c>
      <c r="F24" s="62">
        <v>47</v>
      </c>
      <c r="G24" s="62">
        <v>21</v>
      </c>
      <c r="H24" s="127">
        <v>212</v>
      </c>
      <c r="I24" s="63">
        <v>1</v>
      </c>
      <c r="J24" s="88">
        <v>45805</v>
      </c>
      <c r="K24" s="63">
        <v>16</v>
      </c>
    </row>
    <row r="25" spans="1:28" x14ac:dyDescent="0.35">
      <c r="A25" s="62" t="s">
        <v>33</v>
      </c>
      <c r="B25" s="62" t="s">
        <v>34</v>
      </c>
      <c r="C25" s="62">
        <v>4</v>
      </c>
      <c r="D25" s="62">
        <v>2</v>
      </c>
      <c r="E25" s="62">
        <v>16</v>
      </c>
      <c r="F25" s="62">
        <v>58</v>
      </c>
      <c r="G25" s="62">
        <v>18</v>
      </c>
      <c r="H25" s="127">
        <v>216</v>
      </c>
      <c r="I25" s="63">
        <v>1</v>
      </c>
      <c r="J25" s="88">
        <v>45805</v>
      </c>
      <c r="K25" s="63">
        <v>18</v>
      </c>
    </row>
    <row r="26" spans="1:28" x14ac:dyDescent="0.35">
      <c r="A26" s="62" t="s">
        <v>33</v>
      </c>
      <c r="B26" s="62" t="s">
        <v>35</v>
      </c>
      <c r="C26" s="62">
        <v>1</v>
      </c>
      <c r="D26" s="62">
        <v>3</v>
      </c>
      <c r="E26" s="62">
        <v>4</v>
      </c>
      <c r="F26" s="62">
        <v>14</v>
      </c>
      <c r="G26" s="62">
        <v>36</v>
      </c>
      <c r="H26" s="127">
        <v>304</v>
      </c>
      <c r="I26" s="63">
        <v>1</v>
      </c>
      <c r="J26" s="88">
        <v>45805</v>
      </c>
      <c r="K26" s="63">
        <v>0</v>
      </c>
    </row>
    <row r="27" spans="1:28" x14ac:dyDescent="0.35">
      <c r="A27" s="62" t="s">
        <v>33</v>
      </c>
      <c r="B27" s="62" t="s">
        <v>30</v>
      </c>
      <c r="C27" s="62">
        <v>2</v>
      </c>
      <c r="D27" s="62">
        <v>3</v>
      </c>
      <c r="E27" s="62">
        <v>8</v>
      </c>
      <c r="F27" s="62">
        <v>30</v>
      </c>
      <c r="G27" s="62">
        <v>40</v>
      </c>
      <c r="H27" s="127">
        <v>308</v>
      </c>
      <c r="I27" s="63">
        <v>1</v>
      </c>
      <c r="J27" s="88">
        <v>45805</v>
      </c>
      <c r="K27" s="63">
        <v>8</v>
      </c>
    </row>
    <row r="28" spans="1:28" x14ac:dyDescent="0.35">
      <c r="A28" s="62" t="s">
        <v>33</v>
      </c>
      <c r="B28" s="62" t="s">
        <v>34</v>
      </c>
      <c r="C28" s="62">
        <v>3</v>
      </c>
      <c r="D28" s="62">
        <v>3</v>
      </c>
      <c r="E28" s="62">
        <v>12</v>
      </c>
      <c r="F28" s="62">
        <v>46</v>
      </c>
      <c r="G28" s="62">
        <v>44</v>
      </c>
      <c r="H28" s="127">
        <v>312</v>
      </c>
      <c r="I28" s="63">
        <v>1</v>
      </c>
      <c r="J28" s="88">
        <v>45805</v>
      </c>
      <c r="K28" s="63">
        <v>31</v>
      </c>
    </row>
    <row r="29" spans="1:28" x14ac:dyDescent="0.35">
      <c r="A29" s="62" t="s">
        <v>33</v>
      </c>
      <c r="B29" s="62" t="s">
        <v>29</v>
      </c>
      <c r="C29" s="62">
        <v>4</v>
      </c>
      <c r="D29" s="62">
        <v>3</v>
      </c>
      <c r="E29" s="62">
        <v>16</v>
      </c>
      <c r="F29" s="62">
        <v>62</v>
      </c>
      <c r="G29" s="62">
        <v>48</v>
      </c>
      <c r="H29" s="127">
        <v>316</v>
      </c>
      <c r="I29" s="63">
        <v>1</v>
      </c>
      <c r="J29" s="88">
        <v>45805</v>
      </c>
      <c r="K29" s="63">
        <v>9</v>
      </c>
    </row>
    <row r="30" spans="1:28" x14ac:dyDescent="0.35">
      <c r="A30" s="62" t="s">
        <v>33</v>
      </c>
      <c r="B30" s="62" t="s">
        <v>29</v>
      </c>
      <c r="C30" s="62">
        <v>1</v>
      </c>
      <c r="D30" s="62">
        <v>4</v>
      </c>
      <c r="E30" s="62">
        <v>4</v>
      </c>
      <c r="F30" s="62">
        <v>13</v>
      </c>
      <c r="G30" s="62">
        <v>61</v>
      </c>
      <c r="H30" s="127">
        <v>404</v>
      </c>
      <c r="I30" s="63">
        <v>1</v>
      </c>
      <c r="J30" s="88">
        <v>45805</v>
      </c>
      <c r="K30" s="63">
        <v>17</v>
      </c>
    </row>
    <row r="31" spans="1:28" x14ac:dyDescent="0.35">
      <c r="A31" s="62" t="s">
        <v>33</v>
      </c>
      <c r="B31" s="62" t="s">
        <v>34</v>
      </c>
      <c r="C31" s="62">
        <v>2</v>
      </c>
      <c r="D31" s="62">
        <v>4</v>
      </c>
      <c r="E31" s="62">
        <v>8</v>
      </c>
      <c r="F31" s="62">
        <v>29</v>
      </c>
      <c r="G31" s="62">
        <v>57</v>
      </c>
      <c r="H31" s="127">
        <v>408</v>
      </c>
      <c r="I31" s="63">
        <v>1</v>
      </c>
      <c r="J31" s="88">
        <v>45805</v>
      </c>
      <c r="K31" s="63">
        <v>17</v>
      </c>
    </row>
    <row r="32" spans="1:28" x14ac:dyDescent="0.35">
      <c r="A32" s="62" t="s">
        <v>33</v>
      </c>
      <c r="B32" s="62" t="s">
        <v>30</v>
      </c>
      <c r="C32" s="62">
        <v>3</v>
      </c>
      <c r="D32" s="62">
        <v>4</v>
      </c>
      <c r="E32" s="62">
        <v>12</v>
      </c>
      <c r="F32" s="62">
        <v>45</v>
      </c>
      <c r="G32" s="62">
        <v>53</v>
      </c>
      <c r="H32" s="127">
        <v>412</v>
      </c>
      <c r="I32" s="63">
        <v>1</v>
      </c>
      <c r="J32" s="88">
        <v>45805</v>
      </c>
      <c r="K32" s="63">
        <v>20</v>
      </c>
    </row>
    <row r="33" spans="1:11" x14ac:dyDescent="0.35">
      <c r="A33" s="62" t="s">
        <v>33</v>
      </c>
      <c r="B33" s="62" t="s">
        <v>35</v>
      </c>
      <c r="C33" s="62">
        <v>4</v>
      </c>
      <c r="D33" s="62">
        <v>4</v>
      </c>
      <c r="E33" s="62">
        <v>16</v>
      </c>
      <c r="F33" s="62">
        <v>60</v>
      </c>
      <c r="G33" s="62">
        <v>50</v>
      </c>
      <c r="H33" s="127">
        <v>416</v>
      </c>
      <c r="I33" s="63">
        <v>1</v>
      </c>
      <c r="J33" s="88">
        <v>45805</v>
      </c>
      <c r="K33" s="63">
        <v>15</v>
      </c>
    </row>
    <row r="34" spans="1:11" x14ac:dyDescent="0.35">
      <c r="A34" s="62" t="s">
        <v>28</v>
      </c>
      <c r="B34" s="62" t="s">
        <v>29</v>
      </c>
      <c r="C34" s="62">
        <v>1</v>
      </c>
      <c r="D34" s="62">
        <v>1</v>
      </c>
      <c r="E34" s="62">
        <v>2</v>
      </c>
      <c r="F34" s="62">
        <v>8</v>
      </c>
      <c r="G34" s="62">
        <v>2</v>
      </c>
      <c r="H34" s="62">
        <v>102</v>
      </c>
      <c r="I34" s="63">
        <v>2</v>
      </c>
      <c r="J34" s="94">
        <v>45772</v>
      </c>
      <c r="K34" s="63">
        <v>31</v>
      </c>
    </row>
    <row r="35" spans="1:11" x14ac:dyDescent="0.35">
      <c r="A35" s="62" t="s">
        <v>28</v>
      </c>
      <c r="B35" s="62" t="s">
        <v>31</v>
      </c>
      <c r="C35" s="62">
        <v>2</v>
      </c>
      <c r="D35" s="62">
        <v>1</v>
      </c>
      <c r="E35" s="62">
        <v>6</v>
      </c>
      <c r="F35" s="62">
        <v>24</v>
      </c>
      <c r="G35" s="62">
        <v>6</v>
      </c>
      <c r="H35" s="62">
        <v>106</v>
      </c>
      <c r="I35" s="63">
        <v>2</v>
      </c>
      <c r="J35" s="94">
        <v>45772</v>
      </c>
      <c r="K35" s="63">
        <v>33</v>
      </c>
    </row>
    <row r="36" spans="1:11" x14ac:dyDescent="0.35">
      <c r="A36" s="62" t="s">
        <v>28</v>
      </c>
      <c r="B36" s="62" t="s">
        <v>32</v>
      </c>
      <c r="C36" s="62">
        <v>3</v>
      </c>
      <c r="D36" s="62">
        <v>1</v>
      </c>
      <c r="E36" s="62">
        <v>10</v>
      </c>
      <c r="F36" s="62">
        <v>40</v>
      </c>
      <c r="G36" s="62">
        <v>10</v>
      </c>
      <c r="H36" s="62">
        <v>110</v>
      </c>
      <c r="I36" s="63">
        <v>2</v>
      </c>
      <c r="J36" s="94">
        <v>45772</v>
      </c>
      <c r="K36" s="63">
        <v>35</v>
      </c>
    </row>
    <row r="37" spans="1:11" x14ac:dyDescent="0.35">
      <c r="A37" s="62" t="s">
        <v>28</v>
      </c>
      <c r="B37" s="62" t="s">
        <v>30</v>
      </c>
      <c r="C37" s="62">
        <v>4</v>
      </c>
      <c r="D37" s="62">
        <v>1</v>
      </c>
      <c r="E37" s="62">
        <v>14</v>
      </c>
      <c r="F37" s="62">
        <v>56</v>
      </c>
      <c r="G37" s="62">
        <v>14</v>
      </c>
      <c r="H37" s="62">
        <v>114</v>
      </c>
      <c r="I37" s="63">
        <v>2</v>
      </c>
      <c r="J37" s="94">
        <v>45772</v>
      </c>
      <c r="K37" s="63">
        <v>37</v>
      </c>
    </row>
    <row r="38" spans="1:11" x14ac:dyDescent="0.35">
      <c r="A38" s="62" t="s">
        <v>28</v>
      </c>
      <c r="B38" s="62" t="s">
        <v>30</v>
      </c>
      <c r="C38" s="62">
        <v>1</v>
      </c>
      <c r="D38" s="62">
        <v>2</v>
      </c>
      <c r="E38" s="62">
        <v>2</v>
      </c>
      <c r="F38" s="62">
        <v>7</v>
      </c>
      <c r="G38" s="62">
        <v>31</v>
      </c>
      <c r="H38" s="62">
        <v>202</v>
      </c>
      <c r="I38" s="63">
        <v>2</v>
      </c>
      <c r="J38" s="94">
        <v>45772</v>
      </c>
      <c r="K38" s="63">
        <v>26</v>
      </c>
    </row>
    <row r="39" spans="1:11" x14ac:dyDescent="0.35">
      <c r="A39" s="62" t="s">
        <v>28</v>
      </c>
      <c r="B39" s="62" t="s">
        <v>32</v>
      </c>
      <c r="C39" s="62">
        <v>2</v>
      </c>
      <c r="D39" s="62">
        <v>2</v>
      </c>
      <c r="E39" s="62">
        <v>6</v>
      </c>
      <c r="F39" s="62">
        <v>23</v>
      </c>
      <c r="G39" s="62">
        <v>27</v>
      </c>
      <c r="H39" s="62">
        <v>206</v>
      </c>
      <c r="I39" s="63">
        <v>2</v>
      </c>
      <c r="J39" s="94">
        <v>45772</v>
      </c>
      <c r="K39" s="63">
        <v>36</v>
      </c>
    </row>
    <row r="40" spans="1:11" x14ac:dyDescent="0.35">
      <c r="A40" s="62" t="s">
        <v>28</v>
      </c>
      <c r="B40" s="62" t="s">
        <v>31</v>
      </c>
      <c r="C40" s="62">
        <v>3</v>
      </c>
      <c r="D40" s="62">
        <v>2</v>
      </c>
      <c r="E40" s="62">
        <v>10</v>
      </c>
      <c r="F40" s="62">
        <v>39</v>
      </c>
      <c r="G40" s="62">
        <v>23</v>
      </c>
      <c r="H40" s="62">
        <v>210</v>
      </c>
      <c r="I40" s="63">
        <v>2</v>
      </c>
      <c r="J40" s="94">
        <v>45772</v>
      </c>
      <c r="K40" s="63">
        <v>44</v>
      </c>
    </row>
    <row r="41" spans="1:11" x14ac:dyDescent="0.35">
      <c r="A41" s="62" t="s">
        <v>28</v>
      </c>
      <c r="B41" s="62" t="s">
        <v>29</v>
      </c>
      <c r="C41" s="62">
        <v>4</v>
      </c>
      <c r="D41" s="62">
        <v>2</v>
      </c>
      <c r="E41" s="62">
        <v>14</v>
      </c>
      <c r="F41" s="62">
        <v>55</v>
      </c>
      <c r="G41" s="62">
        <v>19</v>
      </c>
      <c r="H41" s="62">
        <v>214</v>
      </c>
      <c r="I41" s="63">
        <v>2</v>
      </c>
      <c r="J41" s="94">
        <v>45772</v>
      </c>
      <c r="K41" s="63">
        <v>27</v>
      </c>
    </row>
    <row r="42" spans="1:11" x14ac:dyDescent="0.35">
      <c r="A42" s="62" t="s">
        <v>28</v>
      </c>
      <c r="B42" s="62" t="s">
        <v>31</v>
      </c>
      <c r="C42" s="62">
        <v>1</v>
      </c>
      <c r="D42" s="62">
        <v>3</v>
      </c>
      <c r="E42" s="62">
        <v>2</v>
      </c>
      <c r="F42" s="62">
        <v>6</v>
      </c>
      <c r="G42" s="62">
        <v>34</v>
      </c>
      <c r="H42" s="62">
        <v>302</v>
      </c>
      <c r="I42" s="63">
        <v>2</v>
      </c>
      <c r="J42" s="94">
        <v>45772</v>
      </c>
      <c r="K42" s="63">
        <v>27</v>
      </c>
    </row>
    <row r="43" spans="1:11" x14ac:dyDescent="0.35">
      <c r="A43" s="62" t="s">
        <v>28</v>
      </c>
      <c r="B43" s="62" t="s">
        <v>30</v>
      </c>
      <c r="C43" s="62">
        <v>2</v>
      </c>
      <c r="D43" s="62">
        <v>3</v>
      </c>
      <c r="E43" s="62">
        <v>6</v>
      </c>
      <c r="F43" s="62">
        <v>22</v>
      </c>
      <c r="G43" s="62">
        <v>38</v>
      </c>
      <c r="H43" s="62">
        <v>306</v>
      </c>
      <c r="I43" s="63">
        <v>2</v>
      </c>
      <c r="J43" s="94">
        <v>45772</v>
      </c>
      <c r="K43" s="63">
        <v>14</v>
      </c>
    </row>
    <row r="44" spans="1:11" x14ac:dyDescent="0.35">
      <c r="A44" s="62" t="s">
        <v>28</v>
      </c>
      <c r="B44" s="62" t="s">
        <v>29</v>
      </c>
      <c r="C44" s="62">
        <v>3</v>
      </c>
      <c r="D44" s="62">
        <v>3</v>
      </c>
      <c r="E44" s="62">
        <v>10</v>
      </c>
      <c r="F44" s="62">
        <v>38</v>
      </c>
      <c r="G44" s="62">
        <v>42</v>
      </c>
      <c r="H44" s="62">
        <v>310</v>
      </c>
      <c r="I44" s="63">
        <v>2</v>
      </c>
      <c r="J44" s="94">
        <v>45772</v>
      </c>
      <c r="K44" s="63">
        <v>20</v>
      </c>
    </row>
    <row r="45" spans="1:11" x14ac:dyDescent="0.35">
      <c r="A45" s="62" t="s">
        <v>28</v>
      </c>
      <c r="B45" s="62" t="s">
        <v>32</v>
      </c>
      <c r="C45" s="62">
        <v>4</v>
      </c>
      <c r="D45" s="62">
        <v>3</v>
      </c>
      <c r="E45" s="62">
        <v>14</v>
      </c>
      <c r="F45" s="62">
        <v>54</v>
      </c>
      <c r="G45" s="62">
        <v>46</v>
      </c>
      <c r="H45" s="62">
        <v>314</v>
      </c>
      <c r="I45" s="63">
        <v>2</v>
      </c>
      <c r="J45" s="94">
        <v>45772</v>
      </c>
      <c r="K45" s="63">
        <v>19</v>
      </c>
    </row>
    <row r="46" spans="1:11" x14ac:dyDescent="0.35">
      <c r="A46" s="62" t="s">
        <v>28</v>
      </c>
      <c r="B46" s="62" t="s">
        <v>32</v>
      </c>
      <c r="C46" s="62">
        <v>1</v>
      </c>
      <c r="D46" s="62">
        <v>4</v>
      </c>
      <c r="E46" s="62">
        <v>2</v>
      </c>
      <c r="F46" s="62">
        <v>5</v>
      </c>
      <c r="G46" s="62">
        <v>63</v>
      </c>
      <c r="H46" s="62">
        <v>402</v>
      </c>
      <c r="I46" s="63">
        <v>2</v>
      </c>
      <c r="J46" s="94">
        <v>45772</v>
      </c>
      <c r="K46" s="63">
        <v>21</v>
      </c>
    </row>
    <row r="47" spans="1:11" x14ac:dyDescent="0.35">
      <c r="A47" s="62" t="s">
        <v>28</v>
      </c>
      <c r="B47" s="62" t="s">
        <v>29</v>
      </c>
      <c r="C47" s="62">
        <v>2</v>
      </c>
      <c r="D47" s="62">
        <v>4</v>
      </c>
      <c r="E47" s="62">
        <v>6</v>
      </c>
      <c r="F47" s="62">
        <v>21</v>
      </c>
      <c r="G47" s="62">
        <v>59</v>
      </c>
      <c r="H47" s="62">
        <v>406</v>
      </c>
      <c r="I47" s="63">
        <v>2</v>
      </c>
      <c r="J47" s="94">
        <v>45772</v>
      </c>
      <c r="K47" s="63">
        <v>11</v>
      </c>
    </row>
    <row r="48" spans="1:11" x14ac:dyDescent="0.35">
      <c r="A48" s="62" t="s">
        <v>28</v>
      </c>
      <c r="B48" s="62" t="s">
        <v>30</v>
      </c>
      <c r="C48" s="62">
        <v>3</v>
      </c>
      <c r="D48" s="62">
        <v>4</v>
      </c>
      <c r="E48" s="62">
        <v>10</v>
      </c>
      <c r="F48" s="62">
        <v>37</v>
      </c>
      <c r="G48" s="62">
        <v>55</v>
      </c>
      <c r="H48" s="62">
        <v>410</v>
      </c>
      <c r="I48" s="63">
        <v>2</v>
      </c>
      <c r="J48" s="94">
        <v>45772</v>
      </c>
      <c r="K48" s="63">
        <v>13</v>
      </c>
    </row>
    <row r="49" spans="1:11" x14ac:dyDescent="0.35">
      <c r="A49" s="62" t="s">
        <v>28</v>
      </c>
      <c r="B49" s="62" t="s">
        <v>31</v>
      </c>
      <c r="C49" s="62">
        <v>4</v>
      </c>
      <c r="D49" s="62">
        <v>4</v>
      </c>
      <c r="E49" s="62">
        <v>14</v>
      </c>
      <c r="F49" s="62">
        <v>53</v>
      </c>
      <c r="G49" s="62">
        <v>51</v>
      </c>
      <c r="H49" s="62">
        <v>414</v>
      </c>
      <c r="I49" s="63">
        <v>2</v>
      </c>
      <c r="J49" s="94">
        <v>45772</v>
      </c>
      <c r="K49" s="63">
        <v>26</v>
      </c>
    </row>
    <row r="50" spans="1:11" x14ac:dyDescent="0.35">
      <c r="A50" s="62" t="s">
        <v>33</v>
      </c>
      <c r="B50" s="62" t="s">
        <v>34</v>
      </c>
      <c r="C50" s="62">
        <v>1</v>
      </c>
      <c r="D50" s="62">
        <v>1</v>
      </c>
      <c r="E50" s="62">
        <v>4</v>
      </c>
      <c r="F50" s="62">
        <v>16</v>
      </c>
      <c r="G50" s="62">
        <v>4</v>
      </c>
      <c r="H50" s="62">
        <v>104</v>
      </c>
      <c r="I50" s="63">
        <v>2</v>
      </c>
      <c r="J50" s="90">
        <v>45807</v>
      </c>
      <c r="K50" s="63">
        <v>27</v>
      </c>
    </row>
    <row r="51" spans="1:11" x14ac:dyDescent="0.35">
      <c r="A51" s="62" t="s">
        <v>33</v>
      </c>
      <c r="B51" s="62" t="s">
        <v>35</v>
      </c>
      <c r="C51" s="62">
        <v>2</v>
      </c>
      <c r="D51" s="62">
        <v>1</v>
      </c>
      <c r="E51" s="62">
        <v>8</v>
      </c>
      <c r="F51" s="62">
        <v>32</v>
      </c>
      <c r="G51" s="62">
        <v>8</v>
      </c>
      <c r="H51" s="62">
        <v>108</v>
      </c>
      <c r="I51" s="63">
        <v>2</v>
      </c>
      <c r="J51" s="90">
        <v>45807</v>
      </c>
      <c r="K51" s="63">
        <v>38</v>
      </c>
    </row>
    <row r="52" spans="1:11" x14ac:dyDescent="0.35">
      <c r="A52" s="62" t="s">
        <v>33</v>
      </c>
      <c r="B52" s="62" t="s">
        <v>29</v>
      </c>
      <c r="C52" s="62">
        <v>3</v>
      </c>
      <c r="D52" s="62">
        <v>1</v>
      </c>
      <c r="E52" s="62">
        <v>12</v>
      </c>
      <c r="F52" s="62">
        <v>48</v>
      </c>
      <c r="G52" s="62">
        <v>12</v>
      </c>
      <c r="H52" s="62">
        <v>112</v>
      </c>
      <c r="I52" s="63">
        <v>2</v>
      </c>
      <c r="J52" s="90">
        <v>45807</v>
      </c>
      <c r="K52" s="63">
        <v>21</v>
      </c>
    </row>
    <row r="53" spans="1:11" x14ac:dyDescent="0.35">
      <c r="A53" s="62" t="s">
        <v>33</v>
      </c>
      <c r="B53" s="62" t="s">
        <v>30</v>
      </c>
      <c r="C53" s="62">
        <v>4</v>
      </c>
      <c r="D53" s="62">
        <v>1</v>
      </c>
      <c r="E53" s="62">
        <v>16</v>
      </c>
      <c r="F53" s="62">
        <v>64</v>
      </c>
      <c r="G53" s="62">
        <v>16</v>
      </c>
      <c r="H53" s="62">
        <v>116</v>
      </c>
      <c r="I53" s="63">
        <v>2</v>
      </c>
      <c r="J53" s="90">
        <v>45807</v>
      </c>
      <c r="K53" s="63">
        <v>27</v>
      </c>
    </row>
    <row r="54" spans="1:11" x14ac:dyDescent="0.35">
      <c r="A54" s="62" t="s">
        <v>33</v>
      </c>
      <c r="B54" s="62" t="s">
        <v>30</v>
      </c>
      <c r="C54" s="62">
        <v>1</v>
      </c>
      <c r="D54" s="62">
        <v>2</v>
      </c>
      <c r="E54" s="62">
        <v>4</v>
      </c>
      <c r="F54" s="62">
        <v>15</v>
      </c>
      <c r="G54" s="62">
        <v>29</v>
      </c>
      <c r="H54" s="62">
        <v>204</v>
      </c>
      <c r="I54" s="63">
        <v>2</v>
      </c>
      <c r="J54" s="90">
        <v>45807</v>
      </c>
      <c r="K54" s="63">
        <v>38</v>
      </c>
    </row>
    <row r="55" spans="1:11" x14ac:dyDescent="0.35">
      <c r="A55" s="62" t="s">
        <v>33</v>
      </c>
      <c r="B55" s="62" t="s">
        <v>29</v>
      </c>
      <c r="C55" s="62">
        <v>2</v>
      </c>
      <c r="D55" s="62">
        <v>2</v>
      </c>
      <c r="E55" s="62">
        <v>8</v>
      </c>
      <c r="F55" s="62">
        <v>31</v>
      </c>
      <c r="G55" s="62">
        <v>25</v>
      </c>
      <c r="H55" s="62">
        <v>208</v>
      </c>
      <c r="I55" s="63">
        <v>2</v>
      </c>
      <c r="J55" s="90">
        <v>45807</v>
      </c>
      <c r="K55" s="63">
        <v>24</v>
      </c>
    </row>
    <row r="56" spans="1:11" x14ac:dyDescent="0.35">
      <c r="A56" s="62" t="s">
        <v>33</v>
      </c>
      <c r="B56" s="62" t="s">
        <v>35</v>
      </c>
      <c r="C56" s="62">
        <v>3</v>
      </c>
      <c r="D56" s="62">
        <v>2</v>
      </c>
      <c r="E56" s="62">
        <v>12</v>
      </c>
      <c r="F56" s="62">
        <v>47</v>
      </c>
      <c r="G56" s="62">
        <v>21</v>
      </c>
      <c r="H56" s="62">
        <v>212</v>
      </c>
      <c r="I56" s="63">
        <v>2</v>
      </c>
      <c r="J56" s="90">
        <v>45807</v>
      </c>
      <c r="K56" s="63">
        <v>24</v>
      </c>
    </row>
    <row r="57" spans="1:11" x14ac:dyDescent="0.35">
      <c r="A57" s="62" t="s">
        <v>33</v>
      </c>
      <c r="B57" s="62" t="s">
        <v>34</v>
      </c>
      <c r="C57" s="62">
        <v>4</v>
      </c>
      <c r="D57" s="62">
        <v>2</v>
      </c>
      <c r="E57" s="62">
        <v>16</v>
      </c>
      <c r="F57" s="62">
        <v>58</v>
      </c>
      <c r="G57" s="62">
        <v>18</v>
      </c>
      <c r="H57" s="62">
        <v>216</v>
      </c>
      <c r="I57" s="63">
        <v>2</v>
      </c>
      <c r="J57" s="90">
        <v>45807</v>
      </c>
      <c r="K57" s="63">
        <v>23</v>
      </c>
    </row>
    <row r="58" spans="1:11" x14ac:dyDescent="0.35">
      <c r="A58" s="62" t="s">
        <v>33</v>
      </c>
      <c r="B58" s="62" t="s">
        <v>35</v>
      </c>
      <c r="C58" s="62">
        <v>1</v>
      </c>
      <c r="D58" s="62">
        <v>3</v>
      </c>
      <c r="E58" s="62">
        <v>4</v>
      </c>
      <c r="F58" s="62">
        <v>14</v>
      </c>
      <c r="G58" s="62">
        <v>36</v>
      </c>
      <c r="H58" s="62">
        <v>304</v>
      </c>
      <c r="I58" s="63">
        <v>2</v>
      </c>
      <c r="J58" s="90">
        <v>45807</v>
      </c>
      <c r="K58" s="63">
        <v>8</v>
      </c>
    </row>
    <row r="59" spans="1:11" x14ac:dyDescent="0.35">
      <c r="A59" s="62" t="s">
        <v>33</v>
      </c>
      <c r="B59" s="62" t="s">
        <v>30</v>
      </c>
      <c r="C59" s="62">
        <v>2</v>
      </c>
      <c r="D59" s="62">
        <v>3</v>
      </c>
      <c r="E59" s="62">
        <v>8</v>
      </c>
      <c r="F59" s="62">
        <v>30</v>
      </c>
      <c r="G59" s="62">
        <v>40</v>
      </c>
      <c r="H59" s="62">
        <v>308</v>
      </c>
      <c r="I59" s="63">
        <v>2</v>
      </c>
      <c r="J59" s="90">
        <v>45807</v>
      </c>
      <c r="K59" s="63">
        <v>20</v>
      </c>
    </row>
    <row r="60" spans="1:11" x14ac:dyDescent="0.35">
      <c r="A60" s="62" t="s">
        <v>33</v>
      </c>
      <c r="B60" s="62" t="s">
        <v>34</v>
      </c>
      <c r="C60" s="62">
        <v>3</v>
      </c>
      <c r="D60" s="62">
        <v>3</v>
      </c>
      <c r="E60" s="62">
        <v>12</v>
      </c>
      <c r="F60" s="62">
        <v>46</v>
      </c>
      <c r="G60" s="62">
        <v>44</v>
      </c>
      <c r="H60" s="62">
        <v>312</v>
      </c>
      <c r="I60" s="63">
        <v>2</v>
      </c>
      <c r="J60" s="90">
        <v>45807</v>
      </c>
      <c r="K60" s="63">
        <v>36</v>
      </c>
    </row>
    <row r="61" spans="1:11" x14ac:dyDescent="0.35">
      <c r="A61" s="62" t="s">
        <v>33</v>
      </c>
      <c r="B61" s="62" t="s">
        <v>29</v>
      </c>
      <c r="C61" s="62">
        <v>4</v>
      </c>
      <c r="D61" s="62">
        <v>3</v>
      </c>
      <c r="E61" s="62">
        <v>16</v>
      </c>
      <c r="F61" s="62">
        <v>62</v>
      </c>
      <c r="G61" s="62">
        <v>48</v>
      </c>
      <c r="H61" s="62">
        <v>316</v>
      </c>
      <c r="I61" s="63">
        <v>2</v>
      </c>
      <c r="J61" s="90">
        <v>45807</v>
      </c>
      <c r="K61" s="63">
        <v>21</v>
      </c>
    </row>
    <row r="62" spans="1:11" x14ac:dyDescent="0.35">
      <c r="A62" s="62" t="s">
        <v>33</v>
      </c>
      <c r="B62" s="62" t="s">
        <v>29</v>
      </c>
      <c r="C62" s="62">
        <v>1</v>
      </c>
      <c r="D62" s="62">
        <v>4</v>
      </c>
      <c r="E62" s="62">
        <v>4</v>
      </c>
      <c r="F62" s="62">
        <v>13</v>
      </c>
      <c r="G62" s="62">
        <v>61</v>
      </c>
      <c r="H62" s="62">
        <v>404</v>
      </c>
      <c r="I62" s="63">
        <v>2</v>
      </c>
      <c r="J62" s="90">
        <v>45807</v>
      </c>
      <c r="K62" s="63">
        <v>22</v>
      </c>
    </row>
    <row r="63" spans="1:11" x14ac:dyDescent="0.35">
      <c r="A63" s="62" t="s">
        <v>33</v>
      </c>
      <c r="B63" s="62" t="s">
        <v>34</v>
      </c>
      <c r="C63" s="62">
        <v>2</v>
      </c>
      <c r="D63" s="62">
        <v>4</v>
      </c>
      <c r="E63" s="62">
        <v>8</v>
      </c>
      <c r="F63" s="62">
        <v>29</v>
      </c>
      <c r="G63" s="62">
        <v>57</v>
      </c>
      <c r="H63" s="62">
        <v>408</v>
      </c>
      <c r="I63" s="63">
        <v>2</v>
      </c>
      <c r="J63" s="90">
        <v>45807</v>
      </c>
      <c r="K63" s="63">
        <v>21</v>
      </c>
    </row>
    <row r="64" spans="1:11" x14ac:dyDescent="0.35">
      <c r="A64" s="62" t="s">
        <v>33</v>
      </c>
      <c r="B64" s="62" t="s">
        <v>30</v>
      </c>
      <c r="C64" s="62">
        <v>3</v>
      </c>
      <c r="D64" s="62">
        <v>4</v>
      </c>
      <c r="E64" s="62">
        <v>12</v>
      </c>
      <c r="F64" s="62">
        <v>45</v>
      </c>
      <c r="G64" s="62">
        <v>53</v>
      </c>
      <c r="H64" s="62">
        <v>412</v>
      </c>
      <c r="I64" s="63">
        <v>2</v>
      </c>
      <c r="J64" s="90">
        <v>45807</v>
      </c>
      <c r="K64" s="63">
        <v>23</v>
      </c>
    </row>
    <row r="65" spans="1:11" x14ac:dyDescent="0.35">
      <c r="A65" s="62" t="s">
        <v>33</v>
      </c>
      <c r="B65" s="62" t="s">
        <v>35</v>
      </c>
      <c r="C65" s="62">
        <v>4</v>
      </c>
      <c r="D65" s="62">
        <v>4</v>
      </c>
      <c r="E65" s="62">
        <v>16</v>
      </c>
      <c r="F65" s="62">
        <v>60</v>
      </c>
      <c r="G65" s="62">
        <v>50</v>
      </c>
      <c r="H65" s="62">
        <v>416</v>
      </c>
      <c r="I65" s="63">
        <v>2</v>
      </c>
      <c r="J65" s="90">
        <v>45807</v>
      </c>
      <c r="K65" s="63">
        <v>23</v>
      </c>
    </row>
    <row r="66" spans="1:11" x14ac:dyDescent="0.35">
      <c r="A66" s="62" t="s">
        <v>28</v>
      </c>
      <c r="B66" s="62" t="s">
        <v>29</v>
      </c>
      <c r="C66" s="62">
        <v>1</v>
      </c>
      <c r="D66" s="62">
        <v>1</v>
      </c>
      <c r="E66" s="62">
        <v>2</v>
      </c>
      <c r="F66" s="62">
        <v>8</v>
      </c>
      <c r="G66" s="62">
        <v>2</v>
      </c>
      <c r="H66" s="62">
        <v>102</v>
      </c>
      <c r="I66" s="63">
        <v>3</v>
      </c>
      <c r="J66" s="93">
        <v>45775</v>
      </c>
      <c r="K66" s="63">
        <v>38</v>
      </c>
    </row>
    <row r="67" spans="1:11" x14ac:dyDescent="0.35">
      <c r="A67" s="62" t="s">
        <v>28</v>
      </c>
      <c r="B67" s="62" t="s">
        <v>31</v>
      </c>
      <c r="C67" s="62">
        <v>2</v>
      </c>
      <c r="D67" s="62">
        <v>1</v>
      </c>
      <c r="E67" s="62">
        <v>6</v>
      </c>
      <c r="F67" s="62">
        <v>24</v>
      </c>
      <c r="G67" s="62">
        <v>6</v>
      </c>
      <c r="H67" s="62">
        <v>106</v>
      </c>
      <c r="I67" s="63">
        <v>3</v>
      </c>
      <c r="J67" s="93">
        <v>45775</v>
      </c>
      <c r="K67" s="63">
        <v>37</v>
      </c>
    </row>
    <row r="68" spans="1:11" x14ac:dyDescent="0.35">
      <c r="A68" s="62" t="s">
        <v>28</v>
      </c>
      <c r="B68" s="62" t="s">
        <v>32</v>
      </c>
      <c r="C68" s="62">
        <v>3</v>
      </c>
      <c r="D68" s="62">
        <v>1</v>
      </c>
      <c r="E68" s="62">
        <v>10</v>
      </c>
      <c r="F68" s="62">
        <v>40</v>
      </c>
      <c r="G68" s="62">
        <v>10</v>
      </c>
      <c r="H68" s="62">
        <v>110</v>
      </c>
      <c r="I68" s="63">
        <v>3</v>
      </c>
      <c r="J68" s="93">
        <v>45775</v>
      </c>
      <c r="K68" s="63">
        <v>38</v>
      </c>
    </row>
    <row r="69" spans="1:11" x14ac:dyDescent="0.35">
      <c r="A69" s="62" t="s">
        <v>28</v>
      </c>
      <c r="B69" s="62" t="s">
        <v>30</v>
      </c>
      <c r="C69" s="62">
        <v>4</v>
      </c>
      <c r="D69" s="62">
        <v>1</v>
      </c>
      <c r="E69" s="62">
        <v>14</v>
      </c>
      <c r="F69" s="62">
        <v>56</v>
      </c>
      <c r="G69" s="62">
        <v>14</v>
      </c>
      <c r="H69" s="62">
        <v>114</v>
      </c>
      <c r="I69" s="63">
        <v>3</v>
      </c>
      <c r="J69" s="93">
        <v>45775</v>
      </c>
      <c r="K69" s="63">
        <v>37</v>
      </c>
    </row>
    <row r="70" spans="1:11" x14ac:dyDescent="0.35">
      <c r="A70" s="62" t="s">
        <v>28</v>
      </c>
      <c r="B70" s="62" t="s">
        <v>30</v>
      </c>
      <c r="C70" s="62">
        <v>1</v>
      </c>
      <c r="D70" s="62">
        <v>2</v>
      </c>
      <c r="E70" s="62">
        <v>2</v>
      </c>
      <c r="F70" s="62">
        <v>7</v>
      </c>
      <c r="G70" s="62">
        <v>31</v>
      </c>
      <c r="H70" s="62">
        <v>202</v>
      </c>
      <c r="I70" s="63">
        <v>3</v>
      </c>
      <c r="J70" s="93">
        <v>45775</v>
      </c>
      <c r="K70" s="63">
        <v>33</v>
      </c>
    </row>
    <row r="71" spans="1:11" x14ac:dyDescent="0.35">
      <c r="A71" s="62" t="s">
        <v>28</v>
      </c>
      <c r="B71" s="62" t="s">
        <v>32</v>
      </c>
      <c r="C71" s="62">
        <v>2</v>
      </c>
      <c r="D71" s="62">
        <v>2</v>
      </c>
      <c r="E71" s="62">
        <v>6</v>
      </c>
      <c r="F71" s="62">
        <v>23</v>
      </c>
      <c r="G71" s="62">
        <v>27</v>
      </c>
      <c r="H71" s="62">
        <v>206</v>
      </c>
      <c r="I71" s="63">
        <v>3</v>
      </c>
      <c r="J71" s="93">
        <v>45775</v>
      </c>
      <c r="K71" s="63">
        <v>40</v>
      </c>
    </row>
    <row r="72" spans="1:11" x14ac:dyDescent="0.35">
      <c r="A72" s="62" t="s">
        <v>28</v>
      </c>
      <c r="B72" s="62" t="s">
        <v>31</v>
      </c>
      <c r="C72" s="62">
        <v>3</v>
      </c>
      <c r="D72" s="62">
        <v>2</v>
      </c>
      <c r="E72" s="62">
        <v>10</v>
      </c>
      <c r="F72" s="62">
        <v>39</v>
      </c>
      <c r="G72" s="62">
        <v>23</v>
      </c>
      <c r="H72" s="62">
        <v>210</v>
      </c>
      <c r="I72" s="63">
        <v>3</v>
      </c>
      <c r="J72" s="93">
        <v>45775</v>
      </c>
      <c r="K72" s="63">
        <v>45</v>
      </c>
    </row>
    <row r="73" spans="1:11" x14ac:dyDescent="0.35">
      <c r="A73" s="62" t="s">
        <v>28</v>
      </c>
      <c r="B73" s="62" t="s">
        <v>29</v>
      </c>
      <c r="C73" s="62">
        <v>4</v>
      </c>
      <c r="D73" s="62">
        <v>2</v>
      </c>
      <c r="E73" s="62">
        <v>14</v>
      </c>
      <c r="F73" s="62">
        <v>55</v>
      </c>
      <c r="G73" s="62">
        <v>19</v>
      </c>
      <c r="H73" s="62">
        <v>214</v>
      </c>
      <c r="I73" s="63">
        <v>3</v>
      </c>
      <c r="J73" s="93">
        <v>45775</v>
      </c>
      <c r="K73" s="63">
        <v>32</v>
      </c>
    </row>
    <row r="74" spans="1:11" x14ac:dyDescent="0.35">
      <c r="A74" s="62" t="s">
        <v>28</v>
      </c>
      <c r="B74" s="62" t="s">
        <v>31</v>
      </c>
      <c r="C74" s="62">
        <v>1</v>
      </c>
      <c r="D74" s="62">
        <v>3</v>
      </c>
      <c r="E74" s="62">
        <v>2</v>
      </c>
      <c r="F74" s="62">
        <v>6</v>
      </c>
      <c r="G74" s="62">
        <v>34</v>
      </c>
      <c r="H74" s="62">
        <v>302</v>
      </c>
      <c r="I74" s="63">
        <v>3</v>
      </c>
      <c r="J74" s="93">
        <v>45775</v>
      </c>
      <c r="K74" s="63">
        <v>31</v>
      </c>
    </row>
    <row r="75" spans="1:11" x14ac:dyDescent="0.35">
      <c r="A75" s="62" t="s">
        <v>28</v>
      </c>
      <c r="B75" s="62" t="s">
        <v>30</v>
      </c>
      <c r="C75" s="62">
        <v>2</v>
      </c>
      <c r="D75" s="62">
        <v>3</v>
      </c>
      <c r="E75" s="62">
        <v>6</v>
      </c>
      <c r="F75" s="62">
        <v>22</v>
      </c>
      <c r="G75" s="62">
        <v>38</v>
      </c>
      <c r="H75" s="62">
        <v>306</v>
      </c>
      <c r="I75" s="63">
        <v>3</v>
      </c>
      <c r="J75" s="93">
        <v>45775</v>
      </c>
      <c r="K75" s="63">
        <v>16</v>
      </c>
    </row>
    <row r="76" spans="1:11" x14ac:dyDescent="0.35">
      <c r="A76" s="62" t="s">
        <v>28</v>
      </c>
      <c r="B76" s="62" t="s">
        <v>29</v>
      </c>
      <c r="C76" s="62">
        <v>3</v>
      </c>
      <c r="D76" s="62">
        <v>3</v>
      </c>
      <c r="E76" s="62">
        <v>10</v>
      </c>
      <c r="F76" s="62">
        <v>38</v>
      </c>
      <c r="G76" s="62">
        <v>42</v>
      </c>
      <c r="H76" s="62">
        <v>310</v>
      </c>
      <c r="I76" s="63">
        <v>3</v>
      </c>
      <c r="J76" s="93">
        <v>45775</v>
      </c>
      <c r="K76" s="63">
        <v>26</v>
      </c>
    </row>
    <row r="77" spans="1:11" x14ac:dyDescent="0.35">
      <c r="A77" s="62" t="s">
        <v>28</v>
      </c>
      <c r="B77" s="62" t="s">
        <v>32</v>
      </c>
      <c r="C77" s="62">
        <v>4</v>
      </c>
      <c r="D77" s="62">
        <v>3</v>
      </c>
      <c r="E77" s="62">
        <v>14</v>
      </c>
      <c r="F77" s="62">
        <v>54</v>
      </c>
      <c r="G77" s="62">
        <v>46</v>
      </c>
      <c r="H77" s="62">
        <v>314</v>
      </c>
      <c r="I77" s="63">
        <v>3</v>
      </c>
      <c r="J77" s="93">
        <v>45775</v>
      </c>
      <c r="K77" s="63">
        <v>31</v>
      </c>
    </row>
    <row r="78" spans="1:11" x14ac:dyDescent="0.35">
      <c r="A78" s="62" t="s">
        <v>28</v>
      </c>
      <c r="B78" s="62" t="s">
        <v>32</v>
      </c>
      <c r="C78" s="62">
        <v>1</v>
      </c>
      <c r="D78" s="62">
        <v>4</v>
      </c>
      <c r="E78" s="62">
        <v>2</v>
      </c>
      <c r="F78" s="62">
        <v>5</v>
      </c>
      <c r="G78" s="62">
        <v>63</v>
      </c>
      <c r="H78" s="62">
        <v>402</v>
      </c>
      <c r="I78" s="63">
        <v>3</v>
      </c>
      <c r="J78" s="93">
        <v>45775</v>
      </c>
      <c r="K78" s="63">
        <v>22</v>
      </c>
    </row>
    <row r="79" spans="1:11" x14ac:dyDescent="0.35">
      <c r="A79" s="62" t="s">
        <v>28</v>
      </c>
      <c r="B79" s="62" t="s">
        <v>29</v>
      </c>
      <c r="C79" s="62">
        <v>2</v>
      </c>
      <c r="D79" s="62">
        <v>4</v>
      </c>
      <c r="E79" s="62">
        <v>6</v>
      </c>
      <c r="F79" s="62">
        <v>21</v>
      </c>
      <c r="G79" s="62">
        <v>59</v>
      </c>
      <c r="H79" s="62">
        <v>406</v>
      </c>
      <c r="I79" s="63">
        <v>3</v>
      </c>
      <c r="J79" s="93">
        <v>45775</v>
      </c>
      <c r="K79" s="63">
        <v>19</v>
      </c>
    </row>
    <row r="80" spans="1:11" x14ac:dyDescent="0.35">
      <c r="A80" s="62" t="s">
        <v>28</v>
      </c>
      <c r="B80" s="62" t="s">
        <v>30</v>
      </c>
      <c r="C80" s="62">
        <v>3</v>
      </c>
      <c r="D80" s="62">
        <v>4</v>
      </c>
      <c r="E80" s="62">
        <v>10</v>
      </c>
      <c r="F80" s="62">
        <v>37</v>
      </c>
      <c r="G80" s="62">
        <v>55</v>
      </c>
      <c r="H80" s="62">
        <v>410</v>
      </c>
      <c r="I80" s="63">
        <v>3</v>
      </c>
      <c r="J80" s="93">
        <v>45775</v>
      </c>
      <c r="K80" s="63">
        <v>22</v>
      </c>
    </row>
    <row r="81" spans="1:11" x14ac:dyDescent="0.35">
      <c r="A81" s="62" t="s">
        <v>28</v>
      </c>
      <c r="B81" s="62" t="s">
        <v>31</v>
      </c>
      <c r="C81" s="62">
        <v>4</v>
      </c>
      <c r="D81" s="62">
        <v>4</v>
      </c>
      <c r="E81" s="62">
        <v>14</v>
      </c>
      <c r="F81" s="62">
        <v>53</v>
      </c>
      <c r="G81" s="62">
        <v>51</v>
      </c>
      <c r="H81" s="62">
        <v>414</v>
      </c>
      <c r="I81" s="63">
        <v>3</v>
      </c>
      <c r="J81" s="93">
        <v>45775</v>
      </c>
      <c r="K81" s="63">
        <v>32</v>
      </c>
    </row>
    <row r="82" spans="1:11" x14ac:dyDescent="0.35">
      <c r="A82" s="62" t="s">
        <v>33</v>
      </c>
      <c r="B82" s="62" t="s">
        <v>34</v>
      </c>
      <c r="C82" s="62">
        <v>1</v>
      </c>
      <c r="D82" s="62">
        <v>1</v>
      </c>
      <c r="E82" s="62">
        <v>4</v>
      </c>
      <c r="F82" s="62">
        <v>16</v>
      </c>
      <c r="G82" s="62">
        <v>4</v>
      </c>
      <c r="H82" s="62">
        <v>104</v>
      </c>
      <c r="I82" s="63">
        <v>3</v>
      </c>
      <c r="J82" s="88">
        <v>45810</v>
      </c>
      <c r="K82" s="63">
        <v>26</v>
      </c>
    </row>
    <row r="83" spans="1:11" x14ac:dyDescent="0.35">
      <c r="A83" s="62" t="s">
        <v>33</v>
      </c>
      <c r="B83" s="62" t="s">
        <v>35</v>
      </c>
      <c r="C83" s="62">
        <v>2</v>
      </c>
      <c r="D83" s="62">
        <v>1</v>
      </c>
      <c r="E83" s="62">
        <v>8</v>
      </c>
      <c r="F83" s="62">
        <v>32</v>
      </c>
      <c r="G83" s="62">
        <v>8</v>
      </c>
      <c r="H83" s="62">
        <v>108</v>
      </c>
      <c r="I83" s="63">
        <v>3</v>
      </c>
      <c r="J83" s="88">
        <v>45810</v>
      </c>
      <c r="K83" s="63">
        <v>38</v>
      </c>
    </row>
    <row r="84" spans="1:11" x14ac:dyDescent="0.35">
      <c r="A84" s="62" t="s">
        <v>33</v>
      </c>
      <c r="B84" s="62" t="s">
        <v>29</v>
      </c>
      <c r="C84" s="62">
        <v>3</v>
      </c>
      <c r="D84" s="62">
        <v>1</v>
      </c>
      <c r="E84" s="62">
        <v>12</v>
      </c>
      <c r="F84" s="62">
        <v>48</v>
      </c>
      <c r="G84" s="62">
        <v>12</v>
      </c>
      <c r="H84" s="62">
        <v>112</v>
      </c>
      <c r="I84" s="63">
        <v>3</v>
      </c>
      <c r="J84" s="88">
        <v>45810</v>
      </c>
      <c r="K84" s="63">
        <v>28</v>
      </c>
    </row>
    <row r="85" spans="1:11" x14ac:dyDescent="0.35">
      <c r="A85" s="62" t="s">
        <v>33</v>
      </c>
      <c r="B85" s="62" t="s">
        <v>30</v>
      </c>
      <c r="C85" s="62">
        <v>4</v>
      </c>
      <c r="D85" s="62">
        <v>1</v>
      </c>
      <c r="E85" s="62">
        <v>16</v>
      </c>
      <c r="F85" s="62">
        <v>64</v>
      </c>
      <c r="G85" s="62">
        <v>16</v>
      </c>
      <c r="H85" s="62">
        <v>116</v>
      </c>
      <c r="I85" s="63">
        <v>3</v>
      </c>
      <c r="J85" s="88">
        <v>45810</v>
      </c>
      <c r="K85" s="63">
        <v>33</v>
      </c>
    </row>
    <row r="86" spans="1:11" x14ac:dyDescent="0.35">
      <c r="A86" s="62" t="s">
        <v>33</v>
      </c>
      <c r="B86" s="62" t="s">
        <v>30</v>
      </c>
      <c r="C86" s="62">
        <v>1</v>
      </c>
      <c r="D86" s="62">
        <v>2</v>
      </c>
      <c r="E86" s="62">
        <v>4</v>
      </c>
      <c r="F86" s="62">
        <v>15</v>
      </c>
      <c r="G86" s="62">
        <v>29</v>
      </c>
      <c r="H86" s="62">
        <v>204</v>
      </c>
      <c r="I86" s="63">
        <v>3</v>
      </c>
      <c r="J86" s="88">
        <v>45810</v>
      </c>
      <c r="K86" s="63">
        <v>41</v>
      </c>
    </row>
    <row r="87" spans="1:11" x14ac:dyDescent="0.35">
      <c r="A87" s="62" t="s">
        <v>33</v>
      </c>
      <c r="B87" s="62" t="s">
        <v>29</v>
      </c>
      <c r="C87" s="62">
        <v>2</v>
      </c>
      <c r="D87" s="62">
        <v>2</v>
      </c>
      <c r="E87" s="62">
        <v>8</v>
      </c>
      <c r="F87" s="62">
        <v>31</v>
      </c>
      <c r="G87" s="62">
        <v>25</v>
      </c>
      <c r="H87" s="62">
        <v>208</v>
      </c>
      <c r="I87" s="63">
        <v>3</v>
      </c>
      <c r="J87" s="88">
        <v>45810</v>
      </c>
      <c r="K87" s="63">
        <v>25</v>
      </c>
    </row>
    <row r="88" spans="1:11" x14ac:dyDescent="0.35">
      <c r="A88" s="62" t="s">
        <v>33</v>
      </c>
      <c r="B88" s="62" t="s">
        <v>35</v>
      </c>
      <c r="C88" s="62">
        <v>3</v>
      </c>
      <c r="D88" s="62">
        <v>2</v>
      </c>
      <c r="E88" s="62">
        <v>12</v>
      </c>
      <c r="F88" s="62">
        <v>47</v>
      </c>
      <c r="G88" s="62">
        <v>21</v>
      </c>
      <c r="H88" s="62">
        <v>212</v>
      </c>
      <c r="I88" s="63">
        <v>3</v>
      </c>
      <c r="J88" s="88">
        <v>45810</v>
      </c>
      <c r="K88" s="63">
        <v>33</v>
      </c>
    </row>
    <row r="89" spans="1:11" x14ac:dyDescent="0.35">
      <c r="A89" s="62" t="s">
        <v>33</v>
      </c>
      <c r="B89" s="62" t="s">
        <v>34</v>
      </c>
      <c r="C89" s="62">
        <v>4</v>
      </c>
      <c r="D89" s="62">
        <v>2</v>
      </c>
      <c r="E89" s="62">
        <v>16</v>
      </c>
      <c r="F89" s="62">
        <v>58</v>
      </c>
      <c r="G89" s="62">
        <v>18</v>
      </c>
      <c r="H89" s="62">
        <v>216</v>
      </c>
      <c r="I89" s="63">
        <v>3</v>
      </c>
      <c r="J89" s="88">
        <v>45810</v>
      </c>
      <c r="K89" s="63">
        <v>24</v>
      </c>
    </row>
    <row r="90" spans="1:11" x14ac:dyDescent="0.35">
      <c r="A90" s="62" t="s">
        <v>33</v>
      </c>
      <c r="B90" s="62" t="s">
        <v>35</v>
      </c>
      <c r="C90" s="62">
        <v>1</v>
      </c>
      <c r="D90" s="62">
        <v>3</v>
      </c>
      <c r="E90" s="62">
        <v>4</v>
      </c>
      <c r="F90" s="62">
        <v>14</v>
      </c>
      <c r="G90" s="62">
        <v>36</v>
      </c>
      <c r="H90" s="62">
        <v>304</v>
      </c>
      <c r="I90" s="63">
        <v>3</v>
      </c>
      <c r="J90" s="88">
        <v>45810</v>
      </c>
      <c r="K90" s="63">
        <v>26</v>
      </c>
    </row>
    <row r="91" spans="1:11" x14ac:dyDescent="0.35">
      <c r="A91" s="62" t="s">
        <v>33</v>
      </c>
      <c r="B91" s="62" t="s">
        <v>30</v>
      </c>
      <c r="C91" s="62">
        <v>2</v>
      </c>
      <c r="D91" s="62">
        <v>3</v>
      </c>
      <c r="E91" s="62">
        <v>8</v>
      </c>
      <c r="F91" s="62">
        <v>30</v>
      </c>
      <c r="G91" s="62">
        <v>40</v>
      </c>
      <c r="H91" s="62">
        <v>308</v>
      </c>
      <c r="I91" s="63">
        <v>3</v>
      </c>
      <c r="J91" s="88">
        <v>45810</v>
      </c>
      <c r="K91" s="63">
        <v>27</v>
      </c>
    </row>
    <row r="92" spans="1:11" x14ac:dyDescent="0.35">
      <c r="A92" s="62" t="s">
        <v>33</v>
      </c>
      <c r="B92" s="62" t="s">
        <v>34</v>
      </c>
      <c r="C92" s="62">
        <v>3</v>
      </c>
      <c r="D92" s="62">
        <v>3</v>
      </c>
      <c r="E92" s="62">
        <v>12</v>
      </c>
      <c r="F92" s="62">
        <v>46</v>
      </c>
      <c r="G92" s="62">
        <v>44</v>
      </c>
      <c r="H92" s="62">
        <v>312</v>
      </c>
      <c r="I92" s="63">
        <v>3</v>
      </c>
      <c r="J92" s="88">
        <v>45810</v>
      </c>
      <c r="K92" s="63">
        <v>43</v>
      </c>
    </row>
    <row r="93" spans="1:11" x14ac:dyDescent="0.35">
      <c r="A93" s="62" t="s">
        <v>33</v>
      </c>
      <c r="B93" s="62" t="s">
        <v>29</v>
      </c>
      <c r="C93" s="62">
        <v>4</v>
      </c>
      <c r="D93" s="62">
        <v>3</v>
      </c>
      <c r="E93" s="62">
        <v>16</v>
      </c>
      <c r="F93" s="62">
        <v>62</v>
      </c>
      <c r="G93" s="62">
        <v>48</v>
      </c>
      <c r="H93" s="62">
        <v>316</v>
      </c>
      <c r="I93" s="63">
        <v>3</v>
      </c>
      <c r="J93" s="88">
        <v>45810</v>
      </c>
      <c r="K93" s="63">
        <v>23</v>
      </c>
    </row>
    <row r="94" spans="1:11" x14ac:dyDescent="0.35">
      <c r="A94" s="62" t="s">
        <v>33</v>
      </c>
      <c r="B94" s="62" t="s">
        <v>29</v>
      </c>
      <c r="C94" s="62">
        <v>1</v>
      </c>
      <c r="D94" s="62">
        <v>4</v>
      </c>
      <c r="E94" s="62">
        <v>4</v>
      </c>
      <c r="F94" s="62">
        <v>13</v>
      </c>
      <c r="G94" s="62">
        <v>61</v>
      </c>
      <c r="H94" s="62">
        <v>404</v>
      </c>
      <c r="I94" s="63">
        <v>3</v>
      </c>
      <c r="J94" s="88">
        <v>45810</v>
      </c>
      <c r="K94" s="63">
        <v>29</v>
      </c>
    </row>
    <row r="95" spans="1:11" x14ac:dyDescent="0.35">
      <c r="A95" s="62" t="s">
        <v>33</v>
      </c>
      <c r="B95" s="62" t="s">
        <v>34</v>
      </c>
      <c r="C95" s="62">
        <v>2</v>
      </c>
      <c r="D95" s="62">
        <v>4</v>
      </c>
      <c r="E95" s="62">
        <v>8</v>
      </c>
      <c r="F95" s="62">
        <v>29</v>
      </c>
      <c r="G95" s="62">
        <v>57</v>
      </c>
      <c r="H95" s="62">
        <v>408</v>
      </c>
      <c r="I95" s="63">
        <v>3</v>
      </c>
      <c r="J95" s="88">
        <v>45810</v>
      </c>
      <c r="K95" s="63">
        <v>25</v>
      </c>
    </row>
    <row r="96" spans="1:11" x14ac:dyDescent="0.35">
      <c r="A96" s="62" t="s">
        <v>33</v>
      </c>
      <c r="B96" s="62" t="s">
        <v>30</v>
      </c>
      <c r="C96" s="62">
        <v>3</v>
      </c>
      <c r="D96" s="62">
        <v>4</v>
      </c>
      <c r="E96" s="62">
        <v>12</v>
      </c>
      <c r="F96" s="62">
        <v>45</v>
      </c>
      <c r="G96" s="62">
        <v>53</v>
      </c>
      <c r="H96" s="62">
        <v>412</v>
      </c>
      <c r="I96" s="63">
        <v>3</v>
      </c>
      <c r="J96" s="88">
        <v>45810</v>
      </c>
      <c r="K96" s="63">
        <v>24</v>
      </c>
    </row>
    <row r="97" spans="1:11" x14ac:dyDescent="0.35">
      <c r="A97" s="62" t="s">
        <v>33</v>
      </c>
      <c r="B97" s="62" t="s">
        <v>35</v>
      </c>
      <c r="C97" s="62">
        <v>4</v>
      </c>
      <c r="D97" s="62">
        <v>4</v>
      </c>
      <c r="E97" s="62">
        <v>16</v>
      </c>
      <c r="F97" s="62">
        <v>60</v>
      </c>
      <c r="G97" s="62">
        <v>50</v>
      </c>
      <c r="H97" s="62">
        <v>416</v>
      </c>
      <c r="I97" s="63">
        <v>3</v>
      </c>
      <c r="J97" s="88">
        <v>45810</v>
      </c>
      <c r="K97" s="63">
        <v>26</v>
      </c>
    </row>
    <row r="98" spans="1:11" x14ac:dyDescent="0.35">
      <c r="A98" s="62" t="s">
        <v>28</v>
      </c>
      <c r="B98" s="62" t="s">
        <v>29</v>
      </c>
      <c r="C98" s="62">
        <v>1</v>
      </c>
      <c r="D98" s="62">
        <v>1</v>
      </c>
      <c r="E98" s="62">
        <v>2</v>
      </c>
      <c r="F98" s="62">
        <v>8</v>
      </c>
      <c r="G98" s="62">
        <v>2</v>
      </c>
      <c r="H98" s="62">
        <v>102</v>
      </c>
      <c r="I98" s="63">
        <v>4</v>
      </c>
      <c r="J98" s="93">
        <v>45778</v>
      </c>
      <c r="K98" s="63">
        <v>32</v>
      </c>
    </row>
    <row r="99" spans="1:11" x14ac:dyDescent="0.35">
      <c r="A99" s="62" t="s">
        <v>28</v>
      </c>
      <c r="B99" s="62" t="s">
        <v>31</v>
      </c>
      <c r="C99" s="62">
        <v>2</v>
      </c>
      <c r="D99" s="62">
        <v>1</v>
      </c>
      <c r="E99" s="62">
        <v>6</v>
      </c>
      <c r="F99" s="62">
        <v>24</v>
      </c>
      <c r="G99" s="62">
        <v>6</v>
      </c>
      <c r="H99" s="62">
        <v>106</v>
      </c>
      <c r="I99" s="63">
        <v>4</v>
      </c>
      <c r="J99" s="93">
        <v>45778</v>
      </c>
      <c r="K99" s="63">
        <v>40</v>
      </c>
    </row>
    <row r="100" spans="1:11" x14ac:dyDescent="0.35">
      <c r="A100" s="62" t="s">
        <v>28</v>
      </c>
      <c r="B100" s="62" t="s">
        <v>32</v>
      </c>
      <c r="C100" s="62">
        <v>3</v>
      </c>
      <c r="D100" s="62">
        <v>1</v>
      </c>
      <c r="E100" s="62">
        <v>10</v>
      </c>
      <c r="F100" s="62">
        <v>40</v>
      </c>
      <c r="G100" s="62">
        <v>10</v>
      </c>
      <c r="H100" s="62">
        <v>110</v>
      </c>
      <c r="I100" s="63">
        <v>4</v>
      </c>
      <c r="J100" s="93">
        <v>45778</v>
      </c>
      <c r="K100" s="63">
        <v>38</v>
      </c>
    </row>
    <row r="101" spans="1:11" x14ac:dyDescent="0.35">
      <c r="A101" s="62" t="s">
        <v>28</v>
      </c>
      <c r="B101" s="62" t="s">
        <v>30</v>
      </c>
      <c r="C101" s="62">
        <v>4</v>
      </c>
      <c r="D101" s="62">
        <v>1</v>
      </c>
      <c r="E101" s="62">
        <v>14</v>
      </c>
      <c r="F101" s="62">
        <v>56</v>
      </c>
      <c r="G101" s="62">
        <v>14</v>
      </c>
      <c r="H101" s="62">
        <v>114</v>
      </c>
      <c r="I101" s="63">
        <v>4</v>
      </c>
      <c r="J101" s="93">
        <v>45778</v>
      </c>
      <c r="K101" s="63">
        <v>35</v>
      </c>
    </row>
    <row r="102" spans="1:11" x14ac:dyDescent="0.35">
      <c r="A102" s="62" t="s">
        <v>28</v>
      </c>
      <c r="B102" s="62" t="s">
        <v>30</v>
      </c>
      <c r="C102" s="62">
        <v>1</v>
      </c>
      <c r="D102" s="62">
        <v>2</v>
      </c>
      <c r="E102" s="62">
        <v>2</v>
      </c>
      <c r="F102" s="62">
        <v>7</v>
      </c>
      <c r="G102" s="62">
        <v>31</v>
      </c>
      <c r="H102" s="62">
        <v>202</v>
      </c>
      <c r="I102" s="63">
        <v>4</v>
      </c>
      <c r="J102" s="93">
        <v>45778</v>
      </c>
      <c r="K102" s="63">
        <v>32</v>
      </c>
    </row>
    <row r="103" spans="1:11" x14ac:dyDescent="0.35">
      <c r="A103" s="62" t="s">
        <v>28</v>
      </c>
      <c r="B103" s="62" t="s">
        <v>32</v>
      </c>
      <c r="C103" s="62">
        <v>2</v>
      </c>
      <c r="D103" s="62">
        <v>2</v>
      </c>
      <c r="E103" s="62">
        <v>6</v>
      </c>
      <c r="F103" s="62">
        <v>23</v>
      </c>
      <c r="G103" s="62">
        <v>27</v>
      </c>
      <c r="H103" s="62">
        <v>206</v>
      </c>
      <c r="I103" s="63">
        <v>4</v>
      </c>
      <c r="J103" s="93">
        <v>45778</v>
      </c>
      <c r="K103" s="63">
        <v>41</v>
      </c>
    </row>
    <row r="104" spans="1:11" x14ac:dyDescent="0.35">
      <c r="A104" s="62" t="s">
        <v>28</v>
      </c>
      <c r="B104" s="62" t="s">
        <v>31</v>
      </c>
      <c r="C104" s="62">
        <v>3</v>
      </c>
      <c r="D104" s="62">
        <v>2</v>
      </c>
      <c r="E104" s="62">
        <v>10</v>
      </c>
      <c r="F104" s="62">
        <v>39</v>
      </c>
      <c r="G104" s="62">
        <v>23</v>
      </c>
      <c r="H104" s="62">
        <v>210</v>
      </c>
      <c r="I104" s="63">
        <v>4</v>
      </c>
      <c r="J104" s="93">
        <v>45778</v>
      </c>
      <c r="K104" s="63">
        <v>45</v>
      </c>
    </row>
    <row r="105" spans="1:11" x14ac:dyDescent="0.35">
      <c r="A105" s="62" t="s">
        <v>28</v>
      </c>
      <c r="B105" s="62" t="s">
        <v>29</v>
      </c>
      <c r="C105" s="62">
        <v>4</v>
      </c>
      <c r="D105" s="62">
        <v>2</v>
      </c>
      <c r="E105" s="62">
        <v>14</v>
      </c>
      <c r="F105" s="62">
        <v>55</v>
      </c>
      <c r="G105" s="62">
        <v>19</v>
      </c>
      <c r="H105" s="62">
        <v>214</v>
      </c>
      <c r="I105" s="63">
        <v>4</v>
      </c>
      <c r="J105" s="93">
        <v>45778</v>
      </c>
      <c r="K105" s="63">
        <v>30</v>
      </c>
    </row>
    <row r="106" spans="1:11" x14ac:dyDescent="0.35">
      <c r="A106" s="62" t="s">
        <v>28</v>
      </c>
      <c r="B106" s="62" t="s">
        <v>31</v>
      </c>
      <c r="C106" s="62">
        <v>1</v>
      </c>
      <c r="D106" s="62">
        <v>3</v>
      </c>
      <c r="E106" s="62">
        <v>2</v>
      </c>
      <c r="F106" s="62">
        <v>6</v>
      </c>
      <c r="G106" s="62">
        <v>34</v>
      </c>
      <c r="H106" s="62">
        <v>302</v>
      </c>
      <c r="I106" s="63">
        <v>4</v>
      </c>
      <c r="J106" s="93">
        <v>45778</v>
      </c>
      <c r="K106" s="63">
        <v>31</v>
      </c>
    </row>
    <row r="107" spans="1:11" x14ac:dyDescent="0.35">
      <c r="A107" s="62" t="s">
        <v>28</v>
      </c>
      <c r="B107" s="62" t="s">
        <v>30</v>
      </c>
      <c r="C107" s="62">
        <v>2</v>
      </c>
      <c r="D107" s="62">
        <v>3</v>
      </c>
      <c r="E107" s="62">
        <v>6</v>
      </c>
      <c r="F107" s="62">
        <v>22</v>
      </c>
      <c r="G107" s="62">
        <v>38</v>
      </c>
      <c r="H107" s="62">
        <v>306</v>
      </c>
      <c r="I107" s="63">
        <v>4</v>
      </c>
      <c r="J107" s="93">
        <v>45778</v>
      </c>
      <c r="K107" s="63">
        <v>13</v>
      </c>
    </row>
    <row r="108" spans="1:11" x14ac:dyDescent="0.35">
      <c r="A108" s="62" t="s">
        <v>28</v>
      </c>
      <c r="B108" s="62" t="s">
        <v>29</v>
      </c>
      <c r="C108" s="62">
        <v>3</v>
      </c>
      <c r="D108" s="62">
        <v>3</v>
      </c>
      <c r="E108" s="62">
        <v>10</v>
      </c>
      <c r="F108" s="62">
        <v>38</v>
      </c>
      <c r="G108" s="62">
        <v>42</v>
      </c>
      <c r="H108" s="62">
        <v>310</v>
      </c>
      <c r="I108" s="63">
        <v>4</v>
      </c>
      <c r="J108" s="93">
        <v>45778</v>
      </c>
      <c r="K108" s="63">
        <v>12</v>
      </c>
    </row>
    <row r="109" spans="1:11" x14ac:dyDescent="0.35">
      <c r="A109" s="62" t="s">
        <v>28</v>
      </c>
      <c r="B109" s="62" t="s">
        <v>32</v>
      </c>
      <c r="C109" s="62">
        <v>4</v>
      </c>
      <c r="D109" s="62">
        <v>3</v>
      </c>
      <c r="E109" s="62">
        <v>14</v>
      </c>
      <c r="F109" s="62">
        <v>54</v>
      </c>
      <c r="G109" s="62">
        <v>46</v>
      </c>
      <c r="H109" s="62">
        <v>314</v>
      </c>
      <c r="I109" s="63">
        <v>4</v>
      </c>
      <c r="J109" s="93">
        <v>45778</v>
      </c>
      <c r="K109" s="63">
        <v>32</v>
      </c>
    </row>
    <row r="110" spans="1:11" x14ac:dyDescent="0.35">
      <c r="A110" s="62" t="s">
        <v>28</v>
      </c>
      <c r="B110" s="62" t="s">
        <v>32</v>
      </c>
      <c r="C110" s="62">
        <v>1</v>
      </c>
      <c r="D110" s="62">
        <v>4</v>
      </c>
      <c r="E110" s="62">
        <v>2</v>
      </c>
      <c r="F110" s="62">
        <v>5</v>
      </c>
      <c r="G110" s="62">
        <v>63</v>
      </c>
      <c r="H110" s="62">
        <v>402</v>
      </c>
      <c r="I110" s="63">
        <v>4</v>
      </c>
      <c r="J110" s="93">
        <v>45778</v>
      </c>
      <c r="K110" s="63">
        <v>18</v>
      </c>
    </row>
    <row r="111" spans="1:11" x14ac:dyDescent="0.35">
      <c r="A111" s="62" t="s">
        <v>28</v>
      </c>
      <c r="B111" s="62" t="s">
        <v>29</v>
      </c>
      <c r="C111" s="62">
        <v>2</v>
      </c>
      <c r="D111" s="62">
        <v>4</v>
      </c>
      <c r="E111" s="62">
        <v>6</v>
      </c>
      <c r="F111" s="62">
        <v>21</v>
      </c>
      <c r="G111" s="62">
        <v>59</v>
      </c>
      <c r="H111" s="62">
        <v>406</v>
      </c>
      <c r="I111" s="63">
        <v>4</v>
      </c>
      <c r="J111" s="93">
        <v>45778</v>
      </c>
      <c r="K111" s="63">
        <v>18</v>
      </c>
    </row>
    <row r="112" spans="1:11" x14ac:dyDescent="0.35">
      <c r="A112" s="62" t="s">
        <v>28</v>
      </c>
      <c r="B112" s="62" t="s">
        <v>30</v>
      </c>
      <c r="C112" s="62">
        <v>3</v>
      </c>
      <c r="D112" s="62">
        <v>4</v>
      </c>
      <c r="E112" s="62">
        <v>10</v>
      </c>
      <c r="F112" s="62">
        <v>37</v>
      </c>
      <c r="G112" s="62">
        <v>55</v>
      </c>
      <c r="H112" s="62">
        <v>410</v>
      </c>
      <c r="I112" s="63">
        <v>4</v>
      </c>
      <c r="J112" s="93">
        <v>45778</v>
      </c>
      <c r="K112" s="63">
        <v>23</v>
      </c>
    </row>
    <row r="113" spans="1:11" x14ac:dyDescent="0.35">
      <c r="A113" s="62" t="s">
        <v>28</v>
      </c>
      <c r="B113" s="62" t="s">
        <v>31</v>
      </c>
      <c r="C113" s="62">
        <v>4</v>
      </c>
      <c r="D113" s="62">
        <v>4</v>
      </c>
      <c r="E113" s="62">
        <v>14</v>
      </c>
      <c r="F113" s="62">
        <v>53</v>
      </c>
      <c r="G113" s="62">
        <v>51</v>
      </c>
      <c r="H113" s="62">
        <v>414</v>
      </c>
      <c r="I113" s="63">
        <v>4</v>
      </c>
      <c r="J113" s="93">
        <v>45778</v>
      </c>
      <c r="K113" s="63">
        <v>32</v>
      </c>
    </row>
    <row r="114" spans="1:11" x14ac:dyDescent="0.35">
      <c r="A114" s="62" t="s">
        <v>33</v>
      </c>
      <c r="B114" s="62" t="s">
        <v>34</v>
      </c>
      <c r="C114" s="62">
        <v>1</v>
      </c>
      <c r="D114" s="62">
        <v>1</v>
      </c>
      <c r="E114" s="62">
        <v>4</v>
      </c>
      <c r="F114" s="62">
        <v>16</v>
      </c>
      <c r="G114" s="62">
        <v>4</v>
      </c>
      <c r="H114" s="62">
        <v>104</v>
      </c>
      <c r="I114" s="63">
        <v>4</v>
      </c>
      <c r="J114" s="90">
        <v>45813</v>
      </c>
      <c r="K114" s="63">
        <v>28</v>
      </c>
    </row>
    <row r="115" spans="1:11" x14ac:dyDescent="0.35">
      <c r="A115" s="62" t="s">
        <v>33</v>
      </c>
      <c r="B115" s="62" t="s">
        <v>35</v>
      </c>
      <c r="C115" s="62">
        <v>2</v>
      </c>
      <c r="D115" s="62">
        <v>1</v>
      </c>
      <c r="E115" s="62">
        <v>8</v>
      </c>
      <c r="F115" s="62">
        <v>32</v>
      </c>
      <c r="G115" s="62">
        <v>8</v>
      </c>
      <c r="H115" s="62">
        <v>108</v>
      </c>
      <c r="I115" s="63">
        <v>4</v>
      </c>
      <c r="J115" s="90">
        <v>45813</v>
      </c>
      <c r="K115" s="63">
        <v>39</v>
      </c>
    </row>
    <row r="116" spans="1:11" x14ac:dyDescent="0.35">
      <c r="A116" s="62" t="s">
        <v>33</v>
      </c>
      <c r="B116" s="62" t="s">
        <v>29</v>
      </c>
      <c r="C116" s="62">
        <v>3</v>
      </c>
      <c r="D116" s="62">
        <v>1</v>
      </c>
      <c r="E116" s="62">
        <v>12</v>
      </c>
      <c r="F116" s="62">
        <v>48</v>
      </c>
      <c r="G116" s="62">
        <v>12</v>
      </c>
      <c r="H116" s="62">
        <v>112</v>
      </c>
      <c r="I116" s="63">
        <v>4</v>
      </c>
      <c r="J116" s="90">
        <v>45813</v>
      </c>
      <c r="K116" s="63">
        <v>30</v>
      </c>
    </row>
    <row r="117" spans="1:11" x14ac:dyDescent="0.35">
      <c r="A117" s="62" t="s">
        <v>33</v>
      </c>
      <c r="B117" s="62" t="s">
        <v>30</v>
      </c>
      <c r="C117" s="62">
        <v>4</v>
      </c>
      <c r="D117" s="62">
        <v>1</v>
      </c>
      <c r="E117" s="62">
        <v>16</v>
      </c>
      <c r="F117" s="62">
        <v>64</v>
      </c>
      <c r="G117" s="62">
        <v>16</v>
      </c>
      <c r="H117" s="62">
        <v>116</v>
      </c>
      <c r="I117" s="63">
        <v>4</v>
      </c>
      <c r="J117" s="90">
        <v>45813</v>
      </c>
      <c r="K117" s="63">
        <v>35</v>
      </c>
    </row>
    <row r="118" spans="1:11" x14ac:dyDescent="0.35">
      <c r="A118" s="62" t="s">
        <v>33</v>
      </c>
      <c r="B118" s="62" t="s">
        <v>30</v>
      </c>
      <c r="C118" s="62">
        <v>1</v>
      </c>
      <c r="D118" s="62">
        <v>2</v>
      </c>
      <c r="E118" s="62">
        <v>4</v>
      </c>
      <c r="F118" s="62">
        <v>15</v>
      </c>
      <c r="G118" s="62">
        <v>29</v>
      </c>
      <c r="H118" s="62">
        <v>204</v>
      </c>
      <c r="I118" s="63">
        <v>4</v>
      </c>
      <c r="J118" s="90">
        <v>45813</v>
      </c>
      <c r="K118" s="63">
        <v>42</v>
      </c>
    </row>
    <row r="119" spans="1:11" x14ac:dyDescent="0.35">
      <c r="A119" s="62" t="s">
        <v>33</v>
      </c>
      <c r="B119" s="62" t="s">
        <v>29</v>
      </c>
      <c r="C119" s="62">
        <v>2</v>
      </c>
      <c r="D119" s="62">
        <v>2</v>
      </c>
      <c r="E119" s="62">
        <v>8</v>
      </c>
      <c r="F119" s="62">
        <v>31</v>
      </c>
      <c r="G119" s="62">
        <v>25</v>
      </c>
      <c r="H119" s="62">
        <v>208</v>
      </c>
      <c r="I119" s="63">
        <v>4</v>
      </c>
      <c r="J119" s="90">
        <v>45813</v>
      </c>
      <c r="K119" s="63">
        <v>27</v>
      </c>
    </row>
    <row r="120" spans="1:11" x14ac:dyDescent="0.35">
      <c r="A120" s="62" t="s">
        <v>33</v>
      </c>
      <c r="B120" s="62" t="s">
        <v>35</v>
      </c>
      <c r="C120" s="62">
        <v>3</v>
      </c>
      <c r="D120" s="62">
        <v>2</v>
      </c>
      <c r="E120" s="62">
        <v>12</v>
      </c>
      <c r="F120" s="62">
        <v>47</v>
      </c>
      <c r="G120" s="62">
        <v>21</v>
      </c>
      <c r="H120" s="62">
        <v>212</v>
      </c>
      <c r="I120" s="63">
        <v>4</v>
      </c>
      <c r="J120" s="90">
        <v>45813</v>
      </c>
      <c r="K120" s="63">
        <v>34</v>
      </c>
    </row>
    <row r="121" spans="1:11" x14ac:dyDescent="0.35">
      <c r="A121" s="62" t="s">
        <v>33</v>
      </c>
      <c r="B121" s="62" t="s">
        <v>34</v>
      </c>
      <c r="C121" s="62">
        <v>4</v>
      </c>
      <c r="D121" s="62">
        <v>2</v>
      </c>
      <c r="E121" s="62">
        <v>16</v>
      </c>
      <c r="F121" s="62">
        <v>58</v>
      </c>
      <c r="G121" s="62">
        <v>18</v>
      </c>
      <c r="H121" s="62">
        <v>216</v>
      </c>
      <c r="I121" s="63">
        <v>4</v>
      </c>
      <c r="J121" s="90">
        <v>45813</v>
      </c>
      <c r="K121" s="63">
        <v>25</v>
      </c>
    </row>
    <row r="122" spans="1:11" x14ac:dyDescent="0.35">
      <c r="A122" s="62" t="s">
        <v>33</v>
      </c>
      <c r="B122" s="62" t="s">
        <v>35</v>
      </c>
      <c r="C122" s="62">
        <v>1</v>
      </c>
      <c r="D122" s="62">
        <v>3</v>
      </c>
      <c r="E122" s="62">
        <v>4</v>
      </c>
      <c r="F122" s="62">
        <v>14</v>
      </c>
      <c r="G122" s="62">
        <v>36</v>
      </c>
      <c r="H122" s="62">
        <v>304</v>
      </c>
      <c r="I122" s="63">
        <v>4</v>
      </c>
      <c r="J122" s="90">
        <v>45813</v>
      </c>
      <c r="K122" s="63">
        <v>32</v>
      </c>
    </row>
    <row r="123" spans="1:11" x14ac:dyDescent="0.35">
      <c r="A123" s="62" t="s">
        <v>33</v>
      </c>
      <c r="B123" s="62" t="s">
        <v>30</v>
      </c>
      <c r="C123" s="62">
        <v>2</v>
      </c>
      <c r="D123" s="62">
        <v>3</v>
      </c>
      <c r="E123" s="62">
        <v>8</v>
      </c>
      <c r="F123" s="62">
        <v>30</v>
      </c>
      <c r="G123" s="62">
        <v>40</v>
      </c>
      <c r="H123" s="62">
        <v>308</v>
      </c>
      <c r="I123" s="63">
        <v>4</v>
      </c>
      <c r="J123" s="90">
        <v>45813</v>
      </c>
      <c r="K123" s="63">
        <v>27</v>
      </c>
    </row>
    <row r="124" spans="1:11" x14ac:dyDescent="0.35">
      <c r="A124" s="62" t="s">
        <v>33</v>
      </c>
      <c r="B124" s="62" t="s">
        <v>34</v>
      </c>
      <c r="C124" s="62">
        <v>3</v>
      </c>
      <c r="D124" s="62">
        <v>3</v>
      </c>
      <c r="E124" s="62">
        <v>12</v>
      </c>
      <c r="F124" s="62">
        <v>46</v>
      </c>
      <c r="G124" s="62">
        <v>44</v>
      </c>
      <c r="H124" s="62">
        <v>312</v>
      </c>
      <c r="I124" s="63">
        <v>4</v>
      </c>
      <c r="J124" s="90">
        <v>45813</v>
      </c>
      <c r="K124" s="63">
        <v>48</v>
      </c>
    </row>
    <row r="125" spans="1:11" x14ac:dyDescent="0.35">
      <c r="A125" s="62" t="s">
        <v>33</v>
      </c>
      <c r="B125" s="62" t="s">
        <v>29</v>
      </c>
      <c r="C125" s="62">
        <v>4</v>
      </c>
      <c r="D125" s="62">
        <v>3</v>
      </c>
      <c r="E125" s="62">
        <v>16</v>
      </c>
      <c r="F125" s="62">
        <v>62</v>
      </c>
      <c r="G125" s="62">
        <v>48</v>
      </c>
      <c r="H125" s="62">
        <v>316</v>
      </c>
      <c r="I125" s="63">
        <v>4</v>
      </c>
      <c r="J125" s="90">
        <v>45813</v>
      </c>
      <c r="K125" s="63">
        <v>24</v>
      </c>
    </row>
    <row r="126" spans="1:11" x14ac:dyDescent="0.35">
      <c r="A126" s="62" t="s">
        <v>33</v>
      </c>
      <c r="B126" s="62" t="s">
        <v>29</v>
      </c>
      <c r="C126" s="62">
        <v>1</v>
      </c>
      <c r="D126" s="62">
        <v>4</v>
      </c>
      <c r="E126" s="62">
        <v>4</v>
      </c>
      <c r="F126" s="62">
        <v>13</v>
      </c>
      <c r="G126" s="62">
        <v>61</v>
      </c>
      <c r="H126" s="62">
        <v>404</v>
      </c>
      <c r="I126" s="63">
        <v>4</v>
      </c>
      <c r="J126" s="90">
        <v>45813</v>
      </c>
      <c r="K126" s="63">
        <v>29</v>
      </c>
    </row>
    <row r="127" spans="1:11" x14ac:dyDescent="0.35">
      <c r="A127" s="62" t="s">
        <v>33</v>
      </c>
      <c r="B127" s="62" t="s">
        <v>34</v>
      </c>
      <c r="C127" s="62">
        <v>2</v>
      </c>
      <c r="D127" s="62">
        <v>4</v>
      </c>
      <c r="E127" s="62">
        <v>8</v>
      </c>
      <c r="F127" s="62">
        <v>29</v>
      </c>
      <c r="G127" s="62">
        <v>57</v>
      </c>
      <c r="H127" s="62">
        <v>408</v>
      </c>
      <c r="I127" s="63">
        <v>4</v>
      </c>
      <c r="J127" s="90">
        <v>45813</v>
      </c>
      <c r="K127" s="63">
        <v>26</v>
      </c>
    </row>
    <row r="128" spans="1:11" x14ac:dyDescent="0.35">
      <c r="A128" s="62" t="s">
        <v>33</v>
      </c>
      <c r="B128" s="62" t="s">
        <v>30</v>
      </c>
      <c r="C128" s="62">
        <v>3</v>
      </c>
      <c r="D128" s="62">
        <v>4</v>
      </c>
      <c r="E128" s="62">
        <v>12</v>
      </c>
      <c r="F128" s="62">
        <v>45</v>
      </c>
      <c r="G128" s="62">
        <v>53</v>
      </c>
      <c r="H128" s="62">
        <v>412</v>
      </c>
      <c r="I128" s="63">
        <v>4</v>
      </c>
      <c r="J128" s="90">
        <v>45813</v>
      </c>
      <c r="K128" s="63">
        <v>25</v>
      </c>
    </row>
    <row r="129" spans="1:11" x14ac:dyDescent="0.35">
      <c r="A129" s="62" t="s">
        <v>33</v>
      </c>
      <c r="B129" s="62" t="s">
        <v>35</v>
      </c>
      <c r="C129" s="62">
        <v>4</v>
      </c>
      <c r="D129" s="62">
        <v>4</v>
      </c>
      <c r="E129" s="62">
        <v>16</v>
      </c>
      <c r="F129" s="62">
        <v>60</v>
      </c>
      <c r="G129" s="62">
        <v>50</v>
      </c>
      <c r="H129" s="62">
        <v>416</v>
      </c>
      <c r="I129" s="63">
        <v>4</v>
      </c>
      <c r="J129" s="90">
        <v>45813</v>
      </c>
      <c r="K129" s="63">
        <v>27</v>
      </c>
    </row>
    <row r="130" spans="1:11" x14ac:dyDescent="0.35">
      <c r="A130" s="62" t="s">
        <v>28</v>
      </c>
      <c r="B130" s="62" t="s">
        <v>29</v>
      </c>
      <c r="C130" s="62">
        <v>1</v>
      </c>
      <c r="D130" s="62">
        <v>1</v>
      </c>
      <c r="E130" s="62">
        <v>2</v>
      </c>
      <c r="F130" s="62">
        <v>8</v>
      </c>
      <c r="G130" s="62">
        <v>2</v>
      </c>
      <c r="H130" s="62">
        <v>102</v>
      </c>
      <c r="I130" s="63">
        <v>5</v>
      </c>
      <c r="J130" s="94">
        <v>45790</v>
      </c>
      <c r="K130" s="63">
        <v>25</v>
      </c>
    </row>
    <row r="131" spans="1:11" x14ac:dyDescent="0.35">
      <c r="A131" s="62" t="s">
        <v>28</v>
      </c>
      <c r="B131" s="62" t="s">
        <v>31</v>
      </c>
      <c r="C131" s="62">
        <v>2</v>
      </c>
      <c r="D131" s="62">
        <v>1</v>
      </c>
      <c r="E131" s="62">
        <v>6</v>
      </c>
      <c r="F131" s="62">
        <v>24</v>
      </c>
      <c r="G131" s="62">
        <v>6</v>
      </c>
      <c r="H131" s="62">
        <v>106</v>
      </c>
      <c r="I131" s="63">
        <v>5</v>
      </c>
      <c r="J131" s="94">
        <v>45790</v>
      </c>
      <c r="K131" s="63">
        <v>36</v>
      </c>
    </row>
    <row r="132" spans="1:11" x14ac:dyDescent="0.35">
      <c r="A132" s="62" t="s">
        <v>28</v>
      </c>
      <c r="B132" s="62" t="s">
        <v>32</v>
      </c>
      <c r="C132" s="62">
        <v>3</v>
      </c>
      <c r="D132" s="62">
        <v>1</v>
      </c>
      <c r="E132" s="62">
        <v>10</v>
      </c>
      <c r="F132" s="62">
        <v>40</v>
      </c>
      <c r="G132" s="62">
        <v>10</v>
      </c>
      <c r="H132" s="62">
        <v>110</v>
      </c>
      <c r="I132" s="63">
        <v>5</v>
      </c>
      <c r="J132" s="94">
        <v>45790</v>
      </c>
      <c r="K132" s="63">
        <v>34</v>
      </c>
    </row>
    <row r="133" spans="1:11" x14ac:dyDescent="0.35">
      <c r="A133" s="62" t="s">
        <v>28</v>
      </c>
      <c r="B133" s="62" t="s">
        <v>30</v>
      </c>
      <c r="C133" s="62">
        <v>4</v>
      </c>
      <c r="D133" s="62">
        <v>1</v>
      </c>
      <c r="E133" s="62">
        <v>14</v>
      </c>
      <c r="F133" s="62">
        <v>56</v>
      </c>
      <c r="G133" s="62">
        <v>14</v>
      </c>
      <c r="H133" s="62">
        <v>114</v>
      </c>
      <c r="I133" s="63">
        <v>5</v>
      </c>
      <c r="J133" s="94">
        <v>45790</v>
      </c>
      <c r="K133" s="63">
        <v>32</v>
      </c>
    </row>
    <row r="134" spans="1:11" x14ac:dyDescent="0.35">
      <c r="A134" s="62" t="s">
        <v>28</v>
      </c>
      <c r="B134" s="62" t="s">
        <v>30</v>
      </c>
      <c r="C134" s="62">
        <v>1</v>
      </c>
      <c r="D134" s="62">
        <v>2</v>
      </c>
      <c r="E134" s="62">
        <v>2</v>
      </c>
      <c r="F134" s="62">
        <v>7</v>
      </c>
      <c r="G134" s="62">
        <v>31</v>
      </c>
      <c r="H134" s="62">
        <v>202</v>
      </c>
      <c r="I134" s="63">
        <v>5</v>
      </c>
      <c r="J134" s="94">
        <v>45790</v>
      </c>
      <c r="K134" s="63">
        <v>29</v>
      </c>
    </row>
    <row r="135" spans="1:11" x14ac:dyDescent="0.35">
      <c r="A135" s="62" t="s">
        <v>28</v>
      </c>
      <c r="B135" s="62" t="s">
        <v>32</v>
      </c>
      <c r="C135" s="62">
        <v>2</v>
      </c>
      <c r="D135" s="62">
        <v>2</v>
      </c>
      <c r="E135" s="62">
        <v>6</v>
      </c>
      <c r="F135" s="62">
        <v>23</v>
      </c>
      <c r="G135" s="62">
        <v>27</v>
      </c>
      <c r="H135" s="62">
        <v>206</v>
      </c>
      <c r="I135" s="63">
        <v>5</v>
      </c>
      <c r="J135" s="94">
        <v>45790</v>
      </c>
      <c r="K135" s="63">
        <v>37</v>
      </c>
    </row>
    <row r="136" spans="1:11" x14ac:dyDescent="0.35">
      <c r="A136" s="62" t="s">
        <v>28</v>
      </c>
      <c r="B136" s="62" t="s">
        <v>31</v>
      </c>
      <c r="C136" s="62">
        <v>3</v>
      </c>
      <c r="D136" s="62">
        <v>2</v>
      </c>
      <c r="E136" s="62">
        <v>10</v>
      </c>
      <c r="F136" s="62">
        <v>39</v>
      </c>
      <c r="G136" s="62">
        <v>23</v>
      </c>
      <c r="H136" s="62">
        <v>210</v>
      </c>
      <c r="I136" s="63">
        <v>5</v>
      </c>
      <c r="J136" s="94">
        <v>45790</v>
      </c>
      <c r="K136" s="63">
        <v>44</v>
      </c>
    </row>
    <row r="137" spans="1:11" x14ac:dyDescent="0.35">
      <c r="A137" s="62" t="s">
        <v>28</v>
      </c>
      <c r="B137" s="62" t="s">
        <v>29</v>
      </c>
      <c r="C137" s="62">
        <v>4</v>
      </c>
      <c r="D137" s="62">
        <v>2</v>
      </c>
      <c r="E137" s="62">
        <v>14</v>
      </c>
      <c r="F137" s="62">
        <v>55</v>
      </c>
      <c r="G137" s="62">
        <v>19</v>
      </c>
      <c r="H137" s="62">
        <v>214</v>
      </c>
      <c r="I137" s="63">
        <v>5</v>
      </c>
      <c r="J137" s="94">
        <v>45790</v>
      </c>
      <c r="K137" s="63">
        <v>32</v>
      </c>
    </row>
    <row r="138" spans="1:11" x14ac:dyDescent="0.35">
      <c r="A138" s="62" t="s">
        <v>28</v>
      </c>
      <c r="B138" s="62" t="s">
        <v>31</v>
      </c>
      <c r="C138" s="62">
        <v>1</v>
      </c>
      <c r="D138" s="62">
        <v>3</v>
      </c>
      <c r="E138" s="62">
        <v>2</v>
      </c>
      <c r="F138" s="62">
        <v>6</v>
      </c>
      <c r="G138" s="62">
        <v>34</v>
      </c>
      <c r="H138" s="62">
        <v>302</v>
      </c>
      <c r="I138" s="63">
        <v>5</v>
      </c>
      <c r="J138" s="94">
        <v>45790</v>
      </c>
      <c r="K138" s="63">
        <v>31</v>
      </c>
    </row>
    <row r="139" spans="1:11" x14ac:dyDescent="0.35">
      <c r="A139" s="62" t="s">
        <v>28</v>
      </c>
      <c r="B139" s="62" t="s">
        <v>30</v>
      </c>
      <c r="C139" s="62">
        <v>2</v>
      </c>
      <c r="D139" s="62">
        <v>3</v>
      </c>
      <c r="E139" s="62">
        <v>6</v>
      </c>
      <c r="F139" s="62">
        <v>22</v>
      </c>
      <c r="G139" s="62">
        <v>38</v>
      </c>
      <c r="H139" s="62">
        <v>306</v>
      </c>
      <c r="I139" s="63">
        <v>5</v>
      </c>
      <c r="J139" s="94">
        <v>45790</v>
      </c>
      <c r="K139" s="63">
        <v>13</v>
      </c>
    </row>
    <row r="140" spans="1:11" x14ac:dyDescent="0.35">
      <c r="A140" s="62" t="s">
        <v>28</v>
      </c>
      <c r="B140" s="62" t="s">
        <v>29</v>
      </c>
      <c r="C140" s="62">
        <v>3</v>
      </c>
      <c r="D140" s="62">
        <v>3</v>
      </c>
      <c r="E140" s="62">
        <v>10</v>
      </c>
      <c r="F140" s="62">
        <v>38</v>
      </c>
      <c r="G140" s="62">
        <v>42</v>
      </c>
      <c r="H140" s="62">
        <v>310</v>
      </c>
      <c r="I140" s="63">
        <v>5</v>
      </c>
      <c r="J140" s="94">
        <v>45790</v>
      </c>
      <c r="K140" s="63">
        <v>18</v>
      </c>
    </row>
    <row r="141" spans="1:11" x14ac:dyDescent="0.35">
      <c r="A141" s="62" t="s">
        <v>28</v>
      </c>
      <c r="B141" s="62" t="s">
        <v>32</v>
      </c>
      <c r="C141" s="62">
        <v>4</v>
      </c>
      <c r="D141" s="62">
        <v>3</v>
      </c>
      <c r="E141" s="62">
        <v>14</v>
      </c>
      <c r="F141" s="62">
        <v>54</v>
      </c>
      <c r="G141" s="62">
        <v>46</v>
      </c>
      <c r="H141" s="62">
        <v>314</v>
      </c>
      <c r="I141" s="63">
        <v>5</v>
      </c>
      <c r="J141" s="94">
        <v>45790</v>
      </c>
      <c r="K141" s="63">
        <v>33</v>
      </c>
    </row>
    <row r="142" spans="1:11" x14ac:dyDescent="0.35">
      <c r="A142" s="62" t="s">
        <v>28</v>
      </c>
      <c r="B142" s="62" t="s">
        <v>32</v>
      </c>
      <c r="C142" s="62">
        <v>1</v>
      </c>
      <c r="D142" s="62">
        <v>4</v>
      </c>
      <c r="E142" s="62">
        <v>2</v>
      </c>
      <c r="F142" s="62">
        <v>5</v>
      </c>
      <c r="G142" s="62">
        <v>63</v>
      </c>
      <c r="H142" s="62">
        <v>402</v>
      </c>
      <c r="I142" s="63">
        <v>5</v>
      </c>
      <c r="J142" s="94">
        <v>45790</v>
      </c>
      <c r="K142" s="63">
        <v>20</v>
      </c>
    </row>
    <row r="143" spans="1:11" x14ac:dyDescent="0.35">
      <c r="A143" s="62" t="s">
        <v>28</v>
      </c>
      <c r="B143" s="62" t="s">
        <v>29</v>
      </c>
      <c r="C143" s="62">
        <v>2</v>
      </c>
      <c r="D143" s="62">
        <v>4</v>
      </c>
      <c r="E143" s="62">
        <v>6</v>
      </c>
      <c r="F143" s="62">
        <v>21</v>
      </c>
      <c r="G143" s="62">
        <v>59</v>
      </c>
      <c r="H143" s="62">
        <v>406</v>
      </c>
      <c r="I143" s="63">
        <v>5</v>
      </c>
      <c r="J143" s="94">
        <v>45790</v>
      </c>
      <c r="K143" s="63">
        <v>21</v>
      </c>
    </row>
    <row r="144" spans="1:11" x14ac:dyDescent="0.35">
      <c r="A144" s="62" t="s">
        <v>28</v>
      </c>
      <c r="B144" s="62" t="s">
        <v>30</v>
      </c>
      <c r="C144" s="62">
        <v>3</v>
      </c>
      <c r="D144" s="62">
        <v>4</v>
      </c>
      <c r="E144" s="62">
        <v>10</v>
      </c>
      <c r="F144" s="62">
        <v>37</v>
      </c>
      <c r="G144" s="62">
        <v>55</v>
      </c>
      <c r="H144" s="62">
        <v>410</v>
      </c>
      <c r="I144" s="63">
        <v>5</v>
      </c>
      <c r="J144" s="94">
        <v>45790</v>
      </c>
      <c r="K144" s="63">
        <v>21</v>
      </c>
    </row>
    <row r="145" spans="1:11" x14ac:dyDescent="0.35">
      <c r="A145" s="62" t="s">
        <v>28</v>
      </c>
      <c r="B145" s="62" t="s">
        <v>31</v>
      </c>
      <c r="C145" s="62">
        <v>4</v>
      </c>
      <c r="D145" s="62">
        <v>4</v>
      </c>
      <c r="E145" s="62">
        <v>14</v>
      </c>
      <c r="F145" s="62">
        <v>53</v>
      </c>
      <c r="G145" s="62">
        <v>51</v>
      </c>
      <c r="H145" s="62">
        <v>414</v>
      </c>
      <c r="I145" s="63">
        <v>5</v>
      </c>
      <c r="J145" s="94">
        <v>45790</v>
      </c>
      <c r="K145" s="63">
        <v>37</v>
      </c>
    </row>
    <row r="146" spans="1:11" ht="15" customHeight="1" x14ac:dyDescent="0.35">
      <c r="A146" s="62" t="s">
        <v>33</v>
      </c>
      <c r="B146" s="62" t="s">
        <v>34</v>
      </c>
      <c r="C146" s="62">
        <v>1</v>
      </c>
      <c r="D146" s="62">
        <v>1</v>
      </c>
      <c r="E146" s="62">
        <v>4</v>
      </c>
      <c r="F146" s="62">
        <v>16</v>
      </c>
      <c r="G146" s="62">
        <v>4</v>
      </c>
      <c r="H146" s="62">
        <v>104</v>
      </c>
      <c r="I146" s="63">
        <v>5</v>
      </c>
      <c r="J146" s="90">
        <v>45819</v>
      </c>
      <c r="K146" s="63">
        <v>31</v>
      </c>
    </row>
    <row r="147" spans="1:11" x14ac:dyDescent="0.35">
      <c r="A147" s="62" t="s">
        <v>33</v>
      </c>
      <c r="B147" s="62" t="s">
        <v>35</v>
      </c>
      <c r="C147" s="62">
        <v>2</v>
      </c>
      <c r="D147" s="62">
        <v>1</v>
      </c>
      <c r="E147" s="62">
        <v>8</v>
      </c>
      <c r="F147" s="62">
        <v>32</v>
      </c>
      <c r="G147" s="62">
        <v>8</v>
      </c>
      <c r="H147" s="62">
        <v>108</v>
      </c>
      <c r="I147" s="63">
        <v>5</v>
      </c>
      <c r="J147" s="90">
        <v>45819</v>
      </c>
      <c r="K147" s="63">
        <v>38</v>
      </c>
    </row>
    <row r="148" spans="1:11" x14ac:dyDescent="0.35">
      <c r="A148" s="62" t="s">
        <v>33</v>
      </c>
      <c r="B148" s="62" t="s">
        <v>29</v>
      </c>
      <c r="C148" s="62">
        <v>3</v>
      </c>
      <c r="D148" s="62">
        <v>1</v>
      </c>
      <c r="E148" s="62">
        <v>12</v>
      </c>
      <c r="F148" s="62">
        <v>48</v>
      </c>
      <c r="G148" s="62">
        <v>12</v>
      </c>
      <c r="H148" s="62">
        <v>112</v>
      </c>
      <c r="I148" s="63">
        <v>5</v>
      </c>
      <c r="J148" s="90">
        <v>45819</v>
      </c>
      <c r="K148" s="63">
        <v>34</v>
      </c>
    </row>
    <row r="149" spans="1:11" x14ac:dyDescent="0.35">
      <c r="A149" s="62" t="s">
        <v>33</v>
      </c>
      <c r="B149" s="62" t="s">
        <v>30</v>
      </c>
      <c r="C149" s="62">
        <v>4</v>
      </c>
      <c r="D149" s="62">
        <v>1</v>
      </c>
      <c r="E149" s="62">
        <v>16</v>
      </c>
      <c r="F149" s="62">
        <v>64</v>
      </c>
      <c r="G149" s="62">
        <v>16</v>
      </c>
      <c r="H149" s="62">
        <v>116</v>
      </c>
      <c r="I149" s="63">
        <v>5</v>
      </c>
      <c r="J149" s="90">
        <v>45819</v>
      </c>
      <c r="K149" s="63">
        <v>39</v>
      </c>
    </row>
    <row r="150" spans="1:11" x14ac:dyDescent="0.35">
      <c r="A150" s="62" t="s">
        <v>33</v>
      </c>
      <c r="B150" s="62" t="s">
        <v>30</v>
      </c>
      <c r="C150" s="62">
        <v>1</v>
      </c>
      <c r="D150" s="62">
        <v>2</v>
      </c>
      <c r="E150" s="62">
        <v>4</v>
      </c>
      <c r="F150" s="62">
        <v>15</v>
      </c>
      <c r="G150" s="62">
        <v>29</v>
      </c>
      <c r="H150" s="62">
        <v>204</v>
      </c>
      <c r="I150" s="63">
        <v>5</v>
      </c>
      <c r="J150" s="90">
        <v>45819</v>
      </c>
      <c r="K150" s="63">
        <v>44</v>
      </c>
    </row>
    <row r="151" spans="1:11" x14ac:dyDescent="0.35">
      <c r="A151" s="62" t="s">
        <v>33</v>
      </c>
      <c r="B151" s="62" t="s">
        <v>29</v>
      </c>
      <c r="C151" s="62">
        <v>2</v>
      </c>
      <c r="D151" s="62">
        <v>2</v>
      </c>
      <c r="E151" s="62">
        <v>8</v>
      </c>
      <c r="F151" s="62">
        <v>31</v>
      </c>
      <c r="G151" s="62">
        <v>25</v>
      </c>
      <c r="H151" s="62">
        <v>208</v>
      </c>
      <c r="I151" s="63">
        <v>5</v>
      </c>
      <c r="J151" s="90">
        <v>45819</v>
      </c>
      <c r="K151" s="63">
        <v>30</v>
      </c>
    </row>
    <row r="152" spans="1:11" x14ac:dyDescent="0.35">
      <c r="A152" s="62" t="s">
        <v>33</v>
      </c>
      <c r="B152" s="62" t="s">
        <v>35</v>
      </c>
      <c r="C152" s="62">
        <v>3</v>
      </c>
      <c r="D152" s="62">
        <v>2</v>
      </c>
      <c r="E152" s="62">
        <v>12</v>
      </c>
      <c r="F152" s="62">
        <v>47</v>
      </c>
      <c r="G152" s="62">
        <v>21</v>
      </c>
      <c r="H152" s="62">
        <v>212</v>
      </c>
      <c r="I152" s="63">
        <v>5</v>
      </c>
      <c r="J152" s="90">
        <v>45819</v>
      </c>
      <c r="K152" s="63">
        <v>34</v>
      </c>
    </row>
    <row r="153" spans="1:11" x14ac:dyDescent="0.35">
      <c r="A153" s="62" t="s">
        <v>33</v>
      </c>
      <c r="B153" s="62" t="s">
        <v>34</v>
      </c>
      <c r="C153" s="62">
        <v>4</v>
      </c>
      <c r="D153" s="62">
        <v>2</v>
      </c>
      <c r="E153" s="62">
        <v>16</v>
      </c>
      <c r="F153" s="62">
        <v>58</v>
      </c>
      <c r="G153" s="62">
        <v>18</v>
      </c>
      <c r="H153" s="62">
        <v>216</v>
      </c>
      <c r="I153" s="63">
        <v>5</v>
      </c>
      <c r="J153" s="90">
        <v>45819</v>
      </c>
      <c r="K153" s="63">
        <v>28</v>
      </c>
    </row>
    <row r="154" spans="1:11" x14ac:dyDescent="0.35">
      <c r="A154" s="62" t="s">
        <v>33</v>
      </c>
      <c r="B154" s="62" t="s">
        <v>35</v>
      </c>
      <c r="C154" s="62">
        <v>1</v>
      </c>
      <c r="D154" s="62">
        <v>3</v>
      </c>
      <c r="E154" s="62">
        <v>4</v>
      </c>
      <c r="F154" s="62">
        <v>14</v>
      </c>
      <c r="G154" s="62">
        <v>36</v>
      </c>
      <c r="H154" s="62">
        <v>304</v>
      </c>
      <c r="I154" s="63">
        <v>5</v>
      </c>
      <c r="J154" s="90">
        <v>45819</v>
      </c>
      <c r="K154" s="63">
        <v>36</v>
      </c>
    </row>
    <row r="155" spans="1:11" x14ac:dyDescent="0.35">
      <c r="A155" s="62" t="s">
        <v>33</v>
      </c>
      <c r="B155" s="62" t="s">
        <v>30</v>
      </c>
      <c r="C155" s="62">
        <v>2</v>
      </c>
      <c r="D155" s="62">
        <v>3</v>
      </c>
      <c r="E155" s="62">
        <v>8</v>
      </c>
      <c r="F155" s="62">
        <v>30</v>
      </c>
      <c r="G155" s="62">
        <v>40</v>
      </c>
      <c r="H155" s="62">
        <v>308</v>
      </c>
      <c r="I155" s="63">
        <v>5</v>
      </c>
      <c r="J155" s="90">
        <v>45819</v>
      </c>
      <c r="K155" s="63">
        <v>28</v>
      </c>
    </row>
    <row r="156" spans="1:11" x14ac:dyDescent="0.35">
      <c r="A156" s="62" t="s">
        <v>33</v>
      </c>
      <c r="B156" s="62" t="s">
        <v>34</v>
      </c>
      <c r="C156" s="62">
        <v>3</v>
      </c>
      <c r="D156" s="62">
        <v>3</v>
      </c>
      <c r="E156" s="62">
        <v>12</v>
      </c>
      <c r="F156" s="62">
        <v>46</v>
      </c>
      <c r="G156" s="62">
        <v>44</v>
      </c>
      <c r="H156" s="62">
        <v>312</v>
      </c>
      <c r="I156" s="63">
        <v>5</v>
      </c>
      <c r="J156" s="90">
        <v>45819</v>
      </c>
      <c r="K156" s="63">
        <v>51</v>
      </c>
    </row>
    <row r="157" spans="1:11" x14ac:dyDescent="0.35">
      <c r="A157" s="62" t="s">
        <v>33</v>
      </c>
      <c r="B157" s="62" t="s">
        <v>29</v>
      </c>
      <c r="C157" s="62">
        <v>4</v>
      </c>
      <c r="D157" s="62">
        <v>3</v>
      </c>
      <c r="E157" s="62">
        <v>16</v>
      </c>
      <c r="F157" s="62">
        <v>62</v>
      </c>
      <c r="G157" s="62">
        <v>48</v>
      </c>
      <c r="H157" s="62">
        <v>316</v>
      </c>
      <c r="I157" s="63">
        <v>5</v>
      </c>
      <c r="J157" s="90">
        <v>45819</v>
      </c>
      <c r="K157" s="63">
        <v>25</v>
      </c>
    </row>
    <row r="158" spans="1:11" x14ac:dyDescent="0.35">
      <c r="A158" s="62" t="s">
        <v>33</v>
      </c>
      <c r="B158" s="62" t="s">
        <v>29</v>
      </c>
      <c r="C158" s="62">
        <v>1</v>
      </c>
      <c r="D158" s="62">
        <v>4</v>
      </c>
      <c r="E158" s="62">
        <v>4</v>
      </c>
      <c r="F158" s="62">
        <v>13</v>
      </c>
      <c r="G158" s="62">
        <v>61</v>
      </c>
      <c r="H158" s="62">
        <v>404</v>
      </c>
      <c r="I158" s="63">
        <v>5</v>
      </c>
      <c r="J158" s="90">
        <v>45819</v>
      </c>
      <c r="K158" s="63">
        <v>30</v>
      </c>
    </row>
    <row r="159" spans="1:11" x14ac:dyDescent="0.35">
      <c r="A159" s="62" t="s">
        <v>33</v>
      </c>
      <c r="B159" s="62" t="s">
        <v>34</v>
      </c>
      <c r="C159" s="62">
        <v>2</v>
      </c>
      <c r="D159" s="62">
        <v>4</v>
      </c>
      <c r="E159" s="62">
        <v>8</v>
      </c>
      <c r="F159" s="62">
        <v>29</v>
      </c>
      <c r="G159" s="62">
        <v>57</v>
      </c>
      <c r="H159" s="62">
        <v>408</v>
      </c>
      <c r="I159" s="63">
        <v>5</v>
      </c>
      <c r="J159" s="90">
        <v>45819</v>
      </c>
      <c r="K159" s="63">
        <v>26</v>
      </c>
    </row>
    <row r="160" spans="1:11" x14ac:dyDescent="0.35">
      <c r="A160" s="62" t="s">
        <v>33</v>
      </c>
      <c r="B160" s="62" t="s">
        <v>30</v>
      </c>
      <c r="C160" s="62">
        <v>3</v>
      </c>
      <c r="D160" s="62">
        <v>4</v>
      </c>
      <c r="E160" s="62">
        <v>12</v>
      </c>
      <c r="F160" s="62">
        <v>45</v>
      </c>
      <c r="G160" s="62">
        <v>53</v>
      </c>
      <c r="H160" s="62">
        <v>412</v>
      </c>
      <c r="I160" s="63">
        <v>5</v>
      </c>
      <c r="J160" s="90">
        <v>45819</v>
      </c>
      <c r="K160" s="63">
        <v>26</v>
      </c>
    </row>
    <row r="161" spans="1:11" x14ac:dyDescent="0.35">
      <c r="A161" s="62" t="s">
        <v>33</v>
      </c>
      <c r="B161" s="62" t="s">
        <v>35</v>
      </c>
      <c r="C161" s="62">
        <v>4</v>
      </c>
      <c r="D161" s="62">
        <v>4</v>
      </c>
      <c r="E161" s="62">
        <v>16</v>
      </c>
      <c r="F161" s="62">
        <v>60</v>
      </c>
      <c r="G161" s="62">
        <v>50</v>
      </c>
      <c r="H161" s="62">
        <v>416</v>
      </c>
      <c r="I161" s="63">
        <v>5</v>
      </c>
      <c r="J161" s="90">
        <v>45819</v>
      </c>
      <c r="K161" s="63">
        <v>30</v>
      </c>
    </row>
    <row r="162" spans="1:11" x14ac:dyDescent="0.35">
      <c r="A162" s="62" t="s">
        <v>28</v>
      </c>
      <c r="B162" s="62" t="s">
        <v>29</v>
      </c>
      <c r="C162" s="62">
        <v>1</v>
      </c>
      <c r="D162" s="62">
        <v>1</v>
      </c>
      <c r="E162" s="62">
        <v>2</v>
      </c>
      <c r="F162" s="62">
        <v>8</v>
      </c>
      <c r="G162" s="62">
        <v>2</v>
      </c>
      <c r="H162" s="62">
        <v>102</v>
      </c>
      <c r="I162" s="63">
        <v>6</v>
      </c>
    </row>
    <row r="163" spans="1:11" x14ac:dyDescent="0.35">
      <c r="A163" s="62" t="s">
        <v>28</v>
      </c>
      <c r="B163" s="62" t="s">
        <v>31</v>
      </c>
      <c r="C163" s="62">
        <v>2</v>
      </c>
      <c r="D163" s="62">
        <v>1</v>
      </c>
      <c r="E163" s="62">
        <v>6</v>
      </c>
      <c r="F163" s="62">
        <v>24</v>
      </c>
      <c r="G163" s="62">
        <v>6</v>
      </c>
      <c r="H163" s="62">
        <v>106</v>
      </c>
      <c r="I163" s="63">
        <v>6</v>
      </c>
    </row>
    <row r="164" spans="1:11" x14ac:dyDescent="0.35">
      <c r="A164" s="62" t="s">
        <v>28</v>
      </c>
      <c r="B164" s="62" t="s">
        <v>32</v>
      </c>
      <c r="C164" s="62">
        <v>3</v>
      </c>
      <c r="D164" s="62">
        <v>1</v>
      </c>
      <c r="E164" s="62">
        <v>10</v>
      </c>
      <c r="F164" s="62">
        <v>40</v>
      </c>
      <c r="G164" s="62">
        <v>10</v>
      </c>
      <c r="H164" s="62">
        <v>110</v>
      </c>
      <c r="I164" s="63">
        <v>6</v>
      </c>
    </row>
    <row r="165" spans="1:11" x14ac:dyDescent="0.35">
      <c r="A165" s="62" t="s">
        <v>28</v>
      </c>
      <c r="B165" s="62" t="s">
        <v>30</v>
      </c>
      <c r="C165" s="62">
        <v>4</v>
      </c>
      <c r="D165" s="62">
        <v>1</v>
      </c>
      <c r="E165" s="62">
        <v>14</v>
      </c>
      <c r="F165" s="62">
        <v>56</v>
      </c>
      <c r="G165" s="62">
        <v>14</v>
      </c>
      <c r="H165" s="62">
        <v>114</v>
      </c>
      <c r="I165" s="63">
        <v>6</v>
      </c>
    </row>
    <row r="166" spans="1:11" x14ac:dyDescent="0.35">
      <c r="A166" s="62" t="s">
        <v>28</v>
      </c>
      <c r="B166" s="62" t="s">
        <v>30</v>
      </c>
      <c r="C166" s="62">
        <v>1</v>
      </c>
      <c r="D166" s="62">
        <v>2</v>
      </c>
      <c r="E166" s="62">
        <v>2</v>
      </c>
      <c r="F166" s="62">
        <v>7</v>
      </c>
      <c r="G166" s="62">
        <v>31</v>
      </c>
      <c r="H166" s="62">
        <v>202</v>
      </c>
      <c r="I166" s="63">
        <v>6</v>
      </c>
    </row>
    <row r="167" spans="1:11" x14ac:dyDescent="0.35">
      <c r="A167" s="62" t="s">
        <v>28</v>
      </c>
      <c r="B167" s="62" t="s">
        <v>32</v>
      </c>
      <c r="C167" s="62">
        <v>2</v>
      </c>
      <c r="D167" s="62">
        <v>2</v>
      </c>
      <c r="E167" s="62">
        <v>6</v>
      </c>
      <c r="F167" s="62">
        <v>23</v>
      </c>
      <c r="G167" s="62">
        <v>27</v>
      </c>
      <c r="H167" s="62">
        <v>206</v>
      </c>
      <c r="I167" s="63">
        <v>6</v>
      </c>
    </row>
    <row r="168" spans="1:11" x14ac:dyDescent="0.35">
      <c r="A168" s="62" t="s">
        <v>28</v>
      </c>
      <c r="B168" s="62" t="s">
        <v>31</v>
      </c>
      <c r="C168" s="62">
        <v>3</v>
      </c>
      <c r="D168" s="62">
        <v>2</v>
      </c>
      <c r="E168" s="62">
        <v>10</v>
      </c>
      <c r="F168" s="62">
        <v>39</v>
      </c>
      <c r="G168" s="62">
        <v>23</v>
      </c>
      <c r="H168" s="62">
        <v>210</v>
      </c>
      <c r="I168" s="63">
        <v>6</v>
      </c>
    </row>
    <row r="169" spans="1:11" x14ac:dyDescent="0.35">
      <c r="A169" s="62" t="s">
        <v>28</v>
      </c>
      <c r="B169" s="62" t="s">
        <v>29</v>
      </c>
      <c r="C169" s="62">
        <v>4</v>
      </c>
      <c r="D169" s="62">
        <v>2</v>
      </c>
      <c r="E169" s="62">
        <v>14</v>
      </c>
      <c r="F169" s="62">
        <v>55</v>
      </c>
      <c r="G169" s="62">
        <v>19</v>
      </c>
      <c r="H169" s="62">
        <v>214</v>
      </c>
      <c r="I169" s="63">
        <v>6</v>
      </c>
    </row>
    <row r="170" spans="1:11" x14ac:dyDescent="0.35">
      <c r="A170" s="62" t="s">
        <v>28</v>
      </c>
      <c r="B170" s="62" t="s">
        <v>31</v>
      </c>
      <c r="C170" s="62">
        <v>1</v>
      </c>
      <c r="D170" s="62">
        <v>3</v>
      </c>
      <c r="E170" s="62">
        <v>2</v>
      </c>
      <c r="F170" s="62">
        <v>6</v>
      </c>
      <c r="G170" s="62">
        <v>34</v>
      </c>
      <c r="H170" s="62">
        <v>302</v>
      </c>
      <c r="I170" s="63">
        <v>6</v>
      </c>
    </row>
    <row r="171" spans="1:11" x14ac:dyDescent="0.35">
      <c r="A171" s="62" t="s">
        <v>28</v>
      </c>
      <c r="B171" s="62" t="s">
        <v>30</v>
      </c>
      <c r="C171" s="62">
        <v>2</v>
      </c>
      <c r="D171" s="62">
        <v>3</v>
      </c>
      <c r="E171" s="62">
        <v>6</v>
      </c>
      <c r="F171" s="62">
        <v>22</v>
      </c>
      <c r="G171" s="62">
        <v>38</v>
      </c>
      <c r="H171" s="62">
        <v>306</v>
      </c>
      <c r="I171" s="63">
        <v>6</v>
      </c>
    </row>
    <row r="172" spans="1:11" x14ac:dyDescent="0.35">
      <c r="A172" s="62" t="s">
        <v>28</v>
      </c>
      <c r="B172" s="62" t="s">
        <v>29</v>
      </c>
      <c r="C172" s="62">
        <v>3</v>
      </c>
      <c r="D172" s="62">
        <v>3</v>
      </c>
      <c r="E172" s="62">
        <v>10</v>
      </c>
      <c r="F172" s="62">
        <v>38</v>
      </c>
      <c r="G172" s="62">
        <v>42</v>
      </c>
      <c r="H172" s="62">
        <v>310</v>
      </c>
      <c r="I172" s="63">
        <v>6</v>
      </c>
    </row>
    <row r="173" spans="1:11" x14ac:dyDescent="0.35">
      <c r="A173" s="62" t="s">
        <v>28</v>
      </c>
      <c r="B173" s="62" t="s">
        <v>32</v>
      </c>
      <c r="C173" s="62">
        <v>4</v>
      </c>
      <c r="D173" s="62">
        <v>3</v>
      </c>
      <c r="E173" s="62">
        <v>14</v>
      </c>
      <c r="F173" s="62">
        <v>54</v>
      </c>
      <c r="G173" s="62">
        <v>46</v>
      </c>
      <c r="H173" s="62">
        <v>314</v>
      </c>
      <c r="I173" s="63">
        <v>6</v>
      </c>
    </row>
    <row r="174" spans="1:11" x14ac:dyDescent="0.35">
      <c r="A174" s="62" t="s">
        <v>28</v>
      </c>
      <c r="B174" s="62" t="s">
        <v>32</v>
      </c>
      <c r="C174" s="62">
        <v>1</v>
      </c>
      <c r="D174" s="62">
        <v>4</v>
      </c>
      <c r="E174" s="62">
        <v>2</v>
      </c>
      <c r="F174" s="62">
        <v>5</v>
      </c>
      <c r="G174" s="62">
        <v>63</v>
      </c>
      <c r="H174" s="62">
        <v>402</v>
      </c>
      <c r="I174" s="63">
        <v>6</v>
      </c>
    </row>
    <row r="175" spans="1:11" x14ac:dyDescent="0.35">
      <c r="A175" s="62" t="s">
        <v>28</v>
      </c>
      <c r="B175" s="62" t="s">
        <v>29</v>
      </c>
      <c r="C175" s="62">
        <v>2</v>
      </c>
      <c r="D175" s="62">
        <v>4</v>
      </c>
      <c r="E175" s="62">
        <v>6</v>
      </c>
      <c r="F175" s="62">
        <v>21</v>
      </c>
      <c r="G175" s="62">
        <v>59</v>
      </c>
      <c r="H175" s="62">
        <v>406</v>
      </c>
      <c r="I175" s="63">
        <v>6</v>
      </c>
    </row>
    <row r="176" spans="1:11" x14ac:dyDescent="0.35">
      <c r="A176" s="62" t="s">
        <v>28</v>
      </c>
      <c r="B176" s="62" t="s">
        <v>30</v>
      </c>
      <c r="C176" s="62">
        <v>3</v>
      </c>
      <c r="D176" s="62">
        <v>4</v>
      </c>
      <c r="E176" s="62">
        <v>10</v>
      </c>
      <c r="F176" s="62">
        <v>37</v>
      </c>
      <c r="G176" s="62">
        <v>55</v>
      </c>
      <c r="H176" s="62">
        <v>410</v>
      </c>
      <c r="I176" s="63">
        <v>6</v>
      </c>
    </row>
    <row r="177" spans="1:11" x14ac:dyDescent="0.35">
      <c r="A177" s="62" t="s">
        <v>28</v>
      </c>
      <c r="B177" s="62" t="s">
        <v>31</v>
      </c>
      <c r="C177" s="62">
        <v>4</v>
      </c>
      <c r="D177" s="62">
        <v>4</v>
      </c>
      <c r="E177" s="62">
        <v>14</v>
      </c>
      <c r="F177" s="62">
        <v>53</v>
      </c>
      <c r="G177" s="62">
        <v>51</v>
      </c>
      <c r="H177" s="62">
        <v>414</v>
      </c>
      <c r="I177" s="63">
        <v>6</v>
      </c>
    </row>
    <row r="178" spans="1:11" x14ac:dyDescent="0.35">
      <c r="A178" s="62" t="s">
        <v>33</v>
      </c>
      <c r="B178" s="62" t="s">
        <v>34</v>
      </c>
      <c r="C178" s="62">
        <v>1</v>
      </c>
      <c r="D178" s="62">
        <v>1</v>
      </c>
      <c r="E178" s="62">
        <v>4</v>
      </c>
      <c r="F178" s="62">
        <v>16</v>
      </c>
      <c r="G178" s="62">
        <v>4</v>
      </c>
      <c r="H178" s="62">
        <v>104</v>
      </c>
      <c r="I178" s="63">
        <v>6</v>
      </c>
      <c r="J178" s="90">
        <v>45821</v>
      </c>
      <c r="K178" s="63">
        <v>29</v>
      </c>
    </row>
    <row r="179" spans="1:11" x14ac:dyDescent="0.35">
      <c r="A179" s="62" t="s">
        <v>33</v>
      </c>
      <c r="B179" s="62" t="s">
        <v>35</v>
      </c>
      <c r="C179" s="62">
        <v>2</v>
      </c>
      <c r="D179" s="62">
        <v>1</v>
      </c>
      <c r="E179" s="62">
        <v>8</v>
      </c>
      <c r="F179" s="62">
        <v>32</v>
      </c>
      <c r="G179" s="62">
        <v>8</v>
      </c>
      <c r="H179" s="62">
        <v>108</v>
      </c>
      <c r="I179" s="63">
        <v>6</v>
      </c>
      <c r="J179" s="90">
        <v>45821</v>
      </c>
      <c r="K179" s="63">
        <v>39</v>
      </c>
    </row>
    <row r="180" spans="1:11" x14ac:dyDescent="0.35">
      <c r="A180" s="62" t="s">
        <v>33</v>
      </c>
      <c r="B180" s="62" t="s">
        <v>29</v>
      </c>
      <c r="C180" s="62">
        <v>3</v>
      </c>
      <c r="D180" s="62">
        <v>1</v>
      </c>
      <c r="E180" s="62">
        <v>12</v>
      </c>
      <c r="F180" s="62">
        <v>48</v>
      </c>
      <c r="G180" s="62">
        <v>12</v>
      </c>
      <c r="H180" s="62">
        <v>112</v>
      </c>
      <c r="I180" s="63">
        <v>6</v>
      </c>
      <c r="J180" s="90">
        <v>45821</v>
      </c>
      <c r="K180" s="63">
        <v>32</v>
      </c>
    </row>
    <row r="181" spans="1:11" x14ac:dyDescent="0.35">
      <c r="A181" s="62" t="s">
        <v>33</v>
      </c>
      <c r="B181" s="62" t="s">
        <v>30</v>
      </c>
      <c r="C181" s="62">
        <v>4</v>
      </c>
      <c r="D181" s="62">
        <v>1</v>
      </c>
      <c r="E181" s="62">
        <v>16</v>
      </c>
      <c r="F181" s="62">
        <v>64</v>
      </c>
      <c r="G181" s="62">
        <v>16</v>
      </c>
      <c r="H181" s="62">
        <v>116</v>
      </c>
      <c r="I181" s="63">
        <v>6</v>
      </c>
      <c r="J181" s="90">
        <v>45821</v>
      </c>
      <c r="K181" s="63">
        <v>38</v>
      </c>
    </row>
    <row r="182" spans="1:11" x14ac:dyDescent="0.35">
      <c r="A182" s="62" t="s">
        <v>33</v>
      </c>
      <c r="B182" s="62" t="s">
        <v>30</v>
      </c>
      <c r="C182" s="62">
        <v>1</v>
      </c>
      <c r="D182" s="62">
        <v>2</v>
      </c>
      <c r="E182" s="62">
        <v>4</v>
      </c>
      <c r="F182" s="62">
        <v>15</v>
      </c>
      <c r="G182" s="62">
        <v>29</v>
      </c>
      <c r="H182" s="62">
        <v>204</v>
      </c>
      <c r="I182" s="63">
        <v>6</v>
      </c>
      <c r="J182" s="90">
        <v>45821</v>
      </c>
      <c r="K182" s="63">
        <v>44</v>
      </c>
    </row>
    <row r="183" spans="1:11" x14ac:dyDescent="0.35">
      <c r="A183" s="62" t="s">
        <v>33</v>
      </c>
      <c r="B183" s="62" t="s">
        <v>29</v>
      </c>
      <c r="C183" s="62">
        <v>2</v>
      </c>
      <c r="D183" s="62">
        <v>2</v>
      </c>
      <c r="E183" s="62">
        <v>8</v>
      </c>
      <c r="F183" s="62">
        <v>31</v>
      </c>
      <c r="G183" s="62">
        <v>25</v>
      </c>
      <c r="H183" s="62">
        <v>208</v>
      </c>
      <c r="I183" s="63">
        <v>6</v>
      </c>
      <c r="J183" s="90">
        <v>45821</v>
      </c>
      <c r="K183" s="63">
        <v>31</v>
      </c>
    </row>
    <row r="184" spans="1:11" x14ac:dyDescent="0.35">
      <c r="A184" s="62" t="s">
        <v>33</v>
      </c>
      <c r="B184" s="62" t="s">
        <v>35</v>
      </c>
      <c r="C184" s="62">
        <v>3</v>
      </c>
      <c r="D184" s="62">
        <v>2</v>
      </c>
      <c r="E184" s="62">
        <v>12</v>
      </c>
      <c r="F184" s="62">
        <v>47</v>
      </c>
      <c r="G184" s="62">
        <v>21</v>
      </c>
      <c r="H184" s="62">
        <v>212</v>
      </c>
      <c r="I184" s="63">
        <v>6</v>
      </c>
      <c r="J184" s="90">
        <v>45821</v>
      </c>
      <c r="K184" s="63">
        <v>37</v>
      </c>
    </row>
    <row r="185" spans="1:11" x14ac:dyDescent="0.35">
      <c r="A185" s="62" t="s">
        <v>33</v>
      </c>
      <c r="B185" s="62" t="s">
        <v>34</v>
      </c>
      <c r="C185" s="62">
        <v>4</v>
      </c>
      <c r="D185" s="62">
        <v>2</v>
      </c>
      <c r="E185" s="62">
        <v>16</v>
      </c>
      <c r="F185" s="62">
        <v>58</v>
      </c>
      <c r="G185" s="62">
        <v>18</v>
      </c>
      <c r="H185" s="62">
        <v>216</v>
      </c>
      <c r="I185" s="63">
        <v>6</v>
      </c>
      <c r="J185" s="90">
        <v>45821</v>
      </c>
      <c r="K185" s="63">
        <v>27</v>
      </c>
    </row>
    <row r="186" spans="1:11" x14ac:dyDescent="0.35">
      <c r="A186" s="62" t="s">
        <v>33</v>
      </c>
      <c r="B186" s="62" t="s">
        <v>35</v>
      </c>
      <c r="C186" s="62">
        <v>1</v>
      </c>
      <c r="D186" s="62">
        <v>3</v>
      </c>
      <c r="E186" s="62">
        <v>4</v>
      </c>
      <c r="F186" s="62">
        <v>14</v>
      </c>
      <c r="G186" s="62">
        <v>36</v>
      </c>
      <c r="H186" s="62">
        <v>304</v>
      </c>
      <c r="I186" s="63">
        <v>6</v>
      </c>
      <c r="J186" s="90">
        <v>45821</v>
      </c>
      <c r="K186" s="63">
        <v>41</v>
      </c>
    </row>
    <row r="187" spans="1:11" x14ac:dyDescent="0.35">
      <c r="A187" s="62" t="s">
        <v>33</v>
      </c>
      <c r="B187" s="62" t="s">
        <v>30</v>
      </c>
      <c r="C187" s="62">
        <v>2</v>
      </c>
      <c r="D187" s="62">
        <v>3</v>
      </c>
      <c r="E187" s="62">
        <v>8</v>
      </c>
      <c r="F187" s="62">
        <v>30</v>
      </c>
      <c r="G187" s="62">
        <v>40</v>
      </c>
      <c r="H187" s="62">
        <v>308</v>
      </c>
      <c r="I187" s="63">
        <v>6</v>
      </c>
      <c r="J187" s="90">
        <v>45821</v>
      </c>
      <c r="K187" s="63">
        <v>29</v>
      </c>
    </row>
    <row r="188" spans="1:11" x14ac:dyDescent="0.35">
      <c r="A188" s="62" t="s">
        <v>33</v>
      </c>
      <c r="B188" s="62" t="s">
        <v>34</v>
      </c>
      <c r="C188" s="62">
        <v>3</v>
      </c>
      <c r="D188" s="62">
        <v>3</v>
      </c>
      <c r="E188" s="62">
        <v>12</v>
      </c>
      <c r="F188" s="62">
        <v>46</v>
      </c>
      <c r="G188" s="62">
        <v>44</v>
      </c>
      <c r="H188" s="62">
        <v>312</v>
      </c>
      <c r="I188" s="63">
        <v>6</v>
      </c>
      <c r="J188" s="90">
        <v>45821</v>
      </c>
      <c r="K188" s="63">
        <v>48</v>
      </c>
    </row>
    <row r="189" spans="1:11" x14ac:dyDescent="0.35">
      <c r="A189" s="62" t="s">
        <v>33</v>
      </c>
      <c r="B189" s="62" t="s">
        <v>29</v>
      </c>
      <c r="C189" s="62">
        <v>4</v>
      </c>
      <c r="D189" s="62">
        <v>3</v>
      </c>
      <c r="E189" s="62">
        <v>16</v>
      </c>
      <c r="F189" s="62">
        <v>62</v>
      </c>
      <c r="G189" s="62">
        <v>48</v>
      </c>
      <c r="H189" s="62">
        <v>316</v>
      </c>
      <c r="I189" s="63">
        <v>6</v>
      </c>
      <c r="J189" s="90">
        <v>45821</v>
      </c>
      <c r="K189" s="63">
        <v>26</v>
      </c>
    </row>
    <row r="190" spans="1:11" x14ac:dyDescent="0.35">
      <c r="A190" s="62" t="s">
        <v>33</v>
      </c>
      <c r="B190" s="62" t="s">
        <v>29</v>
      </c>
      <c r="C190" s="62">
        <v>1</v>
      </c>
      <c r="D190" s="62">
        <v>4</v>
      </c>
      <c r="E190" s="62">
        <v>4</v>
      </c>
      <c r="F190" s="62">
        <v>13</v>
      </c>
      <c r="G190" s="62">
        <v>61</v>
      </c>
      <c r="H190" s="62">
        <v>404</v>
      </c>
      <c r="I190" s="63">
        <v>6</v>
      </c>
      <c r="J190" s="90">
        <v>45821</v>
      </c>
      <c r="K190" s="63">
        <v>30</v>
      </c>
    </row>
    <row r="191" spans="1:11" x14ac:dyDescent="0.35">
      <c r="A191" s="62" t="s">
        <v>33</v>
      </c>
      <c r="B191" s="62" t="s">
        <v>34</v>
      </c>
      <c r="C191" s="62">
        <v>2</v>
      </c>
      <c r="D191" s="62">
        <v>4</v>
      </c>
      <c r="E191" s="62">
        <v>8</v>
      </c>
      <c r="F191" s="62">
        <v>29</v>
      </c>
      <c r="G191" s="62">
        <v>57</v>
      </c>
      <c r="H191" s="62">
        <v>408</v>
      </c>
      <c r="I191" s="63">
        <v>6</v>
      </c>
      <c r="J191" s="90">
        <v>45821</v>
      </c>
      <c r="K191" s="63">
        <v>27</v>
      </c>
    </row>
    <row r="192" spans="1:11" x14ac:dyDescent="0.35">
      <c r="A192" s="62" t="s">
        <v>33</v>
      </c>
      <c r="B192" s="62" t="s">
        <v>30</v>
      </c>
      <c r="C192" s="62">
        <v>3</v>
      </c>
      <c r="D192" s="62">
        <v>4</v>
      </c>
      <c r="E192" s="62">
        <v>12</v>
      </c>
      <c r="F192" s="62">
        <v>45</v>
      </c>
      <c r="G192" s="62">
        <v>53</v>
      </c>
      <c r="H192" s="62">
        <v>412</v>
      </c>
      <c r="I192" s="63">
        <v>6</v>
      </c>
      <c r="J192" s="90">
        <v>45821</v>
      </c>
      <c r="K192" s="63">
        <v>27</v>
      </c>
    </row>
    <row r="193" spans="1:11" x14ac:dyDescent="0.35">
      <c r="A193" s="62" t="s">
        <v>33</v>
      </c>
      <c r="B193" s="62" t="s">
        <v>35</v>
      </c>
      <c r="C193" s="62">
        <v>4</v>
      </c>
      <c r="D193" s="62">
        <v>4</v>
      </c>
      <c r="E193" s="62">
        <v>16</v>
      </c>
      <c r="F193" s="62">
        <v>60</v>
      </c>
      <c r="G193" s="62">
        <v>50</v>
      </c>
      <c r="H193" s="62">
        <v>416</v>
      </c>
      <c r="I193" s="63">
        <v>6</v>
      </c>
      <c r="J193" s="90">
        <v>45821</v>
      </c>
      <c r="K193" s="63">
        <v>29</v>
      </c>
    </row>
    <row r="194" spans="1:11" x14ac:dyDescent="0.35">
      <c r="A194" s="62" t="s">
        <v>28</v>
      </c>
      <c r="B194" s="62" t="s">
        <v>29</v>
      </c>
      <c r="C194" s="62">
        <v>1</v>
      </c>
      <c r="D194" s="62">
        <v>1</v>
      </c>
      <c r="E194" s="62">
        <v>2</v>
      </c>
      <c r="F194" s="62">
        <v>8</v>
      </c>
      <c r="G194" s="62">
        <v>2</v>
      </c>
      <c r="H194" s="62">
        <v>102</v>
      </c>
      <c r="I194" s="63">
        <v>7</v>
      </c>
    </row>
    <row r="195" spans="1:11" x14ac:dyDescent="0.35">
      <c r="A195" s="62" t="s">
        <v>28</v>
      </c>
      <c r="B195" s="62" t="s">
        <v>31</v>
      </c>
      <c r="C195" s="62">
        <v>2</v>
      </c>
      <c r="D195" s="62">
        <v>1</v>
      </c>
      <c r="E195" s="62">
        <v>6</v>
      </c>
      <c r="F195" s="62">
        <v>24</v>
      </c>
      <c r="G195" s="62">
        <v>6</v>
      </c>
      <c r="H195" s="62">
        <v>106</v>
      </c>
      <c r="I195" s="63">
        <v>7</v>
      </c>
    </row>
    <row r="196" spans="1:11" x14ac:dyDescent="0.35">
      <c r="A196" s="62" t="s">
        <v>28</v>
      </c>
      <c r="B196" s="62" t="s">
        <v>32</v>
      </c>
      <c r="C196" s="62">
        <v>3</v>
      </c>
      <c r="D196" s="62">
        <v>1</v>
      </c>
      <c r="E196" s="62">
        <v>10</v>
      </c>
      <c r="F196" s="62">
        <v>40</v>
      </c>
      <c r="G196" s="62">
        <v>10</v>
      </c>
      <c r="H196" s="62">
        <v>110</v>
      </c>
      <c r="I196" s="63">
        <v>7</v>
      </c>
    </row>
    <row r="197" spans="1:11" x14ac:dyDescent="0.35">
      <c r="A197" s="62" t="s">
        <v>28</v>
      </c>
      <c r="B197" s="62" t="s">
        <v>30</v>
      </c>
      <c r="C197" s="62">
        <v>4</v>
      </c>
      <c r="D197" s="62">
        <v>1</v>
      </c>
      <c r="E197" s="62">
        <v>14</v>
      </c>
      <c r="F197" s="62">
        <v>56</v>
      </c>
      <c r="G197" s="62">
        <v>14</v>
      </c>
      <c r="H197" s="62">
        <v>114</v>
      </c>
      <c r="I197" s="63">
        <v>7</v>
      </c>
    </row>
    <row r="198" spans="1:11" x14ac:dyDescent="0.35">
      <c r="A198" s="62" t="s">
        <v>28</v>
      </c>
      <c r="B198" s="62" t="s">
        <v>30</v>
      </c>
      <c r="C198" s="62">
        <v>1</v>
      </c>
      <c r="D198" s="62">
        <v>2</v>
      </c>
      <c r="E198" s="62">
        <v>2</v>
      </c>
      <c r="F198" s="62">
        <v>7</v>
      </c>
      <c r="G198" s="62">
        <v>31</v>
      </c>
      <c r="H198" s="62">
        <v>202</v>
      </c>
      <c r="I198" s="63">
        <v>7</v>
      </c>
    </row>
    <row r="199" spans="1:11" x14ac:dyDescent="0.35">
      <c r="A199" s="62" t="s">
        <v>28</v>
      </c>
      <c r="B199" s="62" t="s">
        <v>32</v>
      </c>
      <c r="C199" s="62">
        <v>2</v>
      </c>
      <c r="D199" s="62">
        <v>2</v>
      </c>
      <c r="E199" s="62">
        <v>6</v>
      </c>
      <c r="F199" s="62">
        <v>23</v>
      </c>
      <c r="G199" s="62">
        <v>27</v>
      </c>
      <c r="H199" s="62">
        <v>206</v>
      </c>
      <c r="I199" s="63">
        <v>7</v>
      </c>
    </row>
    <row r="200" spans="1:11" x14ac:dyDescent="0.35">
      <c r="A200" s="62" t="s">
        <v>28</v>
      </c>
      <c r="B200" s="62" t="s">
        <v>31</v>
      </c>
      <c r="C200" s="62">
        <v>3</v>
      </c>
      <c r="D200" s="62">
        <v>2</v>
      </c>
      <c r="E200" s="62">
        <v>10</v>
      </c>
      <c r="F200" s="62">
        <v>39</v>
      </c>
      <c r="G200" s="62">
        <v>23</v>
      </c>
      <c r="H200" s="62">
        <v>210</v>
      </c>
      <c r="I200" s="63">
        <v>7</v>
      </c>
    </row>
    <row r="201" spans="1:11" x14ac:dyDescent="0.35">
      <c r="A201" s="62" t="s">
        <v>28</v>
      </c>
      <c r="B201" s="62" t="s">
        <v>29</v>
      </c>
      <c r="C201" s="62">
        <v>4</v>
      </c>
      <c r="D201" s="62">
        <v>2</v>
      </c>
      <c r="E201" s="62">
        <v>14</v>
      </c>
      <c r="F201" s="62">
        <v>55</v>
      </c>
      <c r="G201" s="62">
        <v>19</v>
      </c>
      <c r="H201" s="62">
        <v>214</v>
      </c>
      <c r="I201" s="63">
        <v>7</v>
      </c>
    </row>
    <row r="202" spans="1:11" x14ac:dyDescent="0.35">
      <c r="A202" s="62" t="s">
        <v>28</v>
      </c>
      <c r="B202" s="62" t="s">
        <v>31</v>
      </c>
      <c r="C202" s="62">
        <v>1</v>
      </c>
      <c r="D202" s="62">
        <v>3</v>
      </c>
      <c r="E202" s="62">
        <v>2</v>
      </c>
      <c r="F202" s="62">
        <v>6</v>
      </c>
      <c r="G202" s="62">
        <v>34</v>
      </c>
      <c r="H202" s="62">
        <v>302</v>
      </c>
      <c r="I202" s="63">
        <v>7</v>
      </c>
    </row>
    <row r="203" spans="1:11" x14ac:dyDescent="0.35">
      <c r="A203" s="62" t="s">
        <v>28</v>
      </c>
      <c r="B203" s="62" t="s">
        <v>30</v>
      </c>
      <c r="C203" s="62">
        <v>2</v>
      </c>
      <c r="D203" s="62">
        <v>3</v>
      </c>
      <c r="E203" s="62">
        <v>6</v>
      </c>
      <c r="F203" s="62">
        <v>22</v>
      </c>
      <c r="G203" s="62">
        <v>38</v>
      </c>
      <c r="H203" s="62">
        <v>306</v>
      </c>
      <c r="I203" s="63">
        <v>7</v>
      </c>
    </row>
    <row r="204" spans="1:11" x14ac:dyDescent="0.35">
      <c r="A204" s="62" t="s">
        <v>28</v>
      </c>
      <c r="B204" s="62" t="s">
        <v>29</v>
      </c>
      <c r="C204" s="62">
        <v>3</v>
      </c>
      <c r="D204" s="62">
        <v>3</v>
      </c>
      <c r="E204" s="62">
        <v>10</v>
      </c>
      <c r="F204" s="62">
        <v>38</v>
      </c>
      <c r="G204" s="62">
        <v>42</v>
      </c>
      <c r="H204" s="62">
        <v>310</v>
      </c>
      <c r="I204" s="63">
        <v>7</v>
      </c>
    </row>
    <row r="205" spans="1:11" x14ac:dyDescent="0.35">
      <c r="A205" s="62" t="s">
        <v>28</v>
      </c>
      <c r="B205" s="62" t="s">
        <v>32</v>
      </c>
      <c r="C205" s="62">
        <v>4</v>
      </c>
      <c r="D205" s="62">
        <v>3</v>
      </c>
      <c r="E205" s="62">
        <v>14</v>
      </c>
      <c r="F205" s="62">
        <v>54</v>
      </c>
      <c r="G205" s="62">
        <v>46</v>
      </c>
      <c r="H205" s="62">
        <v>314</v>
      </c>
      <c r="I205" s="63">
        <v>7</v>
      </c>
    </row>
    <row r="206" spans="1:11" x14ac:dyDescent="0.35">
      <c r="A206" s="62" t="s">
        <v>28</v>
      </c>
      <c r="B206" s="62" t="s">
        <v>32</v>
      </c>
      <c r="C206" s="62">
        <v>1</v>
      </c>
      <c r="D206" s="62">
        <v>4</v>
      </c>
      <c r="E206" s="62">
        <v>2</v>
      </c>
      <c r="F206" s="62">
        <v>5</v>
      </c>
      <c r="G206" s="62">
        <v>63</v>
      </c>
      <c r="H206" s="62">
        <v>402</v>
      </c>
      <c r="I206" s="63">
        <v>7</v>
      </c>
    </row>
    <row r="207" spans="1:11" x14ac:dyDescent="0.35">
      <c r="A207" s="62" t="s">
        <v>28</v>
      </c>
      <c r="B207" s="62" t="s">
        <v>29</v>
      </c>
      <c r="C207" s="62">
        <v>2</v>
      </c>
      <c r="D207" s="62">
        <v>4</v>
      </c>
      <c r="E207" s="62">
        <v>6</v>
      </c>
      <c r="F207" s="62">
        <v>21</v>
      </c>
      <c r="G207" s="62">
        <v>59</v>
      </c>
      <c r="H207" s="62">
        <v>406</v>
      </c>
      <c r="I207" s="63">
        <v>7</v>
      </c>
    </row>
    <row r="208" spans="1:11" x14ac:dyDescent="0.35">
      <c r="A208" s="62" t="s">
        <v>28</v>
      </c>
      <c r="B208" s="62" t="s">
        <v>30</v>
      </c>
      <c r="C208" s="62">
        <v>3</v>
      </c>
      <c r="D208" s="62">
        <v>4</v>
      </c>
      <c r="E208" s="62">
        <v>10</v>
      </c>
      <c r="F208" s="62">
        <v>37</v>
      </c>
      <c r="G208" s="62">
        <v>55</v>
      </c>
      <c r="H208" s="62">
        <v>410</v>
      </c>
      <c r="I208" s="63">
        <v>7</v>
      </c>
    </row>
    <row r="209" spans="1:11" x14ac:dyDescent="0.35">
      <c r="A209" s="62" t="s">
        <v>28</v>
      </c>
      <c r="B209" s="62" t="s">
        <v>31</v>
      </c>
      <c r="C209" s="62">
        <v>4</v>
      </c>
      <c r="D209" s="62">
        <v>4</v>
      </c>
      <c r="E209" s="62">
        <v>14</v>
      </c>
      <c r="F209" s="62">
        <v>53</v>
      </c>
      <c r="G209" s="62">
        <v>51</v>
      </c>
      <c r="H209" s="62">
        <v>414</v>
      </c>
      <c r="I209" s="63">
        <v>7</v>
      </c>
    </row>
    <row r="210" spans="1:11" x14ac:dyDescent="0.35">
      <c r="A210" s="62" t="s">
        <v>33</v>
      </c>
      <c r="B210" s="62" t="s">
        <v>34</v>
      </c>
      <c r="C210" s="62">
        <v>1</v>
      </c>
      <c r="D210" s="62">
        <v>1</v>
      </c>
      <c r="E210" s="62">
        <v>4</v>
      </c>
      <c r="F210" s="62">
        <v>16</v>
      </c>
      <c r="G210" s="62">
        <v>4</v>
      </c>
      <c r="H210" s="62">
        <v>104</v>
      </c>
      <c r="I210" s="63">
        <v>7</v>
      </c>
      <c r="J210" s="90">
        <v>45825</v>
      </c>
      <c r="K210" s="63">
        <v>29</v>
      </c>
    </row>
    <row r="211" spans="1:11" x14ac:dyDescent="0.35">
      <c r="A211" s="62" t="s">
        <v>33</v>
      </c>
      <c r="B211" s="62" t="s">
        <v>35</v>
      </c>
      <c r="C211" s="62">
        <v>2</v>
      </c>
      <c r="D211" s="62">
        <v>1</v>
      </c>
      <c r="E211" s="62">
        <v>8</v>
      </c>
      <c r="F211" s="62">
        <v>32</v>
      </c>
      <c r="G211" s="62">
        <v>8</v>
      </c>
      <c r="H211" s="62">
        <v>108</v>
      </c>
      <c r="I211" s="63">
        <v>7</v>
      </c>
      <c r="J211" s="90">
        <v>45825</v>
      </c>
      <c r="K211" s="63">
        <v>38</v>
      </c>
    </row>
    <row r="212" spans="1:11" x14ac:dyDescent="0.35">
      <c r="A212" s="62" t="s">
        <v>33</v>
      </c>
      <c r="B212" s="62" t="s">
        <v>29</v>
      </c>
      <c r="C212" s="62">
        <v>3</v>
      </c>
      <c r="D212" s="62">
        <v>1</v>
      </c>
      <c r="E212" s="62">
        <v>12</v>
      </c>
      <c r="F212" s="62">
        <v>48</v>
      </c>
      <c r="G212" s="62">
        <v>12</v>
      </c>
      <c r="H212" s="62">
        <v>112</v>
      </c>
      <c r="I212" s="63">
        <v>7</v>
      </c>
      <c r="J212" s="90">
        <v>45825</v>
      </c>
      <c r="K212" s="63">
        <v>35</v>
      </c>
    </row>
    <row r="213" spans="1:11" x14ac:dyDescent="0.35">
      <c r="A213" s="62" t="s">
        <v>33</v>
      </c>
      <c r="B213" s="62" t="s">
        <v>30</v>
      </c>
      <c r="C213" s="62">
        <v>4</v>
      </c>
      <c r="D213" s="62">
        <v>1</v>
      </c>
      <c r="E213" s="62">
        <v>16</v>
      </c>
      <c r="F213" s="62">
        <v>64</v>
      </c>
      <c r="G213" s="62">
        <v>16</v>
      </c>
      <c r="H213" s="62">
        <v>116</v>
      </c>
      <c r="I213" s="63">
        <v>7</v>
      </c>
      <c r="J213" s="90">
        <v>45825</v>
      </c>
      <c r="K213" s="63">
        <v>41</v>
      </c>
    </row>
    <row r="214" spans="1:11" x14ac:dyDescent="0.35">
      <c r="A214" s="62" t="s">
        <v>33</v>
      </c>
      <c r="B214" s="62" t="s">
        <v>30</v>
      </c>
      <c r="C214" s="62">
        <v>1</v>
      </c>
      <c r="D214" s="62">
        <v>2</v>
      </c>
      <c r="E214" s="62">
        <v>4</v>
      </c>
      <c r="F214" s="62">
        <v>15</v>
      </c>
      <c r="G214" s="62">
        <v>29</v>
      </c>
      <c r="H214" s="62">
        <v>204</v>
      </c>
      <c r="I214" s="63">
        <v>7</v>
      </c>
      <c r="J214" s="90">
        <v>45825</v>
      </c>
      <c r="K214" s="63">
        <v>43</v>
      </c>
    </row>
    <row r="215" spans="1:11" x14ac:dyDescent="0.35">
      <c r="A215" s="62" t="s">
        <v>33</v>
      </c>
      <c r="B215" s="62" t="s">
        <v>29</v>
      </c>
      <c r="C215" s="62">
        <v>2</v>
      </c>
      <c r="D215" s="62">
        <v>2</v>
      </c>
      <c r="E215" s="62">
        <v>8</v>
      </c>
      <c r="F215" s="62">
        <v>31</v>
      </c>
      <c r="G215" s="62">
        <v>25</v>
      </c>
      <c r="H215" s="62">
        <v>208</v>
      </c>
      <c r="I215" s="63">
        <v>7</v>
      </c>
      <c r="J215" s="90">
        <v>45825</v>
      </c>
      <c r="K215" s="63">
        <v>30</v>
      </c>
    </row>
    <row r="216" spans="1:11" x14ac:dyDescent="0.35">
      <c r="A216" s="62" t="s">
        <v>33</v>
      </c>
      <c r="B216" s="62" t="s">
        <v>35</v>
      </c>
      <c r="C216" s="62">
        <v>3</v>
      </c>
      <c r="D216" s="62">
        <v>2</v>
      </c>
      <c r="E216" s="62">
        <v>12</v>
      </c>
      <c r="F216" s="62">
        <v>47</v>
      </c>
      <c r="G216" s="62">
        <v>21</v>
      </c>
      <c r="H216" s="62">
        <v>212</v>
      </c>
      <c r="I216" s="63">
        <v>7</v>
      </c>
      <c r="J216" s="90">
        <v>45825</v>
      </c>
      <c r="K216" s="63">
        <v>37</v>
      </c>
    </row>
    <row r="217" spans="1:11" x14ac:dyDescent="0.35">
      <c r="A217" s="62" t="s">
        <v>33</v>
      </c>
      <c r="B217" s="62" t="s">
        <v>34</v>
      </c>
      <c r="C217" s="62">
        <v>4</v>
      </c>
      <c r="D217" s="62">
        <v>2</v>
      </c>
      <c r="E217" s="62">
        <v>16</v>
      </c>
      <c r="F217" s="62">
        <v>58</v>
      </c>
      <c r="G217" s="62">
        <v>18</v>
      </c>
      <c r="H217" s="62">
        <v>216</v>
      </c>
      <c r="I217" s="63">
        <v>7</v>
      </c>
      <c r="J217" s="90">
        <v>45825</v>
      </c>
      <c r="K217" s="63">
        <v>29</v>
      </c>
    </row>
    <row r="218" spans="1:11" x14ac:dyDescent="0.35">
      <c r="A218" s="62" t="s">
        <v>33</v>
      </c>
      <c r="B218" s="62" t="s">
        <v>35</v>
      </c>
      <c r="C218" s="62">
        <v>1</v>
      </c>
      <c r="D218" s="62">
        <v>3</v>
      </c>
      <c r="E218" s="62">
        <v>4</v>
      </c>
      <c r="F218" s="62">
        <v>14</v>
      </c>
      <c r="G218" s="62">
        <v>36</v>
      </c>
      <c r="H218" s="62">
        <v>304</v>
      </c>
      <c r="I218" s="63">
        <v>7</v>
      </c>
      <c r="J218" s="90">
        <v>45825</v>
      </c>
      <c r="K218" s="63">
        <v>41</v>
      </c>
    </row>
    <row r="219" spans="1:11" x14ac:dyDescent="0.35">
      <c r="A219" s="62" t="s">
        <v>33</v>
      </c>
      <c r="B219" s="62" t="s">
        <v>30</v>
      </c>
      <c r="C219" s="62">
        <v>2</v>
      </c>
      <c r="D219" s="62">
        <v>3</v>
      </c>
      <c r="E219" s="62">
        <v>8</v>
      </c>
      <c r="F219" s="62">
        <v>30</v>
      </c>
      <c r="G219" s="62">
        <v>40</v>
      </c>
      <c r="H219" s="62">
        <v>308</v>
      </c>
      <c r="I219" s="63">
        <v>7</v>
      </c>
      <c r="J219" s="90">
        <v>45825</v>
      </c>
      <c r="K219" s="63">
        <v>30</v>
      </c>
    </row>
    <row r="220" spans="1:11" x14ac:dyDescent="0.35">
      <c r="A220" s="62" t="s">
        <v>33</v>
      </c>
      <c r="B220" s="62" t="s">
        <v>34</v>
      </c>
      <c r="C220" s="62">
        <v>3</v>
      </c>
      <c r="D220" s="62">
        <v>3</v>
      </c>
      <c r="E220" s="62">
        <v>12</v>
      </c>
      <c r="F220" s="62">
        <v>46</v>
      </c>
      <c r="G220" s="62">
        <v>44</v>
      </c>
      <c r="H220" s="62">
        <v>312</v>
      </c>
      <c r="I220" s="63">
        <v>7</v>
      </c>
      <c r="J220" s="90">
        <v>45825</v>
      </c>
      <c r="K220" s="63">
        <v>51</v>
      </c>
    </row>
    <row r="221" spans="1:11" x14ac:dyDescent="0.35">
      <c r="A221" s="62" t="s">
        <v>33</v>
      </c>
      <c r="B221" s="62" t="s">
        <v>29</v>
      </c>
      <c r="C221" s="62">
        <v>4</v>
      </c>
      <c r="D221" s="62">
        <v>3</v>
      </c>
      <c r="E221" s="62">
        <v>16</v>
      </c>
      <c r="F221" s="62">
        <v>62</v>
      </c>
      <c r="G221" s="62">
        <v>48</v>
      </c>
      <c r="H221" s="62">
        <v>316</v>
      </c>
      <c r="I221" s="63">
        <v>7</v>
      </c>
      <c r="J221" s="90">
        <v>45825</v>
      </c>
      <c r="K221" s="63">
        <v>25</v>
      </c>
    </row>
    <row r="222" spans="1:11" x14ac:dyDescent="0.35">
      <c r="A222" s="62" t="s">
        <v>33</v>
      </c>
      <c r="B222" s="62" t="s">
        <v>29</v>
      </c>
      <c r="C222" s="62">
        <v>1</v>
      </c>
      <c r="D222" s="62">
        <v>4</v>
      </c>
      <c r="E222" s="62">
        <v>4</v>
      </c>
      <c r="F222" s="62">
        <v>13</v>
      </c>
      <c r="G222" s="62">
        <v>61</v>
      </c>
      <c r="H222" s="62">
        <v>404</v>
      </c>
      <c r="I222" s="63">
        <v>7</v>
      </c>
      <c r="J222" s="90">
        <v>45825</v>
      </c>
      <c r="K222" s="63">
        <v>31</v>
      </c>
    </row>
    <row r="223" spans="1:11" x14ac:dyDescent="0.35">
      <c r="A223" s="62" t="s">
        <v>33</v>
      </c>
      <c r="B223" s="62" t="s">
        <v>34</v>
      </c>
      <c r="C223" s="62">
        <v>2</v>
      </c>
      <c r="D223" s="62">
        <v>4</v>
      </c>
      <c r="E223" s="62">
        <v>8</v>
      </c>
      <c r="F223" s="62">
        <v>29</v>
      </c>
      <c r="G223" s="62">
        <v>57</v>
      </c>
      <c r="H223" s="62">
        <v>408</v>
      </c>
      <c r="I223" s="63">
        <v>7</v>
      </c>
      <c r="J223" s="90">
        <v>45825</v>
      </c>
      <c r="K223" s="63">
        <v>25</v>
      </c>
    </row>
    <row r="224" spans="1:11" x14ac:dyDescent="0.35">
      <c r="A224" s="62" t="s">
        <v>33</v>
      </c>
      <c r="B224" s="62" t="s">
        <v>30</v>
      </c>
      <c r="C224" s="62">
        <v>3</v>
      </c>
      <c r="D224" s="62">
        <v>4</v>
      </c>
      <c r="E224" s="62">
        <v>12</v>
      </c>
      <c r="F224" s="62">
        <v>45</v>
      </c>
      <c r="G224" s="62">
        <v>53</v>
      </c>
      <c r="H224" s="62">
        <v>412</v>
      </c>
      <c r="I224" s="63">
        <v>7</v>
      </c>
      <c r="J224" s="90">
        <v>45825</v>
      </c>
      <c r="K224" s="63">
        <v>26</v>
      </c>
    </row>
    <row r="225" spans="1:11" x14ac:dyDescent="0.35">
      <c r="A225" s="62" t="s">
        <v>33</v>
      </c>
      <c r="B225" s="62" t="s">
        <v>35</v>
      </c>
      <c r="C225" s="62">
        <v>4</v>
      </c>
      <c r="D225" s="62">
        <v>4</v>
      </c>
      <c r="E225" s="62">
        <v>16</v>
      </c>
      <c r="F225" s="62">
        <v>60</v>
      </c>
      <c r="G225" s="62">
        <v>50</v>
      </c>
      <c r="H225" s="62">
        <v>416</v>
      </c>
      <c r="I225" s="63">
        <v>7</v>
      </c>
      <c r="J225" s="90">
        <v>45825</v>
      </c>
      <c r="K225" s="63">
        <v>30</v>
      </c>
    </row>
  </sheetData>
  <sortState xmlns:xlrd2="http://schemas.microsoft.com/office/spreadsheetml/2017/richdata2" ref="A2:K161">
    <sortCondition ref="I2:I161"/>
    <sortCondition ref="A2:A161"/>
    <sortCondition ref="D2:D161"/>
  </sortState>
  <printOptions gridLines="1"/>
  <pageMargins left="0.25" right="0.25"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6094-9298-4AC3-AC58-56715B64BEE4}">
  <dimension ref="A1:AD33"/>
  <sheetViews>
    <sheetView topLeftCell="M1" workbookViewId="0">
      <selection activeCell="X17" sqref="X17"/>
    </sheetView>
  </sheetViews>
  <sheetFormatPr defaultRowHeight="14.5" x14ac:dyDescent="0.35"/>
  <cols>
    <col min="1" max="1" width="13.81640625" style="105" customWidth="1"/>
    <col min="2" max="2" width="16.453125" style="105" customWidth="1"/>
    <col min="3" max="3" width="13.54296875" style="105" customWidth="1"/>
    <col min="4" max="7" width="8.81640625" style="105"/>
    <col min="8" max="8" width="8.54296875" style="105" customWidth="1"/>
    <col min="9" max="9" width="14.453125" style="49" customWidth="1"/>
    <col min="10" max="10" width="12.54296875" customWidth="1"/>
    <col min="16" max="16" width="9.1796875" style="34"/>
    <col min="18" max="18" width="11" style="34" customWidth="1"/>
    <col min="21" max="21" width="8.26953125" customWidth="1"/>
    <col min="22" max="22" width="6.81640625" customWidth="1"/>
    <col min="23" max="23" width="7.453125" customWidth="1"/>
    <col min="24" max="24" width="42.453125" bestFit="1" customWidth="1"/>
    <col min="25" max="25" width="15.54296875" bestFit="1" customWidth="1"/>
    <col min="26" max="28" width="4" bestFit="1" customWidth="1"/>
    <col min="29" max="29" width="10.7265625" bestFit="1" customWidth="1"/>
    <col min="30" max="30" width="12" bestFit="1" customWidth="1"/>
  </cols>
  <sheetData>
    <row r="1" spans="1:30" ht="68.150000000000006" customHeight="1" x14ac:dyDescent="0.35">
      <c r="A1" s="80" t="s">
        <v>20</v>
      </c>
      <c r="B1" s="80" t="s">
        <v>21</v>
      </c>
      <c r="C1" s="80" t="s">
        <v>22</v>
      </c>
      <c r="D1" s="80" t="s">
        <v>23</v>
      </c>
      <c r="E1" s="80" t="s">
        <v>24</v>
      </c>
      <c r="F1" s="80" t="s">
        <v>26</v>
      </c>
      <c r="G1" s="80" t="s">
        <v>27</v>
      </c>
      <c r="H1" s="80" t="s">
        <v>25</v>
      </c>
      <c r="I1" s="106" t="s">
        <v>413</v>
      </c>
      <c r="J1" s="10" t="s">
        <v>419</v>
      </c>
      <c r="K1" s="10" t="s">
        <v>420</v>
      </c>
      <c r="L1" s="10" t="s">
        <v>421</v>
      </c>
      <c r="M1" s="10" t="s">
        <v>422</v>
      </c>
      <c r="N1" s="10" t="s">
        <v>423</v>
      </c>
      <c r="O1" s="10" t="s">
        <v>424</v>
      </c>
      <c r="P1" s="8" t="s">
        <v>425</v>
      </c>
      <c r="Q1" s="10" t="s">
        <v>426</v>
      </c>
      <c r="R1" s="8" t="s">
        <v>427</v>
      </c>
    </row>
    <row r="2" spans="1:30" x14ac:dyDescent="0.35">
      <c r="A2" s="105" t="s">
        <v>28</v>
      </c>
      <c r="B2" s="105" t="s">
        <v>29</v>
      </c>
      <c r="C2" s="105">
        <v>1</v>
      </c>
      <c r="D2" s="105">
        <v>1</v>
      </c>
      <c r="E2" s="105">
        <v>2</v>
      </c>
      <c r="F2" s="105">
        <v>8</v>
      </c>
      <c r="G2" s="105">
        <v>2</v>
      </c>
      <c r="H2" s="105">
        <v>102</v>
      </c>
      <c r="I2" s="49" t="s">
        <v>428</v>
      </c>
      <c r="J2">
        <v>17</v>
      </c>
      <c r="K2">
        <v>25</v>
      </c>
      <c r="L2">
        <v>28</v>
      </c>
      <c r="M2">
        <v>13</v>
      </c>
      <c r="N2">
        <v>21</v>
      </c>
      <c r="O2">
        <v>28</v>
      </c>
      <c r="P2" s="34">
        <f>AVERAGE(J2:O2)</f>
        <v>22</v>
      </c>
      <c r="Q2">
        <v>0.25</v>
      </c>
      <c r="R2" s="34">
        <f>P2*(1/Q2)</f>
        <v>88</v>
      </c>
      <c r="S2" s="34"/>
      <c r="X2" s="29" t="s">
        <v>429</v>
      </c>
      <c r="Y2" s="29" t="s">
        <v>416</v>
      </c>
    </row>
    <row r="3" spans="1:30" x14ac:dyDescent="0.35">
      <c r="A3" s="105" t="s">
        <v>28</v>
      </c>
      <c r="B3" s="105" t="s">
        <v>30</v>
      </c>
      <c r="C3" s="105">
        <v>1</v>
      </c>
      <c r="D3" s="105">
        <v>2</v>
      </c>
      <c r="E3" s="105">
        <v>2</v>
      </c>
      <c r="F3" s="105">
        <v>7</v>
      </c>
      <c r="G3" s="105">
        <v>31</v>
      </c>
      <c r="H3" s="105">
        <v>202</v>
      </c>
      <c r="I3" s="49" t="s">
        <v>428</v>
      </c>
      <c r="J3">
        <v>40</v>
      </c>
      <c r="K3">
        <v>40</v>
      </c>
      <c r="L3">
        <v>34</v>
      </c>
      <c r="M3">
        <v>46</v>
      </c>
      <c r="N3">
        <v>26</v>
      </c>
      <c r="O3">
        <v>42</v>
      </c>
      <c r="P3" s="34">
        <f t="shared" ref="P3:P33" si="0">AVERAGE(J3:O3)</f>
        <v>38</v>
      </c>
      <c r="Q3">
        <v>0.25</v>
      </c>
      <c r="R3" s="34">
        <f t="shared" ref="R3:R33" si="1">P3*(1/Q3)</f>
        <v>152</v>
      </c>
      <c r="X3" s="29" t="s">
        <v>417</v>
      </c>
      <c r="Y3">
        <v>1</v>
      </c>
      <c r="Z3">
        <v>2</v>
      </c>
      <c r="AA3">
        <v>3</v>
      </c>
      <c r="AB3">
        <v>4</v>
      </c>
      <c r="AC3" t="s">
        <v>418</v>
      </c>
    </row>
    <row r="4" spans="1:30" x14ac:dyDescent="0.35">
      <c r="A4" s="105" t="s">
        <v>28</v>
      </c>
      <c r="B4" s="105" t="s">
        <v>31</v>
      </c>
      <c r="C4" s="105">
        <v>1</v>
      </c>
      <c r="D4" s="105">
        <v>3</v>
      </c>
      <c r="E4" s="105">
        <v>2</v>
      </c>
      <c r="F4" s="105">
        <v>6</v>
      </c>
      <c r="G4" s="105">
        <v>34</v>
      </c>
      <c r="H4" s="105">
        <v>302</v>
      </c>
      <c r="I4" s="49" t="s">
        <v>428</v>
      </c>
      <c r="J4">
        <v>23</v>
      </c>
      <c r="K4">
        <v>33</v>
      </c>
      <c r="L4">
        <v>22</v>
      </c>
      <c r="M4">
        <v>24</v>
      </c>
      <c r="N4">
        <v>30</v>
      </c>
      <c r="O4">
        <v>39</v>
      </c>
      <c r="P4" s="34">
        <f t="shared" si="0"/>
        <v>28.5</v>
      </c>
      <c r="Q4">
        <v>0.25</v>
      </c>
      <c r="R4" s="34">
        <f t="shared" si="1"/>
        <v>114</v>
      </c>
      <c r="X4" s="32" t="s">
        <v>28</v>
      </c>
      <c r="Y4" s="34">
        <v>111.83333333333334</v>
      </c>
      <c r="Z4" s="34">
        <v>124.66666666666667</v>
      </c>
      <c r="AA4" s="34">
        <v>98.5</v>
      </c>
      <c r="AB4" s="34">
        <v>98</v>
      </c>
      <c r="AC4" s="34">
        <v>108.25000000000001</v>
      </c>
    </row>
    <row r="5" spans="1:30" x14ac:dyDescent="0.35">
      <c r="A5" s="105" t="s">
        <v>28</v>
      </c>
      <c r="B5" s="105" t="s">
        <v>32</v>
      </c>
      <c r="C5" s="105">
        <v>1</v>
      </c>
      <c r="D5" s="105">
        <v>4</v>
      </c>
      <c r="E5" s="105">
        <v>2</v>
      </c>
      <c r="F5" s="105">
        <v>5</v>
      </c>
      <c r="G5" s="105">
        <v>63</v>
      </c>
      <c r="H5" s="105">
        <v>402</v>
      </c>
      <c r="I5" s="49" t="s">
        <v>428</v>
      </c>
      <c r="J5">
        <v>20</v>
      </c>
      <c r="K5">
        <v>18</v>
      </c>
      <c r="L5">
        <v>20</v>
      </c>
      <c r="M5">
        <v>9</v>
      </c>
      <c r="N5">
        <v>15</v>
      </c>
      <c r="O5">
        <v>15</v>
      </c>
      <c r="P5" s="34">
        <f t="shared" si="0"/>
        <v>16.166666666666668</v>
      </c>
      <c r="Q5">
        <v>0.25</v>
      </c>
      <c r="R5" s="34">
        <f t="shared" si="1"/>
        <v>64.666666666666671</v>
      </c>
      <c r="X5" s="91" t="s">
        <v>32</v>
      </c>
      <c r="Y5" s="34">
        <v>120.66666666666667</v>
      </c>
      <c r="Z5" s="34">
        <v>114</v>
      </c>
      <c r="AA5" s="34">
        <v>94.666666666666671</v>
      </c>
      <c r="AB5" s="34">
        <v>64.666666666666671</v>
      </c>
      <c r="AC5" s="34">
        <v>98.500000000000014</v>
      </c>
    </row>
    <row r="6" spans="1:30" s="33" customFormat="1" x14ac:dyDescent="0.35">
      <c r="A6" s="105" t="s">
        <v>33</v>
      </c>
      <c r="B6" s="105" t="s">
        <v>34</v>
      </c>
      <c r="C6" s="105">
        <v>1</v>
      </c>
      <c r="D6" s="105">
        <v>1</v>
      </c>
      <c r="E6" s="105">
        <v>4</v>
      </c>
      <c r="F6" s="105">
        <v>16</v>
      </c>
      <c r="G6" s="105">
        <v>4</v>
      </c>
      <c r="H6" s="105">
        <v>104</v>
      </c>
      <c r="I6" s="107">
        <v>45834</v>
      </c>
      <c r="J6" s="96">
        <v>25</v>
      </c>
      <c r="K6" s="96">
        <v>38</v>
      </c>
      <c r="L6" s="96">
        <v>31</v>
      </c>
      <c r="M6" s="96">
        <v>27</v>
      </c>
      <c r="N6" s="96">
        <v>23</v>
      </c>
      <c r="O6" s="96">
        <v>24</v>
      </c>
      <c r="P6" s="34">
        <f t="shared" si="0"/>
        <v>28</v>
      </c>
      <c r="Q6">
        <v>0.25</v>
      </c>
      <c r="R6" s="34">
        <f t="shared" si="1"/>
        <v>112</v>
      </c>
      <c r="U6"/>
      <c r="V6"/>
      <c r="W6"/>
      <c r="X6" s="91" t="s">
        <v>31</v>
      </c>
      <c r="Y6" s="34">
        <v>126</v>
      </c>
      <c r="Z6" s="34">
        <v>133.33333333333334</v>
      </c>
      <c r="AA6" s="34">
        <v>114</v>
      </c>
      <c r="AB6" s="34">
        <v>116</v>
      </c>
      <c r="AC6" s="34">
        <v>122.33333333333334</v>
      </c>
      <c r="AD6"/>
    </row>
    <row r="7" spans="1:30" s="33" customFormat="1" x14ac:dyDescent="0.35">
      <c r="A7" s="105" t="s">
        <v>33</v>
      </c>
      <c r="B7" s="105" t="s">
        <v>30</v>
      </c>
      <c r="C7" s="105">
        <v>1</v>
      </c>
      <c r="D7" s="105">
        <v>2</v>
      </c>
      <c r="E7" s="105">
        <v>4</v>
      </c>
      <c r="F7" s="105">
        <v>15</v>
      </c>
      <c r="G7" s="105">
        <v>29</v>
      </c>
      <c r="H7" s="105">
        <v>204</v>
      </c>
      <c r="I7" s="107">
        <v>45834</v>
      </c>
      <c r="J7" s="96">
        <v>27</v>
      </c>
      <c r="K7" s="96">
        <v>32</v>
      </c>
      <c r="L7" s="96">
        <v>41</v>
      </c>
      <c r="M7" s="96">
        <v>29</v>
      </c>
      <c r="N7" s="96">
        <v>35</v>
      </c>
      <c r="O7" s="96">
        <v>39</v>
      </c>
      <c r="P7" s="34">
        <f t="shared" si="0"/>
        <v>33.833333333333336</v>
      </c>
      <c r="Q7">
        <v>0.25</v>
      </c>
      <c r="R7" s="34">
        <f t="shared" si="1"/>
        <v>135.33333333333334</v>
      </c>
      <c r="U7"/>
      <c r="V7"/>
      <c r="W7"/>
      <c r="X7" s="91" t="s">
        <v>29</v>
      </c>
      <c r="Y7" s="34">
        <v>88</v>
      </c>
      <c r="Z7" s="34">
        <v>99.333333333333329</v>
      </c>
      <c r="AA7" s="34">
        <v>77.333333333333329</v>
      </c>
      <c r="AB7" s="34">
        <v>119.33333333333333</v>
      </c>
      <c r="AC7" s="34">
        <v>95.999999999999986</v>
      </c>
      <c r="AD7"/>
    </row>
    <row r="8" spans="1:30" s="33" customFormat="1" x14ac:dyDescent="0.35">
      <c r="A8" s="105" t="s">
        <v>33</v>
      </c>
      <c r="B8" s="105" t="s">
        <v>35</v>
      </c>
      <c r="C8" s="105">
        <v>1</v>
      </c>
      <c r="D8" s="105">
        <v>3</v>
      </c>
      <c r="E8" s="105">
        <v>4</v>
      </c>
      <c r="F8" s="105">
        <v>14</v>
      </c>
      <c r="G8" s="105">
        <v>36</v>
      </c>
      <c r="H8" s="105">
        <v>304</v>
      </c>
      <c r="I8" s="107">
        <v>45834</v>
      </c>
      <c r="J8" s="96">
        <v>30</v>
      </c>
      <c r="K8" s="96">
        <v>24</v>
      </c>
      <c r="L8" s="96">
        <v>43</v>
      </c>
      <c r="M8" s="96">
        <v>31</v>
      </c>
      <c r="N8" s="96">
        <v>39</v>
      </c>
      <c r="O8" s="96">
        <v>28</v>
      </c>
      <c r="P8" s="34">
        <f t="shared" si="0"/>
        <v>32.5</v>
      </c>
      <c r="Q8">
        <v>0.25</v>
      </c>
      <c r="R8" s="34">
        <f t="shared" si="1"/>
        <v>130</v>
      </c>
      <c r="U8"/>
      <c r="V8"/>
      <c r="W8"/>
      <c r="X8" s="91" t="s">
        <v>30</v>
      </c>
      <c r="Y8" s="34">
        <v>112.66666666666667</v>
      </c>
      <c r="Z8" s="34">
        <v>152</v>
      </c>
      <c r="AA8" s="34">
        <v>108</v>
      </c>
      <c r="AB8" s="34">
        <v>92</v>
      </c>
      <c r="AC8" s="34">
        <v>116.16666666666667</v>
      </c>
      <c r="AD8"/>
    </row>
    <row r="9" spans="1:30" s="33" customFormat="1" x14ac:dyDescent="0.35">
      <c r="A9" s="105" t="s">
        <v>33</v>
      </c>
      <c r="B9" s="105" t="s">
        <v>29</v>
      </c>
      <c r="C9" s="105">
        <v>1</v>
      </c>
      <c r="D9" s="105">
        <v>4</v>
      </c>
      <c r="E9" s="105">
        <v>4</v>
      </c>
      <c r="F9" s="105">
        <v>13</v>
      </c>
      <c r="G9" s="105">
        <v>61</v>
      </c>
      <c r="H9" s="105">
        <v>404</v>
      </c>
      <c r="I9" s="107">
        <v>45834</v>
      </c>
      <c r="J9" s="96">
        <v>28</v>
      </c>
      <c r="K9" s="96">
        <v>24</v>
      </c>
      <c r="L9" s="96">
        <v>33</v>
      </c>
      <c r="M9" s="96">
        <v>40</v>
      </c>
      <c r="N9" s="96">
        <v>43</v>
      </c>
      <c r="O9" s="96">
        <v>44</v>
      </c>
      <c r="P9" s="34">
        <f t="shared" si="0"/>
        <v>35.333333333333336</v>
      </c>
      <c r="Q9">
        <v>0.25</v>
      </c>
      <c r="R9" s="34">
        <f t="shared" si="1"/>
        <v>141.33333333333334</v>
      </c>
      <c r="U9"/>
      <c r="V9"/>
      <c r="W9"/>
      <c r="X9" s="32" t="s">
        <v>33</v>
      </c>
      <c r="Y9" s="34">
        <v>118.5</v>
      </c>
      <c r="Z9" s="34">
        <v>121.16666666666669</v>
      </c>
      <c r="AA9" s="34">
        <v>120.83333333333333</v>
      </c>
      <c r="AB9" s="34">
        <v>146.00000000000003</v>
      </c>
      <c r="AC9" s="34">
        <v>126.625</v>
      </c>
      <c r="AD9"/>
    </row>
    <row r="10" spans="1:30" x14ac:dyDescent="0.35">
      <c r="A10" s="105" t="s">
        <v>28</v>
      </c>
      <c r="B10" s="105" t="s">
        <v>31</v>
      </c>
      <c r="C10" s="105">
        <v>2</v>
      </c>
      <c r="D10" s="105">
        <v>1</v>
      </c>
      <c r="E10" s="105">
        <v>6</v>
      </c>
      <c r="F10" s="105">
        <v>24</v>
      </c>
      <c r="G10" s="105">
        <v>6</v>
      </c>
      <c r="H10" s="105">
        <v>106</v>
      </c>
      <c r="I10" s="49" t="s">
        <v>428</v>
      </c>
      <c r="J10">
        <v>42</v>
      </c>
      <c r="K10">
        <v>21</v>
      </c>
      <c r="L10">
        <v>33</v>
      </c>
      <c r="M10">
        <v>29</v>
      </c>
      <c r="N10">
        <v>30</v>
      </c>
      <c r="O10">
        <v>34</v>
      </c>
      <c r="P10" s="34">
        <f t="shared" si="0"/>
        <v>31.5</v>
      </c>
      <c r="Q10">
        <v>0.25</v>
      </c>
      <c r="R10" s="34">
        <f t="shared" si="1"/>
        <v>126</v>
      </c>
      <c r="X10" s="91" t="s">
        <v>35</v>
      </c>
      <c r="Y10" s="34">
        <v>122.66666666666667</v>
      </c>
      <c r="Z10" s="34">
        <v>104.66666666666667</v>
      </c>
      <c r="AA10" s="34">
        <v>130</v>
      </c>
      <c r="AB10" s="34">
        <v>150</v>
      </c>
      <c r="AC10" s="34">
        <v>126.83333333333334</v>
      </c>
    </row>
    <row r="11" spans="1:30" x14ac:dyDescent="0.35">
      <c r="A11" s="105" t="s">
        <v>28</v>
      </c>
      <c r="B11" s="105" t="s">
        <v>32</v>
      </c>
      <c r="C11" s="105">
        <v>2</v>
      </c>
      <c r="D11" s="105">
        <v>2</v>
      </c>
      <c r="E11" s="105">
        <v>6</v>
      </c>
      <c r="F11" s="105">
        <v>23</v>
      </c>
      <c r="G11" s="105">
        <v>27</v>
      </c>
      <c r="H11" s="105">
        <v>206</v>
      </c>
      <c r="I11" s="49" t="s">
        <v>428</v>
      </c>
      <c r="J11">
        <v>24</v>
      </c>
      <c r="K11">
        <v>23</v>
      </c>
      <c r="L11">
        <v>29</v>
      </c>
      <c r="M11">
        <v>39</v>
      </c>
      <c r="N11">
        <v>26</v>
      </c>
      <c r="O11">
        <v>30</v>
      </c>
      <c r="P11" s="34">
        <f t="shared" si="0"/>
        <v>28.5</v>
      </c>
      <c r="Q11">
        <v>0.25</v>
      </c>
      <c r="R11" s="34">
        <f t="shared" si="1"/>
        <v>114</v>
      </c>
      <c r="X11" s="91" t="s">
        <v>34</v>
      </c>
      <c r="Y11" s="34">
        <v>112</v>
      </c>
      <c r="Z11" s="34">
        <v>113.33333333333333</v>
      </c>
      <c r="AA11" s="34">
        <v>115.33333333333333</v>
      </c>
      <c r="AB11" s="34">
        <v>135.33333333333334</v>
      </c>
      <c r="AC11" s="34">
        <v>119</v>
      </c>
    </row>
    <row r="12" spans="1:30" x14ac:dyDescent="0.35">
      <c r="A12" s="105" t="s">
        <v>28</v>
      </c>
      <c r="B12" s="105" t="s">
        <v>30</v>
      </c>
      <c r="C12" s="105">
        <v>2</v>
      </c>
      <c r="D12" s="105">
        <v>3</v>
      </c>
      <c r="E12" s="105">
        <v>6</v>
      </c>
      <c r="F12" s="105">
        <v>22</v>
      </c>
      <c r="G12" s="105">
        <v>38</v>
      </c>
      <c r="H12" s="105">
        <v>306</v>
      </c>
      <c r="I12" s="49" t="s">
        <v>428</v>
      </c>
      <c r="J12">
        <v>19</v>
      </c>
      <c r="K12">
        <v>19</v>
      </c>
      <c r="L12">
        <v>26</v>
      </c>
      <c r="M12">
        <v>26</v>
      </c>
      <c r="N12">
        <v>41</v>
      </c>
      <c r="O12">
        <v>31</v>
      </c>
      <c r="P12" s="34">
        <f t="shared" si="0"/>
        <v>27</v>
      </c>
      <c r="Q12">
        <v>0.25</v>
      </c>
      <c r="R12" s="34">
        <f t="shared" si="1"/>
        <v>108</v>
      </c>
      <c r="X12" s="91" t="s">
        <v>29</v>
      </c>
      <c r="Y12" s="34">
        <v>122</v>
      </c>
      <c r="Z12" s="34">
        <v>131.33333333333334</v>
      </c>
      <c r="AA12" s="34">
        <v>124</v>
      </c>
      <c r="AB12" s="34">
        <v>141.33333333333334</v>
      </c>
      <c r="AC12" s="34">
        <v>129.66666666666669</v>
      </c>
    </row>
    <row r="13" spans="1:30" x14ac:dyDescent="0.35">
      <c r="A13" s="105" t="s">
        <v>28</v>
      </c>
      <c r="B13" s="105" t="s">
        <v>29</v>
      </c>
      <c r="C13" s="105">
        <v>2</v>
      </c>
      <c r="D13" s="105">
        <v>4</v>
      </c>
      <c r="E13" s="105">
        <v>6</v>
      </c>
      <c r="F13" s="105">
        <v>21</v>
      </c>
      <c r="G13" s="105">
        <v>59</v>
      </c>
      <c r="H13" s="105">
        <v>406</v>
      </c>
      <c r="I13" s="49" t="s">
        <v>428</v>
      </c>
      <c r="J13">
        <v>22</v>
      </c>
      <c r="K13">
        <v>23</v>
      </c>
      <c r="L13">
        <v>21</v>
      </c>
      <c r="M13">
        <v>28</v>
      </c>
      <c r="N13">
        <v>38</v>
      </c>
      <c r="O13">
        <v>47</v>
      </c>
      <c r="P13" s="34">
        <f t="shared" si="0"/>
        <v>29.833333333333332</v>
      </c>
      <c r="Q13">
        <v>0.25</v>
      </c>
      <c r="R13" s="34">
        <f t="shared" si="1"/>
        <v>119.33333333333333</v>
      </c>
      <c r="X13" s="91" t="s">
        <v>30</v>
      </c>
      <c r="Y13" s="34">
        <v>117.33333333333333</v>
      </c>
      <c r="Z13" s="34">
        <v>135.33333333333334</v>
      </c>
      <c r="AA13" s="34">
        <v>114</v>
      </c>
      <c r="AB13" s="34">
        <v>157.33333333333334</v>
      </c>
      <c r="AC13" s="34">
        <v>131</v>
      </c>
    </row>
    <row r="14" spans="1:30" s="33" customFormat="1" x14ac:dyDescent="0.35">
      <c r="A14" s="105" t="s">
        <v>33</v>
      </c>
      <c r="B14" s="105" t="s">
        <v>35</v>
      </c>
      <c r="C14" s="105">
        <v>2</v>
      </c>
      <c r="D14" s="105">
        <v>1</v>
      </c>
      <c r="E14" s="105">
        <v>8</v>
      </c>
      <c r="F14" s="105">
        <v>32</v>
      </c>
      <c r="G14" s="105">
        <v>8</v>
      </c>
      <c r="H14" s="105">
        <v>108</v>
      </c>
      <c r="I14" s="107">
        <v>45834</v>
      </c>
      <c r="J14" s="96">
        <v>35</v>
      </c>
      <c r="K14" s="96">
        <v>31</v>
      </c>
      <c r="L14" s="96">
        <v>31</v>
      </c>
      <c r="M14" s="96">
        <v>30</v>
      </c>
      <c r="N14" s="96">
        <v>23</v>
      </c>
      <c r="O14" s="96">
        <v>34</v>
      </c>
      <c r="P14" s="34">
        <f t="shared" si="0"/>
        <v>30.666666666666668</v>
      </c>
      <c r="Q14">
        <v>0.25</v>
      </c>
      <c r="R14" s="34">
        <f t="shared" si="1"/>
        <v>122.66666666666667</v>
      </c>
      <c r="U14"/>
      <c r="V14"/>
      <c r="W14"/>
      <c r="X14"/>
      <c r="Y14"/>
      <c r="Z14"/>
      <c r="AA14"/>
      <c r="AB14"/>
      <c r="AC14"/>
      <c r="AD14"/>
    </row>
    <row r="15" spans="1:30" s="33" customFormat="1" x14ac:dyDescent="0.35">
      <c r="A15" s="105" t="s">
        <v>33</v>
      </c>
      <c r="B15" s="105" t="s">
        <v>29</v>
      </c>
      <c r="C15" s="105">
        <v>2</v>
      </c>
      <c r="D15" s="105">
        <v>2</v>
      </c>
      <c r="E15" s="105">
        <v>8</v>
      </c>
      <c r="F15" s="105">
        <v>31</v>
      </c>
      <c r="G15" s="105">
        <v>25</v>
      </c>
      <c r="H15" s="105">
        <v>208</v>
      </c>
      <c r="I15" s="107">
        <v>45834</v>
      </c>
      <c r="J15" s="96">
        <v>41</v>
      </c>
      <c r="K15" s="96">
        <v>33</v>
      </c>
      <c r="L15" s="96">
        <v>21</v>
      </c>
      <c r="M15" s="96">
        <v>39</v>
      </c>
      <c r="N15" s="96">
        <v>36</v>
      </c>
      <c r="O15" s="96">
        <v>27</v>
      </c>
      <c r="P15" s="34">
        <f t="shared" si="0"/>
        <v>32.833333333333336</v>
      </c>
      <c r="Q15">
        <v>0.25</v>
      </c>
      <c r="R15" s="34">
        <f t="shared" si="1"/>
        <v>131.33333333333334</v>
      </c>
      <c r="U15"/>
      <c r="V15"/>
      <c r="W15"/>
      <c r="X15"/>
      <c r="Y15"/>
      <c r="Z15"/>
      <c r="AA15"/>
      <c r="AB15"/>
      <c r="AC15"/>
      <c r="AD15"/>
    </row>
    <row r="16" spans="1:30" s="33" customFormat="1" x14ac:dyDescent="0.35">
      <c r="A16" s="105" t="s">
        <v>33</v>
      </c>
      <c r="B16" s="105" t="s">
        <v>30</v>
      </c>
      <c r="C16" s="105">
        <v>2</v>
      </c>
      <c r="D16" s="105">
        <v>3</v>
      </c>
      <c r="E16" s="105">
        <v>8</v>
      </c>
      <c r="F16" s="105">
        <v>30</v>
      </c>
      <c r="G16" s="105">
        <v>40</v>
      </c>
      <c r="H16" s="105">
        <v>308</v>
      </c>
      <c r="I16" s="107">
        <v>45834</v>
      </c>
      <c r="J16" s="96">
        <v>43</v>
      </c>
      <c r="K16" s="96">
        <v>31</v>
      </c>
      <c r="L16" s="96">
        <v>21</v>
      </c>
      <c r="M16" s="96">
        <v>29</v>
      </c>
      <c r="N16" s="96">
        <v>23</v>
      </c>
      <c r="O16" s="96">
        <v>24</v>
      </c>
      <c r="P16" s="34">
        <f t="shared" si="0"/>
        <v>28.5</v>
      </c>
      <c r="Q16">
        <v>0.25</v>
      </c>
      <c r="R16" s="34">
        <f t="shared" si="1"/>
        <v>114</v>
      </c>
      <c r="U16"/>
      <c r="V16"/>
      <c r="W16"/>
      <c r="X16"/>
      <c r="Y16"/>
      <c r="Z16"/>
      <c r="AA16"/>
      <c r="AB16"/>
      <c r="AC16"/>
      <c r="AD16"/>
    </row>
    <row r="17" spans="1:27" s="33" customFormat="1" x14ac:dyDescent="0.35">
      <c r="A17" s="105" t="s">
        <v>33</v>
      </c>
      <c r="B17" s="105" t="s">
        <v>34</v>
      </c>
      <c r="C17" s="105">
        <v>2</v>
      </c>
      <c r="D17" s="105">
        <v>4</v>
      </c>
      <c r="E17" s="105">
        <v>8</v>
      </c>
      <c r="F17" s="105">
        <v>29</v>
      </c>
      <c r="G17" s="105">
        <v>57</v>
      </c>
      <c r="H17" s="105">
        <v>408</v>
      </c>
      <c r="I17" s="107">
        <v>45834</v>
      </c>
      <c r="J17" s="96">
        <v>35</v>
      </c>
      <c r="K17" s="96">
        <v>37</v>
      </c>
      <c r="L17" s="96">
        <v>23</v>
      </c>
      <c r="M17" s="96">
        <v>35</v>
      </c>
      <c r="N17" s="96">
        <v>44</v>
      </c>
      <c r="O17" s="96">
        <v>29</v>
      </c>
      <c r="P17" s="34">
        <f t="shared" si="0"/>
        <v>33.833333333333336</v>
      </c>
      <c r="Q17">
        <v>0.25</v>
      </c>
      <c r="R17" s="34">
        <f t="shared" si="1"/>
        <v>135.33333333333334</v>
      </c>
      <c r="U17"/>
      <c r="V17"/>
      <c r="W17"/>
      <c r="X17"/>
      <c r="Y17"/>
      <c r="Z17"/>
      <c r="AA17"/>
    </row>
    <row r="18" spans="1:27" x14ac:dyDescent="0.35">
      <c r="A18" s="105" t="s">
        <v>28</v>
      </c>
      <c r="B18" s="105" t="s">
        <v>32</v>
      </c>
      <c r="C18" s="105">
        <v>3</v>
      </c>
      <c r="D18" s="105">
        <v>1</v>
      </c>
      <c r="E18" s="105">
        <v>10</v>
      </c>
      <c r="F18" s="105">
        <v>40</v>
      </c>
      <c r="G18" s="105">
        <v>10</v>
      </c>
      <c r="H18" s="105">
        <v>110</v>
      </c>
      <c r="I18" s="49" t="s">
        <v>428</v>
      </c>
      <c r="J18">
        <v>37</v>
      </c>
      <c r="K18">
        <v>23</v>
      </c>
      <c r="L18">
        <v>22</v>
      </c>
      <c r="M18">
        <v>38</v>
      </c>
      <c r="N18">
        <v>33</v>
      </c>
      <c r="O18">
        <v>28</v>
      </c>
      <c r="P18" s="34">
        <f t="shared" si="0"/>
        <v>30.166666666666668</v>
      </c>
      <c r="Q18">
        <v>0.25</v>
      </c>
      <c r="R18" s="34">
        <f t="shared" si="1"/>
        <v>120.66666666666667</v>
      </c>
    </row>
    <row r="19" spans="1:27" x14ac:dyDescent="0.35">
      <c r="A19" s="105" t="s">
        <v>28</v>
      </c>
      <c r="B19" s="105" t="s">
        <v>31</v>
      </c>
      <c r="C19" s="105">
        <v>3</v>
      </c>
      <c r="D19" s="105">
        <v>2</v>
      </c>
      <c r="E19" s="105">
        <v>10</v>
      </c>
      <c r="F19" s="105">
        <v>39</v>
      </c>
      <c r="G19" s="105">
        <v>23</v>
      </c>
      <c r="H19" s="105">
        <v>210</v>
      </c>
      <c r="I19" s="49" t="s">
        <v>428</v>
      </c>
      <c r="J19">
        <v>36</v>
      </c>
      <c r="K19">
        <v>44</v>
      </c>
      <c r="L19">
        <v>36</v>
      </c>
      <c r="M19">
        <v>26</v>
      </c>
      <c r="N19">
        <v>36</v>
      </c>
      <c r="O19">
        <v>22</v>
      </c>
      <c r="P19" s="34">
        <f t="shared" si="0"/>
        <v>33.333333333333336</v>
      </c>
      <c r="Q19">
        <v>0.25</v>
      </c>
      <c r="R19" s="34">
        <f t="shared" si="1"/>
        <v>133.33333333333334</v>
      </c>
    </row>
    <row r="20" spans="1:27" x14ac:dyDescent="0.35">
      <c r="A20" s="105" t="s">
        <v>28</v>
      </c>
      <c r="B20" s="105" t="s">
        <v>29</v>
      </c>
      <c r="C20" s="105">
        <v>3</v>
      </c>
      <c r="D20" s="105">
        <v>3</v>
      </c>
      <c r="E20" s="105">
        <v>10</v>
      </c>
      <c r="F20" s="105">
        <v>38</v>
      </c>
      <c r="G20" s="105">
        <v>42</v>
      </c>
      <c r="H20" s="105">
        <v>310</v>
      </c>
      <c r="I20" s="49" t="s">
        <v>428</v>
      </c>
      <c r="J20">
        <v>11</v>
      </c>
      <c r="K20">
        <v>18</v>
      </c>
      <c r="L20">
        <v>19</v>
      </c>
      <c r="M20">
        <v>13</v>
      </c>
      <c r="N20">
        <v>25</v>
      </c>
      <c r="O20">
        <v>30</v>
      </c>
      <c r="P20" s="34">
        <f t="shared" si="0"/>
        <v>19.333333333333332</v>
      </c>
      <c r="Q20">
        <v>0.25</v>
      </c>
      <c r="R20" s="34">
        <f t="shared" si="1"/>
        <v>77.333333333333329</v>
      </c>
    </row>
    <row r="21" spans="1:27" x14ac:dyDescent="0.35">
      <c r="A21" s="105" t="s">
        <v>28</v>
      </c>
      <c r="B21" s="105" t="s">
        <v>30</v>
      </c>
      <c r="C21" s="105">
        <v>3</v>
      </c>
      <c r="D21" s="105">
        <v>4</v>
      </c>
      <c r="E21" s="105">
        <v>10</v>
      </c>
      <c r="F21" s="105">
        <v>37</v>
      </c>
      <c r="G21" s="105">
        <v>55</v>
      </c>
      <c r="H21" s="105">
        <v>410</v>
      </c>
      <c r="I21" s="49" t="s">
        <v>428</v>
      </c>
      <c r="J21">
        <v>16</v>
      </c>
      <c r="K21">
        <v>18</v>
      </c>
      <c r="L21">
        <v>27</v>
      </c>
      <c r="M21">
        <v>21</v>
      </c>
      <c r="N21">
        <v>31</v>
      </c>
      <c r="O21">
        <v>25</v>
      </c>
      <c r="P21" s="34">
        <f t="shared" si="0"/>
        <v>23</v>
      </c>
      <c r="Q21">
        <v>0.25</v>
      </c>
      <c r="R21" s="34">
        <f t="shared" si="1"/>
        <v>92</v>
      </c>
    </row>
    <row r="22" spans="1:27" s="33" customFormat="1" x14ac:dyDescent="0.35">
      <c r="A22" s="105" t="s">
        <v>33</v>
      </c>
      <c r="B22" s="105" t="s">
        <v>29</v>
      </c>
      <c r="C22" s="105">
        <v>3</v>
      </c>
      <c r="D22" s="105">
        <v>1</v>
      </c>
      <c r="E22" s="105">
        <v>12</v>
      </c>
      <c r="F22" s="105">
        <v>48</v>
      </c>
      <c r="G22" s="105">
        <v>12</v>
      </c>
      <c r="H22" s="105">
        <v>112</v>
      </c>
      <c r="I22" s="107">
        <v>45834</v>
      </c>
      <c r="J22" s="96">
        <v>30</v>
      </c>
      <c r="K22" s="96">
        <v>29</v>
      </c>
      <c r="L22" s="96">
        <v>28</v>
      </c>
      <c r="M22" s="96">
        <v>39</v>
      </c>
      <c r="N22" s="96">
        <v>32</v>
      </c>
      <c r="O22" s="96">
        <v>25</v>
      </c>
      <c r="P22" s="34">
        <f t="shared" si="0"/>
        <v>30.5</v>
      </c>
      <c r="Q22">
        <v>0.25</v>
      </c>
      <c r="R22" s="34">
        <f t="shared" si="1"/>
        <v>122</v>
      </c>
      <c r="U22"/>
      <c r="V22"/>
      <c r="W22"/>
    </row>
    <row r="23" spans="1:27" s="33" customFormat="1" x14ac:dyDescent="0.35">
      <c r="A23" s="105" t="s">
        <v>33</v>
      </c>
      <c r="B23" s="105" t="s">
        <v>35</v>
      </c>
      <c r="C23" s="105">
        <v>3</v>
      </c>
      <c r="D23" s="105">
        <v>2</v>
      </c>
      <c r="E23" s="105">
        <v>12</v>
      </c>
      <c r="F23" s="105">
        <v>47</v>
      </c>
      <c r="G23" s="105">
        <v>21</v>
      </c>
      <c r="H23" s="105">
        <v>212</v>
      </c>
      <c r="I23" s="107">
        <v>45834</v>
      </c>
      <c r="J23" s="96">
        <v>35</v>
      </c>
      <c r="K23" s="96">
        <v>20</v>
      </c>
      <c r="L23" s="96">
        <v>13</v>
      </c>
      <c r="M23" s="96">
        <v>24</v>
      </c>
      <c r="N23" s="96">
        <v>26</v>
      </c>
      <c r="O23" s="96">
        <v>39</v>
      </c>
      <c r="P23" s="34">
        <f t="shared" si="0"/>
        <v>26.166666666666668</v>
      </c>
      <c r="Q23">
        <v>0.25</v>
      </c>
      <c r="R23" s="34">
        <f t="shared" si="1"/>
        <v>104.66666666666667</v>
      </c>
      <c r="U23"/>
      <c r="V23"/>
      <c r="W23"/>
    </row>
    <row r="24" spans="1:27" s="33" customFormat="1" x14ac:dyDescent="0.35">
      <c r="A24" s="105" t="s">
        <v>33</v>
      </c>
      <c r="B24" s="105" t="s">
        <v>34</v>
      </c>
      <c r="C24" s="105">
        <v>3</v>
      </c>
      <c r="D24" s="105">
        <v>3</v>
      </c>
      <c r="E24" s="105">
        <v>12</v>
      </c>
      <c r="F24" s="105">
        <v>46</v>
      </c>
      <c r="G24" s="105">
        <v>44</v>
      </c>
      <c r="H24" s="105">
        <v>312</v>
      </c>
      <c r="I24" s="107">
        <v>45834</v>
      </c>
      <c r="J24" s="96">
        <v>28</v>
      </c>
      <c r="K24" s="96">
        <v>44</v>
      </c>
      <c r="L24" s="96">
        <v>29</v>
      </c>
      <c r="M24" s="96">
        <v>24</v>
      </c>
      <c r="N24" s="96">
        <v>21</v>
      </c>
      <c r="O24" s="96">
        <v>27</v>
      </c>
      <c r="P24" s="34">
        <f t="shared" si="0"/>
        <v>28.833333333333332</v>
      </c>
      <c r="Q24">
        <v>0.25</v>
      </c>
      <c r="R24" s="34">
        <f t="shared" si="1"/>
        <v>115.33333333333333</v>
      </c>
    </row>
    <row r="25" spans="1:27" s="33" customFormat="1" x14ac:dyDescent="0.35">
      <c r="A25" s="105" t="s">
        <v>33</v>
      </c>
      <c r="B25" s="105" t="s">
        <v>30</v>
      </c>
      <c r="C25" s="105">
        <v>3</v>
      </c>
      <c r="D25" s="105">
        <v>4</v>
      </c>
      <c r="E25" s="105">
        <v>12</v>
      </c>
      <c r="F25" s="105">
        <v>45</v>
      </c>
      <c r="G25" s="105">
        <v>53</v>
      </c>
      <c r="H25" s="105">
        <v>412</v>
      </c>
      <c r="I25" s="107">
        <v>45834</v>
      </c>
      <c r="J25" s="96">
        <v>39</v>
      </c>
      <c r="K25" s="96">
        <v>28</v>
      </c>
      <c r="L25" s="96">
        <v>36</v>
      </c>
      <c r="M25" s="96">
        <v>34</v>
      </c>
      <c r="N25" s="96">
        <v>53</v>
      </c>
      <c r="O25" s="96">
        <v>46</v>
      </c>
      <c r="P25" s="34">
        <f t="shared" si="0"/>
        <v>39.333333333333336</v>
      </c>
      <c r="Q25">
        <v>0.25</v>
      </c>
      <c r="R25" s="34">
        <f t="shared" si="1"/>
        <v>157.33333333333334</v>
      </c>
    </row>
    <row r="26" spans="1:27" x14ac:dyDescent="0.35">
      <c r="A26" s="105" t="s">
        <v>28</v>
      </c>
      <c r="B26" s="105" t="s">
        <v>30</v>
      </c>
      <c r="C26" s="105">
        <v>4</v>
      </c>
      <c r="D26" s="105">
        <v>1</v>
      </c>
      <c r="E26" s="105">
        <v>14</v>
      </c>
      <c r="F26" s="105">
        <v>56</v>
      </c>
      <c r="G26" s="105">
        <v>14</v>
      </c>
      <c r="H26" s="105">
        <v>114</v>
      </c>
      <c r="I26" s="49" t="s">
        <v>428</v>
      </c>
      <c r="J26">
        <v>24</v>
      </c>
      <c r="K26">
        <v>40</v>
      </c>
      <c r="L26">
        <v>28</v>
      </c>
      <c r="M26">
        <v>31</v>
      </c>
      <c r="N26">
        <v>14</v>
      </c>
      <c r="O26">
        <v>32</v>
      </c>
      <c r="P26" s="34">
        <f t="shared" si="0"/>
        <v>28.166666666666668</v>
      </c>
      <c r="Q26">
        <v>0.25</v>
      </c>
      <c r="R26" s="34">
        <f t="shared" si="1"/>
        <v>112.66666666666667</v>
      </c>
    </row>
    <row r="27" spans="1:27" x14ac:dyDescent="0.35">
      <c r="A27" s="105" t="s">
        <v>28</v>
      </c>
      <c r="B27" s="105" t="s">
        <v>29</v>
      </c>
      <c r="C27" s="105">
        <v>4</v>
      </c>
      <c r="D27" s="105">
        <v>2</v>
      </c>
      <c r="E27" s="105">
        <v>14</v>
      </c>
      <c r="F27" s="105">
        <v>55</v>
      </c>
      <c r="G27" s="105">
        <v>19</v>
      </c>
      <c r="H27" s="105">
        <v>214</v>
      </c>
      <c r="I27" s="49" t="s">
        <v>428</v>
      </c>
      <c r="J27">
        <v>26</v>
      </c>
      <c r="K27">
        <v>9</v>
      </c>
      <c r="L27">
        <v>22</v>
      </c>
      <c r="M27">
        <v>27</v>
      </c>
      <c r="N27">
        <v>37</v>
      </c>
      <c r="O27">
        <v>28</v>
      </c>
      <c r="P27" s="34">
        <f t="shared" si="0"/>
        <v>24.833333333333332</v>
      </c>
      <c r="Q27">
        <v>0.25</v>
      </c>
      <c r="R27" s="34">
        <f t="shared" si="1"/>
        <v>99.333333333333329</v>
      </c>
    </row>
    <row r="28" spans="1:27" x14ac:dyDescent="0.35">
      <c r="A28" s="105" t="s">
        <v>28</v>
      </c>
      <c r="B28" s="105" t="s">
        <v>32</v>
      </c>
      <c r="C28" s="105">
        <v>4</v>
      </c>
      <c r="D28" s="105">
        <v>3</v>
      </c>
      <c r="E28" s="105">
        <v>14</v>
      </c>
      <c r="F28" s="105">
        <v>54</v>
      </c>
      <c r="G28" s="105">
        <v>46</v>
      </c>
      <c r="H28" s="105">
        <v>314</v>
      </c>
      <c r="I28" s="49" t="s">
        <v>428</v>
      </c>
      <c r="J28">
        <v>28</v>
      </c>
      <c r="K28">
        <v>23</v>
      </c>
      <c r="L28">
        <v>23</v>
      </c>
      <c r="M28">
        <v>19</v>
      </c>
      <c r="N28">
        <v>21</v>
      </c>
      <c r="O28">
        <v>28</v>
      </c>
      <c r="P28" s="34">
        <f t="shared" si="0"/>
        <v>23.666666666666668</v>
      </c>
      <c r="Q28">
        <v>0.25</v>
      </c>
      <c r="R28" s="34">
        <f t="shared" si="1"/>
        <v>94.666666666666671</v>
      </c>
    </row>
    <row r="29" spans="1:27" x14ac:dyDescent="0.35">
      <c r="A29" s="105" t="s">
        <v>28</v>
      </c>
      <c r="B29" s="105" t="s">
        <v>31</v>
      </c>
      <c r="C29" s="105">
        <v>4</v>
      </c>
      <c r="D29" s="105">
        <v>4</v>
      </c>
      <c r="E29" s="105">
        <v>14</v>
      </c>
      <c r="F29" s="105">
        <v>53</v>
      </c>
      <c r="G29" s="105">
        <v>51</v>
      </c>
      <c r="H29" s="105">
        <v>414</v>
      </c>
      <c r="I29" s="49" t="s">
        <v>428</v>
      </c>
      <c r="J29">
        <v>40</v>
      </c>
      <c r="K29">
        <v>35</v>
      </c>
      <c r="L29">
        <v>23</v>
      </c>
      <c r="M29">
        <v>30</v>
      </c>
      <c r="N29">
        <v>17</v>
      </c>
      <c r="O29">
        <v>29</v>
      </c>
      <c r="P29" s="34">
        <f t="shared" si="0"/>
        <v>29</v>
      </c>
      <c r="Q29">
        <v>0.25</v>
      </c>
      <c r="R29" s="34">
        <f t="shared" si="1"/>
        <v>116</v>
      </c>
    </row>
    <row r="30" spans="1:27" s="33" customFormat="1" x14ac:dyDescent="0.35">
      <c r="A30" s="105" t="s">
        <v>33</v>
      </c>
      <c r="B30" s="105" t="s">
        <v>30</v>
      </c>
      <c r="C30" s="105">
        <v>4</v>
      </c>
      <c r="D30" s="105">
        <v>1</v>
      </c>
      <c r="E30" s="105">
        <v>16</v>
      </c>
      <c r="F30" s="105">
        <v>64</v>
      </c>
      <c r="G30" s="105">
        <v>16</v>
      </c>
      <c r="H30" s="105">
        <v>116</v>
      </c>
      <c r="I30" s="107">
        <v>45834</v>
      </c>
      <c r="J30" s="96">
        <v>33</v>
      </c>
      <c r="K30" s="96">
        <v>35</v>
      </c>
      <c r="L30" s="96">
        <v>25</v>
      </c>
      <c r="M30" s="96">
        <v>22</v>
      </c>
      <c r="N30" s="96">
        <v>30</v>
      </c>
      <c r="O30" s="96">
        <v>31</v>
      </c>
      <c r="P30" s="34">
        <f t="shared" si="0"/>
        <v>29.333333333333332</v>
      </c>
      <c r="Q30">
        <v>0.25</v>
      </c>
      <c r="R30" s="34">
        <f t="shared" si="1"/>
        <v>117.33333333333333</v>
      </c>
    </row>
    <row r="31" spans="1:27" s="33" customFormat="1" x14ac:dyDescent="0.35">
      <c r="A31" s="105" t="s">
        <v>33</v>
      </c>
      <c r="B31" s="105" t="s">
        <v>34</v>
      </c>
      <c r="C31" s="105">
        <v>4</v>
      </c>
      <c r="D31" s="105">
        <v>2</v>
      </c>
      <c r="E31" s="105">
        <v>16</v>
      </c>
      <c r="F31" s="105">
        <v>58</v>
      </c>
      <c r="G31" s="105">
        <v>18</v>
      </c>
      <c r="H31" s="105">
        <v>216</v>
      </c>
      <c r="I31" s="107">
        <v>45834</v>
      </c>
      <c r="J31" s="96">
        <v>30</v>
      </c>
      <c r="K31" s="96">
        <v>27</v>
      </c>
      <c r="L31" s="96">
        <v>24</v>
      </c>
      <c r="M31" s="96">
        <v>36</v>
      </c>
      <c r="N31" s="96">
        <v>21</v>
      </c>
      <c r="O31" s="96">
        <v>32</v>
      </c>
      <c r="P31" s="34">
        <f t="shared" si="0"/>
        <v>28.333333333333332</v>
      </c>
      <c r="Q31">
        <v>0.25</v>
      </c>
      <c r="R31" s="34">
        <f t="shared" si="1"/>
        <v>113.33333333333333</v>
      </c>
    </row>
    <row r="32" spans="1:27" s="33" customFormat="1" x14ac:dyDescent="0.35">
      <c r="A32" s="105" t="s">
        <v>33</v>
      </c>
      <c r="B32" s="105" t="s">
        <v>29</v>
      </c>
      <c r="C32" s="105">
        <v>4</v>
      </c>
      <c r="D32" s="105">
        <v>3</v>
      </c>
      <c r="E32" s="105">
        <v>16</v>
      </c>
      <c r="F32" s="105">
        <v>62</v>
      </c>
      <c r="G32" s="105">
        <v>48</v>
      </c>
      <c r="H32" s="105">
        <v>316</v>
      </c>
      <c r="I32" s="107">
        <v>45834</v>
      </c>
      <c r="J32" s="96">
        <v>35</v>
      </c>
      <c r="K32" s="96">
        <v>26</v>
      </c>
      <c r="L32" s="96">
        <v>29</v>
      </c>
      <c r="M32" s="96">
        <v>21</v>
      </c>
      <c r="N32" s="96">
        <v>34</v>
      </c>
      <c r="O32" s="96">
        <v>41</v>
      </c>
      <c r="P32" s="34">
        <f t="shared" si="0"/>
        <v>31</v>
      </c>
      <c r="Q32">
        <v>0.25</v>
      </c>
      <c r="R32" s="34">
        <f t="shared" si="1"/>
        <v>124</v>
      </c>
    </row>
    <row r="33" spans="1:18" s="33" customFormat="1" x14ac:dyDescent="0.35">
      <c r="A33" s="105" t="s">
        <v>33</v>
      </c>
      <c r="B33" s="105" t="s">
        <v>35</v>
      </c>
      <c r="C33" s="105">
        <v>4</v>
      </c>
      <c r="D33" s="105">
        <v>4</v>
      </c>
      <c r="E33" s="105">
        <v>16</v>
      </c>
      <c r="F33" s="105">
        <v>60</v>
      </c>
      <c r="G33" s="105">
        <v>50</v>
      </c>
      <c r="H33" s="105">
        <v>416</v>
      </c>
      <c r="I33" s="107">
        <v>45834</v>
      </c>
      <c r="J33" s="96">
        <v>38</v>
      </c>
      <c r="K33" s="96">
        <v>38</v>
      </c>
      <c r="L33" s="96">
        <v>29</v>
      </c>
      <c r="M33" s="96">
        <v>42</v>
      </c>
      <c r="N33" s="96">
        <v>44</v>
      </c>
      <c r="O33" s="96">
        <v>34</v>
      </c>
      <c r="P33" s="34">
        <f t="shared" si="0"/>
        <v>37.5</v>
      </c>
      <c r="Q33">
        <v>0.25</v>
      </c>
      <c r="R33" s="34">
        <f t="shared" si="1"/>
        <v>150</v>
      </c>
    </row>
  </sheetData>
  <sortState xmlns:xlrd2="http://schemas.microsoft.com/office/spreadsheetml/2017/richdata2" ref="A2:R33">
    <sortCondition ref="E2:E33"/>
    <sortCondition ref="D2:D33"/>
  </sortState>
  <pageMargins left="0.7" right="0.7" top="0.75" bottom="0.75" header="0.3" footer="0.3"/>
  <pageSetup paperSize="9" orientation="portrait"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0042E-499F-4BB3-A7C6-A20021ACC8BD}">
  <dimension ref="A1:R129"/>
  <sheetViews>
    <sheetView topLeftCell="A97" workbookViewId="0">
      <selection activeCell="K127" sqref="K127"/>
    </sheetView>
  </sheetViews>
  <sheetFormatPr defaultRowHeight="14.5" x14ac:dyDescent="0.35"/>
  <cols>
    <col min="9" max="9" width="14.26953125" style="118" customWidth="1"/>
    <col min="10" max="11" width="24" customWidth="1"/>
    <col min="12" max="12" width="11.54296875" customWidth="1"/>
    <col min="14" max="14" width="25.81640625" bestFit="1" customWidth="1"/>
    <col min="15" max="15" width="15.54296875" bestFit="1" customWidth="1"/>
    <col min="16" max="16" width="10.7265625" bestFit="1" customWidth="1"/>
    <col min="17" max="17" width="7" bestFit="1" customWidth="1"/>
    <col min="18" max="18" width="10.7265625" bestFit="1" customWidth="1"/>
  </cols>
  <sheetData>
    <row r="1" spans="1:18" ht="43.5" x14ac:dyDescent="0.35">
      <c r="A1" s="61" t="s">
        <v>20</v>
      </c>
      <c r="B1" s="61" t="s">
        <v>21</v>
      </c>
      <c r="C1" s="61" t="s">
        <v>22</v>
      </c>
      <c r="D1" s="61" t="s">
        <v>23</v>
      </c>
      <c r="E1" s="61" t="s">
        <v>24</v>
      </c>
      <c r="F1" s="61" t="s">
        <v>25</v>
      </c>
      <c r="G1" s="10" t="s">
        <v>26</v>
      </c>
      <c r="H1" s="61" t="s">
        <v>412</v>
      </c>
      <c r="I1" s="115" t="s">
        <v>430</v>
      </c>
      <c r="J1" s="1" t="s">
        <v>431</v>
      </c>
      <c r="K1" s="1" t="s">
        <v>432</v>
      </c>
      <c r="L1" s="1" t="s">
        <v>61</v>
      </c>
    </row>
    <row r="2" spans="1:18" x14ac:dyDescent="0.35">
      <c r="A2" s="62" t="s">
        <v>28</v>
      </c>
      <c r="B2" s="62" t="s">
        <v>29</v>
      </c>
      <c r="C2" s="62">
        <v>1</v>
      </c>
      <c r="D2" s="62">
        <v>1</v>
      </c>
      <c r="E2" s="62">
        <v>2</v>
      </c>
      <c r="F2" s="62">
        <v>102</v>
      </c>
      <c r="G2" s="63">
        <v>1</v>
      </c>
      <c r="H2" s="63">
        <v>1</v>
      </c>
      <c r="I2" s="117">
        <v>45845</v>
      </c>
      <c r="J2" s="44">
        <v>48</v>
      </c>
      <c r="K2" s="44">
        <f>(J2-10)/10</f>
        <v>3.8</v>
      </c>
    </row>
    <row r="3" spans="1:18" x14ac:dyDescent="0.35">
      <c r="A3" s="62" t="s">
        <v>28</v>
      </c>
      <c r="B3" s="62" t="s">
        <v>30</v>
      </c>
      <c r="C3" s="62">
        <v>1</v>
      </c>
      <c r="D3" s="62">
        <v>2</v>
      </c>
      <c r="E3" s="62">
        <v>2</v>
      </c>
      <c r="F3" s="62">
        <v>202</v>
      </c>
      <c r="G3" s="63">
        <v>2</v>
      </c>
      <c r="H3" s="63">
        <v>1</v>
      </c>
      <c r="I3" s="117">
        <v>45845</v>
      </c>
      <c r="J3" s="44">
        <v>30</v>
      </c>
      <c r="K3" s="44">
        <f t="shared" ref="K3:K65" si="0">(J3-10)/10</f>
        <v>2</v>
      </c>
    </row>
    <row r="4" spans="1:18" x14ac:dyDescent="0.35">
      <c r="A4" s="62" t="s">
        <v>28</v>
      </c>
      <c r="B4" s="62" t="s">
        <v>31</v>
      </c>
      <c r="C4" s="62">
        <v>1</v>
      </c>
      <c r="D4" s="62">
        <v>3</v>
      </c>
      <c r="E4" s="62">
        <v>2</v>
      </c>
      <c r="F4" s="62">
        <v>302</v>
      </c>
      <c r="G4" s="63">
        <v>3</v>
      </c>
      <c r="H4" s="63">
        <v>1</v>
      </c>
      <c r="I4" s="117">
        <v>45845</v>
      </c>
      <c r="J4" s="44">
        <v>30</v>
      </c>
      <c r="K4" s="44">
        <f t="shared" si="0"/>
        <v>2</v>
      </c>
    </row>
    <row r="5" spans="1:18" x14ac:dyDescent="0.35">
      <c r="A5" s="62" t="s">
        <v>28</v>
      </c>
      <c r="B5" s="62" t="s">
        <v>32</v>
      </c>
      <c r="C5" s="62">
        <v>1</v>
      </c>
      <c r="D5" s="62">
        <v>4</v>
      </c>
      <c r="E5" s="62">
        <v>2</v>
      </c>
      <c r="F5" s="62">
        <v>402</v>
      </c>
      <c r="G5" s="63">
        <v>4</v>
      </c>
      <c r="H5" s="63">
        <v>1</v>
      </c>
      <c r="I5" s="117">
        <v>45845</v>
      </c>
      <c r="J5" s="44">
        <v>64</v>
      </c>
      <c r="K5" s="44">
        <f t="shared" si="0"/>
        <v>5.4</v>
      </c>
    </row>
    <row r="6" spans="1:18" x14ac:dyDescent="0.35">
      <c r="A6" s="62" t="s">
        <v>33</v>
      </c>
      <c r="B6" s="62" t="s">
        <v>29</v>
      </c>
      <c r="C6" s="62">
        <v>1</v>
      </c>
      <c r="D6" s="62">
        <v>4</v>
      </c>
      <c r="E6" s="62">
        <v>4</v>
      </c>
      <c r="F6" s="62">
        <v>404</v>
      </c>
      <c r="G6" s="63">
        <v>5</v>
      </c>
      <c r="H6" s="63">
        <v>1</v>
      </c>
      <c r="I6" s="117">
        <v>45845</v>
      </c>
      <c r="J6" s="44">
        <v>12</v>
      </c>
      <c r="K6" s="44">
        <f t="shared" si="0"/>
        <v>0.2</v>
      </c>
      <c r="N6" s="29" t="s">
        <v>433</v>
      </c>
      <c r="O6" s="29" t="s">
        <v>416</v>
      </c>
    </row>
    <row r="7" spans="1:18" x14ac:dyDescent="0.35">
      <c r="A7" s="62" t="s">
        <v>33</v>
      </c>
      <c r="B7" s="62" t="s">
        <v>35</v>
      </c>
      <c r="C7" s="62">
        <v>1</v>
      </c>
      <c r="D7" s="62">
        <v>3</v>
      </c>
      <c r="E7" s="62">
        <v>4</v>
      </c>
      <c r="F7" s="62">
        <v>304</v>
      </c>
      <c r="G7" s="63">
        <v>6</v>
      </c>
      <c r="H7" s="63">
        <v>1</v>
      </c>
      <c r="I7" s="117">
        <v>45845</v>
      </c>
      <c r="J7" s="44">
        <v>10</v>
      </c>
      <c r="K7" s="44">
        <f t="shared" si="0"/>
        <v>0</v>
      </c>
      <c r="N7" s="29" t="s">
        <v>417</v>
      </c>
      <c r="O7" s="88">
        <v>45845</v>
      </c>
      <c r="P7" s="88">
        <v>45862</v>
      </c>
      <c r="Q7" t="s">
        <v>434</v>
      </c>
      <c r="R7" t="s">
        <v>418</v>
      </c>
    </row>
    <row r="8" spans="1:18" x14ac:dyDescent="0.35">
      <c r="A8" s="62" t="s">
        <v>33</v>
      </c>
      <c r="B8" s="62" t="s">
        <v>30</v>
      </c>
      <c r="C8" s="62">
        <v>1</v>
      </c>
      <c r="D8" s="62">
        <v>2</v>
      </c>
      <c r="E8" s="62">
        <v>4</v>
      </c>
      <c r="F8" s="62">
        <v>204</v>
      </c>
      <c r="G8" s="63">
        <v>7</v>
      </c>
      <c r="H8" s="63">
        <v>1</v>
      </c>
      <c r="I8" s="117">
        <v>45845</v>
      </c>
      <c r="J8" s="44">
        <v>17</v>
      </c>
      <c r="K8" s="44">
        <f t="shared" si="0"/>
        <v>0.7</v>
      </c>
      <c r="N8" s="32" t="s">
        <v>28</v>
      </c>
      <c r="O8" s="104">
        <v>3.6187499999999999</v>
      </c>
      <c r="P8" s="104">
        <v>5.6249999999999991</v>
      </c>
      <c r="Q8" s="104"/>
      <c r="R8" s="104">
        <v>4.6218750000000002</v>
      </c>
    </row>
    <row r="9" spans="1:18" x14ac:dyDescent="0.35">
      <c r="A9" s="62" t="s">
        <v>33</v>
      </c>
      <c r="B9" s="62" t="s">
        <v>34</v>
      </c>
      <c r="C9" s="62">
        <v>1</v>
      </c>
      <c r="D9" s="62">
        <v>1</v>
      </c>
      <c r="E9" s="62">
        <v>4</v>
      </c>
      <c r="F9" s="62">
        <v>104</v>
      </c>
      <c r="G9" s="63">
        <v>8</v>
      </c>
      <c r="H9" s="63">
        <v>1</v>
      </c>
      <c r="I9" s="117">
        <v>45845</v>
      </c>
      <c r="J9" s="44">
        <v>10</v>
      </c>
      <c r="K9" s="44">
        <f t="shared" si="0"/>
        <v>0</v>
      </c>
      <c r="N9" s="91" t="s">
        <v>32</v>
      </c>
      <c r="O9" s="104">
        <v>4.4000000000000004</v>
      </c>
      <c r="P9" s="104">
        <v>9.0500000000000007</v>
      </c>
      <c r="Q9" s="104"/>
      <c r="R9" s="104">
        <v>6.7249999999999996</v>
      </c>
    </row>
    <row r="10" spans="1:18" x14ac:dyDescent="0.35">
      <c r="A10" s="62" t="s">
        <v>28</v>
      </c>
      <c r="B10" s="62" t="s">
        <v>31</v>
      </c>
      <c r="C10" s="62">
        <v>2</v>
      </c>
      <c r="D10" s="62">
        <v>1</v>
      </c>
      <c r="E10" s="62">
        <v>6</v>
      </c>
      <c r="F10" s="62">
        <v>106</v>
      </c>
      <c r="G10" s="63">
        <v>9</v>
      </c>
      <c r="H10" s="63">
        <v>1</v>
      </c>
      <c r="I10" s="117">
        <v>45845</v>
      </c>
      <c r="J10" s="44">
        <v>47</v>
      </c>
      <c r="K10" s="44">
        <f t="shared" si="0"/>
        <v>3.7</v>
      </c>
      <c r="N10" s="91" t="s">
        <v>31</v>
      </c>
      <c r="O10" s="104">
        <v>3.8</v>
      </c>
      <c r="P10" s="104">
        <v>4.8499999999999996</v>
      </c>
      <c r="Q10" s="104"/>
      <c r="R10" s="104">
        <v>4.3250000000000002</v>
      </c>
    </row>
    <row r="11" spans="1:18" x14ac:dyDescent="0.35">
      <c r="A11" s="62" t="s">
        <v>28</v>
      </c>
      <c r="B11" s="62" t="s">
        <v>32</v>
      </c>
      <c r="C11" s="62">
        <v>2</v>
      </c>
      <c r="D11" s="62">
        <v>2</v>
      </c>
      <c r="E11" s="62">
        <v>6</v>
      </c>
      <c r="F11" s="62">
        <v>206</v>
      </c>
      <c r="G11" s="63">
        <v>10</v>
      </c>
      <c r="H11" s="63">
        <v>1</v>
      </c>
      <c r="I11" s="117">
        <v>45845</v>
      </c>
      <c r="J11" s="44">
        <v>49</v>
      </c>
      <c r="K11" s="44">
        <f t="shared" si="0"/>
        <v>3.9</v>
      </c>
      <c r="N11" s="91" t="s">
        <v>29</v>
      </c>
      <c r="O11" s="104">
        <v>3.75</v>
      </c>
      <c r="P11" s="104">
        <v>4.4749999999999996</v>
      </c>
      <c r="Q11" s="104"/>
      <c r="R11" s="104">
        <v>4.1124999999999998</v>
      </c>
    </row>
    <row r="12" spans="1:18" x14ac:dyDescent="0.35">
      <c r="A12" s="62" t="s">
        <v>28</v>
      </c>
      <c r="B12" s="62" t="s">
        <v>30</v>
      </c>
      <c r="C12" s="62">
        <v>2</v>
      </c>
      <c r="D12" s="62">
        <v>3</v>
      </c>
      <c r="E12" s="62">
        <v>6</v>
      </c>
      <c r="F12" s="62">
        <v>306</v>
      </c>
      <c r="G12" s="63">
        <v>11</v>
      </c>
      <c r="H12" s="63">
        <v>1</v>
      </c>
      <c r="I12" s="117">
        <v>45845</v>
      </c>
      <c r="J12" s="44">
        <v>25</v>
      </c>
      <c r="K12" s="44">
        <f t="shared" si="0"/>
        <v>1.5</v>
      </c>
      <c r="N12" s="91" t="s">
        <v>30</v>
      </c>
      <c r="O12" s="104">
        <v>2.5250000000000004</v>
      </c>
      <c r="P12" s="104">
        <v>4.125</v>
      </c>
      <c r="Q12" s="104"/>
      <c r="R12" s="104">
        <v>3.3250000000000002</v>
      </c>
    </row>
    <row r="13" spans="1:18" x14ac:dyDescent="0.35">
      <c r="A13" s="62" t="s">
        <v>28</v>
      </c>
      <c r="B13" s="62" t="s">
        <v>29</v>
      </c>
      <c r="C13" s="62">
        <v>2</v>
      </c>
      <c r="D13" s="62">
        <v>4</v>
      </c>
      <c r="E13" s="62">
        <v>6</v>
      </c>
      <c r="F13" s="62">
        <v>406</v>
      </c>
      <c r="G13" s="63">
        <v>12</v>
      </c>
      <c r="H13" s="63">
        <v>1</v>
      </c>
      <c r="I13" s="117">
        <v>45845</v>
      </c>
      <c r="J13" s="44">
        <v>67</v>
      </c>
      <c r="K13" s="44">
        <f t="shared" si="0"/>
        <v>5.7</v>
      </c>
      <c r="N13" s="32" t="s">
        <v>33</v>
      </c>
      <c r="O13" s="104">
        <v>0.42499999999999999</v>
      </c>
      <c r="P13" s="104">
        <v>2.2000000000000002</v>
      </c>
      <c r="Q13" s="104"/>
      <c r="R13" s="104">
        <v>1.3125</v>
      </c>
    </row>
    <row r="14" spans="1:18" x14ac:dyDescent="0.35">
      <c r="A14" s="62" t="s">
        <v>33</v>
      </c>
      <c r="B14" s="62" t="s">
        <v>34</v>
      </c>
      <c r="C14" s="62">
        <v>2</v>
      </c>
      <c r="D14" s="62">
        <v>4</v>
      </c>
      <c r="E14" s="62">
        <v>8</v>
      </c>
      <c r="F14" s="62">
        <v>408</v>
      </c>
      <c r="G14" s="63">
        <v>13</v>
      </c>
      <c r="H14" s="63">
        <v>1</v>
      </c>
      <c r="I14" s="117">
        <v>45845</v>
      </c>
      <c r="J14" s="44">
        <v>15</v>
      </c>
      <c r="K14" s="44">
        <f t="shared" si="0"/>
        <v>0.5</v>
      </c>
      <c r="N14" s="91" t="s">
        <v>35</v>
      </c>
      <c r="O14" s="104">
        <v>0.45</v>
      </c>
      <c r="P14" s="104">
        <v>2.5750000000000002</v>
      </c>
      <c r="Q14" s="104"/>
      <c r="R14" s="104">
        <v>1.5125</v>
      </c>
    </row>
    <row r="15" spans="1:18" x14ac:dyDescent="0.35">
      <c r="A15" s="62" t="s">
        <v>33</v>
      </c>
      <c r="B15" s="62" t="s">
        <v>30</v>
      </c>
      <c r="C15" s="62">
        <v>2</v>
      </c>
      <c r="D15" s="62">
        <v>3</v>
      </c>
      <c r="E15" s="62">
        <v>8</v>
      </c>
      <c r="F15" s="62">
        <v>308</v>
      </c>
      <c r="G15" s="63">
        <v>14</v>
      </c>
      <c r="H15" s="63">
        <v>1</v>
      </c>
      <c r="I15" s="117">
        <v>45845</v>
      </c>
      <c r="J15" s="44">
        <v>18</v>
      </c>
      <c r="K15" s="44">
        <f t="shared" si="0"/>
        <v>0.8</v>
      </c>
      <c r="N15" s="91" t="s">
        <v>34</v>
      </c>
      <c r="O15" s="104">
        <v>0.27500000000000002</v>
      </c>
      <c r="P15" s="104">
        <v>1.5499999999999998</v>
      </c>
      <c r="Q15" s="104"/>
      <c r="R15" s="104">
        <v>0.91250000000000009</v>
      </c>
    </row>
    <row r="16" spans="1:18" x14ac:dyDescent="0.35">
      <c r="A16" s="62" t="s">
        <v>33</v>
      </c>
      <c r="B16" s="62" t="s">
        <v>29</v>
      </c>
      <c r="C16" s="62">
        <v>2</v>
      </c>
      <c r="D16" s="62">
        <v>2</v>
      </c>
      <c r="E16" s="62">
        <v>8</v>
      </c>
      <c r="F16" s="62">
        <v>208</v>
      </c>
      <c r="G16" s="63">
        <v>15</v>
      </c>
      <c r="H16" s="63">
        <v>1</v>
      </c>
      <c r="I16" s="117">
        <v>45845</v>
      </c>
      <c r="J16" s="44">
        <v>13</v>
      </c>
      <c r="K16" s="44">
        <f t="shared" si="0"/>
        <v>0.3</v>
      </c>
      <c r="N16" s="91" t="s">
        <v>29</v>
      </c>
      <c r="O16" s="104">
        <v>0.32500000000000001</v>
      </c>
      <c r="P16" s="104">
        <v>1.9</v>
      </c>
      <c r="Q16" s="104"/>
      <c r="R16" s="104">
        <v>1.1125</v>
      </c>
    </row>
    <row r="17" spans="1:18" x14ac:dyDescent="0.35">
      <c r="A17" s="62" t="s">
        <v>33</v>
      </c>
      <c r="B17" s="62" t="s">
        <v>35</v>
      </c>
      <c r="C17" s="62">
        <v>2</v>
      </c>
      <c r="D17" s="62">
        <v>1</v>
      </c>
      <c r="E17" s="62">
        <v>8</v>
      </c>
      <c r="F17" s="62">
        <v>108</v>
      </c>
      <c r="G17" s="63">
        <v>16</v>
      </c>
      <c r="H17" s="63">
        <v>1</v>
      </c>
      <c r="I17" s="117">
        <v>45845</v>
      </c>
      <c r="J17" s="44">
        <v>18</v>
      </c>
      <c r="K17" s="44">
        <f t="shared" si="0"/>
        <v>0.8</v>
      </c>
      <c r="N17" s="91" t="s">
        <v>30</v>
      </c>
      <c r="O17" s="104">
        <v>0.65</v>
      </c>
      <c r="P17" s="104">
        <v>2.7749999999999999</v>
      </c>
      <c r="Q17" s="104"/>
      <c r="R17" s="104">
        <v>1.7124999999999999</v>
      </c>
    </row>
    <row r="18" spans="1:18" x14ac:dyDescent="0.35">
      <c r="A18" s="62" t="s">
        <v>28</v>
      </c>
      <c r="B18" s="62" t="s">
        <v>32</v>
      </c>
      <c r="C18" s="62">
        <v>3</v>
      </c>
      <c r="D18" s="62">
        <v>1</v>
      </c>
      <c r="E18" s="62">
        <v>10</v>
      </c>
      <c r="F18" s="62">
        <v>110</v>
      </c>
      <c r="G18" s="63">
        <v>17</v>
      </c>
      <c r="H18" s="63">
        <v>1</v>
      </c>
      <c r="I18" s="117">
        <v>45845</v>
      </c>
      <c r="J18" s="44">
        <v>59</v>
      </c>
      <c r="K18" s="44">
        <f t="shared" si="0"/>
        <v>4.9000000000000004</v>
      </c>
      <c r="N18" s="32" t="s">
        <v>434</v>
      </c>
      <c r="O18" s="104"/>
      <c r="P18" s="104"/>
      <c r="Q18" s="104"/>
      <c r="R18" s="104"/>
    </row>
    <row r="19" spans="1:18" x14ac:dyDescent="0.35">
      <c r="A19" s="62" t="s">
        <v>28</v>
      </c>
      <c r="B19" s="62" t="s">
        <v>31</v>
      </c>
      <c r="C19" s="62">
        <v>3</v>
      </c>
      <c r="D19" s="62">
        <v>2</v>
      </c>
      <c r="E19" s="62">
        <v>10</v>
      </c>
      <c r="F19" s="62">
        <v>210</v>
      </c>
      <c r="G19" s="63">
        <v>18</v>
      </c>
      <c r="H19" s="63">
        <v>1</v>
      </c>
      <c r="I19" s="117">
        <v>45845</v>
      </c>
      <c r="J19" s="44">
        <v>70</v>
      </c>
      <c r="K19" s="44">
        <f t="shared" si="0"/>
        <v>6</v>
      </c>
      <c r="N19" s="91" t="s">
        <v>434</v>
      </c>
      <c r="O19" s="104"/>
      <c r="P19" s="104"/>
      <c r="Q19" s="104"/>
      <c r="R19" s="104"/>
    </row>
    <row r="20" spans="1:18" x14ac:dyDescent="0.35">
      <c r="A20" s="62" t="s">
        <v>28</v>
      </c>
      <c r="B20" s="62" t="s">
        <v>29</v>
      </c>
      <c r="C20" s="62">
        <v>3</v>
      </c>
      <c r="D20" s="62">
        <v>3</v>
      </c>
      <c r="E20" s="62">
        <v>10</v>
      </c>
      <c r="F20" s="62">
        <v>310</v>
      </c>
      <c r="G20" s="63">
        <v>19</v>
      </c>
      <c r="H20" s="63">
        <v>1</v>
      </c>
      <c r="I20" s="117">
        <v>45845</v>
      </c>
      <c r="J20" s="44">
        <v>28</v>
      </c>
      <c r="K20" s="44">
        <f t="shared" si="0"/>
        <v>1.8</v>
      </c>
      <c r="N20" s="32" t="s">
        <v>418</v>
      </c>
      <c r="O20" s="104">
        <v>2.0218750000000001</v>
      </c>
      <c r="P20" s="104">
        <v>3.9124999999999992</v>
      </c>
      <c r="Q20" s="104"/>
      <c r="R20" s="104">
        <v>2.9671875000000001</v>
      </c>
    </row>
    <row r="21" spans="1:18" x14ac:dyDescent="0.35">
      <c r="A21" s="62" t="s">
        <v>28</v>
      </c>
      <c r="B21" s="62" t="s">
        <v>30</v>
      </c>
      <c r="C21" s="62">
        <v>3</v>
      </c>
      <c r="D21" s="62">
        <v>4</v>
      </c>
      <c r="E21" s="62">
        <v>10</v>
      </c>
      <c r="F21" s="62">
        <v>410</v>
      </c>
      <c r="G21" s="63">
        <v>20</v>
      </c>
      <c r="H21" s="63">
        <v>1</v>
      </c>
      <c r="I21" s="117">
        <v>45845</v>
      </c>
      <c r="J21" s="44">
        <v>44</v>
      </c>
      <c r="K21" s="44">
        <f t="shared" si="0"/>
        <v>3.4</v>
      </c>
      <c r="O21" s="104"/>
      <c r="P21" s="104"/>
      <c r="Q21" s="104"/>
      <c r="R21" s="104"/>
    </row>
    <row r="22" spans="1:18" x14ac:dyDescent="0.35">
      <c r="A22" s="62" t="s">
        <v>33</v>
      </c>
      <c r="B22" s="62" t="s">
        <v>30</v>
      </c>
      <c r="C22" s="62">
        <v>3</v>
      </c>
      <c r="D22" s="62">
        <v>4</v>
      </c>
      <c r="E22" s="62">
        <v>12</v>
      </c>
      <c r="F22" s="62">
        <v>412</v>
      </c>
      <c r="G22" s="63">
        <v>21</v>
      </c>
      <c r="H22" s="63">
        <v>1</v>
      </c>
      <c r="I22" s="117">
        <v>45845</v>
      </c>
      <c r="J22" s="44">
        <v>12</v>
      </c>
      <c r="K22" s="44">
        <f t="shared" si="0"/>
        <v>0.2</v>
      </c>
    </row>
    <row r="23" spans="1:18" x14ac:dyDescent="0.35">
      <c r="A23" s="62" t="s">
        <v>33</v>
      </c>
      <c r="B23" s="62" t="s">
        <v>34</v>
      </c>
      <c r="C23" s="62">
        <v>3</v>
      </c>
      <c r="D23" s="62">
        <v>3</v>
      </c>
      <c r="E23" s="62">
        <v>12</v>
      </c>
      <c r="F23" s="62">
        <v>312</v>
      </c>
      <c r="G23" s="63">
        <v>22</v>
      </c>
      <c r="H23" s="63">
        <v>1</v>
      </c>
      <c r="I23" s="117">
        <v>45845</v>
      </c>
      <c r="J23" s="44">
        <v>12</v>
      </c>
      <c r="K23" s="44">
        <f t="shared" si="0"/>
        <v>0.2</v>
      </c>
    </row>
    <row r="24" spans="1:18" x14ac:dyDescent="0.35">
      <c r="A24" s="62" t="s">
        <v>33</v>
      </c>
      <c r="B24" s="62" t="s">
        <v>35</v>
      </c>
      <c r="C24" s="62">
        <v>3</v>
      </c>
      <c r="D24" s="62">
        <v>2</v>
      </c>
      <c r="E24" s="62">
        <v>12</v>
      </c>
      <c r="F24" s="62">
        <v>212</v>
      </c>
      <c r="G24" s="63">
        <v>23</v>
      </c>
      <c r="H24" s="63">
        <v>1</v>
      </c>
      <c r="I24" s="117">
        <v>45845</v>
      </c>
      <c r="J24" s="44">
        <v>12</v>
      </c>
      <c r="K24" s="44">
        <f t="shared" si="0"/>
        <v>0.2</v>
      </c>
    </row>
    <row r="25" spans="1:18" x14ac:dyDescent="0.35">
      <c r="A25" s="62" t="s">
        <v>33</v>
      </c>
      <c r="B25" s="62" t="s">
        <v>29</v>
      </c>
      <c r="C25" s="62">
        <v>3</v>
      </c>
      <c r="D25" s="62">
        <v>1</v>
      </c>
      <c r="E25" s="62">
        <v>12</v>
      </c>
      <c r="F25" s="62">
        <v>112</v>
      </c>
      <c r="G25" s="63">
        <v>24</v>
      </c>
      <c r="H25" s="63">
        <v>1</v>
      </c>
      <c r="I25" s="117">
        <v>45845</v>
      </c>
      <c r="J25" s="44">
        <v>17</v>
      </c>
      <c r="K25" s="44">
        <f t="shared" si="0"/>
        <v>0.7</v>
      </c>
    </row>
    <row r="26" spans="1:18" x14ac:dyDescent="0.35">
      <c r="A26" s="62" t="s">
        <v>28</v>
      </c>
      <c r="B26" s="62" t="s">
        <v>30</v>
      </c>
      <c r="C26" s="62">
        <v>4</v>
      </c>
      <c r="D26" s="62">
        <v>1</v>
      </c>
      <c r="E26" s="62">
        <v>14</v>
      </c>
      <c r="F26" s="62">
        <v>114</v>
      </c>
      <c r="G26" s="63">
        <v>25</v>
      </c>
      <c r="H26" s="63">
        <v>1</v>
      </c>
      <c r="I26" s="117">
        <v>45845</v>
      </c>
      <c r="J26" s="44">
        <v>42</v>
      </c>
      <c r="K26" s="44">
        <f t="shared" si="0"/>
        <v>3.2</v>
      </c>
    </row>
    <row r="27" spans="1:18" x14ac:dyDescent="0.35">
      <c r="A27" s="62" t="s">
        <v>28</v>
      </c>
      <c r="B27" s="62" t="s">
        <v>29</v>
      </c>
      <c r="C27" s="62">
        <v>4</v>
      </c>
      <c r="D27" s="62">
        <v>2</v>
      </c>
      <c r="E27" s="62">
        <v>14</v>
      </c>
      <c r="F27" s="62">
        <v>214</v>
      </c>
      <c r="G27" s="63">
        <v>26</v>
      </c>
      <c r="H27" s="63">
        <v>1</v>
      </c>
      <c r="I27" s="117">
        <v>45845</v>
      </c>
      <c r="J27" s="44">
        <v>47</v>
      </c>
      <c r="K27" s="44">
        <f t="shared" si="0"/>
        <v>3.7</v>
      </c>
    </row>
    <row r="28" spans="1:18" x14ac:dyDescent="0.35">
      <c r="A28" s="62" t="s">
        <v>28</v>
      </c>
      <c r="B28" s="62" t="s">
        <v>32</v>
      </c>
      <c r="C28" s="62">
        <v>4</v>
      </c>
      <c r="D28" s="62">
        <v>3</v>
      </c>
      <c r="E28" s="62">
        <v>14</v>
      </c>
      <c r="F28" s="62">
        <v>314</v>
      </c>
      <c r="G28" s="63">
        <v>27</v>
      </c>
      <c r="H28" s="63">
        <v>1</v>
      </c>
      <c r="I28" s="117">
        <v>45845</v>
      </c>
      <c r="J28" s="44">
        <v>44</v>
      </c>
      <c r="K28" s="44">
        <f t="shared" si="0"/>
        <v>3.4</v>
      </c>
    </row>
    <row r="29" spans="1:18" x14ac:dyDescent="0.35">
      <c r="A29" s="62" t="s">
        <v>28</v>
      </c>
      <c r="B29" s="62" t="s">
        <v>31</v>
      </c>
      <c r="C29" s="62">
        <v>4</v>
      </c>
      <c r="D29" s="62">
        <v>4</v>
      </c>
      <c r="E29" s="62">
        <v>14</v>
      </c>
      <c r="F29" s="62">
        <v>414</v>
      </c>
      <c r="G29" s="63">
        <v>28</v>
      </c>
      <c r="H29" s="63">
        <v>1</v>
      </c>
      <c r="I29" s="117">
        <v>45845</v>
      </c>
      <c r="J29" s="44">
        <v>45</v>
      </c>
      <c r="K29" s="44">
        <f t="shared" si="0"/>
        <v>3.5</v>
      </c>
    </row>
    <row r="30" spans="1:18" x14ac:dyDescent="0.35">
      <c r="A30" s="62" t="s">
        <v>33</v>
      </c>
      <c r="B30" s="62" t="s">
        <v>35</v>
      </c>
      <c r="C30" s="62">
        <v>4</v>
      </c>
      <c r="D30" s="62">
        <v>4</v>
      </c>
      <c r="E30" s="62">
        <v>16</v>
      </c>
      <c r="F30" s="62">
        <v>416</v>
      </c>
      <c r="G30" s="63">
        <v>29</v>
      </c>
      <c r="H30" s="63">
        <v>1</v>
      </c>
      <c r="I30" s="117">
        <v>45845</v>
      </c>
      <c r="J30" s="44">
        <v>18</v>
      </c>
      <c r="K30" s="44">
        <f t="shared" si="0"/>
        <v>0.8</v>
      </c>
    </row>
    <row r="31" spans="1:18" x14ac:dyDescent="0.35">
      <c r="A31" s="62" t="s">
        <v>33</v>
      </c>
      <c r="B31" s="62" t="s">
        <v>29</v>
      </c>
      <c r="C31" s="62">
        <v>4</v>
      </c>
      <c r="D31" s="62">
        <v>3</v>
      </c>
      <c r="E31" s="62">
        <v>16</v>
      </c>
      <c r="F31" s="62">
        <v>316</v>
      </c>
      <c r="G31" s="63">
        <v>30</v>
      </c>
      <c r="H31" s="63">
        <v>1</v>
      </c>
      <c r="I31" s="117">
        <v>45845</v>
      </c>
      <c r="J31" s="44">
        <v>11</v>
      </c>
      <c r="K31" s="44">
        <f t="shared" si="0"/>
        <v>0.1</v>
      </c>
    </row>
    <row r="32" spans="1:18" x14ac:dyDescent="0.35">
      <c r="A32" s="62" t="s">
        <v>33</v>
      </c>
      <c r="B32" s="62" t="s">
        <v>34</v>
      </c>
      <c r="C32" s="62">
        <v>4</v>
      </c>
      <c r="D32" s="62">
        <v>2</v>
      </c>
      <c r="E32" s="62">
        <v>16</v>
      </c>
      <c r="F32" s="62">
        <v>216</v>
      </c>
      <c r="G32" s="63">
        <v>31</v>
      </c>
      <c r="H32" s="63">
        <v>1</v>
      </c>
      <c r="I32" s="117">
        <v>45845</v>
      </c>
      <c r="J32" s="44">
        <v>14</v>
      </c>
      <c r="K32" s="44">
        <f t="shared" si="0"/>
        <v>0.4</v>
      </c>
    </row>
    <row r="33" spans="1:12" x14ac:dyDescent="0.35">
      <c r="A33" s="62" t="s">
        <v>33</v>
      </c>
      <c r="B33" s="62" t="s">
        <v>30</v>
      </c>
      <c r="C33" s="62">
        <v>4</v>
      </c>
      <c r="D33" s="62">
        <v>1</v>
      </c>
      <c r="E33" s="62">
        <v>16</v>
      </c>
      <c r="F33" s="62">
        <v>116</v>
      </c>
      <c r="G33" s="63">
        <v>32</v>
      </c>
      <c r="H33" s="63">
        <v>1</v>
      </c>
      <c r="I33" s="117">
        <v>45845</v>
      </c>
      <c r="J33" s="44">
        <v>19</v>
      </c>
      <c r="K33" s="44">
        <f t="shared" si="0"/>
        <v>0.9</v>
      </c>
    </row>
    <row r="34" spans="1:12" x14ac:dyDescent="0.35">
      <c r="A34" s="62" t="s">
        <v>28</v>
      </c>
      <c r="B34" s="62" t="s">
        <v>29</v>
      </c>
      <c r="C34" s="62">
        <v>1</v>
      </c>
      <c r="D34" s="62">
        <v>1</v>
      </c>
      <c r="E34" s="62">
        <v>2</v>
      </c>
      <c r="F34" s="62">
        <v>102</v>
      </c>
      <c r="G34" s="63">
        <v>1</v>
      </c>
      <c r="H34">
        <v>2</v>
      </c>
      <c r="I34" s="118">
        <v>45862</v>
      </c>
      <c r="J34" s="44">
        <v>50</v>
      </c>
      <c r="K34" s="44">
        <f t="shared" si="0"/>
        <v>4</v>
      </c>
      <c r="L34" s="44"/>
    </row>
    <row r="35" spans="1:12" x14ac:dyDescent="0.35">
      <c r="A35" s="62" t="s">
        <v>28</v>
      </c>
      <c r="B35" s="62" t="s">
        <v>30</v>
      </c>
      <c r="C35" s="62">
        <v>1</v>
      </c>
      <c r="D35" s="62">
        <v>2</v>
      </c>
      <c r="E35" s="62">
        <v>2</v>
      </c>
      <c r="F35" s="62">
        <v>202</v>
      </c>
      <c r="G35" s="63">
        <v>2</v>
      </c>
      <c r="H35">
        <v>2</v>
      </c>
      <c r="I35" s="118">
        <v>45862</v>
      </c>
      <c r="J35" s="44">
        <v>51</v>
      </c>
      <c r="K35" s="44">
        <f t="shared" si="0"/>
        <v>4.0999999999999996</v>
      </c>
      <c r="L35" s="44"/>
    </row>
    <row r="36" spans="1:12" x14ac:dyDescent="0.35">
      <c r="A36" s="62" t="s">
        <v>28</v>
      </c>
      <c r="B36" s="62" t="s">
        <v>31</v>
      </c>
      <c r="C36" s="62">
        <v>1</v>
      </c>
      <c r="D36" s="62">
        <v>3</v>
      </c>
      <c r="E36" s="62">
        <v>2</v>
      </c>
      <c r="F36" s="62">
        <v>302</v>
      </c>
      <c r="G36" s="63">
        <v>3</v>
      </c>
      <c r="H36">
        <v>2</v>
      </c>
      <c r="I36" s="118">
        <v>45862</v>
      </c>
      <c r="J36" s="44">
        <v>45</v>
      </c>
      <c r="K36" s="44">
        <f t="shared" si="0"/>
        <v>3.5</v>
      </c>
      <c r="L36" s="44"/>
    </row>
    <row r="37" spans="1:12" x14ac:dyDescent="0.35">
      <c r="A37" s="62" t="s">
        <v>28</v>
      </c>
      <c r="B37" s="62" t="s">
        <v>32</v>
      </c>
      <c r="C37" s="62">
        <v>1</v>
      </c>
      <c r="D37" s="62">
        <v>4</v>
      </c>
      <c r="E37" s="62">
        <v>2</v>
      </c>
      <c r="F37" s="62">
        <v>402</v>
      </c>
      <c r="G37" s="63">
        <v>4</v>
      </c>
      <c r="H37">
        <v>2</v>
      </c>
      <c r="I37" s="118">
        <v>45862</v>
      </c>
      <c r="J37" s="44">
        <v>129</v>
      </c>
      <c r="K37" s="44">
        <f t="shared" si="0"/>
        <v>11.9</v>
      </c>
      <c r="L37" s="44" t="s">
        <v>435</v>
      </c>
    </row>
    <row r="38" spans="1:12" x14ac:dyDescent="0.35">
      <c r="A38" s="62" t="s">
        <v>33</v>
      </c>
      <c r="B38" s="62" t="s">
        <v>29</v>
      </c>
      <c r="C38" s="62">
        <v>1</v>
      </c>
      <c r="D38" s="62">
        <v>4</v>
      </c>
      <c r="E38" s="62">
        <v>4</v>
      </c>
      <c r="F38" s="62">
        <v>404</v>
      </c>
      <c r="G38" s="63">
        <v>5</v>
      </c>
      <c r="H38">
        <v>2</v>
      </c>
      <c r="I38" s="118">
        <v>45862</v>
      </c>
      <c r="J38" s="44">
        <v>29</v>
      </c>
      <c r="K38" s="44">
        <f t="shared" si="0"/>
        <v>1.9</v>
      </c>
      <c r="L38" s="44"/>
    </row>
    <row r="39" spans="1:12" x14ac:dyDescent="0.35">
      <c r="A39" s="62" t="s">
        <v>33</v>
      </c>
      <c r="B39" s="62" t="s">
        <v>35</v>
      </c>
      <c r="C39" s="62">
        <v>1</v>
      </c>
      <c r="D39" s="62">
        <v>3</v>
      </c>
      <c r="E39" s="62">
        <v>4</v>
      </c>
      <c r="F39" s="62">
        <v>304</v>
      </c>
      <c r="G39" s="63">
        <v>6</v>
      </c>
      <c r="H39">
        <v>2</v>
      </c>
      <c r="I39" s="118">
        <v>45862</v>
      </c>
      <c r="J39" s="44">
        <v>28</v>
      </c>
      <c r="K39" s="44">
        <f t="shared" si="0"/>
        <v>1.8</v>
      </c>
      <c r="L39" s="44"/>
    </row>
    <row r="40" spans="1:12" x14ac:dyDescent="0.35">
      <c r="A40" s="62" t="s">
        <v>33</v>
      </c>
      <c r="B40" s="62" t="s">
        <v>30</v>
      </c>
      <c r="C40" s="62">
        <v>1</v>
      </c>
      <c r="D40" s="62">
        <v>2</v>
      </c>
      <c r="E40" s="62">
        <v>4</v>
      </c>
      <c r="F40" s="62">
        <v>204</v>
      </c>
      <c r="G40" s="63">
        <v>7</v>
      </c>
      <c r="H40">
        <v>2</v>
      </c>
      <c r="I40" s="118">
        <v>45862</v>
      </c>
      <c r="J40" s="44">
        <v>40</v>
      </c>
      <c r="K40" s="44">
        <f t="shared" si="0"/>
        <v>3</v>
      </c>
      <c r="L40" s="44"/>
    </row>
    <row r="41" spans="1:12" x14ac:dyDescent="0.35">
      <c r="A41" s="62" t="s">
        <v>33</v>
      </c>
      <c r="B41" s="62" t="s">
        <v>34</v>
      </c>
      <c r="C41" s="62">
        <v>1</v>
      </c>
      <c r="D41" s="62">
        <v>1</v>
      </c>
      <c r="E41" s="62">
        <v>4</v>
      </c>
      <c r="F41" s="62">
        <v>104</v>
      </c>
      <c r="G41" s="63">
        <v>8</v>
      </c>
      <c r="H41">
        <v>2</v>
      </c>
      <c r="I41" s="118">
        <v>45862</v>
      </c>
      <c r="J41" s="44">
        <v>21</v>
      </c>
      <c r="K41" s="44">
        <f t="shared" si="0"/>
        <v>1.1000000000000001</v>
      </c>
      <c r="L41" s="44"/>
    </row>
    <row r="42" spans="1:12" x14ac:dyDescent="0.35">
      <c r="A42" s="62" t="s">
        <v>28</v>
      </c>
      <c r="B42" s="62" t="s">
        <v>31</v>
      </c>
      <c r="C42" s="62">
        <v>2</v>
      </c>
      <c r="D42" s="62">
        <v>1</v>
      </c>
      <c r="E42" s="62">
        <v>6</v>
      </c>
      <c r="F42" s="62">
        <v>106</v>
      </c>
      <c r="G42" s="63">
        <v>9</v>
      </c>
      <c r="H42">
        <v>2</v>
      </c>
      <c r="I42" s="118">
        <v>45862</v>
      </c>
      <c r="J42" s="44">
        <v>53</v>
      </c>
      <c r="K42" s="44">
        <f t="shared" si="0"/>
        <v>4.3</v>
      </c>
      <c r="L42" s="44"/>
    </row>
    <row r="43" spans="1:12" x14ac:dyDescent="0.35">
      <c r="A43" s="62" t="s">
        <v>28</v>
      </c>
      <c r="B43" s="62" t="s">
        <v>32</v>
      </c>
      <c r="C43" s="62">
        <v>2</v>
      </c>
      <c r="D43" s="62">
        <v>2</v>
      </c>
      <c r="E43" s="62">
        <v>6</v>
      </c>
      <c r="F43" s="62">
        <v>206</v>
      </c>
      <c r="G43" s="63">
        <v>10</v>
      </c>
      <c r="H43">
        <v>2</v>
      </c>
      <c r="I43" s="118">
        <v>45862</v>
      </c>
      <c r="J43" s="44">
        <v>94</v>
      </c>
      <c r="K43" s="44">
        <f t="shared" si="0"/>
        <v>8.4</v>
      </c>
      <c r="L43" s="44" t="s">
        <v>435</v>
      </c>
    </row>
    <row r="44" spans="1:12" x14ac:dyDescent="0.35">
      <c r="A44" s="62" t="s">
        <v>28</v>
      </c>
      <c r="B44" s="62" t="s">
        <v>30</v>
      </c>
      <c r="C44" s="62">
        <v>2</v>
      </c>
      <c r="D44" s="62">
        <v>3</v>
      </c>
      <c r="E44" s="62">
        <v>6</v>
      </c>
      <c r="F44" s="62">
        <v>306</v>
      </c>
      <c r="G44" s="63">
        <v>11</v>
      </c>
      <c r="H44">
        <v>2</v>
      </c>
      <c r="I44" s="118">
        <v>45862</v>
      </c>
      <c r="J44" s="44">
        <v>31</v>
      </c>
      <c r="K44" s="44">
        <f t="shared" si="0"/>
        <v>2.1</v>
      </c>
      <c r="L44" s="44"/>
    </row>
    <row r="45" spans="1:12" x14ac:dyDescent="0.35">
      <c r="A45" s="62" t="s">
        <v>28</v>
      </c>
      <c r="B45" s="62" t="s">
        <v>29</v>
      </c>
      <c r="C45" s="62">
        <v>2</v>
      </c>
      <c r="D45" s="62">
        <v>4</v>
      </c>
      <c r="E45" s="62">
        <v>6</v>
      </c>
      <c r="F45" s="62">
        <v>406</v>
      </c>
      <c r="G45" s="63">
        <v>12</v>
      </c>
      <c r="H45">
        <v>2</v>
      </c>
      <c r="I45" s="118">
        <v>45862</v>
      </c>
      <c r="J45" s="44">
        <v>70</v>
      </c>
      <c r="K45" s="44">
        <f t="shared" si="0"/>
        <v>6</v>
      </c>
      <c r="L45" s="44"/>
    </row>
    <row r="46" spans="1:12" x14ac:dyDescent="0.35">
      <c r="A46" s="62" t="s">
        <v>33</v>
      </c>
      <c r="B46" s="62" t="s">
        <v>34</v>
      </c>
      <c r="C46" s="62">
        <v>2</v>
      </c>
      <c r="D46" s="62">
        <v>4</v>
      </c>
      <c r="E46" s="62">
        <v>8</v>
      </c>
      <c r="F46" s="62">
        <v>408</v>
      </c>
      <c r="G46" s="63">
        <v>13</v>
      </c>
      <c r="H46">
        <v>2</v>
      </c>
      <c r="I46" s="118">
        <v>45862</v>
      </c>
      <c r="J46" s="44">
        <v>33</v>
      </c>
      <c r="K46" s="44">
        <f t="shared" si="0"/>
        <v>2.2999999999999998</v>
      </c>
      <c r="L46" s="44"/>
    </row>
    <row r="47" spans="1:12" x14ac:dyDescent="0.35">
      <c r="A47" s="62" t="s">
        <v>33</v>
      </c>
      <c r="B47" s="62" t="s">
        <v>30</v>
      </c>
      <c r="C47" s="62">
        <v>2</v>
      </c>
      <c r="D47" s="62">
        <v>3</v>
      </c>
      <c r="E47" s="62">
        <v>8</v>
      </c>
      <c r="F47" s="62">
        <v>308</v>
      </c>
      <c r="G47" s="63">
        <v>14</v>
      </c>
      <c r="H47">
        <v>2</v>
      </c>
      <c r="I47" s="118">
        <v>45862</v>
      </c>
      <c r="J47" s="44">
        <v>35</v>
      </c>
      <c r="K47" s="44">
        <f t="shared" si="0"/>
        <v>2.5</v>
      </c>
      <c r="L47" s="44"/>
    </row>
    <row r="48" spans="1:12" x14ac:dyDescent="0.35">
      <c r="A48" s="62" t="s">
        <v>33</v>
      </c>
      <c r="B48" s="62" t="s">
        <v>29</v>
      </c>
      <c r="C48" s="62">
        <v>2</v>
      </c>
      <c r="D48" s="62">
        <v>2</v>
      </c>
      <c r="E48" s="62">
        <v>8</v>
      </c>
      <c r="F48" s="62">
        <v>208</v>
      </c>
      <c r="G48" s="63">
        <v>15</v>
      </c>
      <c r="H48">
        <v>2</v>
      </c>
      <c r="I48" s="118">
        <v>45862</v>
      </c>
      <c r="J48" s="44">
        <v>32</v>
      </c>
      <c r="K48" s="44">
        <f t="shared" si="0"/>
        <v>2.2000000000000002</v>
      </c>
      <c r="L48" s="44"/>
    </row>
    <row r="49" spans="1:12" x14ac:dyDescent="0.35">
      <c r="A49" s="62" t="s">
        <v>33</v>
      </c>
      <c r="B49" s="62" t="s">
        <v>35</v>
      </c>
      <c r="C49" s="62">
        <v>2</v>
      </c>
      <c r="D49" s="62">
        <v>1</v>
      </c>
      <c r="E49" s="62">
        <v>8</v>
      </c>
      <c r="F49" s="62">
        <v>108</v>
      </c>
      <c r="G49" s="63">
        <v>16</v>
      </c>
      <c r="H49">
        <v>2</v>
      </c>
      <c r="I49" s="118">
        <v>45862</v>
      </c>
      <c r="J49" s="44">
        <v>36</v>
      </c>
      <c r="K49" s="44">
        <f t="shared" si="0"/>
        <v>2.6</v>
      </c>
      <c r="L49" s="44"/>
    </row>
    <row r="50" spans="1:12" x14ac:dyDescent="0.35">
      <c r="A50" s="62" t="s">
        <v>28</v>
      </c>
      <c r="B50" s="62" t="s">
        <v>32</v>
      </c>
      <c r="C50" s="62">
        <v>3</v>
      </c>
      <c r="D50" s="62">
        <v>1</v>
      </c>
      <c r="E50" s="62">
        <v>10</v>
      </c>
      <c r="F50" s="62">
        <v>110</v>
      </c>
      <c r="G50" s="63">
        <v>17</v>
      </c>
      <c r="H50">
        <v>2</v>
      </c>
      <c r="I50" s="118">
        <v>45862</v>
      </c>
      <c r="J50" s="44">
        <v>94</v>
      </c>
      <c r="K50" s="44">
        <f t="shared" si="0"/>
        <v>8.4</v>
      </c>
      <c r="L50" s="44" t="s">
        <v>435</v>
      </c>
    </row>
    <row r="51" spans="1:12" x14ac:dyDescent="0.35">
      <c r="A51" s="62" t="s">
        <v>28</v>
      </c>
      <c r="B51" s="62" t="s">
        <v>31</v>
      </c>
      <c r="C51" s="62">
        <v>3</v>
      </c>
      <c r="D51" s="62">
        <v>2</v>
      </c>
      <c r="E51" s="62">
        <v>10</v>
      </c>
      <c r="F51" s="62">
        <v>210</v>
      </c>
      <c r="G51" s="63">
        <v>18</v>
      </c>
      <c r="H51">
        <v>2</v>
      </c>
      <c r="I51" s="118">
        <v>45862</v>
      </c>
      <c r="J51" s="44">
        <v>85</v>
      </c>
      <c r="K51" s="44">
        <f t="shared" si="0"/>
        <v>7.5</v>
      </c>
      <c r="L51" s="44"/>
    </row>
    <row r="52" spans="1:12" x14ac:dyDescent="0.35">
      <c r="A52" s="62" t="s">
        <v>28</v>
      </c>
      <c r="B52" s="62" t="s">
        <v>29</v>
      </c>
      <c r="C52" s="62">
        <v>3</v>
      </c>
      <c r="D52" s="62">
        <v>3</v>
      </c>
      <c r="E52" s="62">
        <v>10</v>
      </c>
      <c r="F52" s="62">
        <v>310</v>
      </c>
      <c r="G52" s="63">
        <v>19</v>
      </c>
      <c r="H52">
        <v>2</v>
      </c>
      <c r="I52" s="118">
        <v>45862</v>
      </c>
      <c r="J52" s="44">
        <v>35</v>
      </c>
      <c r="K52" s="44">
        <f t="shared" si="0"/>
        <v>2.5</v>
      </c>
      <c r="L52" s="44"/>
    </row>
    <row r="53" spans="1:12" x14ac:dyDescent="0.35">
      <c r="A53" s="62" t="s">
        <v>28</v>
      </c>
      <c r="B53" s="62" t="s">
        <v>30</v>
      </c>
      <c r="C53" s="62">
        <v>3</v>
      </c>
      <c r="D53" s="62">
        <v>4</v>
      </c>
      <c r="E53" s="62">
        <v>10</v>
      </c>
      <c r="F53" s="62">
        <v>410</v>
      </c>
      <c r="G53" s="63">
        <v>20</v>
      </c>
      <c r="H53">
        <v>2</v>
      </c>
      <c r="I53" s="118">
        <v>45862</v>
      </c>
      <c r="J53" s="44">
        <v>60</v>
      </c>
      <c r="K53" s="44">
        <f t="shared" si="0"/>
        <v>5</v>
      </c>
      <c r="L53" s="44"/>
    </row>
    <row r="54" spans="1:12" x14ac:dyDescent="0.35">
      <c r="A54" s="62" t="s">
        <v>33</v>
      </c>
      <c r="B54" s="62" t="s">
        <v>30</v>
      </c>
      <c r="C54" s="62">
        <v>3</v>
      </c>
      <c r="D54" s="62">
        <v>4</v>
      </c>
      <c r="E54" s="62">
        <v>12</v>
      </c>
      <c r="F54" s="62">
        <v>412</v>
      </c>
      <c r="G54" s="63">
        <v>21</v>
      </c>
      <c r="H54">
        <v>2</v>
      </c>
      <c r="I54" s="118">
        <v>45862</v>
      </c>
      <c r="J54" s="44">
        <v>31</v>
      </c>
      <c r="K54" s="44">
        <f t="shared" si="0"/>
        <v>2.1</v>
      </c>
      <c r="L54" s="44"/>
    </row>
    <row r="55" spans="1:12" x14ac:dyDescent="0.35">
      <c r="A55" s="62" t="s">
        <v>33</v>
      </c>
      <c r="B55" s="62" t="s">
        <v>34</v>
      </c>
      <c r="C55" s="62">
        <v>3</v>
      </c>
      <c r="D55" s="62">
        <v>3</v>
      </c>
      <c r="E55" s="62">
        <v>12</v>
      </c>
      <c r="F55" s="62">
        <v>312</v>
      </c>
      <c r="G55" s="63">
        <v>22</v>
      </c>
      <c r="H55">
        <v>2</v>
      </c>
      <c r="I55" s="118">
        <v>45862</v>
      </c>
      <c r="J55" s="44">
        <v>19</v>
      </c>
      <c r="K55" s="44">
        <f t="shared" si="0"/>
        <v>0.9</v>
      </c>
      <c r="L55" s="44"/>
    </row>
    <row r="56" spans="1:12" x14ac:dyDescent="0.35">
      <c r="A56" s="62" t="s">
        <v>33</v>
      </c>
      <c r="B56" s="62" t="s">
        <v>35</v>
      </c>
      <c r="C56" s="62">
        <v>3</v>
      </c>
      <c r="D56" s="62">
        <v>2</v>
      </c>
      <c r="E56" s="62">
        <v>12</v>
      </c>
      <c r="F56" s="62">
        <v>212</v>
      </c>
      <c r="G56" s="63">
        <v>23</v>
      </c>
      <c r="H56">
        <v>2</v>
      </c>
      <c r="I56" s="118">
        <v>45862</v>
      </c>
      <c r="J56" s="44">
        <v>38</v>
      </c>
      <c r="K56" s="44">
        <f t="shared" si="0"/>
        <v>2.8</v>
      </c>
      <c r="L56" s="44"/>
    </row>
    <row r="57" spans="1:12" x14ac:dyDescent="0.35">
      <c r="A57" s="62" t="s">
        <v>33</v>
      </c>
      <c r="B57" s="62" t="s">
        <v>29</v>
      </c>
      <c r="C57" s="62">
        <v>3</v>
      </c>
      <c r="D57" s="62">
        <v>1</v>
      </c>
      <c r="E57" s="62">
        <v>12</v>
      </c>
      <c r="F57" s="62">
        <v>112</v>
      </c>
      <c r="G57" s="63">
        <v>24</v>
      </c>
      <c r="H57">
        <v>2</v>
      </c>
      <c r="I57" s="118">
        <v>45862</v>
      </c>
      <c r="J57" s="44">
        <v>23</v>
      </c>
      <c r="K57" s="44">
        <f t="shared" si="0"/>
        <v>1.3</v>
      </c>
      <c r="L57" s="44"/>
    </row>
    <row r="58" spans="1:12" x14ac:dyDescent="0.35">
      <c r="A58" s="62" t="s">
        <v>28</v>
      </c>
      <c r="B58" s="62" t="s">
        <v>30</v>
      </c>
      <c r="C58" s="62">
        <v>4</v>
      </c>
      <c r="D58" s="62">
        <v>1</v>
      </c>
      <c r="E58" s="62">
        <v>14</v>
      </c>
      <c r="F58" s="62">
        <v>114</v>
      </c>
      <c r="G58" s="63">
        <v>25</v>
      </c>
      <c r="H58">
        <v>2</v>
      </c>
      <c r="I58" s="118">
        <v>45862</v>
      </c>
      <c r="J58" s="44">
        <v>63</v>
      </c>
      <c r="K58" s="44">
        <f t="shared" si="0"/>
        <v>5.3</v>
      </c>
      <c r="L58" s="44"/>
    </row>
    <row r="59" spans="1:12" x14ac:dyDescent="0.35">
      <c r="A59" s="62" t="s">
        <v>28</v>
      </c>
      <c r="B59" s="62" t="s">
        <v>29</v>
      </c>
      <c r="C59" s="62">
        <v>4</v>
      </c>
      <c r="D59" s="62">
        <v>2</v>
      </c>
      <c r="E59" s="62">
        <v>14</v>
      </c>
      <c r="F59" s="62">
        <v>214</v>
      </c>
      <c r="G59" s="63">
        <v>26</v>
      </c>
      <c r="H59">
        <v>2</v>
      </c>
      <c r="I59" s="118">
        <v>45862</v>
      </c>
      <c r="J59" s="44">
        <v>64</v>
      </c>
      <c r="K59" s="44">
        <f t="shared" si="0"/>
        <v>5.4</v>
      </c>
      <c r="L59" s="44"/>
    </row>
    <row r="60" spans="1:12" x14ac:dyDescent="0.35">
      <c r="A60" s="62" t="s">
        <v>28</v>
      </c>
      <c r="B60" s="62" t="s">
        <v>32</v>
      </c>
      <c r="C60" s="62">
        <v>4</v>
      </c>
      <c r="D60" s="62">
        <v>3</v>
      </c>
      <c r="E60" s="62">
        <v>14</v>
      </c>
      <c r="F60" s="62">
        <v>314</v>
      </c>
      <c r="G60" s="63">
        <v>27</v>
      </c>
      <c r="H60">
        <v>2</v>
      </c>
      <c r="I60" s="118">
        <v>45862</v>
      </c>
      <c r="J60" s="44">
        <v>85</v>
      </c>
      <c r="K60" s="44">
        <f t="shared" si="0"/>
        <v>7.5</v>
      </c>
      <c r="L60" s="44" t="s">
        <v>435</v>
      </c>
    </row>
    <row r="61" spans="1:12" x14ac:dyDescent="0.35">
      <c r="A61" s="62" t="s">
        <v>28</v>
      </c>
      <c r="B61" s="62" t="s">
        <v>31</v>
      </c>
      <c r="C61" s="62">
        <v>4</v>
      </c>
      <c r="D61" s="62">
        <v>4</v>
      </c>
      <c r="E61" s="62">
        <v>14</v>
      </c>
      <c r="F61" s="62">
        <v>414</v>
      </c>
      <c r="G61" s="63">
        <v>28</v>
      </c>
      <c r="H61">
        <v>2</v>
      </c>
      <c r="I61" s="118">
        <v>45862</v>
      </c>
      <c r="J61" s="44">
        <v>51</v>
      </c>
      <c r="K61" s="44">
        <f t="shared" si="0"/>
        <v>4.0999999999999996</v>
      </c>
      <c r="L61" s="44"/>
    </row>
    <row r="62" spans="1:12" x14ac:dyDescent="0.35">
      <c r="A62" s="62" t="s">
        <v>33</v>
      </c>
      <c r="B62" s="62" t="s">
        <v>35</v>
      </c>
      <c r="C62" s="62">
        <v>4</v>
      </c>
      <c r="D62" s="62">
        <v>4</v>
      </c>
      <c r="E62" s="62">
        <v>16</v>
      </c>
      <c r="F62" s="62">
        <v>416</v>
      </c>
      <c r="G62" s="63">
        <v>29</v>
      </c>
      <c r="H62">
        <v>2</v>
      </c>
      <c r="I62" s="118">
        <v>45862</v>
      </c>
      <c r="J62" s="44">
        <v>41</v>
      </c>
      <c r="K62" s="44">
        <f t="shared" si="0"/>
        <v>3.1</v>
      </c>
      <c r="L62" s="44"/>
    </row>
    <row r="63" spans="1:12" x14ac:dyDescent="0.35">
      <c r="A63" s="62" t="s">
        <v>33</v>
      </c>
      <c r="B63" s="62" t="s">
        <v>29</v>
      </c>
      <c r="C63" s="62">
        <v>4</v>
      </c>
      <c r="D63" s="62">
        <v>3</v>
      </c>
      <c r="E63" s="62">
        <v>16</v>
      </c>
      <c r="F63" s="62">
        <v>316</v>
      </c>
      <c r="G63" s="63">
        <v>30</v>
      </c>
      <c r="H63">
        <v>2</v>
      </c>
      <c r="I63" s="118">
        <v>45862</v>
      </c>
      <c r="J63" s="44">
        <v>32</v>
      </c>
      <c r="K63" s="44">
        <f t="shared" si="0"/>
        <v>2.2000000000000002</v>
      </c>
      <c r="L63" s="44"/>
    </row>
    <row r="64" spans="1:12" x14ac:dyDescent="0.35">
      <c r="A64" s="62" t="s">
        <v>33</v>
      </c>
      <c r="B64" s="62" t="s">
        <v>34</v>
      </c>
      <c r="C64" s="62">
        <v>4</v>
      </c>
      <c r="D64" s="62">
        <v>2</v>
      </c>
      <c r="E64" s="62">
        <v>16</v>
      </c>
      <c r="F64" s="62">
        <v>216</v>
      </c>
      <c r="G64" s="63">
        <v>31</v>
      </c>
      <c r="H64">
        <v>2</v>
      </c>
      <c r="I64" s="118">
        <v>45862</v>
      </c>
      <c r="J64" s="44">
        <v>29</v>
      </c>
      <c r="K64" s="44">
        <f t="shared" si="0"/>
        <v>1.9</v>
      </c>
      <c r="L64" s="44"/>
    </row>
    <row r="65" spans="1:12" x14ac:dyDescent="0.35">
      <c r="A65" s="62" t="s">
        <v>33</v>
      </c>
      <c r="B65" s="62" t="s">
        <v>30</v>
      </c>
      <c r="C65" s="62">
        <v>4</v>
      </c>
      <c r="D65" s="62">
        <v>1</v>
      </c>
      <c r="E65" s="62">
        <v>16</v>
      </c>
      <c r="F65" s="62">
        <v>116</v>
      </c>
      <c r="G65" s="63">
        <v>32</v>
      </c>
      <c r="H65">
        <v>2</v>
      </c>
      <c r="I65" s="118">
        <v>45862</v>
      </c>
      <c r="J65" s="44">
        <v>45</v>
      </c>
      <c r="K65" s="44">
        <f t="shared" si="0"/>
        <v>3.5</v>
      </c>
      <c r="L65" s="44"/>
    </row>
    <row r="66" spans="1:12" x14ac:dyDescent="0.35">
      <c r="A66" s="62" t="s">
        <v>28</v>
      </c>
      <c r="B66" s="62" t="s">
        <v>29</v>
      </c>
      <c r="C66" s="62">
        <v>1</v>
      </c>
      <c r="D66" s="62">
        <v>1</v>
      </c>
      <c r="E66" s="62">
        <v>2</v>
      </c>
      <c r="F66" s="62">
        <v>102</v>
      </c>
      <c r="G66" s="63">
        <v>1</v>
      </c>
      <c r="H66">
        <v>3</v>
      </c>
      <c r="I66" s="118">
        <v>45875</v>
      </c>
      <c r="J66" s="44">
        <v>49</v>
      </c>
    </row>
    <row r="67" spans="1:12" x14ac:dyDescent="0.35">
      <c r="A67" s="62" t="s">
        <v>28</v>
      </c>
      <c r="B67" s="62" t="s">
        <v>30</v>
      </c>
      <c r="C67" s="62">
        <v>1</v>
      </c>
      <c r="D67" s="62">
        <v>2</v>
      </c>
      <c r="E67" s="62">
        <v>2</v>
      </c>
      <c r="F67" s="62">
        <v>202</v>
      </c>
      <c r="G67" s="63">
        <v>2</v>
      </c>
      <c r="H67">
        <v>3</v>
      </c>
      <c r="I67" s="118">
        <v>45875</v>
      </c>
      <c r="J67" s="44">
        <v>48</v>
      </c>
    </row>
    <row r="68" spans="1:12" x14ac:dyDescent="0.35">
      <c r="A68" s="62" t="s">
        <v>28</v>
      </c>
      <c r="B68" s="62" t="s">
        <v>31</v>
      </c>
      <c r="C68" s="62">
        <v>1</v>
      </c>
      <c r="D68" s="62">
        <v>3</v>
      </c>
      <c r="E68" s="62">
        <v>2</v>
      </c>
      <c r="F68" s="62">
        <v>302</v>
      </c>
      <c r="G68" s="63">
        <v>3</v>
      </c>
      <c r="H68">
        <v>3</v>
      </c>
      <c r="I68" s="118">
        <v>45875</v>
      </c>
      <c r="J68" s="44">
        <v>48</v>
      </c>
    </row>
    <row r="69" spans="1:12" x14ac:dyDescent="0.35">
      <c r="A69" s="62" t="s">
        <v>28</v>
      </c>
      <c r="B69" s="62" t="s">
        <v>32</v>
      </c>
      <c r="C69" s="62">
        <v>1</v>
      </c>
      <c r="D69" s="62">
        <v>4</v>
      </c>
      <c r="E69" s="62">
        <v>2</v>
      </c>
      <c r="F69" s="62">
        <v>402</v>
      </c>
      <c r="G69" s="63">
        <v>4</v>
      </c>
      <c r="H69">
        <v>3</v>
      </c>
      <c r="I69" s="118">
        <v>45875</v>
      </c>
      <c r="J69" s="44">
        <v>138</v>
      </c>
    </row>
    <row r="70" spans="1:12" x14ac:dyDescent="0.35">
      <c r="A70" s="62" t="s">
        <v>33</v>
      </c>
      <c r="B70" s="62" t="s">
        <v>29</v>
      </c>
      <c r="C70" s="62">
        <v>1</v>
      </c>
      <c r="D70" s="62">
        <v>4</v>
      </c>
      <c r="E70" s="62">
        <v>4</v>
      </c>
      <c r="F70" s="62">
        <v>404</v>
      </c>
      <c r="G70" s="63">
        <v>5</v>
      </c>
      <c r="H70">
        <v>3</v>
      </c>
      <c r="I70" s="118">
        <v>45875</v>
      </c>
      <c r="J70" s="44">
        <v>34</v>
      </c>
    </row>
    <row r="71" spans="1:12" x14ac:dyDescent="0.35">
      <c r="A71" s="62" t="s">
        <v>33</v>
      </c>
      <c r="B71" s="62" t="s">
        <v>35</v>
      </c>
      <c r="C71" s="62">
        <v>1</v>
      </c>
      <c r="D71" s="62">
        <v>3</v>
      </c>
      <c r="E71" s="62">
        <v>4</v>
      </c>
      <c r="F71" s="62">
        <v>304</v>
      </c>
      <c r="G71" s="63">
        <v>6</v>
      </c>
      <c r="H71">
        <v>3</v>
      </c>
      <c r="I71" s="118">
        <v>45875</v>
      </c>
      <c r="J71" s="44">
        <v>30</v>
      </c>
    </row>
    <row r="72" spans="1:12" x14ac:dyDescent="0.35">
      <c r="A72" s="62" t="s">
        <v>33</v>
      </c>
      <c r="B72" s="62" t="s">
        <v>30</v>
      </c>
      <c r="C72" s="62">
        <v>1</v>
      </c>
      <c r="D72" s="62">
        <v>2</v>
      </c>
      <c r="E72" s="62">
        <v>4</v>
      </c>
      <c r="F72" s="62">
        <v>204</v>
      </c>
      <c r="G72" s="63">
        <v>7</v>
      </c>
      <c r="H72">
        <v>3</v>
      </c>
      <c r="I72" s="118">
        <v>45875</v>
      </c>
      <c r="J72" s="44">
        <v>59</v>
      </c>
    </row>
    <row r="73" spans="1:12" x14ac:dyDescent="0.35">
      <c r="A73" s="62" t="s">
        <v>33</v>
      </c>
      <c r="B73" s="62" t="s">
        <v>34</v>
      </c>
      <c r="C73" s="62">
        <v>1</v>
      </c>
      <c r="D73" s="62">
        <v>1</v>
      </c>
      <c r="E73" s="62">
        <v>4</v>
      </c>
      <c r="F73" s="62">
        <v>104</v>
      </c>
      <c r="G73" s="63">
        <v>8</v>
      </c>
      <c r="H73">
        <v>3</v>
      </c>
      <c r="I73" s="118">
        <v>45875</v>
      </c>
      <c r="J73" s="44">
        <v>21</v>
      </c>
    </row>
    <row r="74" spans="1:12" x14ac:dyDescent="0.35">
      <c r="A74" s="62" t="s">
        <v>28</v>
      </c>
      <c r="B74" s="62" t="s">
        <v>31</v>
      </c>
      <c r="C74" s="62">
        <v>2</v>
      </c>
      <c r="D74" s="62">
        <v>1</v>
      </c>
      <c r="E74" s="62">
        <v>6</v>
      </c>
      <c r="F74" s="62">
        <v>106</v>
      </c>
      <c r="G74" s="63">
        <v>9</v>
      </c>
      <c r="H74">
        <v>3</v>
      </c>
      <c r="I74" s="118">
        <v>45875</v>
      </c>
      <c r="J74" s="44">
        <v>42</v>
      </c>
    </row>
    <row r="75" spans="1:12" x14ac:dyDescent="0.35">
      <c r="A75" s="62" t="s">
        <v>28</v>
      </c>
      <c r="B75" s="62" t="s">
        <v>32</v>
      </c>
      <c r="C75" s="62">
        <v>2</v>
      </c>
      <c r="D75" s="62">
        <v>2</v>
      </c>
      <c r="E75" s="62">
        <v>6</v>
      </c>
      <c r="F75" s="62">
        <v>206</v>
      </c>
      <c r="G75" s="63">
        <v>10</v>
      </c>
      <c r="H75">
        <v>3</v>
      </c>
      <c r="I75" s="118">
        <v>45875</v>
      </c>
      <c r="J75" s="44">
        <v>103</v>
      </c>
    </row>
    <row r="76" spans="1:12" x14ac:dyDescent="0.35">
      <c r="A76" s="62" t="s">
        <v>28</v>
      </c>
      <c r="B76" s="62" t="s">
        <v>30</v>
      </c>
      <c r="C76" s="62">
        <v>2</v>
      </c>
      <c r="D76" s="62">
        <v>3</v>
      </c>
      <c r="E76" s="62">
        <v>6</v>
      </c>
      <c r="F76" s="62">
        <v>306</v>
      </c>
      <c r="G76" s="63">
        <v>11</v>
      </c>
      <c r="H76">
        <v>3</v>
      </c>
      <c r="I76" s="118">
        <v>45875</v>
      </c>
      <c r="J76" s="44">
        <v>30</v>
      </c>
    </row>
    <row r="77" spans="1:12" x14ac:dyDescent="0.35">
      <c r="A77" s="62" t="s">
        <v>28</v>
      </c>
      <c r="B77" s="62" t="s">
        <v>29</v>
      </c>
      <c r="C77" s="62">
        <v>2</v>
      </c>
      <c r="D77" s="62">
        <v>4</v>
      </c>
      <c r="E77" s="62">
        <v>6</v>
      </c>
      <c r="F77" s="62">
        <v>406</v>
      </c>
      <c r="G77" s="63">
        <v>12</v>
      </c>
      <c r="H77">
        <v>3</v>
      </c>
      <c r="I77" s="118">
        <v>45875</v>
      </c>
      <c r="J77" s="44">
        <v>68</v>
      </c>
    </row>
    <row r="78" spans="1:12" x14ac:dyDescent="0.35">
      <c r="A78" s="62" t="s">
        <v>33</v>
      </c>
      <c r="B78" s="62" t="s">
        <v>34</v>
      </c>
      <c r="C78" s="62">
        <v>2</v>
      </c>
      <c r="D78" s="62">
        <v>4</v>
      </c>
      <c r="E78" s="62">
        <v>8</v>
      </c>
      <c r="F78" s="62">
        <v>408</v>
      </c>
      <c r="G78" s="63">
        <v>13</v>
      </c>
      <c r="H78">
        <v>3</v>
      </c>
      <c r="I78" s="118">
        <v>45875</v>
      </c>
      <c r="J78" s="44">
        <v>40</v>
      </c>
    </row>
    <row r="79" spans="1:12" x14ac:dyDescent="0.35">
      <c r="A79" s="62" t="s">
        <v>33</v>
      </c>
      <c r="B79" s="62" t="s">
        <v>30</v>
      </c>
      <c r="C79" s="62">
        <v>2</v>
      </c>
      <c r="D79" s="62">
        <v>3</v>
      </c>
      <c r="E79" s="62">
        <v>8</v>
      </c>
      <c r="F79" s="62">
        <v>308</v>
      </c>
      <c r="G79" s="63">
        <v>14</v>
      </c>
      <c r="H79">
        <v>3</v>
      </c>
      <c r="I79" s="118">
        <v>45875</v>
      </c>
      <c r="J79" s="44">
        <v>37</v>
      </c>
    </row>
    <row r="80" spans="1:12" x14ac:dyDescent="0.35">
      <c r="A80" s="62" t="s">
        <v>33</v>
      </c>
      <c r="B80" s="62" t="s">
        <v>29</v>
      </c>
      <c r="C80" s="62">
        <v>2</v>
      </c>
      <c r="D80" s="62">
        <v>2</v>
      </c>
      <c r="E80" s="62">
        <v>8</v>
      </c>
      <c r="F80" s="62">
        <v>208</v>
      </c>
      <c r="G80" s="63">
        <v>15</v>
      </c>
      <c r="H80">
        <v>3</v>
      </c>
      <c r="I80" s="118">
        <v>45875</v>
      </c>
      <c r="J80" s="44">
        <v>42</v>
      </c>
    </row>
    <row r="81" spans="1:10" x14ac:dyDescent="0.35">
      <c r="A81" s="62" t="s">
        <v>33</v>
      </c>
      <c r="B81" s="62" t="s">
        <v>35</v>
      </c>
      <c r="C81" s="62">
        <v>2</v>
      </c>
      <c r="D81" s="62">
        <v>1</v>
      </c>
      <c r="E81" s="62">
        <v>8</v>
      </c>
      <c r="F81" s="62">
        <v>108</v>
      </c>
      <c r="G81" s="63">
        <v>16</v>
      </c>
      <c r="H81">
        <v>3</v>
      </c>
      <c r="I81" s="118">
        <v>45875</v>
      </c>
      <c r="J81" s="44">
        <v>41</v>
      </c>
    </row>
    <row r="82" spans="1:10" x14ac:dyDescent="0.35">
      <c r="A82" s="62" t="s">
        <v>28</v>
      </c>
      <c r="B82" s="62" t="s">
        <v>32</v>
      </c>
      <c r="C82" s="62">
        <v>3</v>
      </c>
      <c r="D82" s="62">
        <v>1</v>
      </c>
      <c r="E82" s="62">
        <v>10</v>
      </c>
      <c r="F82" s="62">
        <v>110</v>
      </c>
      <c r="G82" s="63">
        <v>17</v>
      </c>
      <c r="H82">
        <v>3</v>
      </c>
      <c r="I82" s="118">
        <v>45875</v>
      </c>
      <c r="J82" s="44">
        <v>101</v>
      </c>
    </row>
    <row r="83" spans="1:10" x14ac:dyDescent="0.35">
      <c r="A83" s="62" t="s">
        <v>28</v>
      </c>
      <c r="B83" s="62" t="s">
        <v>31</v>
      </c>
      <c r="C83" s="62">
        <v>3</v>
      </c>
      <c r="D83" s="62">
        <v>2</v>
      </c>
      <c r="E83" s="62">
        <v>10</v>
      </c>
      <c r="F83" s="62">
        <v>210</v>
      </c>
      <c r="G83" s="63">
        <v>18</v>
      </c>
      <c r="H83">
        <v>3</v>
      </c>
      <c r="I83" s="118">
        <v>45875</v>
      </c>
      <c r="J83" s="44">
        <v>72</v>
      </c>
    </row>
    <row r="84" spans="1:10" x14ac:dyDescent="0.35">
      <c r="A84" s="62" t="s">
        <v>28</v>
      </c>
      <c r="B84" s="62" t="s">
        <v>29</v>
      </c>
      <c r="C84" s="62">
        <v>3</v>
      </c>
      <c r="D84" s="62">
        <v>3</v>
      </c>
      <c r="E84" s="62">
        <v>10</v>
      </c>
      <c r="F84" s="62">
        <v>310</v>
      </c>
      <c r="G84" s="63">
        <v>19</v>
      </c>
      <c r="H84">
        <v>3</v>
      </c>
      <c r="I84" s="118">
        <v>45875</v>
      </c>
      <c r="J84" s="44">
        <v>37</v>
      </c>
    </row>
    <row r="85" spans="1:10" x14ac:dyDescent="0.35">
      <c r="A85" s="62" t="s">
        <v>28</v>
      </c>
      <c r="B85" s="62" t="s">
        <v>30</v>
      </c>
      <c r="C85" s="62">
        <v>3</v>
      </c>
      <c r="D85" s="62">
        <v>4</v>
      </c>
      <c r="E85" s="62">
        <v>10</v>
      </c>
      <c r="F85" s="62">
        <v>410</v>
      </c>
      <c r="G85" s="63">
        <v>20</v>
      </c>
      <c r="H85">
        <v>3</v>
      </c>
      <c r="I85" s="118">
        <v>45875</v>
      </c>
      <c r="J85" s="44">
        <v>59</v>
      </c>
    </row>
    <row r="86" spans="1:10" x14ac:dyDescent="0.35">
      <c r="A86" s="62" t="s">
        <v>33</v>
      </c>
      <c r="B86" s="62" t="s">
        <v>30</v>
      </c>
      <c r="C86" s="62">
        <v>3</v>
      </c>
      <c r="D86" s="62">
        <v>4</v>
      </c>
      <c r="E86" s="62">
        <v>12</v>
      </c>
      <c r="F86" s="62">
        <v>412</v>
      </c>
      <c r="G86" s="63">
        <v>21</v>
      </c>
      <c r="H86">
        <v>3</v>
      </c>
      <c r="I86" s="118">
        <v>45875</v>
      </c>
      <c r="J86" s="44">
        <v>33</v>
      </c>
    </row>
    <row r="87" spans="1:10" x14ac:dyDescent="0.35">
      <c r="A87" s="62" t="s">
        <v>33</v>
      </c>
      <c r="B87" s="62" t="s">
        <v>34</v>
      </c>
      <c r="C87" s="62">
        <v>3</v>
      </c>
      <c r="D87" s="62">
        <v>3</v>
      </c>
      <c r="E87" s="62">
        <v>12</v>
      </c>
      <c r="F87" s="62">
        <v>312</v>
      </c>
      <c r="G87" s="63">
        <v>22</v>
      </c>
      <c r="H87">
        <v>3</v>
      </c>
      <c r="I87" s="118">
        <v>45875</v>
      </c>
      <c r="J87" s="44">
        <v>16</v>
      </c>
    </row>
    <row r="88" spans="1:10" x14ac:dyDescent="0.35">
      <c r="A88" s="62" t="s">
        <v>33</v>
      </c>
      <c r="B88" s="62" t="s">
        <v>35</v>
      </c>
      <c r="C88" s="62">
        <v>3</v>
      </c>
      <c r="D88" s="62">
        <v>2</v>
      </c>
      <c r="E88" s="62">
        <v>12</v>
      </c>
      <c r="F88" s="62">
        <v>212</v>
      </c>
      <c r="G88" s="63">
        <v>23</v>
      </c>
      <c r="H88">
        <v>3</v>
      </c>
      <c r="I88" s="118">
        <v>45875</v>
      </c>
      <c r="J88" s="44">
        <v>39</v>
      </c>
    </row>
    <row r="89" spans="1:10" x14ac:dyDescent="0.35">
      <c r="A89" s="62" t="s">
        <v>33</v>
      </c>
      <c r="B89" s="62" t="s">
        <v>29</v>
      </c>
      <c r="C89" s="62">
        <v>3</v>
      </c>
      <c r="D89" s="62">
        <v>1</v>
      </c>
      <c r="E89" s="62">
        <v>12</v>
      </c>
      <c r="F89" s="62">
        <v>112</v>
      </c>
      <c r="G89" s="63">
        <v>24</v>
      </c>
      <c r="H89">
        <v>3</v>
      </c>
      <c r="I89" s="118">
        <v>45875</v>
      </c>
      <c r="J89" s="44">
        <v>31</v>
      </c>
    </row>
    <row r="90" spans="1:10" x14ac:dyDescent="0.35">
      <c r="A90" s="62" t="s">
        <v>28</v>
      </c>
      <c r="B90" s="62" t="s">
        <v>30</v>
      </c>
      <c r="C90" s="62">
        <v>4</v>
      </c>
      <c r="D90" s="62">
        <v>1</v>
      </c>
      <c r="E90" s="62">
        <v>14</v>
      </c>
      <c r="F90" s="62">
        <v>114</v>
      </c>
      <c r="G90" s="63">
        <v>25</v>
      </c>
      <c r="H90">
        <v>3</v>
      </c>
      <c r="I90" s="118">
        <v>45875</v>
      </c>
      <c r="J90" s="44">
        <v>59</v>
      </c>
    </row>
    <row r="91" spans="1:10" x14ac:dyDescent="0.35">
      <c r="A91" s="62" t="s">
        <v>28</v>
      </c>
      <c r="B91" s="62" t="s">
        <v>29</v>
      </c>
      <c r="C91" s="62">
        <v>4</v>
      </c>
      <c r="D91" s="62">
        <v>2</v>
      </c>
      <c r="E91" s="62">
        <v>14</v>
      </c>
      <c r="F91" s="62">
        <v>214</v>
      </c>
      <c r="G91" s="63">
        <v>26</v>
      </c>
      <c r="H91">
        <v>3</v>
      </c>
      <c r="I91" s="118">
        <v>45875</v>
      </c>
      <c r="J91" s="44">
        <v>53</v>
      </c>
    </row>
    <row r="92" spans="1:10" x14ac:dyDescent="0.35">
      <c r="A92" s="62" t="s">
        <v>28</v>
      </c>
      <c r="B92" s="62" t="s">
        <v>32</v>
      </c>
      <c r="C92" s="62">
        <v>4</v>
      </c>
      <c r="D92" s="62">
        <v>3</v>
      </c>
      <c r="E92" s="62">
        <v>14</v>
      </c>
      <c r="F92" s="62">
        <v>314</v>
      </c>
      <c r="G92" s="63">
        <v>27</v>
      </c>
      <c r="H92">
        <v>3</v>
      </c>
      <c r="I92" s="118">
        <v>45875</v>
      </c>
      <c r="J92" s="44">
        <v>77</v>
      </c>
    </row>
    <row r="93" spans="1:10" x14ac:dyDescent="0.35">
      <c r="A93" s="62" t="s">
        <v>28</v>
      </c>
      <c r="B93" s="62" t="s">
        <v>31</v>
      </c>
      <c r="C93" s="62">
        <v>4</v>
      </c>
      <c r="D93" s="62">
        <v>4</v>
      </c>
      <c r="E93" s="62">
        <v>14</v>
      </c>
      <c r="F93" s="62">
        <v>414</v>
      </c>
      <c r="G93" s="63">
        <v>28</v>
      </c>
      <c r="H93">
        <v>3</v>
      </c>
      <c r="I93" s="118">
        <v>45875</v>
      </c>
      <c r="J93" s="44">
        <v>42</v>
      </c>
    </row>
    <row r="94" spans="1:10" x14ac:dyDescent="0.35">
      <c r="A94" s="62" t="s">
        <v>33</v>
      </c>
      <c r="B94" s="62" t="s">
        <v>35</v>
      </c>
      <c r="C94" s="62">
        <v>4</v>
      </c>
      <c r="D94" s="62">
        <v>4</v>
      </c>
      <c r="E94" s="62">
        <v>16</v>
      </c>
      <c r="F94" s="62">
        <v>416</v>
      </c>
      <c r="G94" s="63">
        <v>29</v>
      </c>
      <c r="H94">
        <v>3</v>
      </c>
      <c r="I94" s="118">
        <v>45875</v>
      </c>
      <c r="J94" s="44">
        <v>51</v>
      </c>
    </row>
    <row r="95" spans="1:10" x14ac:dyDescent="0.35">
      <c r="A95" s="62" t="s">
        <v>33</v>
      </c>
      <c r="B95" s="62" t="s">
        <v>29</v>
      </c>
      <c r="C95" s="62">
        <v>4</v>
      </c>
      <c r="D95" s="62">
        <v>3</v>
      </c>
      <c r="E95" s="62">
        <v>16</v>
      </c>
      <c r="F95" s="62">
        <v>316</v>
      </c>
      <c r="G95" s="63">
        <v>30</v>
      </c>
      <c r="H95">
        <v>3</v>
      </c>
      <c r="I95" s="118">
        <v>45875</v>
      </c>
      <c r="J95" s="44">
        <v>38</v>
      </c>
    </row>
    <row r="96" spans="1:10" x14ac:dyDescent="0.35">
      <c r="A96" s="62" t="s">
        <v>33</v>
      </c>
      <c r="B96" s="62" t="s">
        <v>34</v>
      </c>
      <c r="C96" s="62">
        <v>4</v>
      </c>
      <c r="D96" s="62">
        <v>2</v>
      </c>
      <c r="E96" s="62">
        <v>16</v>
      </c>
      <c r="F96" s="62">
        <v>216</v>
      </c>
      <c r="G96" s="63">
        <v>31</v>
      </c>
      <c r="H96">
        <v>3</v>
      </c>
      <c r="I96" s="118">
        <v>45875</v>
      </c>
      <c r="J96" s="44">
        <v>32</v>
      </c>
    </row>
    <row r="97" spans="1:10" x14ac:dyDescent="0.35">
      <c r="A97" s="62" t="s">
        <v>33</v>
      </c>
      <c r="B97" s="62" t="s">
        <v>30</v>
      </c>
      <c r="C97" s="62">
        <v>4</v>
      </c>
      <c r="D97" s="62">
        <v>1</v>
      </c>
      <c r="E97" s="62">
        <v>16</v>
      </c>
      <c r="F97" s="62">
        <v>116</v>
      </c>
      <c r="G97" s="63">
        <v>32</v>
      </c>
      <c r="H97">
        <v>3</v>
      </c>
      <c r="I97" s="118">
        <v>45875</v>
      </c>
      <c r="J97" s="44">
        <v>46</v>
      </c>
    </row>
    <row r="98" spans="1:10" x14ac:dyDescent="0.35">
      <c r="A98" s="62" t="s">
        <v>28</v>
      </c>
      <c r="B98" s="62" t="s">
        <v>29</v>
      </c>
      <c r="C98" s="62">
        <v>1</v>
      </c>
      <c r="D98" s="62">
        <v>1</v>
      </c>
      <c r="E98" s="62">
        <v>2</v>
      </c>
      <c r="F98" s="62">
        <v>102</v>
      </c>
      <c r="G98" s="63">
        <v>1</v>
      </c>
      <c r="H98">
        <v>4</v>
      </c>
      <c r="I98" s="118">
        <v>45888</v>
      </c>
      <c r="J98" s="44">
        <v>44</v>
      </c>
    </row>
    <row r="99" spans="1:10" x14ac:dyDescent="0.35">
      <c r="A99" s="62" t="s">
        <v>28</v>
      </c>
      <c r="B99" s="62" t="s">
        <v>30</v>
      </c>
      <c r="C99" s="62">
        <v>1</v>
      </c>
      <c r="D99" s="62">
        <v>2</v>
      </c>
      <c r="E99" s="62">
        <v>2</v>
      </c>
      <c r="F99" s="62">
        <v>202</v>
      </c>
      <c r="G99" s="63">
        <v>2</v>
      </c>
      <c r="H99">
        <v>4</v>
      </c>
      <c r="I99" s="118">
        <v>45888</v>
      </c>
      <c r="J99" s="44">
        <v>40</v>
      </c>
    </row>
    <row r="100" spans="1:10" x14ac:dyDescent="0.35">
      <c r="A100" s="62" t="s">
        <v>28</v>
      </c>
      <c r="B100" s="62" t="s">
        <v>31</v>
      </c>
      <c r="C100" s="62">
        <v>1</v>
      </c>
      <c r="D100" s="62">
        <v>3</v>
      </c>
      <c r="E100" s="62">
        <v>2</v>
      </c>
      <c r="F100" s="62">
        <v>302</v>
      </c>
      <c r="G100" s="63">
        <v>3</v>
      </c>
      <c r="H100">
        <v>4</v>
      </c>
      <c r="I100" s="118">
        <v>45888</v>
      </c>
      <c r="J100" s="44">
        <v>47</v>
      </c>
    </row>
    <row r="101" spans="1:10" x14ac:dyDescent="0.35">
      <c r="A101" s="62" t="s">
        <v>28</v>
      </c>
      <c r="B101" s="62" t="s">
        <v>32</v>
      </c>
      <c r="C101" s="62">
        <v>1</v>
      </c>
      <c r="D101" s="62">
        <v>4</v>
      </c>
      <c r="E101" s="62">
        <v>2</v>
      </c>
      <c r="F101" s="62">
        <v>402</v>
      </c>
      <c r="G101" s="63">
        <v>4</v>
      </c>
      <c r="H101">
        <v>4</v>
      </c>
      <c r="I101" s="118">
        <v>45888</v>
      </c>
      <c r="J101" s="44">
        <v>126</v>
      </c>
    </row>
    <row r="102" spans="1:10" x14ac:dyDescent="0.35">
      <c r="A102" s="62" t="s">
        <v>33</v>
      </c>
      <c r="B102" s="62" t="s">
        <v>29</v>
      </c>
      <c r="C102" s="62">
        <v>1</v>
      </c>
      <c r="D102" s="62">
        <v>4</v>
      </c>
      <c r="E102" s="62">
        <v>4</v>
      </c>
      <c r="F102" s="62">
        <v>404</v>
      </c>
      <c r="G102" s="63">
        <v>5</v>
      </c>
      <c r="H102">
        <v>4</v>
      </c>
      <c r="I102" s="118">
        <v>45888</v>
      </c>
      <c r="J102" s="44">
        <v>37</v>
      </c>
    </row>
    <row r="103" spans="1:10" x14ac:dyDescent="0.35">
      <c r="A103" s="62" t="s">
        <v>33</v>
      </c>
      <c r="B103" s="62" t="s">
        <v>35</v>
      </c>
      <c r="C103" s="62">
        <v>1</v>
      </c>
      <c r="D103" s="62">
        <v>3</v>
      </c>
      <c r="E103" s="62">
        <v>4</v>
      </c>
      <c r="F103" s="62">
        <v>304</v>
      </c>
      <c r="G103" s="63">
        <v>6</v>
      </c>
      <c r="H103">
        <v>4</v>
      </c>
      <c r="I103" s="118">
        <v>45888</v>
      </c>
      <c r="J103" s="44">
        <v>34</v>
      </c>
    </row>
    <row r="104" spans="1:10" x14ac:dyDescent="0.35">
      <c r="A104" s="62" t="s">
        <v>33</v>
      </c>
      <c r="B104" s="62" t="s">
        <v>30</v>
      </c>
      <c r="C104" s="62">
        <v>1</v>
      </c>
      <c r="D104" s="62">
        <v>2</v>
      </c>
      <c r="E104" s="62">
        <v>4</v>
      </c>
      <c r="F104" s="62">
        <v>204</v>
      </c>
      <c r="G104" s="63">
        <v>7</v>
      </c>
      <c r="H104">
        <v>4</v>
      </c>
      <c r="I104" s="118">
        <v>45888</v>
      </c>
      <c r="J104" s="44">
        <v>61</v>
      </c>
    </row>
    <row r="105" spans="1:10" x14ac:dyDescent="0.35">
      <c r="A105" s="62" t="s">
        <v>33</v>
      </c>
      <c r="B105" s="62" t="s">
        <v>34</v>
      </c>
      <c r="C105" s="62">
        <v>1</v>
      </c>
      <c r="D105" s="62">
        <v>1</v>
      </c>
      <c r="E105" s="62">
        <v>4</v>
      </c>
      <c r="F105" s="62">
        <v>104</v>
      </c>
      <c r="G105" s="63">
        <v>8</v>
      </c>
      <c r="H105">
        <v>4</v>
      </c>
      <c r="I105" s="118">
        <v>45888</v>
      </c>
      <c r="J105" s="44">
        <v>20</v>
      </c>
    </row>
    <row r="106" spans="1:10" x14ac:dyDescent="0.35">
      <c r="A106" s="62" t="s">
        <v>28</v>
      </c>
      <c r="B106" s="62" t="s">
        <v>31</v>
      </c>
      <c r="C106" s="62">
        <v>2</v>
      </c>
      <c r="D106" s="62">
        <v>1</v>
      </c>
      <c r="E106" s="62">
        <v>6</v>
      </c>
      <c r="F106" s="62">
        <v>106</v>
      </c>
      <c r="G106" s="63">
        <v>9</v>
      </c>
      <c r="H106">
        <v>4</v>
      </c>
      <c r="I106" s="118">
        <v>45888</v>
      </c>
      <c r="J106" s="44">
        <v>46</v>
      </c>
    </row>
    <row r="107" spans="1:10" x14ac:dyDescent="0.35">
      <c r="A107" s="62" t="s">
        <v>28</v>
      </c>
      <c r="B107" s="62" t="s">
        <v>32</v>
      </c>
      <c r="C107" s="62">
        <v>2</v>
      </c>
      <c r="D107" s="62">
        <v>2</v>
      </c>
      <c r="E107" s="62">
        <v>6</v>
      </c>
      <c r="F107" s="62">
        <v>206</v>
      </c>
      <c r="G107" s="63">
        <v>10</v>
      </c>
      <c r="H107">
        <v>4</v>
      </c>
      <c r="I107" s="118">
        <v>45888</v>
      </c>
      <c r="J107" s="44">
        <v>86</v>
      </c>
    </row>
    <row r="108" spans="1:10" x14ac:dyDescent="0.35">
      <c r="A108" s="62" t="s">
        <v>28</v>
      </c>
      <c r="B108" s="62" t="s">
        <v>30</v>
      </c>
      <c r="C108" s="62">
        <v>2</v>
      </c>
      <c r="D108" s="62">
        <v>3</v>
      </c>
      <c r="E108" s="62">
        <v>6</v>
      </c>
      <c r="F108" s="62">
        <v>306</v>
      </c>
      <c r="G108" s="63">
        <v>11</v>
      </c>
      <c r="H108">
        <v>4</v>
      </c>
      <c r="I108" s="118">
        <v>45888</v>
      </c>
      <c r="J108" s="44">
        <v>27</v>
      </c>
    </row>
    <row r="109" spans="1:10" x14ac:dyDescent="0.35">
      <c r="A109" s="62" t="s">
        <v>28</v>
      </c>
      <c r="B109" s="62" t="s">
        <v>29</v>
      </c>
      <c r="C109" s="62">
        <v>2</v>
      </c>
      <c r="D109" s="62">
        <v>4</v>
      </c>
      <c r="E109" s="62">
        <v>6</v>
      </c>
      <c r="F109" s="62">
        <v>406</v>
      </c>
      <c r="G109" s="63">
        <v>12</v>
      </c>
      <c r="H109">
        <v>4</v>
      </c>
      <c r="I109" s="118">
        <v>45888</v>
      </c>
      <c r="J109" s="44">
        <v>64</v>
      </c>
    </row>
    <row r="110" spans="1:10" x14ac:dyDescent="0.35">
      <c r="A110" s="62" t="s">
        <v>33</v>
      </c>
      <c r="B110" s="62" t="s">
        <v>34</v>
      </c>
      <c r="C110" s="62">
        <v>2</v>
      </c>
      <c r="D110" s="62">
        <v>4</v>
      </c>
      <c r="E110" s="62">
        <v>8</v>
      </c>
      <c r="F110" s="62">
        <v>408</v>
      </c>
      <c r="G110" s="63">
        <v>13</v>
      </c>
      <c r="H110">
        <v>4</v>
      </c>
      <c r="I110" s="118">
        <v>45888</v>
      </c>
      <c r="J110" s="44">
        <v>40</v>
      </c>
    </row>
    <row r="111" spans="1:10" x14ac:dyDescent="0.35">
      <c r="A111" s="62" t="s">
        <v>33</v>
      </c>
      <c r="B111" s="62" t="s">
        <v>30</v>
      </c>
      <c r="C111" s="62">
        <v>2</v>
      </c>
      <c r="D111" s="62">
        <v>3</v>
      </c>
      <c r="E111" s="62">
        <v>8</v>
      </c>
      <c r="F111" s="62">
        <v>308</v>
      </c>
      <c r="G111" s="63">
        <v>14</v>
      </c>
      <c r="H111">
        <v>4</v>
      </c>
      <c r="I111" s="118">
        <v>45888</v>
      </c>
      <c r="J111" s="44">
        <v>44</v>
      </c>
    </row>
    <row r="112" spans="1:10" x14ac:dyDescent="0.35">
      <c r="A112" s="62" t="s">
        <v>33</v>
      </c>
      <c r="B112" s="62" t="s">
        <v>29</v>
      </c>
      <c r="C112" s="62">
        <v>2</v>
      </c>
      <c r="D112" s="62">
        <v>2</v>
      </c>
      <c r="E112" s="62">
        <v>8</v>
      </c>
      <c r="F112" s="62">
        <v>208</v>
      </c>
      <c r="G112" s="63">
        <v>15</v>
      </c>
      <c r="H112">
        <v>4</v>
      </c>
      <c r="I112" s="118">
        <v>45888</v>
      </c>
      <c r="J112" s="44">
        <v>54</v>
      </c>
    </row>
    <row r="113" spans="1:10" x14ac:dyDescent="0.35">
      <c r="A113" s="62" t="s">
        <v>33</v>
      </c>
      <c r="B113" s="62" t="s">
        <v>35</v>
      </c>
      <c r="C113" s="62">
        <v>2</v>
      </c>
      <c r="D113" s="62">
        <v>1</v>
      </c>
      <c r="E113" s="62">
        <v>8</v>
      </c>
      <c r="F113" s="62">
        <v>108</v>
      </c>
      <c r="G113" s="63">
        <v>16</v>
      </c>
      <c r="H113">
        <v>4</v>
      </c>
      <c r="I113" s="118">
        <v>45888</v>
      </c>
      <c r="J113" s="44">
        <v>39</v>
      </c>
    </row>
    <row r="114" spans="1:10" x14ac:dyDescent="0.35">
      <c r="A114" s="62" t="s">
        <v>28</v>
      </c>
      <c r="B114" s="62" t="s">
        <v>32</v>
      </c>
      <c r="C114" s="62">
        <v>3</v>
      </c>
      <c r="D114" s="62">
        <v>1</v>
      </c>
      <c r="E114" s="62">
        <v>10</v>
      </c>
      <c r="F114" s="62">
        <v>110</v>
      </c>
      <c r="G114" s="63">
        <v>17</v>
      </c>
      <c r="H114">
        <v>4</v>
      </c>
      <c r="I114" s="118">
        <v>45888</v>
      </c>
      <c r="J114" s="44">
        <v>99</v>
      </c>
    </row>
    <row r="115" spans="1:10" x14ac:dyDescent="0.35">
      <c r="A115" s="62" t="s">
        <v>28</v>
      </c>
      <c r="B115" s="62" t="s">
        <v>31</v>
      </c>
      <c r="C115" s="62">
        <v>3</v>
      </c>
      <c r="D115" s="62">
        <v>2</v>
      </c>
      <c r="E115" s="62">
        <v>10</v>
      </c>
      <c r="F115" s="62">
        <v>210</v>
      </c>
      <c r="G115" s="63">
        <v>18</v>
      </c>
      <c r="H115">
        <v>4</v>
      </c>
      <c r="I115" s="118">
        <v>45888</v>
      </c>
      <c r="J115" s="44">
        <v>63</v>
      </c>
    </row>
    <row r="116" spans="1:10" x14ac:dyDescent="0.35">
      <c r="A116" s="62" t="s">
        <v>28</v>
      </c>
      <c r="B116" s="62" t="s">
        <v>29</v>
      </c>
      <c r="C116" s="62">
        <v>3</v>
      </c>
      <c r="D116" s="62">
        <v>3</v>
      </c>
      <c r="E116" s="62">
        <v>10</v>
      </c>
      <c r="F116" s="62">
        <v>310</v>
      </c>
      <c r="G116" s="63">
        <v>19</v>
      </c>
      <c r="H116">
        <v>4</v>
      </c>
      <c r="I116" s="118">
        <v>45888</v>
      </c>
      <c r="J116" s="44">
        <v>34</v>
      </c>
    </row>
    <row r="117" spans="1:10" x14ac:dyDescent="0.35">
      <c r="A117" s="62" t="s">
        <v>28</v>
      </c>
      <c r="B117" s="62" t="s">
        <v>30</v>
      </c>
      <c r="C117" s="62">
        <v>3</v>
      </c>
      <c r="D117" s="62">
        <v>4</v>
      </c>
      <c r="E117" s="62">
        <v>10</v>
      </c>
      <c r="F117" s="62">
        <v>410</v>
      </c>
      <c r="G117" s="63">
        <v>20</v>
      </c>
      <c r="H117">
        <v>4</v>
      </c>
      <c r="I117" s="118">
        <v>45888</v>
      </c>
      <c r="J117" s="44">
        <v>53</v>
      </c>
    </row>
    <row r="118" spans="1:10" x14ac:dyDescent="0.35">
      <c r="A118" s="62" t="s">
        <v>33</v>
      </c>
      <c r="B118" s="62" t="s">
        <v>30</v>
      </c>
      <c r="C118" s="62">
        <v>3</v>
      </c>
      <c r="D118" s="62">
        <v>4</v>
      </c>
      <c r="E118" s="62">
        <v>12</v>
      </c>
      <c r="F118" s="62">
        <v>412</v>
      </c>
      <c r="G118" s="63">
        <v>21</v>
      </c>
      <c r="H118">
        <v>4</v>
      </c>
      <c r="I118" s="118">
        <v>45888</v>
      </c>
      <c r="J118" s="44">
        <v>41</v>
      </c>
    </row>
    <row r="119" spans="1:10" x14ac:dyDescent="0.35">
      <c r="A119" s="62" t="s">
        <v>33</v>
      </c>
      <c r="B119" s="62" t="s">
        <v>34</v>
      </c>
      <c r="C119" s="62">
        <v>3</v>
      </c>
      <c r="D119" s="62">
        <v>3</v>
      </c>
      <c r="E119" s="62">
        <v>12</v>
      </c>
      <c r="F119" s="62">
        <v>312</v>
      </c>
      <c r="G119" s="63">
        <v>22</v>
      </c>
      <c r="H119">
        <v>4</v>
      </c>
      <c r="I119" s="118">
        <v>45888</v>
      </c>
      <c r="J119" s="44">
        <v>17</v>
      </c>
    </row>
    <row r="120" spans="1:10" x14ac:dyDescent="0.35">
      <c r="A120" s="62" t="s">
        <v>33</v>
      </c>
      <c r="B120" s="62" t="s">
        <v>35</v>
      </c>
      <c r="C120" s="62">
        <v>3</v>
      </c>
      <c r="D120" s="62">
        <v>2</v>
      </c>
      <c r="E120" s="62">
        <v>12</v>
      </c>
      <c r="F120" s="62">
        <v>212</v>
      </c>
      <c r="G120" s="63">
        <v>23</v>
      </c>
      <c r="H120">
        <v>4</v>
      </c>
      <c r="I120" s="118">
        <v>45888</v>
      </c>
      <c r="J120" s="44">
        <v>44</v>
      </c>
    </row>
    <row r="121" spans="1:10" x14ac:dyDescent="0.35">
      <c r="A121" s="62" t="s">
        <v>33</v>
      </c>
      <c r="B121" s="62" t="s">
        <v>29</v>
      </c>
      <c r="C121" s="62">
        <v>3</v>
      </c>
      <c r="D121" s="62">
        <v>1</v>
      </c>
      <c r="E121" s="62">
        <v>12</v>
      </c>
      <c r="F121" s="62">
        <v>112</v>
      </c>
      <c r="G121" s="63">
        <v>24</v>
      </c>
      <c r="H121">
        <v>4</v>
      </c>
      <c r="I121" s="118">
        <v>45888</v>
      </c>
      <c r="J121" s="44">
        <v>29</v>
      </c>
    </row>
    <row r="122" spans="1:10" x14ac:dyDescent="0.35">
      <c r="A122" s="62" t="s">
        <v>28</v>
      </c>
      <c r="B122" s="62" t="s">
        <v>30</v>
      </c>
      <c r="C122" s="62">
        <v>4</v>
      </c>
      <c r="D122" s="62">
        <v>1</v>
      </c>
      <c r="E122" s="62">
        <v>14</v>
      </c>
      <c r="F122" s="62">
        <v>114</v>
      </c>
      <c r="G122" s="63">
        <v>25</v>
      </c>
      <c r="H122">
        <v>4</v>
      </c>
      <c r="I122" s="118">
        <v>45888</v>
      </c>
      <c r="J122" s="44">
        <v>63</v>
      </c>
    </row>
    <row r="123" spans="1:10" x14ac:dyDescent="0.35">
      <c r="A123" s="62" t="s">
        <v>28</v>
      </c>
      <c r="B123" s="62" t="s">
        <v>29</v>
      </c>
      <c r="C123" s="62">
        <v>4</v>
      </c>
      <c r="D123" s="62">
        <v>2</v>
      </c>
      <c r="E123" s="62">
        <v>14</v>
      </c>
      <c r="F123" s="62">
        <v>214</v>
      </c>
      <c r="G123" s="63">
        <v>26</v>
      </c>
      <c r="H123">
        <v>4</v>
      </c>
      <c r="I123" s="118">
        <v>45888</v>
      </c>
      <c r="J123" s="44">
        <v>55</v>
      </c>
    </row>
    <row r="124" spans="1:10" x14ac:dyDescent="0.35">
      <c r="A124" s="62" t="s">
        <v>28</v>
      </c>
      <c r="B124" s="62" t="s">
        <v>32</v>
      </c>
      <c r="C124" s="62">
        <v>4</v>
      </c>
      <c r="D124" s="62">
        <v>3</v>
      </c>
      <c r="E124" s="62">
        <v>14</v>
      </c>
      <c r="F124" s="62">
        <v>314</v>
      </c>
      <c r="G124" s="63">
        <v>27</v>
      </c>
      <c r="H124">
        <v>4</v>
      </c>
      <c r="I124" s="118">
        <v>45888</v>
      </c>
      <c r="J124" s="44">
        <v>94</v>
      </c>
    </row>
    <row r="125" spans="1:10" x14ac:dyDescent="0.35">
      <c r="A125" s="62" t="s">
        <v>28</v>
      </c>
      <c r="B125" s="62" t="s">
        <v>31</v>
      </c>
      <c r="C125" s="62">
        <v>4</v>
      </c>
      <c r="D125" s="62">
        <v>4</v>
      </c>
      <c r="E125" s="62">
        <v>14</v>
      </c>
      <c r="F125" s="62">
        <v>414</v>
      </c>
      <c r="G125" s="63">
        <v>28</v>
      </c>
      <c r="H125">
        <v>4</v>
      </c>
      <c r="I125" s="118">
        <v>45888</v>
      </c>
      <c r="J125" s="44">
        <v>40</v>
      </c>
    </row>
    <row r="126" spans="1:10" x14ac:dyDescent="0.35">
      <c r="A126" s="62" t="s">
        <v>33</v>
      </c>
      <c r="B126" s="62" t="s">
        <v>35</v>
      </c>
      <c r="C126" s="62">
        <v>4</v>
      </c>
      <c r="D126" s="62">
        <v>4</v>
      </c>
      <c r="E126" s="62">
        <v>16</v>
      </c>
      <c r="F126" s="62">
        <v>416</v>
      </c>
      <c r="G126" s="63">
        <v>29</v>
      </c>
      <c r="H126">
        <v>4</v>
      </c>
      <c r="I126" s="118">
        <v>45888</v>
      </c>
      <c r="J126" s="44">
        <v>65</v>
      </c>
    </row>
    <row r="127" spans="1:10" x14ac:dyDescent="0.35">
      <c r="A127" s="62" t="s">
        <v>33</v>
      </c>
      <c r="B127" s="62" t="s">
        <v>29</v>
      </c>
      <c r="C127" s="62">
        <v>4</v>
      </c>
      <c r="D127" s="62">
        <v>3</v>
      </c>
      <c r="E127" s="62">
        <v>16</v>
      </c>
      <c r="F127" s="62">
        <v>316</v>
      </c>
      <c r="G127" s="63">
        <v>30</v>
      </c>
      <c r="H127">
        <v>4</v>
      </c>
      <c r="I127" s="118">
        <v>45888</v>
      </c>
      <c r="J127" s="44">
        <v>47</v>
      </c>
    </row>
    <row r="128" spans="1:10" x14ac:dyDescent="0.35">
      <c r="A128" s="62" t="s">
        <v>33</v>
      </c>
      <c r="B128" s="62" t="s">
        <v>34</v>
      </c>
      <c r="C128" s="62">
        <v>4</v>
      </c>
      <c r="D128" s="62">
        <v>2</v>
      </c>
      <c r="E128" s="62">
        <v>16</v>
      </c>
      <c r="F128" s="62">
        <v>216</v>
      </c>
      <c r="G128" s="63">
        <v>31</v>
      </c>
      <c r="H128">
        <v>4</v>
      </c>
      <c r="I128" s="118">
        <v>45888</v>
      </c>
      <c r="J128" s="44">
        <v>33</v>
      </c>
    </row>
    <row r="129" spans="1:10" x14ac:dyDescent="0.35">
      <c r="A129" s="62" t="s">
        <v>33</v>
      </c>
      <c r="B129" s="62" t="s">
        <v>30</v>
      </c>
      <c r="C129" s="62">
        <v>4</v>
      </c>
      <c r="D129" s="62">
        <v>1</v>
      </c>
      <c r="E129" s="62">
        <v>16</v>
      </c>
      <c r="F129" s="62">
        <v>116</v>
      </c>
      <c r="G129" s="63">
        <v>32</v>
      </c>
      <c r="H129">
        <v>4</v>
      </c>
      <c r="I129" s="118">
        <v>45888</v>
      </c>
      <c r="J129" s="44">
        <v>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6415-65A7-4C09-8106-9D58F9F65B69}">
  <dimension ref="A1:AJ449"/>
  <sheetViews>
    <sheetView topLeftCell="F307" workbookViewId="0">
      <selection activeCell="N320" sqref="N320"/>
    </sheetView>
  </sheetViews>
  <sheetFormatPr defaultRowHeight="15" customHeight="1" x14ac:dyDescent="0.35"/>
  <cols>
    <col min="1" max="1" width="13.81640625" style="62" customWidth="1"/>
    <col min="2" max="2" width="16.453125" style="62" customWidth="1"/>
    <col min="3" max="3" width="13.54296875" style="62" customWidth="1"/>
    <col min="4" max="4" width="9.7265625" style="62" customWidth="1"/>
    <col min="5" max="5" width="8.81640625" style="62"/>
    <col min="6" max="7" width="8.54296875" style="62" customWidth="1"/>
    <col min="8" max="8" width="14.453125" style="63" customWidth="1"/>
    <col min="9" max="9" width="14.453125" style="116" customWidth="1"/>
    <col min="10" max="10" width="14.453125" style="65" customWidth="1"/>
    <col min="11" max="11" width="12.54296875" style="65" customWidth="1"/>
    <col min="12" max="12" width="12.26953125" customWidth="1"/>
    <col min="16" max="16" width="12.54296875" style="113" customWidth="1"/>
    <col min="19" max="19" width="26.81640625" bestFit="1" customWidth="1"/>
    <col min="20" max="20" width="16.26953125" style="35" bestFit="1" customWidth="1"/>
    <col min="21" max="21" width="9.7265625" bestFit="1" customWidth="1"/>
    <col min="22" max="24" width="10.7265625" bestFit="1" customWidth="1"/>
    <col min="25" max="26" width="9.7265625" bestFit="1" customWidth="1"/>
    <col min="27" max="31" width="10.7265625" bestFit="1" customWidth="1"/>
    <col min="32" max="33" width="9.7265625" bestFit="1" customWidth="1"/>
    <col min="34" max="36" width="10.7265625" bestFit="1" customWidth="1"/>
  </cols>
  <sheetData>
    <row r="1" spans="1:36" ht="29" x14ac:dyDescent="0.35">
      <c r="A1" s="61" t="s">
        <v>20</v>
      </c>
      <c r="B1" s="61" t="s">
        <v>21</v>
      </c>
      <c r="C1" s="61" t="s">
        <v>22</v>
      </c>
      <c r="D1" s="61" t="s">
        <v>23</v>
      </c>
      <c r="E1" s="61" t="s">
        <v>24</v>
      </c>
      <c r="F1" s="61" t="s">
        <v>25</v>
      </c>
      <c r="G1" s="10" t="s">
        <v>26</v>
      </c>
      <c r="H1" s="61" t="s">
        <v>412</v>
      </c>
      <c r="I1" s="115" t="s">
        <v>430</v>
      </c>
      <c r="J1" s="10" t="s">
        <v>436</v>
      </c>
      <c r="K1" s="10" t="s">
        <v>437</v>
      </c>
      <c r="L1" s="10" t="s">
        <v>438</v>
      </c>
      <c r="M1" s="1" t="s">
        <v>439</v>
      </c>
      <c r="N1" s="1" t="s">
        <v>439</v>
      </c>
      <c r="O1" s="1" t="s">
        <v>439</v>
      </c>
      <c r="P1" s="9" t="s">
        <v>440</v>
      </c>
    </row>
    <row r="2" spans="1:36" ht="14.5" x14ac:dyDescent="0.35">
      <c r="A2" s="62" t="s">
        <v>28</v>
      </c>
      <c r="B2" s="62" t="s">
        <v>29</v>
      </c>
      <c r="C2" s="62">
        <v>1</v>
      </c>
      <c r="D2" s="62">
        <v>1</v>
      </c>
      <c r="E2" s="62">
        <v>2</v>
      </c>
      <c r="F2" s="62">
        <v>102</v>
      </c>
      <c r="G2" s="63">
        <v>1</v>
      </c>
      <c r="H2" s="63">
        <v>1</v>
      </c>
      <c r="I2" s="116">
        <v>45799</v>
      </c>
      <c r="J2" s="63">
        <v>4.2</v>
      </c>
      <c r="K2" s="63">
        <v>4.3</v>
      </c>
      <c r="L2">
        <v>4.0999999999999996</v>
      </c>
      <c r="M2">
        <v>1</v>
      </c>
      <c r="N2">
        <v>2</v>
      </c>
      <c r="O2">
        <v>0</v>
      </c>
      <c r="P2" s="113">
        <f>AVERAGE(J2:L2)</f>
        <v>4.2</v>
      </c>
    </row>
    <row r="3" spans="1:36" ht="14.5" x14ac:dyDescent="0.35">
      <c r="A3" s="62" t="s">
        <v>28</v>
      </c>
      <c r="B3" s="62" t="s">
        <v>30</v>
      </c>
      <c r="C3" s="62">
        <v>1</v>
      </c>
      <c r="D3" s="62">
        <v>2</v>
      </c>
      <c r="E3" s="62">
        <v>2</v>
      </c>
      <c r="F3" s="62">
        <v>202</v>
      </c>
      <c r="G3" s="63">
        <v>2</v>
      </c>
      <c r="H3" s="63">
        <v>1</v>
      </c>
      <c r="I3" s="116">
        <v>45799</v>
      </c>
      <c r="J3" s="63">
        <v>4</v>
      </c>
      <c r="K3" s="63">
        <v>4.4000000000000004</v>
      </c>
      <c r="L3">
        <v>4.3</v>
      </c>
      <c r="M3">
        <v>1</v>
      </c>
      <c r="N3">
        <v>2</v>
      </c>
      <c r="O3">
        <v>1</v>
      </c>
      <c r="P3" s="113">
        <f t="shared" ref="P3:P66" si="0">AVERAGE(J3:L3)</f>
        <v>4.2333333333333334</v>
      </c>
      <c r="S3" s="29" t="s">
        <v>441</v>
      </c>
      <c r="T3" s="29" t="s">
        <v>416</v>
      </c>
    </row>
    <row r="4" spans="1:36" ht="14.5" x14ac:dyDescent="0.35">
      <c r="A4" s="62" t="s">
        <v>28</v>
      </c>
      <c r="B4" s="62" t="s">
        <v>31</v>
      </c>
      <c r="C4" s="62">
        <v>1</v>
      </c>
      <c r="D4" s="62">
        <v>3</v>
      </c>
      <c r="E4" s="62">
        <v>2</v>
      </c>
      <c r="F4" s="62">
        <v>302</v>
      </c>
      <c r="G4" s="63">
        <v>3</v>
      </c>
      <c r="H4" s="63">
        <v>1</v>
      </c>
      <c r="I4" s="116">
        <v>45799</v>
      </c>
      <c r="J4" s="63">
        <v>4</v>
      </c>
      <c r="K4" s="63">
        <v>3.2</v>
      </c>
      <c r="L4">
        <v>3.5</v>
      </c>
      <c r="M4">
        <v>2</v>
      </c>
      <c r="N4">
        <v>0</v>
      </c>
      <c r="O4">
        <v>0</v>
      </c>
      <c r="P4" s="113">
        <f t="shared" si="0"/>
        <v>3.5666666666666664</v>
      </c>
      <c r="S4" s="29" t="s">
        <v>417</v>
      </c>
      <c r="T4" s="88">
        <v>45799</v>
      </c>
      <c r="U4" s="88">
        <v>45811</v>
      </c>
      <c r="V4" s="88">
        <v>45821</v>
      </c>
      <c r="W4" s="88">
        <v>45828</v>
      </c>
      <c r="X4" s="88">
        <v>45835</v>
      </c>
      <c r="Y4" s="88">
        <v>45842</v>
      </c>
      <c r="Z4" s="88">
        <v>45845</v>
      </c>
      <c r="AA4" s="88">
        <v>45849</v>
      </c>
      <c r="AB4" s="88">
        <v>45852</v>
      </c>
      <c r="AC4" s="88">
        <v>45856</v>
      </c>
      <c r="AD4" s="88">
        <v>45862</v>
      </c>
      <c r="AE4" s="88">
        <v>45863</v>
      </c>
      <c r="AF4" s="88">
        <v>45873</v>
      </c>
      <c r="AG4" s="88">
        <v>45875</v>
      </c>
      <c r="AH4" s="88">
        <v>45883</v>
      </c>
      <c r="AI4" s="88">
        <v>45884</v>
      </c>
      <c r="AJ4" s="88">
        <v>45894</v>
      </c>
    </row>
    <row r="5" spans="1:36" ht="14.5" x14ac:dyDescent="0.35">
      <c r="A5" s="62" t="s">
        <v>28</v>
      </c>
      <c r="B5" s="62" t="s">
        <v>32</v>
      </c>
      <c r="C5" s="62">
        <v>1</v>
      </c>
      <c r="D5" s="62">
        <v>4</v>
      </c>
      <c r="E5" s="62">
        <v>2</v>
      </c>
      <c r="F5" s="62">
        <v>402</v>
      </c>
      <c r="G5" s="63">
        <v>4</v>
      </c>
      <c r="H5" s="63">
        <v>1</v>
      </c>
      <c r="I5" s="116">
        <v>45799</v>
      </c>
      <c r="J5" s="63">
        <v>4.2</v>
      </c>
      <c r="K5" s="63">
        <v>4.4000000000000004</v>
      </c>
      <c r="L5">
        <v>4</v>
      </c>
      <c r="M5">
        <v>2</v>
      </c>
      <c r="N5">
        <v>3</v>
      </c>
      <c r="O5">
        <v>2</v>
      </c>
      <c r="P5" s="113">
        <f t="shared" si="0"/>
        <v>4.2</v>
      </c>
      <c r="S5" s="32" t="s">
        <v>28</v>
      </c>
      <c r="T5" s="35">
        <v>3.8020833333333335</v>
      </c>
      <c r="U5" s="35">
        <v>5.0041666666666664</v>
      </c>
      <c r="V5" s="35">
        <v>5.7416666666666663</v>
      </c>
      <c r="W5" s="35">
        <v>6.1916666666666664</v>
      </c>
      <c r="X5" s="35">
        <v>6.7270833333333329</v>
      </c>
      <c r="Y5" s="35"/>
      <c r="Z5" s="35">
        <v>7.5145833333333334</v>
      </c>
      <c r="AA5" s="35"/>
      <c r="AB5" s="35">
        <v>8.0375000000000014</v>
      </c>
      <c r="AC5" s="35"/>
      <c r="AD5" s="35">
        <v>8.7687499999999989</v>
      </c>
      <c r="AE5" s="35"/>
      <c r="AF5" s="35">
        <v>9.5729166666666661</v>
      </c>
      <c r="AG5" s="35"/>
      <c r="AH5" s="35">
        <v>10.400000000000002</v>
      </c>
      <c r="AI5" s="35"/>
      <c r="AJ5" s="35">
        <v>11.337500000000002</v>
      </c>
    </row>
    <row r="6" spans="1:36" ht="14.5" x14ac:dyDescent="0.35">
      <c r="A6" s="62" t="s">
        <v>33</v>
      </c>
      <c r="B6" s="62" t="s">
        <v>29</v>
      </c>
      <c r="C6" s="62">
        <v>1</v>
      </c>
      <c r="D6" s="62">
        <v>4</v>
      </c>
      <c r="E6" s="62">
        <v>4</v>
      </c>
      <c r="F6" s="62">
        <v>404</v>
      </c>
      <c r="G6" s="63">
        <v>5</v>
      </c>
      <c r="H6" s="63">
        <v>1</v>
      </c>
      <c r="I6" s="116">
        <v>45842</v>
      </c>
      <c r="J6" s="44">
        <v>3.7</v>
      </c>
      <c r="K6" s="44">
        <v>3.6</v>
      </c>
      <c r="L6" s="44">
        <v>4</v>
      </c>
      <c r="P6" s="113">
        <f t="shared" si="0"/>
        <v>3.7666666666666671</v>
      </c>
      <c r="S6" s="91" t="s">
        <v>32</v>
      </c>
      <c r="T6" s="104">
        <v>3.8916666666666666</v>
      </c>
      <c r="U6" s="104">
        <v>5.0083333333333329</v>
      </c>
      <c r="V6" s="104">
        <v>5.708333333333333</v>
      </c>
      <c r="W6" s="104">
        <v>6.1333333333333337</v>
      </c>
      <c r="X6" s="104">
        <v>6.583333333333333</v>
      </c>
      <c r="Y6" s="104"/>
      <c r="Z6" s="104">
        <v>7.3999999999999995</v>
      </c>
      <c r="AA6" s="104"/>
      <c r="AB6" s="104">
        <v>7.8666666666666671</v>
      </c>
      <c r="AC6" s="104"/>
      <c r="AD6" s="104">
        <v>8.5750000000000011</v>
      </c>
      <c r="AE6" s="104"/>
      <c r="AF6" s="104">
        <v>9.2749999999999986</v>
      </c>
      <c r="AG6" s="104"/>
      <c r="AH6" s="104">
        <v>10.008333333333333</v>
      </c>
      <c r="AI6" s="104"/>
      <c r="AJ6" s="104">
        <v>10.875</v>
      </c>
    </row>
    <row r="7" spans="1:36" ht="14.5" x14ac:dyDescent="0.35">
      <c r="A7" s="62" t="s">
        <v>33</v>
      </c>
      <c r="B7" s="62" t="s">
        <v>35</v>
      </c>
      <c r="C7" s="62">
        <v>1</v>
      </c>
      <c r="D7" s="62">
        <v>3</v>
      </c>
      <c r="E7" s="62">
        <v>4</v>
      </c>
      <c r="F7" s="62">
        <v>304</v>
      </c>
      <c r="G7" s="63">
        <v>6</v>
      </c>
      <c r="H7" s="63">
        <v>1</v>
      </c>
      <c r="I7" s="116">
        <v>45842</v>
      </c>
      <c r="J7" s="44">
        <v>3.4</v>
      </c>
      <c r="K7" s="44">
        <v>3.2</v>
      </c>
      <c r="L7" s="44">
        <v>3.2</v>
      </c>
      <c r="P7" s="113">
        <f t="shared" si="0"/>
        <v>3.2666666666666671</v>
      </c>
      <c r="S7" s="91" t="s">
        <v>31</v>
      </c>
      <c r="T7" s="104">
        <v>3.7583333333333333</v>
      </c>
      <c r="U7" s="104">
        <v>5.0833333333333348</v>
      </c>
      <c r="V7" s="104">
        <v>5.8166666666666664</v>
      </c>
      <c r="W7" s="104">
        <v>6.2333333333333334</v>
      </c>
      <c r="X7" s="104">
        <v>6.7416666666666671</v>
      </c>
      <c r="Y7" s="104"/>
      <c r="Z7" s="104">
        <v>7.5916666666666668</v>
      </c>
      <c r="AA7" s="104"/>
      <c r="AB7" s="104">
        <v>8.0833333333333339</v>
      </c>
      <c r="AC7" s="104"/>
      <c r="AD7" s="104">
        <v>8.875</v>
      </c>
      <c r="AE7" s="104"/>
      <c r="AF7" s="104">
        <v>9.7250000000000014</v>
      </c>
      <c r="AG7" s="104"/>
      <c r="AH7" s="104">
        <v>10.591666666666667</v>
      </c>
      <c r="AI7" s="104"/>
      <c r="AJ7" s="104">
        <v>11.541666666666666</v>
      </c>
    </row>
    <row r="8" spans="1:36" ht="14.5" x14ac:dyDescent="0.35">
      <c r="A8" s="62" t="s">
        <v>33</v>
      </c>
      <c r="B8" s="62" t="s">
        <v>30</v>
      </c>
      <c r="C8" s="62">
        <v>1</v>
      </c>
      <c r="D8" s="62">
        <v>2</v>
      </c>
      <c r="E8" s="62">
        <v>4</v>
      </c>
      <c r="F8" s="62">
        <v>204</v>
      </c>
      <c r="G8" s="63">
        <v>7</v>
      </c>
      <c r="H8" s="63">
        <v>1</v>
      </c>
      <c r="I8" s="116">
        <v>45842</v>
      </c>
      <c r="J8" s="44">
        <v>4.0999999999999996</v>
      </c>
      <c r="K8" s="44">
        <v>4.4000000000000004</v>
      </c>
      <c r="L8" s="44">
        <v>4.3</v>
      </c>
      <c r="P8" s="113">
        <f t="shared" si="0"/>
        <v>4.2666666666666666</v>
      </c>
      <c r="S8" s="91" t="s">
        <v>29</v>
      </c>
      <c r="T8" s="104">
        <v>3.5749999999999997</v>
      </c>
      <c r="U8" s="104">
        <v>4.8416666666666668</v>
      </c>
      <c r="V8" s="104">
        <v>5.6166666666666663</v>
      </c>
      <c r="W8" s="104">
        <v>6.0333333333333341</v>
      </c>
      <c r="X8" s="104">
        <v>6.6499999999999995</v>
      </c>
      <c r="Y8" s="104"/>
      <c r="Z8" s="104">
        <v>7.4333333333333327</v>
      </c>
      <c r="AA8" s="104"/>
      <c r="AB8" s="104">
        <v>7.958333333333333</v>
      </c>
      <c r="AC8" s="104"/>
      <c r="AD8" s="104">
        <v>8.6583333333333332</v>
      </c>
      <c r="AE8" s="104"/>
      <c r="AF8" s="104">
        <v>9.5166666666666657</v>
      </c>
      <c r="AG8" s="104"/>
      <c r="AH8" s="104">
        <v>10.358333333333334</v>
      </c>
      <c r="AI8" s="104"/>
      <c r="AJ8" s="104">
        <v>11.283333333333331</v>
      </c>
    </row>
    <row r="9" spans="1:36" ht="14.5" x14ac:dyDescent="0.35">
      <c r="A9" s="62" t="s">
        <v>33</v>
      </c>
      <c r="B9" s="62" t="s">
        <v>34</v>
      </c>
      <c r="C9" s="62">
        <v>1</v>
      </c>
      <c r="D9" s="62">
        <v>1</v>
      </c>
      <c r="E9" s="62">
        <v>4</v>
      </c>
      <c r="F9" s="62">
        <v>104</v>
      </c>
      <c r="G9" s="63">
        <v>8</v>
      </c>
      <c r="H9" s="63">
        <v>1</v>
      </c>
      <c r="I9" s="116">
        <v>45842</v>
      </c>
      <c r="J9" s="44">
        <v>3.7</v>
      </c>
      <c r="K9" s="44">
        <v>3.5</v>
      </c>
      <c r="L9" s="44">
        <v>3.5</v>
      </c>
      <c r="P9" s="113">
        <f t="shared" si="0"/>
        <v>3.5666666666666664</v>
      </c>
      <c r="S9" s="91" t="s">
        <v>30</v>
      </c>
      <c r="T9" s="104">
        <v>3.9833333333333334</v>
      </c>
      <c r="U9" s="104">
        <v>5.083333333333333</v>
      </c>
      <c r="V9" s="104">
        <v>5.8250000000000002</v>
      </c>
      <c r="W9" s="104">
        <v>6.3666666666666663</v>
      </c>
      <c r="X9" s="104">
        <v>6.9333333333333336</v>
      </c>
      <c r="Y9" s="104"/>
      <c r="Z9" s="104">
        <v>7.6333333333333337</v>
      </c>
      <c r="AA9" s="104"/>
      <c r="AB9" s="104">
        <v>8.2416666666666671</v>
      </c>
      <c r="AC9" s="104"/>
      <c r="AD9" s="104">
        <v>8.9666666666666668</v>
      </c>
      <c r="AE9" s="104"/>
      <c r="AF9" s="104">
        <v>9.7750000000000004</v>
      </c>
      <c r="AG9" s="104"/>
      <c r="AH9" s="104">
        <v>10.641666666666667</v>
      </c>
      <c r="AI9" s="104"/>
      <c r="AJ9" s="104">
        <v>11.649999999999999</v>
      </c>
    </row>
    <row r="10" spans="1:36" ht="14.5" x14ac:dyDescent="0.35">
      <c r="A10" s="62" t="s">
        <v>28</v>
      </c>
      <c r="B10" s="62" t="s">
        <v>31</v>
      </c>
      <c r="C10" s="62">
        <v>2</v>
      </c>
      <c r="D10" s="62">
        <v>1</v>
      </c>
      <c r="E10" s="62">
        <v>6</v>
      </c>
      <c r="F10" s="62">
        <v>106</v>
      </c>
      <c r="G10" s="63">
        <v>9</v>
      </c>
      <c r="H10" s="63">
        <v>1</v>
      </c>
      <c r="I10" s="116">
        <v>45799</v>
      </c>
      <c r="J10" s="65">
        <v>4</v>
      </c>
      <c r="K10" s="65">
        <v>4.2</v>
      </c>
      <c r="L10">
        <v>3.7</v>
      </c>
      <c r="M10">
        <v>1</v>
      </c>
      <c r="N10">
        <v>1</v>
      </c>
      <c r="O10">
        <v>1</v>
      </c>
      <c r="P10" s="113">
        <f t="shared" si="0"/>
        <v>3.9666666666666663</v>
      </c>
      <c r="S10" s="32" t="s">
        <v>33</v>
      </c>
      <c r="T10" s="104"/>
      <c r="U10" s="104"/>
      <c r="V10" s="104"/>
      <c r="W10" s="104"/>
      <c r="X10" s="104"/>
      <c r="Y10" s="104">
        <v>3.6041666666666661</v>
      </c>
      <c r="Z10" s="104"/>
      <c r="AA10" s="104">
        <v>4.3041666666666671</v>
      </c>
      <c r="AB10" s="104"/>
      <c r="AC10" s="104">
        <v>4.9749999999999996</v>
      </c>
      <c r="AD10" s="104"/>
      <c r="AE10" s="104">
        <v>5.5124999999999993</v>
      </c>
      <c r="AF10" s="104"/>
      <c r="AG10" s="104">
        <v>6.4354166666666677</v>
      </c>
      <c r="AH10" s="104"/>
      <c r="AI10" s="104">
        <v>7.2541666666666655</v>
      </c>
      <c r="AJ10" s="104"/>
    </row>
    <row r="11" spans="1:36" ht="14.5" x14ac:dyDescent="0.35">
      <c r="A11" s="62" t="s">
        <v>28</v>
      </c>
      <c r="B11" s="62" t="s">
        <v>32</v>
      </c>
      <c r="C11" s="62">
        <v>2</v>
      </c>
      <c r="D11" s="62">
        <v>2</v>
      </c>
      <c r="E11" s="62">
        <v>6</v>
      </c>
      <c r="F11" s="62">
        <v>206</v>
      </c>
      <c r="G11" s="63">
        <v>10</v>
      </c>
      <c r="H11" s="63">
        <v>1</v>
      </c>
      <c r="I11" s="116">
        <v>45799</v>
      </c>
      <c r="J11" s="63">
        <v>4.5999999999999996</v>
      </c>
      <c r="K11" s="63">
        <v>4.3</v>
      </c>
      <c r="L11">
        <v>4.0999999999999996</v>
      </c>
      <c r="M11">
        <v>3</v>
      </c>
      <c r="N11">
        <v>2</v>
      </c>
      <c r="O11">
        <v>1</v>
      </c>
      <c r="P11" s="113">
        <f t="shared" si="0"/>
        <v>4.333333333333333</v>
      </c>
      <c r="S11" s="91" t="s">
        <v>35</v>
      </c>
      <c r="T11" s="104"/>
      <c r="U11" s="104"/>
      <c r="V11" s="104"/>
      <c r="W11" s="104"/>
      <c r="X11" s="104"/>
      <c r="Y11" s="104">
        <v>3.3833333333333337</v>
      </c>
      <c r="Z11" s="104"/>
      <c r="AA11" s="104">
        <v>4.166666666666667</v>
      </c>
      <c r="AB11" s="104"/>
      <c r="AC11" s="104">
        <v>4.9000000000000004</v>
      </c>
      <c r="AD11" s="104"/>
      <c r="AE11" s="104">
        <v>5.4166666666666661</v>
      </c>
      <c r="AF11" s="104"/>
      <c r="AG11" s="104">
        <v>6.4083333333333323</v>
      </c>
      <c r="AH11" s="104"/>
      <c r="AI11" s="104">
        <v>7.2666666666666666</v>
      </c>
      <c r="AJ11" s="104"/>
    </row>
    <row r="12" spans="1:36" ht="14.5" x14ac:dyDescent="0.35">
      <c r="A12" s="62" t="s">
        <v>28</v>
      </c>
      <c r="B12" s="62" t="s">
        <v>30</v>
      </c>
      <c r="C12" s="62">
        <v>2</v>
      </c>
      <c r="D12" s="62">
        <v>3</v>
      </c>
      <c r="E12" s="62">
        <v>6</v>
      </c>
      <c r="F12" s="62">
        <v>306</v>
      </c>
      <c r="G12" s="63">
        <v>11</v>
      </c>
      <c r="H12" s="63">
        <v>1</v>
      </c>
      <c r="I12" s="116">
        <v>45799</v>
      </c>
      <c r="J12" s="63">
        <v>3.5</v>
      </c>
      <c r="K12" s="63">
        <v>3.5</v>
      </c>
      <c r="L12">
        <v>3.5</v>
      </c>
      <c r="M12">
        <v>0</v>
      </c>
      <c r="N12">
        <v>0</v>
      </c>
      <c r="O12">
        <v>0</v>
      </c>
      <c r="P12" s="113">
        <f t="shared" si="0"/>
        <v>3.5</v>
      </c>
      <c r="S12" s="91" t="s">
        <v>34</v>
      </c>
      <c r="T12" s="104"/>
      <c r="U12" s="104"/>
      <c r="V12" s="104"/>
      <c r="W12" s="104"/>
      <c r="X12" s="104"/>
      <c r="Y12" s="104">
        <v>3.4666666666666668</v>
      </c>
      <c r="Z12" s="104"/>
      <c r="AA12" s="104">
        <v>4.1083333333333334</v>
      </c>
      <c r="AB12" s="104"/>
      <c r="AC12" s="104">
        <v>4.7416666666666671</v>
      </c>
      <c r="AD12" s="104"/>
      <c r="AE12" s="104">
        <v>5.2583333333333337</v>
      </c>
      <c r="AF12" s="104"/>
      <c r="AG12" s="104">
        <v>6.0750000000000002</v>
      </c>
      <c r="AH12" s="104"/>
      <c r="AI12" s="104">
        <v>6.8250000000000002</v>
      </c>
      <c r="AJ12" s="104"/>
    </row>
    <row r="13" spans="1:36" ht="14.5" x14ac:dyDescent="0.35">
      <c r="A13" s="62" t="s">
        <v>28</v>
      </c>
      <c r="B13" s="62" t="s">
        <v>29</v>
      </c>
      <c r="C13" s="62">
        <v>2</v>
      </c>
      <c r="D13" s="62">
        <v>4</v>
      </c>
      <c r="E13" s="62">
        <v>6</v>
      </c>
      <c r="F13" s="62">
        <v>406</v>
      </c>
      <c r="G13" s="63">
        <v>12</v>
      </c>
      <c r="H13" s="63">
        <v>1</v>
      </c>
      <c r="I13" s="116">
        <v>45799</v>
      </c>
      <c r="J13" s="63">
        <v>3.8</v>
      </c>
      <c r="K13" s="63">
        <v>3.4</v>
      </c>
      <c r="L13">
        <v>4.0999999999999996</v>
      </c>
      <c r="M13">
        <v>1</v>
      </c>
      <c r="N13">
        <v>1</v>
      </c>
      <c r="O13">
        <v>1</v>
      </c>
      <c r="P13" s="113">
        <f t="shared" si="0"/>
        <v>3.7666666666666662</v>
      </c>
      <c r="S13" s="91" t="s">
        <v>29</v>
      </c>
      <c r="T13" s="104"/>
      <c r="U13" s="104"/>
      <c r="V13" s="104"/>
      <c r="W13" s="104"/>
      <c r="X13" s="104"/>
      <c r="Y13" s="104">
        <v>3.8750000000000004</v>
      </c>
      <c r="Z13" s="104"/>
      <c r="AA13" s="104">
        <v>4.5249999999999995</v>
      </c>
      <c r="AB13" s="104"/>
      <c r="AC13" s="104">
        <v>5.15</v>
      </c>
      <c r="AD13" s="104"/>
      <c r="AE13" s="104">
        <v>5.6749999999999998</v>
      </c>
      <c r="AF13" s="104"/>
      <c r="AG13" s="104">
        <v>6.6583333333333332</v>
      </c>
      <c r="AH13" s="104"/>
      <c r="AI13" s="104">
        <v>7.4666666666666668</v>
      </c>
      <c r="AJ13" s="104"/>
    </row>
    <row r="14" spans="1:36" ht="14.5" x14ac:dyDescent="0.35">
      <c r="A14" s="62" t="s">
        <v>33</v>
      </c>
      <c r="B14" s="62" t="s">
        <v>34</v>
      </c>
      <c r="C14" s="62">
        <v>2</v>
      </c>
      <c r="D14" s="62">
        <v>4</v>
      </c>
      <c r="E14" s="62">
        <v>8</v>
      </c>
      <c r="F14" s="62">
        <v>408</v>
      </c>
      <c r="G14" s="63">
        <v>13</v>
      </c>
      <c r="H14" s="63">
        <v>1</v>
      </c>
      <c r="I14" s="116">
        <v>45842</v>
      </c>
      <c r="J14" s="44">
        <v>3.6</v>
      </c>
      <c r="K14" s="44">
        <v>3.6</v>
      </c>
      <c r="L14" s="44">
        <v>3.1</v>
      </c>
      <c r="P14" s="113">
        <f t="shared" si="0"/>
        <v>3.4333333333333336</v>
      </c>
      <c r="S14" s="91" t="s">
        <v>30</v>
      </c>
      <c r="T14" s="104"/>
      <c r="U14" s="104"/>
      <c r="V14" s="104"/>
      <c r="W14" s="104"/>
      <c r="X14" s="104"/>
      <c r="Y14" s="104">
        <v>3.6916666666666664</v>
      </c>
      <c r="Z14" s="104"/>
      <c r="AA14" s="104">
        <v>4.4166666666666661</v>
      </c>
      <c r="AB14" s="104"/>
      <c r="AC14" s="104">
        <v>5.1083333333333334</v>
      </c>
      <c r="AD14" s="104"/>
      <c r="AE14" s="104">
        <v>5.6999999999999993</v>
      </c>
      <c r="AF14" s="104"/>
      <c r="AG14" s="104">
        <v>6.6000000000000005</v>
      </c>
      <c r="AH14" s="104"/>
      <c r="AI14" s="104">
        <v>7.4583333333333339</v>
      </c>
      <c r="AJ14" s="104"/>
    </row>
    <row r="15" spans="1:36" ht="14.5" x14ac:dyDescent="0.35">
      <c r="A15" s="62" t="s">
        <v>33</v>
      </c>
      <c r="B15" s="62" t="s">
        <v>30</v>
      </c>
      <c r="C15" s="62">
        <v>2</v>
      </c>
      <c r="D15" s="62">
        <v>3</v>
      </c>
      <c r="E15" s="62">
        <v>8</v>
      </c>
      <c r="F15" s="62">
        <v>308</v>
      </c>
      <c r="G15" s="63">
        <v>14</v>
      </c>
      <c r="H15" s="63">
        <v>1</v>
      </c>
      <c r="I15" s="116">
        <v>45842</v>
      </c>
      <c r="J15" s="44">
        <v>4</v>
      </c>
      <c r="K15" s="44">
        <v>3.3</v>
      </c>
      <c r="L15" s="44">
        <v>3.3</v>
      </c>
      <c r="P15" s="113">
        <f t="shared" si="0"/>
        <v>3.5333333333333332</v>
      </c>
      <c r="T15"/>
    </row>
    <row r="16" spans="1:36" ht="14.5" x14ac:dyDescent="0.35">
      <c r="A16" s="62" t="s">
        <v>33</v>
      </c>
      <c r="B16" s="62" t="s">
        <v>29</v>
      </c>
      <c r="C16" s="62">
        <v>2</v>
      </c>
      <c r="D16" s="62">
        <v>2</v>
      </c>
      <c r="E16" s="62">
        <v>8</v>
      </c>
      <c r="F16" s="62">
        <v>208</v>
      </c>
      <c r="G16" s="63">
        <v>15</v>
      </c>
      <c r="H16" s="63">
        <v>1</v>
      </c>
      <c r="I16" s="116">
        <v>45842</v>
      </c>
      <c r="J16" s="44">
        <v>4.2</v>
      </c>
      <c r="K16" s="44">
        <v>4.0999999999999996</v>
      </c>
      <c r="L16" s="44">
        <v>3.7</v>
      </c>
      <c r="P16" s="113">
        <f t="shared" si="0"/>
        <v>4</v>
      </c>
      <c r="T16"/>
    </row>
    <row r="17" spans="1:20" ht="14.5" x14ac:dyDescent="0.35">
      <c r="A17" s="62" t="s">
        <v>33</v>
      </c>
      <c r="B17" s="62" t="s">
        <v>35</v>
      </c>
      <c r="C17" s="62">
        <v>2</v>
      </c>
      <c r="D17" s="62">
        <v>1</v>
      </c>
      <c r="E17" s="62">
        <v>8</v>
      </c>
      <c r="F17" s="62">
        <v>108</v>
      </c>
      <c r="G17" s="63">
        <v>16</v>
      </c>
      <c r="H17" s="63">
        <v>1</v>
      </c>
      <c r="I17" s="116">
        <v>45842</v>
      </c>
      <c r="J17" s="44">
        <v>4.0999999999999996</v>
      </c>
      <c r="K17" s="44">
        <v>3.1</v>
      </c>
      <c r="L17" s="44">
        <v>3.3</v>
      </c>
      <c r="P17" s="113">
        <f t="shared" si="0"/>
        <v>3.5</v>
      </c>
      <c r="T17"/>
    </row>
    <row r="18" spans="1:20" ht="14.5" x14ac:dyDescent="0.35">
      <c r="A18" s="62" t="s">
        <v>28</v>
      </c>
      <c r="B18" s="62" t="s">
        <v>32</v>
      </c>
      <c r="C18" s="62">
        <v>3</v>
      </c>
      <c r="D18" s="62">
        <v>1</v>
      </c>
      <c r="E18" s="62">
        <v>10</v>
      </c>
      <c r="F18" s="62">
        <v>110</v>
      </c>
      <c r="G18" s="63">
        <v>17</v>
      </c>
      <c r="H18" s="63">
        <v>1</v>
      </c>
      <c r="I18" s="116">
        <v>45799</v>
      </c>
      <c r="J18" s="63">
        <v>3.8</v>
      </c>
      <c r="K18" s="63">
        <v>3.7</v>
      </c>
      <c r="L18">
        <v>4</v>
      </c>
      <c r="M18">
        <v>2</v>
      </c>
      <c r="N18">
        <v>2</v>
      </c>
      <c r="O18">
        <v>3</v>
      </c>
      <c r="P18" s="113">
        <f t="shared" si="0"/>
        <v>3.8333333333333335</v>
      </c>
      <c r="T18"/>
    </row>
    <row r="19" spans="1:20" ht="14.5" x14ac:dyDescent="0.35">
      <c r="A19" s="62" t="s">
        <v>28</v>
      </c>
      <c r="B19" s="62" t="s">
        <v>31</v>
      </c>
      <c r="C19" s="62">
        <v>3</v>
      </c>
      <c r="D19" s="62">
        <v>2</v>
      </c>
      <c r="E19" s="62">
        <v>10</v>
      </c>
      <c r="F19" s="62">
        <v>210</v>
      </c>
      <c r="G19" s="63">
        <v>18</v>
      </c>
      <c r="H19" s="63">
        <v>1</v>
      </c>
      <c r="I19" s="116">
        <v>45799</v>
      </c>
      <c r="J19" s="63">
        <v>4.2</v>
      </c>
      <c r="K19" s="63">
        <v>4.2</v>
      </c>
      <c r="L19">
        <v>3.9</v>
      </c>
      <c r="M19">
        <v>2</v>
      </c>
      <c r="N19">
        <v>2</v>
      </c>
      <c r="O19">
        <v>2</v>
      </c>
      <c r="P19" s="113">
        <f t="shared" si="0"/>
        <v>4.1000000000000005</v>
      </c>
      <c r="T19"/>
    </row>
    <row r="20" spans="1:20" ht="14.5" x14ac:dyDescent="0.35">
      <c r="A20" s="62" t="s">
        <v>28</v>
      </c>
      <c r="B20" s="62" t="s">
        <v>29</v>
      </c>
      <c r="C20" s="62">
        <v>3</v>
      </c>
      <c r="D20" s="62">
        <v>3</v>
      </c>
      <c r="E20" s="62">
        <v>10</v>
      </c>
      <c r="F20" s="62">
        <v>310</v>
      </c>
      <c r="G20" s="63">
        <v>19</v>
      </c>
      <c r="H20" s="63">
        <v>1</v>
      </c>
      <c r="I20" s="116">
        <v>45799</v>
      </c>
      <c r="J20" s="63">
        <v>2.9</v>
      </c>
      <c r="K20" s="63">
        <v>3.4</v>
      </c>
      <c r="L20">
        <v>3</v>
      </c>
      <c r="M20">
        <v>0</v>
      </c>
      <c r="N20">
        <v>0</v>
      </c>
      <c r="O20">
        <v>0</v>
      </c>
      <c r="P20" s="113">
        <f t="shared" si="0"/>
        <v>3.1</v>
      </c>
      <c r="T20"/>
    </row>
    <row r="21" spans="1:20" ht="14.5" x14ac:dyDescent="0.35">
      <c r="A21" s="62" t="s">
        <v>28</v>
      </c>
      <c r="B21" s="62" t="s">
        <v>30</v>
      </c>
      <c r="C21" s="62">
        <v>3</v>
      </c>
      <c r="D21" s="62">
        <v>4</v>
      </c>
      <c r="E21" s="62">
        <v>10</v>
      </c>
      <c r="F21" s="62">
        <v>410</v>
      </c>
      <c r="G21" s="63">
        <v>20</v>
      </c>
      <c r="H21" s="63">
        <v>1</v>
      </c>
      <c r="I21" s="116">
        <v>45799</v>
      </c>
      <c r="J21" s="63">
        <v>3.8</v>
      </c>
      <c r="K21" s="63">
        <v>3.9</v>
      </c>
      <c r="L21">
        <v>4.2</v>
      </c>
      <c r="M21">
        <v>0</v>
      </c>
      <c r="N21">
        <v>3</v>
      </c>
      <c r="O21">
        <v>3</v>
      </c>
      <c r="P21" s="113">
        <f t="shared" si="0"/>
        <v>3.9666666666666663</v>
      </c>
      <c r="T21"/>
    </row>
    <row r="22" spans="1:20" ht="14.5" x14ac:dyDescent="0.35">
      <c r="A22" s="62" t="s">
        <v>33</v>
      </c>
      <c r="B22" s="62" t="s">
        <v>30</v>
      </c>
      <c r="C22" s="62">
        <v>3</v>
      </c>
      <c r="D22" s="62">
        <v>4</v>
      </c>
      <c r="E22" s="62">
        <v>12</v>
      </c>
      <c r="F22" s="62">
        <v>412</v>
      </c>
      <c r="G22" s="63">
        <v>21</v>
      </c>
      <c r="H22" s="63">
        <v>1</v>
      </c>
      <c r="I22" s="116">
        <v>45842</v>
      </c>
      <c r="J22" s="44">
        <v>3.8</v>
      </c>
      <c r="K22" s="44">
        <v>3.7</v>
      </c>
      <c r="L22" s="44">
        <v>3.5</v>
      </c>
      <c r="P22" s="113">
        <f t="shared" si="0"/>
        <v>3.6666666666666665</v>
      </c>
      <c r="T22"/>
    </row>
    <row r="23" spans="1:20" ht="14.5" x14ac:dyDescent="0.35">
      <c r="A23" s="62" t="s">
        <v>33</v>
      </c>
      <c r="B23" s="62" t="s">
        <v>34</v>
      </c>
      <c r="C23" s="62">
        <v>3</v>
      </c>
      <c r="D23" s="62">
        <v>3</v>
      </c>
      <c r="E23" s="62">
        <v>12</v>
      </c>
      <c r="F23" s="62">
        <v>312</v>
      </c>
      <c r="G23" s="63">
        <v>22</v>
      </c>
      <c r="H23" s="63">
        <v>1</v>
      </c>
      <c r="I23" s="116">
        <v>45842</v>
      </c>
      <c r="J23" s="44">
        <v>3.3</v>
      </c>
      <c r="K23" s="44">
        <v>3.4</v>
      </c>
      <c r="L23" s="44">
        <v>3.3</v>
      </c>
      <c r="P23" s="113">
        <f t="shared" si="0"/>
        <v>3.3333333333333335</v>
      </c>
      <c r="T23"/>
    </row>
    <row r="24" spans="1:20" ht="14.5" x14ac:dyDescent="0.35">
      <c r="A24" s="62" t="s">
        <v>33</v>
      </c>
      <c r="B24" s="62" t="s">
        <v>35</v>
      </c>
      <c r="C24" s="62">
        <v>3</v>
      </c>
      <c r="D24" s="62">
        <v>2</v>
      </c>
      <c r="E24" s="62">
        <v>12</v>
      </c>
      <c r="F24" s="62">
        <v>212</v>
      </c>
      <c r="G24" s="63">
        <v>23</v>
      </c>
      <c r="H24" s="63">
        <v>1</v>
      </c>
      <c r="I24" s="116">
        <v>45842</v>
      </c>
      <c r="J24" s="44">
        <v>3.4</v>
      </c>
      <c r="K24" s="44">
        <v>3.4</v>
      </c>
      <c r="L24" s="44">
        <v>3.3</v>
      </c>
      <c r="P24" s="113">
        <f t="shared" si="0"/>
        <v>3.3666666666666667</v>
      </c>
      <c r="T24"/>
    </row>
    <row r="25" spans="1:20" ht="14.5" x14ac:dyDescent="0.35">
      <c r="A25" s="62" t="s">
        <v>33</v>
      </c>
      <c r="B25" s="62" t="s">
        <v>29</v>
      </c>
      <c r="C25" s="62">
        <v>3</v>
      </c>
      <c r="D25" s="62">
        <v>1</v>
      </c>
      <c r="E25" s="62">
        <v>12</v>
      </c>
      <c r="F25" s="62">
        <v>112</v>
      </c>
      <c r="G25" s="63">
        <v>24</v>
      </c>
      <c r="H25" s="63">
        <v>1</v>
      </c>
      <c r="I25" s="116">
        <v>45842</v>
      </c>
      <c r="J25" s="44">
        <v>3.3</v>
      </c>
      <c r="K25" s="44">
        <v>4.0999999999999996</v>
      </c>
      <c r="L25" s="44">
        <v>4.3</v>
      </c>
      <c r="P25" s="113">
        <f t="shared" si="0"/>
        <v>3.9</v>
      </c>
      <c r="T25"/>
    </row>
    <row r="26" spans="1:20" ht="14.5" x14ac:dyDescent="0.35">
      <c r="A26" s="62" t="s">
        <v>28</v>
      </c>
      <c r="B26" s="62" t="s">
        <v>30</v>
      </c>
      <c r="C26" s="62">
        <v>4</v>
      </c>
      <c r="D26" s="62">
        <v>1</v>
      </c>
      <c r="E26" s="62">
        <v>14</v>
      </c>
      <c r="F26" s="62">
        <v>114</v>
      </c>
      <c r="G26" s="63">
        <v>25</v>
      </c>
      <c r="H26" s="63">
        <v>1</v>
      </c>
      <c r="I26" s="116">
        <v>45799</v>
      </c>
      <c r="J26" s="63">
        <v>4.8</v>
      </c>
      <c r="K26" s="63">
        <v>4.7</v>
      </c>
      <c r="L26">
        <v>3.2</v>
      </c>
      <c r="M26">
        <v>3</v>
      </c>
      <c r="N26">
        <v>2</v>
      </c>
      <c r="O26">
        <v>0</v>
      </c>
      <c r="P26" s="113">
        <f t="shared" si="0"/>
        <v>4.2333333333333334</v>
      </c>
      <c r="T26"/>
    </row>
    <row r="27" spans="1:20" ht="14.5" x14ac:dyDescent="0.35">
      <c r="A27" s="62" t="s">
        <v>28</v>
      </c>
      <c r="B27" s="62" t="s">
        <v>29</v>
      </c>
      <c r="C27" s="62">
        <v>4</v>
      </c>
      <c r="D27" s="62">
        <v>2</v>
      </c>
      <c r="E27" s="62">
        <v>14</v>
      </c>
      <c r="F27" s="62">
        <v>214</v>
      </c>
      <c r="G27" s="63">
        <v>26</v>
      </c>
      <c r="H27" s="63">
        <v>1</v>
      </c>
      <c r="I27" s="116">
        <v>45799</v>
      </c>
      <c r="J27" s="63">
        <v>3.3</v>
      </c>
      <c r="K27" s="63">
        <v>3.2</v>
      </c>
      <c r="L27">
        <v>3.2</v>
      </c>
      <c r="M27">
        <v>2</v>
      </c>
      <c r="N27">
        <v>0</v>
      </c>
      <c r="O27">
        <v>0</v>
      </c>
      <c r="P27" s="113">
        <f t="shared" si="0"/>
        <v>3.2333333333333329</v>
      </c>
      <c r="T27"/>
    </row>
    <row r="28" spans="1:20" ht="14.5" x14ac:dyDescent="0.35">
      <c r="A28" s="62" t="s">
        <v>28</v>
      </c>
      <c r="B28" s="62" t="s">
        <v>32</v>
      </c>
      <c r="C28" s="62">
        <v>4</v>
      </c>
      <c r="D28" s="62">
        <v>3</v>
      </c>
      <c r="E28" s="62">
        <v>14</v>
      </c>
      <c r="F28" s="62">
        <v>314</v>
      </c>
      <c r="G28" s="63">
        <v>27</v>
      </c>
      <c r="H28" s="63">
        <v>1</v>
      </c>
      <c r="I28" s="116">
        <v>45799</v>
      </c>
      <c r="J28" s="63">
        <v>3.2</v>
      </c>
      <c r="K28" s="63">
        <v>3.4</v>
      </c>
      <c r="L28">
        <v>3</v>
      </c>
      <c r="M28">
        <v>0</v>
      </c>
      <c r="N28">
        <v>0</v>
      </c>
      <c r="O28">
        <v>1</v>
      </c>
      <c r="P28" s="113">
        <f t="shared" si="0"/>
        <v>3.1999999999999997</v>
      </c>
      <c r="T28"/>
    </row>
    <row r="29" spans="1:20" ht="14.5" x14ac:dyDescent="0.35">
      <c r="A29" s="62" t="s">
        <v>28</v>
      </c>
      <c r="B29" s="62" t="s">
        <v>31</v>
      </c>
      <c r="C29" s="62">
        <v>4</v>
      </c>
      <c r="D29" s="62">
        <v>4</v>
      </c>
      <c r="E29" s="62">
        <v>14</v>
      </c>
      <c r="F29" s="62">
        <v>414</v>
      </c>
      <c r="G29" s="63">
        <v>28</v>
      </c>
      <c r="H29" s="63">
        <v>1</v>
      </c>
      <c r="I29" s="116">
        <v>45799</v>
      </c>
      <c r="J29" s="63">
        <v>3.2</v>
      </c>
      <c r="K29" s="63">
        <v>3.5</v>
      </c>
      <c r="L29">
        <v>3.5</v>
      </c>
      <c r="M29">
        <v>0</v>
      </c>
      <c r="N29">
        <v>1</v>
      </c>
      <c r="O29">
        <v>2</v>
      </c>
      <c r="P29" s="113">
        <f t="shared" si="0"/>
        <v>3.4</v>
      </c>
      <c r="T29"/>
    </row>
    <row r="30" spans="1:20" ht="14.5" x14ac:dyDescent="0.35">
      <c r="A30" s="62" t="s">
        <v>33</v>
      </c>
      <c r="B30" s="62" t="s">
        <v>35</v>
      </c>
      <c r="C30" s="62">
        <v>4</v>
      </c>
      <c r="D30" s="62">
        <v>4</v>
      </c>
      <c r="E30" s="62">
        <v>16</v>
      </c>
      <c r="F30" s="62">
        <v>416</v>
      </c>
      <c r="G30" s="63">
        <v>29</v>
      </c>
      <c r="H30" s="63">
        <v>1</v>
      </c>
      <c r="I30" s="116">
        <v>45842</v>
      </c>
      <c r="J30" s="44">
        <v>3.6</v>
      </c>
      <c r="K30" s="44">
        <v>3.2</v>
      </c>
      <c r="L30" s="44">
        <v>3.4</v>
      </c>
      <c r="P30" s="113">
        <f t="shared" si="0"/>
        <v>3.4000000000000004</v>
      </c>
      <c r="T30"/>
    </row>
    <row r="31" spans="1:20" ht="14.5" x14ac:dyDescent="0.35">
      <c r="A31" s="62" t="s">
        <v>33</v>
      </c>
      <c r="B31" s="62" t="s">
        <v>29</v>
      </c>
      <c r="C31" s="62">
        <v>4</v>
      </c>
      <c r="D31" s="62">
        <v>3</v>
      </c>
      <c r="E31" s="62">
        <v>16</v>
      </c>
      <c r="F31" s="62">
        <v>316</v>
      </c>
      <c r="G31" s="63">
        <v>30</v>
      </c>
      <c r="H31" s="63">
        <v>1</v>
      </c>
      <c r="I31" s="116">
        <v>45842</v>
      </c>
      <c r="J31" s="44">
        <v>4.3</v>
      </c>
      <c r="K31" s="44">
        <v>3.6</v>
      </c>
      <c r="L31" s="44">
        <v>3.6</v>
      </c>
      <c r="P31" s="113">
        <f t="shared" si="0"/>
        <v>3.8333333333333335</v>
      </c>
      <c r="T31"/>
    </row>
    <row r="32" spans="1:20" ht="14.5" x14ac:dyDescent="0.35">
      <c r="A32" s="62" t="s">
        <v>33</v>
      </c>
      <c r="B32" s="62" t="s">
        <v>34</v>
      </c>
      <c r="C32" s="62">
        <v>4</v>
      </c>
      <c r="D32" s="62">
        <v>2</v>
      </c>
      <c r="E32" s="62">
        <v>16</v>
      </c>
      <c r="F32" s="62">
        <v>216</v>
      </c>
      <c r="G32" s="63">
        <v>31</v>
      </c>
      <c r="H32" s="63">
        <v>1</v>
      </c>
      <c r="I32" s="116">
        <v>45842</v>
      </c>
      <c r="J32" s="44">
        <v>3.4</v>
      </c>
      <c r="K32" s="44">
        <v>3.4</v>
      </c>
      <c r="L32" s="44">
        <v>3.8</v>
      </c>
      <c r="P32" s="113">
        <f t="shared" si="0"/>
        <v>3.5333333333333332</v>
      </c>
      <c r="T32"/>
    </row>
    <row r="33" spans="1:20" ht="14.5" x14ac:dyDescent="0.35">
      <c r="A33" s="62" t="s">
        <v>33</v>
      </c>
      <c r="B33" s="62" t="s">
        <v>30</v>
      </c>
      <c r="C33" s="62">
        <v>4</v>
      </c>
      <c r="D33" s="62">
        <v>1</v>
      </c>
      <c r="E33" s="62">
        <v>16</v>
      </c>
      <c r="F33" s="62">
        <v>116</v>
      </c>
      <c r="G33" s="63">
        <v>32</v>
      </c>
      <c r="H33" s="63">
        <v>1</v>
      </c>
      <c r="I33" s="116">
        <v>45842</v>
      </c>
      <c r="J33" s="44">
        <v>3.4</v>
      </c>
      <c r="K33" s="44">
        <v>3.2</v>
      </c>
      <c r="L33" s="44">
        <v>3.3</v>
      </c>
      <c r="P33" s="113">
        <f t="shared" si="0"/>
        <v>3.2999999999999994</v>
      </c>
      <c r="T33"/>
    </row>
    <row r="34" spans="1:20" ht="14.5" x14ac:dyDescent="0.35">
      <c r="A34" s="62" t="s">
        <v>28</v>
      </c>
      <c r="B34" s="62" t="s">
        <v>29</v>
      </c>
      <c r="C34" s="62">
        <v>1</v>
      </c>
      <c r="D34" s="62">
        <v>1</v>
      </c>
      <c r="E34" s="62">
        <v>2</v>
      </c>
      <c r="F34" s="62">
        <v>102</v>
      </c>
      <c r="G34" s="63">
        <v>1</v>
      </c>
      <c r="H34" s="63">
        <v>2</v>
      </c>
      <c r="I34" s="116">
        <v>45811</v>
      </c>
      <c r="J34" s="65">
        <v>5.4</v>
      </c>
      <c r="K34" s="65">
        <v>5.2</v>
      </c>
      <c r="L34">
        <v>5.5</v>
      </c>
      <c r="M34">
        <v>4</v>
      </c>
      <c r="N34">
        <v>3</v>
      </c>
      <c r="O34">
        <v>4</v>
      </c>
      <c r="P34" s="113">
        <f t="shared" si="0"/>
        <v>5.3666666666666671</v>
      </c>
      <c r="T34"/>
    </row>
    <row r="35" spans="1:20" ht="14.5" x14ac:dyDescent="0.35">
      <c r="A35" s="62" t="s">
        <v>28</v>
      </c>
      <c r="B35" s="62" t="s">
        <v>30</v>
      </c>
      <c r="C35" s="62">
        <v>1</v>
      </c>
      <c r="D35" s="62">
        <v>2</v>
      </c>
      <c r="E35" s="62">
        <v>2</v>
      </c>
      <c r="F35" s="62">
        <v>202</v>
      </c>
      <c r="G35" s="63">
        <v>2</v>
      </c>
      <c r="H35" s="63">
        <v>2</v>
      </c>
      <c r="I35" s="116">
        <v>45811</v>
      </c>
      <c r="J35" s="65">
        <v>5.0999999999999996</v>
      </c>
      <c r="K35" s="64">
        <v>4.7</v>
      </c>
      <c r="L35" s="33">
        <v>4.5</v>
      </c>
      <c r="M35">
        <v>1</v>
      </c>
      <c r="N35">
        <v>2</v>
      </c>
      <c r="O35">
        <v>3</v>
      </c>
      <c r="P35" s="113">
        <f t="shared" si="0"/>
        <v>4.7666666666666666</v>
      </c>
      <c r="T35"/>
    </row>
    <row r="36" spans="1:20" ht="14.5" x14ac:dyDescent="0.35">
      <c r="A36" s="62" t="s">
        <v>28</v>
      </c>
      <c r="B36" s="62" t="s">
        <v>31</v>
      </c>
      <c r="C36" s="62">
        <v>1</v>
      </c>
      <c r="D36" s="62">
        <v>3</v>
      </c>
      <c r="E36" s="62">
        <v>2</v>
      </c>
      <c r="F36" s="62">
        <v>302</v>
      </c>
      <c r="G36" s="63">
        <v>3</v>
      </c>
      <c r="H36" s="63">
        <v>2</v>
      </c>
      <c r="I36" s="116">
        <v>45811</v>
      </c>
      <c r="J36" s="65">
        <v>5.4</v>
      </c>
      <c r="K36" s="65">
        <v>4.5</v>
      </c>
      <c r="L36">
        <v>4.7</v>
      </c>
      <c r="M36">
        <v>2</v>
      </c>
      <c r="N36">
        <v>0</v>
      </c>
      <c r="O36">
        <v>0</v>
      </c>
      <c r="P36" s="113">
        <f t="shared" si="0"/>
        <v>4.8666666666666671</v>
      </c>
      <c r="T36"/>
    </row>
    <row r="37" spans="1:20" ht="14.5" x14ac:dyDescent="0.35">
      <c r="A37" s="62" t="s">
        <v>28</v>
      </c>
      <c r="B37" s="62" t="s">
        <v>32</v>
      </c>
      <c r="C37" s="62">
        <v>1</v>
      </c>
      <c r="D37" s="62">
        <v>4</v>
      </c>
      <c r="E37" s="62">
        <v>2</v>
      </c>
      <c r="F37" s="62">
        <v>402</v>
      </c>
      <c r="G37" s="63">
        <v>4</v>
      </c>
      <c r="H37" s="63">
        <v>2</v>
      </c>
      <c r="I37" s="116">
        <v>45811</v>
      </c>
      <c r="J37" s="65">
        <v>5.4</v>
      </c>
      <c r="K37" s="65">
        <v>5.4</v>
      </c>
      <c r="L37">
        <v>5.2</v>
      </c>
      <c r="M37">
        <v>3</v>
      </c>
      <c r="N37">
        <v>3</v>
      </c>
      <c r="O37">
        <v>2</v>
      </c>
      <c r="P37" s="113">
        <f t="shared" si="0"/>
        <v>5.333333333333333</v>
      </c>
      <c r="T37"/>
    </row>
    <row r="38" spans="1:20" ht="14.5" x14ac:dyDescent="0.35">
      <c r="A38" s="62" t="s">
        <v>33</v>
      </c>
      <c r="B38" s="62" t="s">
        <v>29</v>
      </c>
      <c r="C38" s="62">
        <v>1</v>
      </c>
      <c r="D38" s="62">
        <v>4</v>
      </c>
      <c r="E38" s="62">
        <v>4</v>
      </c>
      <c r="F38" s="62">
        <v>404</v>
      </c>
      <c r="G38" s="63">
        <v>5</v>
      </c>
      <c r="H38" s="63">
        <v>2</v>
      </c>
      <c r="I38" s="116">
        <v>45849</v>
      </c>
      <c r="J38" s="44">
        <v>4.5</v>
      </c>
      <c r="K38" s="44">
        <v>4.3</v>
      </c>
      <c r="L38" s="44">
        <v>4.5999999999999996</v>
      </c>
      <c r="P38" s="113">
        <f t="shared" si="0"/>
        <v>4.4666666666666668</v>
      </c>
      <c r="T38"/>
    </row>
    <row r="39" spans="1:20" ht="14.5" x14ac:dyDescent="0.35">
      <c r="A39" s="62" t="s">
        <v>33</v>
      </c>
      <c r="B39" s="62" t="s">
        <v>35</v>
      </c>
      <c r="C39" s="62">
        <v>1</v>
      </c>
      <c r="D39" s="62">
        <v>3</v>
      </c>
      <c r="E39" s="62">
        <v>4</v>
      </c>
      <c r="F39" s="62">
        <v>304</v>
      </c>
      <c r="G39" s="63">
        <v>6</v>
      </c>
      <c r="H39" s="63">
        <v>2</v>
      </c>
      <c r="I39" s="116">
        <v>45849</v>
      </c>
      <c r="J39" s="44">
        <v>4.3</v>
      </c>
      <c r="K39" s="44">
        <v>4.0999999999999996</v>
      </c>
      <c r="L39" s="44">
        <v>4.2</v>
      </c>
      <c r="P39" s="113">
        <f t="shared" si="0"/>
        <v>4.1999999999999993</v>
      </c>
      <c r="T39"/>
    </row>
    <row r="40" spans="1:20" ht="14.5" x14ac:dyDescent="0.35">
      <c r="A40" s="62" t="s">
        <v>33</v>
      </c>
      <c r="B40" s="62" t="s">
        <v>30</v>
      </c>
      <c r="C40" s="62">
        <v>1</v>
      </c>
      <c r="D40" s="62">
        <v>2</v>
      </c>
      <c r="E40" s="62">
        <v>4</v>
      </c>
      <c r="F40" s="62">
        <v>204</v>
      </c>
      <c r="G40" s="63">
        <v>7</v>
      </c>
      <c r="H40" s="63">
        <v>2</v>
      </c>
      <c r="I40" s="116">
        <v>45849</v>
      </c>
      <c r="J40" s="44">
        <v>4.7</v>
      </c>
      <c r="K40" s="44">
        <v>5</v>
      </c>
      <c r="L40" s="44">
        <v>5.0999999999999996</v>
      </c>
      <c r="P40" s="113">
        <f t="shared" si="0"/>
        <v>4.9333333333333327</v>
      </c>
      <c r="T40"/>
    </row>
    <row r="41" spans="1:20" ht="14.5" x14ac:dyDescent="0.35">
      <c r="A41" s="62" t="s">
        <v>33</v>
      </c>
      <c r="B41" s="62" t="s">
        <v>34</v>
      </c>
      <c r="C41" s="62">
        <v>1</v>
      </c>
      <c r="D41" s="62">
        <v>1</v>
      </c>
      <c r="E41" s="62">
        <v>4</v>
      </c>
      <c r="F41" s="62">
        <v>104</v>
      </c>
      <c r="G41" s="63">
        <v>8</v>
      </c>
      <c r="H41" s="63">
        <v>2</v>
      </c>
      <c r="I41" s="116">
        <v>45849</v>
      </c>
      <c r="J41" s="44">
        <v>4.3</v>
      </c>
      <c r="K41" s="44">
        <v>4.2</v>
      </c>
      <c r="L41" s="44">
        <v>4.3</v>
      </c>
      <c r="P41" s="113">
        <f t="shared" si="0"/>
        <v>4.2666666666666666</v>
      </c>
      <c r="T41"/>
    </row>
    <row r="42" spans="1:20" ht="14.5" x14ac:dyDescent="0.35">
      <c r="A42" s="62" t="s">
        <v>28</v>
      </c>
      <c r="B42" s="62" t="s">
        <v>31</v>
      </c>
      <c r="C42" s="62">
        <v>2</v>
      </c>
      <c r="D42" s="62">
        <v>1</v>
      </c>
      <c r="E42" s="62">
        <v>6</v>
      </c>
      <c r="F42" s="62">
        <v>106</v>
      </c>
      <c r="G42" s="63">
        <v>9</v>
      </c>
      <c r="H42" s="63">
        <v>2</v>
      </c>
      <c r="I42" s="116">
        <v>45811</v>
      </c>
      <c r="J42" s="65">
        <v>4.9000000000000004</v>
      </c>
      <c r="K42" s="65">
        <v>5.4</v>
      </c>
      <c r="L42">
        <v>4.8</v>
      </c>
      <c r="M42">
        <v>2</v>
      </c>
      <c r="N42">
        <v>2</v>
      </c>
      <c r="O42">
        <v>2</v>
      </c>
      <c r="P42" s="113">
        <f t="shared" si="0"/>
        <v>5.0333333333333341</v>
      </c>
      <c r="T42"/>
    </row>
    <row r="43" spans="1:20" ht="14.5" x14ac:dyDescent="0.35">
      <c r="A43" s="62" t="s">
        <v>28</v>
      </c>
      <c r="B43" s="62" t="s">
        <v>32</v>
      </c>
      <c r="C43" s="62">
        <v>2</v>
      </c>
      <c r="D43" s="62">
        <v>2</v>
      </c>
      <c r="E43" s="62">
        <v>6</v>
      </c>
      <c r="F43" s="62">
        <v>206</v>
      </c>
      <c r="G43" s="63">
        <v>10</v>
      </c>
      <c r="H43" s="63">
        <v>2</v>
      </c>
      <c r="I43" s="116">
        <v>45811</v>
      </c>
      <c r="J43" s="65">
        <v>5.5</v>
      </c>
      <c r="K43" s="65">
        <v>5.4</v>
      </c>
      <c r="L43">
        <v>5.3</v>
      </c>
      <c r="M43">
        <v>5</v>
      </c>
      <c r="N43">
        <v>5</v>
      </c>
      <c r="O43">
        <v>3</v>
      </c>
      <c r="P43" s="113">
        <f t="shared" si="0"/>
        <v>5.3999999999999995</v>
      </c>
      <c r="T43"/>
    </row>
    <row r="44" spans="1:20" ht="14.5" x14ac:dyDescent="0.35">
      <c r="A44" s="62" t="s">
        <v>28</v>
      </c>
      <c r="B44" s="62" t="s">
        <v>30</v>
      </c>
      <c r="C44" s="62">
        <v>2</v>
      </c>
      <c r="D44" s="62">
        <v>3</v>
      </c>
      <c r="E44" s="62">
        <v>6</v>
      </c>
      <c r="F44" s="62">
        <v>306</v>
      </c>
      <c r="G44" s="63">
        <v>11</v>
      </c>
      <c r="H44" s="63">
        <v>2</v>
      </c>
      <c r="I44" s="116">
        <v>45811</v>
      </c>
      <c r="J44" s="65">
        <v>4.8</v>
      </c>
      <c r="K44" s="65">
        <v>4.7</v>
      </c>
      <c r="L44">
        <v>5</v>
      </c>
      <c r="M44">
        <v>0</v>
      </c>
      <c r="N44">
        <v>1</v>
      </c>
      <c r="O44">
        <v>1</v>
      </c>
      <c r="P44" s="113">
        <f t="shared" si="0"/>
        <v>4.833333333333333</v>
      </c>
      <c r="T44"/>
    </row>
    <row r="45" spans="1:20" ht="14.5" x14ac:dyDescent="0.35">
      <c r="A45" s="62" t="s">
        <v>28</v>
      </c>
      <c r="B45" s="62" t="s">
        <v>29</v>
      </c>
      <c r="C45" s="62">
        <v>2</v>
      </c>
      <c r="D45" s="62">
        <v>4</v>
      </c>
      <c r="E45" s="62">
        <v>6</v>
      </c>
      <c r="F45" s="62">
        <v>406</v>
      </c>
      <c r="G45" s="63">
        <v>12</v>
      </c>
      <c r="H45" s="63">
        <v>2</v>
      </c>
      <c r="I45" s="116">
        <v>45811</v>
      </c>
      <c r="J45" s="65">
        <v>5.0999999999999996</v>
      </c>
      <c r="K45" s="65">
        <v>4.8</v>
      </c>
      <c r="L45">
        <v>5.4</v>
      </c>
      <c r="M45">
        <v>2</v>
      </c>
      <c r="N45">
        <v>3</v>
      </c>
      <c r="O45">
        <v>2</v>
      </c>
      <c r="P45" s="113">
        <f t="shared" si="0"/>
        <v>5.0999999999999996</v>
      </c>
      <c r="T45"/>
    </row>
    <row r="46" spans="1:20" ht="14.5" x14ac:dyDescent="0.35">
      <c r="A46" s="62" t="s">
        <v>33</v>
      </c>
      <c r="B46" s="62" t="s">
        <v>34</v>
      </c>
      <c r="C46" s="62">
        <v>2</v>
      </c>
      <c r="D46" s="62">
        <v>4</v>
      </c>
      <c r="E46" s="62">
        <v>8</v>
      </c>
      <c r="F46" s="62">
        <v>408</v>
      </c>
      <c r="G46" s="63">
        <v>13</v>
      </c>
      <c r="H46" s="63">
        <v>2</v>
      </c>
      <c r="I46" s="116">
        <v>45849</v>
      </c>
      <c r="J46" s="44">
        <v>4.3</v>
      </c>
      <c r="K46" s="44">
        <v>4.3</v>
      </c>
      <c r="L46" s="44">
        <v>3.8</v>
      </c>
      <c r="P46" s="113">
        <f t="shared" si="0"/>
        <v>4.1333333333333329</v>
      </c>
      <c r="T46"/>
    </row>
    <row r="47" spans="1:20" ht="14.5" x14ac:dyDescent="0.35">
      <c r="A47" s="62" t="s">
        <v>33</v>
      </c>
      <c r="B47" s="62" t="s">
        <v>30</v>
      </c>
      <c r="C47" s="62">
        <v>2</v>
      </c>
      <c r="D47" s="62">
        <v>3</v>
      </c>
      <c r="E47" s="62">
        <v>8</v>
      </c>
      <c r="F47" s="62">
        <v>308</v>
      </c>
      <c r="G47" s="63">
        <v>14</v>
      </c>
      <c r="H47" s="63">
        <v>2</v>
      </c>
      <c r="I47" s="116">
        <v>45849</v>
      </c>
      <c r="J47" s="44">
        <v>4.5999999999999996</v>
      </c>
      <c r="K47" s="44">
        <v>4</v>
      </c>
      <c r="L47" s="44">
        <v>4.2</v>
      </c>
      <c r="P47" s="113">
        <f t="shared" si="0"/>
        <v>4.2666666666666666</v>
      </c>
      <c r="T47"/>
    </row>
    <row r="48" spans="1:20" ht="14.5" x14ac:dyDescent="0.35">
      <c r="A48" s="62" t="s">
        <v>33</v>
      </c>
      <c r="B48" s="62" t="s">
        <v>29</v>
      </c>
      <c r="C48" s="62">
        <v>2</v>
      </c>
      <c r="D48" s="62">
        <v>2</v>
      </c>
      <c r="E48" s="62">
        <v>8</v>
      </c>
      <c r="F48" s="62">
        <v>208</v>
      </c>
      <c r="G48" s="63">
        <v>15</v>
      </c>
      <c r="H48" s="63">
        <v>2</v>
      </c>
      <c r="I48" s="116">
        <v>45849</v>
      </c>
      <c r="J48" s="44">
        <v>5</v>
      </c>
      <c r="K48" s="44">
        <v>4.7</v>
      </c>
      <c r="L48" s="44">
        <v>4.4000000000000004</v>
      </c>
      <c r="P48" s="113">
        <f t="shared" si="0"/>
        <v>4.7</v>
      </c>
      <c r="T48"/>
    </row>
    <row r="49" spans="1:20" ht="14.5" x14ac:dyDescent="0.35">
      <c r="A49" s="62" t="s">
        <v>33</v>
      </c>
      <c r="B49" s="62" t="s">
        <v>35</v>
      </c>
      <c r="C49" s="62">
        <v>2</v>
      </c>
      <c r="D49" s="62">
        <v>1</v>
      </c>
      <c r="E49" s="62">
        <v>8</v>
      </c>
      <c r="F49" s="62">
        <v>108</v>
      </c>
      <c r="G49" s="63">
        <v>16</v>
      </c>
      <c r="H49" s="63">
        <v>2</v>
      </c>
      <c r="I49" s="116">
        <v>45849</v>
      </c>
      <c r="J49" s="44">
        <v>4.5</v>
      </c>
      <c r="K49" s="44">
        <v>3.7</v>
      </c>
      <c r="L49" s="44">
        <v>4.0999999999999996</v>
      </c>
      <c r="P49" s="113">
        <f t="shared" si="0"/>
        <v>4.0999999999999996</v>
      </c>
      <c r="T49"/>
    </row>
    <row r="50" spans="1:20" ht="14.5" x14ac:dyDescent="0.35">
      <c r="A50" s="62" t="s">
        <v>28</v>
      </c>
      <c r="B50" s="62" t="s">
        <v>32</v>
      </c>
      <c r="C50" s="62">
        <v>3</v>
      </c>
      <c r="D50" s="62">
        <v>1</v>
      </c>
      <c r="E50" s="62">
        <v>10</v>
      </c>
      <c r="F50" s="62">
        <v>110</v>
      </c>
      <c r="G50" s="63">
        <v>17</v>
      </c>
      <c r="H50" s="63">
        <v>2</v>
      </c>
      <c r="I50" s="116">
        <v>45811</v>
      </c>
      <c r="J50" s="65">
        <v>5.3</v>
      </c>
      <c r="K50" s="65">
        <v>4.7</v>
      </c>
      <c r="L50">
        <v>4.5999999999999996</v>
      </c>
      <c r="M50">
        <v>3</v>
      </c>
      <c r="N50">
        <v>2</v>
      </c>
      <c r="O50">
        <v>2</v>
      </c>
      <c r="P50" s="113">
        <f t="shared" si="0"/>
        <v>4.8666666666666663</v>
      </c>
      <c r="T50"/>
    </row>
    <row r="51" spans="1:20" ht="14.5" x14ac:dyDescent="0.35">
      <c r="A51" s="62" t="s">
        <v>28</v>
      </c>
      <c r="B51" s="62" t="s">
        <v>31</v>
      </c>
      <c r="C51" s="62">
        <v>3</v>
      </c>
      <c r="D51" s="62">
        <v>2</v>
      </c>
      <c r="E51" s="62">
        <v>10</v>
      </c>
      <c r="F51" s="62">
        <v>210</v>
      </c>
      <c r="G51" s="63">
        <v>18</v>
      </c>
      <c r="H51" s="63">
        <v>2</v>
      </c>
      <c r="I51" s="116">
        <v>45811</v>
      </c>
      <c r="J51" s="65">
        <v>5.4</v>
      </c>
      <c r="K51" s="65">
        <v>5.4</v>
      </c>
      <c r="L51">
        <v>5.4</v>
      </c>
      <c r="M51">
        <v>3</v>
      </c>
      <c r="N51">
        <v>3</v>
      </c>
      <c r="O51">
        <v>3</v>
      </c>
      <c r="P51" s="113">
        <f t="shared" si="0"/>
        <v>5.4000000000000012</v>
      </c>
      <c r="T51"/>
    </row>
    <row r="52" spans="1:20" ht="14.5" x14ac:dyDescent="0.35">
      <c r="A52" s="62" t="s">
        <v>28</v>
      </c>
      <c r="B52" s="62" t="s">
        <v>29</v>
      </c>
      <c r="C52" s="62">
        <v>3</v>
      </c>
      <c r="D52" s="62">
        <v>3</v>
      </c>
      <c r="E52" s="62">
        <v>10</v>
      </c>
      <c r="F52" s="62">
        <v>310</v>
      </c>
      <c r="G52" s="63">
        <v>19</v>
      </c>
      <c r="H52" s="63">
        <v>2</v>
      </c>
      <c r="I52" s="116">
        <v>45811</v>
      </c>
      <c r="J52" s="65">
        <v>4.5</v>
      </c>
      <c r="K52" s="65">
        <v>4.4000000000000004</v>
      </c>
      <c r="L52">
        <v>4.2</v>
      </c>
      <c r="M52">
        <v>1</v>
      </c>
      <c r="N52">
        <v>1</v>
      </c>
      <c r="O52">
        <v>1</v>
      </c>
      <c r="P52" s="113">
        <f t="shared" si="0"/>
        <v>4.3666666666666671</v>
      </c>
      <c r="T52"/>
    </row>
    <row r="53" spans="1:20" ht="14.5" x14ac:dyDescent="0.35">
      <c r="A53" s="62" t="s">
        <v>28</v>
      </c>
      <c r="B53" s="62" t="s">
        <v>30</v>
      </c>
      <c r="C53" s="62">
        <v>3</v>
      </c>
      <c r="D53" s="62">
        <v>4</v>
      </c>
      <c r="E53" s="62">
        <v>10</v>
      </c>
      <c r="F53" s="62">
        <v>410</v>
      </c>
      <c r="G53" s="63">
        <v>20</v>
      </c>
      <c r="H53" s="63">
        <v>2</v>
      </c>
      <c r="I53" s="116">
        <v>45811</v>
      </c>
      <c r="J53" s="65">
        <v>5.3</v>
      </c>
      <c r="K53" s="65">
        <v>5.5</v>
      </c>
      <c r="L53">
        <v>5.2</v>
      </c>
      <c r="M53">
        <v>1</v>
      </c>
      <c r="N53">
        <v>2</v>
      </c>
      <c r="O53">
        <v>2</v>
      </c>
      <c r="P53" s="113">
        <f t="shared" si="0"/>
        <v>5.333333333333333</v>
      </c>
      <c r="T53"/>
    </row>
    <row r="54" spans="1:20" ht="14.5" x14ac:dyDescent="0.35">
      <c r="A54" s="62" t="s">
        <v>33</v>
      </c>
      <c r="B54" s="62" t="s">
        <v>30</v>
      </c>
      <c r="C54" s="62">
        <v>3</v>
      </c>
      <c r="D54" s="62">
        <v>4</v>
      </c>
      <c r="E54" s="62">
        <v>12</v>
      </c>
      <c r="F54" s="62">
        <v>412</v>
      </c>
      <c r="G54" s="63">
        <v>21</v>
      </c>
      <c r="H54" s="63">
        <v>2</v>
      </c>
      <c r="I54" s="116">
        <v>45849</v>
      </c>
      <c r="J54" s="44">
        <v>4.5</v>
      </c>
      <c r="K54" s="44">
        <v>4.5</v>
      </c>
      <c r="L54" s="44">
        <v>4.4000000000000004</v>
      </c>
      <c r="P54" s="113">
        <f t="shared" si="0"/>
        <v>4.4666666666666668</v>
      </c>
    </row>
    <row r="55" spans="1:20" ht="14.5" x14ac:dyDescent="0.35">
      <c r="A55" s="62" t="s">
        <v>33</v>
      </c>
      <c r="B55" s="62" t="s">
        <v>34</v>
      </c>
      <c r="C55" s="62">
        <v>3</v>
      </c>
      <c r="D55" s="62">
        <v>3</v>
      </c>
      <c r="E55" s="62">
        <v>12</v>
      </c>
      <c r="F55" s="62">
        <v>312</v>
      </c>
      <c r="G55" s="63">
        <v>22</v>
      </c>
      <c r="H55" s="63">
        <v>2</v>
      </c>
      <c r="I55" s="116">
        <v>45849</v>
      </c>
      <c r="J55" s="44">
        <v>3.8</v>
      </c>
      <c r="K55" s="44">
        <v>4</v>
      </c>
      <c r="L55" s="44">
        <v>3.8</v>
      </c>
      <c r="P55" s="113">
        <f t="shared" si="0"/>
        <v>3.8666666666666667</v>
      </c>
    </row>
    <row r="56" spans="1:20" ht="14.5" x14ac:dyDescent="0.35">
      <c r="A56" s="62" t="s">
        <v>33</v>
      </c>
      <c r="B56" s="62" t="s">
        <v>35</v>
      </c>
      <c r="C56" s="62">
        <v>3</v>
      </c>
      <c r="D56" s="62">
        <v>2</v>
      </c>
      <c r="E56" s="62">
        <v>12</v>
      </c>
      <c r="F56" s="62">
        <v>212</v>
      </c>
      <c r="G56" s="63">
        <v>23</v>
      </c>
      <c r="H56" s="63">
        <v>2</v>
      </c>
      <c r="I56" s="116">
        <v>45849</v>
      </c>
      <c r="J56" s="44">
        <v>4.3</v>
      </c>
      <c r="K56" s="44">
        <v>4</v>
      </c>
      <c r="L56" s="44">
        <v>4.0999999999999996</v>
      </c>
      <c r="P56" s="113">
        <f t="shared" si="0"/>
        <v>4.1333333333333337</v>
      </c>
    </row>
    <row r="57" spans="1:20" ht="14.5" x14ac:dyDescent="0.35">
      <c r="A57" s="62" t="s">
        <v>33</v>
      </c>
      <c r="B57" s="62" t="s">
        <v>29</v>
      </c>
      <c r="C57" s="62">
        <v>3</v>
      </c>
      <c r="D57" s="62">
        <v>1</v>
      </c>
      <c r="E57" s="62">
        <v>12</v>
      </c>
      <c r="F57" s="62">
        <v>112</v>
      </c>
      <c r="G57" s="63">
        <v>24</v>
      </c>
      <c r="H57" s="63">
        <v>2</v>
      </c>
      <c r="I57" s="116">
        <v>45849</v>
      </c>
      <c r="J57" s="44">
        <v>4.0999999999999996</v>
      </c>
      <c r="K57" s="44">
        <v>4.5999999999999996</v>
      </c>
      <c r="L57" s="44">
        <v>4.7</v>
      </c>
      <c r="P57" s="113">
        <f t="shared" si="0"/>
        <v>4.4666666666666659</v>
      </c>
    </row>
    <row r="58" spans="1:20" ht="14.5" x14ac:dyDescent="0.35">
      <c r="A58" s="62" t="s">
        <v>28</v>
      </c>
      <c r="B58" s="62" t="s">
        <v>30</v>
      </c>
      <c r="C58" s="62">
        <v>4</v>
      </c>
      <c r="D58" s="62">
        <v>1</v>
      </c>
      <c r="E58" s="62">
        <v>14</v>
      </c>
      <c r="F58" s="62">
        <v>114</v>
      </c>
      <c r="G58" s="63">
        <v>25</v>
      </c>
      <c r="H58" s="63">
        <v>2</v>
      </c>
      <c r="I58" s="116">
        <v>45811</v>
      </c>
      <c r="J58" s="65">
        <v>6.1</v>
      </c>
      <c r="K58" s="65">
        <v>5.6</v>
      </c>
      <c r="L58">
        <v>4.5</v>
      </c>
      <c r="M58">
        <v>3</v>
      </c>
      <c r="N58">
        <v>3</v>
      </c>
      <c r="O58">
        <v>0</v>
      </c>
      <c r="P58" s="113">
        <f t="shared" si="0"/>
        <v>5.3999999999999995</v>
      </c>
      <c r="Q58" s="63"/>
      <c r="R58" s="63"/>
    </row>
    <row r="59" spans="1:20" ht="14.5" x14ac:dyDescent="0.35">
      <c r="A59" s="62" t="s">
        <v>28</v>
      </c>
      <c r="B59" s="62" t="s">
        <v>29</v>
      </c>
      <c r="C59" s="62">
        <v>4</v>
      </c>
      <c r="D59" s="62">
        <v>2</v>
      </c>
      <c r="E59" s="62">
        <v>14</v>
      </c>
      <c r="F59" s="62">
        <v>214</v>
      </c>
      <c r="G59" s="63">
        <v>26</v>
      </c>
      <c r="H59" s="63">
        <v>2</v>
      </c>
      <c r="I59" s="116">
        <v>45811</v>
      </c>
      <c r="J59" s="65">
        <v>4.5999999999999996</v>
      </c>
      <c r="K59" s="65">
        <v>4.5</v>
      </c>
      <c r="L59">
        <v>4.5</v>
      </c>
      <c r="M59">
        <v>3</v>
      </c>
      <c r="N59">
        <v>1</v>
      </c>
      <c r="O59">
        <v>0</v>
      </c>
      <c r="P59" s="113">
        <f t="shared" si="0"/>
        <v>4.5333333333333332</v>
      </c>
      <c r="Q59" s="63"/>
      <c r="R59" s="63"/>
    </row>
    <row r="60" spans="1:20" ht="14.5" x14ac:dyDescent="0.35">
      <c r="A60" s="62" t="s">
        <v>28</v>
      </c>
      <c r="B60" s="62" t="s">
        <v>32</v>
      </c>
      <c r="C60" s="62">
        <v>4</v>
      </c>
      <c r="D60" s="62">
        <v>3</v>
      </c>
      <c r="E60" s="62">
        <v>14</v>
      </c>
      <c r="F60" s="62">
        <v>314</v>
      </c>
      <c r="G60" s="63">
        <v>27</v>
      </c>
      <c r="H60" s="63">
        <v>2</v>
      </c>
      <c r="I60" s="116">
        <v>45811</v>
      </c>
      <c r="J60" s="65">
        <v>4.5999999999999996</v>
      </c>
      <c r="K60" s="65">
        <v>4.5</v>
      </c>
      <c r="L60">
        <v>4.2</v>
      </c>
      <c r="M60">
        <v>1</v>
      </c>
      <c r="N60">
        <v>0</v>
      </c>
      <c r="O60">
        <v>1</v>
      </c>
      <c r="P60" s="113">
        <f t="shared" si="0"/>
        <v>4.4333333333333336</v>
      </c>
      <c r="Q60" s="63"/>
      <c r="R60" s="63"/>
    </row>
    <row r="61" spans="1:20" ht="14.5" x14ac:dyDescent="0.35">
      <c r="A61" s="62" t="s">
        <v>28</v>
      </c>
      <c r="B61" s="62" t="s">
        <v>31</v>
      </c>
      <c r="C61" s="62">
        <v>4</v>
      </c>
      <c r="D61" s="62">
        <v>4</v>
      </c>
      <c r="E61" s="62">
        <v>14</v>
      </c>
      <c r="F61" s="62">
        <v>414</v>
      </c>
      <c r="G61" s="63">
        <v>28</v>
      </c>
      <c r="H61" s="63">
        <v>2</v>
      </c>
      <c r="I61" s="116">
        <v>45811</v>
      </c>
      <c r="J61" s="65">
        <v>4.7</v>
      </c>
      <c r="K61" s="65">
        <v>5.2</v>
      </c>
      <c r="L61">
        <v>5.2</v>
      </c>
      <c r="M61">
        <v>2</v>
      </c>
      <c r="N61">
        <v>2</v>
      </c>
      <c r="O61">
        <v>2</v>
      </c>
      <c r="P61" s="113">
        <f t="shared" si="0"/>
        <v>5.0333333333333341</v>
      </c>
      <c r="Q61" s="63"/>
      <c r="R61" s="63"/>
    </row>
    <row r="62" spans="1:20" ht="14.5" x14ac:dyDescent="0.35">
      <c r="A62" s="62" t="s">
        <v>33</v>
      </c>
      <c r="B62" s="62" t="s">
        <v>35</v>
      </c>
      <c r="C62" s="62">
        <v>4</v>
      </c>
      <c r="D62" s="62">
        <v>4</v>
      </c>
      <c r="E62" s="62">
        <v>16</v>
      </c>
      <c r="F62" s="62">
        <v>416</v>
      </c>
      <c r="G62" s="63">
        <v>29</v>
      </c>
      <c r="H62" s="63">
        <v>2</v>
      </c>
      <c r="I62" s="116">
        <v>45849</v>
      </c>
      <c r="J62" s="44">
        <v>4.3</v>
      </c>
      <c r="K62" s="44">
        <v>4.0999999999999996</v>
      </c>
      <c r="L62" s="44">
        <v>4.3</v>
      </c>
      <c r="P62" s="113">
        <f t="shared" si="0"/>
        <v>4.2333333333333334</v>
      </c>
    </row>
    <row r="63" spans="1:20" ht="14.5" x14ac:dyDescent="0.35">
      <c r="A63" s="62" t="s">
        <v>33</v>
      </c>
      <c r="B63" s="62" t="s">
        <v>29</v>
      </c>
      <c r="C63" s="62">
        <v>4</v>
      </c>
      <c r="D63" s="62">
        <v>3</v>
      </c>
      <c r="E63" s="62">
        <v>16</v>
      </c>
      <c r="F63" s="62">
        <v>316</v>
      </c>
      <c r="G63" s="63">
        <v>30</v>
      </c>
      <c r="H63" s="63">
        <v>2</v>
      </c>
      <c r="I63" s="116">
        <v>45849</v>
      </c>
      <c r="J63" s="44">
        <v>4.8</v>
      </c>
      <c r="K63" s="44">
        <v>4.3</v>
      </c>
      <c r="L63" s="44">
        <v>4.3</v>
      </c>
      <c r="P63" s="113">
        <f t="shared" si="0"/>
        <v>4.4666666666666659</v>
      </c>
    </row>
    <row r="64" spans="1:20" ht="14.5" x14ac:dyDescent="0.35">
      <c r="A64" s="62" t="s">
        <v>33</v>
      </c>
      <c r="B64" s="62" t="s">
        <v>34</v>
      </c>
      <c r="C64" s="62">
        <v>4</v>
      </c>
      <c r="D64" s="62">
        <v>2</v>
      </c>
      <c r="E64" s="62">
        <v>16</v>
      </c>
      <c r="F64" s="62">
        <v>216</v>
      </c>
      <c r="G64" s="63">
        <v>31</v>
      </c>
      <c r="H64" s="63">
        <v>2</v>
      </c>
      <c r="I64" s="116">
        <v>45849</v>
      </c>
      <c r="J64" s="44">
        <v>4</v>
      </c>
      <c r="K64" s="44">
        <v>4.0999999999999996</v>
      </c>
      <c r="L64" s="44">
        <v>4.4000000000000004</v>
      </c>
      <c r="P64" s="113">
        <f t="shared" si="0"/>
        <v>4.166666666666667</v>
      </c>
    </row>
    <row r="65" spans="1:16" ht="14.5" x14ac:dyDescent="0.35">
      <c r="A65" s="62" t="s">
        <v>33</v>
      </c>
      <c r="B65" s="62" t="s">
        <v>30</v>
      </c>
      <c r="C65" s="62">
        <v>4</v>
      </c>
      <c r="D65" s="62">
        <v>1</v>
      </c>
      <c r="E65" s="62">
        <v>16</v>
      </c>
      <c r="F65" s="62">
        <v>116</v>
      </c>
      <c r="G65" s="63">
        <v>32</v>
      </c>
      <c r="H65" s="63">
        <v>2</v>
      </c>
      <c r="I65" s="116">
        <v>45849</v>
      </c>
      <c r="J65" s="44">
        <v>4.0999999999999996</v>
      </c>
      <c r="K65" s="44">
        <v>3.7</v>
      </c>
      <c r="L65" s="44">
        <v>4.2</v>
      </c>
      <c r="P65" s="113">
        <f t="shared" si="0"/>
        <v>4</v>
      </c>
    </row>
    <row r="66" spans="1:16" ht="14.5" x14ac:dyDescent="0.35">
      <c r="A66" s="62" t="s">
        <v>28</v>
      </c>
      <c r="B66" s="62" t="s">
        <v>29</v>
      </c>
      <c r="C66" s="62">
        <v>1</v>
      </c>
      <c r="D66" s="62">
        <v>1</v>
      </c>
      <c r="E66" s="62">
        <v>2</v>
      </c>
      <c r="F66" s="62">
        <v>102</v>
      </c>
      <c r="G66" s="63">
        <v>1</v>
      </c>
      <c r="H66" s="63">
        <v>3</v>
      </c>
      <c r="I66" s="116">
        <v>45821</v>
      </c>
      <c r="J66" s="65">
        <v>6.3</v>
      </c>
      <c r="K66" s="65">
        <v>6</v>
      </c>
      <c r="L66">
        <v>6.3</v>
      </c>
      <c r="M66">
        <v>5</v>
      </c>
      <c r="N66">
        <v>4</v>
      </c>
      <c r="O66">
        <v>6</v>
      </c>
      <c r="P66" s="113">
        <f t="shared" si="0"/>
        <v>6.2</v>
      </c>
    </row>
    <row r="67" spans="1:16" ht="14.5" x14ac:dyDescent="0.35">
      <c r="A67" s="62" t="s">
        <v>28</v>
      </c>
      <c r="B67" s="62" t="s">
        <v>30</v>
      </c>
      <c r="C67" s="62">
        <v>1</v>
      </c>
      <c r="D67" s="62">
        <v>2</v>
      </c>
      <c r="E67" s="62">
        <v>2</v>
      </c>
      <c r="F67" s="62">
        <v>202</v>
      </c>
      <c r="G67" s="63">
        <v>2</v>
      </c>
      <c r="H67" s="63">
        <v>3</v>
      </c>
      <c r="I67" s="116">
        <v>45821</v>
      </c>
      <c r="J67" s="65">
        <v>5.9</v>
      </c>
      <c r="K67" s="65">
        <v>5.4</v>
      </c>
      <c r="L67">
        <v>5.2</v>
      </c>
      <c r="M67">
        <v>5</v>
      </c>
      <c r="N67">
        <v>4</v>
      </c>
      <c r="O67">
        <v>5</v>
      </c>
      <c r="P67" s="113">
        <f t="shared" ref="P67:P69" si="1">AVERAGE(J67:L67)</f>
        <v>5.5</v>
      </c>
    </row>
    <row r="68" spans="1:16" ht="14.5" x14ac:dyDescent="0.35">
      <c r="A68" s="62" t="s">
        <v>28</v>
      </c>
      <c r="B68" s="62" t="s">
        <v>31</v>
      </c>
      <c r="C68" s="62">
        <v>1</v>
      </c>
      <c r="D68" s="62">
        <v>3</v>
      </c>
      <c r="E68" s="62">
        <v>2</v>
      </c>
      <c r="F68" s="62">
        <v>302</v>
      </c>
      <c r="G68" s="63">
        <v>3</v>
      </c>
      <c r="H68" s="63">
        <v>3</v>
      </c>
      <c r="I68" s="116">
        <v>45821</v>
      </c>
      <c r="J68" s="65">
        <v>6</v>
      </c>
      <c r="K68" s="65">
        <v>5.2</v>
      </c>
      <c r="L68">
        <v>5.5</v>
      </c>
      <c r="M68">
        <v>3</v>
      </c>
      <c r="N68">
        <v>2</v>
      </c>
      <c r="O68">
        <v>1</v>
      </c>
      <c r="P68" s="113">
        <f t="shared" si="1"/>
        <v>5.5666666666666664</v>
      </c>
    </row>
    <row r="69" spans="1:16" ht="14.5" x14ac:dyDescent="0.35">
      <c r="A69" s="62" t="s">
        <v>28</v>
      </c>
      <c r="B69" s="62" t="s">
        <v>32</v>
      </c>
      <c r="C69" s="62">
        <v>1</v>
      </c>
      <c r="D69" s="62">
        <v>4</v>
      </c>
      <c r="E69" s="62">
        <v>2</v>
      </c>
      <c r="F69" s="62">
        <v>402</v>
      </c>
      <c r="G69" s="63">
        <v>4</v>
      </c>
      <c r="H69" s="63">
        <v>3</v>
      </c>
      <c r="I69" s="116">
        <v>45821</v>
      </c>
      <c r="J69" s="65">
        <v>6</v>
      </c>
      <c r="K69" s="65">
        <v>6.3</v>
      </c>
      <c r="L69">
        <v>6</v>
      </c>
      <c r="M69">
        <v>4</v>
      </c>
      <c r="N69">
        <v>6</v>
      </c>
      <c r="O69">
        <v>5</v>
      </c>
      <c r="P69" s="113">
        <f t="shared" si="1"/>
        <v>6.1000000000000005</v>
      </c>
    </row>
    <row r="70" spans="1:16" ht="14.5" x14ac:dyDescent="0.35">
      <c r="A70" s="62" t="s">
        <v>33</v>
      </c>
      <c r="B70" s="62" t="s">
        <v>29</v>
      </c>
      <c r="C70" s="62">
        <v>1</v>
      </c>
      <c r="D70" s="62">
        <v>4</v>
      </c>
      <c r="E70" s="62">
        <v>4</v>
      </c>
      <c r="F70" s="62">
        <v>404</v>
      </c>
      <c r="G70" s="63">
        <v>5</v>
      </c>
      <c r="H70" s="63">
        <v>3</v>
      </c>
      <c r="I70" s="116">
        <v>45856</v>
      </c>
      <c r="J70" s="44">
        <v>5.2</v>
      </c>
      <c r="K70" s="44">
        <v>5</v>
      </c>
      <c r="L70" s="44">
        <v>5.4</v>
      </c>
      <c r="M70" s="44"/>
      <c r="N70" s="44"/>
      <c r="O70" s="44"/>
      <c r="P70" s="113">
        <f t="shared" ref="P70:P101" si="2">AVERAGE(J70:L70)</f>
        <v>5.2</v>
      </c>
    </row>
    <row r="71" spans="1:16" ht="14.5" x14ac:dyDescent="0.35">
      <c r="A71" s="62" t="s">
        <v>33</v>
      </c>
      <c r="B71" s="62" t="s">
        <v>35</v>
      </c>
      <c r="C71" s="62">
        <v>1</v>
      </c>
      <c r="D71" s="62">
        <v>3</v>
      </c>
      <c r="E71" s="62">
        <v>4</v>
      </c>
      <c r="F71" s="62">
        <v>304</v>
      </c>
      <c r="G71" s="63">
        <v>6</v>
      </c>
      <c r="H71" s="63">
        <v>3</v>
      </c>
      <c r="I71" s="116">
        <v>45856</v>
      </c>
      <c r="J71" s="44">
        <v>5.0999999999999996</v>
      </c>
      <c r="K71" s="44">
        <v>5</v>
      </c>
      <c r="L71" s="44">
        <v>5.0999999999999996</v>
      </c>
      <c r="M71" s="44"/>
      <c r="N71" s="44"/>
      <c r="O71" s="44"/>
      <c r="P71" s="113">
        <f t="shared" si="2"/>
        <v>5.0666666666666664</v>
      </c>
    </row>
    <row r="72" spans="1:16" ht="14.5" x14ac:dyDescent="0.35">
      <c r="A72" s="62" t="s">
        <v>33</v>
      </c>
      <c r="B72" s="62" t="s">
        <v>30</v>
      </c>
      <c r="C72" s="62">
        <v>1</v>
      </c>
      <c r="D72" s="62">
        <v>2</v>
      </c>
      <c r="E72" s="62">
        <v>4</v>
      </c>
      <c r="F72" s="62">
        <v>204</v>
      </c>
      <c r="G72" s="63">
        <v>7</v>
      </c>
      <c r="H72" s="63">
        <v>3</v>
      </c>
      <c r="I72" s="116">
        <v>45856</v>
      </c>
      <c r="J72" s="44">
        <v>5.4</v>
      </c>
      <c r="K72" s="44">
        <v>5.5</v>
      </c>
      <c r="L72" s="44">
        <v>5.6</v>
      </c>
      <c r="M72" s="44"/>
      <c r="N72" s="44"/>
      <c r="O72" s="44"/>
      <c r="P72" s="113">
        <f t="shared" si="2"/>
        <v>5.5</v>
      </c>
    </row>
    <row r="73" spans="1:16" ht="14.5" x14ac:dyDescent="0.35">
      <c r="A73" s="62" t="s">
        <v>33</v>
      </c>
      <c r="B73" s="62" t="s">
        <v>34</v>
      </c>
      <c r="C73" s="62">
        <v>1</v>
      </c>
      <c r="D73" s="62">
        <v>1</v>
      </c>
      <c r="E73" s="62">
        <v>4</v>
      </c>
      <c r="F73" s="62">
        <v>104</v>
      </c>
      <c r="G73" s="63">
        <v>8</v>
      </c>
      <c r="H73" s="63">
        <v>3</v>
      </c>
      <c r="I73" s="116">
        <v>45856</v>
      </c>
      <c r="J73" s="44">
        <v>5</v>
      </c>
      <c r="K73" s="44">
        <v>5</v>
      </c>
      <c r="L73" s="44">
        <v>4.8</v>
      </c>
      <c r="M73" s="44"/>
      <c r="N73" s="44"/>
      <c r="O73" s="44"/>
      <c r="P73" s="113">
        <f t="shared" si="2"/>
        <v>4.9333333333333336</v>
      </c>
    </row>
    <row r="74" spans="1:16" ht="14.5" x14ac:dyDescent="0.35">
      <c r="A74" s="62" t="s">
        <v>28</v>
      </c>
      <c r="B74" s="62" t="s">
        <v>31</v>
      </c>
      <c r="C74" s="62">
        <v>2</v>
      </c>
      <c r="D74" s="62">
        <v>1</v>
      </c>
      <c r="E74" s="62">
        <v>6</v>
      </c>
      <c r="F74" s="62">
        <v>106</v>
      </c>
      <c r="G74" s="63">
        <v>9</v>
      </c>
      <c r="H74" s="63">
        <v>3</v>
      </c>
      <c r="I74" s="116">
        <v>45821</v>
      </c>
      <c r="J74" s="65">
        <v>5.5</v>
      </c>
      <c r="K74" s="65">
        <v>6.2</v>
      </c>
      <c r="L74">
        <v>5.5</v>
      </c>
      <c r="M74">
        <v>4</v>
      </c>
      <c r="N74">
        <v>2</v>
      </c>
      <c r="O74">
        <v>2</v>
      </c>
      <c r="P74" s="113">
        <f t="shared" si="2"/>
        <v>5.7333333333333334</v>
      </c>
    </row>
    <row r="75" spans="1:16" ht="14.5" x14ac:dyDescent="0.35">
      <c r="A75" s="62" t="s">
        <v>28</v>
      </c>
      <c r="B75" s="62" t="s">
        <v>32</v>
      </c>
      <c r="C75" s="62">
        <v>2</v>
      </c>
      <c r="D75" s="62">
        <v>2</v>
      </c>
      <c r="E75" s="62">
        <v>6</v>
      </c>
      <c r="F75" s="62">
        <v>206</v>
      </c>
      <c r="G75" s="63">
        <v>10</v>
      </c>
      <c r="H75" s="63">
        <v>3</v>
      </c>
      <c r="I75" s="116">
        <v>45821</v>
      </c>
      <c r="J75" s="65">
        <v>6.2</v>
      </c>
      <c r="K75" s="65">
        <v>6.1</v>
      </c>
      <c r="L75">
        <v>6</v>
      </c>
      <c r="M75">
        <v>5</v>
      </c>
      <c r="N75">
        <v>6</v>
      </c>
      <c r="O75">
        <v>5</v>
      </c>
      <c r="P75" s="113">
        <f t="shared" si="2"/>
        <v>6.1000000000000005</v>
      </c>
    </row>
    <row r="76" spans="1:16" ht="14.5" x14ac:dyDescent="0.35">
      <c r="A76" s="62" t="s">
        <v>28</v>
      </c>
      <c r="B76" s="62" t="s">
        <v>30</v>
      </c>
      <c r="C76" s="62">
        <v>2</v>
      </c>
      <c r="D76" s="62">
        <v>3</v>
      </c>
      <c r="E76" s="62">
        <v>6</v>
      </c>
      <c r="F76" s="62">
        <v>306</v>
      </c>
      <c r="G76" s="63">
        <v>11</v>
      </c>
      <c r="H76" s="63">
        <v>3</v>
      </c>
      <c r="I76" s="116">
        <v>45821</v>
      </c>
      <c r="J76" s="65">
        <v>5.7</v>
      </c>
      <c r="K76" s="65">
        <v>5.7</v>
      </c>
      <c r="L76">
        <v>5.8</v>
      </c>
      <c r="M76">
        <v>0</v>
      </c>
      <c r="N76">
        <v>1</v>
      </c>
      <c r="O76">
        <v>3</v>
      </c>
      <c r="P76" s="113">
        <f t="shared" si="2"/>
        <v>5.7333333333333334</v>
      </c>
    </row>
    <row r="77" spans="1:16" ht="14.5" x14ac:dyDescent="0.35">
      <c r="A77" s="62" t="s">
        <v>28</v>
      </c>
      <c r="B77" s="62" t="s">
        <v>29</v>
      </c>
      <c r="C77" s="62">
        <v>2</v>
      </c>
      <c r="D77" s="62">
        <v>4</v>
      </c>
      <c r="E77" s="62">
        <v>6</v>
      </c>
      <c r="F77" s="62">
        <v>406</v>
      </c>
      <c r="G77" s="63">
        <v>12</v>
      </c>
      <c r="H77" s="63">
        <v>3</v>
      </c>
      <c r="I77" s="116">
        <v>45821</v>
      </c>
      <c r="J77" s="65">
        <v>5.7</v>
      </c>
      <c r="K77" s="65">
        <v>5.4</v>
      </c>
      <c r="L77">
        <v>6.2</v>
      </c>
      <c r="M77">
        <v>4</v>
      </c>
      <c r="N77">
        <v>5</v>
      </c>
      <c r="O77">
        <v>4</v>
      </c>
      <c r="P77" s="113">
        <f t="shared" si="2"/>
        <v>5.7666666666666666</v>
      </c>
    </row>
    <row r="78" spans="1:16" ht="14.5" x14ac:dyDescent="0.35">
      <c r="A78" s="62" t="s">
        <v>33</v>
      </c>
      <c r="B78" s="62" t="s">
        <v>34</v>
      </c>
      <c r="C78" s="62">
        <v>2</v>
      </c>
      <c r="D78" s="62">
        <v>4</v>
      </c>
      <c r="E78" s="62">
        <v>8</v>
      </c>
      <c r="F78" s="62">
        <v>408</v>
      </c>
      <c r="G78" s="63">
        <v>13</v>
      </c>
      <c r="H78" s="63">
        <v>3</v>
      </c>
      <c r="I78" s="116">
        <v>45856</v>
      </c>
      <c r="J78" s="44">
        <v>5</v>
      </c>
      <c r="K78" s="44">
        <v>5</v>
      </c>
      <c r="L78" s="44">
        <v>4.4000000000000004</v>
      </c>
      <c r="M78" s="44"/>
      <c r="N78" s="44"/>
      <c r="O78" s="44"/>
      <c r="P78" s="113">
        <f t="shared" si="2"/>
        <v>4.8</v>
      </c>
    </row>
    <row r="79" spans="1:16" ht="14.5" x14ac:dyDescent="0.35">
      <c r="A79" s="62" t="s">
        <v>33</v>
      </c>
      <c r="B79" s="62" t="s">
        <v>30</v>
      </c>
      <c r="C79" s="62">
        <v>2</v>
      </c>
      <c r="D79" s="62">
        <v>3</v>
      </c>
      <c r="E79" s="62">
        <v>8</v>
      </c>
      <c r="F79" s="62">
        <v>308</v>
      </c>
      <c r="G79" s="63">
        <v>14</v>
      </c>
      <c r="H79" s="63">
        <v>3</v>
      </c>
      <c r="I79" s="116">
        <v>45856</v>
      </c>
      <c r="J79" s="44">
        <v>5.4</v>
      </c>
      <c r="K79" s="44">
        <v>4.8</v>
      </c>
      <c r="L79" s="44">
        <v>5</v>
      </c>
      <c r="M79" s="44"/>
      <c r="N79" s="44"/>
      <c r="O79" s="44"/>
      <c r="P79" s="113">
        <f t="shared" si="2"/>
        <v>5.0666666666666664</v>
      </c>
    </row>
    <row r="80" spans="1:16" ht="14.5" x14ac:dyDescent="0.35">
      <c r="A80" s="62" t="s">
        <v>33</v>
      </c>
      <c r="B80" s="62" t="s">
        <v>29</v>
      </c>
      <c r="C80" s="62">
        <v>2</v>
      </c>
      <c r="D80" s="62">
        <v>2</v>
      </c>
      <c r="E80" s="62">
        <v>8</v>
      </c>
      <c r="F80" s="62">
        <v>208</v>
      </c>
      <c r="G80" s="63">
        <v>15</v>
      </c>
      <c r="H80" s="63">
        <v>3</v>
      </c>
      <c r="I80" s="116">
        <v>45856</v>
      </c>
      <c r="J80" s="44">
        <v>5.5</v>
      </c>
      <c r="K80" s="44">
        <v>5.4</v>
      </c>
      <c r="L80" s="44">
        <v>5</v>
      </c>
      <c r="M80" s="44"/>
      <c r="N80" s="44"/>
      <c r="O80" s="44"/>
      <c r="P80" s="113">
        <f t="shared" si="2"/>
        <v>5.3</v>
      </c>
    </row>
    <row r="81" spans="1:16" ht="14.5" x14ac:dyDescent="0.35">
      <c r="A81" s="62" t="s">
        <v>33</v>
      </c>
      <c r="B81" s="62" t="s">
        <v>35</v>
      </c>
      <c r="C81" s="62">
        <v>2</v>
      </c>
      <c r="D81" s="62">
        <v>1</v>
      </c>
      <c r="E81" s="62">
        <v>8</v>
      </c>
      <c r="F81" s="62">
        <v>108</v>
      </c>
      <c r="G81" s="63">
        <v>16</v>
      </c>
      <c r="H81" s="63">
        <v>3</v>
      </c>
      <c r="I81" s="116">
        <v>45856</v>
      </c>
      <c r="J81" s="44">
        <v>5.4</v>
      </c>
      <c r="K81" s="44">
        <v>4.3</v>
      </c>
      <c r="L81" s="44">
        <v>4.5</v>
      </c>
      <c r="M81" s="44"/>
      <c r="N81" s="44"/>
      <c r="O81" s="44"/>
      <c r="P81" s="113">
        <f t="shared" si="2"/>
        <v>4.7333333333333334</v>
      </c>
    </row>
    <row r="82" spans="1:16" ht="14.5" x14ac:dyDescent="0.35">
      <c r="A82" s="62" t="s">
        <v>28</v>
      </c>
      <c r="B82" s="62" t="s">
        <v>32</v>
      </c>
      <c r="C82" s="62">
        <v>3</v>
      </c>
      <c r="D82" s="62">
        <v>1</v>
      </c>
      <c r="E82" s="62">
        <v>10</v>
      </c>
      <c r="F82" s="62">
        <v>110</v>
      </c>
      <c r="G82" s="63">
        <v>17</v>
      </c>
      <c r="H82" s="63">
        <v>3</v>
      </c>
      <c r="I82" s="116">
        <v>45821</v>
      </c>
      <c r="J82" s="65">
        <v>6</v>
      </c>
      <c r="K82" s="65">
        <v>5.4</v>
      </c>
      <c r="L82">
        <v>5.3</v>
      </c>
      <c r="M82">
        <v>4</v>
      </c>
      <c r="N82">
        <v>2</v>
      </c>
      <c r="O82">
        <v>2</v>
      </c>
      <c r="P82" s="113">
        <f t="shared" si="2"/>
        <v>5.5666666666666664</v>
      </c>
    </row>
    <row r="83" spans="1:16" ht="14.5" x14ac:dyDescent="0.35">
      <c r="A83" s="62" t="s">
        <v>28</v>
      </c>
      <c r="B83" s="62" t="s">
        <v>31</v>
      </c>
      <c r="C83" s="62">
        <v>3</v>
      </c>
      <c r="D83" s="62">
        <v>2</v>
      </c>
      <c r="E83" s="62">
        <v>10</v>
      </c>
      <c r="F83" s="62">
        <v>210</v>
      </c>
      <c r="G83" s="63">
        <v>18</v>
      </c>
      <c r="H83" s="63">
        <v>3</v>
      </c>
      <c r="I83" s="116">
        <v>45821</v>
      </c>
      <c r="J83" s="65">
        <v>6.1</v>
      </c>
      <c r="K83" s="65">
        <v>6.3</v>
      </c>
      <c r="L83">
        <v>6.2</v>
      </c>
      <c r="M83">
        <v>4</v>
      </c>
      <c r="N83">
        <v>6</v>
      </c>
      <c r="O83">
        <v>3</v>
      </c>
      <c r="P83" s="113">
        <f t="shared" si="2"/>
        <v>6.1999999999999993</v>
      </c>
    </row>
    <row r="84" spans="1:16" ht="14.5" x14ac:dyDescent="0.35">
      <c r="A84" s="62" t="s">
        <v>28</v>
      </c>
      <c r="B84" s="62" t="s">
        <v>29</v>
      </c>
      <c r="C84" s="62">
        <v>3</v>
      </c>
      <c r="D84" s="62">
        <v>3</v>
      </c>
      <c r="E84" s="62">
        <v>10</v>
      </c>
      <c r="F84" s="62">
        <v>310</v>
      </c>
      <c r="G84" s="63">
        <v>19</v>
      </c>
      <c r="H84" s="63">
        <v>3</v>
      </c>
      <c r="I84" s="116">
        <v>45821</v>
      </c>
      <c r="J84" s="65">
        <v>5.2</v>
      </c>
      <c r="K84" s="65">
        <v>5.2</v>
      </c>
      <c r="L84">
        <v>5.0999999999999996</v>
      </c>
      <c r="M84">
        <v>3</v>
      </c>
      <c r="N84">
        <v>2</v>
      </c>
      <c r="O84">
        <v>3</v>
      </c>
      <c r="P84" s="113">
        <f t="shared" si="2"/>
        <v>5.166666666666667</v>
      </c>
    </row>
    <row r="85" spans="1:16" ht="14.5" x14ac:dyDescent="0.35">
      <c r="A85" s="62" t="s">
        <v>28</v>
      </c>
      <c r="B85" s="62" t="s">
        <v>30</v>
      </c>
      <c r="C85" s="62">
        <v>3</v>
      </c>
      <c r="D85" s="62">
        <v>4</v>
      </c>
      <c r="E85" s="62">
        <v>10</v>
      </c>
      <c r="F85" s="62">
        <v>410</v>
      </c>
      <c r="G85" s="63">
        <v>20</v>
      </c>
      <c r="H85" s="63">
        <v>3</v>
      </c>
      <c r="I85" s="116">
        <v>45821</v>
      </c>
      <c r="J85" s="65">
        <v>6</v>
      </c>
      <c r="K85" s="65">
        <v>6.2</v>
      </c>
      <c r="L85">
        <v>6</v>
      </c>
      <c r="M85">
        <v>3</v>
      </c>
      <c r="N85">
        <v>6</v>
      </c>
      <c r="O85">
        <v>4</v>
      </c>
      <c r="P85" s="113">
        <f t="shared" si="2"/>
        <v>6.0666666666666664</v>
      </c>
    </row>
    <row r="86" spans="1:16" ht="14.5" x14ac:dyDescent="0.35">
      <c r="A86" s="62" t="s">
        <v>33</v>
      </c>
      <c r="B86" s="62" t="s">
        <v>30</v>
      </c>
      <c r="C86" s="62">
        <v>3</v>
      </c>
      <c r="D86" s="62">
        <v>4</v>
      </c>
      <c r="E86" s="62">
        <v>12</v>
      </c>
      <c r="F86" s="62">
        <v>412</v>
      </c>
      <c r="G86" s="63">
        <v>21</v>
      </c>
      <c r="H86" s="63">
        <v>3</v>
      </c>
      <c r="I86" s="116">
        <v>45856</v>
      </c>
      <c r="J86" s="44">
        <v>5.3</v>
      </c>
      <c r="K86" s="44">
        <v>5.2</v>
      </c>
      <c r="L86" s="44">
        <v>5.0999999999999996</v>
      </c>
      <c r="M86" s="44"/>
      <c r="N86" s="44"/>
      <c r="O86" s="44"/>
      <c r="P86" s="113">
        <f t="shared" si="2"/>
        <v>5.2</v>
      </c>
    </row>
    <row r="87" spans="1:16" ht="14.5" x14ac:dyDescent="0.35">
      <c r="A87" s="62" t="s">
        <v>33</v>
      </c>
      <c r="B87" s="62" t="s">
        <v>34</v>
      </c>
      <c r="C87" s="62">
        <v>3</v>
      </c>
      <c r="D87" s="62">
        <v>3</v>
      </c>
      <c r="E87" s="62">
        <v>12</v>
      </c>
      <c r="F87" s="62">
        <v>312</v>
      </c>
      <c r="G87" s="63">
        <v>22</v>
      </c>
      <c r="H87" s="63">
        <v>3</v>
      </c>
      <c r="I87" s="116">
        <v>45856</v>
      </c>
      <c r="J87" s="44">
        <v>4.4000000000000004</v>
      </c>
      <c r="K87" s="44">
        <v>4.5</v>
      </c>
      <c r="L87" s="44">
        <v>4.4000000000000004</v>
      </c>
      <c r="M87" s="44"/>
      <c r="N87" s="44"/>
      <c r="O87" s="44"/>
      <c r="P87" s="113">
        <f t="shared" si="2"/>
        <v>4.4333333333333336</v>
      </c>
    </row>
    <row r="88" spans="1:16" ht="14.5" x14ac:dyDescent="0.35">
      <c r="A88" s="62" t="s">
        <v>33</v>
      </c>
      <c r="B88" s="62" t="s">
        <v>35</v>
      </c>
      <c r="C88" s="62">
        <v>3</v>
      </c>
      <c r="D88" s="62">
        <v>2</v>
      </c>
      <c r="E88" s="62">
        <v>12</v>
      </c>
      <c r="F88" s="62">
        <v>212</v>
      </c>
      <c r="G88" s="63">
        <v>23</v>
      </c>
      <c r="H88" s="63">
        <v>3</v>
      </c>
      <c r="I88" s="116">
        <v>45856</v>
      </c>
      <c r="J88" s="44">
        <v>5.0999999999999996</v>
      </c>
      <c r="K88" s="44">
        <v>4.5999999999999996</v>
      </c>
      <c r="L88" s="44">
        <v>4.7</v>
      </c>
      <c r="M88" s="44"/>
      <c r="N88" s="44"/>
      <c r="O88" s="44"/>
      <c r="P88" s="113">
        <f t="shared" si="2"/>
        <v>4.8</v>
      </c>
    </row>
    <row r="89" spans="1:16" ht="14.5" x14ac:dyDescent="0.35">
      <c r="A89" s="62" t="s">
        <v>33</v>
      </c>
      <c r="B89" s="62" t="s">
        <v>29</v>
      </c>
      <c r="C89" s="62">
        <v>3</v>
      </c>
      <c r="D89" s="62">
        <v>1</v>
      </c>
      <c r="E89" s="62">
        <v>12</v>
      </c>
      <c r="F89" s="62">
        <v>112</v>
      </c>
      <c r="G89" s="63">
        <v>24</v>
      </c>
      <c r="H89" s="63">
        <v>3</v>
      </c>
      <c r="I89" s="116">
        <v>45856</v>
      </c>
      <c r="J89" s="44">
        <v>4.8</v>
      </c>
      <c r="K89" s="44">
        <v>5.3</v>
      </c>
      <c r="L89" s="44">
        <v>5.3</v>
      </c>
      <c r="M89" s="44"/>
      <c r="N89" s="44"/>
      <c r="O89" s="44"/>
      <c r="P89" s="113">
        <f t="shared" si="2"/>
        <v>5.1333333333333329</v>
      </c>
    </row>
    <row r="90" spans="1:16" ht="14.5" x14ac:dyDescent="0.35">
      <c r="A90" s="62" t="s">
        <v>28</v>
      </c>
      <c r="B90" s="62" t="s">
        <v>30</v>
      </c>
      <c r="C90" s="62">
        <v>4</v>
      </c>
      <c r="D90" s="62">
        <v>1</v>
      </c>
      <c r="E90" s="62">
        <v>14</v>
      </c>
      <c r="F90" s="62">
        <v>114</v>
      </c>
      <c r="G90" s="63">
        <v>25</v>
      </c>
      <c r="H90" s="63">
        <v>3</v>
      </c>
      <c r="I90" s="116">
        <v>45821</v>
      </c>
      <c r="J90" s="65">
        <v>6.7</v>
      </c>
      <c r="K90" s="65">
        <v>5.8</v>
      </c>
      <c r="L90">
        <v>5.5</v>
      </c>
      <c r="M90">
        <v>6</v>
      </c>
      <c r="N90">
        <v>1</v>
      </c>
      <c r="O90">
        <v>2</v>
      </c>
      <c r="P90" s="113">
        <f t="shared" si="2"/>
        <v>6</v>
      </c>
    </row>
    <row r="91" spans="1:16" ht="14.5" x14ac:dyDescent="0.35">
      <c r="A91" s="62" t="s">
        <v>28</v>
      </c>
      <c r="B91" s="62" t="s">
        <v>29</v>
      </c>
      <c r="C91" s="62">
        <v>4</v>
      </c>
      <c r="D91" s="62">
        <v>2</v>
      </c>
      <c r="E91" s="62">
        <v>14</v>
      </c>
      <c r="F91" s="62">
        <v>214</v>
      </c>
      <c r="G91" s="63">
        <v>26</v>
      </c>
      <c r="H91" s="63">
        <v>3</v>
      </c>
      <c r="I91" s="116">
        <v>45821</v>
      </c>
      <c r="J91" s="65">
        <v>5.3</v>
      </c>
      <c r="K91" s="65">
        <v>5.3</v>
      </c>
      <c r="L91">
        <v>5.4</v>
      </c>
      <c r="M91">
        <v>4</v>
      </c>
      <c r="N91">
        <v>3</v>
      </c>
      <c r="O91">
        <v>1</v>
      </c>
      <c r="P91" s="113">
        <f t="shared" si="2"/>
        <v>5.333333333333333</v>
      </c>
    </row>
    <row r="92" spans="1:16" ht="14.5" x14ac:dyDescent="0.35">
      <c r="A92" s="62" t="s">
        <v>28</v>
      </c>
      <c r="B92" s="62" t="s">
        <v>32</v>
      </c>
      <c r="C92" s="62">
        <v>4</v>
      </c>
      <c r="D92" s="62">
        <v>3</v>
      </c>
      <c r="E92" s="62">
        <v>14</v>
      </c>
      <c r="F92" s="62">
        <v>314</v>
      </c>
      <c r="G92" s="63">
        <v>27</v>
      </c>
      <c r="H92" s="63">
        <v>3</v>
      </c>
      <c r="I92" s="116">
        <v>45821</v>
      </c>
      <c r="J92" s="65">
        <v>5.3</v>
      </c>
      <c r="K92" s="65">
        <v>5.2</v>
      </c>
      <c r="L92">
        <v>4.7</v>
      </c>
      <c r="M92">
        <v>3</v>
      </c>
      <c r="N92">
        <v>1</v>
      </c>
      <c r="O92">
        <v>2</v>
      </c>
      <c r="P92" s="113">
        <f t="shared" si="2"/>
        <v>5.0666666666666664</v>
      </c>
    </row>
    <row r="93" spans="1:16" ht="14.5" x14ac:dyDescent="0.35">
      <c r="A93" s="62" t="s">
        <v>28</v>
      </c>
      <c r="B93" s="62" t="s">
        <v>31</v>
      </c>
      <c r="C93" s="62">
        <v>4</v>
      </c>
      <c r="D93" s="62">
        <v>4</v>
      </c>
      <c r="E93" s="62">
        <v>14</v>
      </c>
      <c r="F93" s="62">
        <v>414</v>
      </c>
      <c r="G93" s="63">
        <v>28</v>
      </c>
      <c r="H93" s="63">
        <v>3</v>
      </c>
      <c r="I93" s="116">
        <v>45821</v>
      </c>
      <c r="J93" s="65">
        <v>5.3</v>
      </c>
      <c r="K93" s="65">
        <v>6</v>
      </c>
      <c r="L93">
        <v>6</v>
      </c>
      <c r="M93">
        <v>2</v>
      </c>
      <c r="N93">
        <v>4</v>
      </c>
      <c r="O93">
        <v>3</v>
      </c>
      <c r="P93" s="113">
        <f t="shared" si="2"/>
        <v>5.7666666666666666</v>
      </c>
    </row>
    <row r="94" spans="1:16" ht="14.5" x14ac:dyDescent="0.35">
      <c r="A94" s="62" t="s">
        <v>33</v>
      </c>
      <c r="B94" s="62" t="s">
        <v>35</v>
      </c>
      <c r="C94" s="62">
        <v>4</v>
      </c>
      <c r="D94" s="62">
        <v>4</v>
      </c>
      <c r="E94" s="62">
        <v>16</v>
      </c>
      <c r="F94" s="62">
        <v>416</v>
      </c>
      <c r="G94" s="63">
        <v>29</v>
      </c>
      <c r="H94" s="63">
        <v>3</v>
      </c>
      <c r="I94" s="116">
        <v>45856</v>
      </c>
      <c r="J94" s="44">
        <v>5.0999999999999996</v>
      </c>
      <c r="K94" s="44">
        <v>4.8</v>
      </c>
      <c r="L94" s="44">
        <v>5.0999999999999996</v>
      </c>
      <c r="M94" s="44"/>
      <c r="N94" s="44"/>
      <c r="O94" s="44"/>
      <c r="P94" s="113">
        <f t="shared" si="2"/>
        <v>4.9999999999999991</v>
      </c>
    </row>
    <row r="95" spans="1:16" ht="14.5" x14ac:dyDescent="0.35">
      <c r="A95" s="62" t="s">
        <v>33</v>
      </c>
      <c r="B95" s="62" t="s">
        <v>29</v>
      </c>
      <c r="C95" s="62">
        <v>4</v>
      </c>
      <c r="D95" s="62">
        <v>3</v>
      </c>
      <c r="E95" s="62">
        <v>16</v>
      </c>
      <c r="F95" s="62">
        <v>316</v>
      </c>
      <c r="G95" s="63">
        <v>30</v>
      </c>
      <c r="H95" s="63">
        <v>3</v>
      </c>
      <c r="I95" s="116">
        <v>45856</v>
      </c>
      <c r="J95" s="44">
        <v>5.4</v>
      </c>
      <c r="K95" s="44">
        <v>4.7</v>
      </c>
      <c r="L95" s="44">
        <v>4.8</v>
      </c>
      <c r="M95" s="44"/>
      <c r="N95" s="44"/>
      <c r="O95" s="44"/>
      <c r="P95" s="113">
        <f t="shared" si="2"/>
        <v>4.9666666666666677</v>
      </c>
    </row>
    <row r="96" spans="1:16" ht="14.5" x14ac:dyDescent="0.35">
      <c r="A96" s="62" t="s">
        <v>33</v>
      </c>
      <c r="B96" s="62" t="s">
        <v>34</v>
      </c>
      <c r="C96" s="62">
        <v>4</v>
      </c>
      <c r="D96" s="62">
        <v>2</v>
      </c>
      <c r="E96" s="62">
        <v>16</v>
      </c>
      <c r="F96" s="62">
        <v>216</v>
      </c>
      <c r="G96" s="63">
        <v>31</v>
      </c>
      <c r="H96" s="63">
        <v>3</v>
      </c>
      <c r="I96" s="116">
        <v>45856</v>
      </c>
      <c r="J96" s="44">
        <v>4.5999999999999996</v>
      </c>
      <c r="K96" s="44">
        <v>4.7</v>
      </c>
      <c r="L96" s="44">
        <v>5.0999999999999996</v>
      </c>
      <c r="M96" s="44"/>
      <c r="N96" s="44"/>
      <c r="O96" s="44"/>
      <c r="P96" s="113">
        <f t="shared" si="2"/>
        <v>4.8</v>
      </c>
    </row>
    <row r="97" spans="1:16" ht="14.5" x14ac:dyDescent="0.35">
      <c r="A97" s="62" t="s">
        <v>33</v>
      </c>
      <c r="B97" s="62" t="s">
        <v>30</v>
      </c>
      <c r="C97" s="62">
        <v>4</v>
      </c>
      <c r="D97" s="62">
        <v>1</v>
      </c>
      <c r="E97" s="62">
        <v>16</v>
      </c>
      <c r="F97" s="62">
        <v>116</v>
      </c>
      <c r="G97" s="63">
        <v>32</v>
      </c>
      <c r="H97" s="63">
        <v>3</v>
      </c>
      <c r="I97" s="116">
        <v>45856</v>
      </c>
      <c r="J97" s="44">
        <v>4.8</v>
      </c>
      <c r="K97" s="44">
        <v>4.4000000000000004</v>
      </c>
      <c r="L97" s="44">
        <v>4.8</v>
      </c>
      <c r="M97" s="44"/>
      <c r="N97" s="44"/>
      <c r="O97" s="44"/>
      <c r="P97" s="113">
        <f t="shared" si="2"/>
        <v>4.666666666666667</v>
      </c>
    </row>
    <row r="98" spans="1:16" ht="14.5" x14ac:dyDescent="0.35">
      <c r="A98" s="62" t="s">
        <v>28</v>
      </c>
      <c r="B98" s="62" t="s">
        <v>29</v>
      </c>
      <c r="C98" s="62">
        <v>1</v>
      </c>
      <c r="D98" s="62">
        <v>1</v>
      </c>
      <c r="E98" s="62">
        <v>2</v>
      </c>
      <c r="F98" s="62">
        <v>102</v>
      </c>
      <c r="G98" s="63">
        <v>1</v>
      </c>
      <c r="H98" s="63">
        <v>4</v>
      </c>
      <c r="I98" s="116">
        <v>45828</v>
      </c>
      <c r="J98" s="65">
        <v>6.6</v>
      </c>
      <c r="K98" s="65">
        <v>6.4</v>
      </c>
      <c r="L98">
        <v>6.7</v>
      </c>
      <c r="M98">
        <v>6</v>
      </c>
      <c r="N98">
        <v>5</v>
      </c>
      <c r="O98">
        <v>6</v>
      </c>
      <c r="P98" s="113">
        <f t="shared" si="2"/>
        <v>6.5666666666666664</v>
      </c>
    </row>
    <row r="99" spans="1:16" ht="14.5" x14ac:dyDescent="0.35">
      <c r="A99" s="62" t="s">
        <v>28</v>
      </c>
      <c r="B99" s="62" t="s">
        <v>30</v>
      </c>
      <c r="C99" s="62">
        <v>1</v>
      </c>
      <c r="D99" s="62">
        <v>2</v>
      </c>
      <c r="E99" s="62">
        <v>2</v>
      </c>
      <c r="F99" s="62">
        <v>202</v>
      </c>
      <c r="G99" s="63">
        <v>2</v>
      </c>
      <c r="H99" s="63">
        <v>4</v>
      </c>
      <c r="I99" s="116">
        <v>45828</v>
      </c>
      <c r="J99" s="65">
        <v>6.4</v>
      </c>
      <c r="K99" s="65">
        <v>5.8</v>
      </c>
      <c r="L99">
        <v>5.7</v>
      </c>
      <c r="M99">
        <v>6</v>
      </c>
      <c r="N99">
        <v>5</v>
      </c>
      <c r="O99">
        <v>5</v>
      </c>
      <c r="P99" s="113">
        <f t="shared" si="2"/>
        <v>5.9666666666666659</v>
      </c>
    </row>
    <row r="100" spans="1:16" ht="14.5" x14ac:dyDescent="0.35">
      <c r="A100" s="62" t="s">
        <v>28</v>
      </c>
      <c r="B100" s="62" t="s">
        <v>31</v>
      </c>
      <c r="C100" s="62">
        <v>1</v>
      </c>
      <c r="D100" s="62">
        <v>3</v>
      </c>
      <c r="E100" s="62">
        <v>2</v>
      </c>
      <c r="F100" s="62">
        <v>302</v>
      </c>
      <c r="G100" s="63">
        <v>3</v>
      </c>
      <c r="H100" s="63">
        <v>4</v>
      </c>
      <c r="I100" s="116">
        <v>45828</v>
      </c>
      <c r="J100" s="65">
        <v>6.5</v>
      </c>
      <c r="K100" s="65">
        <v>5.5</v>
      </c>
      <c r="L100">
        <v>6.2</v>
      </c>
      <c r="M100">
        <v>6</v>
      </c>
      <c r="N100">
        <v>3</v>
      </c>
      <c r="O100">
        <v>3</v>
      </c>
      <c r="P100" s="113">
        <f t="shared" si="2"/>
        <v>6.0666666666666664</v>
      </c>
    </row>
    <row r="101" spans="1:16" ht="14.5" x14ac:dyDescent="0.35">
      <c r="A101" s="62" t="s">
        <v>28</v>
      </c>
      <c r="B101" s="62" t="s">
        <v>32</v>
      </c>
      <c r="C101" s="62">
        <v>1</v>
      </c>
      <c r="D101" s="62">
        <v>4</v>
      </c>
      <c r="E101" s="62">
        <v>2</v>
      </c>
      <c r="F101" s="62">
        <v>402</v>
      </c>
      <c r="G101" s="63">
        <v>4</v>
      </c>
      <c r="H101" s="63">
        <v>4</v>
      </c>
      <c r="I101" s="116">
        <v>45828</v>
      </c>
      <c r="J101" s="65">
        <v>6.4</v>
      </c>
      <c r="K101" s="65">
        <v>6.6</v>
      </c>
      <c r="L101">
        <v>6.3</v>
      </c>
      <c r="M101">
        <v>6</v>
      </c>
      <c r="N101">
        <v>6</v>
      </c>
      <c r="O101">
        <v>6</v>
      </c>
      <c r="P101" s="113">
        <f t="shared" si="2"/>
        <v>6.4333333333333336</v>
      </c>
    </row>
    <row r="102" spans="1:16" ht="14.5" x14ac:dyDescent="0.35">
      <c r="A102" s="62" t="s">
        <v>33</v>
      </c>
      <c r="B102" s="62" t="s">
        <v>29</v>
      </c>
      <c r="C102" s="62">
        <v>1</v>
      </c>
      <c r="D102" s="62">
        <v>4</v>
      </c>
      <c r="E102" s="62">
        <v>4</v>
      </c>
      <c r="F102" s="62">
        <v>404</v>
      </c>
      <c r="G102" s="63">
        <v>5</v>
      </c>
      <c r="H102" s="63">
        <v>4</v>
      </c>
      <c r="I102" s="116">
        <v>45863</v>
      </c>
      <c r="J102" s="44">
        <v>5.6</v>
      </c>
      <c r="K102" s="44">
        <v>5.5</v>
      </c>
      <c r="L102" s="44">
        <v>5.8</v>
      </c>
      <c r="P102" s="113">
        <f t="shared" ref="P102:P137" si="3">AVERAGE(J102:L102)</f>
        <v>5.6333333333333329</v>
      </c>
    </row>
    <row r="103" spans="1:16" ht="14.5" x14ac:dyDescent="0.35">
      <c r="A103" s="62" t="s">
        <v>33</v>
      </c>
      <c r="B103" s="62" t="s">
        <v>35</v>
      </c>
      <c r="C103" s="62">
        <v>1</v>
      </c>
      <c r="D103" s="62">
        <v>3</v>
      </c>
      <c r="E103" s="62">
        <v>4</v>
      </c>
      <c r="F103" s="62">
        <v>304</v>
      </c>
      <c r="G103" s="63">
        <v>6</v>
      </c>
      <c r="H103" s="63">
        <v>4</v>
      </c>
      <c r="I103" s="116">
        <v>45863</v>
      </c>
      <c r="J103" s="44">
        <v>5.7</v>
      </c>
      <c r="K103" s="44">
        <v>5.4</v>
      </c>
      <c r="L103" s="44">
        <v>5.5</v>
      </c>
      <c r="P103" s="113">
        <f t="shared" si="3"/>
        <v>5.5333333333333341</v>
      </c>
    </row>
    <row r="104" spans="1:16" ht="14.5" x14ac:dyDescent="0.35">
      <c r="A104" s="62" t="s">
        <v>33</v>
      </c>
      <c r="B104" s="62" t="s">
        <v>30</v>
      </c>
      <c r="C104" s="62">
        <v>1</v>
      </c>
      <c r="D104" s="62">
        <v>2</v>
      </c>
      <c r="E104" s="62">
        <v>4</v>
      </c>
      <c r="F104" s="62">
        <v>204</v>
      </c>
      <c r="G104" s="63">
        <v>7</v>
      </c>
      <c r="H104" s="63">
        <v>4</v>
      </c>
      <c r="I104" s="116">
        <v>45863</v>
      </c>
      <c r="J104" s="44">
        <v>6</v>
      </c>
      <c r="K104" s="44">
        <v>6.2</v>
      </c>
      <c r="L104" s="44">
        <v>6.3</v>
      </c>
      <c r="P104" s="113">
        <f t="shared" si="3"/>
        <v>6.166666666666667</v>
      </c>
    </row>
    <row r="105" spans="1:16" ht="14.5" x14ac:dyDescent="0.35">
      <c r="A105" s="62" t="s">
        <v>33</v>
      </c>
      <c r="B105" s="62" t="s">
        <v>34</v>
      </c>
      <c r="C105" s="62">
        <v>1</v>
      </c>
      <c r="D105" s="62">
        <v>1</v>
      </c>
      <c r="E105" s="62">
        <v>4</v>
      </c>
      <c r="F105" s="62">
        <v>104</v>
      </c>
      <c r="G105" s="63">
        <v>8</v>
      </c>
      <c r="H105" s="63">
        <v>4</v>
      </c>
      <c r="I105" s="116">
        <v>45863</v>
      </c>
      <c r="J105" s="44">
        <v>5.4</v>
      </c>
      <c r="K105" s="44">
        <v>5.4</v>
      </c>
      <c r="L105" s="44">
        <v>5.3</v>
      </c>
      <c r="P105" s="113">
        <f t="shared" si="3"/>
        <v>5.3666666666666671</v>
      </c>
    </row>
    <row r="106" spans="1:16" ht="14.5" x14ac:dyDescent="0.35">
      <c r="A106" s="62" t="s">
        <v>28</v>
      </c>
      <c r="B106" s="62" t="s">
        <v>31</v>
      </c>
      <c r="C106" s="62">
        <v>2</v>
      </c>
      <c r="D106" s="62">
        <v>1</v>
      </c>
      <c r="E106" s="62">
        <v>6</v>
      </c>
      <c r="F106" s="62">
        <v>106</v>
      </c>
      <c r="G106" s="63">
        <v>9</v>
      </c>
      <c r="H106" s="63">
        <v>4</v>
      </c>
      <c r="I106" s="116">
        <v>45828</v>
      </c>
      <c r="J106" s="65">
        <v>6.1</v>
      </c>
      <c r="K106" s="65">
        <v>6.5</v>
      </c>
      <c r="L106">
        <v>6.1</v>
      </c>
      <c r="M106">
        <v>4</v>
      </c>
      <c r="N106">
        <v>4</v>
      </c>
      <c r="O106">
        <v>4</v>
      </c>
      <c r="P106" s="113">
        <f t="shared" si="3"/>
        <v>6.2333333333333334</v>
      </c>
    </row>
    <row r="107" spans="1:16" ht="14.5" x14ac:dyDescent="0.35">
      <c r="A107" s="62" t="s">
        <v>28</v>
      </c>
      <c r="B107" s="62" t="s">
        <v>32</v>
      </c>
      <c r="C107" s="62">
        <v>2</v>
      </c>
      <c r="D107" s="62">
        <v>2</v>
      </c>
      <c r="E107" s="62">
        <v>6</v>
      </c>
      <c r="F107" s="62">
        <v>206</v>
      </c>
      <c r="G107" s="63">
        <v>10</v>
      </c>
      <c r="H107" s="63">
        <v>4</v>
      </c>
      <c r="I107" s="116">
        <v>45828</v>
      </c>
      <c r="J107" s="65">
        <v>6.6</v>
      </c>
      <c r="K107" s="65">
        <v>6.4</v>
      </c>
      <c r="L107">
        <v>6.3</v>
      </c>
      <c r="M107">
        <v>6</v>
      </c>
      <c r="N107">
        <v>6</v>
      </c>
      <c r="O107">
        <v>4</v>
      </c>
      <c r="P107" s="113">
        <f t="shared" si="3"/>
        <v>6.4333333333333336</v>
      </c>
    </row>
    <row r="108" spans="1:16" ht="14.5" x14ac:dyDescent="0.35">
      <c r="A108" s="62" t="s">
        <v>28</v>
      </c>
      <c r="B108" s="62" t="s">
        <v>30</v>
      </c>
      <c r="C108" s="62">
        <v>2</v>
      </c>
      <c r="D108" s="62">
        <v>3</v>
      </c>
      <c r="E108" s="62">
        <v>6</v>
      </c>
      <c r="F108" s="62">
        <v>306</v>
      </c>
      <c r="G108" s="63">
        <v>11</v>
      </c>
      <c r="H108" s="63">
        <v>4</v>
      </c>
      <c r="I108" s="116">
        <v>45828</v>
      </c>
      <c r="J108" s="65">
        <v>6.1</v>
      </c>
      <c r="K108" s="65">
        <v>6.5</v>
      </c>
      <c r="L108">
        <v>6.3</v>
      </c>
      <c r="M108">
        <v>1</v>
      </c>
      <c r="N108">
        <v>4</v>
      </c>
      <c r="O108">
        <v>4</v>
      </c>
      <c r="P108" s="113">
        <f t="shared" si="3"/>
        <v>6.3</v>
      </c>
    </row>
    <row r="109" spans="1:16" ht="14.5" x14ac:dyDescent="0.35">
      <c r="A109" s="62" t="s">
        <v>28</v>
      </c>
      <c r="B109" s="62" t="s">
        <v>29</v>
      </c>
      <c r="C109" s="62">
        <v>2</v>
      </c>
      <c r="D109" s="62">
        <v>4</v>
      </c>
      <c r="E109" s="62">
        <v>6</v>
      </c>
      <c r="F109" s="62">
        <v>406</v>
      </c>
      <c r="G109" s="63">
        <v>12</v>
      </c>
      <c r="H109" s="63">
        <v>4</v>
      </c>
      <c r="I109" s="116">
        <v>45828</v>
      </c>
      <c r="J109" s="65">
        <v>6.2</v>
      </c>
      <c r="K109" s="65">
        <v>6</v>
      </c>
      <c r="L109">
        <v>6.5</v>
      </c>
      <c r="M109">
        <v>4</v>
      </c>
      <c r="N109">
        <v>5</v>
      </c>
      <c r="O109">
        <v>5</v>
      </c>
      <c r="P109" s="113">
        <f t="shared" si="3"/>
        <v>6.2333333333333334</v>
      </c>
    </row>
    <row r="110" spans="1:16" ht="14.5" x14ac:dyDescent="0.35">
      <c r="A110" s="62" t="s">
        <v>33</v>
      </c>
      <c r="B110" s="62" t="s">
        <v>34</v>
      </c>
      <c r="C110" s="62">
        <v>2</v>
      </c>
      <c r="D110" s="62">
        <v>4</v>
      </c>
      <c r="E110" s="62">
        <v>8</v>
      </c>
      <c r="F110" s="62">
        <v>408</v>
      </c>
      <c r="G110" s="63">
        <v>13</v>
      </c>
      <c r="H110" s="63">
        <v>4</v>
      </c>
      <c r="I110" s="116">
        <v>45863</v>
      </c>
      <c r="J110" s="44">
        <v>5.4</v>
      </c>
      <c r="K110" s="44">
        <v>5.5</v>
      </c>
      <c r="L110" s="44">
        <v>5</v>
      </c>
      <c r="P110" s="113">
        <f t="shared" si="3"/>
        <v>5.3</v>
      </c>
    </row>
    <row r="111" spans="1:16" ht="14.5" x14ac:dyDescent="0.35">
      <c r="A111" s="62" t="s">
        <v>33</v>
      </c>
      <c r="B111" s="62" t="s">
        <v>30</v>
      </c>
      <c r="C111" s="62">
        <v>2</v>
      </c>
      <c r="D111" s="62">
        <v>3</v>
      </c>
      <c r="E111" s="62">
        <v>8</v>
      </c>
      <c r="F111" s="62">
        <v>308</v>
      </c>
      <c r="G111" s="63">
        <v>14</v>
      </c>
      <c r="H111" s="63">
        <v>4</v>
      </c>
      <c r="I111" s="116">
        <v>45863</v>
      </c>
      <c r="J111" s="44">
        <v>6</v>
      </c>
      <c r="K111" s="44">
        <v>5.2</v>
      </c>
      <c r="L111" s="44">
        <v>5.6</v>
      </c>
      <c r="P111" s="113">
        <f t="shared" si="3"/>
        <v>5.5999999999999988</v>
      </c>
    </row>
    <row r="112" spans="1:16" ht="14.5" x14ac:dyDescent="0.35">
      <c r="A112" s="62" t="s">
        <v>33</v>
      </c>
      <c r="B112" s="62" t="s">
        <v>29</v>
      </c>
      <c r="C112" s="62">
        <v>2</v>
      </c>
      <c r="D112" s="62">
        <v>2</v>
      </c>
      <c r="E112" s="62">
        <v>8</v>
      </c>
      <c r="F112" s="62">
        <v>208</v>
      </c>
      <c r="G112" s="63">
        <v>15</v>
      </c>
      <c r="H112" s="63">
        <v>4</v>
      </c>
      <c r="I112" s="116">
        <v>45863</v>
      </c>
      <c r="J112" s="44">
        <v>6.2</v>
      </c>
      <c r="K112" s="44">
        <v>6</v>
      </c>
      <c r="L112" s="44">
        <v>5.5</v>
      </c>
      <c r="P112" s="113">
        <f t="shared" si="3"/>
        <v>5.8999999999999995</v>
      </c>
    </row>
    <row r="113" spans="1:16" ht="14.5" x14ac:dyDescent="0.35">
      <c r="A113" s="62" t="s">
        <v>33</v>
      </c>
      <c r="B113" s="62" t="s">
        <v>35</v>
      </c>
      <c r="C113" s="62">
        <v>2</v>
      </c>
      <c r="D113" s="62">
        <v>1</v>
      </c>
      <c r="E113" s="62">
        <v>8</v>
      </c>
      <c r="F113" s="62">
        <v>108</v>
      </c>
      <c r="G113" s="63">
        <v>16</v>
      </c>
      <c r="H113" s="63">
        <v>4</v>
      </c>
      <c r="I113" s="116">
        <v>45863</v>
      </c>
      <c r="J113" s="44">
        <v>6</v>
      </c>
      <c r="K113" s="44">
        <v>4.7</v>
      </c>
      <c r="L113" s="44">
        <v>5.0999999999999996</v>
      </c>
      <c r="P113" s="113">
        <f t="shared" si="3"/>
        <v>5.2666666666666666</v>
      </c>
    </row>
    <row r="114" spans="1:16" ht="14.5" x14ac:dyDescent="0.35">
      <c r="A114" s="62" t="s">
        <v>28</v>
      </c>
      <c r="B114" s="62" t="s">
        <v>32</v>
      </c>
      <c r="C114" s="62">
        <v>3</v>
      </c>
      <c r="D114" s="62">
        <v>1</v>
      </c>
      <c r="E114" s="62">
        <v>10</v>
      </c>
      <c r="F114" s="62">
        <v>110</v>
      </c>
      <c r="G114" s="63">
        <v>17</v>
      </c>
      <c r="H114" s="63">
        <v>4</v>
      </c>
      <c r="I114" s="116">
        <v>45828</v>
      </c>
      <c r="J114" s="65">
        <v>6.4</v>
      </c>
      <c r="K114" s="65">
        <v>6</v>
      </c>
      <c r="L114">
        <v>6</v>
      </c>
      <c r="M114">
        <v>6</v>
      </c>
      <c r="N114">
        <v>5</v>
      </c>
      <c r="O114">
        <v>4</v>
      </c>
      <c r="P114" s="113">
        <f t="shared" si="3"/>
        <v>6.1333333333333329</v>
      </c>
    </row>
    <row r="115" spans="1:16" ht="14.5" x14ac:dyDescent="0.35">
      <c r="A115" s="62" t="s">
        <v>28</v>
      </c>
      <c r="B115" s="62" t="s">
        <v>31</v>
      </c>
      <c r="C115" s="62">
        <v>3</v>
      </c>
      <c r="D115" s="62">
        <v>2</v>
      </c>
      <c r="E115" s="62">
        <v>10</v>
      </c>
      <c r="F115" s="62">
        <v>210</v>
      </c>
      <c r="G115" s="63">
        <v>18</v>
      </c>
      <c r="H115" s="63">
        <v>4</v>
      </c>
      <c r="I115" s="116">
        <v>45828</v>
      </c>
      <c r="J115" s="65">
        <v>6.4</v>
      </c>
      <c r="K115" s="65">
        <v>6.6</v>
      </c>
      <c r="L115">
        <v>6.5</v>
      </c>
      <c r="M115">
        <v>5</v>
      </c>
      <c r="N115">
        <v>6</v>
      </c>
      <c r="O115">
        <v>4</v>
      </c>
      <c r="P115" s="113">
        <f t="shared" si="3"/>
        <v>6.5</v>
      </c>
    </row>
    <row r="116" spans="1:16" ht="14.5" x14ac:dyDescent="0.35">
      <c r="A116" s="62" t="s">
        <v>28</v>
      </c>
      <c r="B116" s="62" t="s">
        <v>29</v>
      </c>
      <c r="C116" s="62">
        <v>3</v>
      </c>
      <c r="D116" s="62">
        <v>3</v>
      </c>
      <c r="E116" s="62">
        <v>10</v>
      </c>
      <c r="F116" s="62">
        <v>310</v>
      </c>
      <c r="G116" s="63">
        <v>19</v>
      </c>
      <c r="H116" s="63">
        <v>4</v>
      </c>
      <c r="I116" s="116">
        <v>45828</v>
      </c>
      <c r="J116" s="65">
        <v>5.6</v>
      </c>
      <c r="K116" s="65">
        <v>5.5</v>
      </c>
      <c r="L116">
        <v>5.5</v>
      </c>
      <c r="M116">
        <v>3</v>
      </c>
      <c r="N116">
        <v>3</v>
      </c>
      <c r="O116">
        <v>3</v>
      </c>
      <c r="P116" s="113">
        <f t="shared" si="3"/>
        <v>5.5333333333333341</v>
      </c>
    </row>
    <row r="117" spans="1:16" ht="14.5" x14ac:dyDescent="0.35">
      <c r="A117" s="62" t="s">
        <v>28</v>
      </c>
      <c r="B117" s="62" t="s">
        <v>30</v>
      </c>
      <c r="C117" s="62">
        <v>3</v>
      </c>
      <c r="D117" s="62">
        <v>4</v>
      </c>
      <c r="E117" s="62">
        <v>10</v>
      </c>
      <c r="F117" s="62">
        <v>410</v>
      </c>
      <c r="G117" s="63">
        <v>20</v>
      </c>
      <c r="H117" s="63">
        <v>4</v>
      </c>
      <c r="I117" s="116">
        <v>45828</v>
      </c>
      <c r="J117" s="65">
        <v>6.4</v>
      </c>
      <c r="K117" s="65">
        <v>6.6</v>
      </c>
      <c r="L117">
        <v>6.7</v>
      </c>
      <c r="M117">
        <v>3</v>
      </c>
      <c r="N117">
        <v>6</v>
      </c>
      <c r="O117">
        <v>5</v>
      </c>
      <c r="P117" s="113">
        <f t="shared" si="3"/>
        <v>6.5666666666666664</v>
      </c>
    </row>
    <row r="118" spans="1:16" ht="14.5" x14ac:dyDescent="0.35">
      <c r="A118" s="62" t="s">
        <v>33</v>
      </c>
      <c r="B118" s="62" t="s">
        <v>30</v>
      </c>
      <c r="C118" s="62">
        <v>3</v>
      </c>
      <c r="D118" s="62">
        <v>4</v>
      </c>
      <c r="E118" s="62">
        <v>12</v>
      </c>
      <c r="F118" s="62">
        <v>412</v>
      </c>
      <c r="G118" s="63">
        <v>21</v>
      </c>
      <c r="H118" s="63">
        <v>4</v>
      </c>
      <c r="I118" s="116">
        <v>45863</v>
      </c>
      <c r="J118" s="44">
        <v>5.8</v>
      </c>
      <c r="K118" s="44">
        <v>5.8</v>
      </c>
      <c r="L118" s="44">
        <v>5.7</v>
      </c>
      <c r="P118" s="113">
        <f t="shared" si="3"/>
        <v>5.7666666666666666</v>
      </c>
    </row>
    <row r="119" spans="1:16" ht="14.5" x14ac:dyDescent="0.35">
      <c r="A119" s="62" t="s">
        <v>33</v>
      </c>
      <c r="B119" s="62" t="s">
        <v>34</v>
      </c>
      <c r="C119" s="62">
        <v>3</v>
      </c>
      <c r="D119" s="62">
        <v>3</v>
      </c>
      <c r="E119" s="62">
        <v>12</v>
      </c>
      <c r="F119" s="62">
        <v>312</v>
      </c>
      <c r="G119" s="63">
        <v>22</v>
      </c>
      <c r="H119" s="63">
        <v>4</v>
      </c>
      <c r="I119" s="116">
        <v>45863</v>
      </c>
      <c r="J119" s="44">
        <v>5</v>
      </c>
      <c r="K119" s="44">
        <v>5.0999999999999996</v>
      </c>
      <c r="L119" s="44">
        <v>5</v>
      </c>
      <c r="P119" s="113">
        <f t="shared" si="3"/>
        <v>5.0333333333333332</v>
      </c>
    </row>
    <row r="120" spans="1:16" ht="14.5" x14ac:dyDescent="0.35">
      <c r="A120" s="62" t="s">
        <v>33</v>
      </c>
      <c r="B120" s="62" t="s">
        <v>35</v>
      </c>
      <c r="C120" s="62">
        <v>3</v>
      </c>
      <c r="D120" s="62">
        <v>2</v>
      </c>
      <c r="E120" s="62">
        <v>12</v>
      </c>
      <c r="F120" s="62">
        <v>212</v>
      </c>
      <c r="G120" s="63">
        <v>23</v>
      </c>
      <c r="H120" s="63">
        <v>4</v>
      </c>
      <c r="I120" s="116">
        <v>45863</v>
      </c>
      <c r="J120" s="44">
        <v>5.6</v>
      </c>
      <c r="K120" s="44">
        <v>5.3</v>
      </c>
      <c r="L120" s="44">
        <v>5.3</v>
      </c>
      <c r="P120" s="113">
        <f t="shared" si="3"/>
        <v>5.3999999999999995</v>
      </c>
    </row>
    <row r="121" spans="1:16" ht="14.5" x14ac:dyDescent="0.35">
      <c r="A121" s="62" t="s">
        <v>33</v>
      </c>
      <c r="B121" s="62" t="s">
        <v>29</v>
      </c>
      <c r="C121" s="62">
        <v>3</v>
      </c>
      <c r="D121" s="62">
        <v>1</v>
      </c>
      <c r="E121" s="62">
        <v>12</v>
      </c>
      <c r="F121" s="62">
        <v>112</v>
      </c>
      <c r="G121" s="63">
        <v>24</v>
      </c>
      <c r="H121" s="63">
        <v>4</v>
      </c>
      <c r="I121" s="116">
        <v>45863</v>
      </c>
      <c r="J121" s="44">
        <v>5.4</v>
      </c>
      <c r="K121" s="44">
        <v>5.7</v>
      </c>
      <c r="L121" s="44">
        <v>5.8</v>
      </c>
      <c r="P121" s="113">
        <f t="shared" si="3"/>
        <v>5.6333333333333337</v>
      </c>
    </row>
    <row r="122" spans="1:16" ht="14.5" x14ac:dyDescent="0.35">
      <c r="A122" s="62" t="s">
        <v>28</v>
      </c>
      <c r="B122" s="62" t="s">
        <v>30</v>
      </c>
      <c r="C122" s="62">
        <v>4</v>
      </c>
      <c r="D122" s="62">
        <v>1</v>
      </c>
      <c r="E122" s="62">
        <v>14</v>
      </c>
      <c r="F122" s="62">
        <v>114</v>
      </c>
      <c r="G122" s="63">
        <v>25</v>
      </c>
      <c r="H122" s="63">
        <v>4</v>
      </c>
      <c r="I122" s="116">
        <v>45828</v>
      </c>
      <c r="J122" s="65">
        <v>7.4</v>
      </c>
      <c r="K122" s="65">
        <v>6.4</v>
      </c>
      <c r="L122">
        <v>6.1</v>
      </c>
      <c r="M122">
        <v>7</v>
      </c>
      <c r="N122">
        <v>2</v>
      </c>
      <c r="O122">
        <v>2</v>
      </c>
      <c r="P122" s="113">
        <f t="shared" si="3"/>
        <v>6.6333333333333329</v>
      </c>
    </row>
    <row r="123" spans="1:16" ht="14.5" x14ac:dyDescent="0.35">
      <c r="A123" s="62" t="s">
        <v>28</v>
      </c>
      <c r="B123" s="62" t="s">
        <v>29</v>
      </c>
      <c r="C123" s="62">
        <v>4</v>
      </c>
      <c r="D123" s="62">
        <v>2</v>
      </c>
      <c r="E123" s="62">
        <v>14</v>
      </c>
      <c r="F123" s="62">
        <v>214</v>
      </c>
      <c r="G123" s="63">
        <v>26</v>
      </c>
      <c r="H123" s="63">
        <v>4</v>
      </c>
      <c r="I123" s="116">
        <v>45828</v>
      </c>
      <c r="J123" s="65">
        <v>5.8</v>
      </c>
      <c r="K123" s="65">
        <v>5.8</v>
      </c>
      <c r="L123">
        <v>5.8</v>
      </c>
      <c r="M123">
        <v>5</v>
      </c>
      <c r="N123">
        <v>3</v>
      </c>
      <c r="O123">
        <v>2</v>
      </c>
      <c r="P123" s="113">
        <f t="shared" si="3"/>
        <v>5.8</v>
      </c>
    </row>
    <row r="124" spans="1:16" ht="14.5" x14ac:dyDescent="0.35">
      <c r="A124" s="62" t="s">
        <v>28</v>
      </c>
      <c r="B124" s="62" t="s">
        <v>32</v>
      </c>
      <c r="C124" s="62">
        <v>4</v>
      </c>
      <c r="D124" s="62">
        <v>3</v>
      </c>
      <c r="E124" s="62">
        <v>14</v>
      </c>
      <c r="F124" s="62">
        <v>314</v>
      </c>
      <c r="G124" s="63">
        <v>27</v>
      </c>
      <c r="H124" s="63">
        <v>4</v>
      </c>
      <c r="I124" s="116">
        <v>45828</v>
      </c>
      <c r="J124" s="65">
        <v>5.6</v>
      </c>
      <c r="K124" s="65">
        <v>5.7</v>
      </c>
      <c r="L124">
        <v>5.3</v>
      </c>
      <c r="M124">
        <v>2</v>
      </c>
      <c r="N124">
        <v>3</v>
      </c>
      <c r="O124">
        <v>3</v>
      </c>
      <c r="P124" s="113">
        <f t="shared" si="3"/>
        <v>5.5333333333333341</v>
      </c>
    </row>
    <row r="125" spans="1:16" ht="14.5" x14ac:dyDescent="0.35">
      <c r="A125" s="62" t="s">
        <v>28</v>
      </c>
      <c r="B125" s="62" t="s">
        <v>31</v>
      </c>
      <c r="C125" s="62">
        <v>4</v>
      </c>
      <c r="D125" s="62">
        <v>4</v>
      </c>
      <c r="E125" s="62">
        <v>14</v>
      </c>
      <c r="F125" s="62">
        <v>414</v>
      </c>
      <c r="G125" s="63">
        <v>28</v>
      </c>
      <c r="H125" s="63">
        <v>4</v>
      </c>
      <c r="I125" s="116">
        <v>45828</v>
      </c>
      <c r="J125" s="65">
        <v>5.7</v>
      </c>
      <c r="K125" s="65">
        <v>6.3</v>
      </c>
      <c r="L125">
        <v>6.4</v>
      </c>
      <c r="M125">
        <v>2</v>
      </c>
      <c r="N125">
        <v>4</v>
      </c>
      <c r="O125">
        <v>3</v>
      </c>
      <c r="P125" s="113">
        <f t="shared" si="3"/>
        <v>6.1333333333333329</v>
      </c>
    </row>
    <row r="126" spans="1:16" ht="14.5" x14ac:dyDescent="0.35">
      <c r="A126" s="62" t="s">
        <v>33</v>
      </c>
      <c r="B126" s="62" t="s">
        <v>35</v>
      </c>
      <c r="C126" s="62">
        <v>4</v>
      </c>
      <c r="D126" s="62">
        <v>4</v>
      </c>
      <c r="E126" s="62">
        <v>16</v>
      </c>
      <c r="F126" s="62">
        <v>416</v>
      </c>
      <c r="G126" s="63">
        <v>29</v>
      </c>
      <c r="H126" s="63">
        <v>4</v>
      </c>
      <c r="I126" s="116">
        <v>45863</v>
      </c>
      <c r="J126" s="44">
        <v>5.5</v>
      </c>
      <c r="K126" s="44">
        <v>5.4</v>
      </c>
      <c r="L126" s="44">
        <v>5.5</v>
      </c>
      <c r="P126" s="113">
        <f t="shared" si="3"/>
        <v>5.4666666666666659</v>
      </c>
    </row>
    <row r="127" spans="1:16" ht="14.5" x14ac:dyDescent="0.35">
      <c r="A127" s="62" t="s">
        <v>33</v>
      </c>
      <c r="B127" s="62" t="s">
        <v>29</v>
      </c>
      <c r="C127" s="62">
        <v>4</v>
      </c>
      <c r="D127" s="62">
        <v>3</v>
      </c>
      <c r="E127" s="62">
        <v>16</v>
      </c>
      <c r="F127" s="62">
        <v>316</v>
      </c>
      <c r="G127" s="63">
        <v>30</v>
      </c>
      <c r="H127" s="63">
        <v>4</v>
      </c>
      <c r="I127" s="116">
        <v>45863</v>
      </c>
      <c r="J127" s="44">
        <v>5.9</v>
      </c>
      <c r="K127" s="44">
        <v>5.3</v>
      </c>
      <c r="L127" s="44">
        <v>5.4</v>
      </c>
      <c r="P127" s="113">
        <f t="shared" si="3"/>
        <v>5.5333333333333341</v>
      </c>
    </row>
    <row r="128" spans="1:16" ht="14.5" x14ac:dyDescent="0.35">
      <c r="A128" s="62" t="s">
        <v>33</v>
      </c>
      <c r="B128" s="62" t="s">
        <v>34</v>
      </c>
      <c r="C128" s="62">
        <v>4</v>
      </c>
      <c r="D128" s="62">
        <v>2</v>
      </c>
      <c r="E128" s="62">
        <v>16</v>
      </c>
      <c r="F128" s="62">
        <v>216</v>
      </c>
      <c r="G128" s="63">
        <v>31</v>
      </c>
      <c r="H128" s="63">
        <v>4</v>
      </c>
      <c r="I128" s="116">
        <v>45863</v>
      </c>
      <c r="J128" s="44">
        <v>5.3</v>
      </c>
      <c r="K128" s="44">
        <v>5.2</v>
      </c>
      <c r="L128" s="44">
        <v>5.5</v>
      </c>
      <c r="P128" s="113">
        <f t="shared" si="3"/>
        <v>5.333333333333333</v>
      </c>
    </row>
    <row r="129" spans="1:16" ht="14.5" x14ac:dyDescent="0.35">
      <c r="A129" s="62" t="s">
        <v>33</v>
      </c>
      <c r="B129" s="62" t="s">
        <v>30</v>
      </c>
      <c r="C129" s="62">
        <v>4</v>
      </c>
      <c r="D129" s="62">
        <v>1</v>
      </c>
      <c r="E129" s="62">
        <v>16</v>
      </c>
      <c r="F129" s="62">
        <v>116</v>
      </c>
      <c r="G129" s="63">
        <v>32</v>
      </c>
      <c r="H129" s="63">
        <v>4</v>
      </c>
      <c r="I129" s="116">
        <v>45863</v>
      </c>
      <c r="J129" s="44">
        <v>5.4</v>
      </c>
      <c r="K129" s="44">
        <v>5.0999999999999996</v>
      </c>
      <c r="L129" s="44">
        <v>5.3</v>
      </c>
      <c r="P129" s="113">
        <f t="shared" si="3"/>
        <v>5.2666666666666666</v>
      </c>
    </row>
    <row r="130" spans="1:16" ht="14.5" x14ac:dyDescent="0.35">
      <c r="A130" s="62" t="s">
        <v>28</v>
      </c>
      <c r="B130" s="62" t="s">
        <v>29</v>
      </c>
      <c r="C130" s="62">
        <v>1</v>
      </c>
      <c r="D130" s="62">
        <v>1</v>
      </c>
      <c r="E130" s="62">
        <v>2</v>
      </c>
      <c r="F130" s="62">
        <v>102</v>
      </c>
      <c r="G130" s="63">
        <v>1</v>
      </c>
      <c r="H130" s="63">
        <v>5</v>
      </c>
      <c r="I130" s="116">
        <v>45835</v>
      </c>
      <c r="J130">
        <v>7.3</v>
      </c>
      <c r="K130">
        <v>7.1</v>
      </c>
      <c r="L130">
        <v>7.3</v>
      </c>
      <c r="P130" s="113">
        <f t="shared" si="3"/>
        <v>7.2333333333333334</v>
      </c>
    </row>
    <row r="131" spans="1:16" ht="14.5" x14ac:dyDescent="0.35">
      <c r="A131" s="62" t="s">
        <v>28</v>
      </c>
      <c r="B131" s="62" t="s">
        <v>30</v>
      </c>
      <c r="C131" s="62">
        <v>1</v>
      </c>
      <c r="D131" s="62">
        <v>2</v>
      </c>
      <c r="E131" s="62">
        <v>2</v>
      </c>
      <c r="F131" s="62">
        <v>202</v>
      </c>
      <c r="G131" s="63">
        <v>2</v>
      </c>
      <c r="H131" s="63">
        <v>5</v>
      </c>
      <c r="I131" s="116">
        <v>45835</v>
      </c>
      <c r="J131">
        <v>6.4</v>
      </c>
      <c r="K131">
        <v>6.4</v>
      </c>
      <c r="L131">
        <v>7.1</v>
      </c>
      <c r="P131" s="113">
        <f t="shared" si="3"/>
        <v>6.6333333333333329</v>
      </c>
    </row>
    <row r="132" spans="1:16" ht="14.5" x14ac:dyDescent="0.35">
      <c r="A132" s="62" t="s">
        <v>28</v>
      </c>
      <c r="B132" s="62" t="s">
        <v>31</v>
      </c>
      <c r="C132" s="62">
        <v>1</v>
      </c>
      <c r="D132" s="62">
        <v>3</v>
      </c>
      <c r="E132" s="62">
        <v>2</v>
      </c>
      <c r="F132" s="62">
        <v>302</v>
      </c>
      <c r="G132" s="63">
        <v>3</v>
      </c>
      <c r="H132" s="63">
        <v>5</v>
      </c>
      <c r="I132" s="116">
        <v>45835</v>
      </c>
      <c r="J132">
        <v>6.9</v>
      </c>
      <c r="K132">
        <v>6.2</v>
      </c>
      <c r="L132">
        <v>6.5</v>
      </c>
      <c r="P132" s="113">
        <f t="shared" si="3"/>
        <v>6.5333333333333341</v>
      </c>
    </row>
    <row r="133" spans="1:16" ht="14.5" x14ac:dyDescent="0.35">
      <c r="A133" s="62" t="s">
        <v>28</v>
      </c>
      <c r="B133" s="62" t="s">
        <v>32</v>
      </c>
      <c r="C133" s="62">
        <v>1</v>
      </c>
      <c r="D133" s="62">
        <v>4</v>
      </c>
      <c r="E133" s="62">
        <v>2</v>
      </c>
      <c r="F133" s="62">
        <v>402</v>
      </c>
      <c r="G133" s="63">
        <v>4</v>
      </c>
      <c r="H133" s="63">
        <v>5</v>
      </c>
      <c r="I133" s="116">
        <v>45835</v>
      </c>
      <c r="J133">
        <v>6.7</v>
      </c>
      <c r="K133">
        <v>7.2</v>
      </c>
      <c r="L133">
        <v>6.7</v>
      </c>
      <c r="P133" s="113">
        <f t="shared" si="3"/>
        <v>6.8666666666666671</v>
      </c>
    </row>
    <row r="134" spans="1:16" ht="14.5" x14ac:dyDescent="0.35">
      <c r="A134" s="62" t="s">
        <v>33</v>
      </c>
      <c r="B134" s="62" t="s">
        <v>29</v>
      </c>
      <c r="C134" s="62">
        <v>1</v>
      </c>
      <c r="D134" s="62">
        <v>4</v>
      </c>
      <c r="E134" s="62">
        <v>4</v>
      </c>
      <c r="F134" s="62">
        <v>404</v>
      </c>
      <c r="G134" s="63">
        <v>5</v>
      </c>
      <c r="H134" s="63">
        <v>5</v>
      </c>
      <c r="I134" s="116">
        <v>45875</v>
      </c>
      <c r="J134" s="44">
        <v>6.4</v>
      </c>
      <c r="K134" s="44">
        <v>6.5</v>
      </c>
      <c r="L134" s="44">
        <v>6.8</v>
      </c>
      <c r="P134" s="113">
        <f t="shared" si="3"/>
        <v>6.5666666666666664</v>
      </c>
    </row>
    <row r="135" spans="1:16" ht="14.5" x14ac:dyDescent="0.35">
      <c r="A135" s="62" t="s">
        <v>33</v>
      </c>
      <c r="B135" s="62" t="s">
        <v>35</v>
      </c>
      <c r="C135" s="62">
        <v>1</v>
      </c>
      <c r="D135" s="62">
        <v>3</v>
      </c>
      <c r="E135" s="62">
        <v>4</v>
      </c>
      <c r="F135" s="62">
        <v>304</v>
      </c>
      <c r="G135" s="63">
        <v>6</v>
      </c>
      <c r="H135" s="63">
        <v>5</v>
      </c>
      <c r="I135" s="116">
        <v>45875</v>
      </c>
      <c r="J135" s="44">
        <v>6.5</v>
      </c>
      <c r="K135" s="44">
        <v>6.4</v>
      </c>
      <c r="L135" s="44">
        <v>6.5</v>
      </c>
      <c r="P135" s="113">
        <f t="shared" si="3"/>
        <v>6.4666666666666659</v>
      </c>
    </row>
    <row r="136" spans="1:16" ht="14.5" x14ac:dyDescent="0.35">
      <c r="A136" s="62" t="s">
        <v>33</v>
      </c>
      <c r="B136" s="62" t="s">
        <v>30</v>
      </c>
      <c r="C136" s="62">
        <v>1</v>
      </c>
      <c r="D136" s="62">
        <v>2</v>
      </c>
      <c r="E136" s="62">
        <v>4</v>
      </c>
      <c r="F136" s="62">
        <v>204</v>
      </c>
      <c r="G136" s="63">
        <v>7</v>
      </c>
      <c r="H136" s="63">
        <v>5</v>
      </c>
      <c r="I136" s="116">
        <v>45875</v>
      </c>
      <c r="J136" s="44">
        <v>6.9</v>
      </c>
      <c r="K136" s="44">
        <v>7</v>
      </c>
      <c r="L136" s="44">
        <v>7.2</v>
      </c>
      <c r="P136" s="113">
        <f t="shared" si="3"/>
        <v>7.0333333333333341</v>
      </c>
    </row>
    <row r="137" spans="1:16" ht="14.5" x14ac:dyDescent="0.35">
      <c r="A137" s="62" t="s">
        <v>33</v>
      </c>
      <c r="B137" s="62" t="s">
        <v>34</v>
      </c>
      <c r="C137" s="62">
        <v>1</v>
      </c>
      <c r="D137" s="62">
        <v>1</v>
      </c>
      <c r="E137" s="62">
        <v>4</v>
      </c>
      <c r="F137" s="62">
        <v>104</v>
      </c>
      <c r="G137" s="63">
        <v>8</v>
      </c>
      <c r="H137" s="63">
        <v>5</v>
      </c>
      <c r="I137" s="116">
        <v>45875</v>
      </c>
      <c r="J137" s="44">
        <v>6.3</v>
      </c>
      <c r="K137" s="44">
        <v>6.1</v>
      </c>
      <c r="L137" s="44">
        <v>6.1</v>
      </c>
      <c r="P137" s="113">
        <f t="shared" si="3"/>
        <v>6.166666666666667</v>
      </c>
    </row>
    <row r="138" spans="1:16" ht="14.5" x14ac:dyDescent="0.35">
      <c r="A138" s="62" t="s">
        <v>28</v>
      </c>
      <c r="B138" s="62" t="s">
        <v>31</v>
      </c>
      <c r="C138" s="62">
        <v>2</v>
      </c>
      <c r="D138" s="62">
        <v>1</v>
      </c>
      <c r="E138" s="62">
        <v>6</v>
      </c>
      <c r="F138" s="62">
        <v>106</v>
      </c>
      <c r="G138" s="63">
        <v>9</v>
      </c>
      <c r="H138" s="63">
        <v>5</v>
      </c>
      <c r="I138" s="116">
        <v>45835</v>
      </c>
      <c r="J138">
        <v>6.5</v>
      </c>
      <c r="K138">
        <v>7.2</v>
      </c>
      <c r="L138">
        <v>6.5</v>
      </c>
      <c r="P138" s="113">
        <f t="shared" ref="P138:P197" si="4">AVERAGE(J138:L138)</f>
        <v>6.7333333333333334</v>
      </c>
    </row>
    <row r="139" spans="1:16" ht="14.5" x14ac:dyDescent="0.35">
      <c r="A139" s="62" t="s">
        <v>28</v>
      </c>
      <c r="B139" s="62" t="s">
        <v>32</v>
      </c>
      <c r="C139" s="62">
        <v>2</v>
      </c>
      <c r="D139" s="62">
        <v>2</v>
      </c>
      <c r="E139" s="62">
        <v>6</v>
      </c>
      <c r="F139" s="62">
        <v>206</v>
      </c>
      <c r="G139" s="63">
        <v>10</v>
      </c>
      <c r="H139" s="63">
        <v>5</v>
      </c>
      <c r="I139" s="116">
        <v>45835</v>
      </c>
      <c r="J139">
        <v>7.2</v>
      </c>
      <c r="K139">
        <v>7.2</v>
      </c>
      <c r="L139">
        <v>6.8</v>
      </c>
      <c r="P139" s="113">
        <f t="shared" si="4"/>
        <v>7.0666666666666664</v>
      </c>
    </row>
    <row r="140" spans="1:16" ht="14.5" x14ac:dyDescent="0.35">
      <c r="A140" s="62" t="s">
        <v>28</v>
      </c>
      <c r="B140" s="62" t="s">
        <v>30</v>
      </c>
      <c r="C140" s="62">
        <v>2</v>
      </c>
      <c r="D140" s="62">
        <v>3</v>
      </c>
      <c r="E140" s="62">
        <v>6</v>
      </c>
      <c r="F140" s="62">
        <v>306</v>
      </c>
      <c r="G140" s="63">
        <v>11</v>
      </c>
      <c r="H140" s="63">
        <v>5</v>
      </c>
      <c r="I140" s="116">
        <v>45835</v>
      </c>
      <c r="J140">
        <v>6.7</v>
      </c>
      <c r="K140">
        <v>7.2</v>
      </c>
      <c r="L140">
        <v>6.8</v>
      </c>
      <c r="P140" s="113">
        <f t="shared" si="4"/>
        <v>6.8999999999999995</v>
      </c>
    </row>
    <row r="141" spans="1:16" ht="14.5" x14ac:dyDescent="0.35">
      <c r="A141" s="62" t="s">
        <v>28</v>
      </c>
      <c r="B141" s="62" t="s">
        <v>29</v>
      </c>
      <c r="C141" s="62">
        <v>2</v>
      </c>
      <c r="D141" s="62">
        <v>4</v>
      </c>
      <c r="E141" s="62">
        <v>6</v>
      </c>
      <c r="F141" s="62">
        <v>406</v>
      </c>
      <c r="G141" s="63">
        <v>12</v>
      </c>
      <c r="H141" s="63">
        <v>5</v>
      </c>
      <c r="I141" s="116">
        <v>45835</v>
      </c>
      <c r="J141">
        <v>6.6</v>
      </c>
      <c r="K141">
        <v>6.4</v>
      </c>
      <c r="L141">
        <v>7.1</v>
      </c>
      <c r="P141" s="113">
        <f t="shared" si="4"/>
        <v>6.7</v>
      </c>
    </row>
    <row r="142" spans="1:16" ht="14.5" x14ac:dyDescent="0.35">
      <c r="A142" s="62" t="s">
        <v>33</v>
      </c>
      <c r="B142" s="62" t="s">
        <v>34</v>
      </c>
      <c r="C142" s="62">
        <v>2</v>
      </c>
      <c r="D142" s="62">
        <v>4</v>
      </c>
      <c r="E142" s="62">
        <v>8</v>
      </c>
      <c r="F142" s="62">
        <v>408</v>
      </c>
      <c r="G142" s="63">
        <v>13</v>
      </c>
      <c r="H142" s="63">
        <v>5</v>
      </c>
      <c r="I142" s="116">
        <v>45875</v>
      </c>
      <c r="J142" s="44">
        <v>6.3</v>
      </c>
      <c r="K142" s="44">
        <v>6.3</v>
      </c>
      <c r="L142" s="44">
        <v>5.9</v>
      </c>
      <c r="P142" s="113">
        <f t="shared" si="4"/>
        <v>6.166666666666667</v>
      </c>
    </row>
    <row r="143" spans="1:16" ht="14.5" x14ac:dyDescent="0.35">
      <c r="A143" s="62" t="s">
        <v>33</v>
      </c>
      <c r="B143" s="62" t="s">
        <v>30</v>
      </c>
      <c r="C143" s="62">
        <v>2</v>
      </c>
      <c r="D143" s="62">
        <v>3</v>
      </c>
      <c r="E143" s="62">
        <v>8</v>
      </c>
      <c r="F143" s="62">
        <v>308</v>
      </c>
      <c r="G143" s="63">
        <v>14</v>
      </c>
      <c r="H143" s="63">
        <v>5</v>
      </c>
      <c r="I143" s="116">
        <v>45875</v>
      </c>
      <c r="J143" s="44">
        <v>6.8</v>
      </c>
      <c r="K143" s="44">
        <v>6.3</v>
      </c>
      <c r="L143" s="44">
        <v>6.5</v>
      </c>
      <c r="P143" s="113">
        <f t="shared" si="4"/>
        <v>6.5333333333333341</v>
      </c>
    </row>
    <row r="144" spans="1:16" ht="14.5" x14ac:dyDescent="0.35">
      <c r="A144" s="62" t="s">
        <v>33</v>
      </c>
      <c r="B144" s="62" t="s">
        <v>29</v>
      </c>
      <c r="C144" s="62">
        <v>2</v>
      </c>
      <c r="D144" s="62">
        <v>2</v>
      </c>
      <c r="E144" s="62">
        <v>8</v>
      </c>
      <c r="F144" s="62">
        <v>208</v>
      </c>
      <c r="G144" s="63">
        <v>15</v>
      </c>
      <c r="H144" s="63">
        <v>5</v>
      </c>
      <c r="I144" s="116">
        <v>45875</v>
      </c>
      <c r="J144" s="44">
        <v>7.2</v>
      </c>
      <c r="K144" s="44">
        <v>7.1</v>
      </c>
      <c r="L144" s="44">
        <v>6.5</v>
      </c>
      <c r="P144" s="113">
        <f t="shared" si="4"/>
        <v>6.9333333333333336</v>
      </c>
    </row>
    <row r="145" spans="1:16" ht="14.5" x14ac:dyDescent="0.35">
      <c r="A145" s="62" t="s">
        <v>33</v>
      </c>
      <c r="B145" s="62" t="s">
        <v>35</v>
      </c>
      <c r="C145" s="62">
        <v>2</v>
      </c>
      <c r="D145" s="62">
        <v>1</v>
      </c>
      <c r="E145" s="62">
        <v>8</v>
      </c>
      <c r="F145" s="62">
        <v>108</v>
      </c>
      <c r="G145" s="63">
        <v>16</v>
      </c>
      <c r="H145" s="63">
        <v>5</v>
      </c>
      <c r="I145" s="116">
        <v>45875</v>
      </c>
      <c r="J145" s="44">
        <v>7</v>
      </c>
      <c r="K145" s="44">
        <v>5.8</v>
      </c>
      <c r="L145" s="44">
        <v>6.1</v>
      </c>
      <c r="P145" s="113">
        <f t="shared" si="4"/>
        <v>6.3</v>
      </c>
    </row>
    <row r="146" spans="1:16" ht="14.5" x14ac:dyDescent="0.35">
      <c r="A146" s="62" t="s">
        <v>28</v>
      </c>
      <c r="B146" s="62" t="s">
        <v>32</v>
      </c>
      <c r="C146" s="62">
        <v>3</v>
      </c>
      <c r="D146" s="62">
        <v>1</v>
      </c>
      <c r="E146" s="62">
        <v>10</v>
      </c>
      <c r="F146" s="62">
        <v>110</v>
      </c>
      <c r="G146" s="63">
        <v>17</v>
      </c>
      <c r="H146" s="63">
        <v>5</v>
      </c>
      <c r="I146" s="116">
        <v>45835</v>
      </c>
      <c r="J146">
        <v>5.8</v>
      </c>
      <c r="K146">
        <v>6.3</v>
      </c>
      <c r="L146">
        <v>6.3</v>
      </c>
      <c r="P146" s="113">
        <f t="shared" si="4"/>
        <v>6.1333333333333329</v>
      </c>
    </row>
    <row r="147" spans="1:16" ht="14.5" x14ac:dyDescent="0.35">
      <c r="A147" s="62" t="s">
        <v>28</v>
      </c>
      <c r="B147" s="62" t="s">
        <v>31</v>
      </c>
      <c r="C147" s="62">
        <v>3</v>
      </c>
      <c r="D147" s="62">
        <v>2</v>
      </c>
      <c r="E147" s="62">
        <v>10</v>
      </c>
      <c r="F147" s="62">
        <v>210</v>
      </c>
      <c r="G147" s="63">
        <v>18</v>
      </c>
      <c r="H147" s="63">
        <v>5</v>
      </c>
      <c r="I147" s="116">
        <v>45835</v>
      </c>
      <c r="J147">
        <v>6.8</v>
      </c>
      <c r="K147">
        <v>7.2</v>
      </c>
      <c r="L147">
        <v>7.3</v>
      </c>
      <c r="P147" s="113">
        <f t="shared" si="4"/>
        <v>7.1000000000000005</v>
      </c>
    </row>
    <row r="148" spans="1:16" ht="14.5" x14ac:dyDescent="0.35">
      <c r="A148" s="62" t="s">
        <v>28</v>
      </c>
      <c r="B148" s="62" t="s">
        <v>29</v>
      </c>
      <c r="C148" s="62">
        <v>3</v>
      </c>
      <c r="D148" s="62">
        <v>3</v>
      </c>
      <c r="E148" s="62">
        <v>10</v>
      </c>
      <c r="F148" s="62">
        <v>310</v>
      </c>
      <c r="G148" s="63">
        <v>19</v>
      </c>
      <c r="H148" s="63">
        <v>5</v>
      </c>
      <c r="I148" s="116">
        <v>45835</v>
      </c>
      <c r="J148">
        <v>6.1</v>
      </c>
      <c r="K148">
        <v>6.2</v>
      </c>
      <c r="L148">
        <v>6.3</v>
      </c>
      <c r="P148" s="113">
        <f t="shared" si="4"/>
        <v>6.2</v>
      </c>
    </row>
    <row r="149" spans="1:16" ht="14.5" x14ac:dyDescent="0.35">
      <c r="A149" s="62" t="s">
        <v>28</v>
      </c>
      <c r="B149" s="62" t="s">
        <v>30</v>
      </c>
      <c r="C149" s="62">
        <v>3</v>
      </c>
      <c r="D149" s="62">
        <v>4</v>
      </c>
      <c r="E149" s="62">
        <v>10</v>
      </c>
      <c r="F149" s="62">
        <v>410</v>
      </c>
      <c r="G149" s="63">
        <v>20</v>
      </c>
      <c r="H149" s="63">
        <v>5</v>
      </c>
      <c r="I149" s="116">
        <v>45835</v>
      </c>
      <c r="J149">
        <v>6.7</v>
      </c>
      <c r="K149">
        <v>7.2</v>
      </c>
      <c r="L149">
        <v>7.4</v>
      </c>
      <c r="P149" s="113">
        <f t="shared" si="4"/>
        <v>7.1000000000000005</v>
      </c>
    </row>
    <row r="150" spans="1:16" ht="14.5" x14ac:dyDescent="0.35">
      <c r="A150" s="62" t="s">
        <v>33</v>
      </c>
      <c r="B150" s="62" t="s">
        <v>30</v>
      </c>
      <c r="C150" s="62">
        <v>3</v>
      </c>
      <c r="D150" s="62">
        <v>4</v>
      </c>
      <c r="E150" s="62">
        <v>12</v>
      </c>
      <c r="F150" s="62">
        <v>412</v>
      </c>
      <c r="G150" s="63">
        <v>21</v>
      </c>
      <c r="H150" s="63">
        <v>5</v>
      </c>
      <c r="I150" s="116">
        <v>45875</v>
      </c>
      <c r="J150" s="44">
        <v>6.7</v>
      </c>
      <c r="K150" s="44">
        <v>6.8</v>
      </c>
      <c r="L150" s="44">
        <v>6.5</v>
      </c>
      <c r="P150" s="113">
        <f t="shared" si="4"/>
        <v>6.666666666666667</v>
      </c>
    </row>
    <row r="151" spans="1:16" ht="14.5" x14ac:dyDescent="0.35">
      <c r="A151" s="62" t="s">
        <v>33</v>
      </c>
      <c r="B151" s="62" t="s">
        <v>34</v>
      </c>
      <c r="C151" s="62">
        <v>3</v>
      </c>
      <c r="D151" s="62">
        <v>3</v>
      </c>
      <c r="E151" s="62">
        <v>12</v>
      </c>
      <c r="F151" s="62">
        <v>312</v>
      </c>
      <c r="G151" s="63">
        <v>22</v>
      </c>
      <c r="H151" s="63">
        <v>5</v>
      </c>
      <c r="I151" s="116">
        <v>45875</v>
      </c>
      <c r="J151" s="44">
        <v>5.8</v>
      </c>
      <c r="K151" s="44">
        <v>5.9</v>
      </c>
      <c r="L151" s="44">
        <v>5.8</v>
      </c>
      <c r="P151" s="113">
        <f t="shared" si="4"/>
        <v>5.833333333333333</v>
      </c>
    </row>
    <row r="152" spans="1:16" ht="14.5" x14ac:dyDescent="0.35">
      <c r="A152" s="62" t="s">
        <v>33</v>
      </c>
      <c r="B152" s="62" t="s">
        <v>35</v>
      </c>
      <c r="C152" s="62">
        <v>3</v>
      </c>
      <c r="D152" s="62">
        <v>2</v>
      </c>
      <c r="E152" s="62">
        <v>12</v>
      </c>
      <c r="F152" s="62">
        <v>212</v>
      </c>
      <c r="G152" s="63">
        <v>23</v>
      </c>
      <c r="H152" s="63">
        <v>5</v>
      </c>
      <c r="I152" s="116">
        <v>45875</v>
      </c>
      <c r="J152" s="44">
        <v>6.7</v>
      </c>
      <c r="K152" s="44">
        <v>6.2</v>
      </c>
      <c r="L152" s="44">
        <v>6.3</v>
      </c>
      <c r="P152" s="113">
        <f t="shared" si="4"/>
        <v>6.3999999999999995</v>
      </c>
    </row>
    <row r="153" spans="1:16" ht="14.5" x14ac:dyDescent="0.35">
      <c r="A153" s="62" t="s">
        <v>33</v>
      </c>
      <c r="B153" s="62" t="s">
        <v>29</v>
      </c>
      <c r="C153" s="62">
        <v>3</v>
      </c>
      <c r="D153" s="62">
        <v>1</v>
      </c>
      <c r="E153" s="62">
        <v>12</v>
      </c>
      <c r="F153" s="62">
        <v>112</v>
      </c>
      <c r="G153" s="63">
        <v>24</v>
      </c>
      <c r="H153" s="63">
        <v>5</v>
      </c>
      <c r="I153" s="116">
        <v>45875</v>
      </c>
      <c r="J153" s="44">
        <v>6.4</v>
      </c>
      <c r="K153" s="44">
        <v>6.8</v>
      </c>
      <c r="L153" s="44">
        <v>6.9</v>
      </c>
      <c r="P153" s="113">
        <f t="shared" si="4"/>
        <v>6.7</v>
      </c>
    </row>
    <row r="154" spans="1:16" ht="14.5" x14ac:dyDescent="0.35">
      <c r="A154" s="62" t="s">
        <v>28</v>
      </c>
      <c r="B154" s="62" t="s">
        <v>30</v>
      </c>
      <c r="C154" s="62">
        <v>4</v>
      </c>
      <c r="D154" s="62">
        <v>1</v>
      </c>
      <c r="E154" s="62">
        <v>14</v>
      </c>
      <c r="F154" s="62">
        <v>114</v>
      </c>
      <c r="G154" s="63">
        <v>25</v>
      </c>
      <c r="H154" s="63">
        <v>5</v>
      </c>
      <c r="I154" s="116">
        <v>45835</v>
      </c>
      <c r="J154">
        <v>7.8</v>
      </c>
      <c r="K154">
        <v>6.8</v>
      </c>
      <c r="L154">
        <v>6.7</v>
      </c>
      <c r="P154" s="113">
        <f t="shared" si="4"/>
        <v>7.1000000000000005</v>
      </c>
    </row>
    <row r="155" spans="1:16" ht="14.5" x14ac:dyDescent="0.35">
      <c r="A155" s="62" t="s">
        <v>28</v>
      </c>
      <c r="B155" s="62" t="s">
        <v>29</v>
      </c>
      <c r="C155" s="62">
        <v>4</v>
      </c>
      <c r="D155" s="62">
        <v>2</v>
      </c>
      <c r="E155" s="62">
        <v>14</v>
      </c>
      <c r="F155" s="62">
        <v>214</v>
      </c>
      <c r="G155" s="63">
        <v>26</v>
      </c>
      <c r="H155" s="63">
        <v>5</v>
      </c>
      <c r="I155" s="116">
        <v>45835</v>
      </c>
      <c r="J155">
        <v>6.4</v>
      </c>
      <c r="K155">
        <v>6.5</v>
      </c>
      <c r="L155">
        <v>6.5</v>
      </c>
      <c r="P155" s="113">
        <f t="shared" si="4"/>
        <v>6.4666666666666659</v>
      </c>
    </row>
    <row r="156" spans="1:16" ht="14.5" x14ac:dyDescent="0.35">
      <c r="A156" s="62" t="s">
        <v>28</v>
      </c>
      <c r="B156" s="62" t="s">
        <v>32</v>
      </c>
      <c r="C156" s="62">
        <v>4</v>
      </c>
      <c r="D156" s="62">
        <v>3</v>
      </c>
      <c r="E156" s="62">
        <v>14</v>
      </c>
      <c r="F156" s="62">
        <v>314</v>
      </c>
      <c r="G156" s="63">
        <v>27</v>
      </c>
      <c r="H156" s="63">
        <v>5</v>
      </c>
      <c r="I156" s="116">
        <v>45835</v>
      </c>
      <c r="J156">
        <v>6.4</v>
      </c>
      <c r="K156">
        <v>6.4</v>
      </c>
      <c r="L156">
        <v>6</v>
      </c>
      <c r="P156" s="113">
        <f t="shared" si="4"/>
        <v>6.2666666666666666</v>
      </c>
    </row>
    <row r="157" spans="1:16" ht="14.5" x14ac:dyDescent="0.35">
      <c r="A157" s="62" t="s">
        <v>28</v>
      </c>
      <c r="B157" s="62" t="s">
        <v>31</v>
      </c>
      <c r="C157" s="62">
        <v>4</v>
      </c>
      <c r="D157" s="62">
        <v>4</v>
      </c>
      <c r="E157" s="62">
        <v>14</v>
      </c>
      <c r="F157" s="62">
        <v>414</v>
      </c>
      <c r="G157" s="63">
        <v>28</v>
      </c>
      <c r="H157" s="63">
        <v>5</v>
      </c>
      <c r="I157" s="116">
        <v>45835</v>
      </c>
      <c r="J157">
        <v>6.7</v>
      </c>
      <c r="K157">
        <v>6.4</v>
      </c>
      <c r="L157">
        <v>6.7</v>
      </c>
      <c r="P157" s="113">
        <f t="shared" si="4"/>
        <v>6.6000000000000005</v>
      </c>
    </row>
    <row r="158" spans="1:16" ht="14.5" x14ac:dyDescent="0.35">
      <c r="A158" s="62" t="s">
        <v>33</v>
      </c>
      <c r="B158" s="62" t="s">
        <v>35</v>
      </c>
      <c r="C158" s="62">
        <v>4</v>
      </c>
      <c r="D158" s="62">
        <v>4</v>
      </c>
      <c r="E158" s="62">
        <v>16</v>
      </c>
      <c r="F158" s="62">
        <v>416</v>
      </c>
      <c r="G158" s="63">
        <v>29</v>
      </c>
      <c r="H158" s="63">
        <v>5</v>
      </c>
      <c r="I158" s="116">
        <v>45875</v>
      </c>
      <c r="J158" s="44">
        <v>6.5</v>
      </c>
      <c r="K158" s="44">
        <v>6.3</v>
      </c>
      <c r="L158" s="44">
        <v>6.6</v>
      </c>
      <c r="P158" s="113">
        <f t="shared" si="4"/>
        <v>6.4666666666666659</v>
      </c>
    </row>
    <row r="159" spans="1:16" ht="14.5" x14ac:dyDescent="0.35">
      <c r="A159" s="62" t="s">
        <v>33</v>
      </c>
      <c r="B159" s="62" t="s">
        <v>29</v>
      </c>
      <c r="C159" s="62">
        <v>4</v>
      </c>
      <c r="D159" s="62">
        <v>3</v>
      </c>
      <c r="E159" s="62">
        <v>16</v>
      </c>
      <c r="F159" s="62">
        <v>316</v>
      </c>
      <c r="G159" s="63">
        <v>30</v>
      </c>
      <c r="H159" s="63">
        <v>5</v>
      </c>
      <c r="I159" s="116">
        <v>45875</v>
      </c>
      <c r="J159" s="44">
        <v>6.7</v>
      </c>
      <c r="K159" s="44">
        <v>6.2</v>
      </c>
      <c r="L159" s="44">
        <v>6.4</v>
      </c>
      <c r="P159" s="113">
        <f t="shared" si="4"/>
        <v>6.4333333333333336</v>
      </c>
    </row>
    <row r="160" spans="1:16" ht="14.5" x14ac:dyDescent="0.35">
      <c r="A160" s="62" t="s">
        <v>33</v>
      </c>
      <c r="B160" s="62" t="s">
        <v>34</v>
      </c>
      <c r="C160" s="62">
        <v>4</v>
      </c>
      <c r="D160" s="62">
        <v>2</v>
      </c>
      <c r="E160" s="62">
        <v>16</v>
      </c>
      <c r="F160" s="62">
        <v>216</v>
      </c>
      <c r="G160" s="63">
        <v>31</v>
      </c>
      <c r="H160" s="63">
        <v>5</v>
      </c>
      <c r="I160" s="116">
        <v>45875</v>
      </c>
      <c r="J160" s="44">
        <v>5.9</v>
      </c>
      <c r="K160" s="44">
        <v>6</v>
      </c>
      <c r="L160" s="44">
        <v>6.5</v>
      </c>
      <c r="P160" s="113">
        <f t="shared" si="4"/>
        <v>6.1333333333333329</v>
      </c>
    </row>
    <row r="161" spans="1:16" ht="14.5" x14ac:dyDescent="0.35">
      <c r="A161" s="62" t="s">
        <v>33</v>
      </c>
      <c r="B161" s="62" t="s">
        <v>30</v>
      </c>
      <c r="C161" s="62">
        <v>4</v>
      </c>
      <c r="D161" s="62">
        <v>1</v>
      </c>
      <c r="E161" s="62">
        <v>16</v>
      </c>
      <c r="F161" s="62">
        <v>116</v>
      </c>
      <c r="G161" s="63">
        <v>32</v>
      </c>
      <c r="H161" s="63">
        <v>5</v>
      </c>
      <c r="I161" s="116">
        <v>45875</v>
      </c>
      <c r="J161" s="44">
        <v>6.4</v>
      </c>
      <c r="K161" s="44">
        <v>6</v>
      </c>
      <c r="L161" s="44">
        <v>6.1</v>
      </c>
      <c r="P161" s="113">
        <f t="shared" si="4"/>
        <v>6.166666666666667</v>
      </c>
    </row>
    <row r="162" spans="1:16" ht="14.5" x14ac:dyDescent="0.35">
      <c r="A162" s="62" t="s">
        <v>28</v>
      </c>
      <c r="B162" s="62" t="s">
        <v>29</v>
      </c>
      <c r="C162" s="62">
        <v>1</v>
      </c>
      <c r="D162" s="62">
        <v>1</v>
      </c>
      <c r="E162" s="62">
        <v>2</v>
      </c>
      <c r="F162" s="62">
        <v>102</v>
      </c>
      <c r="G162" s="63">
        <v>1</v>
      </c>
      <c r="H162" s="63">
        <v>6</v>
      </c>
      <c r="I162" s="116">
        <v>45845</v>
      </c>
      <c r="J162" s="44">
        <v>8</v>
      </c>
      <c r="K162" s="44">
        <v>7.8</v>
      </c>
      <c r="L162" s="44">
        <v>8.1</v>
      </c>
      <c r="P162" s="113">
        <f t="shared" si="4"/>
        <v>7.9666666666666659</v>
      </c>
    </row>
    <row r="163" spans="1:16" ht="14.5" x14ac:dyDescent="0.35">
      <c r="A163" s="62" t="s">
        <v>28</v>
      </c>
      <c r="B163" s="62" t="s">
        <v>30</v>
      </c>
      <c r="C163" s="62">
        <v>1</v>
      </c>
      <c r="D163" s="62">
        <v>2</v>
      </c>
      <c r="E163" s="62">
        <v>2</v>
      </c>
      <c r="F163" s="62">
        <v>202</v>
      </c>
      <c r="G163" s="63">
        <v>2</v>
      </c>
      <c r="H163" s="63">
        <v>6</v>
      </c>
      <c r="I163" s="116">
        <v>45845</v>
      </c>
      <c r="J163" s="44">
        <v>7.8</v>
      </c>
      <c r="K163" s="44">
        <v>7.2</v>
      </c>
      <c r="L163" s="44">
        <v>7.3</v>
      </c>
      <c r="P163" s="113">
        <f t="shared" si="4"/>
        <v>7.4333333333333336</v>
      </c>
    </row>
    <row r="164" spans="1:16" ht="14.5" x14ac:dyDescent="0.35">
      <c r="A164" s="62" t="s">
        <v>28</v>
      </c>
      <c r="B164" s="62" t="s">
        <v>31</v>
      </c>
      <c r="C164" s="62">
        <v>1</v>
      </c>
      <c r="D164" s="62">
        <v>3</v>
      </c>
      <c r="E164" s="62">
        <v>2</v>
      </c>
      <c r="F164" s="62">
        <v>302</v>
      </c>
      <c r="G164" s="63">
        <v>3</v>
      </c>
      <c r="H164" s="63">
        <v>6</v>
      </c>
      <c r="I164" s="116">
        <v>45845</v>
      </c>
      <c r="J164" s="44">
        <v>7.7</v>
      </c>
      <c r="K164" s="44">
        <v>7.1</v>
      </c>
      <c r="L164" s="44">
        <v>7.3</v>
      </c>
      <c r="P164" s="113">
        <f t="shared" si="4"/>
        <v>7.3666666666666671</v>
      </c>
    </row>
    <row r="165" spans="1:16" ht="14.5" x14ac:dyDescent="0.35">
      <c r="A165" s="62" t="s">
        <v>28</v>
      </c>
      <c r="B165" s="62" t="s">
        <v>32</v>
      </c>
      <c r="C165" s="62">
        <v>1</v>
      </c>
      <c r="D165" s="62">
        <v>4</v>
      </c>
      <c r="E165" s="62">
        <v>2</v>
      </c>
      <c r="F165" s="62">
        <v>402</v>
      </c>
      <c r="G165" s="63">
        <v>4</v>
      </c>
      <c r="H165" s="63">
        <v>6</v>
      </c>
      <c r="I165" s="116">
        <v>45845</v>
      </c>
      <c r="J165" s="44">
        <v>7.4</v>
      </c>
      <c r="K165" s="44">
        <v>8</v>
      </c>
      <c r="L165" s="44">
        <v>7.5</v>
      </c>
      <c r="P165" s="113">
        <f t="shared" si="4"/>
        <v>7.6333333333333329</v>
      </c>
    </row>
    <row r="166" spans="1:16" ht="14.5" x14ac:dyDescent="0.35">
      <c r="A166" s="62" t="s">
        <v>33</v>
      </c>
      <c r="B166" s="62" t="s">
        <v>29</v>
      </c>
      <c r="C166" s="62">
        <v>1</v>
      </c>
      <c r="D166" s="62">
        <v>4</v>
      </c>
      <c r="E166" s="62">
        <v>4</v>
      </c>
      <c r="F166" s="62">
        <v>404</v>
      </c>
      <c r="G166" s="63">
        <v>5</v>
      </c>
      <c r="H166" s="63">
        <v>6</v>
      </c>
      <c r="I166" s="116">
        <v>45884</v>
      </c>
      <c r="J166" s="44">
        <v>7.4</v>
      </c>
      <c r="K166" s="44">
        <v>7.4</v>
      </c>
      <c r="L166" s="44">
        <v>7.6</v>
      </c>
      <c r="P166" s="113">
        <f t="shared" si="4"/>
        <v>7.4666666666666659</v>
      </c>
    </row>
    <row r="167" spans="1:16" ht="14.5" x14ac:dyDescent="0.35">
      <c r="A167" s="62" t="s">
        <v>33</v>
      </c>
      <c r="B167" s="62" t="s">
        <v>35</v>
      </c>
      <c r="C167" s="62">
        <v>1</v>
      </c>
      <c r="D167" s="62">
        <v>3</v>
      </c>
      <c r="E167" s="62">
        <v>4</v>
      </c>
      <c r="F167" s="62">
        <v>304</v>
      </c>
      <c r="G167" s="63">
        <v>6</v>
      </c>
      <c r="H167" s="63">
        <v>6</v>
      </c>
      <c r="I167" s="116">
        <v>45884</v>
      </c>
      <c r="J167" s="44">
        <v>7.5</v>
      </c>
      <c r="K167" s="44">
        <v>7.4</v>
      </c>
      <c r="L167" s="44">
        <v>7.4</v>
      </c>
      <c r="P167" s="113">
        <f t="shared" si="4"/>
        <v>7.4333333333333336</v>
      </c>
    </row>
    <row r="168" spans="1:16" ht="14.5" x14ac:dyDescent="0.35">
      <c r="A168" s="62" t="s">
        <v>33</v>
      </c>
      <c r="B168" s="62" t="s">
        <v>30</v>
      </c>
      <c r="C168" s="62">
        <v>1</v>
      </c>
      <c r="D168" s="62">
        <v>2</v>
      </c>
      <c r="E168" s="62">
        <v>4</v>
      </c>
      <c r="F168" s="62">
        <v>204</v>
      </c>
      <c r="G168" s="63">
        <v>7</v>
      </c>
      <c r="H168" s="63">
        <v>6</v>
      </c>
      <c r="I168" s="116">
        <v>45884</v>
      </c>
      <c r="J168" s="44">
        <v>7.7</v>
      </c>
      <c r="K168" s="44">
        <v>7.8</v>
      </c>
      <c r="L168" s="44">
        <v>8.1</v>
      </c>
      <c r="P168" s="113">
        <f t="shared" si="4"/>
        <v>7.8666666666666671</v>
      </c>
    </row>
    <row r="169" spans="1:16" ht="14.5" x14ac:dyDescent="0.35">
      <c r="A169" s="62" t="s">
        <v>33</v>
      </c>
      <c r="B169" s="62" t="s">
        <v>34</v>
      </c>
      <c r="C169" s="62">
        <v>1</v>
      </c>
      <c r="D169" s="62">
        <v>1</v>
      </c>
      <c r="E169" s="62">
        <v>4</v>
      </c>
      <c r="F169" s="62">
        <v>104</v>
      </c>
      <c r="G169" s="63">
        <v>8</v>
      </c>
      <c r="H169" s="63">
        <v>6</v>
      </c>
      <c r="I169" s="116">
        <v>45884</v>
      </c>
      <c r="J169" s="44">
        <v>7.1</v>
      </c>
      <c r="K169" s="44">
        <v>7</v>
      </c>
      <c r="L169" s="44">
        <v>7.1</v>
      </c>
      <c r="P169" s="113">
        <f t="shared" si="4"/>
        <v>7.0666666666666664</v>
      </c>
    </row>
    <row r="170" spans="1:16" ht="14.5" x14ac:dyDescent="0.35">
      <c r="A170" s="62" t="s">
        <v>28</v>
      </c>
      <c r="B170" s="62" t="s">
        <v>31</v>
      </c>
      <c r="C170" s="62">
        <v>2</v>
      </c>
      <c r="D170" s="62">
        <v>1</v>
      </c>
      <c r="E170" s="62">
        <v>6</v>
      </c>
      <c r="F170" s="62">
        <v>106</v>
      </c>
      <c r="G170" s="63">
        <v>9</v>
      </c>
      <c r="H170" s="63">
        <v>6</v>
      </c>
      <c r="I170" s="116">
        <v>45845</v>
      </c>
      <c r="J170" s="44">
        <v>7.4</v>
      </c>
      <c r="K170" s="44">
        <v>8</v>
      </c>
      <c r="L170" s="44">
        <v>7.3</v>
      </c>
      <c r="P170" s="113">
        <f t="shared" si="4"/>
        <v>7.5666666666666664</v>
      </c>
    </row>
    <row r="171" spans="1:16" ht="14.5" x14ac:dyDescent="0.35">
      <c r="A171" s="62" t="s">
        <v>28</v>
      </c>
      <c r="B171" s="62" t="s">
        <v>32</v>
      </c>
      <c r="C171" s="62">
        <v>2</v>
      </c>
      <c r="D171" s="62">
        <v>2</v>
      </c>
      <c r="E171" s="62">
        <v>6</v>
      </c>
      <c r="F171" s="62">
        <v>206</v>
      </c>
      <c r="G171" s="63">
        <v>10</v>
      </c>
      <c r="H171" s="63">
        <v>6</v>
      </c>
      <c r="I171" s="116">
        <v>45845</v>
      </c>
      <c r="J171" s="44">
        <v>8</v>
      </c>
      <c r="K171" s="44">
        <v>7.6</v>
      </c>
      <c r="L171" s="44">
        <v>7.5</v>
      </c>
      <c r="P171" s="113">
        <f t="shared" si="4"/>
        <v>7.7</v>
      </c>
    </row>
    <row r="172" spans="1:16" ht="14.5" x14ac:dyDescent="0.35">
      <c r="A172" s="62" t="s">
        <v>28</v>
      </c>
      <c r="B172" s="62" t="s">
        <v>30</v>
      </c>
      <c r="C172" s="62">
        <v>2</v>
      </c>
      <c r="D172" s="62">
        <v>3</v>
      </c>
      <c r="E172" s="62">
        <v>6</v>
      </c>
      <c r="F172" s="62">
        <v>306</v>
      </c>
      <c r="G172" s="63">
        <v>11</v>
      </c>
      <c r="H172" s="63">
        <v>6</v>
      </c>
      <c r="I172" s="116">
        <v>45845</v>
      </c>
      <c r="J172" s="44">
        <v>7.2</v>
      </c>
      <c r="K172" s="44">
        <v>7.8</v>
      </c>
      <c r="L172" s="44">
        <v>7.6</v>
      </c>
      <c r="P172" s="113">
        <f t="shared" si="4"/>
        <v>7.5333333333333341</v>
      </c>
    </row>
    <row r="173" spans="1:16" ht="14.5" x14ac:dyDescent="0.35">
      <c r="A173" s="62" t="s">
        <v>28</v>
      </c>
      <c r="B173" s="62" t="s">
        <v>29</v>
      </c>
      <c r="C173" s="62">
        <v>2</v>
      </c>
      <c r="D173" s="62">
        <v>4</v>
      </c>
      <c r="E173" s="62">
        <v>6</v>
      </c>
      <c r="F173" s="62">
        <v>406</v>
      </c>
      <c r="G173" s="63">
        <v>12</v>
      </c>
      <c r="H173" s="63">
        <v>6</v>
      </c>
      <c r="I173" s="116">
        <v>45845</v>
      </c>
      <c r="J173" s="44">
        <v>7.3</v>
      </c>
      <c r="K173" s="44">
        <v>7.2</v>
      </c>
      <c r="L173" s="44">
        <v>7.8</v>
      </c>
      <c r="P173" s="113">
        <f t="shared" si="4"/>
        <v>7.4333333333333336</v>
      </c>
    </row>
    <row r="174" spans="1:16" ht="14.5" x14ac:dyDescent="0.35">
      <c r="A174" s="62" t="s">
        <v>33</v>
      </c>
      <c r="B174" s="62" t="s">
        <v>34</v>
      </c>
      <c r="C174" s="62">
        <v>2</v>
      </c>
      <c r="D174" s="62">
        <v>4</v>
      </c>
      <c r="E174" s="62">
        <v>8</v>
      </c>
      <c r="F174" s="62">
        <v>408</v>
      </c>
      <c r="G174" s="63">
        <v>13</v>
      </c>
      <c r="H174" s="63">
        <v>6</v>
      </c>
      <c r="I174" s="116">
        <v>45884</v>
      </c>
      <c r="J174" s="44">
        <v>7.3</v>
      </c>
      <c r="K174" s="44">
        <v>7.2</v>
      </c>
      <c r="L174" s="44">
        <v>6.4</v>
      </c>
      <c r="P174" s="113">
        <f t="shared" si="4"/>
        <v>6.9666666666666659</v>
      </c>
    </row>
    <row r="175" spans="1:16" ht="14.5" x14ac:dyDescent="0.35">
      <c r="A175" s="62" t="s">
        <v>33</v>
      </c>
      <c r="B175" s="62" t="s">
        <v>30</v>
      </c>
      <c r="C175" s="62">
        <v>2</v>
      </c>
      <c r="D175" s="62">
        <v>3</v>
      </c>
      <c r="E175" s="62">
        <v>8</v>
      </c>
      <c r="F175" s="62">
        <v>308</v>
      </c>
      <c r="G175" s="63">
        <v>14</v>
      </c>
      <c r="H175" s="63">
        <v>6</v>
      </c>
      <c r="I175" s="116">
        <v>45884</v>
      </c>
      <c r="J175" s="44">
        <v>7.5</v>
      </c>
      <c r="K175" s="44">
        <v>7.1</v>
      </c>
      <c r="L175" s="44">
        <v>7.4</v>
      </c>
      <c r="P175" s="113">
        <f t="shared" si="4"/>
        <v>7.333333333333333</v>
      </c>
    </row>
    <row r="176" spans="1:16" ht="14.5" x14ac:dyDescent="0.35">
      <c r="A176" s="62" t="s">
        <v>33</v>
      </c>
      <c r="B176" s="62" t="s">
        <v>29</v>
      </c>
      <c r="C176" s="62">
        <v>2</v>
      </c>
      <c r="D176" s="62">
        <v>2</v>
      </c>
      <c r="E176" s="62">
        <v>8</v>
      </c>
      <c r="F176" s="62">
        <v>208</v>
      </c>
      <c r="G176" s="63">
        <v>15</v>
      </c>
      <c r="H176" s="63">
        <v>6</v>
      </c>
      <c r="I176" s="116">
        <v>45884</v>
      </c>
      <c r="J176" s="44">
        <v>8.1</v>
      </c>
      <c r="K176" s="44">
        <v>7.8</v>
      </c>
      <c r="L176" s="44">
        <v>7.3</v>
      </c>
      <c r="P176" s="113">
        <f t="shared" si="4"/>
        <v>7.7333333333333334</v>
      </c>
    </row>
    <row r="177" spans="1:16" ht="14.5" x14ac:dyDescent="0.35">
      <c r="A177" s="62" t="s">
        <v>33</v>
      </c>
      <c r="B177" s="62" t="s">
        <v>35</v>
      </c>
      <c r="C177" s="62">
        <v>2</v>
      </c>
      <c r="D177" s="62">
        <v>1</v>
      </c>
      <c r="E177" s="62">
        <v>8</v>
      </c>
      <c r="F177" s="62">
        <v>108</v>
      </c>
      <c r="G177" s="63">
        <v>16</v>
      </c>
      <c r="H177" s="63">
        <v>6</v>
      </c>
      <c r="I177" s="116">
        <v>45884</v>
      </c>
      <c r="J177" s="44">
        <v>7.7</v>
      </c>
      <c r="K177" s="44">
        <v>6.6</v>
      </c>
      <c r="L177" s="44">
        <v>6.8</v>
      </c>
      <c r="P177" s="113">
        <f t="shared" si="4"/>
        <v>7.0333333333333341</v>
      </c>
    </row>
    <row r="178" spans="1:16" ht="14.5" x14ac:dyDescent="0.35">
      <c r="A178" s="62" t="s">
        <v>28</v>
      </c>
      <c r="B178" s="62" t="s">
        <v>32</v>
      </c>
      <c r="C178" s="62">
        <v>3</v>
      </c>
      <c r="D178" s="62">
        <v>1</v>
      </c>
      <c r="E178" s="62">
        <v>10</v>
      </c>
      <c r="F178" s="62">
        <v>110</v>
      </c>
      <c r="G178" s="63">
        <v>17</v>
      </c>
      <c r="H178" s="63">
        <v>6</v>
      </c>
      <c r="I178" s="116">
        <v>45845</v>
      </c>
      <c r="J178" s="44">
        <v>6.4</v>
      </c>
      <c r="K178" s="44">
        <v>7.3</v>
      </c>
      <c r="L178" s="44">
        <v>7.2</v>
      </c>
      <c r="P178" s="113">
        <f t="shared" si="4"/>
        <v>6.9666666666666659</v>
      </c>
    </row>
    <row r="179" spans="1:16" ht="14.5" x14ac:dyDescent="0.35">
      <c r="A179" s="62" t="s">
        <v>28</v>
      </c>
      <c r="B179" s="62" t="s">
        <v>31</v>
      </c>
      <c r="C179" s="62">
        <v>3</v>
      </c>
      <c r="D179" s="62">
        <v>2</v>
      </c>
      <c r="E179" s="62">
        <v>10</v>
      </c>
      <c r="F179" s="62">
        <v>210</v>
      </c>
      <c r="G179" s="63">
        <v>18</v>
      </c>
      <c r="H179" s="63">
        <v>6</v>
      </c>
      <c r="I179" s="116">
        <v>45845</v>
      </c>
      <c r="J179" s="44">
        <v>7.6</v>
      </c>
      <c r="K179" s="44">
        <v>8.1</v>
      </c>
      <c r="L179" s="44">
        <v>8.1</v>
      </c>
      <c r="P179" s="113">
        <f t="shared" si="4"/>
        <v>7.9333333333333327</v>
      </c>
    </row>
    <row r="180" spans="1:16" ht="14.5" x14ac:dyDescent="0.35">
      <c r="A180" s="62" t="s">
        <v>28</v>
      </c>
      <c r="B180" s="62" t="s">
        <v>29</v>
      </c>
      <c r="C180" s="62">
        <v>3</v>
      </c>
      <c r="D180" s="62">
        <v>3</v>
      </c>
      <c r="E180" s="62">
        <v>10</v>
      </c>
      <c r="F180" s="62">
        <v>310</v>
      </c>
      <c r="G180" s="63">
        <v>19</v>
      </c>
      <c r="H180" s="63">
        <v>6</v>
      </c>
      <c r="I180" s="116">
        <v>45845</v>
      </c>
      <c r="J180" s="44">
        <v>7.6</v>
      </c>
      <c r="K180" s="44">
        <v>7</v>
      </c>
      <c r="L180" s="44">
        <v>6.8</v>
      </c>
      <c r="P180" s="113">
        <f t="shared" si="4"/>
        <v>7.1333333333333329</v>
      </c>
    </row>
    <row r="181" spans="1:16" ht="14.5" x14ac:dyDescent="0.35">
      <c r="A181" s="62" t="s">
        <v>28</v>
      </c>
      <c r="B181" s="62" t="s">
        <v>30</v>
      </c>
      <c r="C181" s="62">
        <v>3</v>
      </c>
      <c r="D181" s="62">
        <v>4</v>
      </c>
      <c r="E181" s="62">
        <v>10</v>
      </c>
      <c r="F181" s="62">
        <v>410</v>
      </c>
      <c r="G181" s="63">
        <v>20</v>
      </c>
      <c r="H181" s="63">
        <v>6</v>
      </c>
      <c r="I181" s="116">
        <v>45845</v>
      </c>
      <c r="J181" s="44">
        <v>7.5</v>
      </c>
      <c r="K181" s="44">
        <v>7.8</v>
      </c>
      <c r="L181" s="44">
        <v>7.9</v>
      </c>
      <c r="P181" s="113">
        <f t="shared" si="4"/>
        <v>7.7333333333333343</v>
      </c>
    </row>
    <row r="182" spans="1:16" ht="14.5" x14ac:dyDescent="0.35">
      <c r="A182" s="62" t="s">
        <v>33</v>
      </c>
      <c r="B182" s="62" t="s">
        <v>30</v>
      </c>
      <c r="C182" s="62">
        <v>3</v>
      </c>
      <c r="D182" s="62">
        <v>4</v>
      </c>
      <c r="E182" s="62">
        <v>12</v>
      </c>
      <c r="F182" s="62">
        <v>412</v>
      </c>
      <c r="G182" s="63">
        <v>21</v>
      </c>
      <c r="H182" s="63">
        <v>6</v>
      </c>
      <c r="I182" s="116">
        <v>45884</v>
      </c>
      <c r="J182" s="44">
        <v>7.6</v>
      </c>
      <c r="K182" s="44">
        <v>7.7</v>
      </c>
      <c r="L182" s="44">
        <v>7.5</v>
      </c>
      <c r="P182" s="113">
        <f t="shared" si="4"/>
        <v>7.6000000000000005</v>
      </c>
    </row>
    <row r="183" spans="1:16" ht="14.5" x14ac:dyDescent="0.35">
      <c r="A183" s="62" t="s">
        <v>33</v>
      </c>
      <c r="B183" s="62" t="s">
        <v>34</v>
      </c>
      <c r="C183" s="62">
        <v>3</v>
      </c>
      <c r="D183" s="62">
        <v>3</v>
      </c>
      <c r="E183" s="62">
        <v>12</v>
      </c>
      <c r="F183" s="62">
        <v>312</v>
      </c>
      <c r="G183" s="63">
        <v>22</v>
      </c>
      <c r="H183" s="63">
        <v>6</v>
      </c>
      <c r="I183" s="116">
        <v>45884</v>
      </c>
      <c r="J183" s="44">
        <v>6.4</v>
      </c>
      <c r="K183" s="44">
        <v>6.4</v>
      </c>
      <c r="L183" s="44">
        <v>6.4</v>
      </c>
      <c r="P183" s="113">
        <f t="shared" si="4"/>
        <v>6.4000000000000012</v>
      </c>
    </row>
    <row r="184" spans="1:16" ht="14.5" x14ac:dyDescent="0.35">
      <c r="A184" s="62" t="s">
        <v>33</v>
      </c>
      <c r="B184" s="62" t="s">
        <v>35</v>
      </c>
      <c r="C184" s="62">
        <v>3</v>
      </c>
      <c r="D184" s="62">
        <v>2</v>
      </c>
      <c r="E184" s="62">
        <v>12</v>
      </c>
      <c r="F184" s="62">
        <v>212</v>
      </c>
      <c r="G184" s="63">
        <v>23</v>
      </c>
      <c r="H184" s="63">
        <v>6</v>
      </c>
      <c r="I184" s="116">
        <v>45884</v>
      </c>
      <c r="J184" s="44">
        <v>7.5</v>
      </c>
      <c r="K184" s="44">
        <v>7.2</v>
      </c>
      <c r="L184" s="44">
        <v>7.1</v>
      </c>
      <c r="P184" s="113">
        <f t="shared" si="4"/>
        <v>7.2666666666666657</v>
      </c>
    </row>
    <row r="185" spans="1:16" ht="14.5" x14ac:dyDescent="0.35">
      <c r="A185" s="62" t="s">
        <v>33</v>
      </c>
      <c r="B185" s="62" t="s">
        <v>29</v>
      </c>
      <c r="C185" s="62">
        <v>3</v>
      </c>
      <c r="D185" s="62">
        <v>1</v>
      </c>
      <c r="E185" s="62">
        <v>12</v>
      </c>
      <c r="F185" s="62">
        <v>112</v>
      </c>
      <c r="G185" s="63">
        <v>24</v>
      </c>
      <c r="H185" s="63">
        <v>6</v>
      </c>
      <c r="I185" s="116">
        <v>45884</v>
      </c>
      <c r="J185" s="44">
        <v>7.2</v>
      </c>
      <c r="K185" s="44">
        <v>7.5</v>
      </c>
      <c r="L185" s="44">
        <v>7.6</v>
      </c>
      <c r="P185" s="113">
        <f t="shared" si="4"/>
        <v>7.4333333333333327</v>
      </c>
    </row>
    <row r="186" spans="1:16" ht="14.5" x14ac:dyDescent="0.35">
      <c r="A186" s="62" t="s">
        <v>28</v>
      </c>
      <c r="B186" s="62" t="s">
        <v>30</v>
      </c>
      <c r="C186" s="62">
        <v>4</v>
      </c>
      <c r="D186" s="62">
        <v>1</v>
      </c>
      <c r="E186" s="62">
        <v>14</v>
      </c>
      <c r="F186" s="62">
        <v>114</v>
      </c>
      <c r="G186" s="63">
        <v>25</v>
      </c>
      <c r="H186" s="63">
        <v>6</v>
      </c>
      <c r="I186" s="116">
        <v>45845</v>
      </c>
      <c r="J186" s="44">
        <v>8.8000000000000007</v>
      </c>
      <c r="K186" s="44">
        <v>7.2</v>
      </c>
      <c r="L186" s="44">
        <v>7.5</v>
      </c>
      <c r="P186" s="113">
        <f t="shared" si="4"/>
        <v>7.833333333333333</v>
      </c>
    </row>
    <row r="187" spans="1:16" ht="14.5" x14ac:dyDescent="0.35">
      <c r="A187" s="62" t="s">
        <v>28</v>
      </c>
      <c r="B187" s="62" t="s">
        <v>29</v>
      </c>
      <c r="C187" s="62">
        <v>4</v>
      </c>
      <c r="D187" s="62">
        <v>2</v>
      </c>
      <c r="E187" s="62">
        <v>14</v>
      </c>
      <c r="F187" s="62">
        <v>214</v>
      </c>
      <c r="G187" s="63">
        <v>26</v>
      </c>
      <c r="H187" s="63">
        <v>6</v>
      </c>
      <c r="I187" s="116">
        <v>45845</v>
      </c>
      <c r="J187" s="44">
        <v>7.1</v>
      </c>
      <c r="K187" s="44">
        <v>7.1</v>
      </c>
      <c r="L187" s="44">
        <v>7.4</v>
      </c>
      <c r="P187" s="113">
        <f t="shared" si="4"/>
        <v>7.2</v>
      </c>
    </row>
    <row r="188" spans="1:16" ht="14.5" x14ac:dyDescent="0.35">
      <c r="A188" s="62" t="s">
        <v>28</v>
      </c>
      <c r="B188" s="62" t="s">
        <v>32</v>
      </c>
      <c r="C188" s="62">
        <v>4</v>
      </c>
      <c r="D188" s="62">
        <v>3</v>
      </c>
      <c r="E188" s="62">
        <v>14</v>
      </c>
      <c r="F188" s="62">
        <v>314</v>
      </c>
      <c r="G188" s="63">
        <v>27</v>
      </c>
      <c r="H188" s="63">
        <v>6</v>
      </c>
      <c r="I188" s="116">
        <v>45845</v>
      </c>
      <c r="J188" s="44">
        <v>7.3</v>
      </c>
      <c r="K188" s="44">
        <v>7.3</v>
      </c>
      <c r="L188" s="44">
        <v>7.3</v>
      </c>
      <c r="P188" s="113">
        <f t="shared" si="4"/>
        <v>7.3</v>
      </c>
    </row>
    <row r="189" spans="1:16" ht="14.5" x14ac:dyDescent="0.35">
      <c r="A189" s="62" t="s">
        <v>28</v>
      </c>
      <c r="B189" s="62" t="s">
        <v>31</v>
      </c>
      <c r="C189" s="62">
        <v>4</v>
      </c>
      <c r="D189" s="62">
        <v>4</v>
      </c>
      <c r="E189" s="62">
        <v>14</v>
      </c>
      <c r="F189" s="62">
        <v>414</v>
      </c>
      <c r="G189" s="63">
        <v>28</v>
      </c>
      <c r="H189" s="63">
        <v>6</v>
      </c>
      <c r="I189" s="116">
        <v>45845</v>
      </c>
      <c r="J189" s="44">
        <v>7.4</v>
      </c>
      <c r="K189" s="44">
        <v>7.7</v>
      </c>
      <c r="L189" s="44">
        <v>7.4</v>
      </c>
      <c r="P189" s="113">
        <f t="shared" si="4"/>
        <v>7.5</v>
      </c>
    </row>
    <row r="190" spans="1:16" ht="14.5" x14ac:dyDescent="0.35">
      <c r="A190" s="62" t="s">
        <v>33</v>
      </c>
      <c r="B190" s="62" t="s">
        <v>35</v>
      </c>
      <c r="C190" s="62">
        <v>4</v>
      </c>
      <c r="D190" s="62">
        <v>4</v>
      </c>
      <c r="E190" s="62">
        <v>16</v>
      </c>
      <c r="F190" s="62">
        <v>416</v>
      </c>
      <c r="G190" s="63">
        <v>29</v>
      </c>
      <c r="H190" s="63">
        <v>6</v>
      </c>
      <c r="I190" s="116">
        <v>45884</v>
      </c>
      <c r="J190" s="44">
        <v>7.4</v>
      </c>
      <c r="K190" s="44">
        <v>7.1</v>
      </c>
      <c r="L190" s="44">
        <v>7.5</v>
      </c>
      <c r="P190" s="113">
        <f t="shared" si="4"/>
        <v>7.333333333333333</v>
      </c>
    </row>
    <row r="191" spans="1:16" ht="14.5" x14ac:dyDescent="0.35">
      <c r="A191" s="62" t="s">
        <v>33</v>
      </c>
      <c r="B191" s="62" t="s">
        <v>29</v>
      </c>
      <c r="C191" s="62">
        <v>4</v>
      </c>
      <c r="D191" s="62">
        <v>3</v>
      </c>
      <c r="E191" s="62">
        <v>16</v>
      </c>
      <c r="F191" s="62">
        <v>316</v>
      </c>
      <c r="G191" s="63">
        <v>30</v>
      </c>
      <c r="H191" s="63">
        <v>6</v>
      </c>
      <c r="I191" s="116">
        <v>45884</v>
      </c>
      <c r="J191" s="44">
        <v>7.6</v>
      </c>
      <c r="K191" s="44">
        <v>7</v>
      </c>
      <c r="L191" s="44">
        <v>7.1</v>
      </c>
      <c r="P191" s="113">
        <f t="shared" si="4"/>
        <v>7.2333333333333334</v>
      </c>
    </row>
    <row r="192" spans="1:16" ht="14.5" x14ac:dyDescent="0.35">
      <c r="A192" s="62" t="s">
        <v>33</v>
      </c>
      <c r="B192" s="62" t="s">
        <v>34</v>
      </c>
      <c r="C192" s="62">
        <v>4</v>
      </c>
      <c r="D192" s="62">
        <v>2</v>
      </c>
      <c r="E192" s="62">
        <v>16</v>
      </c>
      <c r="F192" s="62">
        <v>216</v>
      </c>
      <c r="G192" s="63">
        <v>31</v>
      </c>
      <c r="H192" s="63">
        <v>6</v>
      </c>
      <c r="I192" s="116">
        <v>45884</v>
      </c>
      <c r="J192" s="44">
        <v>6.5</v>
      </c>
      <c r="K192" s="44">
        <v>6.7</v>
      </c>
      <c r="L192" s="44">
        <v>7.4</v>
      </c>
      <c r="P192" s="113">
        <f t="shared" si="4"/>
        <v>6.8666666666666671</v>
      </c>
    </row>
    <row r="193" spans="1:16" ht="14.5" x14ac:dyDescent="0.35">
      <c r="A193" s="62" t="s">
        <v>33</v>
      </c>
      <c r="B193" s="62" t="s">
        <v>30</v>
      </c>
      <c r="C193" s="62">
        <v>4</v>
      </c>
      <c r="D193" s="62">
        <v>1</v>
      </c>
      <c r="E193" s="62">
        <v>16</v>
      </c>
      <c r="F193" s="62">
        <v>116</v>
      </c>
      <c r="G193" s="63">
        <v>32</v>
      </c>
      <c r="H193" s="63">
        <v>6</v>
      </c>
      <c r="I193" s="116">
        <v>45884</v>
      </c>
      <c r="J193" s="44">
        <v>7.3</v>
      </c>
      <c r="K193" s="44">
        <v>6.8</v>
      </c>
      <c r="L193" s="44">
        <v>7</v>
      </c>
      <c r="P193" s="113">
        <f t="shared" si="4"/>
        <v>7.0333333333333341</v>
      </c>
    </row>
    <row r="194" spans="1:16" ht="14.5" x14ac:dyDescent="0.35">
      <c r="A194" s="62" t="s">
        <v>28</v>
      </c>
      <c r="B194" s="62" t="s">
        <v>29</v>
      </c>
      <c r="C194" s="62">
        <v>1</v>
      </c>
      <c r="D194" s="62">
        <v>1</v>
      </c>
      <c r="E194" s="62">
        <v>2</v>
      </c>
      <c r="F194" s="62">
        <v>102</v>
      </c>
      <c r="G194" s="63">
        <v>1</v>
      </c>
      <c r="H194" s="63">
        <v>7</v>
      </c>
      <c r="I194" s="116">
        <v>45852</v>
      </c>
      <c r="J194" s="44">
        <v>8.5</v>
      </c>
      <c r="K194" s="44">
        <v>8.3000000000000007</v>
      </c>
      <c r="L194" s="44">
        <v>8.6</v>
      </c>
      <c r="P194" s="113">
        <f t="shared" si="4"/>
        <v>8.4666666666666668</v>
      </c>
    </row>
    <row r="195" spans="1:16" ht="14.5" x14ac:dyDescent="0.35">
      <c r="A195" s="62" t="s">
        <v>28</v>
      </c>
      <c r="B195" s="62" t="s">
        <v>30</v>
      </c>
      <c r="C195" s="62">
        <v>1</v>
      </c>
      <c r="D195" s="62">
        <v>2</v>
      </c>
      <c r="E195" s="62">
        <v>2</v>
      </c>
      <c r="F195" s="62">
        <v>202</v>
      </c>
      <c r="G195" s="63">
        <v>2</v>
      </c>
      <c r="H195" s="63">
        <v>7</v>
      </c>
      <c r="I195" s="116">
        <v>45852</v>
      </c>
      <c r="J195" s="44">
        <v>8.3000000000000007</v>
      </c>
      <c r="K195" s="44">
        <v>7.7</v>
      </c>
      <c r="L195" s="44">
        <v>7.8</v>
      </c>
      <c r="P195" s="113">
        <f t="shared" si="4"/>
        <v>7.9333333333333336</v>
      </c>
    </row>
    <row r="196" spans="1:16" ht="14.5" x14ac:dyDescent="0.35">
      <c r="A196" s="62" t="s">
        <v>28</v>
      </c>
      <c r="B196" s="62" t="s">
        <v>31</v>
      </c>
      <c r="C196" s="62">
        <v>1</v>
      </c>
      <c r="D196" s="62">
        <v>3</v>
      </c>
      <c r="E196" s="62">
        <v>2</v>
      </c>
      <c r="F196" s="62">
        <v>302</v>
      </c>
      <c r="G196" s="63">
        <v>3</v>
      </c>
      <c r="H196" s="63">
        <v>7</v>
      </c>
      <c r="I196" s="116">
        <v>45852</v>
      </c>
      <c r="J196" s="44">
        <v>8.4</v>
      </c>
      <c r="K196" s="44">
        <v>7.5</v>
      </c>
      <c r="L196" s="44">
        <v>7.7</v>
      </c>
      <c r="P196" s="113">
        <f t="shared" si="4"/>
        <v>7.8666666666666671</v>
      </c>
    </row>
    <row r="197" spans="1:16" ht="14.5" x14ac:dyDescent="0.35">
      <c r="A197" s="62" t="s">
        <v>28</v>
      </c>
      <c r="B197" s="62" t="s">
        <v>32</v>
      </c>
      <c r="C197" s="62">
        <v>1</v>
      </c>
      <c r="D197" s="62">
        <v>4</v>
      </c>
      <c r="E197" s="62">
        <v>2</v>
      </c>
      <c r="F197" s="62">
        <v>402</v>
      </c>
      <c r="G197" s="63">
        <v>4</v>
      </c>
      <c r="H197" s="63">
        <v>7</v>
      </c>
      <c r="I197" s="116">
        <v>45852</v>
      </c>
      <c r="J197" s="44">
        <v>8.1</v>
      </c>
      <c r="K197" s="44">
        <v>8.3000000000000007</v>
      </c>
      <c r="L197" s="44">
        <v>8.1</v>
      </c>
      <c r="P197" s="113">
        <f t="shared" si="4"/>
        <v>8.1666666666666661</v>
      </c>
    </row>
    <row r="198" spans="1:16" ht="14.5" x14ac:dyDescent="0.35">
      <c r="A198" s="62" t="s">
        <v>33</v>
      </c>
      <c r="B198" s="62" t="s">
        <v>29</v>
      </c>
      <c r="C198" s="62">
        <v>1</v>
      </c>
      <c r="D198" s="62">
        <v>4</v>
      </c>
      <c r="E198" s="62">
        <v>4</v>
      </c>
      <c r="F198" s="62">
        <v>404</v>
      </c>
      <c r="G198" s="63">
        <v>5</v>
      </c>
      <c r="H198" s="63">
        <v>7</v>
      </c>
      <c r="I198" s="116">
        <v>45896</v>
      </c>
      <c r="J198" s="44">
        <v>8.6999999999999993</v>
      </c>
      <c r="K198" s="44">
        <v>8.5</v>
      </c>
      <c r="L198" s="44">
        <v>8.8000000000000007</v>
      </c>
    </row>
    <row r="199" spans="1:16" ht="14.5" x14ac:dyDescent="0.35">
      <c r="A199" s="62" t="s">
        <v>33</v>
      </c>
      <c r="B199" s="62" t="s">
        <v>35</v>
      </c>
      <c r="C199" s="62">
        <v>1</v>
      </c>
      <c r="D199" s="62">
        <v>3</v>
      </c>
      <c r="E199" s="62">
        <v>4</v>
      </c>
      <c r="F199" s="62">
        <v>304</v>
      </c>
      <c r="G199" s="63">
        <v>6</v>
      </c>
      <c r="H199" s="63">
        <v>7</v>
      </c>
      <c r="I199" s="116">
        <v>45896</v>
      </c>
      <c r="J199" s="44">
        <v>8.4</v>
      </c>
      <c r="K199" s="44">
        <v>8.5</v>
      </c>
      <c r="L199" s="44">
        <v>8.4</v>
      </c>
    </row>
    <row r="200" spans="1:16" ht="14.5" x14ac:dyDescent="0.35">
      <c r="A200" s="62" t="s">
        <v>33</v>
      </c>
      <c r="B200" s="62" t="s">
        <v>30</v>
      </c>
      <c r="C200" s="62">
        <v>1</v>
      </c>
      <c r="D200" s="62">
        <v>2</v>
      </c>
      <c r="E200" s="62">
        <v>4</v>
      </c>
      <c r="F200" s="62">
        <v>204</v>
      </c>
      <c r="G200" s="63">
        <v>7</v>
      </c>
      <c r="H200" s="63">
        <v>7</v>
      </c>
      <c r="I200" s="116">
        <v>45896</v>
      </c>
      <c r="J200" s="44">
        <v>8.8000000000000007</v>
      </c>
      <c r="K200" s="44">
        <v>8.9</v>
      </c>
      <c r="L200" s="44">
        <v>9.1999999999999993</v>
      </c>
    </row>
    <row r="201" spans="1:16" ht="14.5" x14ac:dyDescent="0.35">
      <c r="A201" s="62" t="s">
        <v>33</v>
      </c>
      <c r="B201" s="62" t="s">
        <v>34</v>
      </c>
      <c r="C201" s="62">
        <v>1</v>
      </c>
      <c r="D201" s="62">
        <v>1</v>
      </c>
      <c r="E201" s="62">
        <v>4</v>
      </c>
      <c r="F201" s="62">
        <v>104</v>
      </c>
      <c r="G201" s="63">
        <v>8</v>
      </c>
      <c r="H201" s="63">
        <v>7</v>
      </c>
      <c r="I201" s="116">
        <v>45896</v>
      </c>
      <c r="J201" s="44">
        <v>8.1</v>
      </c>
      <c r="K201" s="44">
        <v>8</v>
      </c>
      <c r="L201" s="44">
        <v>8.1999999999999993</v>
      </c>
    </row>
    <row r="202" spans="1:16" ht="14.5" x14ac:dyDescent="0.35">
      <c r="A202" s="62" t="s">
        <v>28</v>
      </c>
      <c r="B202" s="62" t="s">
        <v>31</v>
      </c>
      <c r="C202" s="62">
        <v>2</v>
      </c>
      <c r="D202" s="62">
        <v>1</v>
      </c>
      <c r="E202" s="62">
        <v>6</v>
      </c>
      <c r="F202" s="62">
        <v>106</v>
      </c>
      <c r="G202" s="63">
        <v>9</v>
      </c>
      <c r="H202" s="63">
        <v>7</v>
      </c>
      <c r="I202" s="116">
        <v>45852</v>
      </c>
      <c r="J202" s="44">
        <v>8</v>
      </c>
      <c r="K202" s="44">
        <v>8.4</v>
      </c>
      <c r="L202" s="44">
        <v>7.6</v>
      </c>
      <c r="P202" s="113">
        <f t="shared" ref="P202:P221" si="5">AVERAGE(J202:L202)</f>
        <v>8</v>
      </c>
    </row>
    <row r="203" spans="1:16" ht="14.5" x14ac:dyDescent="0.35">
      <c r="A203" s="62" t="s">
        <v>28</v>
      </c>
      <c r="B203" s="62" t="s">
        <v>32</v>
      </c>
      <c r="C203" s="62">
        <v>2</v>
      </c>
      <c r="D203" s="62">
        <v>2</v>
      </c>
      <c r="E203" s="62">
        <v>6</v>
      </c>
      <c r="F203" s="62">
        <v>206</v>
      </c>
      <c r="G203" s="63">
        <v>10</v>
      </c>
      <c r="H203" s="63">
        <v>7</v>
      </c>
      <c r="I203" s="116">
        <v>45852</v>
      </c>
      <c r="J203" s="44">
        <v>8.4</v>
      </c>
      <c r="K203" s="44">
        <v>8.3000000000000007</v>
      </c>
      <c r="L203" s="44">
        <v>8.1999999999999993</v>
      </c>
      <c r="P203" s="113">
        <f t="shared" si="5"/>
        <v>8.3000000000000007</v>
      </c>
    </row>
    <row r="204" spans="1:16" ht="14.5" x14ac:dyDescent="0.35">
      <c r="A204" s="62" t="s">
        <v>28</v>
      </c>
      <c r="B204" s="62" t="s">
        <v>30</v>
      </c>
      <c r="C204" s="62">
        <v>2</v>
      </c>
      <c r="D204" s="62">
        <v>3</v>
      </c>
      <c r="E204" s="62">
        <v>6</v>
      </c>
      <c r="F204" s="62">
        <v>306</v>
      </c>
      <c r="G204" s="63">
        <v>11</v>
      </c>
      <c r="H204" s="63">
        <v>7</v>
      </c>
      <c r="I204" s="116">
        <v>45852</v>
      </c>
      <c r="J204" s="44">
        <v>7.8</v>
      </c>
      <c r="K204" s="44">
        <v>8.4</v>
      </c>
      <c r="L204" s="44">
        <v>8.3000000000000007</v>
      </c>
      <c r="P204" s="113">
        <f t="shared" si="5"/>
        <v>8.1666666666666661</v>
      </c>
    </row>
    <row r="205" spans="1:16" ht="14.5" x14ac:dyDescent="0.35">
      <c r="A205" s="62" t="s">
        <v>28</v>
      </c>
      <c r="B205" s="62" t="s">
        <v>29</v>
      </c>
      <c r="C205" s="62">
        <v>2</v>
      </c>
      <c r="D205" s="62">
        <v>4</v>
      </c>
      <c r="E205" s="62">
        <v>6</v>
      </c>
      <c r="F205" s="62">
        <v>406</v>
      </c>
      <c r="G205" s="63">
        <v>12</v>
      </c>
      <c r="H205" s="63">
        <v>7</v>
      </c>
      <c r="I205" s="116">
        <v>45852</v>
      </c>
      <c r="J205" s="44">
        <v>7.8</v>
      </c>
      <c r="K205" s="44">
        <v>7.7</v>
      </c>
      <c r="L205" s="44">
        <v>8.3000000000000007</v>
      </c>
      <c r="P205" s="113">
        <f t="shared" si="5"/>
        <v>7.9333333333333336</v>
      </c>
    </row>
    <row r="206" spans="1:16" ht="14.5" x14ac:dyDescent="0.35">
      <c r="A206" s="62" t="s">
        <v>33</v>
      </c>
      <c r="B206" s="62" t="s">
        <v>34</v>
      </c>
      <c r="C206" s="62">
        <v>2</v>
      </c>
      <c r="D206" s="62">
        <v>4</v>
      </c>
      <c r="E206" s="62">
        <v>8</v>
      </c>
      <c r="F206" s="62">
        <v>408</v>
      </c>
      <c r="G206" s="63">
        <v>13</v>
      </c>
      <c r="H206" s="63">
        <v>7</v>
      </c>
      <c r="I206" s="116">
        <v>45896</v>
      </c>
      <c r="J206" s="44">
        <v>8.3000000000000007</v>
      </c>
      <c r="K206" s="44">
        <v>8.3000000000000007</v>
      </c>
      <c r="L206" s="44">
        <v>7.5</v>
      </c>
    </row>
    <row r="207" spans="1:16" ht="14.5" x14ac:dyDescent="0.35">
      <c r="A207" s="62" t="s">
        <v>33</v>
      </c>
      <c r="B207" s="62" t="s">
        <v>30</v>
      </c>
      <c r="C207" s="62">
        <v>2</v>
      </c>
      <c r="D207" s="62">
        <v>3</v>
      </c>
      <c r="E207" s="62">
        <v>8</v>
      </c>
      <c r="F207" s="62">
        <v>308</v>
      </c>
      <c r="G207" s="63">
        <v>14</v>
      </c>
      <c r="H207" s="63">
        <v>7</v>
      </c>
      <c r="I207" s="116">
        <v>45896</v>
      </c>
      <c r="J207" s="44">
        <v>8.6999999999999993</v>
      </c>
      <c r="K207" s="44">
        <v>8.3000000000000007</v>
      </c>
      <c r="L207" s="44">
        <v>8.4</v>
      </c>
    </row>
    <row r="208" spans="1:16" ht="14.5" x14ac:dyDescent="0.35">
      <c r="A208" s="62" t="s">
        <v>33</v>
      </c>
      <c r="B208" s="62" t="s">
        <v>29</v>
      </c>
      <c r="C208" s="62">
        <v>2</v>
      </c>
      <c r="D208" s="62">
        <v>2</v>
      </c>
      <c r="E208" s="62">
        <v>8</v>
      </c>
      <c r="F208" s="62">
        <v>208</v>
      </c>
      <c r="G208" s="63">
        <v>15</v>
      </c>
      <c r="H208" s="63">
        <v>7</v>
      </c>
      <c r="I208" s="116">
        <v>45896</v>
      </c>
      <c r="J208" s="44">
        <v>9.4</v>
      </c>
      <c r="K208" s="44">
        <v>9.1</v>
      </c>
      <c r="L208" s="44">
        <v>8.4</v>
      </c>
    </row>
    <row r="209" spans="1:16" ht="14.5" x14ac:dyDescent="0.35">
      <c r="A209" s="62" t="s">
        <v>33</v>
      </c>
      <c r="B209" s="62" t="s">
        <v>35</v>
      </c>
      <c r="C209" s="62">
        <v>2</v>
      </c>
      <c r="D209" s="62">
        <v>1</v>
      </c>
      <c r="E209" s="62">
        <v>8</v>
      </c>
      <c r="F209" s="62">
        <v>108</v>
      </c>
      <c r="G209" s="63">
        <v>16</v>
      </c>
      <c r="H209" s="63">
        <v>7</v>
      </c>
      <c r="I209" s="116">
        <v>45896</v>
      </c>
      <c r="J209" s="44">
        <v>8.6999999999999993</v>
      </c>
      <c r="K209" s="44">
        <v>7.6</v>
      </c>
      <c r="L209" s="44">
        <v>7.9</v>
      </c>
    </row>
    <row r="210" spans="1:16" ht="14.5" x14ac:dyDescent="0.35">
      <c r="A210" s="62" t="s">
        <v>28</v>
      </c>
      <c r="B210" s="62" t="s">
        <v>32</v>
      </c>
      <c r="C210" s="62">
        <v>3</v>
      </c>
      <c r="D210" s="62">
        <v>1</v>
      </c>
      <c r="E210" s="62">
        <v>10</v>
      </c>
      <c r="F210" s="62">
        <v>110</v>
      </c>
      <c r="G210" s="63">
        <v>17</v>
      </c>
      <c r="H210" s="63">
        <v>7</v>
      </c>
      <c r="I210" s="116">
        <v>45852</v>
      </c>
      <c r="J210" s="44">
        <v>7.2</v>
      </c>
      <c r="K210" s="44">
        <v>8</v>
      </c>
      <c r="L210" s="44">
        <v>7.5</v>
      </c>
      <c r="P210" s="113">
        <f t="shared" si="5"/>
        <v>7.5666666666666664</v>
      </c>
    </row>
    <row r="211" spans="1:16" ht="14.5" x14ac:dyDescent="0.35">
      <c r="A211" s="62" t="s">
        <v>28</v>
      </c>
      <c r="B211" s="62" t="s">
        <v>31</v>
      </c>
      <c r="C211" s="62">
        <v>3</v>
      </c>
      <c r="D211" s="62">
        <v>2</v>
      </c>
      <c r="E211" s="62">
        <v>10</v>
      </c>
      <c r="F211" s="62">
        <v>210</v>
      </c>
      <c r="G211" s="63">
        <v>18</v>
      </c>
      <c r="H211" s="63">
        <v>7</v>
      </c>
      <c r="I211" s="116">
        <v>45852</v>
      </c>
      <c r="J211" s="44">
        <v>8.4</v>
      </c>
      <c r="K211" s="44">
        <v>8.5</v>
      </c>
      <c r="L211" s="44">
        <v>8.6</v>
      </c>
      <c r="P211" s="113">
        <f t="shared" si="5"/>
        <v>8.5</v>
      </c>
    </row>
    <row r="212" spans="1:16" ht="14.5" x14ac:dyDescent="0.35">
      <c r="A212" s="62" t="s">
        <v>28</v>
      </c>
      <c r="B212" s="62" t="s">
        <v>29</v>
      </c>
      <c r="C212" s="62">
        <v>3</v>
      </c>
      <c r="D212" s="62">
        <v>3</v>
      </c>
      <c r="E212" s="62">
        <v>10</v>
      </c>
      <c r="F212" s="62">
        <v>310</v>
      </c>
      <c r="G212" s="63">
        <v>19</v>
      </c>
      <c r="H212" s="63">
        <v>7</v>
      </c>
      <c r="I212" s="116">
        <v>45852</v>
      </c>
      <c r="J212" s="44">
        <v>8.1999999999999993</v>
      </c>
      <c r="K212" s="44">
        <v>7.4</v>
      </c>
      <c r="L212" s="44">
        <v>7.4</v>
      </c>
      <c r="P212" s="113">
        <f t="shared" si="5"/>
        <v>7.666666666666667</v>
      </c>
    </row>
    <row r="213" spans="1:16" ht="14.5" x14ac:dyDescent="0.35">
      <c r="A213" s="62" t="s">
        <v>28</v>
      </c>
      <c r="B213" s="62" t="s">
        <v>30</v>
      </c>
      <c r="C213" s="62">
        <v>3</v>
      </c>
      <c r="D213" s="62">
        <v>4</v>
      </c>
      <c r="E213" s="62">
        <v>10</v>
      </c>
      <c r="F213" s="62">
        <v>410</v>
      </c>
      <c r="G213" s="63">
        <v>20</v>
      </c>
      <c r="H213" s="63">
        <v>7</v>
      </c>
      <c r="I213" s="116">
        <v>45852</v>
      </c>
      <c r="J213" s="44">
        <v>8</v>
      </c>
      <c r="K213" s="44">
        <v>8.6999999999999993</v>
      </c>
      <c r="L213" s="44">
        <v>8.4</v>
      </c>
      <c r="P213" s="113">
        <f t="shared" si="5"/>
        <v>8.3666666666666671</v>
      </c>
    </row>
    <row r="214" spans="1:16" ht="14.5" x14ac:dyDescent="0.35">
      <c r="A214" s="62" t="s">
        <v>33</v>
      </c>
      <c r="B214" s="62" t="s">
        <v>30</v>
      </c>
      <c r="C214" s="62">
        <v>3</v>
      </c>
      <c r="D214" s="62">
        <v>4</v>
      </c>
      <c r="E214" s="62">
        <v>12</v>
      </c>
      <c r="F214" s="62">
        <v>412</v>
      </c>
      <c r="G214" s="63">
        <v>21</v>
      </c>
      <c r="H214" s="63">
        <v>7</v>
      </c>
      <c r="I214" s="116">
        <v>45896</v>
      </c>
      <c r="J214" s="44">
        <v>8.8000000000000007</v>
      </c>
      <c r="K214" s="44">
        <v>8.8000000000000007</v>
      </c>
      <c r="L214" s="44">
        <v>8.6</v>
      </c>
    </row>
    <row r="215" spans="1:16" ht="14.5" x14ac:dyDescent="0.35">
      <c r="A215" s="62" t="s">
        <v>33</v>
      </c>
      <c r="B215" s="62" t="s">
        <v>34</v>
      </c>
      <c r="C215" s="62">
        <v>3</v>
      </c>
      <c r="D215" s="62">
        <v>3</v>
      </c>
      <c r="E215" s="62">
        <v>12</v>
      </c>
      <c r="F215" s="62">
        <v>312</v>
      </c>
      <c r="G215" s="63">
        <v>22</v>
      </c>
      <c r="H215" s="63">
        <v>7</v>
      </c>
      <c r="I215" s="116">
        <v>45896</v>
      </c>
      <c r="J215" s="44">
        <v>7.7</v>
      </c>
      <c r="K215" s="44">
        <v>7.5</v>
      </c>
      <c r="L215" s="44">
        <v>7.5</v>
      </c>
    </row>
    <row r="216" spans="1:16" ht="14.5" x14ac:dyDescent="0.35">
      <c r="A216" s="62" t="s">
        <v>33</v>
      </c>
      <c r="B216" s="62" t="s">
        <v>35</v>
      </c>
      <c r="C216" s="62">
        <v>3</v>
      </c>
      <c r="D216" s="62">
        <v>2</v>
      </c>
      <c r="E216" s="62">
        <v>12</v>
      </c>
      <c r="F216" s="62">
        <v>212</v>
      </c>
      <c r="G216" s="63">
        <v>23</v>
      </c>
      <c r="H216" s="63">
        <v>7</v>
      </c>
      <c r="I216" s="116">
        <v>45896</v>
      </c>
      <c r="J216" s="44">
        <v>8.5</v>
      </c>
      <c r="K216" s="44">
        <v>8.3000000000000007</v>
      </c>
      <c r="L216" s="44">
        <v>8</v>
      </c>
    </row>
    <row r="217" spans="1:16" ht="14.5" x14ac:dyDescent="0.35">
      <c r="A217" s="62" t="s">
        <v>33</v>
      </c>
      <c r="B217" s="62" t="s">
        <v>29</v>
      </c>
      <c r="C217" s="62">
        <v>3</v>
      </c>
      <c r="D217" s="62">
        <v>1</v>
      </c>
      <c r="E217" s="62">
        <v>12</v>
      </c>
      <c r="F217" s="62">
        <v>112</v>
      </c>
      <c r="G217" s="63">
        <v>24</v>
      </c>
      <c r="H217" s="63">
        <v>7</v>
      </c>
      <c r="I217" s="116">
        <v>45896</v>
      </c>
      <c r="J217" s="44">
        <v>8.4</v>
      </c>
      <c r="K217" s="44">
        <v>8.8000000000000007</v>
      </c>
      <c r="L217" s="44">
        <v>9.1</v>
      </c>
    </row>
    <row r="218" spans="1:16" ht="14.5" x14ac:dyDescent="0.35">
      <c r="A218" s="62" t="s">
        <v>28</v>
      </c>
      <c r="B218" s="62" t="s">
        <v>30</v>
      </c>
      <c r="C218" s="62">
        <v>4</v>
      </c>
      <c r="D218" s="62">
        <v>1</v>
      </c>
      <c r="E218" s="62">
        <v>14</v>
      </c>
      <c r="F218" s="62">
        <v>114</v>
      </c>
      <c r="G218" s="63">
        <v>25</v>
      </c>
      <c r="H218" s="63">
        <v>7</v>
      </c>
      <c r="I218" s="116">
        <v>45852</v>
      </c>
      <c r="J218" s="44">
        <v>9.1999999999999993</v>
      </c>
      <c r="K218" s="44">
        <v>8.3000000000000007</v>
      </c>
      <c r="L218" s="44">
        <v>8</v>
      </c>
      <c r="P218" s="113">
        <f t="shared" si="5"/>
        <v>8.5</v>
      </c>
    </row>
    <row r="219" spans="1:16" ht="14.5" x14ac:dyDescent="0.35">
      <c r="A219" s="62" t="s">
        <v>28</v>
      </c>
      <c r="B219" s="62" t="s">
        <v>29</v>
      </c>
      <c r="C219" s="62">
        <v>4</v>
      </c>
      <c r="D219" s="62">
        <v>2</v>
      </c>
      <c r="E219" s="62">
        <v>14</v>
      </c>
      <c r="F219" s="62">
        <v>214</v>
      </c>
      <c r="G219" s="63">
        <v>26</v>
      </c>
      <c r="H219" s="63">
        <v>7</v>
      </c>
      <c r="I219" s="116">
        <v>45852</v>
      </c>
      <c r="J219" s="44">
        <v>7.8</v>
      </c>
      <c r="K219" s="44">
        <v>7.7</v>
      </c>
      <c r="L219" s="44">
        <v>7.8</v>
      </c>
      <c r="P219" s="113">
        <f t="shared" si="5"/>
        <v>7.7666666666666666</v>
      </c>
    </row>
    <row r="220" spans="1:16" ht="14.5" x14ac:dyDescent="0.35">
      <c r="A220" s="62" t="s">
        <v>28</v>
      </c>
      <c r="B220" s="62" t="s">
        <v>32</v>
      </c>
      <c r="C220" s="62">
        <v>4</v>
      </c>
      <c r="D220" s="62">
        <v>3</v>
      </c>
      <c r="E220" s="62">
        <v>14</v>
      </c>
      <c r="F220" s="62">
        <v>314</v>
      </c>
      <c r="G220" s="63">
        <v>27</v>
      </c>
      <c r="H220" s="63">
        <v>7</v>
      </c>
      <c r="I220" s="116">
        <v>45852</v>
      </c>
      <c r="J220" s="44">
        <v>7.5</v>
      </c>
      <c r="K220" s="44">
        <v>7.5</v>
      </c>
      <c r="L220" s="44">
        <v>7.3</v>
      </c>
      <c r="P220" s="113">
        <f t="shared" si="5"/>
        <v>7.4333333333333336</v>
      </c>
    </row>
    <row r="221" spans="1:16" ht="14.5" x14ac:dyDescent="0.35">
      <c r="A221" s="62" t="s">
        <v>28</v>
      </c>
      <c r="B221" s="62" t="s">
        <v>31</v>
      </c>
      <c r="C221" s="62">
        <v>4</v>
      </c>
      <c r="D221" s="62">
        <v>4</v>
      </c>
      <c r="E221" s="62">
        <v>14</v>
      </c>
      <c r="F221" s="62">
        <v>414</v>
      </c>
      <c r="G221" s="63">
        <v>28</v>
      </c>
      <c r="H221" s="63">
        <v>7</v>
      </c>
      <c r="I221" s="116">
        <v>45852</v>
      </c>
      <c r="J221" s="44">
        <v>7.5</v>
      </c>
      <c r="K221" s="44">
        <v>8</v>
      </c>
      <c r="L221" s="44">
        <v>8.4</v>
      </c>
      <c r="P221" s="113">
        <f t="shared" si="5"/>
        <v>7.9666666666666659</v>
      </c>
    </row>
    <row r="222" spans="1:16" ht="14.5" x14ac:dyDescent="0.35">
      <c r="A222" s="62" t="s">
        <v>33</v>
      </c>
      <c r="B222" s="62" t="s">
        <v>35</v>
      </c>
      <c r="C222" s="62">
        <v>4</v>
      </c>
      <c r="D222" s="62">
        <v>4</v>
      </c>
      <c r="E222" s="62">
        <v>16</v>
      </c>
      <c r="F222" s="62">
        <v>416</v>
      </c>
      <c r="G222" s="63">
        <v>29</v>
      </c>
      <c r="H222" s="63">
        <v>7</v>
      </c>
      <c r="I222" s="116">
        <v>45896</v>
      </c>
      <c r="J222" s="44">
        <v>8.5</v>
      </c>
      <c r="K222" s="44">
        <v>7.8</v>
      </c>
      <c r="L222" s="44">
        <v>8.6</v>
      </c>
    </row>
    <row r="223" spans="1:16" ht="14.5" x14ac:dyDescent="0.35">
      <c r="A223" s="62" t="s">
        <v>33</v>
      </c>
      <c r="B223" s="62" t="s">
        <v>29</v>
      </c>
      <c r="C223" s="62">
        <v>4</v>
      </c>
      <c r="D223" s="62">
        <v>3</v>
      </c>
      <c r="E223" s="62">
        <v>16</v>
      </c>
      <c r="F223" s="62">
        <v>316</v>
      </c>
      <c r="G223" s="63">
        <v>30</v>
      </c>
      <c r="H223" s="63">
        <v>7</v>
      </c>
      <c r="I223" s="116">
        <v>45896</v>
      </c>
      <c r="J223" s="44">
        <v>8.9</v>
      </c>
      <c r="K223" s="44">
        <v>8.1</v>
      </c>
      <c r="L223" s="44">
        <v>8.3000000000000007</v>
      </c>
    </row>
    <row r="224" spans="1:16" ht="14.5" x14ac:dyDescent="0.35">
      <c r="A224" s="62" t="s">
        <v>33</v>
      </c>
      <c r="B224" s="62" t="s">
        <v>34</v>
      </c>
      <c r="C224" s="62">
        <v>4</v>
      </c>
      <c r="D224" s="62">
        <v>2</v>
      </c>
      <c r="E224" s="62">
        <v>16</v>
      </c>
      <c r="F224" s="62">
        <v>216</v>
      </c>
      <c r="G224" s="63">
        <v>31</v>
      </c>
      <c r="H224" s="63">
        <v>7</v>
      </c>
      <c r="I224" s="116">
        <v>45896</v>
      </c>
      <c r="J224" s="44">
        <v>7.7</v>
      </c>
      <c r="K224" s="44">
        <v>7.8</v>
      </c>
      <c r="L224" s="44">
        <v>8.4</v>
      </c>
    </row>
    <row r="225" spans="1:16" ht="14.5" x14ac:dyDescent="0.35">
      <c r="A225" s="62" t="s">
        <v>33</v>
      </c>
      <c r="B225" s="62" t="s">
        <v>30</v>
      </c>
      <c r="C225" s="62">
        <v>4</v>
      </c>
      <c r="D225" s="62">
        <v>1</v>
      </c>
      <c r="E225" s="62">
        <v>16</v>
      </c>
      <c r="F225" s="62">
        <v>116</v>
      </c>
      <c r="G225" s="63">
        <v>32</v>
      </c>
      <c r="H225" s="63">
        <v>7</v>
      </c>
      <c r="I225" s="116">
        <v>45896</v>
      </c>
      <c r="J225" s="44">
        <v>8.4</v>
      </c>
      <c r="K225" s="44">
        <v>8.1</v>
      </c>
      <c r="L225" s="44">
        <v>8.1999999999999993</v>
      </c>
    </row>
    <row r="226" spans="1:16" ht="14.5" x14ac:dyDescent="0.35">
      <c r="A226" s="62" t="s">
        <v>28</v>
      </c>
      <c r="B226" s="62" t="s">
        <v>29</v>
      </c>
      <c r="C226" s="62">
        <v>1</v>
      </c>
      <c r="D226" s="62">
        <v>1</v>
      </c>
      <c r="E226" s="62">
        <v>2</v>
      </c>
      <c r="F226" s="62">
        <v>102</v>
      </c>
      <c r="G226" s="63">
        <v>1</v>
      </c>
      <c r="H226" s="63">
        <v>8</v>
      </c>
      <c r="I226" s="116">
        <v>45862</v>
      </c>
      <c r="J226" s="44">
        <v>9.4</v>
      </c>
      <c r="K226" s="44">
        <v>8.8000000000000007</v>
      </c>
      <c r="L226" s="44">
        <v>9.3000000000000007</v>
      </c>
      <c r="P226" s="113">
        <f>AVERAGE(J226:L226)</f>
        <v>9.1666666666666679</v>
      </c>
    </row>
    <row r="227" spans="1:16" ht="14.5" x14ac:dyDescent="0.35">
      <c r="A227" s="62" t="s">
        <v>28</v>
      </c>
      <c r="B227" s="62" t="s">
        <v>30</v>
      </c>
      <c r="C227" s="62">
        <v>1</v>
      </c>
      <c r="D227" s="62">
        <v>2</v>
      </c>
      <c r="E227" s="62">
        <v>2</v>
      </c>
      <c r="F227" s="62">
        <v>202</v>
      </c>
      <c r="G227" s="63">
        <v>2</v>
      </c>
      <c r="H227" s="63">
        <v>8</v>
      </c>
      <c r="I227" s="116">
        <v>45862</v>
      </c>
      <c r="J227" s="44">
        <v>9.1</v>
      </c>
      <c r="K227" s="44">
        <v>8.4</v>
      </c>
      <c r="L227" s="44">
        <v>8.5</v>
      </c>
      <c r="P227" s="113">
        <f>AVERAGE(J227:L227)</f>
        <v>8.6666666666666661</v>
      </c>
    </row>
    <row r="228" spans="1:16" ht="14.5" x14ac:dyDescent="0.35">
      <c r="A228" s="62" t="s">
        <v>28</v>
      </c>
      <c r="B228" s="62" t="s">
        <v>31</v>
      </c>
      <c r="C228" s="62">
        <v>1</v>
      </c>
      <c r="D228" s="62">
        <v>3</v>
      </c>
      <c r="E228" s="62">
        <v>2</v>
      </c>
      <c r="F228" s="62">
        <v>302</v>
      </c>
      <c r="G228" s="63">
        <v>3</v>
      </c>
      <c r="H228" s="63">
        <v>8</v>
      </c>
      <c r="I228" s="116">
        <v>45862</v>
      </c>
      <c r="J228" s="44">
        <v>9.1999999999999993</v>
      </c>
      <c r="K228" s="44">
        <v>8.4</v>
      </c>
      <c r="L228" s="44">
        <v>8.5</v>
      </c>
      <c r="P228" s="113">
        <f>AVERAGE(J228:L228)</f>
        <v>8.7000000000000011</v>
      </c>
    </row>
    <row r="229" spans="1:16" ht="14.5" x14ac:dyDescent="0.35">
      <c r="A229" s="62" t="s">
        <v>28</v>
      </c>
      <c r="B229" s="62" t="s">
        <v>32</v>
      </c>
      <c r="C229" s="62">
        <v>1</v>
      </c>
      <c r="D229" s="62">
        <v>4</v>
      </c>
      <c r="E229" s="62">
        <v>2</v>
      </c>
      <c r="F229" s="62">
        <v>402</v>
      </c>
      <c r="G229" s="63">
        <v>4</v>
      </c>
      <c r="H229" s="63">
        <v>8</v>
      </c>
      <c r="I229" s="116">
        <v>45862</v>
      </c>
      <c r="J229" s="44">
        <v>8.5</v>
      </c>
      <c r="K229" s="44">
        <v>9.1</v>
      </c>
      <c r="L229" s="44">
        <v>8.6</v>
      </c>
      <c r="P229" s="113">
        <f>AVERAGE(J229:L229)</f>
        <v>8.7333333333333343</v>
      </c>
    </row>
    <row r="230" spans="1:16" ht="14.5" x14ac:dyDescent="0.35">
      <c r="A230" s="62" t="s">
        <v>33</v>
      </c>
      <c r="B230" s="62" t="s">
        <v>29</v>
      </c>
      <c r="C230" s="62">
        <v>1</v>
      </c>
      <c r="D230" s="62">
        <v>4</v>
      </c>
      <c r="E230" s="62">
        <v>4</v>
      </c>
      <c r="F230" s="62">
        <v>404</v>
      </c>
      <c r="G230" s="63">
        <v>5</v>
      </c>
      <c r="H230" s="63">
        <v>8</v>
      </c>
      <c r="I230" s="116">
        <v>45911</v>
      </c>
      <c r="J230" s="44">
        <v>10</v>
      </c>
      <c r="K230" s="44">
        <v>9.6</v>
      </c>
      <c r="L230" s="44">
        <v>10.3</v>
      </c>
    </row>
    <row r="231" spans="1:16" ht="14.5" x14ac:dyDescent="0.35">
      <c r="A231" s="62" t="s">
        <v>33</v>
      </c>
      <c r="B231" s="62" t="s">
        <v>35</v>
      </c>
      <c r="C231" s="62">
        <v>1</v>
      </c>
      <c r="D231" s="62">
        <v>3</v>
      </c>
      <c r="E231" s="62">
        <v>4</v>
      </c>
      <c r="F231" s="62">
        <v>304</v>
      </c>
      <c r="G231" s="63">
        <v>6</v>
      </c>
      <c r="H231" s="63">
        <v>8</v>
      </c>
      <c r="I231" s="116">
        <v>45911</v>
      </c>
      <c r="J231" s="44">
        <v>9.8000000000000007</v>
      </c>
      <c r="K231" s="44">
        <v>9.8000000000000007</v>
      </c>
      <c r="L231" s="44">
        <v>9.8000000000000007</v>
      </c>
    </row>
    <row r="232" spans="1:16" ht="14.5" x14ac:dyDescent="0.35">
      <c r="A232" s="62" t="s">
        <v>33</v>
      </c>
      <c r="B232" s="62" t="s">
        <v>30</v>
      </c>
      <c r="C232" s="62">
        <v>1</v>
      </c>
      <c r="D232" s="62">
        <v>2</v>
      </c>
      <c r="E232" s="62">
        <v>4</v>
      </c>
      <c r="F232" s="62">
        <v>204</v>
      </c>
      <c r="G232" s="63">
        <v>7</v>
      </c>
      <c r="H232" s="63">
        <v>8</v>
      </c>
      <c r="I232" s="116">
        <v>45911</v>
      </c>
      <c r="J232" s="44">
        <v>10.4</v>
      </c>
      <c r="K232" s="44">
        <v>10.3</v>
      </c>
      <c r="L232" s="44">
        <v>10.8</v>
      </c>
    </row>
    <row r="233" spans="1:16" ht="14.5" x14ac:dyDescent="0.35">
      <c r="A233" s="62" t="s">
        <v>33</v>
      </c>
      <c r="B233" s="62" t="s">
        <v>34</v>
      </c>
      <c r="C233" s="62">
        <v>1</v>
      </c>
      <c r="D233" s="62">
        <v>1</v>
      </c>
      <c r="E233" s="62">
        <v>4</v>
      </c>
      <c r="F233" s="62">
        <v>104</v>
      </c>
      <c r="G233" s="63">
        <v>8</v>
      </c>
      <c r="H233" s="63">
        <v>8</v>
      </c>
      <c r="I233" s="116">
        <v>45911</v>
      </c>
      <c r="J233" s="44">
        <v>9.4</v>
      </c>
      <c r="K233" s="44">
        <v>9.3000000000000007</v>
      </c>
      <c r="L233" s="44">
        <v>9.3000000000000007</v>
      </c>
    </row>
    <row r="234" spans="1:16" ht="14.5" x14ac:dyDescent="0.35">
      <c r="A234" s="62" t="s">
        <v>28</v>
      </c>
      <c r="B234" s="62" t="s">
        <v>31</v>
      </c>
      <c r="C234" s="62">
        <v>2</v>
      </c>
      <c r="D234" s="62">
        <v>1</v>
      </c>
      <c r="E234" s="62">
        <v>6</v>
      </c>
      <c r="F234" s="62">
        <v>106</v>
      </c>
      <c r="G234" s="63">
        <v>9</v>
      </c>
      <c r="H234" s="63">
        <v>8</v>
      </c>
      <c r="I234" s="116">
        <v>45862</v>
      </c>
      <c r="J234" s="44">
        <v>8.6</v>
      </c>
      <c r="K234" s="44">
        <v>9.5</v>
      </c>
      <c r="L234" s="44">
        <v>8.4</v>
      </c>
      <c r="P234" s="113">
        <f>AVERAGE(J234:L234)</f>
        <v>8.8333333333333339</v>
      </c>
    </row>
    <row r="235" spans="1:16" ht="14.5" x14ac:dyDescent="0.35">
      <c r="A235" s="62" t="s">
        <v>28</v>
      </c>
      <c r="B235" s="62" t="s">
        <v>32</v>
      </c>
      <c r="C235" s="62">
        <v>2</v>
      </c>
      <c r="D235" s="62">
        <v>2</v>
      </c>
      <c r="E235" s="62">
        <v>6</v>
      </c>
      <c r="F235" s="62">
        <v>206</v>
      </c>
      <c r="G235" s="63">
        <v>10</v>
      </c>
      <c r="H235" s="63">
        <v>8</v>
      </c>
      <c r="I235" s="116">
        <v>45862</v>
      </c>
      <c r="J235" s="44">
        <v>9.1</v>
      </c>
      <c r="K235" s="44">
        <v>9</v>
      </c>
      <c r="L235" s="44">
        <v>9</v>
      </c>
      <c r="P235" s="113">
        <f>AVERAGE(J235:L235)</f>
        <v>9.0333333333333332</v>
      </c>
    </row>
    <row r="236" spans="1:16" ht="14.5" x14ac:dyDescent="0.35">
      <c r="A236" s="62" t="s">
        <v>28</v>
      </c>
      <c r="B236" s="62" t="s">
        <v>30</v>
      </c>
      <c r="C236" s="62">
        <v>2</v>
      </c>
      <c r="D236" s="62">
        <v>3</v>
      </c>
      <c r="E236" s="62">
        <v>6</v>
      </c>
      <c r="F236" s="62">
        <v>306</v>
      </c>
      <c r="G236" s="63">
        <v>11</v>
      </c>
      <c r="H236" s="63">
        <v>8</v>
      </c>
      <c r="I236" s="116">
        <v>45862</v>
      </c>
      <c r="J236" s="44">
        <v>8.3000000000000007</v>
      </c>
      <c r="K236" s="44">
        <v>9.3000000000000007</v>
      </c>
      <c r="L236" s="44">
        <v>9</v>
      </c>
      <c r="P236" s="113">
        <f>AVERAGE(J236:L236)</f>
        <v>8.8666666666666671</v>
      </c>
    </row>
    <row r="237" spans="1:16" ht="14.5" x14ac:dyDescent="0.35">
      <c r="A237" s="62" t="s">
        <v>28</v>
      </c>
      <c r="B237" s="62" t="s">
        <v>29</v>
      </c>
      <c r="C237" s="62">
        <v>2</v>
      </c>
      <c r="D237" s="62">
        <v>4</v>
      </c>
      <c r="E237" s="62">
        <v>6</v>
      </c>
      <c r="F237" s="62">
        <v>406</v>
      </c>
      <c r="G237" s="63">
        <v>12</v>
      </c>
      <c r="H237" s="63">
        <v>8</v>
      </c>
      <c r="I237" s="116">
        <v>45862</v>
      </c>
      <c r="J237" s="44">
        <v>8.4</v>
      </c>
      <c r="K237" s="44">
        <v>8.4</v>
      </c>
      <c r="L237" s="44">
        <v>9</v>
      </c>
      <c r="P237" s="113">
        <f>AVERAGE(J237:L237)</f>
        <v>8.6</v>
      </c>
    </row>
    <row r="238" spans="1:16" ht="14.5" x14ac:dyDescent="0.35">
      <c r="A238" s="62" t="s">
        <v>33</v>
      </c>
      <c r="B238" s="62" t="s">
        <v>34</v>
      </c>
      <c r="C238" s="62">
        <v>2</v>
      </c>
      <c r="D238" s="62">
        <v>4</v>
      </c>
      <c r="E238" s="62">
        <v>8</v>
      </c>
      <c r="F238" s="62">
        <v>408</v>
      </c>
      <c r="G238" s="63">
        <v>13</v>
      </c>
      <c r="H238" s="63">
        <v>8</v>
      </c>
      <c r="I238" s="116">
        <v>45911</v>
      </c>
      <c r="J238" s="44">
        <v>9.4</v>
      </c>
      <c r="K238" s="44">
        <v>9.4</v>
      </c>
      <c r="L238" s="44">
        <v>9</v>
      </c>
    </row>
    <row r="239" spans="1:16" ht="14.5" x14ac:dyDescent="0.35">
      <c r="A239" s="62" t="s">
        <v>33</v>
      </c>
      <c r="B239" s="62" t="s">
        <v>30</v>
      </c>
      <c r="C239" s="62">
        <v>2</v>
      </c>
      <c r="D239" s="62">
        <v>3</v>
      </c>
      <c r="E239" s="62">
        <v>8</v>
      </c>
      <c r="F239" s="62">
        <v>308</v>
      </c>
      <c r="G239" s="63">
        <v>14</v>
      </c>
      <c r="H239" s="63">
        <v>8</v>
      </c>
      <c r="I239" s="116">
        <v>45911</v>
      </c>
      <c r="J239" s="44">
        <v>10.199999999999999</v>
      </c>
      <c r="K239" s="44">
        <v>9.9</v>
      </c>
      <c r="L239" s="44">
        <v>9.9</v>
      </c>
    </row>
    <row r="240" spans="1:16" ht="14.5" x14ac:dyDescent="0.35">
      <c r="A240" s="62" t="s">
        <v>33</v>
      </c>
      <c r="B240" s="62" t="s">
        <v>29</v>
      </c>
      <c r="C240" s="62">
        <v>2</v>
      </c>
      <c r="D240" s="62">
        <v>2</v>
      </c>
      <c r="E240" s="62">
        <v>8</v>
      </c>
      <c r="F240" s="62">
        <v>208</v>
      </c>
      <c r="G240" s="63">
        <v>15</v>
      </c>
      <c r="H240" s="63">
        <v>8</v>
      </c>
      <c r="I240" s="116">
        <v>45911</v>
      </c>
      <c r="J240" s="44">
        <v>10.5</v>
      </c>
      <c r="K240" s="44">
        <v>10.3</v>
      </c>
      <c r="L240" s="44">
        <v>9.6999999999999993</v>
      </c>
    </row>
    <row r="241" spans="1:16" ht="14.5" x14ac:dyDescent="0.35">
      <c r="A241" s="62" t="s">
        <v>33</v>
      </c>
      <c r="B241" s="62" t="s">
        <v>35</v>
      </c>
      <c r="C241" s="62">
        <v>2</v>
      </c>
      <c r="D241" s="62">
        <v>1</v>
      </c>
      <c r="E241" s="62">
        <v>8</v>
      </c>
      <c r="F241" s="62">
        <v>108</v>
      </c>
      <c r="G241" s="63">
        <v>16</v>
      </c>
      <c r="H241" s="63">
        <v>8</v>
      </c>
      <c r="I241" s="116">
        <v>45911</v>
      </c>
      <c r="J241" s="44">
        <v>9.9</v>
      </c>
      <c r="K241" s="44">
        <v>8.9</v>
      </c>
      <c r="L241" s="44">
        <v>9.3000000000000007</v>
      </c>
    </row>
    <row r="242" spans="1:16" ht="14.5" x14ac:dyDescent="0.35">
      <c r="A242" s="62" t="s">
        <v>28</v>
      </c>
      <c r="B242" s="62" t="s">
        <v>32</v>
      </c>
      <c r="C242" s="62">
        <v>3</v>
      </c>
      <c r="D242" s="62">
        <v>1</v>
      </c>
      <c r="E242" s="62">
        <v>10</v>
      </c>
      <c r="F242" s="62">
        <v>110</v>
      </c>
      <c r="G242" s="63">
        <v>17</v>
      </c>
      <c r="H242" s="63">
        <v>8</v>
      </c>
      <c r="I242" s="116">
        <v>45862</v>
      </c>
      <c r="J242" s="44">
        <v>7.9</v>
      </c>
      <c r="K242" s="44">
        <v>8.4</v>
      </c>
      <c r="L242" s="44">
        <v>8.3000000000000007</v>
      </c>
      <c r="P242" s="113">
        <f>AVERAGE(J242:L242)</f>
        <v>8.2000000000000011</v>
      </c>
    </row>
    <row r="243" spans="1:16" ht="14.5" x14ac:dyDescent="0.35">
      <c r="A243" s="62" t="s">
        <v>28</v>
      </c>
      <c r="B243" s="62" t="s">
        <v>31</v>
      </c>
      <c r="C243" s="62">
        <v>3</v>
      </c>
      <c r="D243" s="62">
        <v>2</v>
      </c>
      <c r="E243" s="62">
        <v>10</v>
      </c>
      <c r="F243" s="62">
        <v>210</v>
      </c>
      <c r="G243" s="63">
        <v>18</v>
      </c>
      <c r="H243" s="63">
        <v>8</v>
      </c>
      <c r="I243" s="116">
        <v>45862</v>
      </c>
      <c r="J243" s="44">
        <v>9.1</v>
      </c>
      <c r="K243" s="44">
        <v>9.3000000000000007</v>
      </c>
      <c r="L243" s="44">
        <v>9.4</v>
      </c>
      <c r="P243" s="113">
        <f>AVERAGE(J243:L243)</f>
        <v>9.2666666666666657</v>
      </c>
    </row>
    <row r="244" spans="1:16" ht="14.5" x14ac:dyDescent="0.35">
      <c r="A244" s="62" t="s">
        <v>28</v>
      </c>
      <c r="B244" s="62" t="s">
        <v>29</v>
      </c>
      <c r="C244" s="62">
        <v>3</v>
      </c>
      <c r="D244" s="62">
        <v>3</v>
      </c>
      <c r="E244" s="62">
        <v>10</v>
      </c>
      <c r="F244" s="62">
        <v>310</v>
      </c>
      <c r="G244" s="63">
        <v>19</v>
      </c>
      <c r="H244" s="63">
        <v>8</v>
      </c>
      <c r="I244" s="116">
        <v>45862</v>
      </c>
      <c r="J244" s="44">
        <v>8.9</v>
      </c>
      <c r="K244" s="44">
        <v>8.1</v>
      </c>
      <c r="L244" s="44">
        <v>8</v>
      </c>
      <c r="P244" s="113">
        <f>AVERAGE(J244:L244)</f>
        <v>8.3333333333333339</v>
      </c>
    </row>
    <row r="245" spans="1:16" ht="14.5" x14ac:dyDescent="0.35">
      <c r="A245" s="62" t="s">
        <v>28</v>
      </c>
      <c r="B245" s="62" t="s">
        <v>30</v>
      </c>
      <c r="C245" s="62">
        <v>3</v>
      </c>
      <c r="D245" s="62">
        <v>4</v>
      </c>
      <c r="E245" s="62">
        <v>10</v>
      </c>
      <c r="F245" s="62">
        <v>410</v>
      </c>
      <c r="G245" s="63">
        <v>20</v>
      </c>
      <c r="H245" s="63">
        <v>8</v>
      </c>
      <c r="I245" s="116">
        <v>45862</v>
      </c>
      <c r="J245" s="44">
        <v>8.6999999999999993</v>
      </c>
      <c r="K245" s="44">
        <v>9.3000000000000007</v>
      </c>
      <c r="L245" s="44">
        <v>9.3000000000000007</v>
      </c>
      <c r="P245" s="113">
        <f>AVERAGE(J245:L245)</f>
        <v>9.1</v>
      </c>
    </row>
    <row r="246" spans="1:16" ht="14.5" x14ac:dyDescent="0.35">
      <c r="A246" s="62" t="s">
        <v>33</v>
      </c>
      <c r="B246" s="62" t="s">
        <v>30</v>
      </c>
      <c r="C246" s="62">
        <v>3</v>
      </c>
      <c r="D246" s="62">
        <v>4</v>
      </c>
      <c r="E246" s="62">
        <v>12</v>
      </c>
      <c r="F246" s="62">
        <v>412</v>
      </c>
      <c r="G246" s="63">
        <v>21</v>
      </c>
      <c r="H246" s="63">
        <v>8</v>
      </c>
      <c r="I246" s="116">
        <v>45911</v>
      </c>
      <c r="J246" s="44">
        <v>10.199999999999999</v>
      </c>
      <c r="K246" s="44">
        <v>10.199999999999999</v>
      </c>
      <c r="L246" s="44">
        <v>10.1</v>
      </c>
    </row>
    <row r="247" spans="1:16" ht="14.5" x14ac:dyDescent="0.35">
      <c r="A247" s="62" t="s">
        <v>33</v>
      </c>
      <c r="B247" s="62" t="s">
        <v>34</v>
      </c>
      <c r="C247" s="62">
        <v>3</v>
      </c>
      <c r="D247" s="62">
        <v>3</v>
      </c>
      <c r="E247" s="62">
        <v>12</v>
      </c>
      <c r="F247" s="62">
        <v>312</v>
      </c>
      <c r="G247" s="63">
        <v>22</v>
      </c>
      <c r="H247" s="63">
        <v>8</v>
      </c>
      <c r="I247" s="116">
        <v>45911</v>
      </c>
      <c r="J247" s="44">
        <v>8.9</v>
      </c>
      <c r="K247" s="44">
        <v>8.8000000000000007</v>
      </c>
      <c r="L247" s="44">
        <v>9.1</v>
      </c>
    </row>
    <row r="248" spans="1:16" ht="14.5" x14ac:dyDescent="0.35">
      <c r="A248" s="62" t="s">
        <v>33</v>
      </c>
      <c r="B248" s="62" t="s">
        <v>35</v>
      </c>
      <c r="C248" s="62">
        <v>3</v>
      </c>
      <c r="D248" s="62">
        <v>2</v>
      </c>
      <c r="E248" s="62">
        <v>12</v>
      </c>
      <c r="F248" s="62">
        <v>212</v>
      </c>
      <c r="G248" s="63">
        <v>23</v>
      </c>
      <c r="H248" s="63">
        <v>8</v>
      </c>
      <c r="I248" s="116">
        <v>45911</v>
      </c>
      <c r="J248" s="44">
        <v>9.9</v>
      </c>
      <c r="K248" s="44">
        <v>9.4</v>
      </c>
      <c r="L248" s="44">
        <v>9.1</v>
      </c>
    </row>
    <row r="249" spans="1:16" ht="14.5" x14ac:dyDescent="0.35">
      <c r="A249" s="62" t="s">
        <v>33</v>
      </c>
      <c r="B249" s="62" t="s">
        <v>29</v>
      </c>
      <c r="C249" s="62">
        <v>3</v>
      </c>
      <c r="D249" s="62">
        <v>1</v>
      </c>
      <c r="E249" s="62">
        <v>12</v>
      </c>
      <c r="F249" s="62">
        <v>112</v>
      </c>
      <c r="G249" s="63">
        <v>24</v>
      </c>
      <c r="H249" s="63">
        <v>8</v>
      </c>
      <c r="I249" s="116">
        <v>45911</v>
      </c>
      <c r="J249" s="44">
        <v>9.6999999999999993</v>
      </c>
      <c r="K249" s="44">
        <v>9.8000000000000007</v>
      </c>
      <c r="L249" s="44">
        <v>10.4</v>
      </c>
    </row>
    <row r="250" spans="1:16" ht="14.5" x14ac:dyDescent="0.35">
      <c r="A250" s="62" t="s">
        <v>28</v>
      </c>
      <c r="B250" s="62" t="s">
        <v>30</v>
      </c>
      <c r="C250" s="62">
        <v>4</v>
      </c>
      <c r="D250" s="62">
        <v>1</v>
      </c>
      <c r="E250" s="62">
        <v>14</v>
      </c>
      <c r="F250" s="62">
        <v>114</v>
      </c>
      <c r="G250" s="63">
        <v>25</v>
      </c>
      <c r="H250" s="63">
        <v>8</v>
      </c>
      <c r="I250" s="116">
        <v>45862</v>
      </c>
      <c r="J250" s="44">
        <v>9.9</v>
      </c>
      <c r="K250" s="44">
        <v>9.1</v>
      </c>
      <c r="L250" s="44">
        <v>8.6999999999999993</v>
      </c>
      <c r="P250" s="113">
        <f>AVERAGE(J250:L250)</f>
        <v>9.2333333333333325</v>
      </c>
    </row>
    <row r="251" spans="1:16" ht="14.5" x14ac:dyDescent="0.35">
      <c r="A251" s="62" t="s">
        <v>28</v>
      </c>
      <c r="B251" s="62" t="s">
        <v>29</v>
      </c>
      <c r="C251" s="62">
        <v>4</v>
      </c>
      <c r="D251" s="62">
        <v>2</v>
      </c>
      <c r="E251" s="62">
        <v>14</v>
      </c>
      <c r="F251" s="62">
        <v>214</v>
      </c>
      <c r="G251" s="63">
        <v>26</v>
      </c>
      <c r="H251" s="63">
        <v>8</v>
      </c>
      <c r="I251" s="116">
        <v>45862</v>
      </c>
      <c r="J251" s="44">
        <v>8.6</v>
      </c>
      <c r="K251" s="44">
        <v>8.5</v>
      </c>
      <c r="L251" s="44">
        <v>8.5</v>
      </c>
      <c r="P251" s="113">
        <f>AVERAGE(J251:L251)</f>
        <v>8.5333333333333332</v>
      </c>
    </row>
    <row r="252" spans="1:16" ht="14.5" x14ac:dyDescent="0.35">
      <c r="A252" s="62" t="s">
        <v>28</v>
      </c>
      <c r="B252" s="62" t="s">
        <v>32</v>
      </c>
      <c r="C252" s="62">
        <v>4</v>
      </c>
      <c r="D252" s="62">
        <v>3</v>
      </c>
      <c r="E252" s="62">
        <v>14</v>
      </c>
      <c r="F252" s="62">
        <v>314</v>
      </c>
      <c r="G252" s="63">
        <v>27</v>
      </c>
      <c r="H252" s="63">
        <v>8</v>
      </c>
      <c r="I252" s="116">
        <v>45862</v>
      </c>
      <c r="J252" s="44">
        <v>8.4</v>
      </c>
      <c r="K252" s="44">
        <v>8.3000000000000007</v>
      </c>
      <c r="L252" s="44">
        <v>8.3000000000000007</v>
      </c>
      <c r="P252" s="113">
        <f>AVERAGE(J252:L252)</f>
        <v>8.3333333333333339</v>
      </c>
    </row>
    <row r="253" spans="1:16" ht="14.5" x14ac:dyDescent="0.35">
      <c r="A253" s="62" t="s">
        <v>28</v>
      </c>
      <c r="B253" s="62" t="s">
        <v>31</v>
      </c>
      <c r="C253" s="62">
        <v>4</v>
      </c>
      <c r="D253" s="62">
        <v>4</v>
      </c>
      <c r="E253" s="62">
        <v>14</v>
      </c>
      <c r="F253" s="62">
        <v>414</v>
      </c>
      <c r="G253" s="63">
        <v>28</v>
      </c>
      <c r="H253" s="63">
        <v>8</v>
      </c>
      <c r="I253" s="116">
        <v>45862</v>
      </c>
      <c r="J253" s="44">
        <v>8.4</v>
      </c>
      <c r="K253" s="44">
        <v>8.6</v>
      </c>
      <c r="L253" s="44">
        <v>9.1</v>
      </c>
      <c r="P253" s="113">
        <f>AVERAGE(J253:L253)</f>
        <v>8.7000000000000011</v>
      </c>
    </row>
    <row r="254" spans="1:16" ht="14.5" x14ac:dyDescent="0.35">
      <c r="A254" s="62" t="s">
        <v>33</v>
      </c>
      <c r="B254" s="62" t="s">
        <v>35</v>
      </c>
      <c r="C254" s="62">
        <v>4</v>
      </c>
      <c r="D254" s="62">
        <v>4</v>
      </c>
      <c r="E254" s="62">
        <v>16</v>
      </c>
      <c r="F254" s="62">
        <v>416</v>
      </c>
      <c r="G254" s="63">
        <v>29</v>
      </c>
      <c r="H254" s="63">
        <v>8</v>
      </c>
      <c r="I254" s="116">
        <v>45911</v>
      </c>
      <c r="J254" s="44">
        <v>9.9</v>
      </c>
      <c r="K254" s="44">
        <v>8.9</v>
      </c>
      <c r="L254" s="44">
        <v>9.9</v>
      </c>
    </row>
    <row r="255" spans="1:16" ht="14.5" x14ac:dyDescent="0.35">
      <c r="A255" s="62" t="s">
        <v>33</v>
      </c>
      <c r="B255" s="62" t="s">
        <v>29</v>
      </c>
      <c r="C255" s="62">
        <v>4</v>
      </c>
      <c r="D255" s="62">
        <v>3</v>
      </c>
      <c r="E255" s="62">
        <v>16</v>
      </c>
      <c r="F255" s="62">
        <v>316</v>
      </c>
      <c r="G255" s="63">
        <v>30</v>
      </c>
      <c r="H255" s="63">
        <v>8</v>
      </c>
      <c r="I255" s="116">
        <v>45911</v>
      </c>
      <c r="J255" s="44">
        <v>9.8000000000000007</v>
      </c>
      <c r="K255" s="44">
        <v>9.4</v>
      </c>
      <c r="L255" s="44">
        <v>9.5</v>
      </c>
    </row>
    <row r="256" spans="1:16" ht="14.5" x14ac:dyDescent="0.35">
      <c r="A256" s="62" t="s">
        <v>33</v>
      </c>
      <c r="B256" s="62" t="s">
        <v>34</v>
      </c>
      <c r="C256" s="62">
        <v>4</v>
      </c>
      <c r="D256" s="62">
        <v>2</v>
      </c>
      <c r="E256" s="62">
        <v>16</v>
      </c>
      <c r="F256" s="62">
        <v>216</v>
      </c>
      <c r="G256" s="63">
        <v>31</v>
      </c>
      <c r="H256" s="63">
        <v>8</v>
      </c>
      <c r="I256" s="116">
        <v>45911</v>
      </c>
      <c r="J256" s="44">
        <v>9.4</v>
      </c>
      <c r="K256" s="44">
        <v>9.1999999999999993</v>
      </c>
      <c r="L256" s="44">
        <v>9.5</v>
      </c>
    </row>
    <row r="257" spans="1:16" ht="14.5" x14ac:dyDescent="0.35">
      <c r="A257" s="62" t="s">
        <v>33</v>
      </c>
      <c r="B257" s="62" t="s">
        <v>30</v>
      </c>
      <c r="C257" s="62">
        <v>4</v>
      </c>
      <c r="D257" s="62">
        <v>1</v>
      </c>
      <c r="E257" s="62">
        <v>16</v>
      </c>
      <c r="F257" s="62">
        <v>116</v>
      </c>
      <c r="G257" s="63">
        <v>32</v>
      </c>
      <c r="H257" s="63">
        <v>8</v>
      </c>
      <c r="I257" s="116">
        <v>45911</v>
      </c>
      <c r="J257" s="44">
        <v>9.9</v>
      </c>
      <c r="K257" s="44">
        <v>9.6</v>
      </c>
      <c r="L257" s="44">
        <v>9.8000000000000007</v>
      </c>
    </row>
    <row r="258" spans="1:16" ht="14.5" x14ac:dyDescent="0.35">
      <c r="A258" s="62" t="s">
        <v>28</v>
      </c>
      <c r="B258" s="62" t="s">
        <v>29</v>
      </c>
      <c r="C258" s="62">
        <v>1</v>
      </c>
      <c r="D258" s="62">
        <v>1</v>
      </c>
      <c r="E258" s="62">
        <v>2</v>
      </c>
      <c r="F258" s="62">
        <v>102</v>
      </c>
      <c r="G258" s="63">
        <v>1</v>
      </c>
      <c r="H258" s="63">
        <v>9</v>
      </c>
      <c r="I258" s="116">
        <v>45873</v>
      </c>
      <c r="J258" s="44">
        <v>10.3</v>
      </c>
      <c r="K258" s="44">
        <v>9.6</v>
      </c>
      <c r="L258" s="44">
        <v>10.4</v>
      </c>
      <c r="P258" s="113">
        <f t="shared" ref="P258:P317" si="6">AVERAGE(J258:L258)</f>
        <v>10.1</v>
      </c>
    </row>
    <row r="259" spans="1:16" ht="14.5" x14ac:dyDescent="0.35">
      <c r="A259" s="62" t="s">
        <v>28</v>
      </c>
      <c r="B259" s="62" t="s">
        <v>30</v>
      </c>
      <c r="C259" s="62">
        <v>1</v>
      </c>
      <c r="D259" s="62">
        <v>2</v>
      </c>
      <c r="E259" s="62">
        <v>2</v>
      </c>
      <c r="F259" s="62">
        <v>202</v>
      </c>
      <c r="G259" s="63">
        <v>2</v>
      </c>
      <c r="H259" s="63">
        <v>9</v>
      </c>
      <c r="I259" s="116">
        <v>45873</v>
      </c>
      <c r="J259" s="44">
        <v>9.8000000000000007</v>
      </c>
      <c r="K259" s="44">
        <v>9.1999999999999993</v>
      </c>
      <c r="L259" s="44">
        <v>9.4</v>
      </c>
      <c r="P259" s="113">
        <f t="shared" si="6"/>
        <v>9.4666666666666668</v>
      </c>
    </row>
    <row r="260" spans="1:16" ht="14.5" x14ac:dyDescent="0.35">
      <c r="A260" s="62" t="s">
        <v>28</v>
      </c>
      <c r="B260" s="62" t="s">
        <v>31</v>
      </c>
      <c r="C260" s="62">
        <v>1</v>
      </c>
      <c r="D260" s="62">
        <v>3</v>
      </c>
      <c r="E260" s="62">
        <v>2</v>
      </c>
      <c r="F260" s="62">
        <v>302</v>
      </c>
      <c r="G260" s="63">
        <v>3</v>
      </c>
      <c r="H260" s="63">
        <v>9</v>
      </c>
      <c r="I260" s="116">
        <v>45873</v>
      </c>
      <c r="J260" s="44">
        <v>9.9</v>
      </c>
      <c r="K260" s="44">
        <v>9.1999999999999993</v>
      </c>
      <c r="L260" s="44">
        <v>9.4</v>
      </c>
      <c r="P260" s="113">
        <f t="shared" si="6"/>
        <v>9.5</v>
      </c>
    </row>
    <row r="261" spans="1:16" ht="14.5" x14ac:dyDescent="0.35">
      <c r="A261" s="62" t="s">
        <v>28</v>
      </c>
      <c r="B261" s="62" t="s">
        <v>32</v>
      </c>
      <c r="C261" s="62">
        <v>1</v>
      </c>
      <c r="D261" s="62">
        <v>4</v>
      </c>
      <c r="E261" s="62">
        <v>2</v>
      </c>
      <c r="F261" s="62">
        <v>402</v>
      </c>
      <c r="G261" s="63">
        <v>4</v>
      </c>
      <c r="H261" s="63">
        <v>9</v>
      </c>
      <c r="I261" s="116">
        <v>45873</v>
      </c>
      <c r="J261" s="44">
        <v>9.3000000000000007</v>
      </c>
      <c r="K261" s="44">
        <v>9.6999999999999993</v>
      </c>
      <c r="L261" s="44">
        <v>9.4</v>
      </c>
      <c r="P261" s="113">
        <f t="shared" si="6"/>
        <v>9.4666666666666668</v>
      </c>
    </row>
    <row r="262" spans="1:16" ht="14.5" x14ac:dyDescent="0.35">
      <c r="A262" s="62" t="s">
        <v>33</v>
      </c>
      <c r="B262" s="62" t="s">
        <v>29</v>
      </c>
      <c r="C262" s="62">
        <v>1</v>
      </c>
      <c r="D262" s="62">
        <v>4</v>
      </c>
      <c r="E262" s="62">
        <v>4</v>
      </c>
      <c r="F262" s="62">
        <v>404</v>
      </c>
      <c r="G262" s="63">
        <v>5</v>
      </c>
      <c r="H262" s="63">
        <v>9</v>
      </c>
      <c r="I262" s="116">
        <v>45924</v>
      </c>
      <c r="J262" s="44">
        <v>11</v>
      </c>
      <c r="K262" s="44">
        <v>10</v>
      </c>
      <c r="L262" s="44">
        <v>11</v>
      </c>
    </row>
    <row r="263" spans="1:16" ht="14.5" x14ac:dyDescent="0.35">
      <c r="A263" s="62" t="s">
        <v>33</v>
      </c>
      <c r="B263" s="62" t="s">
        <v>35</v>
      </c>
      <c r="C263" s="62">
        <v>1</v>
      </c>
      <c r="D263" s="62">
        <v>3</v>
      </c>
      <c r="E263" s="62">
        <v>4</v>
      </c>
      <c r="F263" s="62">
        <v>304</v>
      </c>
      <c r="G263" s="63">
        <v>6</v>
      </c>
      <c r="H263" s="63">
        <v>9</v>
      </c>
      <c r="I263" s="116">
        <v>45924</v>
      </c>
      <c r="J263" s="44">
        <v>11</v>
      </c>
      <c r="K263" s="44">
        <v>11</v>
      </c>
      <c r="L263" s="44">
        <v>11</v>
      </c>
    </row>
    <row r="264" spans="1:16" ht="14.5" x14ac:dyDescent="0.35">
      <c r="A264" s="62" t="s">
        <v>33</v>
      </c>
      <c r="B264" s="62" t="s">
        <v>30</v>
      </c>
      <c r="C264" s="62">
        <v>1</v>
      </c>
      <c r="D264" s="62">
        <v>2</v>
      </c>
      <c r="E264" s="62">
        <v>4</v>
      </c>
      <c r="F264" s="62">
        <v>204</v>
      </c>
      <c r="G264" s="63">
        <v>7</v>
      </c>
      <c r="H264" s="63">
        <v>9</v>
      </c>
      <c r="I264" s="116">
        <v>45924</v>
      </c>
      <c r="J264" s="44">
        <v>11</v>
      </c>
      <c r="K264" s="44">
        <v>11</v>
      </c>
      <c r="L264" s="44">
        <v>12</v>
      </c>
    </row>
    <row r="265" spans="1:16" ht="14.5" x14ac:dyDescent="0.35">
      <c r="A265" s="62" t="s">
        <v>33</v>
      </c>
      <c r="B265" s="62" t="s">
        <v>34</v>
      </c>
      <c r="C265" s="62">
        <v>1</v>
      </c>
      <c r="D265" s="62">
        <v>1</v>
      </c>
      <c r="E265" s="62">
        <v>4</v>
      </c>
      <c r="F265" s="62">
        <v>104</v>
      </c>
      <c r="G265" s="63">
        <v>8</v>
      </c>
      <c r="H265" s="63">
        <v>9</v>
      </c>
      <c r="I265" s="116">
        <v>45924</v>
      </c>
      <c r="J265" s="44">
        <v>10</v>
      </c>
      <c r="K265" s="44">
        <v>10</v>
      </c>
      <c r="L265" s="44">
        <v>10</v>
      </c>
    </row>
    <row r="266" spans="1:16" ht="14.5" x14ac:dyDescent="0.35">
      <c r="A266" s="62" t="s">
        <v>28</v>
      </c>
      <c r="B266" s="62" t="s">
        <v>31</v>
      </c>
      <c r="C266" s="62">
        <v>2</v>
      </c>
      <c r="D266" s="62">
        <v>1</v>
      </c>
      <c r="E266" s="62">
        <v>6</v>
      </c>
      <c r="F266" s="62">
        <v>106</v>
      </c>
      <c r="G266" s="63">
        <v>9</v>
      </c>
      <c r="H266" s="63">
        <v>9</v>
      </c>
      <c r="I266" s="116">
        <v>45873</v>
      </c>
      <c r="J266" s="44">
        <v>9.6999999999999993</v>
      </c>
      <c r="K266" s="44">
        <v>10.4</v>
      </c>
      <c r="L266" s="44">
        <v>9.3000000000000007</v>
      </c>
      <c r="P266" s="113">
        <f t="shared" si="6"/>
        <v>9.8000000000000007</v>
      </c>
    </row>
    <row r="267" spans="1:16" ht="14.5" x14ac:dyDescent="0.35">
      <c r="A267" s="62" t="s">
        <v>28</v>
      </c>
      <c r="B267" s="62" t="s">
        <v>32</v>
      </c>
      <c r="C267" s="62">
        <v>2</v>
      </c>
      <c r="D267" s="62">
        <v>2</v>
      </c>
      <c r="E267" s="62">
        <v>6</v>
      </c>
      <c r="F267" s="62">
        <v>206</v>
      </c>
      <c r="G267" s="63">
        <v>10</v>
      </c>
      <c r="H267" s="63">
        <v>9</v>
      </c>
      <c r="I267" s="116">
        <v>45873</v>
      </c>
      <c r="J267" s="44">
        <v>9.8000000000000007</v>
      </c>
      <c r="K267" s="44">
        <v>9.5</v>
      </c>
      <c r="L267" s="44">
        <v>9.6</v>
      </c>
      <c r="P267" s="113">
        <f t="shared" si="6"/>
        <v>9.6333333333333329</v>
      </c>
    </row>
    <row r="268" spans="1:16" ht="14.5" x14ac:dyDescent="0.35">
      <c r="A268" s="62" t="s">
        <v>28</v>
      </c>
      <c r="B268" s="62" t="s">
        <v>30</v>
      </c>
      <c r="C268" s="62">
        <v>2</v>
      </c>
      <c r="D268" s="62">
        <v>3</v>
      </c>
      <c r="E268" s="62">
        <v>6</v>
      </c>
      <c r="F268" s="62">
        <v>306</v>
      </c>
      <c r="G268" s="63">
        <v>11</v>
      </c>
      <c r="H268" s="63">
        <v>9</v>
      </c>
      <c r="I268" s="116">
        <v>45873</v>
      </c>
      <c r="J268" s="44">
        <v>9</v>
      </c>
      <c r="K268" s="44">
        <v>10.1</v>
      </c>
      <c r="L268" s="44">
        <v>9.8000000000000007</v>
      </c>
      <c r="P268" s="113">
        <f t="shared" si="6"/>
        <v>9.6333333333333346</v>
      </c>
    </row>
    <row r="269" spans="1:16" ht="14.5" x14ac:dyDescent="0.35">
      <c r="A269" s="62" t="s">
        <v>28</v>
      </c>
      <c r="B269" s="62" t="s">
        <v>29</v>
      </c>
      <c r="C269" s="62">
        <v>2</v>
      </c>
      <c r="D269" s="62">
        <v>4</v>
      </c>
      <c r="E269" s="62">
        <v>6</v>
      </c>
      <c r="F269" s="62">
        <v>406</v>
      </c>
      <c r="G269" s="63">
        <v>12</v>
      </c>
      <c r="H269" s="63">
        <v>9</v>
      </c>
      <c r="I269" s="116">
        <v>45873</v>
      </c>
      <c r="J269" s="44">
        <v>9.4</v>
      </c>
      <c r="K269" s="44">
        <v>9.4</v>
      </c>
      <c r="L269" s="44">
        <v>9.8000000000000007</v>
      </c>
      <c r="P269" s="113">
        <f t="shared" si="6"/>
        <v>9.5333333333333332</v>
      </c>
    </row>
    <row r="270" spans="1:16" ht="14.5" x14ac:dyDescent="0.35">
      <c r="A270" s="62" t="s">
        <v>33</v>
      </c>
      <c r="B270" s="62" t="s">
        <v>34</v>
      </c>
      <c r="C270" s="62">
        <v>2</v>
      </c>
      <c r="D270" s="62">
        <v>4</v>
      </c>
      <c r="E270" s="62">
        <v>8</v>
      </c>
      <c r="F270" s="62">
        <v>408</v>
      </c>
      <c r="G270" s="63">
        <v>13</v>
      </c>
      <c r="H270" s="63">
        <v>9</v>
      </c>
      <c r="I270" s="116">
        <v>45924</v>
      </c>
      <c r="J270" s="44">
        <v>10</v>
      </c>
      <c r="K270" s="44">
        <v>10</v>
      </c>
      <c r="L270" s="44">
        <v>10</v>
      </c>
    </row>
    <row r="271" spans="1:16" ht="14.5" x14ac:dyDescent="0.35">
      <c r="A271" s="62" t="s">
        <v>33</v>
      </c>
      <c r="B271" s="62" t="s">
        <v>30</v>
      </c>
      <c r="C271" s="62">
        <v>2</v>
      </c>
      <c r="D271" s="62">
        <v>3</v>
      </c>
      <c r="E271" s="62">
        <v>8</v>
      </c>
      <c r="F271" s="62">
        <v>308</v>
      </c>
      <c r="G271" s="63">
        <v>14</v>
      </c>
      <c r="H271" s="63">
        <v>9</v>
      </c>
      <c r="I271" s="116">
        <v>45924</v>
      </c>
      <c r="J271" s="44">
        <v>11</v>
      </c>
      <c r="K271" s="44">
        <v>11</v>
      </c>
      <c r="L271" s="44">
        <v>11</v>
      </c>
    </row>
    <row r="272" spans="1:16" ht="14.5" x14ac:dyDescent="0.35">
      <c r="A272" s="62" t="s">
        <v>33</v>
      </c>
      <c r="B272" s="62" t="s">
        <v>29</v>
      </c>
      <c r="C272" s="62">
        <v>2</v>
      </c>
      <c r="D272" s="62">
        <v>2</v>
      </c>
      <c r="E272" s="62">
        <v>8</v>
      </c>
      <c r="F272" s="62">
        <v>208</v>
      </c>
      <c r="G272" s="63">
        <v>15</v>
      </c>
      <c r="H272" s="63">
        <v>9</v>
      </c>
      <c r="I272" s="116">
        <v>45924</v>
      </c>
      <c r="J272" s="44">
        <v>11</v>
      </c>
      <c r="K272" s="44">
        <v>11</v>
      </c>
      <c r="L272" s="44">
        <v>10</v>
      </c>
    </row>
    <row r="273" spans="1:16" ht="14.5" x14ac:dyDescent="0.35">
      <c r="A273" s="62" t="s">
        <v>33</v>
      </c>
      <c r="B273" s="62" t="s">
        <v>35</v>
      </c>
      <c r="C273" s="62">
        <v>2</v>
      </c>
      <c r="D273" s="62">
        <v>1</v>
      </c>
      <c r="E273" s="62">
        <v>8</v>
      </c>
      <c r="F273" s="62">
        <v>108</v>
      </c>
      <c r="G273" s="63">
        <v>16</v>
      </c>
      <c r="H273" s="63">
        <v>9</v>
      </c>
      <c r="I273" s="116">
        <v>45924</v>
      </c>
      <c r="J273" s="44">
        <v>11</v>
      </c>
      <c r="K273" s="44">
        <v>10</v>
      </c>
      <c r="L273" s="44">
        <v>10.4</v>
      </c>
    </row>
    <row r="274" spans="1:16" ht="14.5" x14ac:dyDescent="0.35">
      <c r="A274" s="62" t="s">
        <v>28</v>
      </c>
      <c r="B274" s="62" t="s">
        <v>32</v>
      </c>
      <c r="C274" s="62">
        <v>3</v>
      </c>
      <c r="D274" s="62">
        <v>1</v>
      </c>
      <c r="E274" s="62">
        <v>10</v>
      </c>
      <c r="F274" s="62">
        <v>110</v>
      </c>
      <c r="G274" s="63">
        <v>17</v>
      </c>
      <c r="H274" s="63">
        <v>9</v>
      </c>
      <c r="I274" s="116">
        <v>45873</v>
      </c>
      <c r="J274" s="44">
        <v>8.5</v>
      </c>
      <c r="K274" s="44">
        <v>9.3000000000000007</v>
      </c>
      <c r="L274" s="44">
        <v>9</v>
      </c>
      <c r="P274" s="113">
        <f t="shared" si="6"/>
        <v>8.9333333333333336</v>
      </c>
    </row>
    <row r="275" spans="1:16" ht="14.5" x14ac:dyDescent="0.35">
      <c r="A275" s="62" t="s">
        <v>28</v>
      </c>
      <c r="B275" s="62" t="s">
        <v>31</v>
      </c>
      <c r="C275" s="62">
        <v>3</v>
      </c>
      <c r="D275" s="62">
        <v>2</v>
      </c>
      <c r="E275" s="62">
        <v>10</v>
      </c>
      <c r="F275" s="62">
        <v>210</v>
      </c>
      <c r="G275" s="63">
        <v>18</v>
      </c>
      <c r="H275" s="63">
        <v>9</v>
      </c>
      <c r="I275" s="116">
        <v>45873</v>
      </c>
      <c r="J275" s="44">
        <v>9.8000000000000007</v>
      </c>
      <c r="K275" s="44">
        <v>10.199999999999999</v>
      </c>
      <c r="L275" s="44">
        <v>10.4</v>
      </c>
      <c r="P275" s="113">
        <f t="shared" si="6"/>
        <v>10.133333333333333</v>
      </c>
    </row>
    <row r="276" spans="1:16" ht="14.5" x14ac:dyDescent="0.35">
      <c r="A276" s="62" t="s">
        <v>28</v>
      </c>
      <c r="B276" s="62" t="s">
        <v>29</v>
      </c>
      <c r="C276" s="62">
        <v>3</v>
      </c>
      <c r="D276" s="62">
        <v>3</v>
      </c>
      <c r="E276" s="62">
        <v>10</v>
      </c>
      <c r="F276" s="62">
        <v>310</v>
      </c>
      <c r="G276" s="63">
        <v>19</v>
      </c>
      <c r="H276" s="63">
        <v>9</v>
      </c>
      <c r="I276" s="116">
        <v>45873</v>
      </c>
      <c r="J276" s="44">
        <v>9.5</v>
      </c>
      <c r="K276" s="44">
        <v>8.8000000000000007</v>
      </c>
      <c r="L276" s="44">
        <v>8.8000000000000007</v>
      </c>
      <c r="P276" s="113">
        <f t="shared" si="6"/>
        <v>9.0333333333333332</v>
      </c>
    </row>
    <row r="277" spans="1:16" ht="14.5" x14ac:dyDescent="0.35">
      <c r="A277" s="62" t="s">
        <v>28</v>
      </c>
      <c r="B277" s="62" t="s">
        <v>30</v>
      </c>
      <c r="C277" s="62">
        <v>3</v>
      </c>
      <c r="D277" s="62">
        <v>4</v>
      </c>
      <c r="E277" s="62">
        <v>10</v>
      </c>
      <c r="F277" s="62">
        <v>410</v>
      </c>
      <c r="G277" s="63">
        <v>20</v>
      </c>
      <c r="H277" s="63">
        <v>9</v>
      </c>
      <c r="I277" s="116">
        <v>45873</v>
      </c>
      <c r="J277" s="44">
        <v>9.6</v>
      </c>
      <c r="K277" s="44">
        <v>10.1</v>
      </c>
      <c r="L277" s="44">
        <v>10.1</v>
      </c>
      <c r="P277" s="113">
        <f t="shared" si="6"/>
        <v>9.9333333333333318</v>
      </c>
    </row>
    <row r="278" spans="1:16" ht="14.5" x14ac:dyDescent="0.35">
      <c r="A278" s="62" t="s">
        <v>33</v>
      </c>
      <c r="B278" s="62" t="s">
        <v>30</v>
      </c>
      <c r="C278" s="62">
        <v>3</v>
      </c>
      <c r="D278" s="62">
        <v>4</v>
      </c>
      <c r="E278" s="62">
        <v>12</v>
      </c>
      <c r="F278" s="62">
        <v>412</v>
      </c>
      <c r="G278" s="63">
        <v>21</v>
      </c>
      <c r="H278" s="63">
        <v>9</v>
      </c>
      <c r="I278" s="116">
        <v>45924</v>
      </c>
      <c r="J278" s="44">
        <v>11</v>
      </c>
      <c r="K278" s="44">
        <v>11</v>
      </c>
      <c r="L278" s="44">
        <v>11</v>
      </c>
    </row>
    <row r="279" spans="1:16" ht="14.5" x14ac:dyDescent="0.35">
      <c r="A279" s="62" t="s">
        <v>33</v>
      </c>
      <c r="B279" s="62" t="s">
        <v>34</v>
      </c>
      <c r="C279" s="62">
        <v>3</v>
      </c>
      <c r="D279" s="62">
        <v>3</v>
      </c>
      <c r="E279" s="62">
        <v>12</v>
      </c>
      <c r="F279" s="62">
        <v>312</v>
      </c>
      <c r="G279" s="63">
        <v>22</v>
      </c>
      <c r="H279" s="63">
        <v>9</v>
      </c>
      <c r="I279" s="116">
        <v>45924</v>
      </c>
      <c r="J279" s="44">
        <v>10</v>
      </c>
      <c r="K279" s="44">
        <v>10</v>
      </c>
      <c r="L279" s="44">
        <v>10</v>
      </c>
    </row>
    <row r="280" spans="1:16" ht="14.5" x14ac:dyDescent="0.35">
      <c r="A280" s="62" t="s">
        <v>33</v>
      </c>
      <c r="B280" s="62" t="s">
        <v>35</v>
      </c>
      <c r="C280" s="62">
        <v>3</v>
      </c>
      <c r="D280" s="62">
        <v>2</v>
      </c>
      <c r="E280" s="62">
        <v>12</v>
      </c>
      <c r="F280" s="62">
        <v>212</v>
      </c>
      <c r="G280" s="63">
        <v>23</v>
      </c>
      <c r="H280" s="63">
        <v>9</v>
      </c>
      <c r="I280" s="116">
        <v>45924</v>
      </c>
      <c r="J280" s="44">
        <v>11</v>
      </c>
      <c r="K280" s="44">
        <v>10.5</v>
      </c>
      <c r="L280" s="44">
        <v>10</v>
      </c>
    </row>
    <row r="281" spans="1:16" ht="14.5" x14ac:dyDescent="0.35">
      <c r="A281" s="62" t="s">
        <v>33</v>
      </c>
      <c r="B281" s="62" t="s">
        <v>29</v>
      </c>
      <c r="C281" s="62">
        <v>3</v>
      </c>
      <c r="D281" s="62">
        <v>1</v>
      </c>
      <c r="E281" s="62">
        <v>12</v>
      </c>
      <c r="F281" s="62">
        <v>112</v>
      </c>
      <c r="G281" s="63">
        <v>24</v>
      </c>
      <c r="H281" s="63">
        <v>9</v>
      </c>
      <c r="I281" s="116">
        <v>45924</v>
      </c>
      <c r="J281" s="44">
        <v>10</v>
      </c>
      <c r="K281" s="44">
        <v>10</v>
      </c>
      <c r="L281" s="44">
        <v>11</v>
      </c>
    </row>
    <row r="282" spans="1:16" ht="14.5" x14ac:dyDescent="0.35">
      <c r="A282" s="62" t="s">
        <v>28</v>
      </c>
      <c r="B282" s="62" t="s">
        <v>30</v>
      </c>
      <c r="C282" s="62">
        <v>4</v>
      </c>
      <c r="D282" s="62">
        <v>1</v>
      </c>
      <c r="E282" s="62">
        <v>14</v>
      </c>
      <c r="F282" s="62">
        <v>114</v>
      </c>
      <c r="G282" s="63">
        <v>25</v>
      </c>
      <c r="H282" s="63">
        <v>9</v>
      </c>
      <c r="I282" s="116">
        <v>45873</v>
      </c>
      <c r="J282" s="44">
        <v>10.8</v>
      </c>
      <c r="K282" s="44">
        <v>9.8000000000000007</v>
      </c>
      <c r="L282" s="44">
        <v>9.6</v>
      </c>
      <c r="P282" s="113">
        <f t="shared" si="6"/>
        <v>10.066666666666668</v>
      </c>
    </row>
    <row r="283" spans="1:16" ht="14.5" x14ac:dyDescent="0.35">
      <c r="A283" s="62" t="s">
        <v>28</v>
      </c>
      <c r="B283" s="62" t="s">
        <v>29</v>
      </c>
      <c r="C283" s="62">
        <v>4</v>
      </c>
      <c r="D283" s="62">
        <v>2</v>
      </c>
      <c r="E283" s="62">
        <v>14</v>
      </c>
      <c r="F283" s="62">
        <v>214</v>
      </c>
      <c r="G283" s="63">
        <v>26</v>
      </c>
      <c r="H283" s="63">
        <v>9</v>
      </c>
      <c r="I283" s="116">
        <v>45873</v>
      </c>
      <c r="J283" s="44">
        <v>9.5</v>
      </c>
      <c r="K283" s="44">
        <v>9.3000000000000007</v>
      </c>
      <c r="L283" s="44">
        <v>9.4</v>
      </c>
      <c r="P283" s="113">
        <f t="shared" si="6"/>
        <v>9.4</v>
      </c>
    </row>
    <row r="284" spans="1:16" ht="14.5" x14ac:dyDescent="0.35">
      <c r="A284" s="62" t="s">
        <v>28</v>
      </c>
      <c r="B284" s="62" t="s">
        <v>32</v>
      </c>
      <c r="C284" s="62">
        <v>4</v>
      </c>
      <c r="D284" s="62">
        <v>3</v>
      </c>
      <c r="E284" s="62">
        <v>14</v>
      </c>
      <c r="F284" s="62">
        <v>314</v>
      </c>
      <c r="G284" s="63">
        <v>27</v>
      </c>
      <c r="H284" s="63">
        <v>9</v>
      </c>
      <c r="I284" s="116">
        <v>45873</v>
      </c>
      <c r="J284" s="44">
        <v>9</v>
      </c>
      <c r="K284" s="44">
        <v>9.1999999999999993</v>
      </c>
      <c r="L284" s="44">
        <v>9</v>
      </c>
      <c r="P284" s="113">
        <f t="shared" si="6"/>
        <v>9.0666666666666664</v>
      </c>
    </row>
    <row r="285" spans="1:16" ht="14.5" x14ac:dyDescent="0.35">
      <c r="A285" s="62" t="s">
        <v>28</v>
      </c>
      <c r="B285" s="62" t="s">
        <v>31</v>
      </c>
      <c r="C285" s="62">
        <v>4</v>
      </c>
      <c r="D285" s="62">
        <v>4</v>
      </c>
      <c r="E285" s="62">
        <v>14</v>
      </c>
      <c r="F285" s="62">
        <v>414</v>
      </c>
      <c r="G285" s="63">
        <v>28</v>
      </c>
      <c r="H285" s="63">
        <v>9</v>
      </c>
      <c r="I285" s="116">
        <v>45873</v>
      </c>
      <c r="J285" s="44">
        <v>9.1999999999999993</v>
      </c>
      <c r="K285" s="44">
        <v>9.4</v>
      </c>
      <c r="L285" s="44">
        <v>9.8000000000000007</v>
      </c>
      <c r="P285" s="113">
        <f t="shared" si="6"/>
        <v>9.4666666666666668</v>
      </c>
    </row>
    <row r="286" spans="1:16" ht="14.5" x14ac:dyDescent="0.35">
      <c r="A286" s="62" t="s">
        <v>33</v>
      </c>
      <c r="B286" s="62" t="s">
        <v>35</v>
      </c>
      <c r="C286" s="62">
        <v>4</v>
      </c>
      <c r="D286" s="62">
        <v>4</v>
      </c>
      <c r="E286" s="62">
        <v>16</v>
      </c>
      <c r="F286" s="62">
        <v>416</v>
      </c>
      <c r="G286" s="63">
        <v>29</v>
      </c>
      <c r="H286" s="63">
        <v>9</v>
      </c>
      <c r="I286" s="116">
        <v>45924</v>
      </c>
      <c r="J286" s="44">
        <v>11</v>
      </c>
      <c r="K286" s="44">
        <v>10</v>
      </c>
      <c r="L286" s="44">
        <v>11</v>
      </c>
    </row>
    <row r="287" spans="1:16" ht="14.5" x14ac:dyDescent="0.35">
      <c r="A287" s="62" t="s">
        <v>33</v>
      </c>
      <c r="B287" s="62" t="s">
        <v>29</v>
      </c>
      <c r="C287" s="62">
        <v>4</v>
      </c>
      <c r="D287" s="62">
        <v>3</v>
      </c>
      <c r="E287" s="62">
        <v>16</v>
      </c>
      <c r="F287" s="62">
        <v>316</v>
      </c>
      <c r="G287" s="63">
        <v>30</v>
      </c>
      <c r="H287" s="63">
        <v>9</v>
      </c>
      <c r="I287" s="116">
        <v>45924</v>
      </c>
      <c r="J287" s="44">
        <v>10</v>
      </c>
      <c r="K287" s="44">
        <v>10</v>
      </c>
      <c r="L287" s="44">
        <v>10</v>
      </c>
    </row>
    <row r="288" spans="1:16" ht="14.5" x14ac:dyDescent="0.35">
      <c r="A288" s="62" t="s">
        <v>33</v>
      </c>
      <c r="B288" s="62" t="s">
        <v>34</v>
      </c>
      <c r="C288" s="62">
        <v>4</v>
      </c>
      <c r="D288" s="62">
        <v>2</v>
      </c>
      <c r="E288" s="62">
        <v>16</v>
      </c>
      <c r="F288" s="62">
        <v>216</v>
      </c>
      <c r="G288" s="63">
        <v>31</v>
      </c>
      <c r="H288" s="63">
        <v>9</v>
      </c>
      <c r="I288" s="116">
        <v>45924</v>
      </c>
      <c r="J288" s="44">
        <v>10.7</v>
      </c>
      <c r="K288" s="44">
        <v>10</v>
      </c>
      <c r="L288" s="44">
        <v>10</v>
      </c>
    </row>
    <row r="289" spans="1:16" ht="14.5" x14ac:dyDescent="0.35">
      <c r="A289" s="62" t="s">
        <v>33</v>
      </c>
      <c r="B289" s="62" t="s">
        <v>30</v>
      </c>
      <c r="C289" s="62">
        <v>4</v>
      </c>
      <c r="D289" s="62">
        <v>1</v>
      </c>
      <c r="E289" s="62">
        <v>16</v>
      </c>
      <c r="F289" s="62">
        <v>116</v>
      </c>
      <c r="G289" s="63">
        <v>32</v>
      </c>
      <c r="H289" s="63">
        <v>9</v>
      </c>
      <c r="I289" s="116">
        <v>45924</v>
      </c>
      <c r="J289" s="44">
        <v>11</v>
      </c>
      <c r="K289" s="44">
        <v>11</v>
      </c>
      <c r="L289" s="44">
        <v>11</v>
      </c>
    </row>
    <row r="290" spans="1:16" ht="14.5" x14ac:dyDescent="0.35">
      <c r="A290" s="62" t="s">
        <v>28</v>
      </c>
      <c r="B290" s="62" t="s">
        <v>29</v>
      </c>
      <c r="C290" s="62">
        <v>1</v>
      </c>
      <c r="D290" s="62">
        <v>1</v>
      </c>
      <c r="E290" s="62">
        <v>2</v>
      </c>
      <c r="F290" s="62">
        <v>102</v>
      </c>
      <c r="G290" s="63">
        <v>1</v>
      </c>
      <c r="H290" s="63">
        <v>10</v>
      </c>
      <c r="I290" s="116">
        <v>45883</v>
      </c>
      <c r="J290" s="44">
        <v>11.2</v>
      </c>
      <c r="K290" s="44">
        <v>10.5</v>
      </c>
      <c r="L290" s="44">
        <v>11.2</v>
      </c>
      <c r="P290" s="113">
        <f t="shared" si="6"/>
        <v>10.966666666666667</v>
      </c>
    </row>
    <row r="291" spans="1:16" ht="14.5" x14ac:dyDescent="0.35">
      <c r="A291" s="62" t="s">
        <v>28</v>
      </c>
      <c r="B291" s="62" t="s">
        <v>30</v>
      </c>
      <c r="C291" s="62">
        <v>1</v>
      </c>
      <c r="D291" s="62">
        <v>2</v>
      </c>
      <c r="E291" s="62">
        <v>2</v>
      </c>
      <c r="F291" s="62">
        <v>202</v>
      </c>
      <c r="G291" s="63">
        <v>2</v>
      </c>
      <c r="H291" s="63">
        <v>10</v>
      </c>
      <c r="I291" s="116">
        <v>45883</v>
      </c>
      <c r="J291" s="44">
        <v>10.7</v>
      </c>
      <c r="K291" s="44">
        <v>10.1</v>
      </c>
      <c r="L291" s="44">
        <v>10.4</v>
      </c>
      <c r="P291" s="113">
        <f t="shared" si="6"/>
        <v>10.399999999999999</v>
      </c>
    </row>
    <row r="292" spans="1:16" ht="14.5" x14ac:dyDescent="0.35">
      <c r="A292" s="62" t="s">
        <v>28</v>
      </c>
      <c r="B292" s="62" t="s">
        <v>31</v>
      </c>
      <c r="C292" s="62">
        <v>1</v>
      </c>
      <c r="D292" s="62">
        <v>3</v>
      </c>
      <c r="E292" s="62">
        <v>2</v>
      </c>
      <c r="F292" s="62">
        <v>302</v>
      </c>
      <c r="G292" s="63">
        <v>3</v>
      </c>
      <c r="H292" s="63">
        <v>10</v>
      </c>
      <c r="I292" s="116">
        <v>45883</v>
      </c>
      <c r="J292" s="44">
        <v>10.8</v>
      </c>
      <c r="K292" s="44">
        <v>10.199999999999999</v>
      </c>
      <c r="L292" s="44">
        <v>10.4</v>
      </c>
      <c r="P292" s="113">
        <f t="shared" si="6"/>
        <v>10.466666666666667</v>
      </c>
    </row>
    <row r="293" spans="1:16" ht="14.5" x14ac:dyDescent="0.35">
      <c r="A293" s="62" t="s">
        <v>28</v>
      </c>
      <c r="B293" s="62" t="s">
        <v>32</v>
      </c>
      <c r="C293" s="62">
        <v>1</v>
      </c>
      <c r="D293" s="62">
        <v>4</v>
      </c>
      <c r="E293" s="62">
        <v>2</v>
      </c>
      <c r="F293" s="62">
        <v>402</v>
      </c>
      <c r="G293" s="63">
        <v>4</v>
      </c>
      <c r="H293" s="63">
        <v>10</v>
      </c>
      <c r="I293" s="116">
        <v>45883</v>
      </c>
      <c r="J293" s="44">
        <v>10.1</v>
      </c>
      <c r="K293" s="44">
        <v>10.4</v>
      </c>
      <c r="L293" s="44">
        <v>10.199999999999999</v>
      </c>
      <c r="P293" s="113">
        <f t="shared" si="6"/>
        <v>10.233333333333333</v>
      </c>
    </row>
    <row r="294" spans="1:16" ht="14.5" x14ac:dyDescent="0.35">
      <c r="A294" s="62" t="s">
        <v>33</v>
      </c>
      <c r="B294" s="62" t="s">
        <v>29</v>
      </c>
      <c r="C294" s="62">
        <v>1</v>
      </c>
      <c r="D294" s="62">
        <v>4</v>
      </c>
      <c r="E294" s="62">
        <v>4</v>
      </c>
      <c r="F294" s="62">
        <v>404</v>
      </c>
      <c r="G294" s="63">
        <v>5</v>
      </c>
      <c r="H294" s="63">
        <v>10</v>
      </c>
      <c r="I294" s="116">
        <v>45940</v>
      </c>
    </row>
    <row r="295" spans="1:16" ht="14.5" x14ac:dyDescent="0.35">
      <c r="A295" s="62" t="s">
        <v>33</v>
      </c>
      <c r="B295" s="62" t="s">
        <v>35</v>
      </c>
      <c r="C295" s="62">
        <v>1</v>
      </c>
      <c r="D295" s="62">
        <v>3</v>
      </c>
      <c r="E295" s="62">
        <v>4</v>
      </c>
      <c r="F295" s="62">
        <v>304</v>
      </c>
      <c r="G295" s="63">
        <v>6</v>
      </c>
      <c r="H295" s="63">
        <v>10</v>
      </c>
      <c r="I295" s="116">
        <v>45940</v>
      </c>
    </row>
    <row r="296" spans="1:16" ht="14.5" x14ac:dyDescent="0.35">
      <c r="A296" s="62" t="s">
        <v>33</v>
      </c>
      <c r="B296" s="62" t="s">
        <v>30</v>
      </c>
      <c r="C296" s="62">
        <v>1</v>
      </c>
      <c r="D296" s="62">
        <v>2</v>
      </c>
      <c r="E296" s="62">
        <v>4</v>
      </c>
      <c r="F296" s="62">
        <v>204</v>
      </c>
      <c r="G296" s="63">
        <v>7</v>
      </c>
      <c r="H296" s="63">
        <v>10</v>
      </c>
      <c r="I296" s="116">
        <v>45940</v>
      </c>
    </row>
    <row r="297" spans="1:16" ht="14.5" x14ac:dyDescent="0.35">
      <c r="A297" s="62" t="s">
        <v>33</v>
      </c>
      <c r="B297" s="62" t="s">
        <v>34</v>
      </c>
      <c r="C297" s="62">
        <v>1</v>
      </c>
      <c r="D297" s="62">
        <v>1</v>
      </c>
      <c r="E297" s="62">
        <v>4</v>
      </c>
      <c r="F297" s="62">
        <v>104</v>
      </c>
      <c r="G297" s="63">
        <v>8</v>
      </c>
      <c r="H297" s="63">
        <v>10</v>
      </c>
      <c r="I297" s="116">
        <v>45940</v>
      </c>
    </row>
    <row r="298" spans="1:16" ht="14.5" x14ac:dyDescent="0.35">
      <c r="A298" s="62" t="s">
        <v>28</v>
      </c>
      <c r="B298" s="62" t="s">
        <v>31</v>
      </c>
      <c r="C298" s="62">
        <v>2</v>
      </c>
      <c r="D298" s="62">
        <v>1</v>
      </c>
      <c r="E298" s="62">
        <v>6</v>
      </c>
      <c r="F298" s="62">
        <v>106</v>
      </c>
      <c r="G298" s="63">
        <v>9</v>
      </c>
      <c r="H298" s="63">
        <v>10</v>
      </c>
      <c r="I298" s="116">
        <v>45883</v>
      </c>
      <c r="J298" s="44">
        <v>10.4</v>
      </c>
      <c r="K298" s="44">
        <v>11.3</v>
      </c>
      <c r="L298" s="44">
        <v>10</v>
      </c>
      <c r="P298" s="113">
        <f t="shared" si="6"/>
        <v>10.566666666666668</v>
      </c>
    </row>
    <row r="299" spans="1:16" ht="14.5" x14ac:dyDescent="0.35">
      <c r="A299" s="62" t="s">
        <v>28</v>
      </c>
      <c r="B299" s="62" t="s">
        <v>32</v>
      </c>
      <c r="C299" s="62">
        <v>2</v>
      </c>
      <c r="D299" s="62">
        <v>2</v>
      </c>
      <c r="E299" s="62">
        <v>6</v>
      </c>
      <c r="F299" s="62">
        <v>206</v>
      </c>
      <c r="G299" s="63">
        <v>10</v>
      </c>
      <c r="H299" s="63">
        <v>10</v>
      </c>
      <c r="I299" s="116">
        <v>45883</v>
      </c>
      <c r="J299" s="44">
        <v>10.4</v>
      </c>
      <c r="K299" s="44">
        <v>10.3</v>
      </c>
      <c r="L299" s="44">
        <v>10.5</v>
      </c>
      <c r="P299" s="113">
        <f t="shared" si="6"/>
        <v>10.4</v>
      </c>
    </row>
    <row r="300" spans="1:16" ht="14.5" x14ac:dyDescent="0.35">
      <c r="A300" s="62" t="s">
        <v>28</v>
      </c>
      <c r="B300" s="62" t="s">
        <v>30</v>
      </c>
      <c r="C300" s="62">
        <v>2</v>
      </c>
      <c r="D300" s="62">
        <v>3</v>
      </c>
      <c r="E300" s="62">
        <v>6</v>
      </c>
      <c r="F300" s="62">
        <v>306</v>
      </c>
      <c r="G300" s="63">
        <v>11</v>
      </c>
      <c r="H300" s="63">
        <v>10</v>
      </c>
      <c r="I300" s="116">
        <v>45883</v>
      </c>
      <c r="J300" s="44">
        <v>9.8000000000000007</v>
      </c>
      <c r="K300" s="44">
        <v>11</v>
      </c>
      <c r="L300" s="44">
        <v>10.6</v>
      </c>
      <c r="P300" s="113">
        <f t="shared" si="6"/>
        <v>10.466666666666667</v>
      </c>
    </row>
    <row r="301" spans="1:16" ht="14.5" x14ac:dyDescent="0.35">
      <c r="A301" s="62" t="s">
        <v>28</v>
      </c>
      <c r="B301" s="62" t="s">
        <v>29</v>
      </c>
      <c r="C301" s="62">
        <v>2</v>
      </c>
      <c r="D301" s="62">
        <v>4</v>
      </c>
      <c r="E301" s="62">
        <v>6</v>
      </c>
      <c r="F301" s="62">
        <v>406</v>
      </c>
      <c r="G301" s="63">
        <v>12</v>
      </c>
      <c r="H301" s="63">
        <v>10</v>
      </c>
      <c r="I301" s="116">
        <v>45883</v>
      </c>
      <c r="J301" s="44">
        <v>10.3</v>
      </c>
      <c r="K301" s="44">
        <v>10</v>
      </c>
      <c r="L301" s="44">
        <v>10.7</v>
      </c>
      <c r="P301" s="113">
        <f t="shared" si="6"/>
        <v>10.333333333333334</v>
      </c>
    </row>
    <row r="302" spans="1:16" ht="14.5" x14ac:dyDescent="0.35">
      <c r="A302" s="62" t="s">
        <v>33</v>
      </c>
      <c r="B302" s="62" t="s">
        <v>34</v>
      </c>
      <c r="C302" s="62">
        <v>2</v>
      </c>
      <c r="D302" s="62">
        <v>4</v>
      </c>
      <c r="E302" s="62">
        <v>8</v>
      </c>
      <c r="F302" s="62">
        <v>408</v>
      </c>
      <c r="G302" s="63">
        <v>13</v>
      </c>
      <c r="H302" s="63">
        <v>10</v>
      </c>
      <c r="I302" s="116">
        <v>45940</v>
      </c>
    </row>
    <row r="303" spans="1:16" ht="14.5" x14ac:dyDescent="0.35">
      <c r="A303" s="62" t="s">
        <v>33</v>
      </c>
      <c r="B303" s="62" t="s">
        <v>30</v>
      </c>
      <c r="C303" s="62">
        <v>2</v>
      </c>
      <c r="D303" s="62">
        <v>3</v>
      </c>
      <c r="E303" s="62">
        <v>8</v>
      </c>
      <c r="F303" s="62">
        <v>308</v>
      </c>
      <c r="G303" s="63">
        <v>14</v>
      </c>
      <c r="H303" s="63">
        <v>10</v>
      </c>
      <c r="I303" s="116">
        <v>45940</v>
      </c>
    </row>
    <row r="304" spans="1:16" ht="14.5" x14ac:dyDescent="0.35">
      <c r="A304" s="62" t="s">
        <v>33</v>
      </c>
      <c r="B304" s="62" t="s">
        <v>29</v>
      </c>
      <c r="C304" s="62">
        <v>2</v>
      </c>
      <c r="D304" s="62">
        <v>2</v>
      </c>
      <c r="E304" s="62">
        <v>8</v>
      </c>
      <c r="F304" s="62">
        <v>208</v>
      </c>
      <c r="G304" s="63">
        <v>15</v>
      </c>
      <c r="H304" s="63">
        <v>10</v>
      </c>
      <c r="I304" s="116">
        <v>45940</v>
      </c>
    </row>
    <row r="305" spans="1:16" ht="14.5" x14ac:dyDescent="0.35">
      <c r="A305" s="62" t="s">
        <v>33</v>
      </c>
      <c r="B305" s="62" t="s">
        <v>35</v>
      </c>
      <c r="C305" s="62">
        <v>2</v>
      </c>
      <c r="D305" s="62">
        <v>1</v>
      </c>
      <c r="E305" s="62">
        <v>8</v>
      </c>
      <c r="F305" s="62">
        <v>108</v>
      </c>
      <c r="G305" s="63">
        <v>16</v>
      </c>
      <c r="H305" s="63">
        <v>10</v>
      </c>
      <c r="I305" s="116">
        <v>45940</v>
      </c>
      <c r="L305">
        <v>11</v>
      </c>
    </row>
    <row r="306" spans="1:16" ht="14.5" x14ac:dyDescent="0.35">
      <c r="A306" s="62" t="s">
        <v>28</v>
      </c>
      <c r="B306" s="62" t="s">
        <v>32</v>
      </c>
      <c r="C306" s="62">
        <v>3</v>
      </c>
      <c r="D306" s="62">
        <v>1</v>
      </c>
      <c r="E306" s="62">
        <v>10</v>
      </c>
      <c r="F306" s="62">
        <v>110</v>
      </c>
      <c r="G306" s="63">
        <v>17</v>
      </c>
      <c r="H306" s="63">
        <v>10</v>
      </c>
      <c r="I306" s="116">
        <v>45883</v>
      </c>
      <c r="J306" s="44">
        <v>9.1999999999999993</v>
      </c>
      <c r="K306" s="44">
        <v>10</v>
      </c>
      <c r="L306" s="44">
        <v>9.6999999999999993</v>
      </c>
      <c r="P306" s="113">
        <f t="shared" si="6"/>
        <v>9.6333333333333329</v>
      </c>
    </row>
    <row r="307" spans="1:16" ht="14.5" x14ac:dyDescent="0.35">
      <c r="A307" s="62" t="s">
        <v>28</v>
      </c>
      <c r="B307" s="62" t="s">
        <v>31</v>
      </c>
      <c r="C307" s="62">
        <v>3</v>
      </c>
      <c r="D307" s="62">
        <v>2</v>
      </c>
      <c r="E307" s="62">
        <v>10</v>
      </c>
      <c r="F307" s="62">
        <v>210</v>
      </c>
      <c r="G307" s="63">
        <v>18</v>
      </c>
      <c r="H307" s="63">
        <v>10</v>
      </c>
      <c r="I307" s="116">
        <v>45883</v>
      </c>
      <c r="J307" s="44">
        <v>10.7</v>
      </c>
      <c r="K307" s="44">
        <v>10.8</v>
      </c>
      <c r="L307" s="44">
        <v>11.4</v>
      </c>
      <c r="P307" s="113">
        <f t="shared" si="6"/>
        <v>10.966666666666667</v>
      </c>
    </row>
    <row r="308" spans="1:16" ht="14.5" x14ac:dyDescent="0.35">
      <c r="A308" s="62" t="s">
        <v>28</v>
      </c>
      <c r="B308" s="62" t="s">
        <v>29</v>
      </c>
      <c r="C308" s="62">
        <v>3</v>
      </c>
      <c r="D308" s="62">
        <v>3</v>
      </c>
      <c r="E308" s="62">
        <v>10</v>
      </c>
      <c r="F308" s="62">
        <v>310</v>
      </c>
      <c r="G308" s="63">
        <v>19</v>
      </c>
      <c r="H308" s="63">
        <v>10</v>
      </c>
      <c r="I308" s="116">
        <v>45883</v>
      </c>
      <c r="J308" s="44">
        <v>10.4</v>
      </c>
      <c r="K308" s="44">
        <v>9.6999999999999993</v>
      </c>
      <c r="L308" s="44">
        <v>9.6999999999999993</v>
      </c>
      <c r="P308" s="113">
        <f t="shared" si="6"/>
        <v>9.9333333333333336</v>
      </c>
    </row>
    <row r="309" spans="1:16" ht="14.5" x14ac:dyDescent="0.35">
      <c r="A309" s="62" t="s">
        <v>28</v>
      </c>
      <c r="B309" s="62" t="s">
        <v>30</v>
      </c>
      <c r="C309" s="62">
        <v>3</v>
      </c>
      <c r="D309" s="62">
        <v>4</v>
      </c>
      <c r="E309" s="62">
        <v>10</v>
      </c>
      <c r="F309" s="62">
        <v>410</v>
      </c>
      <c r="G309" s="63">
        <v>20</v>
      </c>
      <c r="H309" s="63">
        <v>10</v>
      </c>
      <c r="I309" s="116">
        <v>45883</v>
      </c>
      <c r="J309" s="44">
        <v>10.5</v>
      </c>
      <c r="K309" s="44">
        <v>10.8</v>
      </c>
      <c r="L309" s="44">
        <v>10.9</v>
      </c>
      <c r="P309" s="113">
        <f t="shared" si="6"/>
        <v>10.733333333333334</v>
      </c>
    </row>
    <row r="310" spans="1:16" ht="14.5" x14ac:dyDescent="0.35">
      <c r="A310" s="62" t="s">
        <v>33</v>
      </c>
      <c r="B310" s="62" t="s">
        <v>30</v>
      </c>
      <c r="C310" s="62">
        <v>3</v>
      </c>
      <c r="D310" s="62">
        <v>4</v>
      </c>
      <c r="E310" s="62">
        <v>12</v>
      </c>
      <c r="F310" s="62">
        <v>412</v>
      </c>
      <c r="G310" s="63">
        <v>21</v>
      </c>
      <c r="H310" s="63">
        <v>10</v>
      </c>
      <c r="I310" s="116">
        <v>45940</v>
      </c>
    </row>
    <row r="311" spans="1:16" ht="14.5" x14ac:dyDescent="0.35">
      <c r="A311" s="62" t="s">
        <v>33</v>
      </c>
      <c r="B311" s="62" t="s">
        <v>34</v>
      </c>
      <c r="C311" s="62">
        <v>3</v>
      </c>
      <c r="D311" s="62">
        <v>3</v>
      </c>
      <c r="E311" s="62">
        <v>12</v>
      </c>
      <c r="F311" s="62">
        <v>312</v>
      </c>
      <c r="G311" s="63">
        <v>22</v>
      </c>
      <c r="H311" s="63">
        <v>10</v>
      </c>
      <c r="I311" s="116">
        <v>45940</v>
      </c>
    </row>
    <row r="312" spans="1:16" ht="14.5" x14ac:dyDescent="0.35">
      <c r="A312" s="62" t="s">
        <v>33</v>
      </c>
      <c r="B312" s="62" t="s">
        <v>35</v>
      </c>
      <c r="C312" s="62">
        <v>3</v>
      </c>
      <c r="D312" s="62">
        <v>2</v>
      </c>
      <c r="E312" s="62">
        <v>12</v>
      </c>
      <c r="F312" s="62">
        <v>212</v>
      </c>
      <c r="G312" s="63">
        <v>23</v>
      </c>
      <c r="H312" s="63">
        <v>10</v>
      </c>
      <c r="I312" s="116">
        <v>45940</v>
      </c>
      <c r="K312" s="65">
        <v>11</v>
      </c>
    </row>
    <row r="313" spans="1:16" ht="14.5" x14ac:dyDescent="0.35">
      <c r="A313" s="62" t="s">
        <v>33</v>
      </c>
      <c r="B313" s="62" t="s">
        <v>29</v>
      </c>
      <c r="C313" s="62">
        <v>3</v>
      </c>
      <c r="D313" s="62">
        <v>1</v>
      </c>
      <c r="E313" s="62">
        <v>12</v>
      </c>
      <c r="F313" s="62">
        <v>112</v>
      </c>
      <c r="G313" s="63">
        <v>24</v>
      </c>
      <c r="H313" s="63">
        <v>10</v>
      </c>
      <c r="I313" s="116">
        <v>45940</v>
      </c>
    </row>
    <row r="314" spans="1:16" ht="14.5" x14ac:dyDescent="0.35">
      <c r="A314" s="62" t="s">
        <v>28</v>
      </c>
      <c r="B314" s="62" t="s">
        <v>30</v>
      </c>
      <c r="C314" s="62">
        <v>4</v>
      </c>
      <c r="D314" s="62">
        <v>1</v>
      </c>
      <c r="E314" s="62">
        <v>14</v>
      </c>
      <c r="F314" s="62">
        <v>114</v>
      </c>
      <c r="G314" s="63">
        <v>25</v>
      </c>
      <c r="H314" s="63">
        <v>10</v>
      </c>
      <c r="I314" s="116">
        <v>45883</v>
      </c>
      <c r="J314" s="44">
        <v>11.7</v>
      </c>
      <c r="K314" s="44">
        <v>10.8</v>
      </c>
      <c r="L314" s="44">
        <v>10.4</v>
      </c>
      <c r="P314" s="113">
        <f t="shared" si="6"/>
        <v>10.966666666666667</v>
      </c>
    </row>
    <row r="315" spans="1:16" ht="14.5" x14ac:dyDescent="0.35">
      <c r="A315" s="62" t="s">
        <v>28</v>
      </c>
      <c r="B315" s="62" t="s">
        <v>29</v>
      </c>
      <c r="C315" s="62">
        <v>4</v>
      </c>
      <c r="D315" s="62">
        <v>2</v>
      </c>
      <c r="E315" s="62">
        <v>14</v>
      </c>
      <c r="F315" s="62">
        <v>214</v>
      </c>
      <c r="G315" s="63">
        <v>26</v>
      </c>
      <c r="H315" s="63">
        <v>10</v>
      </c>
      <c r="I315" s="116">
        <v>45883</v>
      </c>
      <c r="J315" s="44">
        <v>10.3</v>
      </c>
      <c r="K315" s="44">
        <v>10.199999999999999</v>
      </c>
      <c r="L315" s="44">
        <v>10.1</v>
      </c>
      <c r="P315" s="113">
        <f t="shared" si="6"/>
        <v>10.200000000000001</v>
      </c>
    </row>
    <row r="316" spans="1:16" ht="14.5" x14ac:dyDescent="0.35">
      <c r="A316" s="62" t="s">
        <v>28</v>
      </c>
      <c r="B316" s="62" t="s">
        <v>32</v>
      </c>
      <c r="C316" s="62">
        <v>4</v>
      </c>
      <c r="D316" s="62">
        <v>3</v>
      </c>
      <c r="E316" s="62">
        <v>14</v>
      </c>
      <c r="F316" s="62">
        <v>314</v>
      </c>
      <c r="G316" s="63">
        <v>27</v>
      </c>
      <c r="H316" s="63">
        <v>10</v>
      </c>
      <c r="I316" s="116">
        <v>45883</v>
      </c>
      <c r="J316" s="44">
        <v>10</v>
      </c>
      <c r="K316" s="44">
        <v>9.6</v>
      </c>
      <c r="L316" s="44">
        <v>9.6999999999999993</v>
      </c>
      <c r="P316" s="113">
        <f t="shared" si="6"/>
        <v>9.7666666666666675</v>
      </c>
    </row>
    <row r="317" spans="1:16" ht="14.5" x14ac:dyDescent="0.35">
      <c r="A317" s="62" t="s">
        <v>28</v>
      </c>
      <c r="B317" s="62" t="s">
        <v>31</v>
      </c>
      <c r="C317" s="62">
        <v>4</v>
      </c>
      <c r="D317" s="62">
        <v>4</v>
      </c>
      <c r="E317" s="62">
        <v>14</v>
      </c>
      <c r="F317" s="62">
        <v>414</v>
      </c>
      <c r="G317" s="63">
        <v>28</v>
      </c>
      <c r="H317" s="63">
        <v>10</v>
      </c>
      <c r="I317" s="116">
        <v>45883</v>
      </c>
      <c r="J317" s="44">
        <v>10.1</v>
      </c>
      <c r="K317" s="44">
        <v>10.199999999999999</v>
      </c>
      <c r="L317" s="44">
        <v>10.8</v>
      </c>
      <c r="P317" s="113">
        <f t="shared" si="6"/>
        <v>10.366666666666665</v>
      </c>
    </row>
    <row r="318" spans="1:16" ht="14.5" x14ac:dyDescent="0.35">
      <c r="A318" s="62" t="s">
        <v>33</v>
      </c>
      <c r="B318" s="62" t="s">
        <v>35</v>
      </c>
      <c r="C318" s="62">
        <v>4</v>
      </c>
      <c r="D318" s="62">
        <v>4</v>
      </c>
      <c r="E318" s="62">
        <v>16</v>
      </c>
      <c r="F318" s="62">
        <v>416</v>
      </c>
      <c r="G318" s="63">
        <v>29</v>
      </c>
      <c r="H318" s="63">
        <v>10</v>
      </c>
      <c r="I318" s="116">
        <v>45940</v>
      </c>
    </row>
    <row r="319" spans="1:16" ht="14.5" x14ac:dyDescent="0.35">
      <c r="A319" s="62" t="s">
        <v>33</v>
      </c>
      <c r="B319" s="62" t="s">
        <v>29</v>
      </c>
      <c r="C319" s="62">
        <v>4</v>
      </c>
      <c r="D319" s="62">
        <v>3</v>
      </c>
      <c r="E319" s="62">
        <v>16</v>
      </c>
      <c r="F319" s="62">
        <v>316</v>
      </c>
      <c r="G319" s="63">
        <v>30</v>
      </c>
      <c r="H319" s="63">
        <v>10</v>
      </c>
      <c r="I319" s="116">
        <v>45940</v>
      </c>
    </row>
    <row r="320" spans="1:16" ht="14.5" x14ac:dyDescent="0.35">
      <c r="A320" s="62" t="s">
        <v>33</v>
      </c>
      <c r="B320" s="62" t="s">
        <v>34</v>
      </c>
      <c r="C320" s="62">
        <v>4</v>
      </c>
      <c r="D320" s="62">
        <v>2</v>
      </c>
      <c r="E320" s="62">
        <v>16</v>
      </c>
      <c r="F320" s="62">
        <v>216</v>
      </c>
      <c r="G320" s="63">
        <v>31</v>
      </c>
      <c r="H320" s="63">
        <v>10</v>
      </c>
      <c r="I320" s="116">
        <v>45940</v>
      </c>
      <c r="J320" s="65">
        <v>11</v>
      </c>
    </row>
    <row r="321" spans="1:16" ht="14.5" x14ac:dyDescent="0.35">
      <c r="A321" s="62" t="s">
        <v>33</v>
      </c>
      <c r="B321" s="62" t="s">
        <v>30</v>
      </c>
      <c r="C321" s="62">
        <v>4</v>
      </c>
      <c r="D321" s="62">
        <v>1</v>
      </c>
      <c r="E321" s="62">
        <v>16</v>
      </c>
      <c r="F321" s="62">
        <v>116</v>
      </c>
      <c r="G321" s="63">
        <v>32</v>
      </c>
      <c r="H321" s="63">
        <v>10</v>
      </c>
      <c r="I321" s="116">
        <v>45940</v>
      </c>
    </row>
    <row r="322" spans="1:16" ht="15" customHeight="1" x14ac:dyDescent="0.35">
      <c r="A322" s="62" t="s">
        <v>28</v>
      </c>
      <c r="B322" s="62" t="s">
        <v>29</v>
      </c>
      <c r="C322" s="62">
        <v>1</v>
      </c>
      <c r="D322" s="62">
        <v>1</v>
      </c>
      <c r="E322" s="62">
        <v>2</v>
      </c>
      <c r="F322" s="62">
        <v>102</v>
      </c>
      <c r="G322" s="63">
        <v>1</v>
      </c>
      <c r="H322" s="63">
        <v>11</v>
      </c>
      <c r="I322" s="116">
        <v>45894</v>
      </c>
      <c r="J322" s="44">
        <v>12.1</v>
      </c>
      <c r="K322" s="44">
        <v>11.2</v>
      </c>
      <c r="L322" s="44">
        <v>12</v>
      </c>
      <c r="P322" s="113">
        <f t="shared" ref="P322:P349" si="7">AVERAGE(J322:L322)</f>
        <v>11.766666666666666</v>
      </c>
    </row>
    <row r="323" spans="1:16" ht="15" customHeight="1" x14ac:dyDescent="0.35">
      <c r="A323" s="62" t="s">
        <v>28</v>
      </c>
      <c r="B323" s="62" t="s">
        <v>30</v>
      </c>
      <c r="C323" s="62">
        <v>1</v>
      </c>
      <c r="D323" s="62">
        <v>2</v>
      </c>
      <c r="E323" s="62">
        <v>2</v>
      </c>
      <c r="F323" s="62">
        <v>202</v>
      </c>
      <c r="G323" s="63">
        <v>2</v>
      </c>
      <c r="H323" s="63">
        <v>11</v>
      </c>
      <c r="I323" s="116">
        <v>45894</v>
      </c>
      <c r="J323" s="44">
        <v>11.7</v>
      </c>
      <c r="K323" s="44">
        <v>11.1</v>
      </c>
      <c r="L323" s="44">
        <v>11.1</v>
      </c>
      <c r="P323" s="113">
        <f t="shared" si="7"/>
        <v>11.299999999999999</v>
      </c>
    </row>
    <row r="324" spans="1:16" ht="15" customHeight="1" x14ac:dyDescent="0.35">
      <c r="A324" s="62" t="s">
        <v>28</v>
      </c>
      <c r="B324" s="62" t="s">
        <v>31</v>
      </c>
      <c r="C324" s="62">
        <v>1</v>
      </c>
      <c r="D324" s="62">
        <v>3</v>
      </c>
      <c r="E324" s="62">
        <v>2</v>
      </c>
      <c r="F324" s="62">
        <v>302</v>
      </c>
      <c r="G324" s="63">
        <v>3</v>
      </c>
      <c r="H324" s="63">
        <v>11</v>
      </c>
      <c r="I324" s="116">
        <v>45894</v>
      </c>
      <c r="J324" s="44">
        <v>11.9</v>
      </c>
      <c r="K324" s="44">
        <v>11.2</v>
      </c>
      <c r="L324" s="44">
        <v>11.3</v>
      </c>
      <c r="P324" s="113">
        <f t="shared" si="7"/>
        <v>11.466666666666669</v>
      </c>
    </row>
    <row r="325" spans="1:16" ht="15" customHeight="1" x14ac:dyDescent="0.35">
      <c r="A325" s="62" t="s">
        <v>28</v>
      </c>
      <c r="B325" s="62" t="s">
        <v>32</v>
      </c>
      <c r="C325" s="62">
        <v>1</v>
      </c>
      <c r="D325" s="62">
        <v>4</v>
      </c>
      <c r="E325" s="62">
        <v>2</v>
      </c>
      <c r="F325" s="62">
        <v>402</v>
      </c>
      <c r="G325" s="63">
        <v>4</v>
      </c>
      <c r="H325" s="63">
        <v>11</v>
      </c>
      <c r="I325" s="116">
        <v>45894</v>
      </c>
      <c r="J325" s="44">
        <v>10.9</v>
      </c>
      <c r="K325" s="44">
        <v>11.3</v>
      </c>
      <c r="L325" s="44">
        <v>10.9</v>
      </c>
      <c r="P325" s="113">
        <f t="shared" si="7"/>
        <v>11.033333333333333</v>
      </c>
    </row>
    <row r="326" spans="1:16" ht="15" customHeight="1" x14ac:dyDescent="0.35">
      <c r="A326" s="62" t="s">
        <v>33</v>
      </c>
      <c r="B326" s="62" t="s">
        <v>29</v>
      </c>
      <c r="C326" s="62">
        <v>1</v>
      </c>
      <c r="D326" s="62">
        <v>4</v>
      </c>
      <c r="E326" s="62">
        <v>4</v>
      </c>
      <c r="F326" s="62">
        <v>404</v>
      </c>
      <c r="G326" s="63">
        <v>5</v>
      </c>
      <c r="H326" s="63">
        <v>11</v>
      </c>
    </row>
    <row r="327" spans="1:16" ht="15" customHeight="1" x14ac:dyDescent="0.35">
      <c r="A327" s="62" t="s">
        <v>33</v>
      </c>
      <c r="B327" s="62" t="s">
        <v>35</v>
      </c>
      <c r="C327" s="62">
        <v>1</v>
      </c>
      <c r="D327" s="62">
        <v>3</v>
      </c>
      <c r="E327" s="62">
        <v>4</v>
      </c>
      <c r="F327" s="62">
        <v>304</v>
      </c>
      <c r="G327" s="63">
        <v>6</v>
      </c>
      <c r="H327" s="63">
        <v>11</v>
      </c>
    </row>
    <row r="328" spans="1:16" ht="15" customHeight="1" x14ac:dyDescent="0.35">
      <c r="A328" s="62" t="s">
        <v>33</v>
      </c>
      <c r="B328" s="62" t="s">
        <v>30</v>
      </c>
      <c r="C328" s="62">
        <v>1</v>
      </c>
      <c r="D328" s="62">
        <v>2</v>
      </c>
      <c r="E328" s="62">
        <v>4</v>
      </c>
      <c r="F328" s="62">
        <v>204</v>
      </c>
      <c r="G328" s="63">
        <v>7</v>
      </c>
      <c r="H328" s="63">
        <v>11</v>
      </c>
    </row>
    <row r="329" spans="1:16" ht="15" customHeight="1" x14ac:dyDescent="0.35">
      <c r="A329" s="62" t="s">
        <v>33</v>
      </c>
      <c r="B329" s="62" t="s">
        <v>34</v>
      </c>
      <c r="C329" s="62">
        <v>1</v>
      </c>
      <c r="D329" s="62">
        <v>1</v>
      </c>
      <c r="E329" s="62">
        <v>4</v>
      </c>
      <c r="F329" s="62">
        <v>104</v>
      </c>
      <c r="G329" s="63">
        <v>8</v>
      </c>
      <c r="H329" s="63">
        <v>11</v>
      </c>
    </row>
    <row r="330" spans="1:16" ht="15" customHeight="1" x14ac:dyDescent="0.35">
      <c r="A330" s="62" t="s">
        <v>28</v>
      </c>
      <c r="B330" s="62" t="s">
        <v>31</v>
      </c>
      <c r="C330" s="62">
        <v>2</v>
      </c>
      <c r="D330" s="62">
        <v>1</v>
      </c>
      <c r="E330" s="62">
        <v>6</v>
      </c>
      <c r="F330" s="62">
        <v>106</v>
      </c>
      <c r="G330" s="63">
        <v>9</v>
      </c>
      <c r="H330" s="63">
        <v>11</v>
      </c>
      <c r="I330" s="116">
        <v>45894</v>
      </c>
      <c r="J330" s="44">
        <v>11.1</v>
      </c>
      <c r="K330" s="44">
        <v>12.4</v>
      </c>
      <c r="L330" s="44">
        <v>10.8</v>
      </c>
      <c r="P330" s="113">
        <f t="shared" si="7"/>
        <v>11.433333333333332</v>
      </c>
    </row>
    <row r="331" spans="1:16" ht="15" customHeight="1" x14ac:dyDescent="0.35">
      <c r="A331" s="62" t="s">
        <v>28</v>
      </c>
      <c r="B331" s="62" t="s">
        <v>32</v>
      </c>
      <c r="C331" s="62">
        <v>2</v>
      </c>
      <c r="D331" s="62">
        <v>2</v>
      </c>
      <c r="E331" s="62">
        <v>6</v>
      </c>
      <c r="F331" s="62">
        <v>206</v>
      </c>
      <c r="G331" s="63">
        <v>10</v>
      </c>
      <c r="H331" s="63">
        <v>11</v>
      </c>
      <c r="I331" s="116">
        <v>45894</v>
      </c>
      <c r="J331" s="44">
        <v>11.4</v>
      </c>
      <c r="K331" s="44">
        <v>11.2</v>
      </c>
      <c r="L331" s="44">
        <v>11.4</v>
      </c>
      <c r="P331" s="113">
        <f t="shared" si="7"/>
        <v>11.333333333333334</v>
      </c>
    </row>
    <row r="332" spans="1:16" ht="15" customHeight="1" x14ac:dyDescent="0.35">
      <c r="A332" s="62" t="s">
        <v>28</v>
      </c>
      <c r="B332" s="62" t="s">
        <v>30</v>
      </c>
      <c r="C332" s="62">
        <v>2</v>
      </c>
      <c r="D332" s="62">
        <v>3</v>
      </c>
      <c r="E332" s="62">
        <v>6</v>
      </c>
      <c r="F332" s="62">
        <v>306</v>
      </c>
      <c r="G332" s="63">
        <v>11</v>
      </c>
      <c r="H332" s="63">
        <v>11</v>
      </c>
      <c r="I332" s="116">
        <v>45894</v>
      </c>
      <c r="J332" s="44">
        <v>10.9</v>
      </c>
      <c r="K332" s="44">
        <v>11.9</v>
      </c>
      <c r="L332" s="44">
        <v>11.7</v>
      </c>
      <c r="P332" s="113">
        <f t="shared" si="7"/>
        <v>11.5</v>
      </c>
    </row>
    <row r="333" spans="1:16" ht="15" customHeight="1" x14ac:dyDescent="0.35">
      <c r="A333" s="62" t="s">
        <v>28</v>
      </c>
      <c r="B333" s="62" t="s">
        <v>29</v>
      </c>
      <c r="C333" s="62">
        <v>2</v>
      </c>
      <c r="D333" s="62">
        <v>4</v>
      </c>
      <c r="E333" s="62">
        <v>6</v>
      </c>
      <c r="F333" s="62">
        <v>406</v>
      </c>
      <c r="G333" s="63">
        <v>12</v>
      </c>
      <c r="H333" s="63">
        <v>11</v>
      </c>
      <c r="I333" s="116">
        <v>45894</v>
      </c>
      <c r="J333" s="44">
        <v>11.2</v>
      </c>
      <c r="K333" s="44">
        <v>10.9</v>
      </c>
      <c r="L333" s="44">
        <v>11.4</v>
      </c>
      <c r="P333" s="113">
        <f t="shared" si="7"/>
        <v>11.166666666666666</v>
      </c>
    </row>
    <row r="334" spans="1:16" ht="15" customHeight="1" x14ac:dyDescent="0.35">
      <c r="A334" s="62" t="s">
        <v>33</v>
      </c>
      <c r="B334" s="62" t="s">
        <v>34</v>
      </c>
      <c r="C334" s="62">
        <v>2</v>
      </c>
      <c r="D334" s="62">
        <v>4</v>
      </c>
      <c r="E334" s="62">
        <v>8</v>
      </c>
      <c r="F334" s="62">
        <v>408</v>
      </c>
      <c r="G334" s="63">
        <v>13</v>
      </c>
      <c r="H334" s="63">
        <v>11</v>
      </c>
    </row>
    <row r="335" spans="1:16" ht="15" customHeight="1" x14ac:dyDescent="0.35">
      <c r="A335" s="62" t="s">
        <v>33</v>
      </c>
      <c r="B335" s="62" t="s">
        <v>30</v>
      </c>
      <c r="C335" s="62">
        <v>2</v>
      </c>
      <c r="D335" s="62">
        <v>3</v>
      </c>
      <c r="E335" s="62">
        <v>8</v>
      </c>
      <c r="F335" s="62">
        <v>308</v>
      </c>
      <c r="G335" s="63">
        <v>14</v>
      </c>
      <c r="H335" s="63">
        <v>11</v>
      </c>
    </row>
    <row r="336" spans="1:16" ht="15" customHeight="1" x14ac:dyDescent="0.35">
      <c r="A336" s="62" t="s">
        <v>33</v>
      </c>
      <c r="B336" s="62" t="s">
        <v>29</v>
      </c>
      <c r="C336" s="62">
        <v>2</v>
      </c>
      <c r="D336" s="62">
        <v>2</v>
      </c>
      <c r="E336" s="62">
        <v>8</v>
      </c>
      <c r="F336" s="62">
        <v>208</v>
      </c>
      <c r="G336" s="63">
        <v>15</v>
      </c>
      <c r="H336" s="63">
        <v>11</v>
      </c>
    </row>
    <row r="337" spans="1:16" ht="15" customHeight="1" x14ac:dyDescent="0.35">
      <c r="A337" s="62" t="s">
        <v>33</v>
      </c>
      <c r="B337" s="62" t="s">
        <v>35</v>
      </c>
      <c r="C337" s="62">
        <v>2</v>
      </c>
      <c r="D337" s="62">
        <v>1</v>
      </c>
      <c r="E337" s="62">
        <v>8</v>
      </c>
      <c r="F337" s="62">
        <v>108</v>
      </c>
      <c r="G337" s="63">
        <v>16</v>
      </c>
      <c r="H337" s="63">
        <v>11</v>
      </c>
    </row>
    <row r="338" spans="1:16" ht="15" customHeight="1" x14ac:dyDescent="0.35">
      <c r="A338" s="62" t="s">
        <v>28</v>
      </c>
      <c r="B338" s="62" t="s">
        <v>32</v>
      </c>
      <c r="C338" s="62">
        <v>3</v>
      </c>
      <c r="D338" s="62">
        <v>1</v>
      </c>
      <c r="E338" s="62">
        <v>10</v>
      </c>
      <c r="F338" s="62">
        <v>110</v>
      </c>
      <c r="G338" s="63">
        <v>17</v>
      </c>
      <c r="H338" s="63">
        <v>11</v>
      </c>
      <c r="I338" s="116">
        <v>45894</v>
      </c>
      <c r="J338" s="44">
        <v>10.199999999999999</v>
      </c>
      <c r="K338" s="44">
        <v>10.8</v>
      </c>
      <c r="L338" s="44">
        <v>10.5</v>
      </c>
      <c r="P338" s="113">
        <f t="shared" si="7"/>
        <v>10.5</v>
      </c>
    </row>
    <row r="339" spans="1:16" ht="15" customHeight="1" x14ac:dyDescent="0.35">
      <c r="A339" s="62" t="s">
        <v>28</v>
      </c>
      <c r="B339" s="62" t="s">
        <v>31</v>
      </c>
      <c r="C339" s="62">
        <v>3</v>
      </c>
      <c r="D339" s="62">
        <v>2</v>
      </c>
      <c r="E339" s="62">
        <v>10</v>
      </c>
      <c r="F339" s="62">
        <v>210</v>
      </c>
      <c r="G339" s="63">
        <v>18</v>
      </c>
      <c r="H339" s="63">
        <v>11</v>
      </c>
      <c r="I339" s="116">
        <v>45894</v>
      </c>
      <c r="J339" s="44">
        <v>11.7</v>
      </c>
      <c r="K339" s="44">
        <v>11.8</v>
      </c>
      <c r="L339" s="44">
        <v>12.4</v>
      </c>
      <c r="P339" s="113">
        <f t="shared" si="7"/>
        <v>11.966666666666667</v>
      </c>
    </row>
    <row r="340" spans="1:16" ht="15" customHeight="1" x14ac:dyDescent="0.35">
      <c r="A340" s="62" t="s">
        <v>28</v>
      </c>
      <c r="B340" s="62" t="s">
        <v>29</v>
      </c>
      <c r="C340" s="62">
        <v>3</v>
      </c>
      <c r="D340" s="62">
        <v>3</v>
      </c>
      <c r="E340" s="62">
        <v>10</v>
      </c>
      <c r="F340" s="62">
        <v>310</v>
      </c>
      <c r="G340" s="63">
        <v>19</v>
      </c>
      <c r="H340" s="63">
        <v>11</v>
      </c>
      <c r="I340" s="116">
        <v>45894</v>
      </c>
      <c r="J340" s="44">
        <v>11.7</v>
      </c>
      <c r="K340" s="44">
        <v>10.8</v>
      </c>
      <c r="L340" s="44">
        <v>10.9</v>
      </c>
      <c r="P340" s="113">
        <f t="shared" si="7"/>
        <v>11.133333333333333</v>
      </c>
    </row>
    <row r="341" spans="1:16" ht="15" customHeight="1" x14ac:dyDescent="0.35">
      <c r="A341" s="62" t="s">
        <v>28</v>
      </c>
      <c r="B341" s="62" t="s">
        <v>30</v>
      </c>
      <c r="C341" s="62">
        <v>3</v>
      </c>
      <c r="D341" s="62">
        <v>4</v>
      </c>
      <c r="E341" s="62">
        <v>10</v>
      </c>
      <c r="F341" s="62">
        <v>410</v>
      </c>
      <c r="G341" s="63">
        <v>20</v>
      </c>
      <c r="H341" s="63">
        <v>11</v>
      </c>
      <c r="I341" s="116">
        <v>45894</v>
      </c>
      <c r="J341" s="44">
        <v>11.7</v>
      </c>
      <c r="K341" s="44">
        <v>11.8</v>
      </c>
      <c r="L341" s="44">
        <v>11.9</v>
      </c>
      <c r="P341" s="113">
        <f t="shared" si="7"/>
        <v>11.799999999999999</v>
      </c>
    </row>
    <row r="342" spans="1:16" ht="15" customHeight="1" x14ac:dyDescent="0.35">
      <c r="A342" s="62" t="s">
        <v>33</v>
      </c>
      <c r="B342" s="62" t="s">
        <v>30</v>
      </c>
      <c r="C342" s="62">
        <v>3</v>
      </c>
      <c r="D342" s="62">
        <v>4</v>
      </c>
      <c r="E342" s="62">
        <v>12</v>
      </c>
      <c r="F342" s="62">
        <v>412</v>
      </c>
      <c r="G342" s="63">
        <v>21</v>
      </c>
      <c r="H342" s="63">
        <v>11</v>
      </c>
    </row>
    <row r="343" spans="1:16" ht="15" customHeight="1" x14ac:dyDescent="0.35">
      <c r="A343" s="62" t="s">
        <v>33</v>
      </c>
      <c r="B343" s="62" t="s">
        <v>34</v>
      </c>
      <c r="C343" s="62">
        <v>3</v>
      </c>
      <c r="D343" s="62">
        <v>3</v>
      </c>
      <c r="E343" s="62">
        <v>12</v>
      </c>
      <c r="F343" s="62">
        <v>312</v>
      </c>
      <c r="G343" s="63">
        <v>22</v>
      </c>
      <c r="H343" s="63">
        <v>11</v>
      </c>
    </row>
    <row r="344" spans="1:16" ht="15" customHeight="1" x14ac:dyDescent="0.35">
      <c r="A344" s="62" t="s">
        <v>33</v>
      </c>
      <c r="B344" s="62" t="s">
        <v>35</v>
      </c>
      <c r="C344" s="62">
        <v>3</v>
      </c>
      <c r="D344" s="62">
        <v>2</v>
      </c>
      <c r="E344" s="62">
        <v>12</v>
      </c>
      <c r="F344" s="62">
        <v>212</v>
      </c>
      <c r="G344" s="63">
        <v>23</v>
      </c>
      <c r="H344" s="63">
        <v>11</v>
      </c>
    </row>
    <row r="345" spans="1:16" ht="15" customHeight="1" x14ac:dyDescent="0.35">
      <c r="A345" s="62" t="s">
        <v>33</v>
      </c>
      <c r="B345" s="62" t="s">
        <v>29</v>
      </c>
      <c r="C345" s="62">
        <v>3</v>
      </c>
      <c r="D345" s="62">
        <v>1</v>
      </c>
      <c r="E345" s="62">
        <v>12</v>
      </c>
      <c r="F345" s="62">
        <v>112</v>
      </c>
      <c r="G345" s="63">
        <v>24</v>
      </c>
      <c r="H345" s="63">
        <v>11</v>
      </c>
    </row>
    <row r="346" spans="1:16" ht="15" customHeight="1" x14ac:dyDescent="0.35">
      <c r="A346" s="62" t="s">
        <v>28</v>
      </c>
      <c r="B346" s="62" t="s">
        <v>30</v>
      </c>
      <c r="C346" s="62">
        <v>4</v>
      </c>
      <c r="D346" s="62">
        <v>1</v>
      </c>
      <c r="E346" s="62">
        <v>14</v>
      </c>
      <c r="F346" s="62">
        <v>114</v>
      </c>
      <c r="G346" s="63">
        <v>25</v>
      </c>
      <c r="H346" s="63">
        <v>11</v>
      </c>
      <c r="I346" s="116">
        <v>45894</v>
      </c>
      <c r="J346" s="44">
        <v>12.7</v>
      </c>
      <c r="K346" s="44">
        <v>11.8</v>
      </c>
      <c r="L346" s="44">
        <v>11.5</v>
      </c>
      <c r="P346" s="113">
        <f t="shared" si="7"/>
        <v>12</v>
      </c>
    </row>
    <row r="347" spans="1:16" ht="15" customHeight="1" x14ac:dyDescent="0.35">
      <c r="A347" s="62" t="s">
        <v>28</v>
      </c>
      <c r="B347" s="62" t="s">
        <v>29</v>
      </c>
      <c r="C347" s="62">
        <v>4</v>
      </c>
      <c r="D347" s="62">
        <v>2</v>
      </c>
      <c r="E347" s="62">
        <v>14</v>
      </c>
      <c r="F347" s="62">
        <v>214</v>
      </c>
      <c r="G347" s="63">
        <v>26</v>
      </c>
      <c r="H347" s="63">
        <v>11</v>
      </c>
      <c r="I347" s="116">
        <v>45894</v>
      </c>
      <c r="J347" s="44">
        <v>11.1</v>
      </c>
      <c r="K347" s="44">
        <v>11.2</v>
      </c>
      <c r="L347" s="44">
        <v>10.9</v>
      </c>
      <c r="P347" s="113">
        <f t="shared" si="7"/>
        <v>11.066666666666665</v>
      </c>
    </row>
    <row r="348" spans="1:16" ht="15" customHeight="1" x14ac:dyDescent="0.35">
      <c r="A348" s="62" t="s">
        <v>28</v>
      </c>
      <c r="B348" s="62" t="s">
        <v>32</v>
      </c>
      <c r="C348" s="62">
        <v>4</v>
      </c>
      <c r="D348" s="62">
        <v>3</v>
      </c>
      <c r="E348" s="62">
        <v>14</v>
      </c>
      <c r="F348" s="62">
        <v>314</v>
      </c>
      <c r="G348" s="63">
        <v>27</v>
      </c>
      <c r="H348" s="63">
        <v>11</v>
      </c>
      <c r="I348" s="116">
        <v>45894</v>
      </c>
      <c r="J348" s="44">
        <v>10.5</v>
      </c>
      <c r="K348" s="44">
        <v>10.8</v>
      </c>
      <c r="L348" s="44">
        <v>10.6</v>
      </c>
      <c r="P348" s="113">
        <f t="shared" si="7"/>
        <v>10.633333333333333</v>
      </c>
    </row>
    <row r="349" spans="1:16" ht="15" customHeight="1" x14ac:dyDescent="0.35">
      <c r="A349" s="62" t="s">
        <v>28</v>
      </c>
      <c r="B349" s="62" t="s">
        <v>31</v>
      </c>
      <c r="C349" s="62">
        <v>4</v>
      </c>
      <c r="D349" s="62">
        <v>4</v>
      </c>
      <c r="E349" s="62">
        <v>14</v>
      </c>
      <c r="F349" s="62">
        <v>414</v>
      </c>
      <c r="G349" s="63">
        <v>28</v>
      </c>
      <c r="H349" s="63">
        <v>11</v>
      </c>
      <c r="I349" s="116">
        <v>45894</v>
      </c>
      <c r="J349" s="44">
        <v>11.1</v>
      </c>
      <c r="K349" s="44">
        <v>10.9</v>
      </c>
      <c r="L349" s="44">
        <v>11.9</v>
      </c>
      <c r="P349" s="113">
        <f t="shared" si="7"/>
        <v>11.299999999999999</v>
      </c>
    </row>
    <row r="350" spans="1:16" ht="15" customHeight="1" x14ac:dyDescent="0.35">
      <c r="A350" s="62" t="s">
        <v>33</v>
      </c>
      <c r="B350" s="62" t="s">
        <v>35</v>
      </c>
      <c r="C350" s="62">
        <v>4</v>
      </c>
      <c r="D350" s="62">
        <v>4</v>
      </c>
      <c r="E350" s="62">
        <v>16</v>
      </c>
      <c r="F350" s="62">
        <v>416</v>
      </c>
      <c r="G350" s="63">
        <v>29</v>
      </c>
      <c r="H350" s="63">
        <v>11</v>
      </c>
    </row>
    <row r="351" spans="1:16" ht="15" customHeight="1" x14ac:dyDescent="0.35">
      <c r="A351" s="62" t="s">
        <v>33</v>
      </c>
      <c r="B351" s="62" t="s">
        <v>29</v>
      </c>
      <c r="C351" s="62">
        <v>4</v>
      </c>
      <c r="D351" s="62">
        <v>3</v>
      </c>
      <c r="E351" s="62">
        <v>16</v>
      </c>
      <c r="F351" s="62">
        <v>316</v>
      </c>
      <c r="G351" s="63">
        <v>30</v>
      </c>
      <c r="H351" s="63">
        <v>11</v>
      </c>
    </row>
    <row r="352" spans="1:16" ht="15" customHeight="1" x14ac:dyDescent="0.35">
      <c r="A352" s="62" t="s">
        <v>33</v>
      </c>
      <c r="B352" s="62" t="s">
        <v>34</v>
      </c>
      <c r="C352" s="62">
        <v>4</v>
      </c>
      <c r="D352" s="62">
        <v>2</v>
      </c>
      <c r="E352" s="62">
        <v>16</v>
      </c>
      <c r="F352" s="62">
        <v>216</v>
      </c>
      <c r="G352" s="63">
        <v>31</v>
      </c>
      <c r="H352" s="63">
        <v>11</v>
      </c>
    </row>
    <row r="353" spans="1:12" ht="15" customHeight="1" x14ac:dyDescent="0.35">
      <c r="A353" s="62" t="s">
        <v>33</v>
      </c>
      <c r="B353" s="62" t="s">
        <v>30</v>
      </c>
      <c r="C353" s="62">
        <v>4</v>
      </c>
      <c r="D353" s="62">
        <v>1</v>
      </c>
      <c r="E353" s="62">
        <v>16</v>
      </c>
      <c r="F353" s="62">
        <v>116</v>
      </c>
      <c r="G353" s="63">
        <v>32</v>
      </c>
      <c r="H353" s="63">
        <v>11</v>
      </c>
    </row>
    <row r="354" spans="1:12" ht="15" customHeight="1" x14ac:dyDescent="0.35">
      <c r="A354" s="62" t="s">
        <v>28</v>
      </c>
      <c r="B354" s="62" t="s">
        <v>29</v>
      </c>
      <c r="C354" s="62">
        <v>1</v>
      </c>
      <c r="D354" s="62">
        <v>1</v>
      </c>
      <c r="E354" s="62">
        <v>2</v>
      </c>
      <c r="F354" s="62">
        <v>102</v>
      </c>
      <c r="G354" s="63">
        <v>1</v>
      </c>
      <c r="H354" s="63">
        <v>12</v>
      </c>
      <c r="I354" s="116">
        <v>45904</v>
      </c>
      <c r="J354" s="44">
        <v>12.7</v>
      </c>
      <c r="K354" s="44">
        <v>11.9</v>
      </c>
      <c r="L354" s="44">
        <v>12.7</v>
      </c>
    </row>
    <row r="355" spans="1:12" ht="15" customHeight="1" x14ac:dyDescent="0.35">
      <c r="A355" s="62" t="s">
        <v>28</v>
      </c>
      <c r="B355" s="62" t="s">
        <v>30</v>
      </c>
      <c r="C355" s="62">
        <v>1</v>
      </c>
      <c r="D355" s="62">
        <v>2</v>
      </c>
      <c r="E355" s="62">
        <v>2</v>
      </c>
      <c r="F355" s="62">
        <v>202</v>
      </c>
      <c r="G355" s="63">
        <v>2</v>
      </c>
      <c r="H355" s="63">
        <v>12</v>
      </c>
      <c r="I355" s="116">
        <v>45904</v>
      </c>
      <c r="J355" s="44">
        <v>12.5</v>
      </c>
      <c r="K355" s="44">
        <v>12</v>
      </c>
      <c r="L355" s="44">
        <v>12</v>
      </c>
    </row>
    <row r="356" spans="1:12" ht="15" customHeight="1" x14ac:dyDescent="0.35">
      <c r="A356" s="62" t="s">
        <v>28</v>
      </c>
      <c r="B356" s="62" t="s">
        <v>31</v>
      </c>
      <c r="C356" s="62">
        <v>1</v>
      </c>
      <c r="D356" s="62">
        <v>3</v>
      </c>
      <c r="E356" s="62">
        <v>2</v>
      </c>
      <c r="F356" s="62">
        <v>302</v>
      </c>
      <c r="G356" s="63">
        <v>3</v>
      </c>
      <c r="H356" s="63">
        <v>12</v>
      </c>
      <c r="I356" s="116">
        <v>45904</v>
      </c>
      <c r="J356" s="44">
        <v>12.9</v>
      </c>
      <c r="K356" s="44">
        <v>11.8</v>
      </c>
      <c r="L356" s="44">
        <v>12.1</v>
      </c>
    </row>
    <row r="357" spans="1:12" ht="15" customHeight="1" x14ac:dyDescent="0.35">
      <c r="A357" s="62" t="s">
        <v>28</v>
      </c>
      <c r="B357" s="62" t="s">
        <v>32</v>
      </c>
      <c r="C357" s="62">
        <v>1</v>
      </c>
      <c r="D357" s="62">
        <v>4</v>
      </c>
      <c r="E357" s="62">
        <v>2</v>
      </c>
      <c r="F357" s="62">
        <v>402</v>
      </c>
      <c r="G357" s="63">
        <v>4</v>
      </c>
      <c r="H357" s="63">
        <v>12</v>
      </c>
      <c r="I357" s="116">
        <v>45904</v>
      </c>
      <c r="J357" s="44">
        <v>12.1</v>
      </c>
      <c r="K357" s="44">
        <v>12.4</v>
      </c>
      <c r="L357" s="44">
        <v>12</v>
      </c>
    </row>
    <row r="358" spans="1:12" ht="15" customHeight="1" x14ac:dyDescent="0.35">
      <c r="A358" s="62" t="s">
        <v>33</v>
      </c>
      <c r="B358" s="62" t="s">
        <v>29</v>
      </c>
      <c r="C358" s="62">
        <v>1</v>
      </c>
      <c r="D358" s="62">
        <v>4</v>
      </c>
      <c r="E358" s="62">
        <v>4</v>
      </c>
      <c r="F358" s="62">
        <v>404</v>
      </c>
      <c r="G358" s="63">
        <v>5</v>
      </c>
      <c r="H358" s="63">
        <v>12</v>
      </c>
    </row>
    <row r="359" spans="1:12" ht="15" customHeight="1" x14ac:dyDescent="0.35">
      <c r="A359" s="62" t="s">
        <v>33</v>
      </c>
      <c r="B359" s="62" t="s">
        <v>35</v>
      </c>
      <c r="C359" s="62">
        <v>1</v>
      </c>
      <c r="D359" s="62">
        <v>3</v>
      </c>
      <c r="E359" s="62">
        <v>4</v>
      </c>
      <c r="F359" s="62">
        <v>304</v>
      </c>
      <c r="G359" s="63">
        <v>6</v>
      </c>
      <c r="H359" s="63">
        <v>12</v>
      </c>
    </row>
    <row r="360" spans="1:12" ht="15" customHeight="1" x14ac:dyDescent="0.35">
      <c r="A360" s="62" t="s">
        <v>33</v>
      </c>
      <c r="B360" s="62" t="s">
        <v>30</v>
      </c>
      <c r="C360" s="62">
        <v>1</v>
      </c>
      <c r="D360" s="62">
        <v>2</v>
      </c>
      <c r="E360" s="62">
        <v>4</v>
      </c>
      <c r="F360" s="62">
        <v>204</v>
      </c>
      <c r="G360" s="63">
        <v>7</v>
      </c>
      <c r="H360" s="63">
        <v>12</v>
      </c>
    </row>
    <row r="361" spans="1:12" ht="15" customHeight="1" x14ac:dyDescent="0.35">
      <c r="A361" s="62" t="s">
        <v>33</v>
      </c>
      <c r="B361" s="62" t="s">
        <v>34</v>
      </c>
      <c r="C361" s="62">
        <v>1</v>
      </c>
      <c r="D361" s="62">
        <v>1</v>
      </c>
      <c r="E361" s="62">
        <v>4</v>
      </c>
      <c r="F361" s="62">
        <v>104</v>
      </c>
      <c r="G361" s="63">
        <v>8</v>
      </c>
      <c r="H361" s="63">
        <v>12</v>
      </c>
    </row>
    <row r="362" spans="1:12" ht="15" customHeight="1" x14ac:dyDescent="0.35">
      <c r="A362" s="62" t="s">
        <v>28</v>
      </c>
      <c r="B362" s="62" t="s">
        <v>31</v>
      </c>
      <c r="C362" s="62">
        <v>2</v>
      </c>
      <c r="D362" s="62">
        <v>1</v>
      </c>
      <c r="E362" s="62">
        <v>6</v>
      </c>
      <c r="F362" s="62">
        <v>106</v>
      </c>
      <c r="G362" s="63">
        <v>9</v>
      </c>
      <c r="H362" s="63">
        <v>12</v>
      </c>
      <c r="I362" s="116">
        <v>45904</v>
      </c>
      <c r="J362" s="44">
        <v>11.7</v>
      </c>
      <c r="K362" s="44">
        <v>13.2</v>
      </c>
      <c r="L362" s="44">
        <v>11.6</v>
      </c>
    </row>
    <row r="363" spans="1:12" ht="15" customHeight="1" x14ac:dyDescent="0.35">
      <c r="A363" s="62" t="s">
        <v>28</v>
      </c>
      <c r="B363" s="62" t="s">
        <v>32</v>
      </c>
      <c r="C363" s="62">
        <v>2</v>
      </c>
      <c r="D363" s="62">
        <v>2</v>
      </c>
      <c r="E363" s="62">
        <v>6</v>
      </c>
      <c r="F363" s="62">
        <v>206</v>
      </c>
      <c r="G363" s="63">
        <v>10</v>
      </c>
      <c r="H363" s="63">
        <v>12</v>
      </c>
      <c r="I363" s="116">
        <v>45904</v>
      </c>
      <c r="J363" s="44">
        <v>12.5</v>
      </c>
      <c r="K363" s="44">
        <v>12.2</v>
      </c>
      <c r="L363" s="44">
        <v>12.6</v>
      </c>
    </row>
    <row r="364" spans="1:12" ht="15" customHeight="1" x14ac:dyDescent="0.35">
      <c r="A364" s="62" t="s">
        <v>28</v>
      </c>
      <c r="B364" s="62" t="s">
        <v>30</v>
      </c>
      <c r="C364" s="62">
        <v>2</v>
      </c>
      <c r="D364" s="62">
        <v>3</v>
      </c>
      <c r="E364" s="62">
        <v>6</v>
      </c>
      <c r="F364" s="62">
        <v>306</v>
      </c>
      <c r="G364" s="63">
        <v>11</v>
      </c>
      <c r="H364" s="63">
        <v>12</v>
      </c>
      <c r="I364" s="116">
        <v>45904</v>
      </c>
      <c r="J364" s="44">
        <v>11.9</v>
      </c>
      <c r="K364" s="44">
        <v>12.6</v>
      </c>
      <c r="L364" s="44">
        <v>12.5</v>
      </c>
    </row>
    <row r="365" spans="1:12" ht="15" customHeight="1" x14ac:dyDescent="0.35">
      <c r="A365" s="62" t="s">
        <v>28</v>
      </c>
      <c r="B365" s="62" t="s">
        <v>29</v>
      </c>
      <c r="C365" s="62">
        <v>2</v>
      </c>
      <c r="D365" s="62">
        <v>4</v>
      </c>
      <c r="E365" s="62">
        <v>6</v>
      </c>
      <c r="F365" s="62">
        <v>406</v>
      </c>
      <c r="G365" s="63">
        <v>12</v>
      </c>
      <c r="H365" s="63">
        <v>12</v>
      </c>
      <c r="I365" s="116">
        <v>45904</v>
      </c>
      <c r="J365" s="44">
        <v>11.8</v>
      </c>
      <c r="K365" s="44">
        <v>11.6</v>
      </c>
      <c r="L365" s="44">
        <v>12</v>
      </c>
    </row>
    <row r="366" spans="1:12" ht="15" customHeight="1" x14ac:dyDescent="0.35">
      <c r="A366" s="62" t="s">
        <v>33</v>
      </c>
      <c r="B366" s="62" t="s">
        <v>34</v>
      </c>
      <c r="C366" s="62">
        <v>2</v>
      </c>
      <c r="D366" s="62">
        <v>4</v>
      </c>
      <c r="E366" s="62">
        <v>8</v>
      </c>
      <c r="F366" s="62">
        <v>408</v>
      </c>
      <c r="G366" s="63">
        <v>13</v>
      </c>
      <c r="H366" s="63">
        <v>12</v>
      </c>
    </row>
    <row r="367" spans="1:12" ht="15" customHeight="1" x14ac:dyDescent="0.35">
      <c r="A367" s="62" t="s">
        <v>33</v>
      </c>
      <c r="B367" s="62" t="s">
        <v>30</v>
      </c>
      <c r="C367" s="62">
        <v>2</v>
      </c>
      <c r="D367" s="62">
        <v>3</v>
      </c>
      <c r="E367" s="62">
        <v>8</v>
      </c>
      <c r="F367" s="62">
        <v>308</v>
      </c>
      <c r="G367" s="63">
        <v>14</v>
      </c>
      <c r="H367" s="63">
        <v>12</v>
      </c>
    </row>
    <row r="368" spans="1:12" ht="15" customHeight="1" x14ac:dyDescent="0.35">
      <c r="A368" s="62" t="s">
        <v>33</v>
      </c>
      <c r="B368" s="62" t="s">
        <v>29</v>
      </c>
      <c r="C368" s="62">
        <v>2</v>
      </c>
      <c r="D368" s="62">
        <v>2</v>
      </c>
      <c r="E368" s="62">
        <v>8</v>
      </c>
      <c r="F368" s="62">
        <v>208</v>
      </c>
      <c r="G368" s="63">
        <v>15</v>
      </c>
      <c r="H368" s="63">
        <v>12</v>
      </c>
    </row>
    <row r="369" spans="1:12" ht="15" customHeight="1" x14ac:dyDescent="0.35">
      <c r="A369" s="62" t="s">
        <v>33</v>
      </c>
      <c r="B369" s="62" t="s">
        <v>35</v>
      </c>
      <c r="C369" s="62">
        <v>2</v>
      </c>
      <c r="D369" s="62">
        <v>1</v>
      </c>
      <c r="E369" s="62">
        <v>8</v>
      </c>
      <c r="F369" s="62">
        <v>108</v>
      </c>
      <c r="G369" s="63">
        <v>16</v>
      </c>
      <c r="H369" s="63">
        <v>12</v>
      </c>
    </row>
    <row r="370" spans="1:12" ht="15" customHeight="1" x14ac:dyDescent="0.35">
      <c r="A370" s="62" t="s">
        <v>28</v>
      </c>
      <c r="B370" s="62" t="s">
        <v>32</v>
      </c>
      <c r="C370" s="62">
        <v>3</v>
      </c>
      <c r="D370" s="62">
        <v>1</v>
      </c>
      <c r="E370" s="62">
        <v>10</v>
      </c>
      <c r="F370" s="62">
        <v>110</v>
      </c>
      <c r="G370" s="63">
        <v>17</v>
      </c>
      <c r="H370" s="63">
        <v>12</v>
      </c>
      <c r="I370" s="116">
        <v>45904</v>
      </c>
      <c r="J370" s="44">
        <v>11.1</v>
      </c>
      <c r="K370" s="44">
        <v>11.8</v>
      </c>
      <c r="L370" s="44">
        <v>11.5</v>
      </c>
    </row>
    <row r="371" spans="1:12" ht="15" customHeight="1" x14ac:dyDescent="0.35">
      <c r="A371" s="62" t="s">
        <v>28</v>
      </c>
      <c r="B371" s="62" t="s">
        <v>31</v>
      </c>
      <c r="C371" s="62">
        <v>3</v>
      </c>
      <c r="D371" s="62">
        <v>2</v>
      </c>
      <c r="E371" s="62">
        <v>10</v>
      </c>
      <c r="F371" s="62">
        <v>210</v>
      </c>
      <c r="G371" s="63">
        <v>18</v>
      </c>
      <c r="H371" s="63">
        <v>12</v>
      </c>
      <c r="I371" s="116">
        <v>45904</v>
      </c>
      <c r="J371" s="44">
        <v>12.4</v>
      </c>
      <c r="K371" s="44">
        <v>12.5</v>
      </c>
      <c r="L371" s="44">
        <v>13.1</v>
      </c>
    </row>
    <row r="372" spans="1:12" ht="15" customHeight="1" x14ac:dyDescent="0.35">
      <c r="A372" s="62" t="s">
        <v>28</v>
      </c>
      <c r="B372" s="62" t="s">
        <v>29</v>
      </c>
      <c r="C372" s="62">
        <v>3</v>
      </c>
      <c r="D372" s="62">
        <v>3</v>
      </c>
      <c r="E372" s="62">
        <v>10</v>
      </c>
      <c r="F372" s="62">
        <v>310</v>
      </c>
      <c r="G372" s="63">
        <v>19</v>
      </c>
      <c r="H372" s="63">
        <v>12</v>
      </c>
      <c r="I372" s="116">
        <v>45904</v>
      </c>
      <c r="J372" s="44">
        <v>12.4</v>
      </c>
      <c r="K372" s="44">
        <v>11.4</v>
      </c>
      <c r="L372" s="44">
        <v>11.5</v>
      </c>
    </row>
    <row r="373" spans="1:12" ht="15" customHeight="1" x14ac:dyDescent="0.35">
      <c r="A373" s="62" t="s">
        <v>28</v>
      </c>
      <c r="B373" s="62" t="s">
        <v>30</v>
      </c>
      <c r="C373" s="62">
        <v>3</v>
      </c>
      <c r="D373" s="62">
        <v>4</v>
      </c>
      <c r="E373" s="62">
        <v>10</v>
      </c>
      <c r="F373" s="62">
        <v>410</v>
      </c>
      <c r="G373" s="63">
        <v>20</v>
      </c>
      <c r="H373" s="63">
        <v>12</v>
      </c>
      <c r="I373" s="116">
        <v>45904</v>
      </c>
      <c r="J373" s="44">
        <v>12.5</v>
      </c>
      <c r="K373" s="44">
        <v>12.6</v>
      </c>
      <c r="L373" s="44">
        <v>12.7</v>
      </c>
    </row>
    <row r="374" spans="1:12" ht="15" customHeight="1" x14ac:dyDescent="0.35">
      <c r="A374" s="62" t="s">
        <v>33</v>
      </c>
      <c r="B374" s="62" t="s">
        <v>30</v>
      </c>
      <c r="C374" s="62">
        <v>3</v>
      </c>
      <c r="D374" s="62">
        <v>4</v>
      </c>
      <c r="E374" s="62">
        <v>12</v>
      </c>
      <c r="F374" s="62">
        <v>412</v>
      </c>
      <c r="G374" s="63">
        <v>21</v>
      </c>
      <c r="H374" s="63">
        <v>12</v>
      </c>
    </row>
    <row r="375" spans="1:12" ht="15" customHeight="1" x14ac:dyDescent="0.35">
      <c r="A375" s="62" t="s">
        <v>33</v>
      </c>
      <c r="B375" s="62" t="s">
        <v>34</v>
      </c>
      <c r="C375" s="62">
        <v>3</v>
      </c>
      <c r="D375" s="62">
        <v>3</v>
      </c>
      <c r="E375" s="62">
        <v>12</v>
      </c>
      <c r="F375" s="62">
        <v>312</v>
      </c>
      <c r="G375" s="63">
        <v>22</v>
      </c>
      <c r="H375" s="63">
        <v>12</v>
      </c>
    </row>
    <row r="376" spans="1:12" ht="15" customHeight="1" x14ac:dyDescent="0.35">
      <c r="A376" s="62" t="s">
        <v>33</v>
      </c>
      <c r="B376" s="62" t="s">
        <v>35</v>
      </c>
      <c r="C376" s="62">
        <v>3</v>
      </c>
      <c r="D376" s="62">
        <v>2</v>
      </c>
      <c r="E376" s="62">
        <v>12</v>
      </c>
      <c r="F376" s="62">
        <v>212</v>
      </c>
      <c r="G376" s="63">
        <v>23</v>
      </c>
      <c r="H376" s="63">
        <v>12</v>
      </c>
    </row>
    <row r="377" spans="1:12" ht="15" customHeight="1" x14ac:dyDescent="0.35">
      <c r="A377" s="62" t="s">
        <v>33</v>
      </c>
      <c r="B377" s="62" t="s">
        <v>29</v>
      </c>
      <c r="C377" s="62">
        <v>3</v>
      </c>
      <c r="D377" s="62">
        <v>1</v>
      </c>
      <c r="E377" s="62">
        <v>12</v>
      </c>
      <c r="F377" s="62">
        <v>112</v>
      </c>
      <c r="G377" s="63">
        <v>24</v>
      </c>
      <c r="H377" s="63">
        <v>12</v>
      </c>
    </row>
    <row r="378" spans="1:12" ht="15" customHeight="1" x14ac:dyDescent="0.35">
      <c r="A378" s="62" t="s">
        <v>28</v>
      </c>
      <c r="B378" s="62" t="s">
        <v>30</v>
      </c>
      <c r="C378" s="62">
        <v>4</v>
      </c>
      <c r="D378" s="62">
        <v>1</v>
      </c>
      <c r="E378" s="62">
        <v>14</v>
      </c>
      <c r="F378" s="62">
        <v>114</v>
      </c>
      <c r="G378" s="63">
        <v>25</v>
      </c>
      <c r="H378" s="63">
        <v>12</v>
      </c>
      <c r="I378" s="116">
        <v>45904</v>
      </c>
      <c r="J378" s="44">
        <v>13.5</v>
      </c>
      <c r="K378" s="44">
        <v>12.7</v>
      </c>
      <c r="L378" s="44">
        <v>12.4</v>
      </c>
    </row>
    <row r="379" spans="1:12" ht="15" customHeight="1" x14ac:dyDescent="0.35">
      <c r="A379" s="62" t="s">
        <v>28</v>
      </c>
      <c r="B379" s="62" t="s">
        <v>29</v>
      </c>
      <c r="C379" s="62">
        <v>4</v>
      </c>
      <c r="D379" s="62">
        <v>2</v>
      </c>
      <c r="E379" s="62">
        <v>14</v>
      </c>
      <c r="F379" s="62">
        <v>214</v>
      </c>
      <c r="G379" s="63">
        <v>26</v>
      </c>
      <c r="H379" s="63">
        <v>12</v>
      </c>
      <c r="I379" s="116">
        <v>45904</v>
      </c>
      <c r="J379" s="44">
        <v>11.7</v>
      </c>
      <c r="K379" s="44">
        <v>11.8</v>
      </c>
      <c r="L379" s="44">
        <v>11.8</v>
      </c>
    </row>
    <row r="380" spans="1:12" ht="15" customHeight="1" x14ac:dyDescent="0.35">
      <c r="A380" s="62" t="s">
        <v>28</v>
      </c>
      <c r="B380" s="62" t="s">
        <v>32</v>
      </c>
      <c r="C380" s="62">
        <v>4</v>
      </c>
      <c r="D380" s="62">
        <v>3</v>
      </c>
      <c r="E380" s="62">
        <v>14</v>
      </c>
      <c r="F380" s="62">
        <v>314</v>
      </c>
      <c r="G380" s="63">
        <v>27</v>
      </c>
      <c r="H380" s="63">
        <v>12</v>
      </c>
      <c r="I380" s="116">
        <v>45904</v>
      </c>
      <c r="J380" s="44">
        <v>11.7</v>
      </c>
      <c r="K380" s="44">
        <v>11.8</v>
      </c>
      <c r="L380" s="44">
        <v>11.7</v>
      </c>
    </row>
    <row r="381" spans="1:12" ht="15" customHeight="1" x14ac:dyDescent="0.35">
      <c r="A381" s="62" t="s">
        <v>28</v>
      </c>
      <c r="B381" s="62" t="s">
        <v>31</v>
      </c>
      <c r="C381" s="62">
        <v>4</v>
      </c>
      <c r="D381" s="62">
        <v>4</v>
      </c>
      <c r="E381" s="62">
        <v>14</v>
      </c>
      <c r="F381" s="62">
        <v>414</v>
      </c>
      <c r="G381" s="63">
        <v>28</v>
      </c>
      <c r="H381" s="63">
        <v>12</v>
      </c>
      <c r="I381" s="116">
        <v>45904</v>
      </c>
      <c r="J381" s="44">
        <v>11.9</v>
      </c>
      <c r="K381" s="44">
        <v>11.7</v>
      </c>
      <c r="L381" s="44">
        <v>12.6</v>
      </c>
    </row>
    <row r="382" spans="1:12" ht="15" customHeight="1" x14ac:dyDescent="0.35">
      <c r="A382" s="62" t="s">
        <v>33</v>
      </c>
      <c r="B382" s="62" t="s">
        <v>35</v>
      </c>
      <c r="C382" s="62">
        <v>4</v>
      </c>
      <c r="D382" s="62">
        <v>4</v>
      </c>
      <c r="E382" s="62">
        <v>16</v>
      </c>
      <c r="F382" s="62">
        <v>416</v>
      </c>
      <c r="G382" s="63">
        <v>29</v>
      </c>
      <c r="H382" s="63">
        <v>12</v>
      </c>
    </row>
    <row r="383" spans="1:12" ht="15" customHeight="1" x14ac:dyDescent="0.35">
      <c r="A383" s="62" t="s">
        <v>33</v>
      </c>
      <c r="B383" s="62" t="s">
        <v>29</v>
      </c>
      <c r="C383" s="62">
        <v>4</v>
      </c>
      <c r="D383" s="62">
        <v>3</v>
      </c>
      <c r="E383" s="62">
        <v>16</v>
      </c>
      <c r="F383" s="62">
        <v>316</v>
      </c>
      <c r="G383" s="63">
        <v>30</v>
      </c>
      <c r="H383" s="63">
        <v>12</v>
      </c>
    </row>
    <row r="384" spans="1:12" ht="15" customHeight="1" x14ac:dyDescent="0.35">
      <c r="A384" s="62" t="s">
        <v>33</v>
      </c>
      <c r="B384" s="62" t="s">
        <v>34</v>
      </c>
      <c r="C384" s="62">
        <v>4</v>
      </c>
      <c r="D384" s="62">
        <v>2</v>
      </c>
      <c r="E384" s="62">
        <v>16</v>
      </c>
      <c r="F384" s="62">
        <v>216</v>
      </c>
      <c r="G384" s="63">
        <v>31</v>
      </c>
      <c r="H384" s="63">
        <v>12</v>
      </c>
    </row>
    <row r="385" spans="1:12" ht="15" customHeight="1" x14ac:dyDescent="0.35">
      <c r="A385" s="62" t="s">
        <v>33</v>
      </c>
      <c r="B385" s="62" t="s">
        <v>30</v>
      </c>
      <c r="C385" s="62">
        <v>4</v>
      </c>
      <c r="D385" s="62">
        <v>1</v>
      </c>
      <c r="E385" s="62">
        <v>16</v>
      </c>
      <c r="F385" s="62">
        <v>116</v>
      </c>
      <c r="G385" s="63">
        <v>32</v>
      </c>
      <c r="H385" s="63">
        <v>12</v>
      </c>
    </row>
    <row r="386" spans="1:12" ht="15" customHeight="1" x14ac:dyDescent="0.35">
      <c r="A386" s="62" t="s">
        <v>28</v>
      </c>
      <c r="B386" s="62" t="s">
        <v>29</v>
      </c>
      <c r="C386" s="62">
        <v>1</v>
      </c>
      <c r="D386" s="62">
        <v>1</v>
      </c>
      <c r="E386" s="62">
        <v>2</v>
      </c>
      <c r="F386" s="62">
        <v>102</v>
      </c>
      <c r="G386" s="63">
        <v>1</v>
      </c>
      <c r="H386" s="63">
        <v>13</v>
      </c>
      <c r="I386" s="116">
        <v>45918</v>
      </c>
      <c r="J386" s="44">
        <v>13</v>
      </c>
      <c r="K386" s="44">
        <v>12</v>
      </c>
      <c r="L386" s="44">
        <v>13</v>
      </c>
    </row>
    <row r="387" spans="1:12" ht="15" customHeight="1" x14ac:dyDescent="0.35">
      <c r="A387" s="62" t="s">
        <v>28</v>
      </c>
      <c r="B387" s="62" t="s">
        <v>30</v>
      </c>
      <c r="C387" s="62">
        <v>1</v>
      </c>
      <c r="D387" s="62">
        <v>2</v>
      </c>
      <c r="E387" s="62">
        <v>2</v>
      </c>
      <c r="F387" s="62">
        <v>202</v>
      </c>
      <c r="G387" s="63">
        <v>2</v>
      </c>
      <c r="H387" s="63">
        <v>13</v>
      </c>
      <c r="I387" s="116">
        <v>45918</v>
      </c>
      <c r="J387" s="44">
        <v>13</v>
      </c>
      <c r="K387" s="44">
        <v>12</v>
      </c>
      <c r="L387" s="44">
        <v>12</v>
      </c>
    </row>
    <row r="388" spans="1:12" ht="15" customHeight="1" x14ac:dyDescent="0.35">
      <c r="A388" s="62" t="s">
        <v>28</v>
      </c>
      <c r="B388" s="62" t="s">
        <v>31</v>
      </c>
      <c r="C388" s="62">
        <v>1</v>
      </c>
      <c r="D388" s="62">
        <v>3</v>
      </c>
      <c r="E388" s="62">
        <v>2</v>
      </c>
      <c r="F388" s="62">
        <v>302</v>
      </c>
      <c r="G388" s="63">
        <v>3</v>
      </c>
      <c r="H388" s="63">
        <v>13</v>
      </c>
      <c r="I388" s="116">
        <v>45918</v>
      </c>
      <c r="J388" s="44">
        <v>13</v>
      </c>
      <c r="K388" s="44">
        <v>13</v>
      </c>
      <c r="L388" s="44">
        <v>16</v>
      </c>
    </row>
    <row r="389" spans="1:12" ht="15" customHeight="1" x14ac:dyDescent="0.35">
      <c r="A389" s="62" t="s">
        <v>28</v>
      </c>
      <c r="B389" s="62" t="s">
        <v>32</v>
      </c>
      <c r="C389" s="62">
        <v>1</v>
      </c>
      <c r="D389" s="62">
        <v>4</v>
      </c>
      <c r="E389" s="62">
        <v>2</v>
      </c>
      <c r="F389" s="62">
        <v>402</v>
      </c>
      <c r="G389" s="63">
        <v>4</v>
      </c>
      <c r="H389" s="63">
        <v>13</v>
      </c>
      <c r="I389" s="116">
        <v>45918</v>
      </c>
      <c r="J389" s="44">
        <v>13.4</v>
      </c>
      <c r="K389" s="44">
        <v>13.4</v>
      </c>
      <c r="L389" s="44">
        <v>13.3</v>
      </c>
    </row>
    <row r="390" spans="1:12" ht="15" customHeight="1" x14ac:dyDescent="0.35">
      <c r="A390" s="62" t="s">
        <v>33</v>
      </c>
      <c r="B390" s="62" t="s">
        <v>29</v>
      </c>
      <c r="C390" s="62">
        <v>1</v>
      </c>
      <c r="D390" s="62">
        <v>4</v>
      </c>
      <c r="E390" s="62">
        <v>4</v>
      </c>
      <c r="F390" s="62">
        <v>404</v>
      </c>
      <c r="G390" s="63">
        <v>5</v>
      </c>
      <c r="H390" s="63">
        <v>13</v>
      </c>
    </row>
    <row r="391" spans="1:12" ht="15" customHeight="1" x14ac:dyDescent="0.35">
      <c r="A391" s="62" t="s">
        <v>33</v>
      </c>
      <c r="B391" s="62" t="s">
        <v>35</v>
      </c>
      <c r="C391" s="62">
        <v>1</v>
      </c>
      <c r="D391" s="62">
        <v>3</v>
      </c>
      <c r="E391" s="62">
        <v>4</v>
      </c>
      <c r="F391" s="62">
        <v>304</v>
      </c>
      <c r="G391" s="63">
        <v>6</v>
      </c>
      <c r="H391" s="63">
        <v>13</v>
      </c>
    </row>
    <row r="392" spans="1:12" ht="15" customHeight="1" x14ac:dyDescent="0.35">
      <c r="A392" s="62" t="s">
        <v>33</v>
      </c>
      <c r="B392" s="62" t="s">
        <v>30</v>
      </c>
      <c r="C392" s="62">
        <v>1</v>
      </c>
      <c r="D392" s="62">
        <v>2</v>
      </c>
      <c r="E392" s="62">
        <v>4</v>
      </c>
      <c r="F392" s="62">
        <v>204</v>
      </c>
      <c r="G392" s="63">
        <v>7</v>
      </c>
      <c r="H392" s="63">
        <v>13</v>
      </c>
    </row>
    <row r="393" spans="1:12" ht="15" customHeight="1" x14ac:dyDescent="0.35">
      <c r="A393" s="62" t="s">
        <v>33</v>
      </c>
      <c r="B393" s="62" t="s">
        <v>34</v>
      </c>
      <c r="C393" s="62">
        <v>1</v>
      </c>
      <c r="D393" s="62">
        <v>1</v>
      </c>
      <c r="E393" s="62">
        <v>4</v>
      </c>
      <c r="F393" s="62">
        <v>104</v>
      </c>
      <c r="G393" s="63">
        <v>8</v>
      </c>
      <c r="H393" s="63">
        <v>13</v>
      </c>
    </row>
    <row r="394" spans="1:12" ht="15" customHeight="1" x14ac:dyDescent="0.35">
      <c r="A394" s="62" t="s">
        <v>28</v>
      </c>
      <c r="B394" s="62" t="s">
        <v>31</v>
      </c>
      <c r="C394" s="62">
        <v>2</v>
      </c>
      <c r="D394" s="62">
        <v>1</v>
      </c>
      <c r="E394" s="62">
        <v>6</v>
      </c>
      <c r="F394" s="62">
        <v>106</v>
      </c>
      <c r="G394" s="63">
        <v>9</v>
      </c>
      <c r="H394" s="63">
        <v>13</v>
      </c>
      <c r="I394" s="116">
        <v>45918</v>
      </c>
      <c r="J394" s="44">
        <v>12</v>
      </c>
      <c r="K394" s="44">
        <v>14</v>
      </c>
      <c r="L394" s="44">
        <v>12</v>
      </c>
    </row>
    <row r="395" spans="1:12" ht="15" customHeight="1" x14ac:dyDescent="0.35">
      <c r="A395" s="62" t="s">
        <v>28</v>
      </c>
      <c r="B395" s="62" t="s">
        <v>32</v>
      </c>
      <c r="C395" s="62">
        <v>2</v>
      </c>
      <c r="D395" s="62">
        <v>2</v>
      </c>
      <c r="E395" s="62">
        <v>6</v>
      </c>
      <c r="F395" s="62">
        <v>206</v>
      </c>
      <c r="G395" s="63">
        <v>10</v>
      </c>
      <c r="H395" s="63">
        <v>13</v>
      </c>
      <c r="I395" s="116">
        <v>45918</v>
      </c>
      <c r="J395" s="44">
        <v>14</v>
      </c>
      <c r="K395" s="44">
        <v>13.4</v>
      </c>
      <c r="L395" s="44">
        <v>14.1</v>
      </c>
    </row>
    <row r="396" spans="1:12" ht="15" customHeight="1" x14ac:dyDescent="0.35">
      <c r="A396" s="62" t="s">
        <v>28</v>
      </c>
      <c r="B396" s="62" t="s">
        <v>30</v>
      </c>
      <c r="C396" s="62">
        <v>2</v>
      </c>
      <c r="D396" s="62">
        <v>3</v>
      </c>
      <c r="E396" s="62">
        <v>6</v>
      </c>
      <c r="F396" s="62">
        <v>306</v>
      </c>
      <c r="G396" s="63">
        <v>11</v>
      </c>
      <c r="H396" s="63">
        <v>13</v>
      </c>
      <c r="I396" s="116">
        <v>45918</v>
      </c>
      <c r="J396" s="44">
        <v>13</v>
      </c>
      <c r="K396" s="44">
        <v>13</v>
      </c>
      <c r="L396" s="44">
        <v>13</v>
      </c>
    </row>
    <row r="397" spans="1:12" ht="15" customHeight="1" x14ac:dyDescent="0.35">
      <c r="A397" s="62" t="s">
        <v>28</v>
      </c>
      <c r="B397" s="62" t="s">
        <v>29</v>
      </c>
      <c r="C397" s="62">
        <v>2</v>
      </c>
      <c r="D397" s="62">
        <v>4</v>
      </c>
      <c r="E397" s="62">
        <v>6</v>
      </c>
      <c r="F397" s="62">
        <v>406</v>
      </c>
      <c r="G397" s="63">
        <v>12</v>
      </c>
      <c r="H397" s="63">
        <v>13</v>
      </c>
      <c r="I397" s="116">
        <v>45918</v>
      </c>
      <c r="J397" s="44">
        <v>12</v>
      </c>
      <c r="K397" s="44">
        <v>12</v>
      </c>
      <c r="L397" s="44">
        <v>12</v>
      </c>
    </row>
    <row r="398" spans="1:12" ht="15" customHeight="1" x14ac:dyDescent="0.35">
      <c r="A398" s="62" t="s">
        <v>33</v>
      </c>
      <c r="B398" s="62" t="s">
        <v>34</v>
      </c>
      <c r="C398" s="62">
        <v>2</v>
      </c>
      <c r="D398" s="62">
        <v>4</v>
      </c>
      <c r="E398" s="62">
        <v>8</v>
      </c>
      <c r="F398" s="62">
        <v>408</v>
      </c>
      <c r="G398" s="63">
        <v>13</v>
      </c>
      <c r="H398" s="63">
        <v>13</v>
      </c>
    </row>
    <row r="399" spans="1:12" ht="15" customHeight="1" x14ac:dyDescent="0.35">
      <c r="A399" s="62" t="s">
        <v>33</v>
      </c>
      <c r="B399" s="62" t="s">
        <v>30</v>
      </c>
      <c r="C399" s="62">
        <v>2</v>
      </c>
      <c r="D399" s="62">
        <v>3</v>
      </c>
      <c r="E399" s="62">
        <v>8</v>
      </c>
      <c r="F399" s="62">
        <v>308</v>
      </c>
      <c r="G399" s="63">
        <v>14</v>
      </c>
      <c r="H399" s="63">
        <v>13</v>
      </c>
    </row>
    <row r="400" spans="1:12" ht="15" customHeight="1" x14ac:dyDescent="0.35">
      <c r="A400" s="62" t="s">
        <v>33</v>
      </c>
      <c r="B400" s="62" t="s">
        <v>29</v>
      </c>
      <c r="C400" s="62">
        <v>2</v>
      </c>
      <c r="D400" s="62">
        <v>2</v>
      </c>
      <c r="E400" s="62">
        <v>8</v>
      </c>
      <c r="F400" s="62">
        <v>208</v>
      </c>
      <c r="G400" s="63">
        <v>15</v>
      </c>
      <c r="H400" s="63">
        <v>13</v>
      </c>
    </row>
    <row r="401" spans="1:12" ht="15" customHeight="1" x14ac:dyDescent="0.35">
      <c r="A401" s="62" t="s">
        <v>33</v>
      </c>
      <c r="B401" s="62" t="s">
        <v>35</v>
      </c>
      <c r="C401" s="62">
        <v>2</v>
      </c>
      <c r="D401" s="62">
        <v>1</v>
      </c>
      <c r="E401" s="62">
        <v>8</v>
      </c>
      <c r="F401" s="62">
        <v>108</v>
      </c>
      <c r="G401" s="63">
        <v>16</v>
      </c>
      <c r="H401" s="63">
        <v>13</v>
      </c>
    </row>
    <row r="402" spans="1:12" ht="15" customHeight="1" x14ac:dyDescent="0.35">
      <c r="A402" s="62" t="s">
        <v>28</v>
      </c>
      <c r="B402" s="62" t="s">
        <v>32</v>
      </c>
      <c r="C402" s="62">
        <v>3</v>
      </c>
      <c r="D402" s="62">
        <v>1</v>
      </c>
      <c r="E402" s="62">
        <v>10</v>
      </c>
      <c r="F402" s="62">
        <v>110</v>
      </c>
      <c r="G402" s="63">
        <v>17</v>
      </c>
      <c r="H402" s="63">
        <v>13</v>
      </c>
      <c r="I402" s="116">
        <v>45918</v>
      </c>
      <c r="J402" s="44">
        <v>12.4</v>
      </c>
      <c r="K402" s="44">
        <v>13.4</v>
      </c>
      <c r="L402" s="44">
        <v>13</v>
      </c>
    </row>
    <row r="403" spans="1:12" ht="15" customHeight="1" x14ac:dyDescent="0.35">
      <c r="A403" s="62" t="s">
        <v>28</v>
      </c>
      <c r="B403" s="62" t="s">
        <v>31</v>
      </c>
      <c r="C403" s="62">
        <v>3</v>
      </c>
      <c r="D403" s="62">
        <v>2</v>
      </c>
      <c r="E403" s="62">
        <v>10</v>
      </c>
      <c r="F403" s="62">
        <v>210</v>
      </c>
      <c r="G403" s="63">
        <v>18</v>
      </c>
      <c r="H403" s="63">
        <v>13</v>
      </c>
      <c r="I403" s="116">
        <v>45918</v>
      </c>
      <c r="J403" s="44">
        <v>13</v>
      </c>
      <c r="K403" s="44">
        <v>13</v>
      </c>
      <c r="L403" s="44">
        <v>14</v>
      </c>
    </row>
    <row r="404" spans="1:12" ht="15" customHeight="1" x14ac:dyDescent="0.35">
      <c r="A404" s="62" t="s">
        <v>28</v>
      </c>
      <c r="B404" s="62" t="s">
        <v>29</v>
      </c>
      <c r="C404" s="62">
        <v>3</v>
      </c>
      <c r="D404" s="62">
        <v>3</v>
      </c>
      <c r="E404" s="62">
        <v>10</v>
      </c>
      <c r="F404" s="62">
        <v>310</v>
      </c>
      <c r="G404" s="63">
        <v>19</v>
      </c>
      <c r="H404" s="63">
        <v>13</v>
      </c>
      <c r="I404" s="116">
        <v>45918</v>
      </c>
      <c r="J404" s="44">
        <v>13</v>
      </c>
      <c r="K404" s="44">
        <v>12</v>
      </c>
      <c r="L404" s="44">
        <v>12</v>
      </c>
    </row>
    <row r="405" spans="1:12" ht="15" customHeight="1" x14ac:dyDescent="0.35">
      <c r="A405" s="62" t="s">
        <v>28</v>
      </c>
      <c r="B405" s="62" t="s">
        <v>30</v>
      </c>
      <c r="C405" s="62">
        <v>3</v>
      </c>
      <c r="D405" s="62">
        <v>4</v>
      </c>
      <c r="E405" s="62">
        <v>10</v>
      </c>
      <c r="F405" s="62">
        <v>410</v>
      </c>
      <c r="G405" s="63">
        <v>20</v>
      </c>
      <c r="H405" s="63">
        <v>13</v>
      </c>
      <c r="I405" s="116">
        <v>45918</v>
      </c>
      <c r="J405" s="44">
        <v>13</v>
      </c>
      <c r="K405" s="44">
        <v>13</v>
      </c>
      <c r="L405" s="44">
        <v>13</v>
      </c>
    </row>
    <row r="406" spans="1:12" ht="15" customHeight="1" x14ac:dyDescent="0.35">
      <c r="A406" s="62" t="s">
        <v>33</v>
      </c>
      <c r="B406" s="62" t="s">
        <v>30</v>
      </c>
      <c r="C406" s="62">
        <v>3</v>
      </c>
      <c r="D406" s="62">
        <v>4</v>
      </c>
      <c r="E406" s="62">
        <v>12</v>
      </c>
      <c r="F406" s="62">
        <v>412</v>
      </c>
      <c r="G406" s="63">
        <v>21</v>
      </c>
      <c r="H406" s="63">
        <v>13</v>
      </c>
    </row>
    <row r="407" spans="1:12" ht="15" customHeight="1" x14ac:dyDescent="0.35">
      <c r="A407" s="62" t="s">
        <v>33</v>
      </c>
      <c r="B407" s="62" t="s">
        <v>34</v>
      </c>
      <c r="C407" s="62">
        <v>3</v>
      </c>
      <c r="D407" s="62">
        <v>3</v>
      </c>
      <c r="E407" s="62">
        <v>12</v>
      </c>
      <c r="F407" s="62">
        <v>312</v>
      </c>
      <c r="G407" s="63">
        <v>22</v>
      </c>
      <c r="H407" s="63">
        <v>13</v>
      </c>
    </row>
    <row r="408" spans="1:12" ht="15" customHeight="1" x14ac:dyDescent="0.35">
      <c r="A408" s="62" t="s">
        <v>33</v>
      </c>
      <c r="B408" s="62" t="s">
        <v>35</v>
      </c>
      <c r="C408" s="62">
        <v>3</v>
      </c>
      <c r="D408" s="62">
        <v>2</v>
      </c>
      <c r="E408" s="62">
        <v>12</v>
      </c>
      <c r="F408" s="62">
        <v>212</v>
      </c>
      <c r="G408" s="63">
        <v>23</v>
      </c>
      <c r="H408" s="63">
        <v>13</v>
      </c>
    </row>
    <row r="409" spans="1:12" ht="15" customHeight="1" x14ac:dyDescent="0.35">
      <c r="A409" s="62" t="s">
        <v>33</v>
      </c>
      <c r="B409" s="62" t="s">
        <v>29</v>
      </c>
      <c r="C409" s="62">
        <v>3</v>
      </c>
      <c r="D409" s="62">
        <v>1</v>
      </c>
      <c r="E409" s="62">
        <v>12</v>
      </c>
      <c r="F409" s="62">
        <v>112</v>
      </c>
      <c r="G409" s="63">
        <v>24</v>
      </c>
      <c r="H409" s="63">
        <v>13</v>
      </c>
    </row>
    <row r="410" spans="1:12" ht="15" customHeight="1" x14ac:dyDescent="0.35">
      <c r="A410" s="62" t="s">
        <v>28</v>
      </c>
      <c r="B410" s="62" t="s">
        <v>30</v>
      </c>
      <c r="C410" s="62">
        <v>4</v>
      </c>
      <c r="D410" s="62">
        <v>1</v>
      </c>
      <c r="E410" s="62">
        <v>14</v>
      </c>
      <c r="F410" s="62">
        <v>114</v>
      </c>
      <c r="G410" s="63">
        <v>25</v>
      </c>
      <c r="H410" s="63">
        <v>13</v>
      </c>
      <c r="I410" s="116">
        <v>45918</v>
      </c>
      <c r="J410" s="44">
        <v>14</v>
      </c>
      <c r="K410" s="44">
        <v>13</v>
      </c>
      <c r="L410" s="44">
        <v>13</v>
      </c>
    </row>
    <row r="411" spans="1:12" ht="15" customHeight="1" x14ac:dyDescent="0.35">
      <c r="A411" s="62" t="s">
        <v>28</v>
      </c>
      <c r="B411" s="62" t="s">
        <v>29</v>
      </c>
      <c r="C411" s="62">
        <v>4</v>
      </c>
      <c r="D411" s="62">
        <v>2</v>
      </c>
      <c r="E411" s="62">
        <v>14</v>
      </c>
      <c r="F411" s="62">
        <v>214</v>
      </c>
      <c r="G411" s="63">
        <v>26</v>
      </c>
      <c r="H411" s="63">
        <v>13</v>
      </c>
      <c r="I411" s="116">
        <v>45918</v>
      </c>
      <c r="J411" s="44">
        <v>12</v>
      </c>
      <c r="K411" s="44">
        <v>12</v>
      </c>
      <c r="L411" s="44">
        <v>12</v>
      </c>
    </row>
    <row r="412" spans="1:12" ht="15" customHeight="1" x14ac:dyDescent="0.35">
      <c r="A412" s="62" t="s">
        <v>28</v>
      </c>
      <c r="B412" s="62" t="s">
        <v>32</v>
      </c>
      <c r="C412" s="62">
        <v>4</v>
      </c>
      <c r="D412" s="62">
        <v>3</v>
      </c>
      <c r="E412" s="62">
        <v>14</v>
      </c>
      <c r="F412" s="62">
        <v>314</v>
      </c>
      <c r="G412" s="63">
        <v>27</v>
      </c>
      <c r="H412" s="63">
        <v>13</v>
      </c>
      <c r="I412" s="116">
        <v>45918</v>
      </c>
      <c r="J412" s="44">
        <v>13.1</v>
      </c>
      <c r="K412" s="44">
        <v>13.2</v>
      </c>
      <c r="L412" s="44">
        <v>13.2</v>
      </c>
    </row>
    <row r="413" spans="1:12" ht="15" customHeight="1" x14ac:dyDescent="0.35">
      <c r="A413" s="62" t="s">
        <v>28</v>
      </c>
      <c r="B413" s="62" t="s">
        <v>31</v>
      </c>
      <c r="C413" s="62">
        <v>4</v>
      </c>
      <c r="D413" s="62">
        <v>4</v>
      </c>
      <c r="E413" s="62">
        <v>14</v>
      </c>
      <c r="F413" s="62">
        <v>414</v>
      </c>
      <c r="G413" s="63">
        <v>28</v>
      </c>
      <c r="H413" s="63">
        <v>13</v>
      </c>
      <c r="I413" s="116">
        <v>45918</v>
      </c>
      <c r="J413" s="44">
        <v>13</v>
      </c>
      <c r="K413" s="44">
        <v>12</v>
      </c>
      <c r="L413" s="44">
        <v>13</v>
      </c>
    </row>
    <row r="414" spans="1:12" ht="15" customHeight="1" x14ac:dyDescent="0.35">
      <c r="A414" s="62" t="s">
        <v>33</v>
      </c>
      <c r="B414" s="62" t="s">
        <v>35</v>
      </c>
      <c r="C414" s="62">
        <v>4</v>
      </c>
      <c r="D414" s="62">
        <v>4</v>
      </c>
      <c r="E414" s="62">
        <v>16</v>
      </c>
      <c r="F414" s="62">
        <v>416</v>
      </c>
      <c r="G414" s="63">
        <v>29</v>
      </c>
      <c r="H414" s="63">
        <v>13</v>
      </c>
    </row>
    <row r="415" spans="1:12" ht="15" customHeight="1" x14ac:dyDescent="0.35">
      <c r="A415" s="62" t="s">
        <v>33</v>
      </c>
      <c r="B415" s="62" t="s">
        <v>29</v>
      </c>
      <c r="C415" s="62">
        <v>4</v>
      </c>
      <c r="D415" s="62">
        <v>3</v>
      </c>
      <c r="E415" s="62">
        <v>16</v>
      </c>
      <c r="F415" s="62">
        <v>316</v>
      </c>
      <c r="G415" s="63">
        <v>30</v>
      </c>
      <c r="H415" s="63">
        <v>13</v>
      </c>
    </row>
    <row r="416" spans="1:12" ht="15" customHeight="1" x14ac:dyDescent="0.35">
      <c r="A416" s="62" t="s">
        <v>33</v>
      </c>
      <c r="B416" s="62" t="s">
        <v>34</v>
      </c>
      <c r="C416" s="62">
        <v>4</v>
      </c>
      <c r="D416" s="62">
        <v>2</v>
      </c>
      <c r="E416" s="62">
        <v>16</v>
      </c>
      <c r="F416" s="62">
        <v>216</v>
      </c>
      <c r="G416" s="63">
        <v>31</v>
      </c>
      <c r="H416" s="63">
        <v>13</v>
      </c>
    </row>
    <row r="417" spans="1:12" ht="15" customHeight="1" x14ac:dyDescent="0.35">
      <c r="A417" s="62" t="s">
        <v>33</v>
      </c>
      <c r="B417" s="62" t="s">
        <v>30</v>
      </c>
      <c r="C417" s="62">
        <v>4</v>
      </c>
      <c r="D417" s="62">
        <v>1</v>
      </c>
      <c r="E417" s="62">
        <v>16</v>
      </c>
      <c r="F417" s="62">
        <v>116</v>
      </c>
      <c r="G417" s="63">
        <v>32</v>
      </c>
      <c r="H417" s="63">
        <v>13</v>
      </c>
    </row>
    <row r="418" spans="1:12" ht="15" customHeight="1" x14ac:dyDescent="0.35">
      <c r="A418" s="62" t="s">
        <v>28</v>
      </c>
      <c r="B418" s="62" t="s">
        <v>29</v>
      </c>
      <c r="C418" s="62">
        <v>1</v>
      </c>
      <c r="D418" s="62">
        <v>1</v>
      </c>
      <c r="E418" s="62">
        <v>2</v>
      </c>
      <c r="F418" s="62">
        <v>102</v>
      </c>
      <c r="G418" s="63">
        <v>1</v>
      </c>
      <c r="H418" s="63">
        <v>14</v>
      </c>
      <c r="I418" s="116">
        <v>45940</v>
      </c>
    </row>
    <row r="419" spans="1:12" ht="15" customHeight="1" x14ac:dyDescent="0.35">
      <c r="A419" s="62" t="s">
        <v>28</v>
      </c>
      <c r="B419" s="62" t="s">
        <v>30</v>
      </c>
      <c r="C419" s="62">
        <v>1</v>
      </c>
      <c r="D419" s="62">
        <v>2</v>
      </c>
      <c r="E419" s="62">
        <v>2</v>
      </c>
      <c r="F419" s="62">
        <v>202</v>
      </c>
      <c r="G419" s="63">
        <v>2</v>
      </c>
      <c r="H419" s="63">
        <v>14</v>
      </c>
      <c r="I419" s="116">
        <v>45940</v>
      </c>
    </row>
    <row r="420" spans="1:12" ht="15" customHeight="1" x14ac:dyDescent="0.35">
      <c r="A420" s="62" t="s">
        <v>28</v>
      </c>
      <c r="B420" s="62" t="s">
        <v>31</v>
      </c>
      <c r="C420" s="62">
        <v>1</v>
      </c>
      <c r="D420" s="62">
        <v>3</v>
      </c>
      <c r="E420" s="62">
        <v>2</v>
      </c>
      <c r="F420" s="62">
        <v>302</v>
      </c>
      <c r="G420" s="63">
        <v>3</v>
      </c>
      <c r="H420" s="63">
        <v>14</v>
      </c>
      <c r="I420" s="116">
        <v>45940</v>
      </c>
    </row>
    <row r="421" spans="1:12" ht="15" customHeight="1" x14ac:dyDescent="0.35">
      <c r="A421" s="62" t="s">
        <v>28</v>
      </c>
      <c r="B421" s="62" t="s">
        <v>32</v>
      </c>
      <c r="C421" s="62">
        <v>1</v>
      </c>
      <c r="D421" s="62">
        <v>4</v>
      </c>
      <c r="E421" s="62">
        <v>2</v>
      </c>
      <c r="F421" s="62">
        <v>402</v>
      </c>
      <c r="G421" s="63">
        <v>4</v>
      </c>
      <c r="H421" s="63">
        <v>14</v>
      </c>
      <c r="I421" s="116">
        <v>45940</v>
      </c>
      <c r="J421" s="65">
        <v>14</v>
      </c>
      <c r="K421" s="65">
        <v>14</v>
      </c>
      <c r="L421">
        <v>14</v>
      </c>
    </row>
    <row r="422" spans="1:12" ht="15" customHeight="1" x14ac:dyDescent="0.35">
      <c r="A422" s="62" t="s">
        <v>33</v>
      </c>
      <c r="B422" s="62" t="s">
        <v>29</v>
      </c>
      <c r="C422" s="62">
        <v>1</v>
      </c>
      <c r="D422" s="62">
        <v>4</v>
      </c>
      <c r="E422" s="62">
        <v>4</v>
      </c>
      <c r="F422" s="62">
        <v>404</v>
      </c>
      <c r="G422" s="63">
        <v>5</v>
      </c>
      <c r="H422" s="63">
        <v>14</v>
      </c>
    </row>
    <row r="423" spans="1:12" ht="15" customHeight="1" x14ac:dyDescent="0.35">
      <c r="A423" s="62" t="s">
        <v>33</v>
      </c>
      <c r="B423" s="62" t="s">
        <v>35</v>
      </c>
      <c r="C423" s="62">
        <v>1</v>
      </c>
      <c r="D423" s="62">
        <v>3</v>
      </c>
      <c r="E423" s="62">
        <v>4</v>
      </c>
      <c r="F423" s="62">
        <v>304</v>
      </c>
      <c r="G423" s="63">
        <v>6</v>
      </c>
      <c r="H423" s="63">
        <v>14</v>
      </c>
    </row>
    <row r="424" spans="1:12" ht="15" customHeight="1" x14ac:dyDescent="0.35">
      <c r="A424" s="62" t="s">
        <v>33</v>
      </c>
      <c r="B424" s="62" t="s">
        <v>30</v>
      </c>
      <c r="C424" s="62">
        <v>1</v>
      </c>
      <c r="D424" s="62">
        <v>2</v>
      </c>
      <c r="E424" s="62">
        <v>4</v>
      </c>
      <c r="F424" s="62">
        <v>204</v>
      </c>
      <c r="G424" s="63">
        <v>7</v>
      </c>
      <c r="H424" s="63">
        <v>14</v>
      </c>
    </row>
    <row r="425" spans="1:12" ht="15" customHeight="1" x14ac:dyDescent="0.35">
      <c r="A425" s="62" t="s">
        <v>33</v>
      </c>
      <c r="B425" s="62" t="s">
        <v>34</v>
      </c>
      <c r="C425" s="62">
        <v>1</v>
      </c>
      <c r="D425" s="62">
        <v>1</v>
      </c>
      <c r="E425" s="62">
        <v>4</v>
      </c>
      <c r="F425" s="62">
        <v>104</v>
      </c>
      <c r="G425" s="63">
        <v>8</v>
      </c>
      <c r="H425" s="63">
        <v>14</v>
      </c>
    </row>
    <row r="426" spans="1:12" ht="15" customHeight="1" x14ac:dyDescent="0.35">
      <c r="A426" s="62" t="s">
        <v>28</v>
      </c>
      <c r="B426" s="62" t="s">
        <v>31</v>
      </c>
      <c r="C426" s="62">
        <v>2</v>
      </c>
      <c r="D426" s="62">
        <v>1</v>
      </c>
      <c r="E426" s="62">
        <v>6</v>
      </c>
      <c r="F426" s="62">
        <v>106</v>
      </c>
      <c r="G426" s="63">
        <v>9</v>
      </c>
      <c r="H426" s="63">
        <v>14</v>
      </c>
      <c r="I426" s="116">
        <v>45940</v>
      </c>
    </row>
    <row r="427" spans="1:12" ht="15" customHeight="1" x14ac:dyDescent="0.35">
      <c r="A427" s="62" t="s">
        <v>28</v>
      </c>
      <c r="B427" s="62" t="s">
        <v>32</v>
      </c>
      <c r="C427" s="62">
        <v>2</v>
      </c>
      <c r="D427" s="62">
        <v>2</v>
      </c>
      <c r="E427" s="62">
        <v>6</v>
      </c>
      <c r="F427" s="62">
        <v>206</v>
      </c>
      <c r="G427" s="63">
        <v>10</v>
      </c>
      <c r="H427" s="63">
        <v>14</v>
      </c>
      <c r="I427" s="116">
        <v>45940</v>
      </c>
      <c r="K427" s="65">
        <v>14</v>
      </c>
      <c r="L427">
        <v>15</v>
      </c>
    </row>
    <row r="428" spans="1:12" ht="15" customHeight="1" x14ac:dyDescent="0.35">
      <c r="A428" s="62" t="s">
        <v>28</v>
      </c>
      <c r="B428" s="62" t="s">
        <v>30</v>
      </c>
      <c r="C428" s="62">
        <v>2</v>
      </c>
      <c r="D428" s="62">
        <v>3</v>
      </c>
      <c r="E428" s="62">
        <v>6</v>
      </c>
      <c r="F428" s="62">
        <v>306</v>
      </c>
      <c r="G428" s="63">
        <v>11</v>
      </c>
      <c r="H428" s="63">
        <v>14</v>
      </c>
      <c r="I428" s="116">
        <v>45940</v>
      </c>
    </row>
    <row r="429" spans="1:12" ht="15" customHeight="1" x14ac:dyDescent="0.35">
      <c r="A429" s="62" t="s">
        <v>28</v>
      </c>
      <c r="B429" s="62" t="s">
        <v>29</v>
      </c>
      <c r="C429" s="62">
        <v>2</v>
      </c>
      <c r="D429" s="62">
        <v>4</v>
      </c>
      <c r="E429" s="62">
        <v>6</v>
      </c>
      <c r="F429" s="62">
        <v>406</v>
      </c>
      <c r="G429" s="63">
        <v>12</v>
      </c>
      <c r="H429" s="63">
        <v>14</v>
      </c>
      <c r="I429" s="116">
        <v>45940</v>
      </c>
    </row>
    <row r="430" spans="1:12" ht="15" customHeight="1" x14ac:dyDescent="0.35">
      <c r="A430" s="62" t="s">
        <v>33</v>
      </c>
      <c r="B430" s="62" t="s">
        <v>34</v>
      </c>
      <c r="C430" s="62">
        <v>2</v>
      </c>
      <c r="D430" s="62">
        <v>4</v>
      </c>
      <c r="E430" s="62">
        <v>8</v>
      </c>
      <c r="F430" s="62">
        <v>408</v>
      </c>
      <c r="G430" s="63">
        <v>13</v>
      </c>
      <c r="H430" s="63">
        <v>14</v>
      </c>
    </row>
    <row r="431" spans="1:12" ht="15" customHeight="1" x14ac:dyDescent="0.35">
      <c r="A431" s="62" t="s">
        <v>33</v>
      </c>
      <c r="B431" s="62" t="s">
        <v>30</v>
      </c>
      <c r="C431" s="62">
        <v>2</v>
      </c>
      <c r="D431" s="62">
        <v>3</v>
      </c>
      <c r="E431" s="62">
        <v>8</v>
      </c>
      <c r="F431" s="62">
        <v>308</v>
      </c>
      <c r="G431" s="63">
        <v>14</v>
      </c>
      <c r="H431" s="63">
        <v>14</v>
      </c>
    </row>
    <row r="432" spans="1:12" ht="15" customHeight="1" x14ac:dyDescent="0.35">
      <c r="A432" s="62" t="s">
        <v>33</v>
      </c>
      <c r="B432" s="62" t="s">
        <v>29</v>
      </c>
      <c r="C432" s="62">
        <v>2</v>
      </c>
      <c r="D432" s="62">
        <v>2</v>
      </c>
      <c r="E432" s="62">
        <v>8</v>
      </c>
      <c r="F432" s="62">
        <v>208</v>
      </c>
      <c r="G432" s="63">
        <v>15</v>
      </c>
      <c r="H432" s="63">
        <v>14</v>
      </c>
    </row>
    <row r="433" spans="1:12" ht="15" customHeight="1" x14ac:dyDescent="0.35">
      <c r="A433" s="62" t="s">
        <v>33</v>
      </c>
      <c r="B433" s="62" t="s">
        <v>35</v>
      </c>
      <c r="C433" s="62">
        <v>2</v>
      </c>
      <c r="D433" s="62">
        <v>1</v>
      </c>
      <c r="E433" s="62">
        <v>8</v>
      </c>
      <c r="F433" s="62">
        <v>108</v>
      </c>
      <c r="G433" s="63">
        <v>16</v>
      </c>
      <c r="H433" s="63">
        <v>14</v>
      </c>
    </row>
    <row r="434" spans="1:12" ht="15" customHeight="1" x14ac:dyDescent="0.35">
      <c r="A434" s="62" t="s">
        <v>28</v>
      </c>
      <c r="B434" s="62" t="s">
        <v>32</v>
      </c>
      <c r="C434" s="62">
        <v>3</v>
      </c>
      <c r="D434" s="62">
        <v>1</v>
      </c>
      <c r="E434" s="62">
        <v>10</v>
      </c>
      <c r="F434" s="62">
        <v>110</v>
      </c>
      <c r="G434" s="63">
        <v>17</v>
      </c>
      <c r="H434" s="63">
        <v>14</v>
      </c>
      <c r="I434" s="116">
        <v>45940</v>
      </c>
      <c r="J434" s="65">
        <v>13</v>
      </c>
      <c r="K434" s="65">
        <v>15</v>
      </c>
    </row>
    <row r="435" spans="1:12" ht="15" customHeight="1" x14ac:dyDescent="0.35">
      <c r="A435" s="62" t="s">
        <v>28</v>
      </c>
      <c r="B435" s="62" t="s">
        <v>31</v>
      </c>
      <c r="C435" s="62">
        <v>3</v>
      </c>
      <c r="D435" s="62">
        <v>2</v>
      </c>
      <c r="E435" s="62">
        <v>10</v>
      </c>
      <c r="F435" s="62">
        <v>210</v>
      </c>
      <c r="G435" s="63">
        <v>18</v>
      </c>
      <c r="H435" s="63">
        <v>14</v>
      </c>
      <c r="I435" s="116">
        <v>45940</v>
      </c>
    </row>
    <row r="436" spans="1:12" ht="15" customHeight="1" x14ac:dyDescent="0.35">
      <c r="A436" s="62" t="s">
        <v>28</v>
      </c>
      <c r="B436" s="62" t="s">
        <v>29</v>
      </c>
      <c r="C436" s="62">
        <v>3</v>
      </c>
      <c r="D436" s="62">
        <v>3</v>
      </c>
      <c r="E436" s="62">
        <v>10</v>
      </c>
      <c r="F436" s="62">
        <v>310</v>
      </c>
      <c r="G436" s="63">
        <v>19</v>
      </c>
      <c r="H436" s="63">
        <v>14</v>
      </c>
      <c r="I436" s="116">
        <v>45940</v>
      </c>
    </row>
    <row r="437" spans="1:12" ht="15" customHeight="1" x14ac:dyDescent="0.35">
      <c r="A437" s="62" t="s">
        <v>28</v>
      </c>
      <c r="B437" s="62" t="s">
        <v>30</v>
      </c>
      <c r="C437" s="62">
        <v>3</v>
      </c>
      <c r="D437" s="62">
        <v>4</v>
      </c>
      <c r="E437" s="62">
        <v>10</v>
      </c>
      <c r="F437" s="62">
        <v>410</v>
      </c>
      <c r="G437" s="63">
        <v>20</v>
      </c>
      <c r="H437" s="63">
        <v>14</v>
      </c>
      <c r="I437" s="116">
        <v>45940</v>
      </c>
    </row>
    <row r="438" spans="1:12" ht="15" customHeight="1" x14ac:dyDescent="0.35">
      <c r="A438" s="62" t="s">
        <v>33</v>
      </c>
      <c r="B438" s="62" t="s">
        <v>30</v>
      </c>
      <c r="C438" s="62">
        <v>3</v>
      </c>
      <c r="D438" s="62">
        <v>4</v>
      </c>
      <c r="E438" s="62">
        <v>12</v>
      </c>
      <c r="F438" s="62">
        <v>412</v>
      </c>
      <c r="G438" s="63">
        <v>21</v>
      </c>
      <c r="H438" s="63">
        <v>14</v>
      </c>
    </row>
    <row r="439" spans="1:12" ht="15" customHeight="1" x14ac:dyDescent="0.35">
      <c r="A439" s="62" t="s">
        <v>33</v>
      </c>
      <c r="B439" s="62" t="s">
        <v>34</v>
      </c>
      <c r="C439" s="62">
        <v>3</v>
      </c>
      <c r="D439" s="62">
        <v>3</v>
      </c>
      <c r="E439" s="62">
        <v>12</v>
      </c>
      <c r="F439" s="62">
        <v>312</v>
      </c>
      <c r="G439" s="63">
        <v>22</v>
      </c>
      <c r="H439" s="63">
        <v>14</v>
      </c>
    </row>
    <row r="440" spans="1:12" ht="15" customHeight="1" x14ac:dyDescent="0.35">
      <c r="A440" s="62" t="s">
        <v>33</v>
      </c>
      <c r="B440" s="62" t="s">
        <v>35</v>
      </c>
      <c r="C440" s="62">
        <v>3</v>
      </c>
      <c r="D440" s="62">
        <v>2</v>
      </c>
      <c r="E440" s="62">
        <v>12</v>
      </c>
      <c r="F440" s="62">
        <v>212</v>
      </c>
      <c r="G440" s="63">
        <v>23</v>
      </c>
      <c r="H440" s="63">
        <v>14</v>
      </c>
    </row>
    <row r="441" spans="1:12" ht="15" customHeight="1" x14ac:dyDescent="0.35">
      <c r="A441" s="62" t="s">
        <v>33</v>
      </c>
      <c r="B441" s="62" t="s">
        <v>29</v>
      </c>
      <c r="C441" s="62">
        <v>3</v>
      </c>
      <c r="D441" s="62">
        <v>1</v>
      </c>
      <c r="E441" s="62">
        <v>12</v>
      </c>
      <c r="F441" s="62">
        <v>112</v>
      </c>
      <c r="G441" s="63">
        <v>24</v>
      </c>
      <c r="H441" s="63">
        <v>14</v>
      </c>
    </row>
    <row r="442" spans="1:12" ht="15" customHeight="1" x14ac:dyDescent="0.35">
      <c r="A442" s="62" t="s">
        <v>28</v>
      </c>
      <c r="B442" s="62" t="s">
        <v>30</v>
      </c>
      <c r="C442" s="62">
        <v>4</v>
      </c>
      <c r="D442" s="62">
        <v>1</v>
      </c>
      <c r="E442" s="62">
        <v>14</v>
      </c>
      <c r="F442" s="62">
        <v>114</v>
      </c>
      <c r="G442" s="63">
        <v>25</v>
      </c>
      <c r="H442" s="63">
        <v>14</v>
      </c>
      <c r="I442" s="116">
        <v>45940</v>
      </c>
    </row>
    <row r="443" spans="1:12" ht="15" customHeight="1" x14ac:dyDescent="0.35">
      <c r="A443" s="62" t="s">
        <v>28</v>
      </c>
      <c r="B443" s="62" t="s">
        <v>29</v>
      </c>
      <c r="C443" s="62">
        <v>4</v>
      </c>
      <c r="D443" s="62">
        <v>2</v>
      </c>
      <c r="E443" s="62">
        <v>14</v>
      </c>
      <c r="F443" s="62">
        <v>214</v>
      </c>
      <c r="G443" s="63">
        <v>26</v>
      </c>
      <c r="H443" s="63">
        <v>14</v>
      </c>
      <c r="I443" s="116">
        <v>45940</v>
      </c>
    </row>
    <row r="444" spans="1:12" ht="15" customHeight="1" x14ac:dyDescent="0.35">
      <c r="A444" s="62" t="s">
        <v>28</v>
      </c>
      <c r="B444" s="62" t="s">
        <v>32</v>
      </c>
      <c r="C444" s="62">
        <v>4</v>
      </c>
      <c r="D444" s="62">
        <v>3</v>
      </c>
      <c r="E444" s="62">
        <v>14</v>
      </c>
      <c r="F444" s="62">
        <v>314</v>
      </c>
      <c r="G444" s="63">
        <v>27</v>
      </c>
      <c r="H444" s="63">
        <v>14</v>
      </c>
      <c r="I444" s="116">
        <v>45940</v>
      </c>
      <c r="J444" s="65">
        <v>14</v>
      </c>
      <c r="K444" s="65">
        <v>14</v>
      </c>
      <c r="L444">
        <v>14</v>
      </c>
    </row>
    <row r="445" spans="1:12" ht="15" customHeight="1" x14ac:dyDescent="0.35">
      <c r="A445" s="62" t="s">
        <v>28</v>
      </c>
      <c r="B445" s="62" t="s">
        <v>31</v>
      </c>
      <c r="C445" s="62">
        <v>4</v>
      </c>
      <c r="D445" s="62">
        <v>4</v>
      </c>
      <c r="E445" s="62">
        <v>14</v>
      </c>
      <c r="F445" s="62">
        <v>414</v>
      </c>
      <c r="G445" s="63">
        <v>28</v>
      </c>
      <c r="H445" s="63">
        <v>14</v>
      </c>
      <c r="I445" s="116">
        <v>45940</v>
      </c>
    </row>
    <row r="446" spans="1:12" ht="15" customHeight="1" x14ac:dyDescent="0.35">
      <c r="A446" s="62" t="s">
        <v>33</v>
      </c>
      <c r="B446" s="62" t="s">
        <v>35</v>
      </c>
      <c r="C446" s="62">
        <v>4</v>
      </c>
      <c r="D446" s="62">
        <v>4</v>
      </c>
      <c r="E446" s="62">
        <v>16</v>
      </c>
      <c r="F446" s="62">
        <v>416</v>
      </c>
      <c r="G446" s="63">
        <v>29</v>
      </c>
      <c r="H446" s="63">
        <v>14</v>
      </c>
    </row>
    <row r="447" spans="1:12" ht="15" customHeight="1" x14ac:dyDescent="0.35">
      <c r="A447" s="62" t="s">
        <v>33</v>
      </c>
      <c r="B447" s="62" t="s">
        <v>29</v>
      </c>
      <c r="C447" s="62">
        <v>4</v>
      </c>
      <c r="D447" s="62">
        <v>3</v>
      </c>
      <c r="E447" s="62">
        <v>16</v>
      </c>
      <c r="F447" s="62">
        <v>316</v>
      </c>
      <c r="G447" s="63">
        <v>30</v>
      </c>
      <c r="H447" s="63">
        <v>14</v>
      </c>
    </row>
    <row r="448" spans="1:12" ht="15" customHeight="1" x14ac:dyDescent="0.35">
      <c r="A448" s="62" t="s">
        <v>33</v>
      </c>
      <c r="B448" s="62" t="s">
        <v>34</v>
      </c>
      <c r="C448" s="62">
        <v>4</v>
      </c>
      <c r="D448" s="62">
        <v>2</v>
      </c>
      <c r="E448" s="62">
        <v>16</v>
      </c>
      <c r="F448" s="62">
        <v>216</v>
      </c>
      <c r="G448" s="63">
        <v>31</v>
      </c>
      <c r="H448" s="63">
        <v>14</v>
      </c>
    </row>
    <row r="449" spans="1:8" ht="15" customHeight="1" x14ac:dyDescent="0.35">
      <c r="A449" s="62" t="s">
        <v>33</v>
      </c>
      <c r="B449" s="62" t="s">
        <v>30</v>
      </c>
      <c r="C449" s="62">
        <v>4</v>
      </c>
      <c r="D449" s="62">
        <v>1</v>
      </c>
      <c r="E449" s="62">
        <v>16</v>
      </c>
      <c r="F449" s="62">
        <v>116</v>
      </c>
      <c r="G449" s="63">
        <v>32</v>
      </c>
      <c r="H449" s="63">
        <v>14</v>
      </c>
    </row>
  </sheetData>
  <sortState xmlns:xlrd2="http://schemas.microsoft.com/office/spreadsheetml/2017/richdata2" ref="A2:P321">
    <sortCondition ref="H2:H321"/>
  </sortState>
  <pageMargins left="0.7" right="0.7" top="0.75" bottom="0.75" header="0.3" footer="0.3"/>
  <pageSetup paperSize="9" orientation="portrait"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CCDE-5322-4D11-B993-EADDC05CFB4B}">
  <dimension ref="A1:S129"/>
  <sheetViews>
    <sheetView topLeftCell="C102" workbookViewId="0">
      <selection activeCell="N94" sqref="N94"/>
    </sheetView>
  </sheetViews>
  <sheetFormatPr defaultRowHeight="14.5" x14ac:dyDescent="0.35"/>
  <cols>
    <col min="1" max="1" width="13.81640625" style="62" customWidth="1"/>
    <col min="2" max="2" width="16.453125" style="62" customWidth="1"/>
    <col min="3" max="3" width="13.54296875" style="62" customWidth="1"/>
    <col min="4" max="7" width="9.1796875" style="62"/>
    <col min="8" max="9" width="8.54296875" style="62" customWidth="1"/>
    <col min="10" max="11" width="14.453125" style="63" customWidth="1"/>
    <col min="12" max="12" width="14.453125" style="65" customWidth="1"/>
    <col min="13" max="13" width="12.54296875" style="65" customWidth="1"/>
    <col min="14" max="14" width="12.1796875" customWidth="1"/>
    <col min="16" max="16" width="10.26953125" customWidth="1"/>
    <col min="17" max="17" width="10.54296875" customWidth="1"/>
    <col min="18" max="18" width="10.26953125" customWidth="1"/>
    <col min="19" max="19" width="10.54296875" customWidth="1"/>
  </cols>
  <sheetData>
    <row r="1" spans="1:19" ht="39.65" customHeight="1" x14ac:dyDescent="0.35">
      <c r="A1" s="61" t="s">
        <v>20</v>
      </c>
      <c r="B1" s="61" t="s">
        <v>21</v>
      </c>
      <c r="C1" s="61" t="s">
        <v>22</v>
      </c>
      <c r="D1" s="61" t="s">
        <v>23</v>
      </c>
      <c r="E1" s="61" t="s">
        <v>24</v>
      </c>
      <c r="F1" s="61" t="s">
        <v>26</v>
      </c>
      <c r="G1" s="61" t="s">
        <v>27</v>
      </c>
      <c r="H1" s="61" t="s">
        <v>25</v>
      </c>
      <c r="I1" s="61" t="s">
        <v>442</v>
      </c>
      <c r="J1" s="61" t="s">
        <v>412</v>
      </c>
      <c r="K1" s="61" t="s">
        <v>413</v>
      </c>
      <c r="L1" s="10" t="s">
        <v>443</v>
      </c>
      <c r="M1" s="10" t="s">
        <v>444</v>
      </c>
      <c r="N1" s="10" t="s">
        <v>445</v>
      </c>
      <c r="O1" s="10" t="s">
        <v>446</v>
      </c>
      <c r="P1" s="10" t="s">
        <v>447</v>
      </c>
      <c r="Q1" s="10" t="s">
        <v>448</v>
      </c>
      <c r="R1" s="10" t="s">
        <v>449</v>
      </c>
      <c r="S1" s="10" t="s">
        <v>450</v>
      </c>
    </row>
    <row r="2" spans="1:19" x14ac:dyDescent="0.35">
      <c r="A2" s="62" t="s">
        <v>28</v>
      </c>
      <c r="B2" s="62" t="s">
        <v>29</v>
      </c>
      <c r="C2" s="62">
        <v>1</v>
      </c>
      <c r="D2" s="62">
        <v>1</v>
      </c>
      <c r="E2" s="62">
        <v>2</v>
      </c>
      <c r="F2" s="62">
        <v>8</v>
      </c>
      <c r="G2" s="62">
        <v>2</v>
      </c>
      <c r="H2" s="62">
        <v>102</v>
      </c>
      <c r="I2" s="62">
        <v>3</v>
      </c>
      <c r="J2" s="63">
        <v>1</v>
      </c>
      <c r="K2" s="95">
        <v>45821</v>
      </c>
      <c r="L2" s="63">
        <v>5</v>
      </c>
      <c r="M2" s="63">
        <v>4</v>
      </c>
      <c r="N2">
        <v>4</v>
      </c>
      <c r="P2">
        <v>11</v>
      </c>
      <c r="Q2">
        <v>15</v>
      </c>
      <c r="R2">
        <v>15</v>
      </c>
    </row>
    <row r="3" spans="1:19" x14ac:dyDescent="0.35">
      <c r="A3" s="62" t="s">
        <v>28</v>
      </c>
      <c r="B3" s="62" t="s">
        <v>30</v>
      </c>
      <c r="C3" s="62">
        <v>1</v>
      </c>
      <c r="D3" s="62">
        <v>2</v>
      </c>
      <c r="E3" s="62">
        <v>2</v>
      </c>
      <c r="F3" s="62">
        <v>7</v>
      </c>
      <c r="G3" s="62">
        <v>31</v>
      </c>
      <c r="H3" s="62">
        <v>202</v>
      </c>
      <c r="I3" s="62">
        <v>3</v>
      </c>
      <c r="J3" s="63">
        <v>1</v>
      </c>
      <c r="K3" s="95">
        <v>45821</v>
      </c>
      <c r="L3" s="63">
        <v>4</v>
      </c>
      <c r="M3" s="63">
        <v>7</v>
      </c>
      <c r="N3">
        <v>5</v>
      </c>
      <c r="P3">
        <v>18</v>
      </c>
      <c r="Q3">
        <v>13</v>
      </c>
      <c r="R3">
        <v>17.5</v>
      </c>
    </row>
    <row r="4" spans="1:19" x14ac:dyDescent="0.35">
      <c r="A4" s="62" t="s">
        <v>28</v>
      </c>
      <c r="B4" s="62" t="s">
        <v>31</v>
      </c>
      <c r="C4" s="62">
        <v>1</v>
      </c>
      <c r="D4" s="62">
        <v>3</v>
      </c>
      <c r="E4" s="62">
        <v>2</v>
      </c>
      <c r="F4" s="62">
        <v>6</v>
      </c>
      <c r="G4" s="62">
        <v>34</v>
      </c>
      <c r="H4" s="62">
        <v>302</v>
      </c>
      <c r="I4" s="62">
        <v>3</v>
      </c>
      <c r="J4" s="63">
        <v>1</v>
      </c>
      <c r="K4" s="95">
        <v>45821</v>
      </c>
      <c r="L4" s="63">
        <v>5</v>
      </c>
      <c r="M4" s="63">
        <v>3</v>
      </c>
      <c r="N4">
        <v>3</v>
      </c>
      <c r="P4">
        <v>16.7</v>
      </c>
      <c r="Q4">
        <v>16.5</v>
      </c>
      <c r="R4">
        <v>16</v>
      </c>
    </row>
    <row r="5" spans="1:19" x14ac:dyDescent="0.35">
      <c r="A5" s="62" t="s">
        <v>28</v>
      </c>
      <c r="B5" s="62" t="s">
        <v>32</v>
      </c>
      <c r="C5" s="62">
        <v>1</v>
      </c>
      <c r="D5" s="62">
        <v>4</v>
      </c>
      <c r="E5" s="62">
        <v>2</v>
      </c>
      <c r="F5" s="62">
        <v>5</v>
      </c>
      <c r="G5" s="62">
        <v>63</v>
      </c>
      <c r="H5" s="62">
        <v>402</v>
      </c>
      <c r="I5" s="62">
        <v>3</v>
      </c>
      <c r="J5" s="63">
        <v>1</v>
      </c>
      <c r="K5" s="95">
        <v>45821</v>
      </c>
      <c r="L5" s="63">
        <v>5</v>
      </c>
      <c r="M5" s="63">
        <v>4</v>
      </c>
      <c r="N5">
        <v>5</v>
      </c>
      <c r="P5">
        <v>15.3</v>
      </c>
      <c r="Q5">
        <v>14.5</v>
      </c>
      <c r="R5">
        <v>13</v>
      </c>
    </row>
    <row r="6" spans="1:19" x14ac:dyDescent="0.35">
      <c r="A6" s="62" t="s">
        <v>33</v>
      </c>
      <c r="B6" s="62" t="s">
        <v>29</v>
      </c>
      <c r="C6" s="62">
        <v>1</v>
      </c>
      <c r="D6" s="62">
        <v>4</v>
      </c>
      <c r="E6" s="62">
        <v>4</v>
      </c>
      <c r="F6" s="62">
        <v>13</v>
      </c>
      <c r="G6" s="62">
        <v>61</v>
      </c>
      <c r="H6" s="62">
        <v>404</v>
      </c>
      <c r="I6" s="62">
        <v>3</v>
      </c>
      <c r="J6" s="63">
        <v>1</v>
      </c>
      <c r="K6" s="95">
        <v>45854</v>
      </c>
      <c r="L6" s="44">
        <v>5</v>
      </c>
      <c r="M6" s="44">
        <v>5</v>
      </c>
      <c r="N6" s="44">
        <v>4</v>
      </c>
      <c r="P6" s="44">
        <v>17.100000000000001</v>
      </c>
      <c r="Q6" s="44">
        <v>17.899999999999999</v>
      </c>
      <c r="R6" s="44">
        <v>15.9</v>
      </c>
    </row>
    <row r="7" spans="1:19" x14ac:dyDescent="0.35">
      <c r="A7" s="62" t="s">
        <v>33</v>
      </c>
      <c r="B7" s="62" t="s">
        <v>35</v>
      </c>
      <c r="C7" s="62">
        <v>1</v>
      </c>
      <c r="D7" s="62">
        <v>3</v>
      </c>
      <c r="E7" s="62">
        <v>4</v>
      </c>
      <c r="F7" s="62">
        <v>14</v>
      </c>
      <c r="G7" s="62">
        <v>36</v>
      </c>
      <c r="H7" s="62">
        <v>304</v>
      </c>
      <c r="I7" s="62">
        <v>3</v>
      </c>
      <c r="J7" s="63">
        <v>1</v>
      </c>
      <c r="K7" s="95">
        <v>45854</v>
      </c>
      <c r="L7" s="44">
        <v>4</v>
      </c>
      <c r="M7" s="44">
        <v>4</v>
      </c>
      <c r="N7" s="44">
        <v>5</v>
      </c>
      <c r="P7" s="44">
        <v>15.1</v>
      </c>
      <c r="Q7" s="44">
        <v>15.1</v>
      </c>
      <c r="R7" s="44">
        <v>15.1</v>
      </c>
    </row>
    <row r="8" spans="1:19" x14ac:dyDescent="0.35">
      <c r="A8" s="62" t="s">
        <v>33</v>
      </c>
      <c r="B8" s="62" t="s">
        <v>30</v>
      </c>
      <c r="C8" s="62">
        <v>1</v>
      </c>
      <c r="D8" s="62">
        <v>2</v>
      </c>
      <c r="E8" s="62">
        <v>4</v>
      </c>
      <c r="F8" s="62">
        <v>15</v>
      </c>
      <c r="G8" s="62">
        <v>29</v>
      </c>
      <c r="H8" s="62">
        <v>204</v>
      </c>
      <c r="I8" s="62">
        <v>3</v>
      </c>
      <c r="J8" s="63">
        <v>1</v>
      </c>
      <c r="K8" s="95">
        <v>45854</v>
      </c>
      <c r="L8" s="44">
        <v>5</v>
      </c>
      <c r="M8" s="44">
        <v>4</v>
      </c>
      <c r="N8" s="44">
        <v>6</v>
      </c>
      <c r="P8" s="44">
        <v>15</v>
      </c>
      <c r="Q8" s="44">
        <v>15.4</v>
      </c>
      <c r="R8" s="44">
        <v>14.4</v>
      </c>
    </row>
    <row r="9" spans="1:19" x14ac:dyDescent="0.35">
      <c r="A9" s="62" t="s">
        <v>33</v>
      </c>
      <c r="B9" s="62" t="s">
        <v>34</v>
      </c>
      <c r="C9" s="62">
        <v>1</v>
      </c>
      <c r="D9" s="62">
        <v>1</v>
      </c>
      <c r="E9" s="62">
        <v>4</v>
      </c>
      <c r="F9" s="62">
        <v>16</v>
      </c>
      <c r="G9" s="62">
        <v>4</v>
      </c>
      <c r="H9" s="62">
        <v>104</v>
      </c>
      <c r="I9" s="62">
        <v>3</v>
      </c>
      <c r="J9" s="63">
        <v>1</v>
      </c>
      <c r="K9" s="95">
        <v>45854</v>
      </c>
      <c r="L9" s="44">
        <v>6</v>
      </c>
      <c r="M9" s="44">
        <v>5</v>
      </c>
      <c r="N9" s="44">
        <v>6</v>
      </c>
      <c r="P9" s="44">
        <v>17.3</v>
      </c>
      <c r="Q9" s="44">
        <v>20.399999999999999</v>
      </c>
      <c r="R9" s="44">
        <v>17.8</v>
      </c>
    </row>
    <row r="10" spans="1:19" x14ac:dyDescent="0.35">
      <c r="A10" s="62" t="s">
        <v>28</v>
      </c>
      <c r="B10" s="62" t="s">
        <v>31</v>
      </c>
      <c r="C10" s="62">
        <v>2</v>
      </c>
      <c r="D10" s="62">
        <v>1</v>
      </c>
      <c r="E10" s="62">
        <v>6</v>
      </c>
      <c r="F10" s="62">
        <v>24</v>
      </c>
      <c r="G10" s="62">
        <v>6</v>
      </c>
      <c r="H10" s="62">
        <v>106</v>
      </c>
      <c r="I10" s="62">
        <v>3</v>
      </c>
      <c r="J10" s="63">
        <v>1</v>
      </c>
      <c r="K10" s="95">
        <v>45821</v>
      </c>
      <c r="L10" s="63">
        <v>5</v>
      </c>
      <c r="M10" s="63">
        <v>4</v>
      </c>
      <c r="N10">
        <v>5</v>
      </c>
      <c r="P10">
        <v>18.7</v>
      </c>
      <c r="Q10">
        <v>16</v>
      </c>
      <c r="R10">
        <v>17.5</v>
      </c>
    </row>
    <row r="11" spans="1:19" x14ac:dyDescent="0.35">
      <c r="A11" s="62" t="s">
        <v>28</v>
      </c>
      <c r="B11" s="62" t="s">
        <v>32</v>
      </c>
      <c r="C11" s="62">
        <v>2</v>
      </c>
      <c r="D11" s="62">
        <v>2</v>
      </c>
      <c r="E11" s="62">
        <v>6</v>
      </c>
      <c r="F11" s="62">
        <v>23</v>
      </c>
      <c r="G11" s="62">
        <v>27</v>
      </c>
      <c r="H11" s="62">
        <v>206</v>
      </c>
      <c r="I11" s="62">
        <v>3</v>
      </c>
      <c r="J11" s="63">
        <v>1</v>
      </c>
      <c r="K11" s="95">
        <v>45821</v>
      </c>
      <c r="L11" s="63">
        <v>5</v>
      </c>
      <c r="M11" s="63">
        <v>4</v>
      </c>
      <c r="N11">
        <v>3</v>
      </c>
      <c r="P11">
        <v>15.5</v>
      </c>
      <c r="Q11">
        <v>16.600000000000001</v>
      </c>
      <c r="R11">
        <v>14.6</v>
      </c>
    </row>
    <row r="12" spans="1:19" x14ac:dyDescent="0.35">
      <c r="A12" s="62" t="s">
        <v>28</v>
      </c>
      <c r="B12" s="62" t="s">
        <v>30</v>
      </c>
      <c r="C12" s="62">
        <v>2</v>
      </c>
      <c r="D12" s="62">
        <v>3</v>
      </c>
      <c r="E12" s="62">
        <v>6</v>
      </c>
      <c r="F12" s="62">
        <v>22</v>
      </c>
      <c r="G12" s="62">
        <v>38</v>
      </c>
      <c r="H12" s="62">
        <v>306</v>
      </c>
      <c r="I12" s="62">
        <v>3</v>
      </c>
      <c r="J12" s="63">
        <v>1</v>
      </c>
      <c r="K12" s="95">
        <v>45821</v>
      </c>
      <c r="L12" s="63">
        <v>4</v>
      </c>
      <c r="M12" s="63">
        <v>4</v>
      </c>
      <c r="N12">
        <v>4</v>
      </c>
      <c r="P12">
        <v>12.4</v>
      </c>
      <c r="Q12">
        <v>12.5</v>
      </c>
      <c r="R12">
        <v>10</v>
      </c>
    </row>
    <row r="13" spans="1:19" x14ac:dyDescent="0.35">
      <c r="A13" s="62" t="s">
        <v>28</v>
      </c>
      <c r="B13" s="62" t="s">
        <v>29</v>
      </c>
      <c r="C13" s="62">
        <v>2</v>
      </c>
      <c r="D13" s="62">
        <v>4</v>
      </c>
      <c r="E13" s="62">
        <v>6</v>
      </c>
      <c r="F13" s="62">
        <v>21</v>
      </c>
      <c r="G13" s="62">
        <v>59</v>
      </c>
      <c r="H13" s="62">
        <v>406</v>
      </c>
      <c r="I13" s="62">
        <v>3</v>
      </c>
      <c r="J13" s="63">
        <v>1</v>
      </c>
      <c r="K13" s="95">
        <v>45821</v>
      </c>
      <c r="L13" s="63">
        <v>6</v>
      </c>
      <c r="M13" s="63">
        <v>5</v>
      </c>
      <c r="N13">
        <v>5</v>
      </c>
      <c r="P13">
        <v>15.5</v>
      </c>
      <c r="Q13">
        <v>14</v>
      </c>
      <c r="R13">
        <v>15.3</v>
      </c>
    </row>
    <row r="14" spans="1:19" x14ac:dyDescent="0.35">
      <c r="A14" s="62" t="s">
        <v>33</v>
      </c>
      <c r="B14" s="62" t="s">
        <v>34</v>
      </c>
      <c r="C14" s="62">
        <v>2</v>
      </c>
      <c r="D14" s="62">
        <v>4</v>
      </c>
      <c r="E14" s="62">
        <v>8</v>
      </c>
      <c r="F14" s="62">
        <v>29</v>
      </c>
      <c r="G14" s="62">
        <v>57</v>
      </c>
      <c r="H14" s="62">
        <v>408</v>
      </c>
      <c r="I14" s="62">
        <v>3</v>
      </c>
      <c r="J14" s="63">
        <v>1</v>
      </c>
      <c r="K14" s="95">
        <v>45854</v>
      </c>
      <c r="L14" s="44">
        <v>5</v>
      </c>
      <c r="M14" s="44">
        <v>5</v>
      </c>
      <c r="N14" s="44">
        <v>5</v>
      </c>
      <c r="P14" s="44">
        <v>18.399999999999999</v>
      </c>
      <c r="Q14" s="44">
        <v>17.100000000000001</v>
      </c>
      <c r="R14" s="44">
        <v>16.7</v>
      </c>
    </row>
    <row r="15" spans="1:19" x14ac:dyDescent="0.35">
      <c r="A15" s="62" t="s">
        <v>33</v>
      </c>
      <c r="B15" s="62" t="s">
        <v>30</v>
      </c>
      <c r="C15" s="62">
        <v>2</v>
      </c>
      <c r="D15" s="62">
        <v>3</v>
      </c>
      <c r="E15" s="62">
        <v>8</v>
      </c>
      <c r="F15" s="62">
        <v>30</v>
      </c>
      <c r="G15" s="62">
        <v>40</v>
      </c>
      <c r="H15" s="62">
        <v>308</v>
      </c>
      <c r="I15" s="62">
        <v>3</v>
      </c>
      <c r="J15" s="63">
        <v>1</v>
      </c>
      <c r="K15" s="95">
        <v>45854</v>
      </c>
      <c r="L15" s="44">
        <v>5</v>
      </c>
      <c r="M15" s="44">
        <v>4</v>
      </c>
      <c r="N15" s="44">
        <v>4</v>
      </c>
      <c r="P15" s="44">
        <v>15.5</v>
      </c>
      <c r="Q15" s="44">
        <v>14</v>
      </c>
      <c r="R15" s="44">
        <v>15</v>
      </c>
    </row>
    <row r="16" spans="1:19" x14ac:dyDescent="0.35">
      <c r="A16" s="62" t="s">
        <v>33</v>
      </c>
      <c r="B16" s="62" t="s">
        <v>29</v>
      </c>
      <c r="C16" s="62">
        <v>2</v>
      </c>
      <c r="D16" s="62">
        <v>2</v>
      </c>
      <c r="E16" s="62">
        <v>8</v>
      </c>
      <c r="F16" s="62">
        <v>31</v>
      </c>
      <c r="G16" s="62">
        <v>25</v>
      </c>
      <c r="H16" s="62">
        <v>208</v>
      </c>
      <c r="I16" s="62">
        <v>3</v>
      </c>
      <c r="J16" s="63">
        <v>1</v>
      </c>
      <c r="K16" s="95">
        <v>45854</v>
      </c>
      <c r="L16" s="44">
        <v>5</v>
      </c>
      <c r="M16" s="44">
        <v>4</v>
      </c>
      <c r="N16" s="44">
        <v>4</v>
      </c>
      <c r="P16" s="44">
        <v>15.7</v>
      </c>
      <c r="Q16" s="44">
        <v>14.6</v>
      </c>
      <c r="R16" s="44">
        <v>15.9</v>
      </c>
    </row>
    <row r="17" spans="1:18" x14ac:dyDescent="0.35">
      <c r="A17" s="62" t="s">
        <v>33</v>
      </c>
      <c r="B17" s="62" t="s">
        <v>35</v>
      </c>
      <c r="C17" s="62">
        <v>2</v>
      </c>
      <c r="D17" s="62">
        <v>1</v>
      </c>
      <c r="E17" s="62">
        <v>8</v>
      </c>
      <c r="F17" s="62">
        <v>32</v>
      </c>
      <c r="G17" s="62">
        <v>8</v>
      </c>
      <c r="H17" s="62">
        <v>108</v>
      </c>
      <c r="I17" s="62">
        <v>3</v>
      </c>
      <c r="J17" s="63">
        <v>1</v>
      </c>
      <c r="K17" s="95">
        <v>45854</v>
      </c>
      <c r="L17" s="44">
        <v>4</v>
      </c>
      <c r="M17" s="44">
        <v>4</v>
      </c>
      <c r="N17" s="44">
        <v>3</v>
      </c>
      <c r="P17" s="44">
        <v>11.5</v>
      </c>
      <c r="Q17" s="44">
        <v>17</v>
      </c>
      <c r="R17" s="44">
        <v>13.2</v>
      </c>
    </row>
    <row r="18" spans="1:18" x14ac:dyDescent="0.35">
      <c r="A18" s="62" t="s">
        <v>28</v>
      </c>
      <c r="B18" s="62" t="s">
        <v>32</v>
      </c>
      <c r="C18" s="62">
        <v>3</v>
      </c>
      <c r="D18" s="62">
        <v>1</v>
      </c>
      <c r="E18" s="62">
        <v>10</v>
      </c>
      <c r="F18" s="62">
        <v>40</v>
      </c>
      <c r="G18" s="62">
        <v>10</v>
      </c>
      <c r="H18" s="62">
        <v>110</v>
      </c>
      <c r="I18" s="62">
        <v>3</v>
      </c>
      <c r="J18" s="63">
        <v>1</v>
      </c>
      <c r="K18" s="95">
        <v>45821</v>
      </c>
      <c r="L18" s="63">
        <v>4</v>
      </c>
      <c r="M18" s="63">
        <v>5</v>
      </c>
      <c r="N18">
        <v>5</v>
      </c>
      <c r="P18">
        <v>12.1</v>
      </c>
      <c r="Q18">
        <v>13.5</v>
      </c>
      <c r="R18">
        <v>15.3</v>
      </c>
    </row>
    <row r="19" spans="1:18" x14ac:dyDescent="0.35">
      <c r="A19" s="62" t="s">
        <v>28</v>
      </c>
      <c r="B19" s="62" t="s">
        <v>31</v>
      </c>
      <c r="C19" s="62">
        <v>3</v>
      </c>
      <c r="D19" s="62">
        <v>2</v>
      </c>
      <c r="E19" s="62">
        <v>10</v>
      </c>
      <c r="F19" s="62">
        <v>39</v>
      </c>
      <c r="G19" s="62">
        <v>23</v>
      </c>
      <c r="H19" s="62">
        <v>210</v>
      </c>
      <c r="I19" s="62">
        <v>3</v>
      </c>
      <c r="J19" s="63">
        <v>1</v>
      </c>
      <c r="K19" s="95">
        <v>45821</v>
      </c>
      <c r="L19" s="63">
        <v>4</v>
      </c>
      <c r="M19" s="63">
        <v>5</v>
      </c>
      <c r="N19">
        <v>4</v>
      </c>
      <c r="P19">
        <v>15.3</v>
      </c>
      <c r="Q19">
        <v>17.2</v>
      </c>
      <c r="R19">
        <v>15.7</v>
      </c>
    </row>
    <row r="20" spans="1:18" x14ac:dyDescent="0.35">
      <c r="A20" s="62" t="s">
        <v>28</v>
      </c>
      <c r="B20" s="62" t="s">
        <v>29</v>
      </c>
      <c r="C20" s="62">
        <v>3</v>
      </c>
      <c r="D20" s="62">
        <v>3</v>
      </c>
      <c r="E20" s="62">
        <v>10</v>
      </c>
      <c r="F20" s="62">
        <v>38</v>
      </c>
      <c r="G20" s="62">
        <v>42</v>
      </c>
      <c r="H20" s="62">
        <v>310</v>
      </c>
      <c r="I20" s="62">
        <v>3</v>
      </c>
      <c r="J20" s="63">
        <v>1</v>
      </c>
      <c r="K20" s="95">
        <v>45821</v>
      </c>
      <c r="L20" s="63">
        <v>4</v>
      </c>
      <c r="M20" s="63">
        <v>5</v>
      </c>
      <c r="N20">
        <v>4</v>
      </c>
      <c r="P20">
        <v>13.5</v>
      </c>
      <c r="Q20">
        <v>14</v>
      </c>
      <c r="R20">
        <v>14.3</v>
      </c>
    </row>
    <row r="21" spans="1:18" x14ac:dyDescent="0.35">
      <c r="A21" s="62" t="s">
        <v>28</v>
      </c>
      <c r="B21" s="62" t="s">
        <v>30</v>
      </c>
      <c r="C21" s="62">
        <v>3</v>
      </c>
      <c r="D21" s="62">
        <v>4</v>
      </c>
      <c r="E21" s="62">
        <v>10</v>
      </c>
      <c r="F21" s="62">
        <v>37</v>
      </c>
      <c r="G21" s="62">
        <v>55</v>
      </c>
      <c r="H21" s="62">
        <v>410</v>
      </c>
      <c r="I21" s="62">
        <v>3</v>
      </c>
      <c r="J21" s="63">
        <v>1</v>
      </c>
      <c r="K21" s="95">
        <v>45821</v>
      </c>
      <c r="L21" s="63">
        <v>4</v>
      </c>
      <c r="M21" s="63">
        <v>5</v>
      </c>
      <c r="N21">
        <v>5</v>
      </c>
      <c r="P21">
        <v>14.9</v>
      </c>
      <c r="Q21">
        <v>14</v>
      </c>
      <c r="R21">
        <v>15.7</v>
      </c>
    </row>
    <row r="22" spans="1:18" x14ac:dyDescent="0.35">
      <c r="A22" s="62" t="s">
        <v>33</v>
      </c>
      <c r="B22" s="62" t="s">
        <v>30</v>
      </c>
      <c r="C22" s="62">
        <v>3</v>
      </c>
      <c r="D22" s="62">
        <v>4</v>
      </c>
      <c r="E22" s="62">
        <v>12</v>
      </c>
      <c r="F22" s="62">
        <v>45</v>
      </c>
      <c r="G22" s="62">
        <v>53</v>
      </c>
      <c r="H22" s="62">
        <v>412</v>
      </c>
      <c r="I22" s="62">
        <v>3</v>
      </c>
      <c r="J22" s="63">
        <v>1</v>
      </c>
      <c r="K22" s="95">
        <v>45854</v>
      </c>
      <c r="L22" s="44">
        <v>5</v>
      </c>
      <c r="M22" s="44">
        <v>5</v>
      </c>
      <c r="N22" s="44">
        <v>4</v>
      </c>
      <c r="P22" s="44">
        <v>14.5</v>
      </c>
      <c r="Q22" s="44">
        <v>15.1</v>
      </c>
      <c r="R22" s="44">
        <v>14.7</v>
      </c>
    </row>
    <row r="23" spans="1:18" x14ac:dyDescent="0.35">
      <c r="A23" s="62" t="s">
        <v>33</v>
      </c>
      <c r="B23" s="62" t="s">
        <v>34</v>
      </c>
      <c r="C23" s="62">
        <v>3</v>
      </c>
      <c r="D23" s="62">
        <v>3</v>
      </c>
      <c r="E23" s="62">
        <v>12</v>
      </c>
      <c r="F23" s="62">
        <v>46</v>
      </c>
      <c r="G23" s="62">
        <v>44</v>
      </c>
      <c r="H23" s="62">
        <v>312</v>
      </c>
      <c r="I23" s="62">
        <v>3</v>
      </c>
      <c r="J23" s="63">
        <v>1</v>
      </c>
      <c r="K23" s="95">
        <v>45854</v>
      </c>
      <c r="L23" s="44">
        <v>5</v>
      </c>
      <c r="M23" s="44">
        <v>6</v>
      </c>
      <c r="N23" s="44">
        <v>5</v>
      </c>
      <c r="P23" s="44">
        <v>16.899999999999999</v>
      </c>
      <c r="Q23" s="44">
        <v>18.5</v>
      </c>
      <c r="R23" s="44">
        <v>16.2</v>
      </c>
    </row>
    <row r="24" spans="1:18" x14ac:dyDescent="0.35">
      <c r="A24" s="62" t="s">
        <v>33</v>
      </c>
      <c r="B24" s="62" t="s">
        <v>35</v>
      </c>
      <c r="C24" s="62">
        <v>3</v>
      </c>
      <c r="D24" s="62">
        <v>2</v>
      </c>
      <c r="E24" s="62">
        <v>12</v>
      </c>
      <c r="F24" s="62">
        <v>47</v>
      </c>
      <c r="G24" s="62">
        <v>21</v>
      </c>
      <c r="H24" s="62">
        <v>212</v>
      </c>
      <c r="I24" s="62">
        <v>3</v>
      </c>
      <c r="J24" s="63">
        <v>1</v>
      </c>
      <c r="K24" s="95">
        <v>45854</v>
      </c>
      <c r="L24" s="44">
        <v>5</v>
      </c>
      <c r="M24" s="44">
        <v>5</v>
      </c>
      <c r="N24" s="44">
        <v>3</v>
      </c>
      <c r="P24" s="44">
        <v>12.6</v>
      </c>
      <c r="Q24" s="44">
        <v>17.100000000000001</v>
      </c>
      <c r="R24" s="44">
        <v>13.6</v>
      </c>
    </row>
    <row r="25" spans="1:18" x14ac:dyDescent="0.35">
      <c r="A25" s="62" t="s">
        <v>33</v>
      </c>
      <c r="B25" s="62" t="s">
        <v>29</v>
      </c>
      <c r="C25" s="62">
        <v>3</v>
      </c>
      <c r="D25" s="62">
        <v>1</v>
      </c>
      <c r="E25" s="62">
        <v>12</v>
      </c>
      <c r="F25" s="62">
        <v>48</v>
      </c>
      <c r="G25" s="62">
        <v>12</v>
      </c>
      <c r="H25" s="62">
        <v>112</v>
      </c>
      <c r="I25" s="62">
        <v>3</v>
      </c>
      <c r="J25" s="63">
        <v>1</v>
      </c>
      <c r="K25" s="95">
        <v>45854</v>
      </c>
      <c r="L25" s="44">
        <v>6</v>
      </c>
      <c r="M25" s="44">
        <v>5</v>
      </c>
      <c r="N25" s="44">
        <v>5</v>
      </c>
      <c r="P25" s="44">
        <v>18.399999999999999</v>
      </c>
      <c r="Q25" s="44">
        <v>18</v>
      </c>
      <c r="R25" s="44">
        <v>16.5</v>
      </c>
    </row>
    <row r="26" spans="1:18" x14ac:dyDescent="0.35">
      <c r="A26" s="62" t="s">
        <v>28</v>
      </c>
      <c r="B26" s="62" t="s">
        <v>30</v>
      </c>
      <c r="C26" s="62">
        <v>4</v>
      </c>
      <c r="D26" s="62">
        <v>1</v>
      </c>
      <c r="E26" s="62">
        <v>14</v>
      </c>
      <c r="F26" s="62">
        <v>56</v>
      </c>
      <c r="G26" s="62">
        <v>14</v>
      </c>
      <c r="H26" s="62">
        <v>114</v>
      </c>
      <c r="I26" s="62">
        <v>3</v>
      </c>
      <c r="J26" s="63">
        <v>1</v>
      </c>
      <c r="K26" s="95">
        <v>45821</v>
      </c>
      <c r="L26" s="63">
        <v>5</v>
      </c>
      <c r="M26" s="63">
        <v>3</v>
      </c>
      <c r="N26">
        <v>5</v>
      </c>
      <c r="P26">
        <v>16.3</v>
      </c>
      <c r="Q26">
        <v>15</v>
      </c>
      <c r="R26">
        <v>15.9</v>
      </c>
    </row>
    <row r="27" spans="1:18" x14ac:dyDescent="0.35">
      <c r="A27" s="62" t="s">
        <v>28</v>
      </c>
      <c r="B27" s="62" t="s">
        <v>29</v>
      </c>
      <c r="C27" s="62">
        <v>4</v>
      </c>
      <c r="D27" s="62">
        <v>2</v>
      </c>
      <c r="E27" s="62">
        <v>14</v>
      </c>
      <c r="F27" s="62">
        <v>55</v>
      </c>
      <c r="G27" s="62">
        <v>19</v>
      </c>
      <c r="H27" s="62">
        <v>214</v>
      </c>
      <c r="I27" s="62">
        <v>3</v>
      </c>
      <c r="J27" s="63">
        <v>1</v>
      </c>
      <c r="K27" s="95">
        <v>45821</v>
      </c>
      <c r="L27" s="63">
        <v>4</v>
      </c>
      <c r="M27" s="63">
        <v>4</v>
      </c>
      <c r="N27">
        <v>4</v>
      </c>
      <c r="P27">
        <v>13.5</v>
      </c>
      <c r="Q27">
        <v>14.8</v>
      </c>
      <c r="R27">
        <v>17.2</v>
      </c>
    </row>
    <row r="28" spans="1:18" x14ac:dyDescent="0.35">
      <c r="A28" s="62" t="s">
        <v>28</v>
      </c>
      <c r="B28" s="62" t="s">
        <v>32</v>
      </c>
      <c r="C28" s="62">
        <v>4</v>
      </c>
      <c r="D28" s="62">
        <v>3</v>
      </c>
      <c r="E28" s="62">
        <v>14</v>
      </c>
      <c r="F28" s="62">
        <v>54</v>
      </c>
      <c r="G28" s="62">
        <v>46</v>
      </c>
      <c r="H28" s="62">
        <v>314</v>
      </c>
      <c r="I28" s="62">
        <v>3</v>
      </c>
      <c r="J28" s="63">
        <v>1</v>
      </c>
      <c r="K28" s="95">
        <v>45821</v>
      </c>
      <c r="L28" s="63">
        <v>4</v>
      </c>
      <c r="M28" s="63">
        <v>3</v>
      </c>
      <c r="N28">
        <v>4</v>
      </c>
      <c r="P28">
        <v>13</v>
      </c>
      <c r="Q28">
        <v>9</v>
      </c>
      <c r="R28">
        <v>11</v>
      </c>
    </row>
    <row r="29" spans="1:18" x14ac:dyDescent="0.35">
      <c r="A29" s="62" t="s">
        <v>28</v>
      </c>
      <c r="B29" s="62" t="s">
        <v>31</v>
      </c>
      <c r="C29" s="62">
        <v>4</v>
      </c>
      <c r="D29" s="62">
        <v>4</v>
      </c>
      <c r="E29" s="62">
        <v>14</v>
      </c>
      <c r="F29" s="62">
        <v>53</v>
      </c>
      <c r="G29" s="62">
        <v>51</v>
      </c>
      <c r="H29" s="62">
        <v>414</v>
      </c>
      <c r="I29" s="62">
        <v>3</v>
      </c>
      <c r="J29" s="63">
        <v>1</v>
      </c>
      <c r="K29" s="95">
        <v>45821</v>
      </c>
      <c r="L29" s="63">
        <v>5</v>
      </c>
      <c r="M29" s="63">
        <v>5</v>
      </c>
      <c r="N29">
        <v>4</v>
      </c>
      <c r="P29">
        <v>17.3</v>
      </c>
      <c r="Q29">
        <v>14.3</v>
      </c>
      <c r="R29">
        <v>15.2</v>
      </c>
    </row>
    <row r="30" spans="1:18" x14ac:dyDescent="0.35">
      <c r="A30" s="62" t="s">
        <v>33</v>
      </c>
      <c r="B30" s="62" t="s">
        <v>35</v>
      </c>
      <c r="C30" s="62">
        <v>4</v>
      </c>
      <c r="D30" s="62">
        <v>4</v>
      </c>
      <c r="E30" s="62">
        <v>16</v>
      </c>
      <c r="F30" s="62">
        <v>60</v>
      </c>
      <c r="G30" s="62">
        <v>50</v>
      </c>
      <c r="H30" s="62">
        <v>416</v>
      </c>
      <c r="I30" s="62">
        <v>3</v>
      </c>
      <c r="J30" s="63">
        <v>1</v>
      </c>
      <c r="K30" s="95">
        <v>45854</v>
      </c>
      <c r="L30" s="44">
        <v>6</v>
      </c>
      <c r="M30" s="44">
        <v>5</v>
      </c>
      <c r="N30" s="44">
        <v>4</v>
      </c>
      <c r="P30" s="44">
        <v>13.5</v>
      </c>
      <c r="Q30" s="44">
        <v>13</v>
      </c>
      <c r="R30" s="44">
        <v>12.8</v>
      </c>
    </row>
    <row r="31" spans="1:18" x14ac:dyDescent="0.35">
      <c r="A31" s="62" t="s">
        <v>33</v>
      </c>
      <c r="B31" s="62" t="s">
        <v>29</v>
      </c>
      <c r="C31" s="62">
        <v>4</v>
      </c>
      <c r="D31" s="62">
        <v>3</v>
      </c>
      <c r="E31" s="62">
        <v>16</v>
      </c>
      <c r="F31" s="62">
        <v>62</v>
      </c>
      <c r="G31" s="62">
        <v>48</v>
      </c>
      <c r="H31" s="62">
        <v>316</v>
      </c>
      <c r="I31" s="62">
        <v>3</v>
      </c>
      <c r="J31" s="63">
        <v>1</v>
      </c>
      <c r="K31" s="95">
        <v>45854</v>
      </c>
      <c r="L31" s="44">
        <v>4</v>
      </c>
      <c r="M31" s="44">
        <v>4</v>
      </c>
      <c r="N31" s="44">
        <v>3</v>
      </c>
      <c r="P31" s="44">
        <v>12</v>
      </c>
      <c r="Q31" s="44">
        <v>14.6</v>
      </c>
      <c r="R31" s="44">
        <v>18.5</v>
      </c>
    </row>
    <row r="32" spans="1:18" x14ac:dyDescent="0.35">
      <c r="A32" s="62" t="s">
        <v>33</v>
      </c>
      <c r="B32" s="62" t="s">
        <v>34</v>
      </c>
      <c r="C32" s="62">
        <v>4</v>
      </c>
      <c r="D32" s="62">
        <v>2</v>
      </c>
      <c r="E32" s="62">
        <v>16</v>
      </c>
      <c r="F32" s="62">
        <v>58</v>
      </c>
      <c r="G32" s="62">
        <v>18</v>
      </c>
      <c r="H32" s="62">
        <v>216</v>
      </c>
      <c r="I32" s="62">
        <v>3</v>
      </c>
      <c r="J32" s="63">
        <v>1</v>
      </c>
      <c r="K32" s="95">
        <v>45854</v>
      </c>
      <c r="L32" s="44">
        <v>5</v>
      </c>
      <c r="M32" s="44">
        <v>4</v>
      </c>
      <c r="N32" s="44">
        <v>5</v>
      </c>
      <c r="P32" s="44">
        <v>16.3</v>
      </c>
      <c r="Q32" s="44">
        <v>14.4</v>
      </c>
      <c r="R32" s="44">
        <v>14.4</v>
      </c>
    </row>
    <row r="33" spans="1:18" x14ac:dyDescent="0.35">
      <c r="A33" s="62" t="s">
        <v>33</v>
      </c>
      <c r="B33" s="62" t="s">
        <v>30</v>
      </c>
      <c r="C33" s="62">
        <v>4</v>
      </c>
      <c r="D33" s="62">
        <v>1</v>
      </c>
      <c r="E33" s="62">
        <v>16</v>
      </c>
      <c r="F33" s="62">
        <v>64</v>
      </c>
      <c r="G33" s="62">
        <v>16</v>
      </c>
      <c r="H33" s="62">
        <v>116</v>
      </c>
      <c r="I33" s="62">
        <v>3</v>
      </c>
      <c r="J33" s="63">
        <v>1</v>
      </c>
      <c r="K33" s="95">
        <v>45854</v>
      </c>
      <c r="L33" s="44">
        <v>4</v>
      </c>
      <c r="M33" s="44">
        <v>5</v>
      </c>
      <c r="N33" s="44">
        <v>4</v>
      </c>
      <c r="P33" s="44">
        <v>13.5</v>
      </c>
      <c r="Q33" s="44">
        <v>13</v>
      </c>
      <c r="R33" s="44">
        <v>13.8</v>
      </c>
    </row>
    <row r="34" spans="1:18" x14ac:dyDescent="0.35">
      <c r="A34" s="62" t="s">
        <v>28</v>
      </c>
      <c r="B34" s="62" t="s">
        <v>29</v>
      </c>
      <c r="C34" s="62">
        <v>1</v>
      </c>
      <c r="D34" s="62">
        <v>1</v>
      </c>
      <c r="E34" s="62">
        <v>2</v>
      </c>
      <c r="F34" s="62">
        <v>8</v>
      </c>
      <c r="G34" s="62">
        <v>2</v>
      </c>
      <c r="H34" s="62">
        <v>102</v>
      </c>
      <c r="I34" s="62">
        <v>6</v>
      </c>
      <c r="J34" s="63">
        <v>2</v>
      </c>
      <c r="K34" s="95">
        <v>45854</v>
      </c>
      <c r="L34" s="44">
        <v>9</v>
      </c>
      <c r="M34" s="44">
        <v>7</v>
      </c>
      <c r="N34" s="44">
        <v>7</v>
      </c>
      <c r="P34" s="44">
        <v>18.600000000000001</v>
      </c>
      <c r="Q34" s="44">
        <v>19.399999999999999</v>
      </c>
      <c r="R34" s="44">
        <v>20.6</v>
      </c>
    </row>
    <row r="35" spans="1:18" x14ac:dyDescent="0.35">
      <c r="A35" s="62" t="s">
        <v>28</v>
      </c>
      <c r="B35" s="62" t="s">
        <v>30</v>
      </c>
      <c r="C35" s="62">
        <v>1</v>
      </c>
      <c r="D35" s="62">
        <v>2</v>
      </c>
      <c r="E35" s="62">
        <v>2</v>
      </c>
      <c r="F35" s="62">
        <v>7</v>
      </c>
      <c r="G35" s="62">
        <v>31</v>
      </c>
      <c r="H35" s="62">
        <v>202</v>
      </c>
      <c r="I35" s="62">
        <v>6</v>
      </c>
      <c r="J35" s="63">
        <v>2</v>
      </c>
      <c r="K35" s="95">
        <v>45854</v>
      </c>
      <c r="L35" s="44">
        <v>7</v>
      </c>
      <c r="M35" s="44">
        <v>10</v>
      </c>
      <c r="N35" s="44">
        <v>9</v>
      </c>
      <c r="P35" s="44">
        <v>17.3</v>
      </c>
      <c r="Q35" s="44">
        <v>21.2</v>
      </c>
      <c r="R35" s="44">
        <v>20.5</v>
      </c>
    </row>
    <row r="36" spans="1:18" x14ac:dyDescent="0.35">
      <c r="A36" s="62" t="s">
        <v>28</v>
      </c>
      <c r="B36" s="62" t="s">
        <v>31</v>
      </c>
      <c r="C36" s="62">
        <v>1</v>
      </c>
      <c r="D36" s="62">
        <v>3</v>
      </c>
      <c r="E36" s="62">
        <v>2</v>
      </c>
      <c r="F36" s="62">
        <v>6</v>
      </c>
      <c r="G36" s="62">
        <v>34</v>
      </c>
      <c r="H36" s="62">
        <v>302</v>
      </c>
      <c r="I36" s="62">
        <v>6</v>
      </c>
      <c r="J36" s="63">
        <v>2</v>
      </c>
      <c r="K36" s="95">
        <v>45854</v>
      </c>
      <c r="L36" s="44">
        <v>6</v>
      </c>
      <c r="M36" s="44">
        <v>7</v>
      </c>
      <c r="N36" s="44">
        <v>7</v>
      </c>
      <c r="P36" s="44">
        <v>16.399999999999999</v>
      </c>
      <c r="Q36" s="44">
        <v>15.7</v>
      </c>
      <c r="R36" s="44">
        <v>16.2</v>
      </c>
    </row>
    <row r="37" spans="1:18" x14ac:dyDescent="0.35">
      <c r="A37" s="62" t="s">
        <v>28</v>
      </c>
      <c r="B37" s="62" t="s">
        <v>32</v>
      </c>
      <c r="C37" s="62">
        <v>1</v>
      </c>
      <c r="D37" s="62">
        <v>4</v>
      </c>
      <c r="E37" s="62">
        <v>2</v>
      </c>
      <c r="F37" s="62">
        <v>5</v>
      </c>
      <c r="G37" s="62">
        <v>63</v>
      </c>
      <c r="H37" s="62">
        <v>402</v>
      </c>
      <c r="I37" s="62">
        <v>6</v>
      </c>
      <c r="J37" s="63">
        <v>2</v>
      </c>
      <c r="K37" s="95">
        <v>45854</v>
      </c>
      <c r="L37" s="44">
        <v>5</v>
      </c>
      <c r="M37" s="44">
        <v>6</v>
      </c>
      <c r="N37" s="44">
        <v>6</v>
      </c>
      <c r="P37" s="44">
        <v>15.6</v>
      </c>
      <c r="Q37" s="44">
        <v>16.100000000000001</v>
      </c>
      <c r="R37" s="44">
        <v>15.5</v>
      </c>
    </row>
    <row r="38" spans="1:18" x14ac:dyDescent="0.35">
      <c r="A38" s="62" t="s">
        <v>33</v>
      </c>
      <c r="B38" s="62" t="s">
        <v>29</v>
      </c>
      <c r="C38" s="62">
        <v>1</v>
      </c>
      <c r="D38" s="62">
        <v>4</v>
      </c>
      <c r="E38" s="62">
        <v>4</v>
      </c>
      <c r="F38" s="62">
        <v>13</v>
      </c>
      <c r="G38" s="62">
        <v>61</v>
      </c>
      <c r="H38" s="62">
        <v>404</v>
      </c>
      <c r="I38" s="62">
        <v>6</v>
      </c>
      <c r="J38" s="63">
        <v>2</v>
      </c>
      <c r="K38" s="95">
        <v>45889</v>
      </c>
      <c r="L38" s="44">
        <v>11</v>
      </c>
      <c r="M38" s="44">
        <v>11</v>
      </c>
      <c r="N38" s="44">
        <v>11</v>
      </c>
      <c r="P38" s="44">
        <v>24</v>
      </c>
      <c r="Q38" s="44">
        <v>25.2</v>
      </c>
      <c r="R38" s="44">
        <v>21</v>
      </c>
    </row>
    <row r="39" spans="1:18" x14ac:dyDescent="0.35">
      <c r="A39" s="62" t="s">
        <v>33</v>
      </c>
      <c r="B39" s="62" t="s">
        <v>35</v>
      </c>
      <c r="C39" s="62">
        <v>1</v>
      </c>
      <c r="D39" s="62">
        <v>3</v>
      </c>
      <c r="E39" s="62">
        <v>4</v>
      </c>
      <c r="F39" s="62">
        <v>14</v>
      </c>
      <c r="G39" s="62">
        <v>36</v>
      </c>
      <c r="H39" s="62">
        <v>304</v>
      </c>
      <c r="I39" s="62">
        <v>6</v>
      </c>
      <c r="J39" s="63">
        <v>2</v>
      </c>
      <c r="K39" s="95">
        <v>45889</v>
      </c>
      <c r="L39" s="44">
        <v>10</v>
      </c>
      <c r="M39" s="44">
        <v>9</v>
      </c>
      <c r="N39" s="44">
        <v>10</v>
      </c>
      <c r="P39" s="44">
        <v>23.5</v>
      </c>
      <c r="Q39" s="44">
        <v>19.399999999999999</v>
      </c>
      <c r="R39" s="44">
        <v>21</v>
      </c>
    </row>
    <row r="40" spans="1:18" x14ac:dyDescent="0.35">
      <c r="A40" s="62" t="s">
        <v>33</v>
      </c>
      <c r="B40" s="62" t="s">
        <v>30</v>
      </c>
      <c r="C40" s="62">
        <v>1</v>
      </c>
      <c r="D40" s="62">
        <v>2</v>
      </c>
      <c r="E40" s="62">
        <v>4</v>
      </c>
      <c r="F40" s="62">
        <v>15</v>
      </c>
      <c r="G40" s="62">
        <v>29</v>
      </c>
      <c r="H40" s="62">
        <v>204</v>
      </c>
      <c r="I40" s="62">
        <v>6</v>
      </c>
      <c r="J40" s="63">
        <v>2</v>
      </c>
      <c r="K40" s="95">
        <v>45889</v>
      </c>
      <c r="L40" s="44">
        <v>10</v>
      </c>
      <c r="M40" s="44">
        <v>10</v>
      </c>
      <c r="N40" s="44">
        <v>7</v>
      </c>
      <c r="P40" s="44">
        <v>20.7</v>
      </c>
      <c r="Q40" s="44">
        <v>18.3</v>
      </c>
      <c r="R40" s="44">
        <v>15.8</v>
      </c>
    </row>
    <row r="41" spans="1:18" x14ac:dyDescent="0.35">
      <c r="A41" s="62" t="s">
        <v>33</v>
      </c>
      <c r="B41" s="62" t="s">
        <v>34</v>
      </c>
      <c r="C41" s="62">
        <v>1</v>
      </c>
      <c r="D41" s="62">
        <v>1</v>
      </c>
      <c r="E41" s="62">
        <v>4</v>
      </c>
      <c r="F41" s="62">
        <v>16</v>
      </c>
      <c r="G41" s="62">
        <v>4</v>
      </c>
      <c r="H41" s="62">
        <v>104</v>
      </c>
      <c r="I41" s="62">
        <v>6</v>
      </c>
      <c r="J41" s="63">
        <v>2</v>
      </c>
      <c r="K41" s="95">
        <v>45889</v>
      </c>
      <c r="L41" s="44">
        <v>12</v>
      </c>
      <c r="M41" s="44">
        <v>13</v>
      </c>
      <c r="N41" s="44">
        <v>12</v>
      </c>
      <c r="P41" s="44">
        <v>27.1</v>
      </c>
      <c r="Q41" s="44">
        <v>25.2</v>
      </c>
      <c r="R41" s="44">
        <v>24.5</v>
      </c>
    </row>
    <row r="42" spans="1:18" x14ac:dyDescent="0.35">
      <c r="A42" s="62" t="s">
        <v>28</v>
      </c>
      <c r="B42" s="62" t="s">
        <v>31</v>
      </c>
      <c r="C42" s="62">
        <v>2</v>
      </c>
      <c r="D42" s="62">
        <v>1</v>
      </c>
      <c r="E42" s="62">
        <v>6</v>
      </c>
      <c r="F42" s="62">
        <v>24</v>
      </c>
      <c r="G42" s="62">
        <v>6</v>
      </c>
      <c r="H42" s="62">
        <v>106</v>
      </c>
      <c r="I42" s="62">
        <v>6</v>
      </c>
      <c r="J42" s="63">
        <v>2</v>
      </c>
      <c r="K42" s="95">
        <v>45854</v>
      </c>
      <c r="L42" s="44">
        <v>7</v>
      </c>
      <c r="M42" s="44">
        <v>8</v>
      </c>
      <c r="N42" s="44">
        <v>7</v>
      </c>
      <c r="P42" s="44">
        <v>15.9</v>
      </c>
      <c r="Q42" s="44">
        <v>17.8</v>
      </c>
      <c r="R42" s="44">
        <v>19.2</v>
      </c>
    </row>
    <row r="43" spans="1:18" x14ac:dyDescent="0.35">
      <c r="A43" s="62" t="s">
        <v>28</v>
      </c>
      <c r="B43" s="62" t="s">
        <v>32</v>
      </c>
      <c r="C43" s="62">
        <v>2</v>
      </c>
      <c r="D43" s="62">
        <v>2</v>
      </c>
      <c r="E43" s="62">
        <v>6</v>
      </c>
      <c r="F43" s="62">
        <v>23</v>
      </c>
      <c r="G43" s="62">
        <v>27</v>
      </c>
      <c r="H43" s="62">
        <v>206</v>
      </c>
      <c r="I43" s="62">
        <v>6</v>
      </c>
      <c r="J43" s="63">
        <v>2</v>
      </c>
      <c r="K43" s="95">
        <v>45854</v>
      </c>
      <c r="L43" s="44">
        <v>6</v>
      </c>
      <c r="M43" s="44">
        <v>6</v>
      </c>
      <c r="N43" s="44">
        <v>6</v>
      </c>
      <c r="P43" s="44">
        <v>19.3</v>
      </c>
      <c r="Q43" s="44">
        <v>17.5</v>
      </c>
      <c r="R43" s="44">
        <v>14.7</v>
      </c>
    </row>
    <row r="44" spans="1:18" x14ac:dyDescent="0.35">
      <c r="A44" s="62" t="s">
        <v>28</v>
      </c>
      <c r="B44" s="62" t="s">
        <v>30</v>
      </c>
      <c r="C44" s="62">
        <v>2</v>
      </c>
      <c r="D44" s="62">
        <v>3</v>
      </c>
      <c r="E44" s="62">
        <v>6</v>
      </c>
      <c r="F44" s="62">
        <v>22</v>
      </c>
      <c r="G44" s="62">
        <v>38</v>
      </c>
      <c r="H44" s="62">
        <v>306</v>
      </c>
      <c r="I44" s="62">
        <v>6</v>
      </c>
      <c r="J44" s="63">
        <v>2</v>
      </c>
      <c r="K44" s="95">
        <v>45854</v>
      </c>
      <c r="L44" s="44">
        <v>6</v>
      </c>
      <c r="M44" s="44">
        <v>7</v>
      </c>
      <c r="N44" s="44">
        <v>8</v>
      </c>
      <c r="P44" s="44">
        <v>16.5</v>
      </c>
      <c r="Q44" s="44">
        <v>15.4</v>
      </c>
      <c r="R44" s="44">
        <v>17.5</v>
      </c>
    </row>
    <row r="45" spans="1:18" x14ac:dyDescent="0.35">
      <c r="A45" s="62" t="s">
        <v>28</v>
      </c>
      <c r="B45" s="62" t="s">
        <v>29</v>
      </c>
      <c r="C45" s="62">
        <v>2</v>
      </c>
      <c r="D45" s="62">
        <v>4</v>
      </c>
      <c r="E45" s="62">
        <v>6</v>
      </c>
      <c r="F45" s="62">
        <v>21</v>
      </c>
      <c r="G45" s="62">
        <v>59</v>
      </c>
      <c r="H45" s="62">
        <v>406</v>
      </c>
      <c r="I45" s="62">
        <v>6</v>
      </c>
      <c r="J45" s="63">
        <v>2</v>
      </c>
      <c r="K45" s="95">
        <v>45854</v>
      </c>
      <c r="L45" s="44">
        <v>7</v>
      </c>
      <c r="M45" s="44">
        <v>9</v>
      </c>
      <c r="N45" s="44">
        <v>8</v>
      </c>
      <c r="P45" s="44">
        <v>17.7</v>
      </c>
      <c r="Q45" s="44">
        <v>20.6</v>
      </c>
      <c r="R45" s="44">
        <v>20.5</v>
      </c>
    </row>
    <row r="46" spans="1:18" x14ac:dyDescent="0.35">
      <c r="A46" s="62" t="s">
        <v>33</v>
      </c>
      <c r="B46" s="62" t="s">
        <v>34</v>
      </c>
      <c r="C46" s="62">
        <v>2</v>
      </c>
      <c r="D46" s="62">
        <v>4</v>
      </c>
      <c r="E46" s="62">
        <v>8</v>
      </c>
      <c r="F46" s="62">
        <v>29</v>
      </c>
      <c r="G46" s="62">
        <v>57</v>
      </c>
      <c r="H46" s="62">
        <v>408</v>
      </c>
      <c r="I46" s="62">
        <v>6</v>
      </c>
      <c r="J46" s="63">
        <v>2</v>
      </c>
      <c r="K46" s="95">
        <v>45889</v>
      </c>
      <c r="L46" s="44">
        <v>12</v>
      </c>
      <c r="M46" s="44">
        <v>12</v>
      </c>
      <c r="N46" s="44">
        <v>14</v>
      </c>
      <c r="P46" s="44">
        <v>24.6</v>
      </c>
      <c r="Q46" s="44">
        <v>27.4</v>
      </c>
      <c r="R46" s="44">
        <v>27.1</v>
      </c>
    </row>
    <row r="47" spans="1:18" x14ac:dyDescent="0.35">
      <c r="A47" s="62" t="s">
        <v>33</v>
      </c>
      <c r="B47" s="62" t="s">
        <v>30</v>
      </c>
      <c r="C47" s="62">
        <v>2</v>
      </c>
      <c r="D47" s="62">
        <v>3</v>
      </c>
      <c r="E47" s="62">
        <v>8</v>
      </c>
      <c r="F47" s="62">
        <v>30</v>
      </c>
      <c r="G47" s="62">
        <v>40</v>
      </c>
      <c r="H47" s="62">
        <v>308</v>
      </c>
      <c r="I47" s="62">
        <v>6</v>
      </c>
      <c r="J47" s="63">
        <v>2</v>
      </c>
      <c r="K47" s="95">
        <v>45889</v>
      </c>
      <c r="L47" s="44">
        <v>9</v>
      </c>
      <c r="M47" s="44">
        <v>9</v>
      </c>
      <c r="N47" s="44">
        <v>8</v>
      </c>
      <c r="P47" s="44">
        <v>18</v>
      </c>
      <c r="Q47" s="44">
        <v>19</v>
      </c>
      <c r="R47" s="44">
        <v>18.8</v>
      </c>
    </row>
    <row r="48" spans="1:18" x14ac:dyDescent="0.35">
      <c r="A48" s="62" t="s">
        <v>33</v>
      </c>
      <c r="B48" s="62" t="s">
        <v>29</v>
      </c>
      <c r="C48" s="62">
        <v>2</v>
      </c>
      <c r="D48" s="62">
        <v>2</v>
      </c>
      <c r="E48" s="62">
        <v>8</v>
      </c>
      <c r="F48" s="62">
        <v>31</v>
      </c>
      <c r="G48" s="62">
        <v>25</v>
      </c>
      <c r="H48" s="62">
        <v>208</v>
      </c>
      <c r="I48" s="62">
        <v>6</v>
      </c>
      <c r="J48" s="63">
        <v>2</v>
      </c>
      <c r="K48" s="95">
        <v>45889</v>
      </c>
      <c r="L48" s="44">
        <v>10</v>
      </c>
      <c r="M48" s="44">
        <v>7</v>
      </c>
      <c r="N48" s="44">
        <v>10</v>
      </c>
      <c r="P48" s="44">
        <v>19.3</v>
      </c>
      <c r="Q48" s="44">
        <v>18</v>
      </c>
      <c r="R48" s="44">
        <v>21.3</v>
      </c>
    </row>
    <row r="49" spans="1:18" x14ac:dyDescent="0.35">
      <c r="A49" s="62" t="s">
        <v>33</v>
      </c>
      <c r="B49" s="62" t="s">
        <v>35</v>
      </c>
      <c r="C49" s="62">
        <v>2</v>
      </c>
      <c r="D49" s="62">
        <v>1</v>
      </c>
      <c r="E49" s="62">
        <v>8</v>
      </c>
      <c r="F49" s="62">
        <v>32</v>
      </c>
      <c r="G49" s="62">
        <v>8</v>
      </c>
      <c r="H49" s="62">
        <v>108</v>
      </c>
      <c r="I49" s="62">
        <v>6</v>
      </c>
      <c r="J49" s="63">
        <v>2</v>
      </c>
      <c r="K49" s="95">
        <v>45889</v>
      </c>
      <c r="L49" s="44">
        <v>8</v>
      </c>
      <c r="M49" s="44">
        <v>10</v>
      </c>
      <c r="N49" s="44">
        <v>9</v>
      </c>
      <c r="P49" s="44">
        <v>19.100000000000001</v>
      </c>
      <c r="Q49" s="44">
        <v>19.5</v>
      </c>
      <c r="R49" s="44">
        <v>16.600000000000001</v>
      </c>
    </row>
    <row r="50" spans="1:18" x14ac:dyDescent="0.35">
      <c r="A50" s="62" t="s">
        <v>28</v>
      </c>
      <c r="B50" s="62" t="s">
        <v>32</v>
      </c>
      <c r="C50" s="62">
        <v>3</v>
      </c>
      <c r="D50" s="62">
        <v>1</v>
      </c>
      <c r="E50" s="62">
        <v>10</v>
      </c>
      <c r="F50" s="62">
        <v>40</v>
      </c>
      <c r="G50" s="62">
        <v>10</v>
      </c>
      <c r="H50" s="62">
        <v>110</v>
      </c>
      <c r="I50" s="62">
        <v>6</v>
      </c>
      <c r="J50" s="63">
        <v>2</v>
      </c>
      <c r="K50" s="95">
        <v>45854</v>
      </c>
      <c r="L50" s="44">
        <v>6</v>
      </c>
      <c r="M50" s="44">
        <v>6</v>
      </c>
      <c r="N50" s="44">
        <v>6</v>
      </c>
      <c r="P50" s="44">
        <v>13</v>
      </c>
      <c r="Q50" s="44">
        <v>13.4</v>
      </c>
      <c r="R50" s="44">
        <v>15.4</v>
      </c>
    </row>
    <row r="51" spans="1:18" x14ac:dyDescent="0.35">
      <c r="A51" s="62" t="s">
        <v>28</v>
      </c>
      <c r="B51" s="62" t="s">
        <v>31</v>
      </c>
      <c r="C51" s="62">
        <v>3</v>
      </c>
      <c r="D51" s="62">
        <v>2</v>
      </c>
      <c r="E51" s="62">
        <v>10</v>
      </c>
      <c r="F51" s="62">
        <v>39</v>
      </c>
      <c r="G51" s="62">
        <v>23</v>
      </c>
      <c r="H51" s="62">
        <v>210</v>
      </c>
      <c r="I51" s="62">
        <v>6</v>
      </c>
      <c r="J51" s="63">
        <v>2</v>
      </c>
      <c r="K51" s="95">
        <v>45854</v>
      </c>
      <c r="L51" s="44">
        <v>7</v>
      </c>
      <c r="M51" s="44">
        <v>8</v>
      </c>
      <c r="N51" s="44">
        <v>7</v>
      </c>
      <c r="P51" s="44">
        <v>20</v>
      </c>
      <c r="Q51" s="44">
        <v>18.5</v>
      </c>
      <c r="R51" s="44">
        <v>19.399999999999999</v>
      </c>
    </row>
    <row r="52" spans="1:18" x14ac:dyDescent="0.35">
      <c r="A52" s="62" t="s">
        <v>28</v>
      </c>
      <c r="B52" s="62" t="s">
        <v>29</v>
      </c>
      <c r="C52" s="62">
        <v>3</v>
      </c>
      <c r="D52" s="62">
        <v>3</v>
      </c>
      <c r="E52" s="62">
        <v>10</v>
      </c>
      <c r="F52" s="62">
        <v>38</v>
      </c>
      <c r="G52" s="62">
        <v>42</v>
      </c>
      <c r="H52" s="62">
        <v>310</v>
      </c>
      <c r="I52" s="62">
        <v>6</v>
      </c>
      <c r="J52" s="63">
        <v>2</v>
      </c>
      <c r="K52" s="95">
        <v>45854</v>
      </c>
      <c r="L52" s="44">
        <v>6</v>
      </c>
      <c r="M52" s="44">
        <v>9</v>
      </c>
      <c r="N52" s="44">
        <v>7</v>
      </c>
      <c r="P52" s="44">
        <v>17.3</v>
      </c>
      <c r="Q52" s="44">
        <v>20</v>
      </c>
      <c r="R52" s="44">
        <v>18</v>
      </c>
    </row>
    <row r="53" spans="1:18" x14ac:dyDescent="0.35">
      <c r="A53" s="62" t="s">
        <v>28</v>
      </c>
      <c r="B53" s="62" t="s">
        <v>30</v>
      </c>
      <c r="C53" s="62">
        <v>3</v>
      </c>
      <c r="D53" s="62">
        <v>4</v>
      </c>
      <c r="E53" s="62">
        <v>10</v>
      </c>
      <c r="F53" s="62">
        <v>37</v>
      </c>
      <c r="G53" s="62">
        <v>55</v>
      </c>
      <c r="H53" s="62">
        <v>410</v>
      </c>
      <c r="I53" s="62">
        <v>6</v>
      </c>
      <c r="J53" s="63">
        <v>2</v>
      </c>
      <c r="K53" s="95">
        <v>45854</v>
      </c>
      <c r="L53" s="44">
        <v>7</v>
      </c>
      <c r="M53" s="44">
        <v>8</v>
      </c>
      <c r="N53" s="44">
        <v>8</v>
      </c>
      <c r="P53" s="44">
        <v>17.7</v>
      </c>
      <c r="Q53" s="44">
        <v>19</v>
      </c>
      <c r="R53" s="44">
        <v>19.2</v>
      </c>
    </row>
    <row r="54" spans="1:18" x14ac:dyDescent="0.35">
      <c r="A54" s="62" t="s">
        <v>33</v>
      </c>
      <c r="B54" s="62" t="s">
        <v>30</v>
      </c>
      <c r="C54" s="62">
        <v>3</v>
      </c>
      <c r="D54" s="62">
        <v>4</v>
      </c>
      <c r="E54" s="62">
        <v>12</v>
      </c>
      <c r="F54" s="62">
        <v>45</v>
      </c>
      <c r="G54" s="62">
        <v>53</v>
      </c>
      <c r="H54" s="62">
        <v>412</v>
      </c>
      <c r="I54" s="62">
        <v>6</v>
      </c>
      <c r="J54" s="63">
        <v>2</v>
      </c>
      <c r="K54" s="95">
        <v>45889</v>
      </c>
      <c r="L54" s="44">
        <v>10</v>
      </c>
      <c r="M54" s="44">
        <v>10</v>
      </c>
      <c r="N54" s="44">
        <v>10</v>
      </c>
      <c r="P54" s="44">
        <v>20.5</v>
      </c>
      <c r="Q54" s="44">
        <v>19.600000000000001</v>
      </c>
      <c r="R54" s="44">
        <v>21.2</v>
      </c>
    </row>
    <row r="55" spans="1:18" x14ac:dyDescent="0.35">
      <c r="A55" s="62" t="s">
        <v>33</v>
      </c>
      <c r="B55" s="62" t="s">
        <v>34</v>
      </c>
      <c r="C55" s="62">
        <v>3</v>
      </c>
      <c r="D55" s="62">
        <v>3</v>
      </c>
      <c r="E55" s="62">
        <v>12</v>
      </c>
      <c r="F55" s="62">
        <v>46</v>
      </c>
      <c r="G55" s="62">
        <v>44</v>
      </c>
      <c r="H55" s="62">
        <v>312</v>
      </c>
      <c r="I55" s="62">
        <v>6</v>
      </c>
      <c r="J55" s="63">
        <v>2</v>
      </c>
      <c r="K55" s="95">
        <v>45889</v>
      </c>
      <c r="L55" s="44">
        <v>12</v>
      </c>
      <c r="M55" s="44">
        <v>12</v>
      </c>
      <c r="N55" s="44">
        <v>13</v>
      </c>
      <c r="P55" s="44">
        <v>23.5</v>
      </c>
      <c r="Q55" s="44">
        <v>25.4</v>
      </c>
      <c r="R55" s="44">
        <v>24.5</v>
      </c>
    </row>
    <row r="56" spans="1:18" x14ac:dyDescent="0.35">
      <c r="A56" s="62" t="s">
        <v>33</v>
      </c>
      <c r="B56" s="62" t="s">
        <v>35</v>
      </c>
      <c r="C56" s="62">
        <v>3</v>
      </c>
      <c r="D56" s="62">
        <v>2</v>
      </c>
      <c r="E56" s="62">
        <v>12</v>
      </c>
      <c r="F56" s="62">
        <v>47</v>
      </c>
      <c r="G56" s="62">
        <v>21</v>
      </c>
      <c r="H56" s="62">
        <v>212</v>
      </c>
      <c r="I56" s="62">
        <v>6</v>
      </c>
      <c r="J56" s="63">
        <v>2</v>
      </c>
      <c r="K56" s="95">
        <v>45889</v>
      </c>
      <c r="L56" s="44">
        <v>10</v>
      </c>
      <c r="M56" s="44">
        <v>7</v>
      </c>
      <c r="N56" s="44">
        <v>10</v>
      </c>
      <c r="P56" s="44">
        <v>20.3</v>
      </c>
      <c r="Q56" s="44">
        <v>15.7</v>
      </c>
      <c r="R56" s="44">
        <v>21.2</v>
      </c>
    </row>
    <row r="57" spans="1:18" x14ac:dyDescent="0.35">
      <c r="A57" s="62" t="s">
        <v>33</v>
      </c>
      <c r="B57" s="62" t="s">
        <v>29</v>
      </c>
      <c r="C57" s="62">
        <v>3</v>
      </c>
      <c r="D57" s="62">
        <v>1</v>
      </c>
      <c r="E57" s="62">
        <v>12</v>
      </c>
      <c r="F57" s="62">
        <v>48</v>
      </c>
      <c r="G57" s="62">
        <v>12</v>
      </c>
      <c r="H57" s="62">
        <v>112</v>
      </c>
      <c r="I57" s="62">
        <v>6</v>
      </c>
      <c r="J57" s="63">
        <v>2</v>
      </c>
      <c r="K57" s="95">
        <v>45889</v>
      </c>
      <c r="L57" s="44">
        <v>11</v>
      </c>
      <c r="M57" s="44">
        <v>10</v>
      </c>
      <c r="N57" s="44">
        <v>10</v>
      </c>
      <c r="P57" s="44">
        <v>21</v>
      </c>
      <c r="Q57" s="44">
        <v>19.5</v>
      </c>
      <c r="R57" s="44">
        <v>18.8</v>
      </c>
    </row>
    <row r="58" spans="1:18" x14ac:dyDescent="0.35">
      <c r="A58" s="62" t="s">
        <v>28</v>
      </c>
      <c r="B58" s="62" t="s">
        <v>30</v>
      </c>
      <c r="C58" s="62">
        <v>4</v>
      </c>
      <c r="D58" s="62">
        <v>1</v>
      </c>
      <c r="E58" s="62">
        <v>14</v>
      </c>
      <c r="F58" s="62">
        <v>56</v>
      </c>
      <c r="G58" s="62">
        <v>14</v>
      </c>
      <c r="H58" s="62">
        <v>114</v>
      </c>
      <c r="I58" s="62">
        <v>6</v>
      </c>
      <c r="J58" s="63">
        <v>2</v>
      </c>
      <c r="K58" s="95">
        <v>45854</v>
      </c>
      <c r="L58" s="44">
        <v>8</v>
      </c>
      <c r="M58" s="44">
        <v>8</v>
      </c>
      <c r="N58" s="44">
        <v>8</v>
      </c>
      <c r="P58" s="44">
        <v>20.3</v>
      </c>
      <c r="Q58" s="44">
        <v>20.6</v>
      </c>
      <c r="R58" s="44">
        <v>18</v>
      </c>
    </row>
    <row r="59" spans="1:18" x14ac:dyDescent="0.35">
      <c r="A59" s="62" t="s">
        <v>28</v>
      </c>
      <c r="B59" s="62" t="s">
        <v>29</v>
      </c>
      <c r="C59" s="62">
        <v>4</v>
      </c>
      <c r="D59" s="62">
        <v>2</v>
      </c>
      <c r="E59" s="62">
        <v>14</v>
      </c>
      <c r="F59" s="62">
        <v>55</v>
      </c>
      <c r="G59" s="62">
        <v>19</v>
      </c>
      <c r="H59" s="62">
        <v>214</v>
      </c>
      <c r="I59" s="62">
        <v>6</v>
      </c>
      <c r="J59" s="63">
        <v>2</v>
      </c>
      <c r="K59" s="95">
        <v>45854</v>
      </c>
      <c r="L59" s="44">
        <v>5</v>
      </c>
      <c r="M59" s="44">
        <v>5</v>
      </c>
      <c r="N59" s="44">
        <v>6</v>
      </c>
      <c r="P59" s="44">
        <v>14.6</v>
      </c>
      <c r="Q59" s="44">
        <v>11.2</v>
      </c>
      <c r="R59" s="44">
        <v>11</v>
      </c>
    </row>
    <row r="60" spans="1:18" x14ac:dyDescent="0.35">
      <c r="A60" s="62" t="s">
        <v>28</v>
      </c>
      <c r="B60" s="62" t="s">
        <v>32</v>
      </c>
      <c r="C60" s="62">
        <v>4</v>
      </c>
      <c r="D60" s="62">
        <v>3</v>
      </c>
      <c r="E60" s="62">
        <v>14</v>
      </c>
      <c r="F60" s="62">
        <v>54</v>
      </c>
      <c r="G60" s="62">
        <v>46</v>
      </c>
      <c r="H60" s="62">
        <v>314</v>
      </c>
      <c r="I60" s="62">
        <v>6</v>
      </c>
      <c r="J60" s="63">
        <v>2</v>
      </c>
      <c r="K60" s="95">
        <v>45854</v>
      </c>
      <c r="L60" s="44">
        <v>9</v>
      </c>
      <c r="M60" s="44">
        <v>7</v>
      </c>
      <c r="N60" s="44">
        <v>7</v>
      </c>
      <c r="P60" s="44">
        <v>19.2</v>
      </c>
      <c r="Q60" s="44">
        <v>19.2</v>
      </c>
      <c r="R60" s="44">
        <v>17.600000000000001</v>
      </c>
    </row>
    <row r="61" spans="1:18" x14ac:dyDescent="0.35">
      <c r="A61" s="62" t="s">
        <v>28</v>
      </c>
      <c r="B61" s="62" t="s">
        <v>31</v>
      </c>
      <c r="C61" s="62">
        <v>4</v>
      </c>
      <c r="D61" s="62">
        <v>4</v>
      </c>
      <c r="E61" s="62">
        <v>14</v>
      </c>
      <c r="F61" s="62">
        <v>53</v>
      </c>
      <c r="G61" s="62">
        <v>51</v>
      </c>
      <c r="H61" s="62">
        <v>414</v>
      </c>
      <c r="I61" s="62">
        <v>6</v>
      </c>
      <c r="J61" s="63">
        <v>2</v>
      </c>
      <c r="K61" s="95">
        <v>45854</v>
      </c>
      <c r="L61" s="44">
        <v>7</v>
      </c>
      <c r="M61" s="44">
        <v>7</v>
      </c>
      <c r="N61" s="44">
        <v>8</v>
      </c>
      <c r="P61" s="44">
        <v>18.399999999999999</v>
      </c>
      <c r="Q61" s="44">
        <v>18.600000000000001</v>
      </c>
      <c r="R61" s="44">
        <v>18.100000000000001</v>
      </c>
    </row>
    <row r="62" spans="1:18" x14ac:dyDescent="0.35">
      <c r="A62" s="62" t="s">
        <v>33</v>
      </c>
      <c r="B62" s="62" t="s">
        <v>35</v>
      </c>
      <c r="C62" s="62">
        <v>4</v>
      </c>
      <c r="D62" s="62">
        <v>4</v>
      </c>
      <c r="E62" s="62">
        <v>16</v>
      </c>
      <c r="F62" s="62">
        <v>60</v>
      </c>
      <c r="G62" s="62">
        <v>50</v>
      </c>
      <c r="H62" s="62">
        <v>416</v>
      </c>
      <c r="I62" s="62">
        <v>6</v>
      </c>
      <c r="J62" s="63">
        <v>2</v>
      </c>
      <c r="K62" s="95">
        <v>45889</v>
      </c>
      <c r="L62" s="65">
        <v>11</v>
      </c>
      <c r="M62" s="65">
        <v>10</v>
      </c>
      <c r="N62">
        <v>10</v>
      </c>
      <c r="P62">
        <v>19</v>
      </c>
      <c r="Q62">
        <v>21.7</v>
      </c>
      <c r="R62">
        <v>20.100000000000001</v>
      </c>
    </row>
    <row r="63" spans="1:18" x14ac:dyDescent="0.35">
      <c r="A63" s="62" t="s">
        <v>33</v>
      </c>
      <c r="B63" s="62" t="s">
        <v>29</v>
      </c>
      <c r="C63" s="62">
        <v>4</v>
      </c>
      <c r="D63" s="62">
        <v>3</v>
      </c>
      <c r="E63" s="62">
        <v>16</v>
      </c>
      <c r="F63" s="62">
        <v>62</v>
      </c>
      <c r="G63" s="62">
        <v>48</v>
      </c>
      <c r="H63" s="62">
        <v>316</v>
      </c>
      <c r="I63" s="62">
        <v>6</v>
      </c>
      <c r="J63" s="63">
        <v>2</v>
      </c>
      <c r="K63" s="95">
        <v>45889</v>
      </c>
      <c r="L63" s="65">
        <v>9</v>
      </c>
      <c r="M63" s="65">
        <v>9</v>
      </c>
      <c r="N63">
        <v>8</v>
      </c>
      <c r="P63">
        <v>21</v>
      </c>
      <c r="Q63">
        <v>17.399999999999999</v>
      </c>
      <c r="R63">
        <v>17.8</v>
      </c>
    </row>
    <row r="64" spans="1:18" x14ac:dyDescent="0.35">
      <c r="A64" s="62" t="s">
        <v>33</v>
      </c>
      <c r="B64" s="62" t="s">
        <v>34</v>
      </c>
      <c r="C64" s="62">
        <v>4</v>
      </c>
      <c r="D64" s="62">
        <v>2</v>
      </c>
      <c r="E64" s="62">
        <v>16</v>
      </c>
      <c r="F64" s="62">
        <v>58</v>
      </c>
      <c r="G64" s="62">
        <v>18</v>
      </c>
      <c r="H64" s="62">
        <v>216</v>
      </c>
      <c r="I64" s="62">
        <v>6</v>
      </c>
      <c r="J64" s="63">
        <v>2</v>
      </c>
      <c r="K64" s="95">
        <v>45889</v>
      </c>
      <c r="L64" s="65">
        <v>11</v>
      </c>
      <c r="M64" s="65">
        <v>13</v>
      </c>
      <c r="N64">
        <v>11</v>
      </c>
      <c r="P64">
        <v>24</v>
      </c>
      <c r="Q64">
        <v>24</v>
      </c>
      <c r="R64">
        <v>25</v>
      </c>
    </row>
    <row r="65" spans="1:18" x14ac:dyDescent="0.35">
      <c r="A65" s="62" t="s">
        <v>33</v>
      </c>
      <c r="B65" s="62" t="s">
        <v>30</v>
      </c>
      <c r="C65" s="62">
        <v>4</v>
      </c>
      <c r="D65" s="62">
        <v>1</v>
      </c>
      <c r="E65" s="62">
        <v>16</v>
      </c>
      <c r="F65" s="62">
        <v>64</v>
      </c>
      <c r="G65" s="62">
        <v>16</v>
      </c>
      <c r="H65" s="62">
        <v>116</v>
      </c>
      <c r="I65" s="62">
        <v>6</v>
      </c>
      <c r="J65" s="63">
        <v>2</v>
      </c>
      <c r="K65" s="95">
        <v>45889</v>
      </c>
      <c r="L65" s="65">
        <v>10</v>
      </c>
      <c r="M65" s="65">
        <v>9</v>
      </c>
      <c r="N65">
        <v>9</v>
      </c>
      <c r="P65">
        <v>21</v>
      </c>
      <c r="Q65">
        <v>18.5</v>
      </c>
      <c r="R65">
        <v>20.2</v>
      </c>
    </row>
    <row r="66" spans="1:18" x14ac:dyDescent="0.35">
      <c r="A66" s="62" t="s">
        <v>28</v>
      </c>
      <c r="B66" s="62" t="s">
        <v>29</v>
      </c>
      <c r="C66" s="62">
        <v>1</v>
      </c>
      <c r="D66" s="62">
        <v>1</v>
      </c>
      <c r="E66" s="62">
        <v>2</v>
      </c>
      <c r="F66" s="62">
        <v>8</v>
      </c>
      <c r="G66" s="62">
        <v>2</v>
      </c>
      <c r="H66" s="62">
        <v>102</v>
      </c>
      <c r="I66" s="62">
        <v>9</v>
      </c>
      <c r="J66" s="63">
        <v>3</v>
      </c>
      <c r="K66" s="95">
        <v>45889</v>
      </c>
      <c r="L66" s="44">
        <v>14</v>
      </c>
      <c r="M66" s="44">
        <v>13</v>
      </c>
      <c r="N66" s="44">
        <v>13</v>
      </c>
      <c r="P66" s="44">
        <v>23.5</v>
      </c>
      <c r="Q66" s="44">
        <v>21.8</v>
      </c>
      <c r="R66" s="44">
        <v>24.2</v>
      </c>
    </row>
    <row r="67" spans="1:18" x14ac:dyDescent="0.35">
      <c r="A67" s="62" t="s">
        <v>28</v>
      </c>
      <c r="B67" s="62" t="s">
        <v>30</v>
      </c>
      <c r="C67" s="62">
        <v>1</v>
      </c>
      <c r="D67" s="62">
        <v>2</v>
      </c>
      <c r="E67" s="62">
        <v>2</v>
      </c>
      <c r="F67" s="62">
        <v>7</v>
      </c>
      <c r="G67" s="62">
        <v>31</v>
      </c>
      <c r="H67" s="62">
        <v>202</v>
      </c>
      <c r="I67" s="62">
        <v>9</v>
      </c>
      <c r="J67" s="63">
        <v>3</v>
      </c>
      <c r="K67" s="95">
        <v>45889</v>
      </c>
      <c r="L67" s="44">
        <v>14</v>
      </c>
      <c r="M67" s="44">
        <v>14</v>
      </c>
      <c r="N67" s="44">
        <v>17</v>
      </c>
      <c r="P67" s="44">
        <v>24.2</v>
      </c>
      <c r="Q67" s="44">
        <v>20.5</v>
      </c>
      <c r="R67" s="44">
        <v>27.7</v>
      </c>
    </row>
    <row r="68" spans="1:18" x14ac:dyDescent="0.35">
      <c r="A68" s="62" t="s">
        <v>28</v>
      </c>
      <c r="B68" s="62" t="s">
        <v>31</v>
      </c>
      <c r="C68" s="62">
        <v>1</v>
      </c>
      <c r="D68" s="62">
        <v>3</v>
      </c>
      <c r="E68" s="62">
        <v>2</v>
      </c>
      <c r="F68" s="62">
        <v>6</v>
      </c>
      <c r="G68" s="62">
        <v>34</v>
      </c>
      <c r="H68" s="62">
        <v>302</v>
      </c>
      <c r="I68" s="62">
        <v>9</v>
      </c>
      <c r="J68" s="63">
        <v>3</v>
      </c>
      <c r="K68" s="95">
        <v>45889</v>
      </c>
      <c r="L68" s="44">
        <v>10</v>
      </c>
      <c r="M68" s="44">
        <v>12</v>
      </c>
      <c r="N68" s="44">
        <v>12</v>
      </c>
      <c r="P68" s="44">
        <v>22</v>
      </c>
      <c r="Q68" s="44">
        <v>26.4</v>
      </c>
      <c r="R68" s="44">
        <v>24.2</v>
      </c>
    </row>
    <row r="69" spans="1:18" x14ac:dyDescent="0.35">
      <c r="A69" s="62" t="s">
        <v>28</v>
      </c>
      <c r="B69" s="62" t="s">
        <v>32</v>
      </c>
      <c r="C69" s="62">
        <v>1</v>
      </c>
      <c r="D69" s="62">
        <v>4</v>
      </c>
      <c r="E69" s="62">
        <v>2</v>
      </c>
      <c r="F69" s="62">
        <v>5</v>
      </c>
      <c r="G69" s="62">
        <v>63</v>
      </c>
      <c r="H69" s="62">
        <v>402</v>
      </c>
      <c r="I69" s="62">
        <v>9</v>
      </c>
      <c r="J69" s="63">
        <v>3</v>
      </c>
      <c r="K69" s="95">
        <v>45889</v>
      </c>
      <c r="L69" s="44">
        <v>7</v>
      </c>
      <c r="M69" s="44">
        <v>7</v>
      </c>
      <c r="N69" s="44">
        <v>7</v>
      </c>
      <c r="P69" s="44">
        <v>18.2</v>
      </c>
      <c r="Q69" s="44">
        <v>15.7</v>
      </c>
      <c r="R69" s="44">
        <v>16.7</v>
      </c>
    </row>
    <row r="70" spans="1:18" x14ac:dyDescent="0.35">
      <c r="A70" s="62" t="s">
        <v>33</v>
      </c>
      <c r="B70" s="62" t="s">
        <v>29</v>
      </c>
      <c r="C70" s="62">
        <v>1</v>
      </c>
      <c r="D70" s="62">
        <v>4</v>
      </c>
      <c r="E70" s="62">
        <v>4</v>
      </c>
      <c r="F70" s="62">
        <v>13</v>
      </c>
      <c r="G70" s="62">
        <v>61</v>
      </c>
      <c r="H70" s="62">
        <v>404</v>
      </c>
      <c r="I70" s="62">
        <v>9</v>
      </c>
      <c r="J70" s="63">
        <v>3</v>
      </c>
      <c r="K70" s="95">
        <v>45946</v>
      </c>
      <c r="L70" s="44">
        <v>10</v>
      </c>
      <c r="M70" s="44">
        <v>11</v>
      </c>
      <c r="N70" s="44">
        <v>5</v>
      </c>
      <c r="P70" s="44">
        <v>26</v>
      </c>
      <c r="Q70" s="44">
        <v>26</v>
      </c>
      <c r="R70" s="44">
        <v>26</v>
      </c>
    </row>
    <row r="71" spans="1:18" x14ac:dyDescent="0.35">
      <c r="A71" s="62" t="s">
        <v>33</v>
      </c>
      <c r="B71" s="62" t="s">
        <v>35</v>
      </c>
      <c r="C71" s="62">
        <v>1</v>
      </c>
      <c r="D71" s="62">
        <v>3</v>
      </c>
      <c r="E71" s="62">
        <v>4</v>
      </c>
      <c r="F71" s="62">
        <v>14</v>
      </c>
      <c r="G71" s="62">
        <v>36</v>
      </c>
      <c r="H71" s="62">
        <v>304</v>
      </c>
      <c r="I71" s="62">
        <v>9</v>
      </c>
      <c r="J71" s="63">
        <v>3</v>
      </c>
      <c r="K71" s="95">
        <v>45946</v>
      </c>
      <c r="L71" s="44">
        <v>17</v>
      </c>
      <c r="M71" s="44">
        <v>10</v>
      </c>
      <c r="N71" s="44">
        <v>12</v>
      </c>
      <c r="P71" s="44">
        <v>27.7</v>
      </c>
      <c r="Q71" s="44">
        <v>23.6</v>
      </c>
      <c r="R71" s="44">
        <v>27.5</v>
      </c>
    </row>
    <row r="72" spans="1:18" x14ac:dyDescent="0.35">
      <c r="A72" s="62" t="s">
        <v>33</v>
      </c>
      <c r="B72" s="62" t="s">
        <v>30</v>
      </c>
      <c r="C72" s="62">
        <v>1</v>
      </c>
      <c r="D72" s="62">
        <v>2</v>
      </c>
      <c r="E72" s="62">
        <v>4</v>
      </c>
      <c r="F72" s="62">
        <v>15</v>
      </c>
      <c r="G72" s="62">
        <v>29</v>
      </c>
      <c r="H72" s="62">
        <v>204</v>
      </c>
      <c r="I72" s="62">
        <v>9</v>
      </c>
      <c r="J72" s="63">
        <v>3</v>
      </c>
      <c r="K72" s="95">
        <v>45946</v>
      </c>
      <c r="L72" s="44">
        <v>7</v>
      </c>
      <c r="M72" s="44">
        <v>7</v>
      </c>
      <c r="N72" s="44">
        <v>7</v>
      </c>
      <c r="P72" s="44">
        <v>25.5</v>
      </c>
      <c r="Q72" s="44">
        <v>24</v>
      </c>
      <c r="R72" s="44">
        <v>22.2</v>
      </c>
    </row>
    <row r="73" spans="1:18" x14ac:dyDescent="0.35">
      <c r="A73" s="62" t="s">
        <v>33</v>
      </c>
      <c r="B73" s="62" t="s">
        <v>34</v>
      </c>
      <c r="C73" s="62">
        <v>1</v>
      </c>
      <c r="D73" s="62">
        <v>1</v>
      </c>
      <c r="E73" s="62">
        <v>4</v>
      </c>
      <c r="F73" s="62">
        <v>16</v>
      </c>
      <c r="G73" s="62">
        <v>4</v>
      </c>
      <c r="H73" s="62">
        <v>104</v>
      </c>
      <c r="I73" s="62">
        <v>9</v>
      </c>
      <c r="J73" s="63">
        <v>3</v>
      </c>
      <c r="K73" s="95">
        <v>45946</v>
      </c>
      <c r="L73" s="44">
        <v>15</v>
      </c>
      <c r="M73" s="44">
        <v>14</v>
      </c>
      <c r="N73" s="44">
        <v>14</v>
      </c>
      <c r="P73" s="44">
        <v>26</v>
      </c>
      <c r="Q73" s="44">
        <v>28.3</v>
      </c>
      <c r="R73" s="44">
        <v>27.4</v>
      </c>
    </row>
    <row r="74" spans="1:18" x14ac:dyDescent="0.35">
      <c r="A74" s="62" t="s">
        <v>28</v>
      </c>
      <c r="B74" s="62" t="s">
        <v>31</v>
      </c>
      <c r="C74" s="62">
        <v>2</v>
      </c>
      <c r="D74" s="62">
        <v>1</v>
      </c>
      <c r="E74" s="62">
        <v>6</v>
      </c>
      <c r="F74" s="62">
        <v>24</v>
      </c>
      <c r="G74" s="62">
        <v>6</v>
      </c>
      <c r="H74" s="62">
        <v>106</v>
      </c>
      <c r="I74" s="62">
        <v>9</v>
      </c>
      <c r="J74" s="63">
        <v>3</v>
      </c>
      <c r="K74" s="95">
        <v>45889</v>
      </c>
      <c r="L74" s="44">
        <v>14</v>
      </c>
      <c r="M74" s="44">
        <v>12</v>
      </c>
      <c r="N74" s="44">
        <v>13</v>
      </c>
      <c r="P74" s="44">
        <v>24.5</v>
      </c>
      <c r="Q74" s="44">
        <v>23.4</v>
      </c>
      <c r="R74" s="44">
        <v>23.1</v>
      </c>
    </row>
    <row r="75" spans="1:18" x14ac:dyDescent="0.35">
      <c r="A75" s="62" t="s">
        <v>28</v>
      </c>
      <c r="B75" s="62" t="s">
        <v>32</v>
      </c>
      <c r="C75" s="62">
        <v>2</v>
      </c>
      <c r="D75" s="62">
        <v>2</v>
      </c>
      <c r="E75" s="62">
        <v>6</v>
      </c>
      <c r="F75" s="62">
        <v>23</v>
      </c>
      <c r="G75" s="62">
        <v>27</v>
      </c>
      <c r="H75" s="62">
        <v>206</v>
      </c>
      <c r="I75" s="62">
        <v>9</v>
      </c>
      <c r="J75" s="63">
        <v>3</v>
      </c>
      <c r="K75" s="95">
        <v>45889</v>
      </c>
      <c r="L75" s="44">
        <v>7</v>
      </c>
      <c r="M75" s="44">
        <v>6</v>
      </c>
      <c r="N75" s="44">
        <v>7</v>
      </c>
      <c r="P75" s="44">
        <v>18.5</v>
      </c>
      <c r="Q75" s="44">
        <v>17</v>
      </c>
      <c r="R75" s="44">
        <v>16.5</v>
      </c>
    </row>
    <row r="76" spans="1:18" x14ac:dyDescent="0.35">
      <c r="A76" s="62" t="s">
        <v>28</v>
      </c>
      <c r="B76" s="62" t="s">
        <v>30</v>
      </c>
      <c r="C76" s="62">
        <v>2</v>
      </c>
      <c r="D76" s="62">
        <v>3</v>
      </c>
      <c r="E76" s="62">
        <v>6</v>
      </c>
      <c r="F76" s="62">
        <v>22</v>
      </c>
      <c r="G76" s="62">
        <v>38</v>
      </c>
      <c r="H76" s="62">
        <v>306</v>
      </c>
      <c r="I76" s="62">
        <v>9</v>
      </c>
      <c r="J76" s="63">
        <v>3</v>
      </c>
      <c r="K76" s="95">
        <v>45889</v>
      </c>
      <c r="L76" s="44">
        <v>10</v>
      </c>
      <c r="M76" s="44">
        <v>12</v>
      </c>
      <c r="N76" s="44">
        <v>13</v>
      </c>
      <c r="P76" s="44">
        <v>18.3</v>
      </c>
      <c r="Q76" s="44">
        <v>19.600000000000001</v>
      </c>
      <c r="R76" s="44">
        <v>21.6</v>
      </c>
    </row>
    <row r="77" spans="1:18" x14ac:dyDescent="0.35">
      <c r="A77" s="62" t="s">
        <v>28</v>
      </c>
      <c r="B77" s="62" t="s">
        <v>29</v>
      </c>
      <c r="C77" s="62">
        <v>2</v>
      </c>
      <c r="D77" s="62">
        <v>4</v>
      </c>
      <c r="E77" s="62">
        <v>6</v>
      </c>
      <c r="F77" s="62">
        <v>21</v>
      </c>
      <c r="G77" s="62">
        <v>59</v>
      </c>
      <c r="H77" s="62">
        <v>406</v>
      </c>
      <c r="I77" s="62">
        <v>9</v>
      </c>
      <c r="J77" s="63">
        <v>3</v>
      </c>
      <c r="K77" s="95">
        <v>45889</v>
      </c>
      <c r="L77" s="44">
        <v>13</v>
      </c>
      <c r="M77" s="44">
        <v>12</v>
      </c>
      <c r="N77" s="44">
        <v>14</v>
      </c>
      <c r="P77" s="44">
        <v>21.9</v>
      </c>
      <c r="Q77" s="44">
        <v>22.4</v>
      </c>
      <c r="R77" s="44">
        <v>20.5</v>
      </c>
    </row>
    <row r="78" spans="1:18" x14ac:dyDescent="0.35">
      <c r="A78" s="62" t="s">
        <v>33</v>
      </c>
      <c r="B78" s="62" t="s">
        <v>34</v>
      </c>
      <c r="C78" s="62">
        <v>2</v>
      </c>
      <c r="D78" s="62">
        <v>4</v>
      </c>
      <c r="E78" s="62">
        <v>8</v>
      </c>
      <c r="F78" s="62">
        <v>29</v>
      </c>
      <c r="G78" s="62">
        <v>57</v>
      </c>
      <c r="H78" s="62">
        <v>408</v>
      </c>
      <c r="I78" s="62">
        <v>9</v>
      </c>
      <c r="J78" s="63">
        <v>3</v>
      </c>
      <c r="K78" s="95">
        <v>45946</v>
      </c>
      <c r="L78" s="44">
        <v>13</v>
      </c>
      <c r="M78" s="44">
        <v>14</v>
      </c>
      <c r="N78" s="44">
        <v>11</v>
      </c>
      <c r="P78" s="44">
        <v>25</v>
      </c>
      <c r="Q78" s="44">
        <v>29.2</v>
      </c>
      <c r="R78" s="44">
        <v>24.1</v>
      </c>
    </row>
    <row r="79" spans="1:18" x14ac:dyDescent="0.35">
      <c r="A79" s="62" t="s">
        <v>33</v>
      </c>
      <c r="B79" s="62" t="s">
        <v>30</v>
      </c>
      <c r="C79" s="62">
        <v>2</v>
      </c>
      <c r="D79" s="62">
        <v>3</v>
      </c>
      <c r="E79" s="62">
        <v>8</v>
      </c>
      <c r="F79" s="62">
        <v>30</v>
      </c>
      <c r="G79" s="62">
        <v>40</v>
      </c>
      <c r="H79" s="62">
        <v>308</v>
      </c>
      <c r="I79" s="62">
        <v>9</v>
      </c>
      <c r="J79" s="63">
        <v>3</v>
      </c>
      <c r="K79" s="95">
        <v>45946</v>
      </c>
      <c r="L79" s="44">
        <v>7</v>
      </c>
      <c r="M79" s="44">
        <v>8</v>
      </c>
      <c r="N79" s="44">
        <v>7</v>
      </c>
      <c r="P79" s="44">
        <v>23.5</v>
      </c>
      <c r="Q79" s="44">
        <v>23</v>
      </c>
      <c r="R79" s="44">
        <v>22.5</v>
      </c>
    </row>
    <row r="80" spans="1:18" x14ac:dyDescent="0.35">
      <c r="A80" s="62" t="s">
        <v>33</v>
      </c>
      <c r="B80" s="62" t="s">
        <v>29</v>
      </c>
      <c r="C80" s="62">
        <v>2</v>
      </c>
      <c r="D80" s="62">
        <v>2</v>
      </c>
      <c r="E80" s="62">
        <v>8</v>
      </c>
      <c r="F80" s="62">
        <v>31</v>
      </c>
      <c r="G80" s="62">
        <v>25</v>
      </c>
      <c r="H80" s="62">
        <v>208</v>
      </c>
      <c r="I80" s="62">
        <v>9</v>
      </c>
      <c r="J80" s="63">
        <v>3</v>
      </c>
      <c r="K80" s="95">
        <v>45946</v>
      </c>
      <c r="L80" s="44">
        <v>7</v>
      </c>
      <c r="M80" s="44">
        <v>11</v>
      </c>
      <c r="N80" s="44">
        <v>5</v>
      </c>
      <c r="P80" s="44">
        <v>22</v>
      </c>
      <c r="Q80" s="44">
        <v>23</v>
      </c>
      <c r="R80" s="44">
        <v>24</v>
      </c>
    </row>
    <row r="81" spans="1:18" x14ac:dyDescent="0.35">
      <c r="A81" s="62" t="s">
        <v>33</v>
      </c>
      <c r="B81" s="62" t="s">
        <v>35</v>
      </c>
      <c r="C81" s="62">
        <v>2</v>
      </c>
      <c r="D81" s="62">
        <v>1</v>
      </c>
      <c r="E81" s="62">
        <v>8</v>
      </c>
      <c r="F81" s="62">
        <v>32</v>
      </c>
      <c r="G81" s="62">
        <v>8</v>
      </c>
      <c r="H81" s="62">
        <v>108</v>
      </c>
      <c r="I81" s="62">
        <v>9</v>
      </c>
      <c r="J81" s="63">
        <v>3</v>
      </c>
      <c r="K81" s="95">
        <v>45946</v>
      </c>
      <c r="L81" s="44">
        <v>11</v>
      </c>
      <c r="M81" s="44">
        <v>15</v>
      </c>
      <c r="N81" s="44">
        <v>12</v>
      </c>
      <c r="P81" s="44">
        <v>30.5</v>
      </c>
      <c r="Q81" s="44">
        <v>35</v>
      </c>
      <c r="R81" s="44">
        <v>28.2</v>
      </c>
    </row>
    <row r="82" spans="1:18" x14ac:dyDescent="0.35">
      <c r="A82" s="62" t="s">
        <v>28</v>
      </c>
      <c r="B82" s="62" t="s">
        <v>32</v>
      </c>
      <c r="C82" s="62">
        <v>3</v>
      </c>
      <c r="D82" s="62">
        <v>1</v>
      </c>
      <c r="E82" s="62">
        <v>10</v>
      </c>
      <c r="F82" s="62">
        <v>40</v>
      </c>
      <c r="G82" s="62">
        <v>10</v>
      </c>
      <c r="H82" s="62">
        <v>110</v>
      </c>
      <c r="I82" s="62">
        <v>9</v>
      </c>
      <c r="J82" s="63">
        <v>3</v>
      </c>
      <c r="K82" s="95">
        <v>45889</v>
      </c>
      <c r="L82" s="44">
        <v>9</v>
      </c>
      <c r="M82" s="44">
        <v>7</v>
      </c>
      <c r="N82" s="44">
        <v>7</v>
      </c>
      <c r="P82" s="44">
        <v>18.5</v>
      </c>
      <c r="Q82" s="44">
        <v>15.4</v>
      </c>
      <c r="R82" s="44">
        <v>17.2</v>
      </c>
    </row>
    <row r="83" spans="1:18" x14ac:dyDescent="0.35">
      <c r="A83" s="62" t="s">
        <v>28</v>
      </c>
      <c r="B83" s="62" t="s">
        <v>31</v>
      </c>
      <c r="C83" s="62">
        <v>3</v>
      </c>
      <c r="D83" s="62">
        <v>2</v>
      </c>
      <c r="E83" s="62">
        <v>10</v>
      </c>
      <c r="F83" s="62">
        <v>39</v>
      </c>
      <c r="G83" s="62">
        <v>23</v>
      </c>
      <c r="H83" s="62">
        <v>210</v>
      </c>
      <c r="I83" s="62">
        <v>9</v>
      </c>
      <c r="J83" s="63">
        <v>3</v>
      </c>
      <c r="K83" s="95">
        <v>45889</v>
      </c>
      <c r="L83" s="44">
        <v>12</v>
      </c>
      <c r="M83" s="44">
        <v>13</v>
      </c>
      <c r="N83" s="44">
        <v>13</v>
      </c>
      <c r="P83" s="44">
        <v>26</v>
      </c>
      <c r="Q83" s="44">
        <v>24.5</v>
      </c>
      <c r="R83" s="44">
        <v>24.7</v>
      </c>
    </row>
    <row r="84" spans="1:18" x14ac:dyDescent="0.35">
      <c r="A84" s="62" t="s">
        <v>28</v>
      </c>
      <c r="B84" s="62" t="s">
        <v>29</v>
      </c>
      <c r="C84" s="62">
        <v>3</v>
      </c>
      <c r="D84" s="62">
        <v>3</v>
      </c>
      <c r="E84" s="62">
        <v>10</v>
      </c>
      <c r="F84" s="62">
        <v>38</v>
      </c>
      <c r="G84" s="62">
        <v>42</v>
      </c>
      <c r="H84" s="62">
        <v>310</v>
      </c>
      <c r="I84" s="62">
        <v>9</v>
      </c>
      <c r="J84" s="63">
        <v>3</v>
      </c>
      <c r="K84" s="95">
        <v>45889</v>
      </c>
      <c r="L84" s="44">
        <v>10</v>
      </c>
      <c r="M84" s="44">
        <v>13</v>
      </c>
      <c r="N84" s="44">
        <v>14</v>
      </c>
      <c r="P84" s="44">
        <v>18.3</v>
      </c>
      <c r="Q84" s="44">
        <v>22</v>
      </c>
      <c r="R84" s="44">
        <v>20.7</v>
      </c>
    </row>
    <row r="85" spans="1:18" x14ac:dyDescent="0.35">
      <c r="A85" s="62" t="s">
        <v>28</v>
      </c>
      <c r="B85" s="62" t="s">
        <v>30</v>
      </c>
      <c r="C85" s="62">
        <v>3</v>
      </c>
      <c r="D85" s="62">
        <v>4</v>
      </c>
      <c r="E85" s="62">
        <v>10</v>
      </c>
      <c r="F85" s="62">
        <v>37</v>
      </c>
      <c r="G85" s="62">
        <v>55</v>
      </c>
      <c r="H85" s="62">
        <v>410</v>
      </c>
      <c r="I85" s="62">
        <v>9</v>
      </c>
      <c r="J85" s="63">
        <v>3</v>
      </c>
      <c r="K85" s="95">
        <v>45889</v>
      </c>
      <c r="L85" s="44">
        <v>12</v>
      </c>
      <c r="M85" s="44">
        <v>12</v>
      </c>
      <c r="N85" s="44">
        <v>15</v>
      </c>
      <c r="P85" s="44">
        <v>20</v>
      </c>
      <c r="Q85" s="44">
        <v>19.7</v>
      </c>
      <c r="R85" s="44">
        <v>24.5</v>
      </c>
    </row>
    <row r="86" spans="1:18" x14ac:dyDescent="0.35">
      <c r="A86" s="62" t="s">
        <v>33</v>
      </c>
      <c r="B86" s="62" t="s">
        <v>30</v>
      </c>
      <c r="C86" s="62">
        <v>3</v>
      </c>
      <c r="D86" s="62">
        <v>4</v>
      </c>
      <c r="E86" s="62">
        <v>12</v>
      </c>
      <c r="F86" s="62">
        <v>45</v>
      </c>
      <c r="G86" s="62">
        <v>53</v>
      </c>
      <c r="H86" s="62">
        <v>412</v>
      </c>
      <c r="I86" s="62">
        <v>9</v>
      </c>
      <c r="J86" s="63">
        <v>3</v>
      </c>
      <c r="K86" s="95">
        <v>45946</v>
      </c>
      <c r="L86" s="44">
        <v>8</v>
      </c>
      <c r="M86" s="44">
        <v>7</v>
      </c>
      <c r="N86" s="44">
        <v>7</v>
      </c>
      <c r="P86" s="44">
        <v>16.399999999999999</v>
      </c>
      <c r="Q86" s="44">
        <v>27.3</v>
      </c>
      <c r="R86" s="44">
        <v>27.2</v>
      </c>
    </row>
    <row r="87" spans="1:18" x14ac:dyDescent="0.35">
      <c r="A87" s="62" t="s">
        <v>33</v>
      </c>
      <c r="B87" s="62" t="s">
        <v>34</v>
      </c>
      <c r="C87" s="62">
        <v>3</v>
      </c>
      <c r="D87" s="62">
        <v>3</v>
      </c>
      <c r="E87" s="62">
        <v>12</v>
      </c>
      <c r="F87" s="62">
        <v>46</v>
      </c>
      <c r="G87" s="62">
        <v>44</v>
      </c>
      <c r="H87" s="62">
        <v>312</v>
      </c>
      <c r="I87" s="62">
        <v>9</v>
      </c>
      <c r="J87" s="63">
        <v>3</v>
      </c>
      <c r="K87" s="95">
        <v>45946</v>
      </c>
      <c r="L87" s="44">
        <v>13</v>
      </c>
      <c r="M87" s="44">
        <v>12</v>
      </c>
      <c r="N87" s="44">
        <v>14</v>
      </c>
      <c r="P87" s="44">
        <v>27.2</v>
      </c>
      <c r="Q87" s="44">
        <v>26.5</v>
      </c>
      <c r="R87" s="44">
        <v>25</v>
      </c>
    </row>
    <row r="88" spans="1:18" x14ac:dyDescent="0.35">
      <c r="A88" s="62" t="s">
        <v>33</v>
      </c>
      <c r="B88" s="62" t="s">
        <v>35</v>
      </c>
      <c r="C88" s="62">
        <v>3</v>
      </c>
      <c r="D88" s="62">
        <v>2</v>
      </c>
      <c r="E88" s="62">
        <v>12</v>
      </c>
      <c r="F88" s="62">
        <v>47</v>
      </c>
      <c r="G88" s="62">
        <v>21</v>
      </c>
      <c r="H88" s="62">
        <v>212</v>
      </c>
      <c r="I88" s="62">
        <v>9</v>
      </c>
      <c r="J88" s="63">
        <v>3</v>
      </c>
      <c r="K88" s="95">
        <v>45946</v>
      </c>
      <c r="L88" s="44">
        <v>11</v>
      </c>
      <c r="M88" s="44">
        <v>9</v>
      </c>
      <c r="N88" s="44">
        <v>10</v>
      </c>
      <c r="P88" s="44">
        <v>32.4</v>
      </c>
      <c r="Q88" s="44">
        <v>30.5</v>
      </c>
      <c r="R88" s="44">
        <v>30.7</v>
      </c>
    </row>
    <row r="89" spans="1:18" x14ac:dyDescent="0.35">
      <c r="A89" s="62" t="s">
        <v>33</v>
      </c>
      <c r="B89" s="62" t="s">
        <v>29</v>
      </c>
      <c r="C89" s="62">
        <v>3</v>
      </c>
      <c r="D89" s="62">
        <v>1</v>
      </c>
      <c r="E89" s="62">
        <v>12</v>
      </c>
      <c r="F89" s="62">
        <v>48</v>
      </c>
      <c r="G89" s="62">
        <v>12</v>
      </c>
      <c r="H89" s="62">
        <v>112</v>
      </c>
      <c r="I89" s="62">
        <v>9</v>
      </c>
      <c r="J89" s="63">
        <v>3</v>
      </c>
      <c r="K89" s="95">
        <v>45946</v>
      </c>
      <c r="L89" s="44">
        <v>14</v>
      </c>
      <c r="M89" s="44">
        <v>10</v>
      </c>
      <c r="N89" s="44">
        <v>10</v>
      </c>
      <c r="P89" s="44">
        <v>26</v>
      </c>
      <c r="Q89" s="44">
        <v>26</v>
      </c>
      <c r="R89" s="44">
        <v>22.3</v>
      </c>
    </row>
    <row r="90" spans="1:18" x14ac:dyDescent="0.35">
      <c r="A90" s="62" t="s">
        <v>28</v>
      </c>
      <c r="B90" s="62" t="s">
        <v>30</v>
      </c>
      <c r="C90" s="62">
        <v>4</v>
      </c>
      <c r="D90" s="62">
        <v>1</v>
      </c>
      <c r="E90" s="62">
        <v>14</v>
      </c>
      <c r="F90" s="62">
        <v>56</v>
      </c>
      <c r="G90" s="62">
        <v>14</v>
      </c>
      <c r="H90" s="62">
        <v>114</v>
      </c>
      <c r="I90" s="62">
        <v>9</v>
      </c>
      <c r="J90" s="63">
        <v>3</v>
      </c>
      <c r="K90" s="95">
        <v>45889</v>
      </c>
      <c r="L90" s="44">
        <v>12</v>
      </c>
      <c r="M90" s="44">
        <v>14</v>
      </c>
      <c r="N90" s="44">
        <v>14</v>
      </c>
      <c r="P90" s="44">
        <v>23.8</v>
      </c>
      <c r="Q90" s="44">
        <v>25</v>
      </c>
      <c r="R90" s="44">
        <v>23.7</v>
      </c>
    </row>
    <row r="91" spans="1:18" x14ac:dyDescent="0.35">
      <c r="A91" s="62" t="s">
        <v>28</v>
      </c>
      <c r="B91" s="62" t="s">
        <v>29</v>
      </c>
      <c r="C91" s="62">
        <v>4</v>
      </c>
      <c r="D91" s="62">
        <v>2</v>
      </c>
      <c r="E91" s="62">
        <v>14</v>
      </c>
      <c r="F91" s="62">
        <v>55</v>
      </c>
      <c r="G91" s="62">
        <v>19</v>
      </c>
      <c r="H91" s="62">
        <v>214</v>
      </c>
      <c r="I91" s="62">
        <v>9</v>
      </c>
      <c r="J91" s="63">
        <v>3</v>
      </c>
      <c r="K91" s="95">
        <v>45889</v>
      </c>
      <c r="L91" s="44">
        <v>15</v>
      </c>
      <c r="M91" s="44">
        <v>15</v>
      </c>
      <c r="N91" s="44">
        <v>12</v>
      </c>
      <c r="P91" s="44">
        <v>24.6</v>
      </c>
      <c r="Q91" s="44">
        <v>23.7</v>
      </c>
      <c r="R91" s="44">
        <v>22.5</v>
      </c>
    </row>
    <row r="92" spans="1:18" x14ac:dyDescent="0.35">
      <c r="A92" s="62" t="s">
        <v>28</v>
      </c>
      <c r="B92" s="62" t="s">
        <v>32</v>
      </c>
      <c r="C92" s="62">
        <v>4</v>
      </c>
      <c r="D92" s="62">
        <v>3</v>
      </c>
      <c r="E92" s="62">
        <v>14</v>
      </c>
      <c r="F92" s="62">
        <v>54</v>
      </c>
      <c r="G92" s="62">
        <v>46</v>
      </c>
      <c r="H92" s="62">
        <v>314</v>
      </c>
      <c r="I92" s="62">
        <v>9</v>
      </c>
      <c r="J92" s="63">
        <v>3</v>
      </c>
      <c r="K92" s="95">
        <v>45889</v>
      </c>
      <c r="L92" s="44">
        <v>7</v>
      </c>
      <c r="M92" s="44">
        <v>7</v>
      </c>
      <c r="N92" s="44">
        <v>7</v>
      </c>
      <c r="P92" s="44">
        <v>16.8</v>
      </c>
      <c r="Q92" s="44">
        <v>15.7</v>
      </c>
      <c r="R92" s="44">
        <v>15.4</v>
      </c>
    </row>
    <row r="93" spans="1:18" x14ac:dyDescent="0.35">
      <c r="A93" s="62" t="s">
        <v>28</v>
      </c>
      <c r="B93" s="62" t="s">
        <v>31</v>
      </c>
      <c r="C93" s="62">
        <v>4</v>
      </c>
      <c r="D93" s="62">
        <v>4</v>
      </c>
      <c r="E93" s="62">
        <v>14</v>
      </c>
      <c r="F93" s="62">
        <v>53</v>
      </c>
      <c r="G93" s="62">
        <v>51</v>
      </c>
      <c r="H93" s="62">
        <v>414</v>
      </c>
      <c r="I93" s="62">
        <v>9</v>
      </c>
      <c r="J93" s="63">
        <v>3</v>
      </c>
      <c r="K93" s="95">
        <v>45889</v>
      </c>
      <c r="L93" s="44">
        <v>13</v>
      </c>
      <c r="M93" s="65">
        <v>12</v>
      </c>
      <c r="N93">
        <v>11</v>
      </c>
      <c r="P93" s="44">
        <v>23.7</v>
      </c>
      <c r="Q93">
        <v>22</v>
      </c>
      <c r="R93">
        <v>21.6</v>
      </c>
    </row>
    <row r="94" spans="1:18" x14ac:dyDescent="0.35">
      <c r="A94" s="62" t="s">
        <v>33</v>
      </c>
      <c r="B94" s="62" t="s">
        <v>35</v>
      </c>
      <c r="C94" s="62">
        <v>4</v>
      </c>
      <c r="D94" s="62">
        <v>4</v>
      </c>
      <c r="E94" s="62">
        <v>16</v>
      </c>
      <c r="F94" s="62">
        <v>60</v>
      </c>
      <c r="G94" s="62">
        <v>50</v>
      </c>
      <c r="H94" s="62">
        <v>416</v>
      </c>
      <c r="I94" s="62">
        <v>9</v>
      </c>
      <c r="J94" s="63">
        <v>3</v>
      </c>
      <c r="K94" s="95">
        <v>45946</v>
      </c>
      <c r="L94" s="44">
        <v>11</v>
      </c>
      <c r="M94" s="44">
        <v>14</v>
      </c>
      <c r="N94" s="44">
        <v>7</v>
      </c>
      <c r="P94" s="44">
        <v>29.4</v>
      </c>
      <c r="Q94" s="44">
        <v>31.4</v>
      </c>
      <c r="R94" s="44">
        <v>20.5</v>
      </c>
    </row>
    <row r="95" spans="1:18" x14ac:dyDescent="0.35">
      <c r="A95" s="62" t="s">
        <v>33</v>
      </c>
      <c r="B95" s="62" t="s">
        <v>29</v>
      </c>
      <c r="C95" s="62">
        <v>4</v>
      </c>
      <c r="D95" s="62">
        <v>3</v>
      </c>
      <c r="E95" s="62">
        <v>16</v>
      </c>
      <c r="F95" s="62">
        <v>62</v>
      </c>
      <c r="G95" s="62">
        <v>48</v>
      </c>
      <c r="H95" s="62">
        <v>316</v>
      </c>
      <c r="I95" s="62">
        <v>9</v>
      </c>
      <c r="J95" s="63">
        <v>3</v>
      </c>
      <c r="K95" s="95">
        <v>45946</v>
      </c>
      <c r="L95" s="44">
        <v>11</v>
      </c>
      <c r="M95" s="44">
        <v>11</v>
      </c>
      <c r="N95" s="44">
        <v>10</v>
      </c>
      <c r="P95" s="44">
        <v>26</v>
      </c>
      <c r="Q95" s="44">
        <v>23.6</v>
      </c>
      <c r="R95" s="44">
        <v>23.5</v>
      </c>
    </row>
    <row r="96" spans="1:18" x14ac:dyDescent="0.35">
      <c r="A96" s="62" t="s">
        <v>33</v>
      </c>
      <c r="B96" s="62" t="s">
        <v>34</v>
      </c>
      <c r="C96" s="62">
        <v>4</v>
      </c>
      <c r="D96" s="62">
        <v>2</v>
      </c>
      <c r="E96" s="62">
        <v>16</v>
      </c>
      <c r="F96" s="62">
        <v>58</v>
      </c>
      <c r="G96" s="62">
        <v>18</v>
      </c>
      <c r="H96" s="62">
        <v>216</v>
      </c>
      <c r="I96" s="62">
        <v>9</v>
      </c>
      <c r="J96" s="63">
        <v>3</v>
      </c>
      <c r="K96" s="95">
        <v>45946</v>
      </c>
      <c r="L96" s="44">
        <v>12</v>
      </c>
      <c r="M96" s="44">
        <v>12</v>
      </c>
      <c r="N96" s="44">
        <v>12</v>
      </c>
      <c r="P96" s="44">
        <v>23.4</v>
      </c>
      <c r="Q96" s="44">
        <v>26.1</v>
      </c>
      <c r="R96" s="44">
        <v>27.6</v>
      </c>
    </row>
    <row r="97" spans="1:18" x14ac:dyDescent="0.35">
      <c r="A97" s="62" t="s">
        <v>33</v>
      </c>
      <c r="B97" s="62" t="s">
        <v>30</v>
      </c>
      <c r="C97" s="62">
        <v>4</v>
      </c>
      <c r="D97" s="62">
        <v>1</v>
      </c>
      <c r="E97" s="62">
        <v>16</v>
      </c>
      <c r="F97" s="62">
        <v>64</v>
      </c>
      <c r="G97" s="62">
        <v>16</v>
      </c>
      <c r="H97" s="62">
        <v>116</v>
      </c>
      <c r="I97" s="62">
        <v>9</v>
      </c>
      <c r="J97" s="63">
        <v>3</v>
      </c>
      <c r="K97" s="95">
        <v>45946</v>
      </c>
      <c r="L97" s="44">
        <v>10</v>
      </c>
      <c r="M97" s="44">
        <v>10</v>
      </c>
      <c r="N97" s="44">
        <v>10</v>
      </c>
      <c r="P97" s="44">
        <v>25.2</v>
      </c>
      <c r="Q97" s="44">
        <v>26.2</v>
      </c>
      <c r="R97" s="44">
        <v>22.4</v>
      </c>
    </row>
    <row r="98" spans="1:18" x14ac:dyDescent="0.35">
      <c r="A98" s="62" t="s">
        <v>28</v>
      </c>
      <c r="B98" s="62" t="s">
        <v>29</v>
      </c>
      <c r="C98" s="62">
        <v>1</v>
      </c>
      <c r="D98" s="62">
        <v>1</v>
      </c>
      <c r="E98" s="62">
        <v>2</v>
      </c>
      <c r="F98" s="62">
        <v>8</v>
      </c>
      <c r="G98" s="62">
        <v>2</v>
      </c>
      <c r="H98" s="62">
        <v>102</v>
      </c>
      <c r="I98" s="62" t="s">
        <v>451</v>
      </c>
      <c r="J98" s="63">
        <v>4</v>
      </c>
      <c r="K98" s="95">
        <v>45947</v>
      </c>
      <c r="L98" s="126">
        <v>16</v>
      </c>
      <c r="M98" s="44">
        <v>14</v>
      </c>
      <c r="N98" s="44">
        <v>13</v>
      </c>
      <c r="P98" s="44">
        <v>19.7</v>
      </c>
      <c r="Q98" s="44">
        <v>25.6</v>
      </c>
      <c r="R98" s="44">
        <v>21.4</v>
      </c>
    </row>
    <row r="99" spans="1:18" x14ac:dyDescent="0.35">
      <c r="A99" s="62" t="s">
        <v>28</v>
      </c>
      <c r="B99" s="62" t="s">
        <v>30</v>
      </c>
      <c r="C99" s="62">
        <v>1</v>
      </c>
      <c r="D99" s="62">
        <v>2</v>
      </c>
      <c r="E99" s="62">
        <v>2</v>
      </c>
      <c r="F99" s="62">
        <v>7</v>
      </c>
      <c r="G99" s="62">
        <v>31</v>
      </c>
      <c r="H99" s="62">
        <v>202</v>
      </c>
      <c r="I99" s="62" t="s">
        <v>451</v>
      </c>
      <c r="J99" s="63">
        <v>4</v>
      </c>
      <c r="K99" s="95">
        <v>45947</v>
      </c>
      <c r="L99" s="126">
        <v>15</v>
      </c>
      <c r="M99" s="44">
        <v>12</v>
      </c>
      <c r="N99" s="44">
        <v>17</v>
      </c>
      <c r="P99" s="44">
        <v>21</v>
      </c>
      <c r="Q99" s="44">
        <v>20.3</v>
      </c>
      <c r="R99" s="44">
        <v>21</v>
      </c>
    </row>
    <row r="100" spans="1:18" x14ac:dyDescent="0.35">
      <c r="A100" s="62" t="s">
        <v>28</v>
      </c>
      <c r="B100" s="62" t="s">
        <v>31</v>
      </c>
      <c r="C100" s="62">
        <v>1</v>
      </c>
      <c r="D100" s="62">
        <v>3</v>
      </c>
      <c r="E100" s="62">
        <v>2</v>
      </c>
      <c r="F100" s="62">
        <v>6</v>
      </c>
      <c r="G100" s="62">
        <v>34</v>
      </c>
      <c r="H100" s="62">
        <v>302</v>
      </c>
      <c r="I100" s="62" t="s">
        <v>451</v>
      </c>
      <c r="J100" s="63">
        <v>4</v>
      </c>
      <c r="K100" s="95">
        <v>45947</v>
      </c>
      <c r="L100" s="126">
        <v>14</v>
      </c>
      <c r="M100" s="44">
        <v>15</v>
      </c>
      <c r="N100" s="44">
        <v>18</v>
      </c>
      <c r="P100" s="44">
        <v>17.600000000000001</v>
      </c>
      <c r="Q100" s="44">
        <v>21.1</v>
      </c>
      <c r="R100" s="44">
        <v>24.2</v>
      </c>
    </row>
    <row r="101" spans="1:18" x14ac:dyDescent="0.35">
      <c r="A101" s="62" t="s">
        <v>28</v>
      </c>
      <c r="B101" s="62" t="s">
        <v>32</v>
      </c>
      <c r="C101" s="62">
        <v>1</v>
      </c>
      <c r="D101" s="62">
        <v>4</v>
      </c>
      <c r="E101" s="62">
        <v>2</v>
      </c>
      <c r="F101" s="62">
        <v>5</v>
      </c>
      <c r="G101" s="62">
        <v>63</v>
      </c>
      <c r="H101" s="62">
        <v>402</v>
      </c>
      <c r="I101" s="62" t="s">
        <v>451</v>
      </c>
      <c r="J101" s="63">
        <v>4</v>
      </c>
      <c r="K101" s="95">
        <v>45947</v>
      </c>
      <c r="L101" s="126">
        <v>16</v>
      </c>
      <c r="M101" s="44">
        <v>15</v>
      </c>
      <c r="N101" s="44">
        <v>15</v>
      </c>
      <c r="P101" s="44">
        <v>15.5</v>
      </c>
      <c r="Q101" s="44">
        <v>18.100000000000001</v>
      </c>
      <c r="R101" s="44">
        <v>16.399999999999999</v>
      </c>
    </row>
    <row r="102" spans="1:18" x14ac:dyDescent="0.35">
      <c r="A102" s="62" t="s">
        <v>33</v>
      </c>
      <c r="B102" s="62" t="s">
        <v>29</v>
      </c>
      <c r="C102" s="62">
        <v>1</v>
      </c>
      <c r="D102" s="62">
        <v>4</v>
      </c>
      <c r="E102" s="62">
        <v>4</v>
      </c>
      <c r="F102" s="62">
        <v>13</v>
      </c>
      <c r="G102" s="62">
        <v>61</v>
      </c>
      <c r="H102" s="62">
        <v>404</v>
      </c>
      <c r="I102" s="62" t="s">
        <v>451</v>
      </c>
      <c r="J102" s="63">
        <v>4</v>
      </c>
      <c r="K102" s="95">
        <v>45947</v>
      </c>
      <c r="L102" s="126">
        <v>14</v>
      </c>
      <c r="M102" s="44">
        <v>13</v>
      </c>
      <c r="N102" s="44">
        <v>17</v>
      </c>
      <c r="P102" s="44">
        <v>15.7</v>
      </c>
      <c r="Q102" s="44">
        <v>24.5</v>
      </c>
      <c r="R102" s="44">
        <v>20.100000000000001</v>
      </c>
    </row>
    <row r="103" spans="1:18" x14ac:dyDescent="0.35">
      <c r="A103" s="62" t="s">
        <v>33</v>
      </c>
      <c r="B103" s="62" t="s">
        <v>35</v>
      </c>
      <c r="C103" s="62">
        <v>1</v>
      </c>
      <c r="D103" s="62">
        <v>3</v>
      </c>
      <c r="E103" s="62">
        <v>4</v>
      </c>
      <c r="F103" s="62">
        <v>14</v>
      </c>
      <c r="G103" s="62">
        <v>36</v>
      </c>
      <c r="H103" s="62">
        <v>304</v>
      </c>
      <c r="I103" s="62" t="s">
        <v>451</v>
      </c>
      <c r="J103" s="63">
        <v>4</v>
      </c>
      <c r="K103" s="95">
        <v>45947</v>
      </c>
      <c r="L103" s="126">
        <v>13</v>
      </c>
      <c r="M103" s="44">
        <v>12</v>
      </c>
      <c r="N103" s="44">
        <v>13</v>
      </c>
      <c r="P103" s="44">
        <v>15.5</v>
      </c>
      <c r="Q103" s="44">
        <v>15.1</v>
      </c>
      <c r="R103" s="44">
        <v>15.5</v>
      </c>
    </row>
    <row r="104" spans="1:18" x14ac:dyDescent="0.35">
      <c r="A104" s="62" t="s">
        <v>33</v>
      </c>
      <c r="B104" s="62" t="s">
        <v>30</v>
      </c>
      <c r="C104" s="62">
        <v>1</v>
      </c>
      <c r="D104" s="62">
        <v>2</v>
      </c>
      <c r="E104" s="62">
        <v>4</v>
      </c>
      <c r="F104" s="62">
        <v>15</v>
      </c>
      <c r="G104" s="62">
        <v>29</v>
      </c>
      <c r="H104" s="62">
        <v>204</v>
      </c>
      <c r="I104" s="62" t="s">
        <v>451</v>
      </c>
      <c r="J104" s="63">
        <v>4</v>
      </c>
      <c r="K104" s="95">
        <v>45947</v>
      </c>
      <c r="L104" s="126">
        <v>12</v>
      </c>
      <c r="M104" s="44">
        <v>17</v>
      </c>
      <c r="N104" s="44">
        <v>12</v>
      </c>
      <c r="P104" s="44">
        <v>20.2</v>
      </c>
      <c r="Q104" s="44">
        <v>25.5</v>
      </c>
      <c r="R104" s="44">
        <v>17</v>
      </c>
    </row>
    <row r="105" spans="1:18" x14ac:dyDescent="0.35">
      <c r="A105" s="62" t="s">
        <v>33</v>
      </c>
      <c r="B105" s="62" t="s">
        <v>34</v>
      </c>
      <c r="C105" s="62">
        <v>1</v>
      </c>
      <c r="D105" s="62">
        <v>1</v>
      </c>
      <c r="E105" s="62">
        <v>4</v>
      </c>
      <c r="F105" s="62">
        <v>16</v>
      </c>
      <c r="G105" s="62">
        <v>4</v>
      </c>
      <c r="H105" s="62">
        <v>104</v>
      </c>
      <c r="I105" s="62" t="s">
        <v>451</v>
      </c>
      <c r="J105" s="63">
        <v>4</v>
      </c>
      <c r="K105" s="95">
        <v>45947</v>
      </c>
      <c r="L105" s="126">
        <v>19</v>
      </c>
      <c r="M105" s="44">
        <v>18</v>
      </c>
      <c r="N105" s="44">
        <v>18</v>
      </c>
      <c r="P105" s="44">
        <v>22.5</v>
      </c>
      <c r="Q105" s="44">
        <v>23.1</v>
      </c>
      <c r="R105" s="44">
        <v>21.8</v>
      </c>
    </row>
    <row r="106" spans="1:18" x14ac:dyDescent="0.35">
      <c r="A106" s="62" t="s">
        <v>28</v>
      </c>
      <c r="B106" s="62" t="s">
        <v>31</v>
      </c>
      <c r="C106" s="62">
        <v>2</v>
      </c>
      <c r="D106" s="62">
        <v>1</v>
      </c>
      <c r="E106" s="62">
        <v>6</v>
      </c>
      <c r="F106" s="62">
        <v>24</v>
      </c>
      <c r="G106" s="62">
        <v>6</v>
      </c>
      <c r="H106" s="62">
        <v>106</v>
      </c>
      <c r="I106" s="62" t="s">
        <v>451</v>
      </c>
      <c r="J106" s="63">
        <v>4</v>
      </c>
      <c r="K106" s="95">
        <v>45947</v>
      </c>
      <c r="L106" s="126">
        <v>18</v>
      </c>
      <c r="M106" s="44">
        <v>17</v>
      </c>
      <c r="N106" s="44">
        <v>19</v>
      </c>
      <c r="P106" s="44">
        <v>29.5</v>
      </c>
      <c r="Q106" s="44">
        <v>21.1</v>
      </c>
      <c r="R106" s="44">
        <v>27</v>
      </c>
    </row>
    <row r="107" spans="1:18" x14ac:dyDescent="0.35">
      <c r="A107" s="62" t="s">
        <v>28</v>
      </c>
      <c r="B107" s="62" t="s">
        <v>32</v>
      </c>
      <c r="C107" s="62">
        <v>2</v>
      </c>
      <c r="D107" s="62">
        <v>2</v>
      </c>
      <c r="E107" s="62">
        <v>6</v>
      </c>
      <c r="F107" s="62">
        <v>23</v>
      </c>
      <c r="G107" s="62">
        <v>27</v>
      </c>
      <c r="H107" s="62">
        <v>206</v>
      </c>
      <c r="I107" s="62" t="s">
        <v>451</v>
      </c>
      <c r="J107" s="63">
        <v>4</v>
      </c>
      <c r="K107" s="95">
        <v>45947</v>
      </c>
      <c r="L107" s="126">
        <v>14</v>
      </c>
      <c r="M107" s="44">
        <v>14</v>
      </c>
      <c r="N107" s="44">
        <v>13</v>
      </c>
      <c r="P107" s="44">
        <v>13</v>
      </c>
      <c r="Q107" s="44">
        <v>18.5</v>
      </c>
      <c r="R107" s="44">
        <v>14</v>
      </c>
    </row>
    <row r="108" spans="1:18" x14ac:dyDescent="0.35">
      <c r="A108" s="62" t="s">
        <v>28</v>
      </c>
      <c r="B108" s="62" t="s">
        <v>30</v>
      </c>
      <c r="C108" s="62">
        <v>2</v>
      </c>
      <c r="D108" s="62">
        <v>3</v>
      </c>
      <c r="E108" s="62">
        <v>6</v>
      </c>
      <c r="F108" s="62">
        <v>22</v>
      </c>
      <c r="G108" s="62">
        <v>38</v>
      </c>
      <c r="H108" s="62">
        <v>306</v>
      </c>
      <c r="I108" s="62" t="s">
        <v>451</v>
      </c>
      <c r="J108" s="63">
        <v>4</v>
      </c>
      <c r="K108" s="95">
        <v>45947</v>
      </c>
      <c r="L108" s="126">
        <v>14</v>
      </c>
      <c r="M108" s="44">
        <v>14</v>
      </c>
      <c r="N108" s="44">
        <v>14</v>
      </c>
      <c r="P108" s="44">
        <v>17.5</v>
      </c>
      <c r="Q108" s="44">
        <v>21.7</v>
      </c>
      <c r="R108" s="44">
        <v>21.6</v>
      </c>
    </row>
    <row r="109" spans="1:18" x14ac:dyDescent="0.35">
      <c r="A109" s="62" t="s">
        <v>28</v>
      </c>
      <c r="B109" s="62" t="s">
        <v>29</v>
      </c>
      <c r="C109" s="62">
        <v>2</v>
      </c>
      <c r="D109" s="62">
        <v>4</v>
      </c>
      <c r="E109" s="62">
        <v>6</v>
      </c>
      <c r="F109" s="62">
        <v>21</v>
      </c>
      <c r="G109" s="62">
        <v>59</v>
      </c>
      <c r="H109" s="62">
        <v>406</v>
      </c>
      <c r="I109" s="62" t="s">
        <v>451</v>
      </c>
      <c r="J109" s="63">
        <v>4</v>
      </c>
      <c r="K109" s="95">
        <v>45947</v>
      </c>
      <c r="L109" s="126">
        <v>15</v>
      </c>
      <c r="M109" s="44">
        <v>15</v>
      </c>
      <c r="N109" s="44">
        <v>15</v>
      </c>
      <c r="P109" s="44">
        <v>21.1</v>
      </c>
      <c r="Q109" s="44">
        <v>25</v>
      </c>
      <c r="R109" s="44">
        <v>24.7</v>
      </c>
    </row>
    <row r="110" spans="1:18" x14ac:dyDescent="0.35">
      <c r="A110" s="62" t="s">
        <v>33</v>
      </c>
      <c r="B110" s="62" t="s">
        <v>34</v>
      </c>
      <c r="C110" s="62">
        <v>2</v>
      </c>
      <c r="D110" s="62">
        <v>4</v>
      </c>
      <c r="E110" s="62">
        <v>8</v>
      </c>
      <c r="F110" s="62">
        <v>29</v>
      </c>
      <c r="G110" s="62">
        <v>57</v>
      </c>
      <c r="H110" s="62">
        <v>408</v>
      </c>
      <c r="I110" s="62" t="s">
        <v>451</v>
      </c>
      <c r="J110" s="63">
        <v>4</v>
      </c>
      <c r="K110" s="95">
        <v>45947</v>
      </c>
      <c r="L110" s="126">
        <v>16</v>
      </c>
      <c r="M110" s="44">
        <v>20</v>
      </c>
      <c r="N110" s="44">
        <v>18</v>
      </c>
      <c r="P110" s="44">
        <v>20.2</v>
      </c>
      <c r="Q110" s="44">
        <v>25.6</v>
      </c>
      <c r="R110" s="44">
        <v>19.7</v>
      </c>
    </row>
    <row r="111" spans="1:18" x14ac:dyDescent="0.35">
      <c r="A111" s="62" t="s">
        <v>33</v>
      </c>
      <c r="B111" s="62" t="s">
        <v>30</v>
      </c>
      <c r="C111" s="62">
        <v>2</v>
      </c>
      <c r="D111" s="62">
        <v>3</v>
      </c>
      <c r="E111" s="62">
        <v>8</v>
      </c>
      <c r="F111" s="62">
        <v>30</v>
      </c>
      <c r="G111" s="62">
        <v>40</v>
      </c>
      <c r="H111" s="62">
        <v>308</v>
      </c>
      <c r="I111" s="62" t="s">
        <v>451</v>
      </c>
      <c r="J111" s="63">
        <v>4</v>
      </c>
      <c r="K111" s="95">
        <v>45947</v>
      </c>
      <c r="L111" s="126">
        <v>13</v>
      </c>
      <c r="M111" s="44">
        <v>14</v>
      </c>
      <c r="N111" s="44">
        <v>13</v>
      </c>
      <c r="P111" s="44">
        <v>19.100000000000001</v>
      </c>
      <c r="Q111" s="44">
        <v>16.3</v>
      </c>
      <c r="R111" s="44">
        <v>16.100000000000001</v>
      </c>
    </row>
    <row r="112" spans="1:18" x14ac:dyDescent="0.35">
      <c r="A112" s="62" t="s">
        <v>33</v>
      </c>
      <c r="B112" s="62" t="s">
        <v>29</v>
      </c>
      <c r="C112" s="62">
        <v>2</v>
      </c>
      <c r="D112" s="62">
        <v>2</v>
      </c>
      <c r="E112" s="62">
        <v>8</v>
      </c>
      <c r="F112" s="62">
        <v>31</v>
      </c>
      <c r="G112" s="62">
        <v>25</v>
      </c>
      <c r="H112" s="62">
        <v>208</v>
      </c>
      <c r="I112" s="62" t="s">
        <v>451</v>
      </c>
      <c r="J112" s="63">
        <v>4</v>
      </c>
      <c r="K112" s="95">
        <v>45947</v>
      </c>
      <c r="L112" s="126">
        <v>14</v>
      </c>
      <c r="M112" s="44">
        <v>17</v>
      </c>
      <c r="N112" s="44">
        <v>13</v>
      </c>
      <c r="P112" s="44">
        <v>20.5</v>
      </c>
      <c r="Q112" s="44">
        <v>21.7</v>
      </c>
      <c r="R112" s="44">
        <v>22.9</v>
      </c>
    </row>
    <row r="113" spans="1:18" x14ac:dyDescent="0.35">
      <c r="A113" s="62" t="s">
        <v>33</v>
      </c>
      <c r="B113" s="62" t="s">
        <v>35</v>
      </c>
      <c r="C113" s="62">
        <v>2</v>
      </c>
      <c r="D113" s="62">
        <v>1</v>
      </c>
      <c r="E113" s="62">
        <v>8</v>
      </c>
      <c r="F113" s="62">
        <v>32</v>
      </c>
      <c r="G113" s="62">
        <v>8</v>
      </c>
      <c r="H113" s="62">
        <v>108</v>
      </c>
      <c r="I113" s="62" t="s">
        <v>451</v>
      </c>
      <c r="J113" s="63">
        <v>4</v>
      </c>
      <c r="K113" s="95">
        <v>45947</v>
      </c>
      <c r="L113" s="126">
        <v>17</v>
      </c>
      <c r="M113" s="44">
        <v>20</v>
      </c>
      <c r="N113" s="44">
        <v>15</v>
      </c>
      <c r="P113" s="44">
        <v>19.2</v>
      </c>
      <c r="Q113" s="44">
        <v>26.7</v>
      </c>
      <c r="R113" s="44">
        <v>17.2</v>
      </c>
    </row>
    <row r="114" spans="1:18" x14ac:dyDescent="0.35">
      <c r="A114" s="62" t="s">
        <v>28</v>
      </c>
      <c r="B114" s="62" t="s">
        <v>32</v>
      </c>
      <c r="C114" s="62">
        <v>3</v>
      </c>
      <c r="D114" s="62">
        <v>1</v>
      </c>
      <c r="E114" s="62">
        <v>10</v>
      </c>
      <c r="F114" s="62">
        <v>40</v>
      </c>
      <c r="G114" s="62">
        <v>10</v>
      </c>
      <c r="H114" s="62">
        <v>110</v>
      </c>
      <c r="I114" s="62" t="s">
        <v>451</v>
      </c>
      <c r="J114" s="63">
        <v>4</v>
      </c>
      <c r="K114" s="95">
        <v>45947</v>
      </c>
      <c r="L114" s="126">
        <v>14</v>
      </c>
      <c r="M114" s="44">
        <v>12</v>
      </c>
      <c r="N114" s="44">
        <v>15</v>
      </c>
      <c r="P114" s="44">
        <v>18.7</v>
      </c>
      <c r="Q114" s="44">
        <v>13</v>
      </c>
      <c r="R114" s="44">
        <v>16</v>
      </c>
    </row>
    <row r="115" spans="1:18" x14ac:dyDescent="0.35">
      <c r="A115" s="62" t="s">
        <v>28</v>
      </c>
      <c r="B115" s="62" t="s">
        <v>31</v>
      </c>
      <c r="C115" s="62">
        <v>3</v>
      </c>
      <c r="D115" s="62">
        <v>2</v>
      </c>
      <c r="E115" s="62">
        <v>10</v>
      </c>
      <c r="F115" s="62">
        <v>39</v>
      </c>
      <c r="G115" s="62">
        <v>23</v>
      </c>
      <c r="H115" s="62">
        <v>210</v>
      </c>
      <c r="I115" s="62" t="s">
        <v>451</v>
      </c>
      <c r="J115" s="63">
        <v>4</v>
      </c>
      <c r="K115" s="95">
        <v>45947</v>
      </c>
      <c r="L115" s="126">
        <v>18</v>
      </c>
      <c r="M115" s="44">
        <v>15</v>
      </c>
      <c r="N115" s="44">
        <v>20</v>
      </c>
      <c r="P115" s="44">
        <v>28</v>
      </c>
      <c r="Q115" s="44">
        <v>31.5</v>
      </c>
      <c r="R115" s="44">
        <v>25</v>
      </c>
    </row>
    <row r="116" spans="1:18" x14ac:dyDescent="0.35">
      <c r="A116" s="62" t="s">
        <v>28</v>
      </c>
      <c r="B116" s="62" t="s">
        <v>29</v>
      </c>
      <c r="C116" s="62">
        <v>3</v>
      </c>
      <c r="D116" s="62">
        <v>3</v>
      </c>
      <c r="E116" s="62">
        <v>10</v>
      </c>
      <c r="F116" s="62">
        <v>38</v>
      </c>
      <c r="G116" s="62">
        <v>42</v>
      </c>
      <c r="H116" s="62">
        <v>310</v>
      </c>
      <c r="I116" s="62" t="s">
        <v>451</v>
      </c>
      <c r="J116" s="63">
        <v>4</v>
      </c>
      <c r="K116" s="95">
        <v>45947</v>
      </c>
      <c r="L116" s="126">
        <v>15</v>
      </c>
      <c r="M116" s="44">
        <v>13</v>
      </c>
      <c r="N116" s="44">
        <v>13</v>
      </c>
      <c r="P116" s="44">
        <v>19.399999999999999</v>
      </c>
      <c r="Q116" s="44">
        <v>20.7</v>
      </c>
      <c r="R116" s="44">
        <v>18.8</v>
      </c>
    </row>
    <row r="117" spans="1:18" x14ac:dyDescent="0.35">
      <c r="A117" s="62" t="s">
        <v>28</v>
      </c>
      <c r="B117" s="62" t="s">
        <v>30</v>
      </c>
      <c r="C117" s="62">
        <v>3</v>
      </c>
      <c r="D117" s="62">
        <v>4</v>
      </c>
      <c r="E117" s="62">
        <v>10</v>
      </c>
      <c r="F117" s="62">
        <v>37</v>
      </c>
      <c r="G117" s="62">
        <v>55</v>
      </c>
      <c r="H117" s="62">
        <v>410</v>
      </c>
      <c r="I117" s="62" t="s">
        <v>451</v>
      </c>
      <c r="J117" s="63">
        <v>4</v>
      </c>
      <c r="K117" s="95">
        <v>45947</v>
      </c>
      <c r="L117" s="126">
        <v>13</v>
      </c>
      <c r="M117" s="44">
        <v>15</v>
      </c>
      <c r="N117" s="44">
        <v>15</v>
      </c>
      <c r="P117" s="44">
        <v>20</v>
      </c>
      <c r="Q117" s="44">
        <v>24.5</v>
      </c>
      <c r="R117" s="44">
        <v>22.1</v>
      </c>
    </row>
    <row r="118" spans="1:18" x14ac:dyDescent="0.35">
      <c r="A118" s="62" t="s">
        <v>33</v>
      </c>
      <c r="B118" s="62" t="s">
        <v>30</v>
      </c>
      <c r="C118" s="62">
        <v>3</v>
      </c>
      <c r="D118" s="62">
        <v>4</v>
      </c>
      <c r="E118" s="62">
        <v>12</v>
      </c>
      <c r="F118" s="62">
        <v>45</v>
      </c>
      <c r="G118" s="62">
        <v>53</v>
      </c>
      <c r="H118" s="62">
        <v>412</v>
      </c>
      <c r="I118" s="62" t="s">
        <v>451</v>
      </c>
      <c r="J118" s="63">
        <v>4</v>
      </c>
      <c r="K118" s="95">
        <v>45947</v>
      </c>
      <c r="L118" s="126">
        <v>13</v>
      </c>
      <c r="M118" s="44">
        <v>15</v>
      </c>
      <c r="N118" s="44">
        <v>17</v>
      </c>
      <c r="P118" s="44">
        <v>21.1</v>
      </c>
      <c r="Q118" s="44">
        <v>23.5</v>
      </c>
      <c r="R118" s="44">
        <v>22</v>
      </c>
    </row>
    <row r="119" spans="1:18" x14ac:dyDescent="0.35">
      <c r="A119" s="62" t="s">
        <v>33</v>
      </c>
      <c r="B119" s="62" t="s">
        <v>34</v>
      </c>
      <c r="C119" s="62">
        <v>3</v>
      </c>
      <c r="D119" s="62">
        <v>3</v>
      </c>
      <c r="E119" s="62">
        <v>12</v>
      </c>
      <c r="F119" s="62">
        <v>46</v>
      </c>
      <c r="G119" s="62">
        <v>44</v>
      </c>
      <c r="H119" s="62">
        <v>312</v>
      </c>
      <c r="I119" s="62" t="s">
        <v>451</v>
      </c>
      <c r="J119" s="63">
        <v>4</v>
      </c>
      <c r="K119" s="95">
        <v>45947</v>
      </c>
      <c r="L119" s="126">
        <v>18</v>
      </c>
      <c r="M119" s="44">
        <v>15</v>
      </c>
      <c r="N119" s="44">
        <v>14</v>
      </c>
      <c r="P119" s="44">
        <v>22.7</v>
      </c>
      <c r="Q119" s="44">
        <v>16.3</v>
      </c>
      <c r="R119" s="44">
        <v>18.600000000000001</v>
      </c>
    </row>
    <row r="120" spans="1:18" x14ac:dyDescent="0.35">
      <c r="A120" s="62" t="s">
        <v>33</v>
      </c>
      <c r="B120" s="62" t="s">
        <v>35</v>
      </c>
      <c r="C120" s="62">
        <v>3</v>
      </c>
      <c r="D120" s="62">
        <v>2</v>
      </c>
      <c r="E120" s="62">
        <v>12</v>
      </c>
      <c r="F120" s="62">
        <v>47</v>
      </c>
      <c r="G120" s="62">
        <v>21</v>
      </c>
      <c r="H120" s="62">
        <v>212</v>
      </c>
      <c r="I120" s="62" t="s">
        <v>451</v>
      </c>
      <c r="J120" s="63">
        <v>4</v>
      </c>
      <c r="K120" s="95">
        <v>45947</v>
      </c>
      <c r="L120" s="126">
        <v>17</v>
      </c>
      <c r="M120" s="44">
        <v>14</v>
      </c>
      <c r="N120" s="44">
        <v>12</v>
      </c>
      <c r="P120" s="44">
        <v>25.2</v>
      </c>
      <c r="Q120" s="44">
        <v>18.3</v>
      </c>
      <c r="R120" s="44">
        <v>24</v>
      </c>
    </row>
    <row r="121" spans="1:18" x14ac:dyDescent="0.35">
      <c r="A121" s="62" t="s">
        <v>33</v>
      </c>
      <c r="B121" s="62" t="s">
        <v>29</v>
      </c>
      <c r="C121" s="62">
        <v>3</v>
      </c>
      <c r="D121" s="62">
        <v>1</v>
      </c>
      <c r="E121" s="62">
        <v>12</v>
      </c>
      <c r="F121" s="62">
        <v>48</v>
      </c>
      <c r="G121" s="62">
        <v>12</v>
      </c>
      <c r="H121" s="62">
        <v>112</v>
      </c>
      <c r="I121" s="62" t="s">
        <v>451</v>
      </c>
      <c r="J121" s="63">
        <v>4</v>
      </c>
      <c r="K121" s="95">
        <v>45947</v>
      </c>
      <c r="L121" s="126">
        <v>16</v>
      </c>
      <c r="M121" s="44">
        <v>17</v>
      </c>
      <c r="N121" s="44">
        <v>17</v>
      </c>
      <c r="P121" s="44">
        <v>25.2</v>
      </c>
      <c r="Q121" s="44">
        <v>24</v>
      </c>
      <c r="R121" s="44">
        <v>20.7</v>
      </c>
    </row>
    <row r="122" spans="1:18" x14ac:dyDescent="0.35">
      <c r="A122" s="62" t="s">
        <v>28</v>
      </c>
      <c r="B122" s="62" t="s">
        <v>30</v>
      </c>
      <c r="C122" s="62">
        <v>4</v>
      </c>
      <c r="D122" s="62">
        <v>1</v>
      </c>
      <c r="E122" s="62">
        <v>14</v>
      </c>
      <c r="F122" s="62">
        <v>56</v>
      </c>
      <c r="G122" s="62">
        <v>14</v>
      </c>
      <c r="H122" s="62">
        <v>114</v>
      </c>
      <c r="I122" s="62" t="s">
        <v>451</v>
      </c>
      <c r="J122" s="63">
        <v>4</v>
      </c>
      <c r="K122" s="95">
        <v>45947</v>
      </c>
      <c r="L122" s="126">
        <v>14</v>
      </c>
      <c r="M122" s="44">
        <v>13</v>
      </c>
      <c r="N122" s="44">
        <v>13</v>
      </c>
      <c r="P122" s="44">
        <v>20.6</v>
      </c>
      <c r="Q122" s="44">
        <v>18</v>
      </c>
      <c r="R122" s="44">
        <v>18.399999999999999</v>
      </c>
    </row>
    <row r="123" spans="1:18" x14ac:dyDescent="0.35">
      <c r="A123" s="62" t="s">
        <v>28</v>
      </c>
      <c r="B123" s="62" t="s">
        <v>29</v>
      </c>
      <c r="C123" s="62">
        <v>4</v>
      </c>
      <c r="D123" s="62">
        <v>2</v>
      </c>
      <c r="E123" s="62">
        <v>14</v>
      </c>
      <c r="F123" s="62">
        <v>55</v>
      </c>
      <c r="G123" s="62">
        <v>19</v>
      </c>
      <c r="H123" s="62">
        <v>214</v>
      </c>
      <c r="I123" s="62" t="s">
        <v>451</v>
      </c>
      <c r="J123" s="63">
        <v>4</v>
      </c>
      <c r="K123" s="95">
        <v>45947</v>
      </c>
      <c r="L123" s="126">
        <v>13</v>
      </c>
      <c r="M123" s="44">
        <v>13</v>
      </c>
      <c r="N123" s="44">
        <v>14</v>
      </c>
      <c r="P123" s="44">
        <v>21.6</v>
      </c>
      <c r="Q123" s="44">
        <v>24.7</v>
      </c>
      <c r="R123" s="44">
        <v>20.5</v>
      </c>
    </row>
    <row r="124" spans="1:18" x14ac:dyDescent="0.35">
      <c r="A124" s="62" t="s">
        <v>28</v>
      </c>
      <c r="B124" s="62" t="s">
        <v>32</v>
      </c>
      <c r="C124" s="62">
        <v>4</v>
      </c>
      <c r="D124" s="62">
        <v>3</v>
      </c>
      <c r="E124" s="62">
        <v>14</v>
      </c>
      <c r="F124" s="62">
        <v>54</v>
      </c>
      <c r="G124" s="62">
        <v>46</v>
      </c>
      <c r="H124" s="62">
        <v>314</v>
      </c>
      <c r="I124" s="62" t="s">
        <v>451</v>
      </c>
      <c r="J124" s="63">
        <v>4</v>
      </c>
      <c r="K124" s="95">
        <v>45947</v>
      </c>
      <c r="L124" s="126">
        <v>15</v>
      </c>
      <c r="M124" s="44">
        <v>15</v>
      </c>
      <c r="N124" s="44">
        <v>13</v>
      </c>
      <c r="P124" s="44">
        <v>14.7</v>
      </c>
      <c r="Q124" s="44">
        <v>14.5</v>
      </c>
      <c r="R124" s="44">
        <v>15.3</v>
      </c>
    </row>
    <row r="125" spans="1:18" x14ac:dyDescent="0.35">
      <c r="A125" s="62" t="s">
        <v>28</v>
      </c>
      <c r="B125" s="62" t="s">
        <v>31</v>
      </c>
      <c r="C125" s="62">
        <v>4</v>
      </c>
      <c r="D125" s="62">
        <v>4</v>
      </c>
      <c r="E125" s="62">
        <v>14</v>
      </c>
      <c r="F125" s="62">
        <v>53</v>
      </c>
      <c r="G125" s="62">
        <v>51</v>
      </c>
      <c r="H125" s="62">
        <v>414</v>
      </c>
      <c r="I125" s="62" t="s">
        <v>451</v>
      </c>
      <c r="J125" s="63">
        <v>4</v>
      </c>
      <c r="K125" s="95">
        <v>45947</v>
      </c>
      <c r="L125" s="126">
        <v>18</v>
      </c>
      <c r="M125" s="44">
        <v>18</v>
      </c>
      <c r="N125" s="44">
        <v>17</v>
      </c>
      <c r="P125" s="44">
        <v>22.2</v>
      </c>
      <c r="Q125" s="44">
        <v>27.6</v>
      </c>
      <c r="R125" s="44">
        <v>29.2</v>
      </c>
    </row>
    <row r="126" spans="1:18" x14ac:dyDescent="0.35">
      <c r="A126" s="62" t="s">
        <v>33</v>
      </c>
      <c r="B126" s="62" t="s">
        <v>35</v>
      </c>
      <c r="C126" s="62">
        <v>4</v>
      </c>
      <c r="D126" s="62">
        <v>4</v>
      </c>
      <c r="E126" s="62">
        <v>16</v>
      </c>
      <c r="F126" s="62">
        <v>60</v>
      </c>
      <c r="G126" s="62">
        <v>50</v>
      </c>
      <c r="H126" s="62">
        <v>416</v>
      </c>
      <c r="I126" s="62" t="s">
        <v>451</v>
      </c>
      <c r="J126" s="63">
        <v>4</v>
      </c>
      <c r="K126" s="95">
        <v>45947</v>
      </c>
      <c r="L126" s="126">
        <v>16</v>
      </c>
      <c r="M126" s="44">
        <v>14</v>
      </c>
      <c r="N126" s="44">
        <v>15</v>
      </c>
      <c r="P126" s="44">
        <v>32.5</v>
      </c>
      <c r="Q126" s="44">
        <v>19.8</v>
      </c>
      <c r="R126" s="44">
        <v>20.3</v>
      </c>
    </row>
    <row r="127" spans="1:18" x14ac:dyDescent="0.35">
      <c r="A127" s="62" t="s">
        <v>33</v>
      </c>
      <c r="B127" s="62" t="s">
        <v>29</v>
      </c>
      <c r="C127" s="62">
        <v>4</v>
      </c>
      <c r="D127" s="62">
        <v>3</v>
      </c>
      <c r="E127" s="62">
        <v>16</v>
      </c>
      <c r="F127" s="62">
        <v>62</v>
      </c>
      <c r="G127" s="62">
        <v>48</v>
      </c>
      <c r="H127" s="62">
        <v>316</v>
      </c>
      <c r="I127" s="62" t="s">
        <v>451</v>
      </c>
      <c r="J127" s="63">
        <v>4</v>
      </c>
      <c r="K127" s="95">
        <v>45947</v>
      </c>
      <c r="L127" s="126">
        <v>18</v>
      </c>
      <c r="M127" s="44">
        <v>18</v>
      </c>
      <c r="N127" s="44">
        <v>17</v>
      </c>
      <c r="P127" s="44">
        <v>25.5</v>
      </c>
      <c r="Q127" s="44">
        <v>22.9</v>
      </c>
      <c r="R127" s="44">
        <v>24</v>
      </c>
    </row>
    <row r="128" spans="1:18" x14ac:dyDescent="0.35">
      <c r="A128" s="62" t="s">
        <v>33</v>
      </c>
      <c r="B128" s="62" t="s">
        <v>34</v>
      </c>
      <c r="C128" s="62">
        <v>4</v>
      </c>
      <c r="D128" s="62">
        <v>2</v>
      </c>
      <c r="E128" s="62">
        <v>16</v>
      </c>
      <c r="F128" s="62">
        <v>58</v>
      </c>
      <c r="G128" s="62">
        <v>18</v>
      </c>
      <c r="H128" s="62">
        <v>216</v>
      </c>
      <c r="I128" s="62" t="s">
        <v>451</v>
      </c>
      <c r="J128" s="63">
        <v>4</v>
      </c>
      <c r="K128" s="95">
        <v>45947</v>
      </c>
      <c r="L128" s="126">
        <v>16</v>
      </c>
      <c r="M128" s="44">
        <v>15</v>
      </c>
      <c r="N128" s="44">
        <v>17</v>
      </c>
      <c r="P128" s="44">
        <v>16.399999999999999</v>
      </c>
      <c r="Q128" s="44">
        <v>24.5</v>
      </c>
      <c r="R128" s="44">
        <v>23.9</v>
      </c>
    </row>
    <row r="129" spans="1:18" x14ac:dyDescent="0.35">
      <c r="A129" s="62" t="s">
        <v>33</v>
      </c>
      <c r="B129" s="62" t="s">
        <v>30</v>
      </c>
      <c r="C129" s="62">
        <v>4</v>
      </c>
      <c r="D129" s="62">
        <v>1</v>
      </c>
      <c r="E129" s="62">
        <v>16</v>
      </c>
      <c r="F129" s="62">
        <v>64</v>
      </c>
      <c r="G129" s="62">
        <v>16</v>
      </c>
      <c r="H129" s="62">
        <v>116</v>
      </c>
      <c r="I129" s="62" t="s">
        <v>451</v>
      </c>
      <c r="J129" s="63">
        <v>4</v>
      </c>
      <c r="K129" s="95">
        <v>45947</v>
      </c>
      <c r="L129" s="126">
        <v>15</v>
      </c>
      <c r="M129" s="44">
        <v>15</v>
      </c>
      <c r="N129" s="44">
        <v>14</v>
      </c>
      <c r="P129" s="44">
        <v>20.6</v>
      </c>
      <c r="Q129" s="44">
        <v>18.3</v>
      </c>
      <c r="R129" s="44">
        <v>16.399999999999999</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0629-8BDE-4626-947C-04C42E1CB707}">
  <dimension ref="A1:E15"/>
  <sheetViews>
    <sheetView workbookViewId="0">
      <selection activeCell="F22" sqref="F22"/>
    </sheetView>
  </sheetViews>
  <sheetFormatPr defaultRowHeight="14.5" x14ac:dyDescent="0.35"/>
  <cols>
    <col min="1" max="1" width="13.453125" style="4" customWidth="1"/>
    <col min="2" max="2" width="13.7265625" style="4" customWidth="1"/>
    <col min="3" max="3" width="8.54296875" style="4" bestFit="1" customWidth="1"/>
    <col min="4" max="4" width="8.81640625" style="4"/>
    <col min="5" max="5" width="10.26953125" customWidth="1"/>
  </cols>
  <sheetData>
    <row r="1" spans="1:5" s="15" customFormat="1" ht="29" x14ac:dyDescent="0.35">
      <c r="A1" s="10" t="s">
        <v>412</v>
      </c>
      <c r="B1" s="10" t="s">
        <v>413</v>
      </c>
      <c r="C1" s="10" t="s">
        <v>452</v>
      </c>
      <c r="D1" s="10" t="s">
        <v>453</v>
      </c>
      <c r="E1" s="6" t="s">
        <v>61</v>
      </c>
    </row>
    <row r="2" spans="1:5" x14ac:dyDescent="0.35">
      <c r="A2" s="4">
        <v>1</v>
      </c>
      <c r="B2" s="27">
        <v>45812</v>
      </c>
      <c r="C2" s="3">
        <v>0.12</v>
      </c>
      <c r="D2" s="3">
        <v>1</v>
      </c>
    </row>
    <row r="3" spans="1:5" x14ac:dyDescent="0.35">
      <c r="A3" s="4">
        <v>2</v>
      </c>
      <c r="B3" s="27">
        <v>45825</v>
      </c>
      <c r="C3" s="3">
        <v>0.15</v>
      </c>
      <c r="D3" s="3">
        <v>2.83</v>
      </c>
    </row>
    <row r="4" spans="1:5" x14ac:dyDescent="0.35">
      <c r="A4" s="4">
        <v>3</v>
      </c>
      <c r="B4" s="27">
        <v>45838</v>
      </c>
      <c r="C4" s="3">
        <v>0.14000000000000001</v>
      </c>
      <c r="D4" s="3">
        <v>2.12</v>
      </c>
    </row>
    <row r="5" spans="1:5" x14ac:dyDescent="0.35">
      <c r="A5" s="4">
        <v>4</v>
      </c>
      <c r="B5" s="27">
        <v>45856</v>
      </c>
      <c r="C5" s="3">
        <v>0.15</v>
      </c>
      <c r="D5" s="3">
        <v>0.57999999999999996</v>
      </c>
    </row>
    <row r="6" spans="1:5" x14ac:dyDescent="0.35">
      <c r="A6" s="4">
        <v>5</v>
      </c>
      <c r="B6" s="27">
        <v>45866</v>
      </c>
      <c r="C6" s="3">
        <v>0.16</v>
      </c>
      <c r="D6" s="3">
        <v>1.57</v>
      </c>
    </row>
    <row r="7" spans="1:5" x14ac:dyDescent="0.35">
      <c r="A7" s="4">
        <v>6</v>
      </c>
      <c r="B7" s="27">
        <v>45880</v>
      </c>
      <c r="C7" s="3">
        <v>0.18</v>
      </c>
      <c r="D7" s="3">
        <v>0.57999999999999996</v>
      </c>
    </row>
    <row r="8" spans="1:5" x14ac:dyDescent="0.35">
      <c r="A8" s="4">
        <v>7</v>
      </c>
      <c r="B8" s="27">
        <v>45899</v>
      </c>
      <c r="C8" s="3">
        <v>0.17</v>
      </c>
      <c r="D8" s="3">
        <v>2.06</v>
      </c>
    </row>
    <row r="9" spans="1:5" x14ac:dyDescent="0.35">
      <c r="A9" s="4">
        <v>8</v>
      </c>
      <c r="B9" s="27">
        <v>45911</v>
      </c>
      <c r="C9" s="3">
        <v>0.15</v>
      </c>
      <c r="D9" s="3">
        <v>0.76</v>
      </c>
    </row>
    <row r="10" spans="1:5" x14ac:dyDescent="0.35">
      <c r="A10" s="4">
        <v>9</v>
      </c>
      <c r="B10" s="27">
        <v>45926</v>
      </c>
      <c r="C10" s="3">
        <v>0.14000000000000001</v>
      </c>
      <c r="D10" s="3">
        <v>0.71</v>
      </c>
    </row>
    <row r="11" spans="1:5" x14ac:dyDescent="0.35">
      <c r="A11" s="4">
        <v>10</v>
      </c>
      <c r="B11" s="27">
        <v>45951</v>
      </c>
      <c r="C11" s="3">
        <v>0.11</v>
      </c>
      <c r="D11" s="3">
        <v>2.83</v>
      </c>
    </row>
    <row r="12" spans="1:5" x14ac:dyDescent="0.35">
      <c r="A12" s="4">
        <v>11</v>
      </c>
      <c r="B12" s="27">
        <v>45961</v>
      </c>
      <c r="C12" s="3">
        <v>0.14000000000000001</v>
      </c>
      <c r="D12" s="3">
        <v>2.08</v>
      </c>
    </row>
    <row r="13" spans="1:5" x14ac:dyDescent="0.35">
      <c r="A13" s="4">
        <v>12</v>
      </c>
      <c r="B13" s="27">
        <v>45967</v>
      </c>
      <c r="C13" s="3">
        <v>0.14000000000000001</v>
      </c>
      <c r="D13" s="3">
        <v>2.12</v>
      </c>
    </row>
    <row r="14" spans="1:5" x14ac:dyDescent="0.35">
      <c r="A14" s="4">
        <v>13</v>
      </c>
      <c r="B14" s="27">
        <v>45975</v>
      </c>
      <c r="C14" s="3">
        <v>0.12</v>
      </c>
      <c r="D14" s="3">
        <v>0.57999999999999996</v>
      </c>
    </row>
    <row r="15" spans="1:5" x14ac:dyDescent="0.35">
      <c r="A15" s="4">
        <v>14</v>
      </c>
      <c r="B15" s="27">
        <v>45982</v>
      </c>
      <c r="C15" s="3">
        <v>0.13</v>
      </c>
      <c r="D15" s="3">
        <v>0.71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9415-B1C5-4EC7-AF01-E5B8636D98E8}">
  <dimension ref="A1:CJ866"/>
  <sheetViews>
    <sheetView topLeftCell="A843" zoomScale="90" zoomScaleNormal="90" workbookViewId="0">
      <selection activeCell="N864" sqref="N864"/>
    </sheetView>
  </sheetViews>
  <sheetFormatPr defaultRowHeight="14.5" x14ac:dyDescent="0.35"/>
  <cols>
    <col min="1" max="1" width="13.81640625" style="62" customWidth="1"/>
    <col min="2" max="2" width="16.453125" style="62" customWidth="1"/>
    <col min="3" max="3" width="13.54296875" style="62" customWidth="1"/>
    <col min="4" max="7" width="9.1796875" style="62"/>
    <col min="8" max="8" width="8.54296875" style="62" customWidth="1"/>
    <col min="9" max="9" width="13.26953125" style="62" customWidth="1"/>
    <col min="10" max="10" width="14.453125" style="63" customWidth="1"/>
    <col min="11" max="11" width="11.54296875" style="65" customWidth="1"/>
    <col min="12" max="12" width="9.54296875" style="65" customWidth="1"/>
    <col min="14" max="14" width="82" customWidth="1"/>
    <col min="15" max="15" width="8.54296875" bestFit="1" customWidth="1"/>
    <col min="16" max="16" width="15.54296875" bestFit="1" customWidth="1"/>
    <col min="17" max="17" width="13.54296875" bestFit="1" customWidth="1"/>
    <col min="18" max="30" width="20" bestFit="1" customWidth="1"/>
    <col min="31" max="31" width="10.7265625" bestFit="1" customWidth="1"/>
    <col min="32" max="32" width="12.1796875" bestFit="1" customWidth="1"/>
    <col min="33" max="33" width="9.54296875" bestFit="1" customWidth="1"/>
    <col min="34" max="37" width="13.453125" bestFit="1" customWidth="1"/>
    <col min="38" max="38" width="10.7265625" bestFit="1" customWidth="1"/>
    <col min="39" max="42" width="13.453125" bestFit="1" customWidth="1"/>
    <col min="43" max="43" width="10.7265625" bestFit="1" customWidth="1"/>
    <col min="44" max="44" width="7.7265625" bestFit="1" customWidth="1"/>
    <col min="45" max="48" width="12.1796875" bestFit="1" customWidth="1"/>
    <col min="49" max="49" width="10.7265625" bestFit="1" customWidth="1"/>
    <col min="50" max="53" width="13.453125" bestFit="1" customWidth="1"/>
    <col min="54" max="54" width="11.54296875" bestFit="1" customWidth="1"/>
    <col min="55" max="55" width="9" bestFit="1" customWidth="1"/>
    <col min="56" max="59" width="13.453125" bestFit="1" customWidth="1"/>
    <col min="60" max="60" width="11.54296875" bestFit="1" customWidth="1"/>
    <col min="61" max="64" width="13.453125" bestFit="1" customWidth="1"/>
    <col min="65" max="65" width="11.54296875" bestFit="1" customWidth="1"/>
    <col min="66" max="66" width="8.54296875" bestFit="1" customWidth="1"/>
    <col min="67" max="70" width="12.1796875" bestFit="1" customWidth="1"/>
    <col min="71" max="71" width="10.26953125" bestFit="1" customWidth="1"/>
    <col min="72" max="75" width="13.453125" bestFit="1" customWidth="1"/>
    <col min="76" max="76" width="11.453125" bestFit="1" customWidth="1"/>
    <col min="77" max="80" width="13.453125" bestFit="1" customWidth="1"/>
    <col min="81" max="81" width="11.453125" bestFit="1" customWidth="1"/>
    <col min="82" max="82" width="8.54296875" bestFit="1" customWidth="1"/>
    <col min="83" max="86" width="13.453125" bestFit="1" customWidth="1"/>
    <col min="87" max="87" width="11.54296875" bestFit="1" customWidth="1"/>
    <col min="88" max="88" width="9.1796875" bestFit="1" customWidth="1"/>
  </cols>
  <sheetData>
    <row r="1" spans="1:88" s="15" customFormat="1" ht="43.5" x14ac:dyDescent="0.35">
      <c r="A1" s="61" t="s">
        <v>20</v>
      </c>
      <c r="B1" s="61" t="s">
        <v>21</v>
      </c>
      <c r="C1" s="61" t="s">
        <v>22</v>
      </c>
      <c r="D1" s="61" t="s">
        <v>23</v>
      </c>
      <c r="E1" s="61" t="s">
        <v>24</v>
      </c>
      <c r="F1" s="61" t="s">
        <v>26</v>
      </c>
      <c r="G1" s="61" t="s">
        <v>27</v>
      </c>
      <c r="H1" s="61" t="s">
        <v>25</v>
      </c>
      <c r="I1" s="61" t="s">
        <v>412</v>
      </c>
      <c r="J1" s="61" t="s">
        <v>413</v>
      </c>
      <c r="K1" s="31" t="s">
        <v>454</v>
      </c>
      <c r="L1" s="31" t="s">
        <v>455</v>
      </c>
      <c r="M1" s="10" t="s">
        <v>456</v>
      </c>
      <c r="N1" s="10" t="s">
        <v>61</v>
      </c>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row>
    <row r="2" spans="1:88" x14ac:dyDescent="0.35">
      <c r="A2" s="62" t="s">
        <v>28</v>
      </c>
      <c r="B2" s="62" t="s">
        <v>29</v>
      </c>
      <c r="C2" s="62">
        <v>1</v>
      </c>
      <c r="D2" s="62">
        <v>1</v>
      </c>
      <c r="E2" s="62">
        <v>2</v>
      </c>
      <c r="F2" s="62">
        <v>8</v>
      </c>
      <c r="G2" s="62">
        <v>2</v>
      </c>
      <c r="H2" s="62">
        <v>102</v>
      </c>
      <c r="I2" s="62">
        <v>1</v>
      </c>
      <c r="J2" s="95">
        <v>45812</v>
      </c>
      <c r="K2" s="44">
        <v>0.25</v>
      </c>
      <c r="L2" s="44">
        <v>2.5</v>
      </c>
      <c r="M2">
        <v>15</v>
      </c>
      <c r="N2" t="s">
        <v>457</v>
      </c>
    </row>
    <row r="3" spans="1:88" x14ac:dyDescent="0.35">
      <c r="A3" s="62" t="s">
        <v>28</v>
      </c>
      <c r="B3" s="62" t="s">
        <v>30</v>
      </c>
      <c r="C3" s="62">
        <v>1</v>
      </c>
      <c r="D3" s="62">
        <v>2</v>
      </c>
      <c r="E3" s="62">
        <v>2</v>
      </c>
      <c r="F3" s="62">
        <v>7</v>
      </c>
      <c r="G3" s="62">
        <v>31</v>
      </c>
      <c r="H3" s="62">
        <v>202</v>
      </c>
      <c r="I3" s="62">
        <v>1</v>
      </c>
      <c r="J3" s="95">
        <v>45812</v>
      </c>
      <c r="K3" s="44">
        <v>0.27</v>
      </c>
      <c r="L3" s="44">
        <v>4.38</v>
      </c>
      <c r="M3">
        <v>16</v>
      </c>
    </row>
    <row r="4" spans="1:88" x14ac:dyDescent="0.35">
      <c r="A4" s="62" t="s">
        <v>28</v>
      </c>
      <c r="B4" s="62" t="s">
        <v>31</v>
      </c>
      <c r="C4" s="62">
        <v>1</v>
      </c>
      <c r="D4" s="62">
        <v>3</v>
      </c>
      <c r="E4" s="62">
        <v>2</v>
      </c>
      <c r="F4" s="62">
        <v>6</v>
      </c>
      <c r="G4" s="62">
        <v>34</v>
      </c>
      <c r="H4" s="62">
        <v>302</v>
      </c>
      <c r="I4" s="62">
        <v>1</v>
      </c>
      <c r="J4" s="95">
        <v>45812</v>
      </c>
      <c r="K4" s="44">
        <v>0.21</v>
      </c>
      <c r="L4" s="44">
        <v>6.52</v>
      </c>
      <c r="M4">
        <v>14</v>
      </c>
    </row>
    <row r="5" spans="1:88" x14ac:dyDescent="0.35">
      <c r="A5" s="62" t="s">
        <v>28</v>
      </c>
      <c r="B5" s="62" t="s">
        <v>32</v>
      </c>
      <c r="C5" s="62">
        <v>1</v>
      </c>
      <c r="D5" s="62">
        <v>4</v>
      </c>
      <c r="E5" s="62">
        <v>2</v>
      </c>
      <c r="F5" s="62">
        <v>5</v>
      </c>
      <c r="G5" s="62">
        <v>63</v>
      </c>
      <c r="H5" s="62">
        <v>402</v>
      </c>
      <c r="I5" s="62">
        <v>1</v>
      </c>
      <c r="J5" s="95">
        <v>45812</v>
      </c>
      <c r="K5" s="44">
        <v>0.19</v>
      </c>
      <c r="L5" s="44">
        <v>4.87</v>
      </c>
      <c r="M5">
        <v>12</v>
      </c>
    </row>
    <row r="6" spans="1:88" x14ac:dyDescent="0.35">
      <c r="A6" s="62" t="s">
        <v>33</v>
      </c>
      <c r="B6" s="62" t="s">
        <v>34</v>
      </c>
      <c r="C6" s="62">
        <v>1</v>
      </c>
      <c r="D6" s="62">
        <v>1</v>
      </c>
      <c r="E6" s="62">
        <v>4</v>
      </c>
      <c r="F6" s="62">
        <v>16</v>
      </c>
      <c r="G6" s="62">
        <v>4</v>
      </c>
      <c r="H6" s="62">
        <v>104</v>
      </c>
      <c r="I6" s="62">
        <v>1</v>
      </c>
      <c r="J6" s="95">
        <v>45812</v>
      </c>
      <c r="K6" s="44">
        <v>0.13</v>
      </c>
      <c r="L6" s="44">
        <v>1.2</v>
      </c>
      <c r="M6">
        <v>9</v>
      </c>
    </row>
    <row r="7" spans="1:88" x14ac:dyDescent="0.35">
      <c r="A7" s="62" t="s">
        <v>33</v>
      </c>
      <c r="B7" s="62" t="s">
        <v>30</v>
      </c>
      <c r="C7" s="62">
        <v>1</v>
      </c>
      <c r="D7" s="62">
        <v>2</v>
      </c>
      <c r="E7" s="62">
        <v>4</v>
      </c>
      <c r="F7" s="62">
        <v>15</v>
      </c>
      <c r="G7" s="62">
        <v>29</v>
      </c>
      <c r="H7" s="62">
        <v>204</v>
      </c>
      <c r="I7" s="62">
        <v>1</v>
      </c>
      <c r="J7" s="95">
        <v>45812</v>
      </c>
      <c r="K7" s="44">
        <v>0.14000000000000001</v>
      </c>
      <c r="L7" s="44">
        <v>1.75</v>
      </c>
      <c r="M7">
        <v>8</v>
      </c>
    </row>
    <row r="8" spans="1:88" x14ac:dyDescent="0.35">
      <c r="A8" s="62" t="s">
        <v>33</v>
      </c>
      <c r="B8" s="62" t="s">
        <v>35</v>
      </c>
      <c r="C8" s="62">
        <v>1</v>
      </c>
      <c r="D8" s="62">
        <v>3</v>
      </c>
      <c r="E8" s="62">
        <v>4</v>
      </c>
      <c r="F8" s="62">
        <v>14</v>
      </c>
      <c r="G8" s="62">
        <v>36</v>
      </c>
      <c r="H8" s="62">
        <v>304</v>
      </c>
      <c r="I8" s="62">
        <v>1</v>
      </c>
      <c r="J8" s="95">
        <v>45812</v>
      </c>
      <c r="K8" s="44">
        <v>0.13</v>
      </c>
      <c r="L8" s="44">
        <v>1.87</v>
      </c>
      <c r="M8">
        <v>6</v>
      </c>
    </row>
    <row r="9" spans="1:88" x14ac:dyDescent="0.35">
      <c r="A9" s="62" t="s">
        <v>33</v>
      </c>
      <c r="B9" s="62" t="s">
        <v>29</v>
      </c>
      <c r="C9" s="62">
        <v>1</v>
      </c>
      <c r="D9" s="62">
        <v>4</v>
      </c>
      <c r="E9" s="62">
        <v>4</v>
      </c>
      <c r="F9" s="62">
        <v>13</v>
      </c>
      <c r="G9" s="62">
        <v>61</v>
      </c>
      <c r="H9" s="62">
        <v>404</v>
      </c>
      <c r="I9" s="62">
        <v>1</v>
      </c>
      <c r="J9" s="95">
        <v>45812</v>
      </c>
      <c r="K9" s="44">
        <v>0.14000000000000001</v>
      </c>
      <c r="L9" s="44">
        <v>1.56</v>
      </c>
      <c r="M9">
        <v>7</v>
      </c>
    </row>
    <row r="10" spans="1:88" x14ac:dyDescent="0.35">
      <c r="A10" s="62" t="s">
        <v>28</v>
      </c>
      <c r="B10" s="62" t="s">
        <v>31</v>
      </c>
      <c r="C10" s="62">
        <v>2</v>
      </c>
      <c r="D10" s="62">
        <v>1</v>
      </c>
      <c r="E10" s="62">
        <v>6</v>
      </c>
      <c r="F10" s="62">
        <v>24</v>
      </c>
      <c r="G10" s="62">
        <v>6</v>
      </c>
      <c r="H10" s="62">
        <v>106</v>
      </c>
      <c r="I10" s="62">
        <v>1</v>
      </c>
      <c r="J10" s="95">
        <v>45812</v>
      </c>
      <c r="K10" s="44">
        <v>0.28999999999999998</v>
      </c>
      <c r="L10" s="44">
        <v>5.53</v>
      </c>
      <c r="M10">
        <v>14</v>
      </c>
    </row>
    <row r="11" spans="1:88" x14ac:dyDescent="0.35">
      <c r="A11" s="62" t="s">
        <v>28</v>
      </c>
      <c r="B11" s="62" t="s">
        <v>32</v>
      </c>
      <c r="C11" s="62">
        <v>2</v>
      </c>
      <c r="D11" s="62">
        <v>2</v>
      </c>
      <c r="E11" s="62">
        <v>6</v>
      </c>
      <c r="F11" s="62">
        <v>23</v>
      </c>
      <c r="G11" s="62">
        <v>27</v>
      </c>
      <c r="H11" s="62">
        <v>206</v>
      </c>
      <c r="I11" s="62">
        <v>1</v>
      </c>
      <c r="J11" s="95">
        <v>45812</v>
      </c>
      <c r="K11" s="44">
        <v>0.21</v>
      </c>
      <c r="L11" s="44">
        <v>4.3899999999999997</v>
      </c>
      <c r="M11">
        <v>13</v>
      </c>
    </row>
    <row r="12" spans="1:88" x14ac:dyDescent="0.35">
      <c r="A12" s="62" t="s">
        <v>28</v>
      </c>
      <c r="B12" s="62" t="s">
        <v>30</v>
      </c>
      <c r="C12" s="62">
        <v>2</v>
      </c>
      <c r="D12" s="62">
        <v>3</v>
      </c>
      <c r="E12" s="62">
        <v>6</v>
      </c>
      <c r="F12" s="62">
        <v>22</v>
      </c>
      <c r="G12" s="62">
        <v>38</v>
      </c>
      <c r="H12" s="62">
        <v>306</v>
      </c>
      <c r="I12" s="62">
        <v>1</v>
      </c>
      <c r="J12" s="95">
        <v>45812</v>
      </c>
      <c r="K12" s="44">
        <v>0.16</v>
      </c>
      <c r="L12" s="44">
        <v>2.3199999999999998</v>
      </c>
      <c r="M12">
        <v>13</v>
      </c>
    </row>
    <row r="13" spans="1:88" x14ac:dyDescent="0.35">
      <c r="A13" s="62" t="s">
        <v>28</v>
      </c>
      <c r="B13" s="62" t="s">
        <v>29</v>
      </c>
      <c r="C13" s="62">
        <v>2</v>
      </c>
      <c r="D13" s="62">
        <v>4</v>
      </c>
      <c r="E13" s="62">
        <v>6</v>
      </c>
      <c r="F13" s="62">
        <v>21</v>
      </c>
      <c r="G13" s="62">
        <v>59</v>
      </c>
      <c r="H13" s="62">
        <v>406</v>
      </c>
      <c r="I13" s="62">
        <v>1</v>
      </c>
      <c r="J13" s="95">
        <v>45812</v>
      </c>
      <c r="K13" s="44">
        <v>0.21</v>
      </c>
      <c r="L13" s="44">
        <v>2.5</v>
      </c>
      <c r="M13">
        <v>16</v>
      </c>
    </row>
    <row r="14" spans="1:88" x14ac:dyDescent="0.35">
      <c r="A14" s="62" t="s">
        <v>33</v>
      </c>
      <c r="B14" s="62" t="s">
        <v>35</v>
      </c>
      <c r="C14" s="62">
        <v>2</v>
      </c>
      <c r="D14" s="62">
        <v>1</v>
      </c>
      <c r="E14" s="62">
        <v>8</v>
      </c>
      <c r="F14" s="62">
        <v>32</v>
      </c>
      <c r="G14" s="62">
        <v>8</v>
      </c>
      <c r="H14" s="62">
        <v>108</v>
      </c>
      <c r="I14" s="62">
        <v>1</v>
      </c>
      <c r="J14" s="95">
        <v>45812</v>
      </c>
      <c r="K14" s="44">
        <v>0.14000000000000001</v>
      </c>
      <c r="L14" s="44">
        <v>1.65</v>
      </c>
      <c r="M14">
        <v>10</v>
      </c>
    </row>
    <row r="15" spans="1:88" x14ac:dyDescent="0.35">
      <c r="A15" s="62" t="s">
        <v>33</v>
      </c>
      <c r="B15" s="62" t="s">
        <v>29</v>
      </c>
      <c r="C15" s="62">
        <v>2</v>
      </c>
      <c r="D15" s="62">
        <v>2</v>
      </c>
      <c r="E15" s="62">
        <v>8</v>
      </c>
      <c r="F15" s="62">
        <v>31</v>
      </c>
      <c r="G15" s="62">
        <v>25</v>
      </c>
      <c r="H15" s="62">
        <v>208</v>
      </c>
      <c r="I15" s="62">
        <v>1</v>
      </c>
      <c r="J15" s="95">
        <v>45812</v>
      </c>
      <c r="K15" s="44">
        <v>0.14000000000000001</v>
      </c>
      <c r="L15" s="44">
        <v>1.67</v>
      </c>
      <c r="M15">
        <v>9</v>
      </c>
    </row>
    <row r="16" spans="1:88" x14ac:dyDescent="0.35">
      <c r="A16" s="62" t="s">
        <v>33</v>
      </c>
      <c r="B16" s="62" t="s">
        <v>30</v>
      </c>
      <c r="C16" s="62">
        <v>2</v>
      </c>
      <c r="D16" s="62">
        <v>3</v>
      </c>
      <c r="E16" s="62">
        <v>8</v>
      </c>
      <c r="F16" s="62">
        <v>30</v>
      </c>
      <c r="G16" s="62">
        <v>40</v>
      </c>
      <c r="H16" s="62">
        <v>308</v>
      </c>
      <c r="I16" s="62">
        <v>1</v>
      </c>
      <c r="J16" s="95">
        <v>45812</v>
      </c>
      <c r="K16" s="44">
        <v>0.13</v>
      </c>
      <c r="L16" s="44">
        <v>1.1599999999999999</v>
      </c>
      <c r="M16">
        <v>10</v>
      </c>
    </row>
    <row r="17" spans="1:13" x14ac:dyDescent="0.35">
      <c r="A17" s="62" t="s">
        <v>33</v>
      </c>
      <c r="B17" s="62" t="s">
        <v>34</v>
      </c>
      <c r="C17" s="62">
        <v>2</v>
      </c>
      <c r="D17" s="62">
        <v>4</v>
      </c>
      <c r="E17" s="62">
        <v>8</v>
      </c>
      <c r="F17" s="62">
        <v>29</v>
      </c>
      <c r="G17" s="62">
        <v>57</v>
      </c>
      <c r="H17" s="62">
        <v>408</v>
      </c>
      <c r="I17" s="62">
        <v>1</v>
      </c>
      <c r="J17" s="95">
        <v>45812</v>
      </c>
      <c r="K17" s="44">
        <v>0.13</v>
      </c>
      <c r="L17" s="44">
        <v>1.22</v>
      </c>
      <c r="M17">
        <v>10</v>
      </c>
    </row>
    <row r="18" spans="1:13" x14ac:dyDescent="0.35">
      <c r="A18" s="62" t="s">
        <v>28</v>
      </c>
      <c r="B18" s="62" t="s">
        <v>32</v>
      </c>
      <c r="C18" s="62">
        <v>3</v>
      </c>
      <c r="D18" s="62">
        <v>1</v>
      </c>
      <c r="E18" s="62">
        <v>10</v>
      </c>
      <c r="F18" s="62">
        <v>40</v>
      </c>
      <c r="G18" s="62">
        <v>10</v>
      </c>
      <c r="H18" s="62">
        <v>110</v>
      </c>
      <c r="I18" s="62">
        <v>1</v>
      </c>
      <c r="J18" s="95">
        <v>45812</v>
      </c>
      <c r="K18" s="44">
        <v>0.23</v>
      </c>
      <c r="L18" s="44">
        <v>3.57</v>
      </c>
      <c r="M18">
        <v>15</v>
      </c>
    </row>
    <row r="19" spans="1:13" x14ac:dyDescent="0.35">
      <c r="A19" s="62" t="s">
        <v>28</v>
      </c>
      <c r="B19" s="62" t="s">
        <v>31</v>
      </c>
      <c r="C19" s="62">
        <v>3</v>
      </c>
      <c r="D19" s="62">
        <v>2</v>
      </c>
      <c r="E19" s="62">
        <v>10</v>
      </c>
      <c r="F19" s="62">
        <v>39</v>
      </c>
      <c r="G19" s="62">
        <v>23</v>
      </c>
      <c r="H19" s="62">
        <v>210</v>
      </c>
      <c r="I19" s="62">
        <v>1</v>
      </c>
      <c r="J19" s="95">
        <v>45812</v>
      </c>
      <c r="K19" s="44">
        <v>0.22</v>
      </c>
      <c r="L19" s="44">
        <v>4.46</v>
      </c>
      <c r="M19">
        <v>14</v>
      </c>
    </row>
    <row r="20" spans="1:13" x14ac:dyDescent="0.35">
      <c r="A20" s="62" t="s">
        <v>28</v>
      </c>
      <c r="B20" s="62" t="s">
        <v>29</v>
      </c>
      <c r="C20" s="62">
        <v>3</v>
      </c>
      <c r="D20" s="62">
        <v>3</v>
      </c>
      <c r="E20" s="62">
        <v>10</v>
      </c>
      <c r="F20" s="62">
        <v>38</v>
      </c>
      <c r="G20" s="62">
        <v>42</v>
      </c>
      <c r="H20" s="62">
        <v>310</v>
      </c>
      <c r="I20" s="62">
        <v>1</v>
      </c>
      <c r="J20" s="95">
        <v>45812</v>
      </c>
      <c r="K20" s="44">
        <v>0.15</v>
      </c>
      <c r="L20" s="44">
        <v>1.5</v>
      </c>
      <c r="M20">
        <v>14</v>
      </c>
    </row>
    <row r="21" spans="1:13" x14ac:dyDescent="0.35">
      <c r="A21" s="62" t="s">
        <v>28</v>
      </c>
      <c r="B21" s="62" t="s">
        <v>30</v>
      </c>
      <c r="C21" s="62">
        <v>3</v>
      </c>
      <c r="D21" s="62">
        <v>4</v>
      </c>
      <c r="E21" s="62">
        <v>10</v>
      </c>
      <c r="F21" s="62">
        <v>37</v>
      </c>
      <c r="G21" s="62">
        <v>55</v>
      </c>
      <c r="H21" s="62">
        <v>410</v>
      </c>
      <c r="I21" s="62">
        <v>1</v>
      </c>
      <c r="J21" s="95">
        <v>45812</v>
      </c>
      <c r="K21" s="44">
        <v>0.2</v>
      </c>
      <c r="L21" s="44">
        <v>1.79</v>
      </c>
      <c r="M21">
        <v>13</v>
      </c>
    </row>
    <row r="22" spans="1:13" x14ac:dyDescent="0.35">
      <c r="A22" s="62" t="s">
        <v>33</v>
      </c>
      <c r="B22" s="62" t="s">
        <v>29</v>
      </c>
      <c r="C22" s="62">
        <v>3</v>
      </c>
      <c r="D22" s="62">
        <v>1</v>
      </c>
      <c r="E22" s="62">
        <v>12</v>
      </c>
      <c r="F22" s="62">
        <v>48</v>
      </c>
      <c r="G22" s="62">
        <v>12</v>
      </c>
      <c r="H22" s="62">
        <v>112</v>
      </c>
      <c r="I22" s="62">
        <v>1</v>
      </c>
      <c r="J22" s="95">
        <v>45812</v>
      </c>
      <c r="K22" s="44">
        <v>0.12</v>
      </c>
      <c r="L22" s="44">
        <v>4.58</v>
      </c>
      <c r="M22">
        <v>7</v>
      </c>
    </row>
    <row r="23" spans="1:13" x14ac:dyDescent="0.35">
      <c r="A23" s="62" t="s">
        <v>33</v>
      </c>
      <c r="B23" s="62" t="s">
        <v>35</v>
      </c>
      <c r="C23" s="62">
        <v>3</v>
      </c>
      <c r="D23" s="62">
        <v>2</v>
      </c>
      <c r="E23" s="62">
        <v>12</v>
      </c>
      <c r="F23" s="62">
        <v>47</v>
      </c>
      <c r="G23" s="62">
        <v>21</v>
      </c>
      <c r="H23" s="62">
        <v>212</v>
      </c>
      <c r="I23" s="62">
        <v>1</v>
      </c>
      <c r="J23" s="95">
        <v>45812</v>
      </c>
      <c r="K23" s="44">
        <v>0.13</v>
      </c>
      <c r="L23" s="44">
        <v>2.2400000000000002</v>
      </c>
      <c r="M23">
        <v>8</v>
      </c>
    </row>
    <row r="24" spans="1:13" x14ac:dyDescent="0.35">
      <c r="A24" s="62" t="s">
        <v>33</v>
      </c>
      <c r="B24" s="62" t="s">
        <v>34</v>
      </c>
      <c r="C24" s="62">
        <v>3</v>
      </c>
      <c r="D24" s="62">
        <v>3</v>
      </c>
      <c r="E24" s="62">
        <v>12</v>
      </c>
      <c r="F24" s="62">
        <v>46</v>
      </c>
      <c r="G24" s="62">
        <v>44</v>
      </c>
      <c r="H24" s="62">
        <v>312</v>
      </c>
      <c r="I24" s="62">
        <v>1</v>
      </c>
      <c r="J24" s="95">
        <v>45812</v>
      </c>
      <c r="K24" s="44">
        <v>0.14000000000000001</v>
      </c>
      <c r="L24" s="44">
        <v>1.63</v>
      </c>
      <c r="M24">
        <v>9</v>
      </c>
    </row>
    <row r="25" spans="1:13" x14ac:dyDescent="0.35">
      <c r="A25" s="62" t="s">
        <v>33</v>
      </c>
      <c r="B25" s="62" t="s">
        <v>30</v>
      </c>
      <c r="C25" s="62">
        <v>3</v>
      </c>
      <c r="D25" s="62">
        <v>4</v>
      </c>
      <c r="E25" s="62">
        <v>12</v>
      </c>
      <c r="F25" s="62">
        <v>45</v>
      </c>
      <c r="G25" s="62">
        <v>53</v>
      </c>
      <c r="H25" s="62">
        <v>412</v>
      </c>
      <c r="I25" s="62">
        <v>1</v>
      </c>
      <c r="J25" s="95">
        <v>45812</v>
      </c>
      <c r="K25" s="44">
        <v>0.15</v>
      </c>
      <c r="L25" s="44">
        <v>4.38</v>
      </c>
      <c r="M25">
        <v>9</v>
      </c>
    </row>
    <row r="26" spans="1:13" x14ac:dyDescent="0.35">
      <c r="A26" s="62" t="s">
        <v>28</v>
      </c>
      <c r="B26" s="62" t="s">
        <v>30</v>
      </c>
      <c r="C26" s="62">
        <v>4</v>
      </c>
      <c r="D26" s="62">
        <v>1</v>
      </c>
      <c r="E26" s="62">
        <v>14</v>
      </c>
      <c r="F26" s="62">
        <v>56</v>
      </c>
      <c r="G26" s="62">
        <v>14</v>
      </c>
      <c r="H26" s="62">
        <v>114</v>
      </c>
      <c r="I26" s="62">
        <v>1</v>
      </c>
      <c r="J26" s="95">
        <v>45812</v>
      </c>
      <c r="K26" s="44">
        <v>0.21</v>
      </c>
      <c r="L26" s="44">
        <v>3.24</v>
      </c>
      <c r="M26">
        <v>14</v>
      </c>
    </row>
    <row r="27" spans="1:13" x14ac:dyDescent="0.35">
      <c r="A27" s="62" t="s">
        <v>28</v>
      </c>
      <c r="B27" s="62" t="s">
        <v>29</v>
      </c>
      <c r="C27" s="62">
        <v>4</v>
      </c>
      <c r="D27" s="62">
        <v>2</v>
      </c>
      <c r="E27" s="62">
        <v>14</v>
      </c>
      <c r="F27" s="62">
        <v>55</v>
      </c>
      <c r="G27" s="62">
        <v>19</v>
      </c>
      <c r="H27" s="62">
        <v>214</v>
      </c>
      <c r="I27" s="62">
        <v>1</v>
      </c>
      <c r="J27" s="95">
        <v>45812</v>
      </c>
      <c r="K27" s="44">
        <v>0.2</v>
      </c>
      <c r="L27" s="44">
        <v>3.37</v>
      </c>
      <c r="M27">
        <v>14</v>
      </c>
    </row>
    <row r="28" spans="1:13" x14ac:dyDescent="0.35">
      <c r="A28" s="62" t="s">
        <v>28</v>
      </c>
      <c r="B28" s="62" t="s">
        <v>32</v>
      </c>
      <c r="C28" s="62">
        <v>4</v>
      </c>
      <c r="D28" s="62">
        <v>3</v>
      </c>
      <c r="E28" s="62">
        <v>14</v>
      </c>
      <c r="F28" s="62">
        <v>54</v>
      </c>
      <c r="G28" s="62">
        <v>46</v>
      </c>
      <c r="H28" s="62">
        <v>314</v>
      </c>
      <c r="I28" s="62">
        <v>1</v>
      </c>
      <c r="J28" s="95">
        <v>45812</v>
      </c>
      <c r="K28" s="44">
        <v>0.17</v>
      </c>
      <c r="L28" s="44">
        <v>2.35</v>
      </c>
      <c r="M28">
        <v>11</v>
      </c>
    </row>
    <row r="29" spans="1:13" x14ac:dyDescent="0.35">
      <c r="A29" s="62" t="s">
        <v>28</v>
      </c>
      <c r="B29" s="62" t="s">
        <v>31</v>
      </c>
      <c r="C29" s="62">
        <v>4</v>
      </c>
      <c r="D29" s="62">
        <v>4</v>
      </c>
      <c r="E29" s="62">
        <v>14</v>
      </c>
      <c r="F29" s="62">
        <v>53</v>
      </c>
      <c r="G29" s="62">
        <v>51</v>
      </c>
      <c r="H29" s="62">
        <v>414</v>
      </c>
      <c r="I29" s="62">
        <v>1</v>
      </c>
      <c r="J29" s="95">
        <v>45812</v>
      </c>
      <c r="K29" s="44">
        <v>0.24</v>
      </c>
      <c r="L29" s="44">
        <v>6.89</v>
      </c>
      <c r="M29">
        <v>12</v>
      </c>
    </row>
    <row r="30" spans="1:13" x14ac:dyDescent="0.35">
      <c r="A30" s="62" t="s">
        <v>33</v>
      </c>
      <c r="B30" s="62" t="s">
        <v>30</v>
      </c>
      <c r="C30" s="62">
        <v>4</v>
      </c>
      <c r="D30" s="62">
        <v>1</v>
      </c>
      <c r="E30" s="62">
        <v>16</v>
      </c>
      <c r="F30" s="62">
        <v>64</v>
      </c>
      <c r="G30" s="62">
        <v>16</v>
      </c>
      <c r="H30" s="62">
        <v>116</v>
      </c>
      <c r="I30" s="62">
        <v>1</v>
      </c>
      <c r="J30" s="95">
        <v>45812</v>
      </c>
      <c r="K30" s="44">
        <v>0.13</v>
      </c>
      <c r="L30" s="44">
        <v>1.52</v>
      </c>
      <c r="M30">
        <v>10</v>
      </c>
    </row>
    <row r="31" spans="1:13" x14ac:dyDescent="0.35">
      <c r="A31" s="62" t="s">
        <v>33</v>
      </c>
      <c r="B31" s="62" t="s">
        <v>34</v>
      </c>
      <c r="C31" s="62">
        <v>4</v>
      </c>
      <c r="D31" s="62">
        <v>2</v>
      </c>
      <c r="E31" s="62">
        <v>16</v>
      </c>
      <c r="F31" s="62">
        <v>58</v>
      </c>
      <c r="G31" s="62">
        <v>18</v>
      </c>
      <c r="H31" s="62">
        <v>216</v>
      </c>
      <c r="I31" s="62">
        <v>1</v>
      </c>
      <c r="J31" s="95">
        <v>45812</v>
      </c>
      <c r="K31" s="44">
        <v>0.12</v>
      </c>
      <c r="L31" s="44">
        <v>1.29</v>
      </c>
      <c r="M31">
        <v>7</v>
      </c>
    </row>
    <row r="32" spans="1:13" x14ac:dyDescent="0.35">
      <c r="A32" s="62" t="s">
        <v>33</v>
      </c>
      <c r="B32" s="62" t="s">
        <v>29</v>
      </c>
      <c r="C32" s="62">
        <v>4</v>
      </c>
      <c r="D32" s="62">
        <v>3</v>
      </c>
      <c r="E32" s="62">
        <v>16</v>
      </c>
      <c r="F32" s="62">
        <v>62</v>
      </c>
      <c r="G32" s="62">
        <v>48</v>
      </c>
      <c r="H32" s="62">
        <v>316</v>
      </c>
      <c r="I32" s="62">
        <v>1</v>
      </c>
      <c r="J32" s="95">
        <v>45812</v>
      </c>
      <c r="K32" s="44">
        <v>0.14000000000000001</v>
      </c>
      <c r="L32" s="44">
        <v>1.67</v>
      </c>
      <c r="M32">
        <v>9</v>
      </c>
    </row>
    <row r="33" spans="1:14" x14ac:dyDescent="0.35">
      <c r="A33" s="62" t="s">
        <v>33</v>
      </c>
      <c r="B33" s="62" t="s">
        <v>35</v>
      </c>
      <c r="C33" s="62">
        <v>4</v>
      </c>
      <c r="D33" s="62">
        <v>4</v>
      </c>
      <c r="E33" s="62">
        <v>16</v>
      </c>
      <c r="F33" s="62">
        <v>60</v>
      </c>
      <c r="G33" s="62">
        <v>50</v>
      </c>
      <c r="H33" s="62">
        <v>416</v>
      </c>
      <c r="I33" s="62">
        <v>1</v>
      </c>
      <c r="J33" s="95">
        <v>45812</v>
      </c>
      <c r="K33" s="44">
        <v>0.14000000000000001</v>
      </c>
      <c r="L33" s="44">
        <v>1.29</v>
      </c>
      <c r="M33">
        <v>7</v>
      </c>
    </row>
    <row r="34" spans="1:14" ht="43.5" x14ac:dyDescent="0.35">
      <c r="A34" s="82" t="s">
        <v>20</v>
      </c>
      <c r="B34" s="82" t="s">
        <v>21</v>
      </c>
      <c r="C34" s="82" t="s">
        <v>22</v>
      </c>
      <c r="D34" s="82" t="s">
        <v>23</v>
      </c>
      <c r="E34" s="82" t="s">
        <v>24</v>
      </c>
      <c r="F34" s="82" t="s">
        <v>25</v>
      </c>
      <c r="G34" s="82" t="s">
        <v>26</v>
      </c>
      <c r="H34" s="82" t="s">
        <v>27</v>
      </c>
    </row>
    <row r="35" spans="1:14" x14ac:dyDescent="0.35">
      <c r="A35" s="62" t="s">
        <v>28</v>
      </c>
      <c r="B35" s="62" t="s">
        <v>29</v>
      </c>
      <c r="C35" s="62">
        <v>1</v>
      </c>
      <c r="D35" s="62">
        <v>1</v>
      </c>
      <c r="E35" s="62">
        <v>1</v>
      </c>
      <c r="F35" s="62">
        <v>101</v>
      </c>
      <c r="G35" s="62">
        <v>1</v>
      </c>
      <c r="H35" s="62">
        <v>1</v>
      </c>
      <c r="I35" s="62">
        <v>2</v>
      </c>
      <c r="J35" s="95">
        <v>45825</v>
      </c>
      <c r="K35" s="44">
        <v>0.39</v>
      </c>
      <c r="L35" s="44">
        <v>7.78</v>
      </c>
    </row>
    <row r="36" spans="1:14" x14ac:dyDescent="0.35">
      <c r="A36" s="62" t="s">
        <v>28</v>
      </c>
      <c r="B36" s="62" t="s">
        <v>30</v>
      </c>
      <c r="C36" s="62">
        <v>1</v>
      </c>
      <c r="D36" s="62">
        <v>2</v>
      </c>
      <c r="E36" s="62">
        <v>1</v>
      </c>
      <c r="F36" s="62">
        <v>201</v>
      </c>
      <c r="G36" s="62">
        <v>2</v>
      </c>
      <c r="H36" s="62">
        <v>32</v>
      </c>
      <c r="I36" s="62">
        <v>2</v>
      </c>
      <c r="J36" s="95">
        <v>45825</v>
      </c>
      <c r="K36" s="44">
        <v>0.37</v>
      </c>
      <c r="L36" s="44">
        <v>6.55</v>
      </c>
    </row>
    <row r="37" spans="1:14" x14ac:dyDescent="0.35">
      <c r="A37" s="62" t="s">
        <v>28</v>
      </c>
      <c r="B37" s="62" t="s">
        <v>31</v>
      </c>
      <c r="C37" s="62">
        <v>1</v>
      </c>
      <c r="D37" s="62">
        <v>3</v>
      </c>
      <c r="E37" s="62">
        <v>1</v>
      </c>
      <c r="F37" s="62">
        <v>301</v>
      </c>
      <c r="G37" s="62">
        <v>3</v>
      </c>
      <c r="H37" s="62">
        <v>33</v>
      </c>
      <c r="I37" s="62">
        <v>2</v>
      </c>
      <c r="J37" s="95">
        <v>45825</v>
      </c>
      <c r="K37" s="44">
        <v>0.36</v>
      </c>
      <c r="L37" s="44">
        <v>8.65</v>
      </c>
    </row>
    <row r="38" spans="1:14" x14ac:dyDescent="0.35">
      <c r="A38" s="62" t="s">
        <v>28</v>
      </c>
      <c r="B38" s="62" t="s">
        <v>32</v>
      </c>
      <c r="C38" s="62">
        <v>1</v>
      </c>
      <c r="D38" s="62">
        <v>4</v>
      </c>
      <c r="E38" s="62">
        <v>1</v>
      </c>
      <c r="F38" s="62">
        <v>401</v>
      </c>
      <c r="G38" s="62">
        <v>4</v>
      </c>
      <c r="H38" s="62">
        <v>64</v>
      </c>
      <c r="I38" s="62">
        <v>2</v>
      </c>
      <c r="J38" s="95">
        <v>45825</v>
      </c>
      <c r="K38" s="44">
        <v>0.28999999999999998</v>
      </c>
      <c r="L38" s="44">
        <v>5.87</v>
      </c>
    </row>
    <row r="39" spans="1:14" x14ac:dyDescent="0.35">
      <c r="A39" s="62" t="s">
        <v>28</v>
      </c>
      <c r="B39" s="62" t="s">
        <v>32</v>
      </c>
      <c r="C39" s="62">
        <v>1</v>
      </c>
      <c r="D39" s="62">
        <v>4</v>
      </c>
      <c r="E39" s="62">
        <v>2</v>
      </c>
      <c r="F39" s="62">
        <v>402</v>
      </c>
      <c r="G39" s="62">
        <v>5</v>
      </c>
      <c r="H39" s="62">
        <v>63</v>
      </c>
      <c r="I39" s="62">
        <v>2</v>
      </c>
      <c r="J39" s="95">
        <v>45825</v>
      </c>
      <c r="K39" s="44">
        <v>0.28999999999999998</v>
      </c>
      <c r="L39" s="44">
        <v>5.01</v>
      </c>
      <c r="M39">
        <v>16</v>
      </c>
      <c r="N39" t="s">
        <v>458</v>
      </c>
    </row>
    <row r="40" spans="1:14" x14ac:dyDescent="0.35">
      <c r="A40" s="62" t="s">
        <v>28</v>
      </c>
      <c r="B40" s="62" t="s">
        <v>31</v>
      </c>
      <c r="C40" s="62">
        <v>1</v>
      </c>
      <c r="D40" s="62">
        <v>3</v>
      </c>
      <c r="E40" s="62">
        <v>2</v>
      </c>
      <c r="F40" s="62">
        <v>302</v>
      </c>
      <c r="G40" s="62">
        <v>6</v>
      </c>
      <c r="H40" s="62">
        <v>34</v>
      </c>
      <c r="I40" s="62">
        <v>2</v>
      </c>
      <c r="J40" s="95">
        <v>45825</v>
      </c>
      <c r="K40" s="44">
        <v>0.28999999999999998</v>
      </c>
      <c r="L40" s="44">
        <v>8.18</v>
      </c>
      <c r="M40">
        <v>18</v>
      </c>
    </row>
    <row r="41" spans="1:14" x14ac:dyDescent="0.35">
      <c r="A41" s="62" t="s">
        <v>28</v>
      </c>
      <c r="B41" s="62" t="s">
        <v>30</v>
      </c>
      <c r="C41" s="62">
        <v>1</v>
      </c>
      <c r="D41" s="62">
        <v>2</v>
      </c>
      <c r="E41" s="62">
        <v>2</v>
      </c>
      <c r="F41" s="62">
        <v>202</v>
      </c>
      <c r="G41" s="62">
        <v>7</v>
      </c>
      <c r="H41" s="62">
        <v>31</v>
      </c>
      <c r="I41" s="62">
        <v>2</v>
      </c>
      <c r="J41" s="95">
        <v>45825</v>
      </c>
      <c r="K41" s="44">
        <v>0.41</v>
      </c>
      <c r="L41" s="44">
        <v>8.7100000000000009</v>
      </c>
      <c r="M41">
        <v>24</v>
      </c>
    </row>
    <row r="42" spans="1:14" x14ac:dyDescent="0.35">
      <c r="A42" s="62" t="s">
        <v>28</v>
      </c>
      <c r="B42" s="62" t="s">
        <v>29</v>
      </c>
      <c r="C42" s="62">
        <v>1</v>
      </c>
      <c r="D42" s="62">
        <v>1</v>
      </c>
      <c r="E42" s="62">
        <v>2</v>
      </c>
      <c r="F42" s="62">
        <v>102</v>
      </c>
      <c r="G42" s="62">
        <v>8</v>
      </c>
      <c r="H42" s="62">
        <v>2</v>
      </c>
      <c r="I42" s="62">
        <v>2</v>
      </c>
      <c r="J42" s="95">
        <v>45825</v>
      </c>
      <c r="K42" s="44">
        <v>0.4</v>
      </c>
      <c r="L42" s="44">
        <v>5.29</v>
      </c>
      <c r="M42" s="96">
        <v>20</v>
      </c>
    </row>
    <row r="43" spans="1:14" x14ac:dyDescent="0.35">
      <c r="A43" s="62" t="s">
        <v>33</v>
      </c>
      <c r="B43" s="62" t="s">
        <v>34</v>
      </c>
      <c r="C43" s="62">
        <v>1</v>
      </c>
      <c r="D43" s="62">
        <v>1</v>
      </c>
      <c r="E43" s="62">
        <v>3</v>
      </c>
      <c r="F43" s="62">
        <v>103</v>
      </c>
      <c r="G43" s="62">
        <v>9</v>
      </c>
      <c r="H43" s="62">
        <v>3</v>
      </c>
      <c r="I43" s="62">
        <v>2</v>
      </c>
      <c r="J43" s="95">
        <v>45825</v>
      </c>
      <c r="K43" s="44">
        <v>0.16</v>
      </c>
      <c r="L43" s="44">
        <v>3.35</v>
      </c>
    </row>
    <row r="44" spans="1:14" x14ac:dyDescent="0.35">
      <c r="A44" s="62" t="s">
        <v>33</v>
      </c>
      <c r="B44" s="62" t="s">
        <v>30</v>
      </c>
      <c r="C44" s="62">
        <v>1</v>
      </c>
      <c r="D44" s="62">
        <v>2</v>
      </c>
      <c r="E44" s="62">
        <v>3</v>
      </c>
      <c r="F44" s="62">
        <v>203</v>
      </c>
      <c r="G44" s="62">
        <v>10</v>
      </c>
      <c r="H44" s="62">
        <v>30</v>
      </c>
      <c r="I44" s="62">
        <v>2</v>
      </c>
      <c r="J44" s="95">
        <v>45825</v>
      </c>
      <c r="K44" s="44">
        <v>0.17</v>
      </c>
      <c r="L44" s="44">
        <v>2.08</v>
      </c>
    </row>
    <row r="45" spans="1:14" x14ac:dyDescent="0.35">
      <c r="A45" s="62" t="s">
        <v>33</v>
      </c>
      <c r="B45" s="62" t="s">
        <v>35</v>
      </c>
      <c r="C45" s="62">
        <v>1</v>
      </c>
      <c r="D45" s="62">
        <v>3</v>
      </c>
      <c r="E45" s="62">
        <v>3</v>
      </c>
      <c r="F45" s="62">
        <v>303</v>
      </c>
      <c r="G45" s="62">
        <v>11</v>
      </c>
      <c r="H45" s="62">
        <v>35</v>
      </c>
      <c r="I45" s="62">
        <v>2</v>
      </c>
      <c r="J45" s="95">
        <v>45825</v>
      </c>
      <c r="K45" s="44">
        <v>0.14000000000000001</v>
      </c>
      <c r="L45" s="44">
        <v>2.0099999999999998</v>
      </c>
    </row>
    <row r="46" spans="1:14" x14ac:dyDescent="0.35">
      <c r="A46" s="62" t="s">
        <v>33</v>
      </c>
      <c r="B46" s="62" t="s">
        <v>29</v>
      </c>
      <c r="C46" s="62">
        <v>1</v>
      </c>
      <c r="D46" s="62">
        <v>4</v>
      </c>
      <c r="E46" s="62">
        <v>3</v>
      </c>
      <c r="F46" s="62">
        <v>403</v>
      </c>
      <c r="G46" s="62">
        <v>12</v>
      </c>
      <c r="H46" s="62">
        <v>62</v>
      </c>
      <c r="I46" s="62">
        <v>2</v>
      </c>
      <c r="J46" s="95">
        <v>45825</v>
      </c>
      <c r="K46" s="44">
        <v>0.16</v>
      </c>
      <c r="L46" s="44">
        <v>1.83</v>
      </c>
    </row>
    <row r="47" spans="1:14" x14ac:dyDescent="0.35">
      <c r="A47" s="62" t="s">
        <v>33</v>
      </c>
      <c r="B47" s="62" t="s">
        <v>29</v>
      </c>
      <c r="C47" s="62">
        <v>1</v>
      </c>
      <c r="D47" s="62">
        <v>4</v>
      </c>
      <c r="E47" s="62">
        <v>4</v>
      </c>
      <c r="F47" s="62">
        <v>404</v>
      </c>
      <c r="G47" s="62">
        <v>13</v>
      </c>
      <c r="H47" s="62">
        <v>61</v>
      </c>
      <c r="I47" s="62">
        <v>2</v>
      </c>
      <c r="J47" s="95">
        <v>45825</v>
      </c>
      <c r="K47" s="44">
        <v>0.16</v>
      </c>
      <c r="L47" s="44">
        <v>1.99</v>
      </c>
      <c r="M47">
        <v>12</v>
      </c>
    </row>
    <row r="48" spans="1:14" x14ac:dyDescent="0.35">
      <c r="A48" s="62" t="s">
        <v>33</v>
      </c>
      <c r="B48" s="62" t="s">
        <v>35</v>
      </c>
      <c r="C48" s="62">
        <v>1</v>
      </c>
      <c r="D48" s="62">
        <v>3</v>
      </c>
      <c r="E48" s="62">
        <v>4</v>
      </c>
      <c r="F48" s="62">
        <v>304</v>
      </c>
      <c r="G48" s="62">
        <v>14</v>
      </c>
      <c r="H48" s="62">
        <v>36</v>
      </c>
      <c r="I48" s="62">
        <v>2</v>
      </c>
      <c r="J48" s="95">
        <v>45825</v>
      </c>
      <c r="K48" s="44">
        <v>0.16</v>
      </c>
      <c r="L48" s="44">
        <v>2.58</v>
      </c>
      <c r="M48">
        <v>11</v>
      </c>
    </row>
    <row r="49" spans="1:13" x14ac:dyDescent="0.35">
      <c r="A49" s="62" t="s">
        <v>33</v>
      </c>
      <c r="B49" s="62" t="s">
        <v>30</v>
      </c>
      <c r="C49" s="62">
        <v>1</v>
      </c>
      <c r="D49" s="62">
        <v>2</v>
      </c>
      <c r="E49" s="62">
        <v>4</v>
      </c>
      <c r="F49" s="62">
        <v>204</v>
      </c>
      <c r="G49" s="62">
        <v>15</v>
      </c>
      <c r="H49" s="62">
        <v>29</v>
      </c>
      <c r="I49" s="62">
        <v>2</v>
      </c>
      <c r="J49" s="95">
        <v>45825</v>
      </c>
      <c r="K49" s="44">
        <v>0.16</v>
      </c>
      <c r="L49" s="44">
        <v>3.94</v>
      </c>
      <c r="M49">
        <v>12</v>
      </c>
    </row>
    <row r="50" spans="1:13" x14ac:dyDescent="0.35">
      <c r="A50" s="62" t="s">
        <v>33</v>
      </c>
      <c r="B50" s="62" t="s">
        <v>34</v>
      </c>
      <c r="C50" s="62">
        <v>1</v>
      </c>
      <c r="D50" s="62">
        <v>1</v>
      </c>
      <c r="E50" s="62">
        <v>4</v>
      </c>
      <c r="F50" s="62">
        <v>104</v>
      </c>
      <c r="G50" s="62">
        <v>16</v>
      </c>
      <c r="H50" s="62">
        <v>4</v>
      </c>
      <c r="I50" s="62">
        <v>2</v>
      </c>
      <c r="J50" s="95">
        <v>45825</v>
      </c>
      <c r="K50" s="44">
        <v>0.16</v>
      </c>
      <c r="L50" s="44">
        <v>3.01</v>
      </c>
      <c r="M50">
        <v>11</v>
      </c>
    </row>
    <row r="51" spans="1:13" x14ac:dyDescent="0.35">
      <c r="A51" s="62" t="s">
        <v>28</v>
      </c>
      <c r="B51" s="62" t="s">
        <v>31</v>
      </c>
      <c r="C51" s="62">
        <v>2</v>
      </c>
      <c r="D51" s="62">
        <v>1</v>
      </c>
      <c r="E51" s="62">
        <v>5</v>
      </c>
      <c r="F51" s="62">
        <v>105</v>
      </c>
      <c r="G51" s="62">
        <v>17</v>
      </c>
      <c r="H51" s="62">
        <v>5</v>
      </c>
      <c r="I51" s="62">
        <v>2</v>
      </c>
      <c r="J51" s="95">
        <v>45825</v>
      </c>
      <c r="K51" s="44">
        <v>0.45</v>
      </c>
      <c r="L51" s="44">
        <v>10.029999999999999</v>
      </c>
    </row>
    <row r="52" spans="1:13" x14ac:dyDescent="0.35">
      <c r="A52" s="62" t="s">
        <v>28</v>
      </c>
      <c r="B52" s="62" t="s">
        <v>32</v>
      </c>
      <c r="C52" s="62">
        <v>2</v>
      </c>
      <c r="D52" s="62">
        <v>2</v>
      </c>
      <c r="E52" s="62">
        <v>5</v>
      </c>
      <c r="F52" s="62">
        <v>205</v>
      </c>
      <c r="G52" s="62">
        <v>18</v>
      </c>
      <c r="H52" s="62">
        <v>28</v>
      </c>
      <c r="I52" s="62">
        <v>2</v>
      </c>
      <c r="J52" s="95">
        <v>45825</v>
      </c>
      <c r="K52" s="44">
        <v>0.36</v>
      </c>
      <c r="L52" s="44">
        <v>5.91</v>
      </c>
    </row>
    <row r="53" spans="1:13" x14ac:dyDescent="0.35">
      <c r="A53" s="62" t="s">
        <v>28</v>
      </c>
      <c r="B53" s="62" t="s">
        <v>30</v>
      </c>
      <c r="C53" s="62">
        <v>2</v>
      </c>
      <c r="D53" s="62">
        <v>3</v>
      </c>
      <c r="E53" s="62">
        <v>5</v>
      </c>
      <c r="F53" s="62">
        <v>305</v>
      </c>
      <c r="G53" s="62">
        <v>19</v>
      </c>
      <c r="H53" s="62">
        <v>37</v>
      </c>
      <c r="I53" s="62">
        <v>2</v>
      </c>
      <c r="J53" s="95">
        <v>45825</v>
      </c>
      <c r="K53" s="44">
        <v>0.23</v>
      </c>
      <c r="L53" s="44">
        <v>2.12</v>
      </c>
    </row>
    <row r="54" spans="1:13" x14ac:dyDescent="0.35">
      <c r="A54" s="62" t="s">
        <v>28</v>
      </c>
      <c r="B54" s="62" t="s">
        <v>29</v>
      </c>
      <c r="C54" s="62">
        <v>2</v>
      </c>
      <c r="D54" s="62">
        <v>4</v>
      </c>
      <c r="E54" s="62">
        <v>5</v>
      </c>
      <c r="F54" s="62">
        <v>405</v>
      </c>
      <c r="G54" s="62">
        <v>20</v>
      </c>
      <c r="H54" s="62">
        <v>60</v>
      </c>
      <c r="I54" s="62">
        <v>2</v>
      </c>
      <c r="J54" s="95">
        <v>45825</v>
      </c>
      <c r="K54" s="44">
        <v>0.31</v>
      </c>
      <c r="L54" s="44">
        <v>6.24</v>
      </c>
    </row>
    <row r="55" spans="1:13" x14ac:dyDescent="0.35">
      <c r="A55" s="62" t="s">
        <v>28</v>
      </c>
      <c r="B55" s="62" t="s">
        <v>29</v>
      </c>
      <c r="C55" s="62">
        <v>2</v>
      </c>
      <c r="D55" s="62">
        <v>4</v>
      </c>
      <c r="E55" s="62">
        <v>6</v>
      </c>
      <c r="F55" s="62">
        <v>406</v>
      </c>
      <c r="G55" s="62">
        <v>21</v>
      </c>
      <c r="H55" s="62">
        <v>59</v>
      </c>
      <c r="I55" s="62">
        <v>2</v>
      </c>
      <c r="J55" s="95">
        <v>45825</v>
      </c>
      <c r="K55" s="44">
        <v>0.31</v>
      </c>
      <c r="L55" s="44">
        <v>6.86</v>
      </c>
      <c r="M55">
        <v>24</v>
      </c>
    </row>
    <row r="56" spans="1:13" x14ac:dyDescent="0.35">
      <c r="A56" s="62" t="s">
        <v>28</v>
      </c>
      <c r="B56" s="62" t="s">
        <v>30</v>
      </c>
      <c r="C56" s="62">
        <v>2</v>
      </c>
      <c r="D56" s="62">
        <v>3</v>
      </c>
      <c r="E56" s="62">
        <v>6</v>
      </c>
      <c r="F56" s="62">
        <v>306</v>
      </c>
      <c r="G56" s="62">
        <v>22</v>
      </c>
      <c r="H56" s="62">
        <v>38</v>
      </c>
      <c r="I56" s="62">
        <v>2</v>
      </c>
      <c r="J56" s="95">
        <v>45825</v>
      </c>
      <c r="K56" s="44">
        <v>0.3</v>
      </c>
      <c r="L56" s="44">
        <v>11.94</v>
      </c>
      <c r="M56">
        <v>17</v>
      </c>
    </row>
    <row r="57" spans="1:13" x14ac:dyDescent="0.35">
      <c r="A57" s="62" t="s">
        <v>28</v>
      </c>
      <c r="B57" s="62" t="s">
        <v>32</v>
      </c>
      <c r="C57" s="62">
        <v>2</v>
      </c>
      <c r="D57" s="62">
        <v>2</v>
      </c>
      <c r="E57" s="62">
        <v>6</v>
      </c>
      <c r="F57" s="62">
        <v>206</v>
      </c>
      <c r="G57" s="62">
        <v>23</v>
      </c>
      <c r="H57" s="62">
        <v>27</v>
      </c>
      <c r="I57" s="62">
        <v>2</v>
      </c>
      <c r="J57" s="95">
        <v>45825</v>
      </c>
      <c r="K57" s="44">
        <v>0.35</v>
      </c>
      <c r="L57" s="44">
        <v>8.39</v>
      </c>
      <c r="M57">
        <v>14</v>
      </c>
    </row>
    <row r="58" spans="1:13" x14ac:dyDescent="0.35">
      <c r="A58" s="62" t="s">
        <v>28</v>
      </c>
      <c r="B58" s="62" t="s">
        <v>31</v>
      </c>
      <c r="C58" s="62">
        <v>2</v>
      </c>
      <c r="D58" s="62">
        <v>1</v>
      </c>
      <c r="E58" s="62">
        <v>6</v>
      </c>
      <c r="F58" s="62">
        <v>106</v>
      </c>
      <c r="G58" s="62">
        <v>24</v>
      </c>
      <c r="H58" s="62">
        <v>6</v>
      </c>
      <c r="I58" s="62">
        <v>2</v>
      </c>
      <c r="J58" s="95">
        <v>45825</v>
      </c>
      <c r="K58" s="44">
        <v>0.51</v>
      </c>
      <c r="L58" s="44">
        <v>6.62</v>
      </c>
      <c r="M58">
        <v>21</v>
      </c>
    </row>
    <row r="59" spans="1:13" x14ac:dyDescent="0.35">
      <c r="A59" s="62" t="s">
        <v>33</v>
      </c>
      <c r="B59" s="62" t="s">
        <v>35</v>
      </c>
      <c r="C59" s="62">
        <v>2</v>
      </c>
      <c r="D59" s="62">
        <v>1</v>
      </c>
      <c r="E59" s="62">
        <v>7</v>
      </c>
      <c r="F59" s="62">
        <v>107</v>
      </c>
      <c r="G59" s="62">
        <v>25</v>
      </c>
      <c r="H59" s="62">
        <v>7</v>
      </c>
      <c r="I59" s="62">
        <v>2</v>
      </c>
      <c r="J59" s="95">
        <v>45825</v>
      </c>
      <c r="K59" s="44">
        <v>0.16</v>
      </c>
      <c r="L59" s="44">
        <v>2.0499999999999998</v>
      </c>
    </row>
    <row r="60" spans="1:13" x14ac:dyDescent="0.35">
      <c r="A60" s="62" t="s">
        <v>33</v>
      </c>
      <c r="B60" s="62" t="s">
        <v>29</v>
      </c>
      <c r="C60" s="62">
        <v>2</v>
      </c>
      <c r="D60" s="62">
        <v>2</v>
      </c>
      <c r="E60" s="62">
        <v>7</v>
      </c>
      <c r="F60" s="62">
        <v>207</v>
      </c>
      <c r="G60" s="62">
        <v>26</v>
      </c>
      <c r="H60" s="62">
        <v>26</v>
      </c>
      <c r="I60" s="62">
        <v>2</v>
      </c>
      <c r="J60" s="95">
        <v>45825</v>
      </c>
      <c r="K60" s="44">
        <v>0.18</v>
      </c>
      <c r="L60" s="44">
        <v>3.24</v>
      </c>
    </row>
    <row r="61" spans="1:13" x14ac:dyDescent="0.35">
      <c r="A61" s="62" t="s">
        <v>33</v>
      </c>
      <c r="B61" s="62" t="s">
        <v>30</v>
      </c>
      <c r="C61" s="62">
        <v>2</v>
      </c>
      <c r="D61" s="62">
        <v>3</v>
      </c>
      <c r="E61" s="62">
        <v>7</v>
      </c>
      <c r="F61" s="62">
        <v>307</v>
      </c>
      <c r="G61" s="62">
        <v>27</v>
      </c>
      <c r="H61" s="62">
        <v>39</v>
      </c>
      <c r="I61" s="62">
        <v>2</v>
      </c>
      <c r="J61" s="95">
        <v>45825</v>
      </c>
      <c r="K61" s="44">
        <v>0.15</v>
      </c>
      <c r="L61" s="44">
        <v>3.71</v>
      </c>
    </row>
    <row r="62" spans="1:13" x14ac:dyDescent="0.35">
      <c r="A62" s="62" t="s">
        <v>33</v>
      </c>
      <c r="B62" s="62" t="s">
        <v>34</v>
      </c>
      <c r="C62" s="62">
        <v>2</v>
      </c>
      <c r="D62" s="62">
        <v>4</v>
      </c>
      <c r="E62" s="62">
        <v>7</v>
      </c>
      <c r="F62" s="62">
        <v>407</v>
      </c>
      <c r="G62" s="62">
        <v>28</v>
      </c>
      <c r="H62" s="62">
        <v>58</v>
      </c>
      <c r="I62" s="62">
        <v>2</v>
      </c>
      <c r="J62" s="95">
        <v>45825</v>
      </c>
      <c r="K62" s="44">
        <v>0.17</v>
      </c>
      <c r="L62" s="44">
        <v>4.7</v>
      </c>
    </row>
    <row r="63" spans="1:13" x14ac:dyDescent="0.35">
      <c r="A63" s="62" t="s">
        <v>33</v>
      </c>
      <c r="B63" s="62" t="s">
        <v>34</v>
      </c>
      <c r="C63" s="62">
        <v>2</v>
      </c>
      <c r="D63" s="62">
        <v>4</v>
      </c>
      <c r="E63" s="62">
        <v>8</v>
      </c>
      <c r="F63" s="62">
        <v>408</v>
      </c>
      <c r="G63" s="62">
        <v>29</v>
      </c>
      <c r="H63" s="62">
        <v>57</v>
      </c>
      <c r="I63" s="62">
        <v>2</v>
      </c>
      <c r="J63" s="95">
        <v>45825</v>
      </c>
      <c r="K63" s="44">
        <v>0.18</v>
      </c>
      <c r="L63" s="44">
        <v>1.79</v>
      </c>
      <c r="M63">
        <v>15</v>
      </c>
    </row>
    <row r="64" spans="1:13" x14ac:dyDescent="0.35">
      <c r="A64" s="62" t="s">
        <v>33</v>
      </c>
      <c r="B64" s="62" t="s">
        <v>30</v>
      </c>
      <c r="C64" s="62">
        <v>2</v>
      </c>
      <c r="D64" s="62">
        <v>3</v>
      </c>
      <c r="E64" s="62">
        <v>8</v>
      </c>
      <c r="F64" s="62">
        <v>308</v>
      </c>
      <c r="G64" s="62">
        <v>30</v>
      </c>
      <c r="H64" s="62">
        <v>40</v>
      </c>
      <c r="I64" s="62">
        <v>2</v>
      </c>
      <c r="J64" s="95">
        <v>45825</v>
      </c>
      <c r="K64" s="44">
        <v>0.15</v>
      </c>
      <c r="L64" s="44">
        <v>1.83</v>
      </c>
      <c r="M64">
        <v>16</v>
      </c>
    </row>
    <row r="65" spans="1:13" x14ac:dyDescent="0.35">
      <c r="A65" s="62" t="s">
        <v>33</v>
      </c>
      <c r="B65" s="62" t="s">
        <v>29</v>
      </c>
      <c r="C65" s="62">
        <v>2</v>
      </c>
      <c r="D65" s="62">
        <v>2</v>
      </c>
      <c r="E65" s="62">
        <v>8</v>
      </c>
      <c r="F65" s="62">
        <v>208</v>
      </c>
      <c r="G65" s="62">
        <v>31</v>
      </c>
      <c r="H65" s="62">
        <v>25</v>
      </c>
      <c r="I65" s="62">
        <v>2</v>
      </c>
      <c r="J65" s="95">
        <v>45825</v>
      </c>
      <c r="K65" s="44">
        <v>0.14000000000000001</v>
      </c>
      <c r="L65" s="44">
        <v>5.82</v>
      </c>
      <c r="M65">
        <v>15</v>
      </c>
    </row>
    <row r="66" spans="1:13" x14ac:dyDescent="0.35">
      <c r="A66" s="62" t="s">
        <v>33</v>
      </c>
      <c r="B66" s="62" t="s">
        <v>35</v>
      </c>
      <c r="C66" s="62">
        <v>2</v>
      </c>
      <c r="D66" s="62">
        <v>1</v>
      </c>
      <c r="E66" s="62">
        <v>8</v>
      </c>
      <c r="F66" s="62">
        <v>108</v>
      </c>
      <c r="G66" s="62">
        <v>32</v>
      </c>
      <c r="H66" s="62">
        <v>8</v>
      </c>
      <c r="I66" s="62">
        <v>2</v>
      </c>
      <c r="J66" s="95">
        <v>45825</v>
      </c>
      <c r="K66" s="44">
        <v>0.16</v>
      </c>
      <c r="L66" s="44">
        <v>2.69</v>
      </c>
      <c r="M66">
        <v>12</v>
      </c>
    </row>
    <row r="67" spans="1:13" x14ac:dyDescent="0.35">
      <c r="A67" s="62" t="s">
        <v>28</v>
      </c>
      <c r="B67" s="62" t="s">
        <v>32</v>
      </c>
      <c r="C67" s="62">
        <v>3</v>
      </c>
      <c r="D67" s="62">
        <v>1</v>
      </c>
      <c r="E67" s="62">
        <v>9</v>
      </c>
      <c r="F67" s="62">
        <v>109</v>
      </c>
      <c r="G67" s="62">
        <v>33</v>
      </c>
      <c r="H67" s="62">
        <v>9</v>
      </c>
      <c r="I67" s="62">
        <v>2</v>
      </c>
      <c r="J67" s="95">
        <v>45825</v>
      </c>
      <c r="K67" s="44">
        <v>0.36</v>
      </c>
      <c r="L67" s="44">
        <v>7.06</v>
      </c>
    </row>
    <row r="68" spans="1:13" x14ac:dyDescent="0.35">
      <c r="A68" s="62" t="s">
        <v>28</v>
      </c>
      <c r="B68" s="62" t="s">
        <v>31</v>
      </c>
      <c r="C68" s="62">
        <v>3</v>
      </c>
      <c r="D68" s="62">
        <v>2</v>
      </c>
      <c r="E68" s="62">
        <v>9</v>
      </c>
      <c r="F68" s="62">
        <v>209</v>
      </c>
      <c r="G68" s="62">
        <v>34</v>
      </c>
      <c r="H68" s="62">
        <v>24</v>
      </c>
      <c r="I68" s="62">
        <v>2</v>
      </c>
      <c r="J68" s="95">
        <v>45825</v>
      </c>
      <c r="K68" s="44">
        <v>0.43</v>
      </c>
      <c r="L68" s="44">
        <v>8.0299999999999994</v>
      </c>
    </row>
    <row r="69" spans="1:13" x14ac:dyDescent="0.35">
      <c r="A69" s="62" t="s">
        <v>28</v>
      </c>
      <c r="B69" s="62" t="s">
        <v>29</v>
      </c>
      <c r="C69" s="62">
        <v>3</v>
      </c>
      <c r="D69" s="62">
        <v>3</v>
      </c>
      <c r="E69" s="62">
        <v>9</v>
      </c>
      <c r="F69" s="62">
        <v>309</v>
      </c>
      <c r="G69" s="62">
        <v>35</v>
      </c>
      <c r="H69" s="62">
        <v>41</v>
      </c>
      <c r="I69" s="62">
        <v>2</v>
      </c>
      <c r="J69" s="95">
        <v>45825</v>
      </c>
      <c r="K69" s="44">
        <v>0.22</v>
      </c>
      <c r="L69" s="44">
        <v>7.62</v>
      </c>
    </row>
    <row r="70" spans="1:13" x14ac:dyDescent="0.35">
      <c r="A70" s="62" t="s">
        <v>28</v>
      </c>
      <c r="B70" s="62" t="s">
        <v>30</v>
      </c>
      <c r="C70" s="62">
        <v>3</v>
      </c>
      <c r="D70" s="62">
        <v>4</v>
      </c>
      <c r="E70" s="62">
        <v>9</v>
      </c>
      <c r="F70" s="62">
        <v>409</v>
      </c>
      <c r="G70" s="62">
        <v>36</v>
      </c>
      <c r="H70" s="62">
        <v>56</v>
      </c>
      <c r="I70" s="62">
        <v>2</v>
      </c>
      <c r="J70" s="95">
        <v>45825</v>
      </c>
      <c r="K70" s="44">
        <v>0.35</v>
      </c>
      <c r="L70" s="44">
        <v>6.2</v>
      </c>
    </row>
    <row r="71" spans="1:13" x14ac:dyDescent="0.35">
      <c r="A71" s="62" t="s">
        <v>28</v>
      </c>
      <c r="B71" s="62" t="s">
        <v>30</v>
      </c>
      <c r="C71" s="62">
        <v>3</v>
      </c>
      <c r="D71" s="62">
        <v>4</v>
      </c>
      <c r="E71" s="62">
        <v>10</v>
      </c>
      <c r="F71" s="62">
        <v>410</v>
      </c>
      <c r="G71" s="62">
        <v>37</v>
      </c>
      <c r="H71" s="62">
        <v>55</v>
      </c>
      <c r="I71" s="62">
        <v>2</v>
      </c>
      <c r="J71" s="95">
        <v>45825</v>
      </c>
      <c r="K71" s="44">
        <v>0.27</v>
      </c>
      <c r="L71" s="44">
        <v>5.98</v>
      </c>
      <c r="M71">
        <v>20</v>
      </c>
    </row>
    <row r="72" spans="1:13" x14ac:dyDescent="0.35">
      <c r="A72" s="62" t="s">
        <v>28</v>
      </c>
      <c r="B72" s="62" t="s">
        <v>29</v>
      </c>
      <c r="C72" s="62">
        <v>3</v>
      </c>
      <c r="D72" s="62">
        <v>3</v>
      </c>
      <c r="E72" s="62">
        <v>10</v>
      </c>
      <c r="F72" s="62">
        <v>310</v>
      </c>
      <c r="G72" s="62">
        <v>38</v>
      </c>
      <c r="H72" s="62">
        <v>42</v>
      </c>
      <c r="I72" s="62">
        <v>2</v>
      </c>
      <c r="J72" s="95">
        <v>45825</v>
      </c>
      <c r="K72" s="44">
        <v>0.24</v>
      </c>
      <c r="L72" s="44">
        <v>6.63</v>
      </c>
      <c r="M72">
        <v>20</v>
      </c>
    </row>
    <row r="73" spans="1:13" x14ac:dyDescent="0.35">
      <c r="A73" s="62" t="s">
        <v>28</v>
      </c>
      <c r="B73" s="62" t="s">
        <v>31</v>
      </c>
      <c r="C73" s="62">
        <v>3</v>
      </c>
      <c r="D73" s="62">
        <v>2</v>
      </c>
      <c r="E73" s="62">
        <v>10</v>
      </c>
      <c r="F73" s="62">
        <v>210</v>
      </c>
      <c r="G73" s="62">
        <v>39</v>
      </c>
      <c r="H73" s="62">
        <v>23</v>
      </c>
      <c r="I73" s="62">
        <v>2</v>
      </c>
      <c r="J73" s="95">
        <v>45825</v>
      </c>
      <c r="K73" s="44">
        <v>0.36</v>
      </c>
      <c r="L73" s="44">
        <v>11.25</v>
      </c>
      <c r="M73">
        <v>20</v>
      </c>
    </row>
    <row r="74" spans="1:13" x14ac:dyDescent="0.35">
      <c r="A74" s="62" t="s">
        <v>28</v>
      </c>
      <c r="B74" s="62" t="s">
        <v>32</v>
      </c>
      <c r="C74" s="62">
        <v>3</v>
      </c>
      <c r="D74" s="62">
        <v>1</v>
      </c>
      <c r="E74" s="62">
        <v>10</v>
      </c>
      <c r="F74" s="62">
        <v>110</v>
      </c>
      <c r="G74" s="62">
        <v>40</v>
      </c>
      <c r="H74" s="62">
        <v>10</v>
      </c>
      <c r="I74" s="62">
        <v>2</v>
      </c>
      <c r="J74" s="95">
        <v>45825</v>
      </c>
      <c r="K74" s="44">
        <v>0.38</v>
      </c>
      <c r="L74" s="44">
        <v>6.82</v>
      </c>
      <c r="M74">
        <v>18</v>
      </c>
    </row>
    <row r="75" spans="1:13" x14ac:dyDescent="0.35">
      <c r="A75" s="62" t="s">
        <v>33</v>
      </c>
      <c r="B75" s="62" t="s">
        <v>29</v>
      </c>
      <c r="C75" s="62">
        <v>3</v>
      </c>
      <c r="D75" s="62">
        <v>1</v>
      </c>
      <c r="E75" s="62">
        <v>11</v>
      </c>
      <c r="F75" s="62">
        <v>111</v>
      </c>
      <c r="G75" s="62">
        <v>41</v>
      </c>
      <c r="H75" s="62">
        <v>11</v>
      </c>
      <c r="I75" s="62">
        <v>2</v>
      </c>
      <c r="J75" s="95">
        <v>45825</v>
      </c>
      <c r="K75" s="44">
        <v>0.14000000000000001</v>
      </c>
      <c r="L75" s="44">
        <v>1.83</v>
      </c>
    </row>
    <row r="76" spans="1:13" x14ac:dyDescent="0.35">
      <c r="A76" s="62" t="s">
        <v>33</v>
      </c>
      <c r="B76" s="62" t="s">
        <v>35</v>
      </c>
      <c r="C76" s="62">
        <v>3</v>
      </c>
      <c r="D76" s="62">
        <v>2</v>
      </c>
      <c r="E76" s="62">
        <v>11</v>
      </c>
      <c r="F76" s="62">
        <v>211</v>
      </c>
      <c r="G76" s="62">
        <v>42</v>
      </c>
      <c r="H76" s="62">
        <v>22</v>
      </c>
      <c r="I76" s="62">
        <v>2</v>
      </c>
      <c r="J76" s="95">
        <v>45825</v>
      </c>
      <c r="K76" s="44">
        <v>0.18</v>
      </c>
      <c r="L76" s="44">
        <v>2.73</v>
      </c>
    </row>
    <row r="77" spans="1:13" x14ac:dyDescent="0.35">
      <c r="A77" s="62" t="s">
        <v>33</v>
      </c>
      <c r="B77" s="62" t="s">
        <v>34</v>
      </c>
      <c r="C77" s="62">
        <v>3</v>
      </c>
      <c r="D77" s="62">
        <v>3</v>
      </c>
      <c r="E77" s="62">
        <v>11</v>
      </c>
      <c r="F77" s="62">
        <v>311</v>
      </c>
      <c r="G77" s="62">
        <v>43</v>
      </c>
      <c r="H77" s="62">
        <v>43</v>
      </c>
      <c r="I77" s="62">
        <v>2</v>
      </c>
      <c r="J77" s="95">
        <v>45825</v>
      </c>
      <c r="K77" s="44">
        <v>0.15</v>
      </c>
      <c r="L77" s="44">
        <v>2.13</v>
      </c>
    </row>
    <row r="78" spans="1:13" x14ac:dyDescent="0.35">
      <c r="A78" s="62" t="s">
        <v>33</v>
      </c>
      <c r="B78" s="62" t="s">
        <v>30</v>
      </c>
      <c r="C78" s="62">
        <v>3</v>
      </c>
      <c r="D78" s="62">
        <v>4</v>
      </c>
      <c r="E78" s="62">
        <v>11</v>
      </c>
      <c r="F78" s="62">
        <v>411</v>
      </c>
      <c r="G78" s="62">
        <v>44</v>
      </c>
      <c r="H78" s="62">
        <v>54</v>
      </c>
      <c r="I78" s="62">
        <v>2</v>
      </c>
      <c r="J78" s="95">
        <v>45825</v>
      </c>
      <c r="K78" s="44">
        <v>0.16</v>
      </c>
      <c r="L78" s="44">
        <v>1.49</v>
      </c>
    </row>
    <row r="79" spans="1:13" x14ac:dyDescent="0.35">
      <c r="A79" s="62" t="s">
        <v>33</v>
      </c>
      <c r="B79" s="62" t="s">
        <v>30</v>
      </c>
      <c r="C79" s="62">
        <v>3</v>
      </c>
      <c r="D79" s="62">
        <v>4</v>
      </c>
      <c r="E79" s="62">
        <v>12</v>
      </c>
      <c r="F79" s="62">
        <v>412</v>
      </c>
      <c r="G79" s="62">
        <v>45</v>
      </c>
      <c r="H79" s="62">
        <v>53</v>
      </c>
      <c r="I79" s="62">
        <v>2</v>
      </c>
      <c r="J79" s="95">
        <v>45825</v>
      </c>
      <c r="K79" s="44">
        <v>0.14000000000000001</v>
      </c>
      <c r="L79" s="44">
        <v>2.88</v>
      </c>
      <c r="M79">
        <v>16</v>
      </c>
    </row>
    <row r="80" spans="1:13" x14ac:dyDescent="0.35">
      <c r="A80" s="62" t="s">
        <v>33</v>
      </c>
      <c r="B80" s="62" t="s">
        <v>34</v>
      </c>
      <c r="C80" s="62">
        <v>3</v>
      </c>
      <c r="D80" s="62">
        <v>3</v>
      </c>
      <c r="E80" s="62">
        <v>12</v>
      </c>
      <c r="F80" s="62">
        <v>312</v>
      </c>
      <c r="G80" s="62">
        <v>46</v>
      </c>
      <c r="H80" s="62">
        <v>44</v>
      </c>
      <c r="I80" s="62">
        <v>2</v>
      </c>
      <c r="J80" s="95">
        <v>45825</v>
      </c>
      <c r="K80" s="44">
        <v>0.15</v>
      </c>
      <c r="L80" s="44">
        <v>2.6</v>
      </c>
      <c r="M80">
        <v>19</v>
      </c>
    </row>
    <row r="81" spans="1:13" x14ac:dyDescent="0.35">
      <c r="A81" s="62" t="s">
        <v>33</v>
      </c>
      <c r="B81" s="62" t="s">
        <v>35</v>
      </c>
      <c r="C81" s="62">
        <v>3</v>
      </c>
      <c r="D81" s="62">
        <v>2</v>
      </c>
      <c r="E81" s="62">
        <v>12</v>
      </c>
      <c r="F81" s="62">
        <v>212</v>
      </c>
      <c r="G81" s="62">
        <v>47</v>
      </c>
      <c r="H81" s="62">
        <v>21</v>
      </c>
      <c r="I81" s="62">
        <v>2</v>
      </c>
      <c r="J81" s="95">
        <v>45825</v>
      </c>
      <c r="K81" s="44">
        <v>0.15</v>
      </c>
      <c r="L81" s="44">
        <v>3.05</v>
      </c>
      <c r="M81">
        <v>14</v>
      </c>
    </row>
    <row r="82" spans="1:13" x14ac:dyDescent="0.35">
      <c r="A82" s="62" t="s">
        <v>33</v>
      </c>
      <c r="B82" s="62" t="s">
        <v>29</v>
      </c>
      <c r="C82" s="62">
        <v>3</v>
      </c>
      <c r="D82" s="62">
        <v>1</v>
      </c>
      <c r="E82" s="62">
        <v>12</v>
      </c>
      <c r="F82" s="62">
        <v>112</v>
      </c>
      <c r="G82" s="62">
        <v>48</v>
      </c>
      <c r="H82" s="62">
        <v>12</v>
      </c>
      <c r="I82" s="62">
        <v>2</v>
      </c>
      <c r="J82" s="95">
        <v>45825</v>
      </c>
      <c r="K82" s="44">
        <v>0.15</v>
      </c>
      <c r="L82" s="44">
        <v>4.16</v>
      </c>
      <c r="M82">
        <v>17</v>
      </c>
    </row>
    <row r="83" spans="1:13" x14ac:dyDescent="0.35">
      <c r="A83" s="62" t="s">
        <v>28</v>
      </c>
      <c r="B83" s="62" t="s">
        <v>30</v>
      </c>
      <c r="C83" s="62">
        <v>4</v>
      </c>
      <c r="D83" s="62">
        <v>1</v>
      </c>
      <c r="E83" s="62">
        <v>13</v>
      </c>
      <c r="F83" s="62">
        <v>113</v>
      </c>
      <c r="G83" s="62">
        <v>49</v>
      </c>
      <c r="H83" s="62">
        <v>13</v>
      </c>
      <c r="I83" s="62">
        <v>2</v>
      </c>
      <c r="J83" s="95">
        <v>45825</v>
      </c>
      <c r="K83" s="44">
        <v>0.35</v>
      </c>
      <c r="L83" s="44">
        <v>6.01</v>
      </c>
    </row>
    <row r="84" spans="1:13" x14ac:dyDescent="0.35">
      <c r="A84" s="62" t="s">
        <v>28</v>
      </c>
      <c r="B84" s="62" t="s">
        <v>29</v>
      </c>
      <c r="C84" s="62">
        <v>4</v>
      </c>
      <c r="D84" s="62">
        <v>2</v>
      </c>
      <c r="E84" s="62">
        <v>13</v>
      </c>
      <c r="F84" s="62">
        <v>213</v>
      </c>
      <c r="G84" s="62">
        <v>50</v>
      </c>
      <c r="H84" s="62">
        <v>20</v>
      </c>
      <c r="I84" s="62">
        <v>2</v>
      </c>
      <c r="J84" s="95">
        <v>45825</v>
      </c>
      <c r="K84" s="44">
        <v>0.33</v>
      </c>
      <c r="L84" s="44">
        <v>8.86</v>
      </c>
    </row>
    <row r="85" spans="1:13" x14ac:dyDescent="0.35">
      <c r="A85" s="62" t="s">
        <v>28</v>
      </c>
      <c r="B85" s="62" t="s">
        <v>32</v>
      </c>
      <c r="C85" s="62">
        <v>4</v>
      </c>
      <c r="D85" s="62">
        <v>3</v>
      </c>
      <c r="E85" s="62">
        <v>13</v>
      </c>
      <c r="F85" s="62">
        <v>313</v>
      </c>
      <c r="G85" s="62">
        <v>51</v>
      </c>
      <c r="H85" s="62">
        <v>45</v>
      </c>
      <c r="I85" s="62">
        <v>2</v>
      </c>
      <c r="J85" s="95">
        <v>45825</v>
      </c>
      <c r="K85" s="44">
        <v>0.23</v>
      </c>
      <c r="L85" s="44">
        <v>5.32</v>
      </c>
    </row>
    <row r="86" spans="1:13" x14ac:dyDescent="0.35">
      <c r="A86" s="62" t="s">
        <v>28</v>
      </c>
      <c r="B86" s="62" t="s">
        <v>31</v>
      </c>
      <c r="C86" s="62">
        <v>4</v>
      </c>
      <c r="D86" s="62">
        <v>4</v>
      </c>
      <c r="E86" s="62">
        <v>13</v>
      </c>
      <c r="F86" s="62">
        <v>413</v>
      </c>
      <c r="G86" s="62">
        <v>52</v>
      </c>
      <c r="H86" s="62">
        <v>52</v>
      </c>
      <c r="I86" s="62">
        <v>2</v>
      </c>
      <c r="J86" s="95">
        <v>45825</v>
      </c>
      <c r="K86" s="44">
        <v>0.37</v>
      </c>
      <c r="L86" s="44">
        <v>7.1</v>
      </c>
    </row>
    <row r="87" spans="1:13" x14ac:dyDescent="0.35">
      <c r="A87" s="62" t="s">
        <v>28</v>
      </c>
      <c r="B87" s="62" t="s">
        <v>31</v>
      </c>
      <c r="C87" s="62">
        <v>4</v>
      </c>
      <c r="D87" s="62">
        <v>4</v>
      </c>
      <c r="E87" s="62">
        <v>14</v>
      </c>
      <c r="F87" s="62">
        <v>414</v>
      </c>
      <c r="G87" s="62">
        <v>53</v>
      </c>
      <c r="H87" s="62">
        <v>51</v>
      </c>
      <c r="I87" s="62">
        <v>2</v>
      </c>
      <c r="J87" s="95">
        <v>45825</v>
      </c>
      <c r="K87" s="44">
        <v>0.33</v>
      </c>
      <c r="L87" s="44">
        <v>3.7</v>
      </c>
      <c r="M87">
        <v>18</v>
      </c>
    </row>
    <row r="88" spans="1:13" x14ac:dyDescent="0.35">
      <c r="A88" s="62" t="s">
        <v>28</v>
      </c>
      <c r="B88" s="62" t="s">
        <v>32</v>
      </c>
      <c r="C88" s="62">
        <v>4</v>
      </c>
      <c r="D88" s="62">
        <v>3</v>
      </c>
      <c r="E88" s="62">
        <v>14</v>
      </c>
      <c r="F88" s="62">
        <v>314</v>
      </c>
      <c r="G88" s="62">
        <v>54</v>
      </c>
      <c r="H88" s="62">
        <v>46</v>
      </c>
      <c r="I88" s="62">
        <v>2</v>
      </c>
      <c r="J88" s="95">
        <v>45825</v>
      </c>
      <c r="K88" s="44">
        <v>0.28999999999999998</v>
      </c>
      <c r="L88" s="44">
        <v>10.86</v>
      </c>
      <c r="M88">
        <v>12</v>
      </c>
    </row>
    <row r="89" spans="1:13" x14ac:dyDescent="0.35">
      <c r="A89" s="62" t="s">
        <v>28</v>
      </c>
      <c r="B89" s="62" t="s">
        <v>29</v>
      </c>
      <c r="C89" s="62">
        <v>4</v>
      </c>
      <c r="D89" s="62">
        <v>2</v>
      </c>
      <c r="E89" s="62">
        <v>14</v>
      </c>
      <c r="F89" s="62">
        <v>214</v>
      </c>
      <c r="G89" s="62">
        <v>55</v>
      </c>
      <c r="H89" s="62">
        <v>19</v>
      </c>
      <c r="I89" s="62">
        <v>2</v>
      </c>
      <c r="J89" s="95">
        <v>45825</v>
      </c>
      <c r="K89" s="44">
        <v>0.34</v>
      </c>
      <c r="L89" s="44">
        <v>9.52</v>
      </c>
      <c r="M89">
        <v>20</v>
      </c>
    </row>
    <row r="90" spans="1:13" x14ac:dyDescent="0.35">
      <c r="A90" s="62" t="s">
        <v>28</v>
      </c>
      <c r="B90" s="62" t="s">
        <v>30</v>
      </c>
      <c r="C90" s="62">
        <v>4</v>
      </c>
      <c r="D90" s="62">
        <v>1</v>
      </c>
      <c r="E90" s="62">
        <v>14</v>
      </c>
      <c r="F90" s="62">
        <v>114</v>
      </c>
      <c r="G90" s="62">
        <v>56</v>
      </c>
      <c r="H90" s="62">
        <v>14</v>
      </c>
      <c r="I90" s="62">
        <v>2</v>
      </c>
      <c r="J90" s="95">
        <v>45825</v>
      </c>
      <c r="K90" s="44">
        <v>0.39</v>
      </c>
      <c r="L90" s="44">
        <v>7.74</v>
      </c>
      <c r="M90">
        <v>21</v>
      </c>
    </row>
    <row r="91" spans="1:13" x14ac:dyDescent="0.35">
      <c r="A91" s="62" t="s">
        <v>33</v>
      </c>
      <c r="B91" s="62" t="s">
        <v>30</v>
      </c>
      <c r="C91" s="62">
        <v>4</v>
      </c>
      <c r="D91" s="62">
        <v>1</v>
      </c>
      <c r="E91" s="62">
        <v>15</v>
      </c>
      <c r="F91" s="62">
        <v>115</v>
      </c>
      <c r="G91" s="62">
        <v>57</v>
      </c>
      <c r="H91" s="62">
        <v>15</v>
      </c>
      <c r="I91" s="62">
        <v>2</v>
      </c>
      <c r="J91" s="95">
        <v>45825</v>
      </c>
      <c r="K91" s="44">
        <v>0.14000000000000001</v>
      </c>
      <c r="L91" s="44">
        <v>3.02</v>
      </c>
    </row>
    <row r="92" spans="1:13" x14ac:dyDescent="0.35">
      <c r="A92" s="62" t="s">
        <v>33</v>
      </c>
      <c r="B92" s="62" t="s">
        <v>34</v>
      </c>
      <c r="C92" s="62">
        <v>4</v>
      </c>
      <c r="D92" s="62">
        <v>2</v>
      </c>
      <c r="E92" s="62">
        <v>15</v>
      </c>
      <c r="F92" s="62">
        <v>215</v>
      </c>
      <c r="G92" s="62">
        <v>58</v>
      </c>
      <c r="H92" s="62">
        <v>18</v>
      </c>
      <c r="I92" s="62">
        <v>2</v>
      </c>
      <c r="J92" s="95">
        <v>45825</v>
      </c>
      <c r="K92" s="44">
        <v>0.15</v>
      </c>
      <c r="L92" s="44">
        <v>2.15</v>
      </c>
    </row>
    <row r="93" spans="1:13" x14ac:dyDescent="0.35">
      <c r="A93" s="62" t="s">
        <v>33</v>
      </c>
      <c r="B93" s="62" t="s">
        <v>29</v>
      </c>
      <c r="C93" s="62">
        <v>4</v>
      </c>
      <c r="D93" s="62">
        <v>3</v>
      </c>
      <c r="E93" s="62">
        <v>15</v>
      </c>
      <c r="F93" s="62">
        <v>315</v>
      </c>
      <c r="G93" s="62">
        <v>59</v>
      </c>
      <c r="H93" s="62">
        <v>47</v>
      </c>
      <c r="I93" s="62">
        <v>2</v>
      </c>
      <c r="J93" s="95">
        <v>45825</v>
      </c>
      <c r="K93" s="44">
        <v>0.17</v>
      </c>
      <c r="L93" s="44">
        <v>3.53</v>
      </c>
    </row>
    <row r="94" spans="1:13" x14ac:dyDescent="0.35">
      <c r="A94" s="62" t="s">
        <v>33</v>
      </c>
      <c r="B94" s="62" t="s">
        <v>35</v>
      </c>
      <c r="C94" s="62">
        <v>4</v>
      </c>
      <c r="D94" s="62">
        <v>4</v>
      </c>
      <c r="E94" s="62">
        <v>15</v>
      </c>
      <c r="F94" s="62">
        <v>415</v>
      </c>
      <c r="G94" s="62">
        <v>60</v>
      </c>
      <c r="H94" s="62">
        <v>50</v>
      </c>
      <c r="I94" s="62">
        <v>2</v>
      </c>
      <c r="J94" s="95">
        <v>45825</v>
      </c>
      <c r="K94" s="44">
        <v>0.16</v>
      </c>
      <c r="L94" s="44">
        <v>2.66</v>
      </c>
    </row>
    <row r="95" spans="1:13" x14ac:dyDescent="0.35">
      <c r="A95" s="62" t="s">
        <v>33</v>
      </c>
      <c r="B95" s="62" t="s">
        <v>35</v>
      </c>
      <c r="C95" s="62">
        <v>4</v>
      </c>
      <c r="D95" s="62">
        <v>4</v>
      </c>
      <c r="E95" s="62">
        <v>16</v>
      </c>
      <c r="F95" s="62">
        <v>416</v>
      </c>
      <c r="G95" s="62">
        <v>61</v>
      </c>
      <c r="H95" s="62">
        <v>49</v>
      </c>
      <c r="I95" s="62">
        <v>2</v>
      </c>
      <c r="J95" s="95">
        <v>45825</v>
      </c>
      <c r="K95" s="44">
        <v>0.17</v>
      </c>
      <c r="L95" s="44">
        <v>2.4</v>
      </c>
      <c r="M95">
        <v>16</v>
      </c>
    </row>
    <row r="96" spans="1:13" x14ac:dyDescent="0.35">
      <c r="A96" s="62" t="s">
        <v>33</v>
      </c>
      <c r="B96" s="62" t="s">
        <v>29</v>
      </c>
      <c r="C96" s="62">
        <v>4</v>
      </c>
      <c r="D96" s="62">
        <v>3</v>
      </c>
      <c r="E96" s="62">
        <v>16</v>
      </c>
      <c r="F96" s="62">
        <v>316</v>
      </c>
      <c r="G96" s="62">
        <v>62</v>
      </c>
      <c r="H96" s="62">
        <v>48</v>
      </c>
      <c r="I96" s="62">
        <v>2</v>
      </c>
      <c r="J96" s="95">
        <v>45825</v>
      </c>
      <c r="K96" s="44">
        <v>0.15</v>
      </c>
      <c r="L96" s="44">
        <v>2.98</v>
      </c>
      <c r="M96">
        <v>17</v>
      </c>
    </row>
    <row r="97" spans="1:14" x14ac:dyDescent="0.35">
      <c r="A97" s="62" t="s">
        <v>33</v>
      </c>
      <c r="B97" s="62" t="s">
        <v>34</v>
      </c>
      <c r="C97" s="62">
        <v>4</v>
      </c>
      <c r="D97" s="62">
        <v>2</v>
      </c>
      <c r="E97" s="62">
        <v>16</v>
      </c>
      <c r="F97" s="62">
        <v>216</v>
      </c>
      <c r="G97" s="62">
        <v>63</v>
      </c>
      <c r="H97" s="62">
        <v>17</v>
      </c>
      <c r="I97" s="62">
        <v>2</v>
      </c>
      <c r="J97" s="95">
        <v>45825</v>
      </c>
      <c r="K97" s="44">
        <v>0.15</v>
      </c>
      <c r="L97" s="44">
        <v>1.97</v>
      </c>
      <c r="M97">
        <v>13</v>
      </c>
    </row>
    <row r="98" spans="1:14" x14ac:dyDescent="0.35">
      <c r="A98" s="62" t="s">
        <v>33</v>
      </c>
      <c r="B98" s="62" t="s">
        <v>30</v>
      </c>
      <c r="C98" s="62">
        <v>4</v>
      </c>
      <c r="D98" s="62">
        <v>1</v>
      </c>
      <c r="E98" s="62">
        <v>16</v>
      </c>
      <c r="F98" s="62">
        <v>116</v>
      </c>
      <c r="G98" s="62">
        <v>64</v>
      </c>
      <c r="H98" s="62">
        <v>16</v>
      </c>
      <c r="I98" s="62">
        <v>2</v>
      </c>
      <c r="J98" s="95">
        <v>45825</v>
      </c>
      <c r="K98" s="44">
        <v>0.14000000000000001</v>
      </c>
      <c r="L98" s="44">
        <v>2.58</v>
      </c>
      <c r="M98">
        <v>14</v>
      </c>
    </row>
    <row r="99" spans="1:14" x14ac:dyDescent="0.35">
      <c r="A99" s="62" t="s">
        <v>28</v>
      </c>
      <c r="B99" s="62" t="s">
        <v>29</v>
      </c>
      <c r="C99" s="62">
        <v>1</v>
      </c>
      <c r="D99" s="62">
        <v>1</v>
      </c>
      <c r="E99" s="62">
        <v>1</v>
      </c>
      <c r="F99" s="62">
        <v>101</v>
      </c>
      <c r="G99" s="62">
        <v>1</v>
      </c>
      <c r="H99" s="62">
        <v>1</v>
      </c>
      <c r="I99" s="62">
        <v>3</v>
      </c>
      <c r="J99" s="95">
        <v>45838</v>
      </c>
      <c r="K99" s="3">
        <v>0.51</v>
      </c>
      <c r="L99" s="3">
        <v>7.97</v>
      </c>
    </row>
    <row r="100" spans="1:14" x14ac:dyDescent="0.35">
      <c r="A100" s="62" t="s">
        <v>28</v>
      </c>
      <c r="B100" s="62" t="s">
        <v>30</v>
      </c>
      <c r="C100" s="62">
        <v>1</v>
      </c>
      <c r="D100" s="62">
        <v>2</v>
      </c>
      <c r="E100" s="62">
        <v>1</v>
      </c>
      <c r="F100" s="62">
        <v>201</v>
      </c>
      <c r="G100" s="62">
        <v>2</v>
      </c>
      <c r="H100" s="62">
        <v>32</v>
      </c>
      <c r="I100" s="62">
        <v>3</v>
      </c>
      <c r="J100" s="95">
        <v>45838</v>
      </c>
      <c r="K100" s="3">
        <v>0.52</v>
      </c>
      <c r="L100" s="3">
        <v>8.08</v>
      </c>
    </row>
    <row r="101" spans="1:14" x14ac:dyDescent="0.35">
      <c r="A101" s="62" t="s">
        <v>28</v>
      </c>
      <c r="B101" s="62" t="s">
        <v>31</v>
      </c>
      <c r="C101" s="62">
        <v>1</v>
      </c>
      <c r="D101" s="62">
        <v>3</v>
      </c>
      <c r="E101" s="62">
        <v>1</v>
      </c>
      <c r="F101" s="62">
        <v>301</v>
      </c>
      <c r="G101" s="62">
        <v>3</v>
      </c>
      <c r="H101" s="62">
        <v>33</v>
      </c>
      <c r="I101" s="62">
        <v>3</v>
      </c>
      <c r="J101" s="95">
        <v>45838</v>
      </c>
      <c r="K101" s="3">
        <v>0.44</v>
      </c>
      <c r="L101" s="3">
        <v>8.4700000000000006</v>
      </c>
    </row>
    <row r="102" spans="1:14" x14ac:dyDescent="0.35">
      <c r="A102" s="62" t="s">
        <v>28</v>
      </c>
      <c r="B102" s="62" t="s">
        <v>32</v>
      </c>
      <c r="C102" s="62">
        <v>1</v>
      </c>
      <c r="D102" s="62">
        <v>4</v>
      </c>
      <c r="E102" s="62">
        <v>1</v>
      </c>
      <c r="F102" s="62">
        <v>401</v>
      </c>
      <c r="G102" s="62">
        <v>4</v>
      </c>
      <c r="H102" s="62">
        <v>64</v>
      </c>
      <c r="I102" s="62">
        <v>3</v>
      </c>
      <c r="J102" s="95">
        <v>45838</v>
      </c>
      <c r="K102" s="3">
        <v>0.41</v>
      </c>
      <c r="L102" s="3">
        <v>9.01</v>
      </c>
    </row>
    <row r="103" spans="1:14" x14ac:dyDescent="0.35">
      <c r="A103" s="62" t="s">
        <v>28</v>
      </c>
      <c r="B103" s="62" t="s">
        <v>32</v>
      </c>
      <c r="C103" s="62">
        <v>1</v>
      </c>
      <c r="D103" s="62">
        <v>4</v>
      </c>
      <c r="E103" s="62">
        <v>2</v>
      </c>
      <c r="F103" s="62">
        <v>402</v>
      </c>
      <c r="G103" s="62">
        <v>5</v>
      </c>
      <c r="H103" s="62">
        <v>63</v>
      </c>
      <c r="I103" s="62">
        <v>3</v>
      </c>
      <c r="J103" s="95">
        <v>45838</v>
      </c>
      <c r="K103" s="3">
        <v>0.28999999999999998</v>
      </c>
      <c r="L103" s="3">
        <v>9.42</v>
      </c>
      <c r="M103" s="44">
        <v>10</v>
      </c>
      <c r="N103" t="s">
        <v>459</v>
      </c>
    </row>
    <row r="104" spans="1:14" x14ac:dyDescent="0.35">
      <c r="A104" s="62" t="s">
        <v>28</v>
      </c>
      <c r="B104" s="62" t="s">
        <v>31</v>
      </c>
      <c r="C104" s="62">
        <v>1</v>
      </c>
      <c r="D104" s="62">
        <v>3</v>
      </c>
      <c r="E104" s="62">
        <v>2</v>
      </c>
      <c r="F104" s="62">
        <v>302</v>
      </c>
      <c r="G104" s="62">
        <v>6</v>
      </c>
      <c r="H104" s="62">
        <v>34</v>
      </c>
      <c r="I104" s="62">
        <v>3</v>
      </c>
      <c r="J104" s="95">
        <v>45838</v>
      </c>
      <c r="K104" s="3">
        <v>0.37</v>
      </c>
      <c r="L104" s="3">
        <v>9.9600000000000009</v>
      </c>
      <c r="M104" s="44">
        <v>21</v>
      </c>
    </row>
    <row r="105" spans="1:14" x14ac:dyDescent="0.35">
      <c r="A105" s="62" t="s">
        <v>28</v>
      </c>
      <c r="B105" s="62" t="s">
        <v>30</v>
      </c>
      <c r="C105" s="62">
        <v>1</v>
      </c>
      <c r="D105" s="62">
        <v>2</v>
      </c>
      <c r="E105" s="62">
        <v>2</v>
      </c>
      <c r="F105" s="62">
        <v>202</v>
      </c>
      <c r="G105" s="62">
        <v>7</v>
      </c>
      <c r="H105" s="62">
        <v>31</v>
      </c>
      <c r="I105" s="62">
        <v>3</v>
      </c>
      <c r="J105" s="95">
        <v>45838</v>
      </c>
      <c r="K105" s="3">
        <v>0.59</v>
      </c>
      <c r="L105" s="3">
        <v>8.59</v>
      </c>
      <c r="M105" s="44">
        <v>23</v>
      </c>
    </row>
    <row r="106" spans="1:14" x14ac:dyDescent="0.35">
      <c r="A106" s="62" t="s">
        <v>28</v>
      </c>
      <c r="B106" s="62" t="s">
        <v>29</v>
      </c>
      <c r="C106" s="62">
        <v>1</v>
      </c>
      <c r="D106" s="62">
        <v>1</v>
      </c>
      <c r="E106" s="62">
        <v>2</v>
      </c>
      <c r="F106" s="62">
        <v>102</v>
      </c>
      <c r="G106" s="62">
        <v>8</v>
      </c>
      <c r="H106" s="62">
        <v>2</v>
      </c>
      <c r="I106" s="62">
        <v>3</v>
      </c>
      <c r="J106" s="95">
        <v>45838</v>
      </c>
      <c r="K106" s="3">
        <v>0.54</v>
      </c>
      <c r="L106" s="3">
        <v>6.09</v>
      </c>
      <c r="M106" s="44">
        <v>25</v>
      </c>
    </row>
    <row r="107" spans="1:14" x14ac:dyDescent="0.35">
      <c r="A107" s="62" t="s">
        <v>33</v>
      </c>
      <c r="B107" s="62" t="s">
        <v>34</v>
      </c>
      <c r="C107" s="62">
        <v>1</v>
      </c>
      <c r="D107" s="62">
        <v>1</v>
      </c>
      <c r="E107" s="62">
        <v>3</v>
      </c>
      <c r="F107" s="62">
        <v>103</v>
      </c>
      <c r="G107" s="62">
        <v>9</v>
      </c>
      <c r="H107" s="62">
        <v>3</v>
      </c>
      <c r="I107" s="62">
        <v>3</v>
      </c>
      <c r="J107" s="95">
        <v>45838</v>
      </c>
      <c r="K107" s="3">
        <v>0.18</v>
      </c>
      <c r="L107" s="3">
        <v>3.6</v>
      </c>
    </row>
    <row r="108" spans="1:14" x14ac:dyDescent="0.35">
      <c r="A108" s="62" t="s">
        <v>33</v>
      </c>
      <c r="B108" s="62" t="s">
        <v>30</v>
      </c>
      <c r="C108" s="62">
        <v>1</v>
      </c>
      <c r="D108" s="62">
        <v>2</v>
      </c>
      <c r="E108" s="62">
        <v>3</v>
      </c>
      <c r="F108" s="62">
        <v>203</v>
      </c>
      <c r="G108" s="62">
        <v>10</v>
      </c>
      <c r="H108" s="62">
        <v>30</v>
      </c>
      <c r="I108" s="62">
        <v>3</v>
      </c>
      <c r="J108" s="95">
        <v>45838</v>
      </c>
      <c r="K108" s="3">
        <v>0.2</v>
      </c>
      <c r="L108" s="3">
        <v>4.07</v>
      </c>
    </row>
    <row r="109" spans="1:14" x14ac:dyDescent="0.35">
      <c r="A109" s="62" t="s">
        <v>33</v>
      </c>
      <c r="B109" s="62" t="s">
        <v>35</v>
      </c>
      <c r="C109" s="62">
        <v>1</v>
      </c>
      <c r="D109" s="62">
        <v>3</v>
      </c>
      <c r="E109" s="62">
        <v>3</v>
      </c>
      <c r="F109" s="62">
        <v>303</v>
      </c>
      <c r="G109" s="62">
        <v>11</v>
      </c>
      <c r="H109" s="62">
        <v>35</v>
      </c>
      <c r="I109" s="62">
        <v>3</v>
      </c>
      <c r="J109" s="95">
        <v>45838</v>
      </c>
      <c r="K109" s="3">
        <v>0.17</v>
      </c>
      <c r="L109" s="3">
        <v>1.9</v>
      </c>
    </row>
    <row r="110" spans="1:14" x14ac:dyDescent="0.35">
      <c r="A110" s="62" t="s">
        <v>33</v>
      </c>
      <c r="B110" s="62" t="s">
        <v>29</v>
      </c>
      <c r="C110" s="62">
        <v>1</v>
      </c>
      <c r="D110" s="62">
        <v>4</v>
      </c>
      <c r="E110" s="62">
        <v>3</v>
      </c>
      <c r="F110" s="62">
        <v>403</v>
      </c>
      <c r="G110" s="62">
        <v>12</v>
      </c>
      <c r="H110" s="62">
        <v>62</v>
      </c>
      <c r="I110" s="62">
        <v>3</v>
      </c>
      <c r="J110" s="95">
        <v>45838</v>
      </c>
      <c r="K110" s="3">
        <v>0.2</v>
      </c>
      <c r="L110" s="3">
        <v>1.55</v>
      </c>
    </row>
    <row r="111" spans="1:14" x14ac:dyDescent="0.35">
      <c r="A111" s="62" t="s">
        <v>33</v>
      </c>
      <c r="B111" s="62" t="s">
        <v>29</v>
      </c>
      <c r="C111" s="62">
        <v>1</v>
      </c>
      <c r="D111" s="62">
        <v>4</v>
      </c>
      <c r="E111" s="62">
        <v>4</v>
      </c>
      <c r="F111" s="62">
        <v>404</v>
      </c>
      <c r="G111" s="62">
        <v>13</v>
      </c>
      <c r="H111" s="62">
        <v>61</v>
      </c>
      <c r="I111" s="62">
        <v>3</v>
      </c>
      <c r="J111" s="95">
        <v>45838</v>
      </c>
      <c r="K111" s="3">
        <v>0.22</v>
      </c>
      <c r="L111" s="3">
        <v>3.24</v>
      </c>
      <c r="M111" s="44">
        <v>15</v>
      </c>
    </row>
    <row r="112" spans="1:14" x14ac:dyDescent="0.35">
      <c r="A112" s="62" t="s">
        <v>33</v>
      </c>
      <c r="B112" s="62" t="s">
        <v>35</v>
      </c>
      <c r="C112" s="62">
        <v>1</v>
      </c>
      <c r="D112" s="62">
        <v>3</v>
      </c>
      <c r="E112" s="62">
        <v>4</v>
      </c>
      <c r="F112" s="62">
        <v>304</v>
      </c>
      <c r="G112" s="62">
        <v>14</v>
      </c>
      <c r="H112" s="62">
        <v>36</v>
      </c>
      <c r="I112" s="62">
        <v>3</v>
      </c>
      <c r="J112" s="95">
        <v>45838</v>
      </c>
      <c r="K112" s="3">
        <v>0.19</v>
      </c>
      <c r="L112" s="3">
        <v>1.37</v>
      </c>
      <c r="M112" s="44">
        <v>12</v>
      </c>
    </row>
    <row r="113" spans="1:13" x14ac:dyDescent="0.35">
      <c r="A113" s="62" t="s">
        <v>33</v>
      </c>
      <c r="B113" s="62" t="s">
        <v>30</v>
      </c>
      <c r="C113" s="62">
        <v>1</v>
      </c>
      <c r="D113" s="62">
        <v>2</v>
      </c>
      <c r="E113" s="62">
        <v>4</v>
      </c>
      <c r="F113" s="62">
        <v>204</v>
      </c>
      <c r="G113" s="62">
        <v>15</v>
      </c>
      <c r="H113" s="62">
        <v>29</v>
      </c>
      <c r="I113" s="62">
        <v>3</v>
      </c>
      <c r="J113" s="95">
        <v>45838</v>
      </c>
      <c r="K113" s="3">
        <v>0.22</v>
      </c>
      <c r="L113" s="3">
        <v>2.41</v>
      </c>
      <c r="M113" s="44">
        <v>13</v>
      </c>
    </row>
    <row r="114" spans="1:13" x14ac:dyDescent="0.35">
      <c r="A114" s="62" t="s">
        <v>33</v>
      </c>
      <c r="B114" s="62" t="s">
        <v>34</v>
      </c>
      <c r="C114" s="62">
        <v>1</v>
      </c>
      <c r="D114" s="62">
        <v>1</v>
      </c>
      <c r="E114" s="62">
        <v>4</v>
      </c>
      <c r="F114" s="62">
        <v>104</v>
      </c>
      <c r="G114" s="62">
        <v>16</v>
      </c>
      <c r="H114" s="62">
        <v>4</v>
      </c>
      <c r="I114" s="62">
        <v>3</v>
      </c>
      <c r="J114" s="95">
        <v>45838</v>
      </c>
      <c r="K114" s="3">
        <v>0.2</v>
      </c>
      <c r="L114" s="3">
        <v>2.83</v>
      </c>
      <c r="M114" s="44">
        <v>16</v>
      </c>
    </row>
    <row r="115" spans="1:13" x14ac:dyDescent="0.35">
      <c r="A115" s="62" t="s">
        <v>28</v>
      </c>
      <c r="B115" s="62" t="s">
        <v>31</v>
      </c>
      <c r="C115" s="62">
        <v>2</v>
      </c>
      <c r="D115" s="62">
        <v>1</v>
      </c>
      <c r="E115" s="62">
        <v>5</v>
      </c>
      <c r="F115" s="62">
        <v>105</v>
      </c>
      <c r="G115" s="62">
        <v>17</v>
      </c>
      <c r="H115" s="62">
        <v>5</v>
      </c>
      <c r="I115" s="62">
        <v>3</v>
      </c>
      <c r="J115" s="95">
        <v>45838</v>
      </c>
      <c r="K115" s="3">
        <v>0.5</v>
      </c>
      <c r="L115" s="3">
        <v>9.6199999999999992</v>
      </c>
    </row>
    <row r="116" spans="1:13" x14ac:dyDescent="0.35">
      <c r="A116" s="62" t="s">
        <v>28</v>
      </c>
      <c r="B116" s="62" t="s">
        <v>32</v>
      </c>
      <c r="C116" s="62">
        <v>2</v>
      </c>
      <c r="D116" s="62">
        <v>2</v>
      </c>
      <c r="E116" s="62">
        <v>5</v>
      </c>
      <c r="F116" s="62">
        <v>205</v>
      </c>
      <c r="G116" s="62">
        <v>18</v>
      </c>
      <c r="H116" s="62">
        <v>28</v>
      </c>
      <c r="I116" s="62">
        <v>3</v>
      </c>
      <c r="J116" s="95">
        <v>45838</v>
      </c>
      <c r="K116" s="3">
        <v>0.45</v>
      </c>
      <c r="L116" s="3">
        <v>6.99</v>
      </c>
    </row>
    <row r="117" spans="1:13" x14ac:dyDescent="0.35">
      <c r="A117" s="62" t="s">
        <v>28</v>
      </c>
      <c r="B117" s="62" t="s">
        <v>30</v>
      </c>
      <c r="C117" s="62">
        <v>2</v>
      </c>
      <c r="D117" s="62">
        <v>3</v>
      </c>
      <c r="E117" s="62">
        <v>5</v>
      </c>
      <c r="F117" s="62">
        <v>305</v>
      </c>
      <c r="G117" s="62">
        <v>19</v>
      </c>
      <c r="H117" s="62">
        <v>37</v>
      </c>
      <c r="I117" s="62">
        <v>3</v>
      </c>
      <c r="J117" s="95">
        <v>45838</v>
      </c>
      <c r="K117" s="3">
        <v>0.38</v>
      </c>
      <c r="L117" s="3">
        <v>5.34</v>
      </c>
    </row>
    <row r="118" spans="1:13" x14ac:dyDescent="0.35">
      <c r="A118" s="62" t="s">
        <v>28</v>
      </c>
      <c r="B118" s="62" t="s">
        <v>29</v>
      </c>
      <c r="C118" s="62">
        <v>2</v>
      </c>
      <c r="D118" s="62">
        <v>4</v>
      </c>
      <c r="E118" s="62">
        <v>5</v>
      </c>
      <c r="F118" s="62">
        <v>405</v>
      </c>
      <c r="G118" s="62">
        <v>20</v>
      </c>
      <c r="H118" s="62">
        <v>60</v>
      </c>
      <c r="I118" s="62">
        <v>3</v>
      </c>
      <c r="J118" s="95">
        <v>45838</v>
      </c>
      <c r="K118" s="3">
        <v>0.39</v>
      </c>
      <c r="L118" s="3">
        <v>7.19</v>
      </c>
    </row>
    <row r="119" spans="1:13" x14ac:dyDescent="0.35">
      <c r="A119" s="62" t="s">
        <v>28</v>
      </c>
      <c r="B119" s="62" t="s">
        <v>29</v>
      </c>
      <c r="C119" s="62">
        <v>2</v>
      </c>
      <c r="D119" s="62">
        <v>4</v>
      </c>
      <c r="E119" s="62">
        <v>6</v>
      </c>
      <c r="F119" s="62">
        <v>406</v>
      </c>
      <c r="G119" s="62">
        <v>21</v>
      </c>
      <c r="H119" s="62">
        <v>59</v>
      </c>
      <c r="I119" s="62">
        <v>3</v>
      </c>
      <c r="J119" s="95">
        <v>45838</v>
      </c>
      <c r="K119" s="3">
        <v>0.47</v>
      </c>
      <c r="L119" s="3">
        <v>4.63</v>
      </c>
      <c r="M119" s="44">
        <v>21</v>
      </c>
    </row>
    <row r="120" spans="1:13" x14ac:dyDescent="0.35">
      <c r="A120" s="62" t="s">
        <v>28</v>
      </c>
      <c r="B120" s="62" t="s">
        <v>30</v>
      </c>
      <c r="C120" s="62">
        <v>2</v>
      </c>
      <c r="D120" s="62">
        <v>3</v>
      </c>
      <c r="E120" s="62">
        <v>6</v>
      </c>
      <c r="F120" s="62">
        <v>306</v>
      </c>
      <c r="G120" s="62">
        <v>22</v>
      </c>
      <c r="H120" s="62">
        <v>38</v>
      </c>
      <c r="I120" s="62">
        <v>3</v>
      </c>
      <c r="J120" s="95">
        <v>45838</v>
      </c>
      <c r="K120" s="3">
        <v>0.38</v>
      </c>
      <c r="L120" s="3">
        <v>10.97</v>
      </c>
      <c r="M120" s="44">
        <v>21</v>
      </c>
    </row>
    <row r="121" spans="1:13" x14ac:dyDescent="0.35">
      <c r="A121" s="62" t="s">
        <v>28</v>
      </c>
      <c r="B121" s="62" t="s">
        <v>32</v>
      </c>
      <c r="C121" s="62">
        <v>2</v>
      </c>
      <c r="D121" s="62">
        <v>2</v>
      </c>
      <c r="E121" s="62">
        <v>6</v>
      </c>
      <c r="F121" s="62">
        <v>206</v>
      </c>
      <c r="G121" s="62">
        <v>23</v>
      </c>
      <c r="H121" s="62">
        <v>27</v>
      </c>
      <c r="I121" s="62">
        <v>3</v>
      </c>
      <c r="J121" s="95">
        <v>45838</v>
      </c>
      <c r="K121" s="3">
        <v>0.39</v>
      </c>
      <c r="L121" s="3">
        <v>7.84</v>
      </c>
      <c r="M121" s="44">
        <v>14</v>
      </c>
    </row>
    <row r="122" spans="1:13" x14ac:dyDescent="0.35">
      <c r="A122" s="62" t="s">
        <v>28</v>
      </c>
      <c r="B122" s="62" t="s">
        <v>31</v>
      </c>
      <c r="C122" s="62">
        <v>2</v>
      </c>
      <c r="D122" s="62">
        <v>1</v>
      </c>
      <c r="E122" s="62">
        <v>6</v>
      </c>
      <c r="F122" s="62">
        <v>106</v>
      </c>
      <c r="G122" s="62">
        <v>24</v>
      </c>
      <c r="H122" s="62">
        <v>6</v>
      </c>
      <c r="I122" s="62">
        <v>3</v>
      </c>
      <c r="J122" s="95">
        <v>45838</v>
      </c>
      <c r="K122" s="3">
        <v>0.57999999999999996</v>
      </c>
      <c r="L122" s="3">
        <v>5.85</v>
      </c>
      <c r="M122" s="44">
        <v>22</v>
      </c>
    </row>
    <row r="123" spans="1:13" x14ac:dyDescent="0.35">
      <c r="A123" s="62" t="s">
        <v>33</v>
      </c>
      <c r="B123" s="62" t="s">
        <v>35</v>
      </c>
      <c r="C123" s="62">
        <v>2</v>
      </c>
      <c r="D123" s="62">
        <v>1</v>
      </c>
      <c r="E123" s="62">
        <v>7</v>
      </c>
      <c r="F123" s="62">
        <v>107</v>
      </c>
      <c r="G123" s="62">
        <v>25</v>
      </c>
      <c r="H123" s="62">
        <v>7</v>
      </c>
      <c r="I123" s="62">
        <v>3</v>
      </c>
      <c r="J123" s="95">
        <v>45838</v>
      </c>
      <c r="K123" s="3">
        <v>0.18</v>
      </c>
      <c r="L123" s="3">
        <v>2.31</v>
      </c>
    </row>
    <row r="124" spans="1:13" x14ac:dyDescent="0.35">
      <c r="A124" s="62" t="s">
        <v>33</v>
      </c>
      <c r="B124" s="62" t="s">
        <v>29</v>
      </c>
      <c r="C124" s="62">
        <v>2</v>
      </c>
      <c r="D124" s="62">
        <v>2</v>
      </c>
      <c r="E124" s="62">
        <v>7</v>
      </c>
      <c r="F124" s="62">
        <v>207</v>
      </c>
      <c r="G124" s="62">
        <v>26</v>
      </c>
      <c r="H124" s="62">
        <v>26</v>
      </c>
      <c r="I124" s="62">
        <v>3</v>
      </c>
      <c r="J124" s="95">
        <v>45838</v>
      </c>
      <c r="K124" s="3">
        <v>0.24</v>
      </c>
      <c r="L124" s="3">
        <v>3.25</v>
      </c>
    </row>
    <row r="125" spans="1:13" x14ac:dyDescent="0.35">
      <c r="A125" s="62" t="s">
        <v>33</v>
      </c>
      <c r="B125" s="62" t="s">
        <v>30</v>
      </c>
      <c r="C125" s="62">
        <v>2</v>
      </c>
      <c r="D125" s="62">
        <v>3</v>
      </c>
      <c r="E125" s="62">
        <v>7</v>
      </c>
      <c r="F125" s="62">
        <v>307</v>
      </c>
      <c r="G125" s="62">
        <v>27</v>
      </c>
      <c r="H125" s="62">
        <v>39</v>
      </c>
      <c r="I125" s="62">
        <v>3</v>
      </c>
      <c r="J125" s="95">
        <v>45838</v>
      </c>
      <c r="K125" s="3">
        <v>0.18</v>
      </c>
      <c r="L125" s="3">
        <v>2.66</v>
      </c>
    </row>
    <row r="126" spans="1:13" x14ac:dyDescent="0.35">
      <c r="A126" s="62" t="s">
        <v>33</v>
      </c>
      <c r="B126" s="62" t="s">
        <v>34</v>
      </c>
      <c r="C126" s="62">
        <v>2</v>
      </c>
      <c r="D126" s="62">
        <v>4</v>
      </c>
      <c r="E126" s="62">
        <v>7</v>
      </c>
      <c r="F126" s="62">
        <v>407</v>
      </c>
      <c r="G126" s="62">
        <v>28</v>
      </c>
      <c r="H126" s="62">
        <v>58</v>
      </c>
      <c r="I126" s="62">
        <v>3</v>
      </c>
      <c r="J126" s="95">
        <v>45838</v>
      </c>
      <c r="K126" s="3">
        <v>0.19</v>
      </c>
      <c r="L126" s="3">
        <v>2.19</v>
      </c>
    </row>
    <row r="127" spans="1:13" x14ac:dyDescent="0.35">
      <c r="A127" s="62" t="s">
        <v>33</v>
      </c>
      <c r="B127" s="62" t="s">
        <v>34</v>
      </c>
      <c r="C127" s="62">
        <v>2</v>
      </c>
      <c r="D127" s="62">
        <v>4</v>
      </c>
      <c r="E127" s="62">
        <v>8</v>
      </c>
      <c r="F127" s="62">
        <v>408</v>
      </c>
      <c r="G127" s="62">
        <v>29</v>
      </c>
      <c r="H127" s="62">
        <v>57</v>
      </c>
      <c r="I127" s="62">
        <v>3</v>
      </c>
      <c r="J127" s="95">
        <v>45838</v>
      </c>
      <c r="K127" s="3">
        <v>0.21</v>
      </c>
      <c r="L127" s="3">
        <v>2.92</v>
      </c>
      <c r="M127" s="44">
        <v>17</v>
      </c>
    </row>
    <row r="128" spans="1:13" x14ac:dyDescent="0.35">
      <c r="A128" s="62" t="s">
        <v>33</v>
      </c>
      <c r="B128" s="62" t="s">
        <v>30</v>
      </c>
      <c r="C128" s="62">
        <v>2</v>
      </c>
      <c r="D128" s="62">
        <v>3</v>
      </c>
      <c r="E128" s="62">
        <v>8</v>
      </c>
      <c r="F128" s="62">
        <v>308</v>
      </c>
      <c r="G128" s="62">
        <v>30</v>
      </c>
      <c r="H128" s="62">
        <v>40</v>
      </c>
      <c r="I128" s="62">
        <v>3</v>
      </c>
      <c r="J128" s="95">
        <v>45838</v>
      </c>
      <c r="K128" s="3">
        <v>0.18</v>
      </c>
      <c r="L128" s="3">
        <v>3.89</v>
      </c>
      <c r="M128" s="44">
        <v>16</v>
      </c>
    </row>
    <row r="129" spans="1:13" x14ac:dyDescent="0.35">
      <c r="A129" s="62" t="s">
        <v>33</v>
      </c>
      <c r="B129" s="62" t="s">
        <v>29</v>
      </c>
      <c r="C129" s="62">
        <v>2</v>
      </c>
      <c r="D129" s="62">
        <v>2</v>
      </c>
      <c r="E129" s="62">
        <v>8</v>
      </c>
      <c r="F129" s="62">
        <v>208</v>
      </c>
      <c r="G129" s="62">
        <v>31</v>
      </c>
      <c r="H129" s="62">
        <v>25</v>
      </c>
      <c r="I129" s="62">
        <v>3</v>
      </c>
      <c r="J129" s="95">
        <v>45838</v>
      </c>
      <c r="K129" s="3">
        <v>0.19</v>
      </c>
      <c r="L129" s="3">
        <v>2.4900000000000002</v>
      </c>
      <c r="M129" s="44">
        <v>19</v>
      </c>
    </row>
    <row r="130" spans="1:13" x14ac:dyDescent="0.35">
      <c r="A130" s="62" t="s">
        <v>33</v>
      </c>
      <c r="B130" s="62" t="s">
        <v>35</v>
      </c>
      <c r="C130" s="62">
        <v>2</v>
      </c>
      <c r="D130" s="62">
        <v>1</v>
      </c>
      <c r="E130" s="62">
        <v>8</v>
      </c>
      <c r="F130" s="62">
        <v>108</v>
      </c>
      <c r="G130" s="62">
        <v>32</v>
      </c>
      <c r="H130" s="62">
        <v>8</v>
      </c>
      <c r="I130" s="62">
        <v>3</v>
      </c>
      <c r="J130" s="95">
        <v>45838</v>
      </c>
      <c r="K130" s="3">
        <v>0.18</v>
      </c>
      <c r="L130" s="3">
        <v>1.69</v>
      </c>
      <c r="M130" s="44">
        <v>11</v>
      </c>
    </row>
    <row r="131" spans="1:13" x14ac:dyDescent="0.35">
      <c r="A131" s="62" t="s">
        <v>28</v>
      </c>
      <c r="B131" s="62" t="s">
        <v>32</v>
      </c>
      <c r="C131" s="62">
        <v>3</v>
      </c>
      <c r="D131" s="62">
        <v>1</v>
      </c>
      <c r="E131" s="62">
        <v>9</v>
      </c>
      <c r="F131" s="62">
        <v>109</v>
      </c>
      <c r="G131" s="62">
        <v>33</v>
      </c>
      <c r="H131" s="62">
        <v>9</v>
      </c>
      <c r="I131" s="62">
        <v>3</v>
      </c>
      <c r="J131" s="95">
        <v>45838</v>
      </c>
      <c r="K131" s="3">
        <v>0.46</v>
      </c>
      <c r="L131" s="3">
        <v>7.75</v>
      </c>
    </row>
    <row r="132" spans="1:13" x14ac:dyDescent="0.35">
      <c r="A132" s="62" t="s">
        <v>28</v>
      </c>
      <c r="B132" s="62" t="s">
        <v>31</v>
      </c>
      <c r="C132" s="62">
        <v>3</v>
      </c>
      <c r="D132" s="62">
        <v>2</v>
      </c>
      <c r="E132" s="62">
        <v>9</v>
      </c>
      <c r="F132" s="62">
        <v>209</v>
      </c>
      <c r="G132" s="62">
        <v>34</v>
      </c>
      <c r="H132" s="62">
        <v>24</v>
      </c>
      <c r="I132" s="62">
        <v>3</v>
      </c>
      <c r="J132" s="95">
        <v>45838</v>
      </c>
      <c r="K132" s="3">
        <v>0.5</v>
      </c>
      <c r="L132" s="3">
        <v>5.36</v>
      </c>
    </row>
    <row r="133" spans="1:13" x14ac:dyDescent="0.35">
      <c r="A133" s="62" t="s">
        <v>28</v>
      </c>
      <c r="B133" s="62" t="s">
        <v>29</v>
      </c>
      <c r="C133" s="62">
        <v>3</v>
      </c>
      <c r="D133" s="62">
        <v>3</v>
      </c>
      <c r="E133" s="62">
        <v>9</v>
      </c>
      <c r="F133" s="62">
        <v>309</v>
      </c>
      <c r="G133" s="62">
        <v>35</v>
      </c>
      <c r="H133" s="62">
        <v>41</v>
      </c>
      <c r="I133" s="62">
        <v>3</v>
      </c>
      <c r="J133" s="95">
        <v>45838</v>
      </c>
      <c r="K133" s="3">
        <v>0.32</v>
      </c>
      <c r="L133" s="3">
        <v>9.9700000000000006</v>
      </c>
    </row>
    <row r="134" spans="1:13" x14ac:dyDescent="0.35">
      <c r="A134" s="62" t="s">
        <v>28</v>
      </c>
      <c r="B134" s="62" t="s">
        <v>30</v>
      </c>
      <c r="C134" s="62">
        <v>3</v>
      </c>
      <c r="D134" s="62">
        <v>4</v>
      </c>
      <c r="E134" s="62">
        <v>9</v>
      </c>
      <c r="F134" s="62">
        <v>409</v>
      </c>
      <c r="G134" s="62">
        <v>36</v>
      </c>
      <c r="H134" s="62">
        <v>56</v>
      </c>
      <c r="I134" s="62">
        <v>3</v>
      </c>
      <c r="J134" s="95">
        <v>45838</v>
      </c>
      <c r="K134" s="3">
        <v>0.45</v>
      </c>
      <c r="L134" s="3">
        <v>6.61</v>
      </c>
    </row>
    <row r="135" spans="1:13" x14ac:dyDescent="0.35">
      <c r="A135" s="62" t="s">
        <v>28</v>
      </c>
      <c r="B135" s="62" t="s">
        <v>30</v>
      </c>
      <c r="C135" s="62">
        <v>3</v>
      </c>
      <c r="D135" s="62">
        <v>4</v>
      </c>
      <c r="E135" s="62">
        <v>10</v>
      </c>
      <c r="F135" s="62">
        <v>410</v>
      </c>
      <c r="G135" s="62">
        <v>37</v>
      </c>
      <c r="H135" s="62">
        <v>55</v>
      </c>
      <c r="I135" s="62">
        <v>3</v>
      </c>
      <c r="J135" s="95">
        <v>45838</v>
      </c>
      <c r="K135" s="3">
        <v>0.39</v>
      </c>
      <c r="L135" s="3">
        <v>5.18</v>
      </c>
      <c r="M135" s="44">
        <v>17</v>
      </c>
    </row>
    <row r="136" spans="1:13" x14ac:dyDescent="0.35">
      <c r="A136" s="62" t="s">
        <v>28</v>
      </c>
      <c r="B136" s="62" t="s">
        <v>29</v>
      </c>
      <c r="C136" s="62">
        <v>3</v>
      </c>
      <c r="D136" s="62">
        <v>3</v>
      </c>
      <c r="E136" s="62">
        <v>10</v>
      </c>
      <c r="F136" s="62">
        <v>310</v>
      </c>
      <c r="G136" s="62">
        <v>38</v>
      </c>
      <c r="H136" s="62">
        <v>42</v>
      </c>
      <c r="I136" s="62">
        <v>3</v>
      </c>
      <c r="J136" s="95">
        <v>45838</v>
      </c>
      <c r="K136" s="3">
        <v>0.28999999999999998</v>
      </c>
      <c r="L136" s="3">
        <v>7.02</v>
      </c>
      <c r="M136" s="44">
        <v>17</v>
      </c>
    </row>
    <row r="137" spans="1:13" x14ac:dyDescent="0.35">
      <c r="A137" s="62" t="s">
        <v>28</v>
      </c>
      <c r="B137" s="62" t="s">
        <v>31</v>
      </c>
      <c r="C137" s="62">
        <v>3</v>
      </c>
      <c r="D137" s="62">
        <v>2</v>
      </c>
      <c r="E137" s="62">
        <v>10</v>
      </c>
      <c r="F137" s="62">
        <v>210</v>
      </c>
      <c r="G137" s="62">
        <v>39</v>
      </c>
      <c r="H137" s="62">
        <v>23</v>
      </c>
      <c r="I137" s="62">
        <v>3</v>
      </c>
      <c r="J137" s="95">
        <v>45838</v>
      </c>
      <c r="K137" s="3">
        <v>0.49</v>
      </c>
      <c r="L137" s="3">
        <v>5.85</v>
      </c>
      <c r="M137" s="44">
        <v>21</v>
      </c>
    </row>
    <row r="138" spans="1:13" x14ac:dyDescent="0.35">
      <c r="A138" s="62" t="s">
        <v>28</v>
      </c>
      <c r="B138" s="62" t="s">
        <v>32</v>
      </c>
      <c r="C138" s="62">
        <v>3</v>
      </c>
      <c r="D138" s="62">
        <v>1</v>
      </c>
      <c r="E138" s="62">
        <v>10</v>
      </c>
      <c r="F138" s="62">
        <v>110</v>
      </c>
      <c r="G138" s="62">
        <v>40</v>
      </c>
      <c r="H138" s="62">
        <v>10</v>
      </c>
      <c r="I138" s="62">
        <v>3</v>
      </c>
      <c r="J138" s="95">
        <v>45838</v>
      </c>
      <c r="K138" s="3">
        <v>0.5</v>
      </c>
      <c r="L138" s="3">
        <v>10.199999999999999</v>
      </c>
      <c r="M138" s="44">
        <v>15</v>
      </c>
    </row>
    <row r="139" spans="1:13" x14ac:dyDescent="0.35">
      <c r="A139" s="62" t="s">
        <v>33</v>
      </c>
      <c r="B139" s="62" t="s">
        <v>29</v>
      </c>
      <c r="C139" s="62">
        <v>3</v>
      </c>
      <c r="D139" s="62">
        <v>1</v>
      </c>
      <c r="E139" s="62">
        <v>11</v>
      </c>
      <c r="F139" s="62">
        <v>111</v>
      </c>
      <c r="G139" s="62">
        <v>41</v>
      </c>
      <c r="H139" s="62">
        <v>11</v>
      </c>
      <c r="I139" s="62">
        <v>3</v>
      </c>
      <c r="J139" s="95">
        <v>45838</v>
      </c>
      <c r="K139" s="3">
        <v>0.16</v>
      </c>
      <c r="L139" s="3">
        <v>2.48</v>
      </c>
    </row>
    <row r="140" spans="1:13" x14ac:dyDescent="0.35">
      <c r="A140" s="62" t="s">
        <v>33</v>
      </c>
      <c r="B140" s="62" t="s">
        <v>35</v>
      </c>
      <c r="C140" s="62">
        <v>3</v>
      </c>
      <c r="D140" s="62">
        <v>2</v>
      </c>
      <c r="E140" s="62">
        <v>11</v>
      </c>
      <c r="F140" s="62">
        <v>211</v>
      </c>
      <c r="G140" s="62">
        <v>42</v>
      </c>
      <c r="H140" s="62">
        <v>22</v>
      </c>
      <c r="I140" s="62">
        <v>3</v>
      </c>
      <c r="J140" s="95">
        <v>45838</v>
      </c>
      <c r="K140" s="3">
        <v>0.22</v>
      </c>
      <c r="L140" s="3">
        <v>1.73</v>
      </c>
    </row>
    <row r="141" spans="1:13" x14ac:dyDescent="0.35">
      <c r="A141" s="62" t="s">
        <v>33</v>
      </c>
      <c r="B141" s="62" t="s">
        <v>34</v>
      </c>
      <c r="C141" s="62">
        <v>3</v>
      </c>
      <c r="D141" s="62">
        <v>3</v>
      </c>
      <c r="E141" s="62">
        <v>11</v>
      </c>
      <c r="F141" s="62">
        <v>311</v>
      </c>
      <c r="G141" s="62">
        <v>43</v>
      </c>
      <c r="H141" s="62">
        <v>43</v>
      </c>
      <c r="I141" s="62">
        <v>3</v>
      </c>
      <c r="J141" s="95">
        <v>45838</v>
      </c>
      <c r="K141" s="3">
        <v>0.19</v>
      </c>
      <c r="L141" s="3">
        <v>2.4300000000000002</v>
      </c>
    </row>
    <row r="142" spans="1:13" x14ac:dyDescent="0.35">
      <c r="A142" s="62" t="s">
        <v>33</v>
      </c>
      <c r="B142" s="62" t="s">
        <v>30</v>
      </c>
      <c r="C142" s="62">
        <v>3</v>
      </c>
      <c r="D142" s="62">
        <v>4</v>
      </c>
      <c r="E142" s="62">
        <v>11</v>
      </c>
      <c r="F142" s="62">
        <v>411</v>
      </c>
      <c r="G142" s="62">
        <v>44</v>
      </c>
      <c r="H142" s="62">
        <v>54</v>
      </c>
      <c r="I142" s="62">
        <v>3</v>
      </c>
      <c r="J142" s="95">
        <v>45838</v>
      </c>
      <c r="K142" s="3">
        <v>0.18</v>
      </c>
      <c r="L142" s="3">
        <v>2.14</v>
      </c>
    </row>
    <row r="143" spans="1:13" x14ac:dyDescent="0.35">
      <c r="A143" s="62" t="s">
        <v>33</v>
      </c>
      <c r="B143" s="62" t="s">
        <v>30</v>
      </c>
      <c r="C143" s="62">
        <v>3</v>
      </c>
      <c r="D143" s="62">
        <v>4</v>
      </c>
      <c r="E143" s="62">
        <v>12</v>
      </c>
      <c r="F143" s="62">
        <v>412</v>
      </c>
      <c r="G143" s="62">
        <v>45</v>
      </c>
      <c r="H143" s="62">
        <v>53</v>
      </c>
      <c r="I143" s="62">
        <v>3</v>
      </c>
      <c r="J143" s="95">
        <v>45838</v>
      </c>
      <c r="K143" s="3">
        <v>0.2</v>
      </c>
      <c r="L143" s="3">
        <v>2.6</v>
      </c>
      <c r="M143" s="44">
        <v>17</v>
      </c>
    </row>
    <row r="144" spans="1:13" x14ac:dyDescent="0.35">
      <c r="A144" s="62" t="s">
        <v>33</v>
      </c>
      <c r="B144" s="62" t="s">
        <v>34</v>
      </c>
      <c r="C144" s="62">
        <v>3</v>
      </c>
      <c r="D144" s="62">
        <v>3</v>
      </c>
      <c r="E144" s="62">
        <v>12</v>
      </c>
      <c r="F144" s="62">
        <v>312</v>
      </c>
      <c r="G144" s="62">
        <v>46</v>
      </c>
      <c r="H144" s="62">
        <v>44</v>
      </c>
      <c r="I144" s="62">
        <v>3</v>
      </c>
      <c r="J144" s="95">
        <v>45838</v>
      </c>
      <c r="K144" s="3">
        <v>0.17</v>
      </c>
      <c r="L144" s="3">
        <v>3.35</v>
      </c>
      <c r="M144" s="44">
        <v>17</v>
      </c>
    </row>
    <row r="145" spans="1:13" x14ac:dyDescent="0.35">
      <c r="A145" s="62" t="s">
        <v>33</v>
      </c>
      <c r="B145" s="62" t="s">
        <v>35</v>
      </c>
      <c r="C145" s="62">
        <v>3</v>
      </c>
      <c r="D145" s="62">
        <v>2</v>
      </c>
      <c r="E145" s="62">
        <v>12</v>
      </c>
      <c r="F145" s="62">
        <v>212</v>
      </c>
      <c r="G145" s="62">
        <v>47</v>
      </c>
      <c r="H145" s="62">
        <v>21</v>
      </c>
      <c r="I145" s="62">
        <v>3</v>
      </c>
      <c r="J145" s="95">
        <v>45838</v>
      </c>
      <c r="K145" s="3">
        <v>0.2</v>
      </c>
      <c r="L145" s="3">
        <v>2.62</v>
      </c>
      <c r="M145" s="44">
        <v>14</v>
      </c>
    </row>
    <row r="146" spans="1:13" x14ac:dyDescent="0.35">
      <c r="A146" s="62" t="s">
        <v>33</v>
      </c>
      <c r="B146" s="62" t="s">
        <v>29</v>
      </c>
      <c r="C146" s="62">
        <v>3</v>
      </c>
      <c r="D146" s="62">
        <v>1</v>
      </c>
      <c r="E146" s="62">
        <v>12</v>
      </c>
      <c r="F146" s="62">
        <v>112</v>
      </c>
      <c r="G146" s="62">
        <v>48</v>
      </c>
      <c r="H146" s="62">
        <v>12</v>
      </c>
      <c r="I146" s="62">
        <v>3</v>
      </c>
      <c r="J146" s="95">
        <v>45838</v>
      </c>
      <c r="K146" s="3">
        <v>0.18</v>
      </c>
      <c r="L146" s="3">
        <v>2.92</v>
      </c>
      <c r="M146" s="44">
        <v>15</v>
      </c>
    </row>
    <row r="147" spans="1:13" x14ac:dyDescent="0.35">
      <c r="A147" s="62" t="s">
        <v>28</v>
      </c>
      <c r="B147" s="62" t="s">
        <v>30</v>
      </c>
      <c r="C147" s="62">
        <v>4</v>
      </c>
      <c r="D147" s="62">
        <v>1</v>
      </c>
      <c r="E147" s="62">
        <v>13</v>
      </c>
      <c r="F147" s="62">
        <v>113</v>
      </c>
      <c r="G147" s="62">
        <v>49</v>
      </c>
      <c r="H147" s="62">
        <v>13</v>
      </c>
      <c r="I147" s="62">
        <v>3</v>
      </c>
      <c r="J147" s="95">
        <v>45838</v>
      </c>
      <c r="K147" s="3">
        <v>0.5</v>
      </c>
      <c r="L147" s="3">
        <v>7.82</v>
      </c>
    </row>
    <row r="148" spans="1:13" x14ac:dyDescent="0.35">
      <c r="A148" s="62" t="s">
        <v>28</v>
      </c>
      <c r="B148" s="62" t="s">
        <v>29</v>
      </c>
      <c r="C148" s="62">
        <v>4</v>
      </c>
      <c r="D148" s="62">
        <v>2</v>
      </c>
      <c r="E148" s="62">
        <v>13</v>
      </c>
      <c r="F148" s="62">
        <v>213</v>
      </c>
      <c r="G148" s="62">
        <v>50</v>
      </c>
      <c r="H148" s="62">
        <v>20</v>
      </c>
      <c r="I148" s="62">
        <v>3</v>
      </c>
      <c r="J148" s="95">
        <v>45838</v>
      </c>
      <c r="K148" s="3">
        <v>0.47</v>
      </c>
      <c r="L148" s="3">
        <v>5.22</v>
      </c>
    </row>
    <row r="149" spans="1:13" x14ac:dyDescent="0.35">
      <c r="A149" s="62" t="s">
        <v>28</v>
      </c>
      <c r="B149" s="62" t="s">
        <v>32</v>
      </c>
      <c r="C149" s="62">
        <v>4</v>
      </c>
      <c r="D149" s="62">
        <v>3</v>
      </c>
      <c r="E149" s="62">
        <v>13</v>
      </c>
      <c r="F149" s="62">
        <v>313</v>
      </c>
      <c r="G149" s="62">
        <v>51</v>
      </c>
      <c r="H149" s="62">
        <v>45</v>
      </c>
      <c r="I149" s="62">
        <v>3</v>
      </c>
      <c r="J149" s="95">
        <v>45838</v>
      </c>
      <c r="K149" s="3">
        <v>0.3</v>
      </c>
      <c r="L149" s="3">
        <v>6.27</v>
      </c>
    </row>
    <row r="150" spans="1:13" x14ac:dyDescent="0.35">
      <c r="A150" s="62" t="s">
        <v>28</v>
      </c>
      <c r="B150" s="62" t="s">
        <v>31</v>
      </c>
      <c r="C150" s="62">
        <v>4</v>
      </c>
      <c r="D150" s="62">
        <v>4</v>
      </c>
      <c r="E150" s="62">
        <v>13</v>
      </c>
      <c r="F150" s="62">
        <v>413</v>
      </c>
      <c r="G150" s="62">
        <v>52</v>
      </c>
      <c r="H150" s="62">
        <v>52</v>
      </c>
      <c r="I150" s="62">
        <v>3</v>
      </c>
      <c r="J150" s="95">
        <v>45838</v>
      </c>
      <c r="K150" s="3">
        <v>0.42</v>
      </c>
      <c r="L150" s="3">
        <v>10.24</v>
      </c>
    </row>
    <row r="151" spans="1:13" x14ac:dyDescent="0.35">
      <c r="A151" s="62" t="s">
        <v>28</v>
      </c>
      <c r="B151" s="62" t="s">
        <v>31</v>
      </c>
      <c r="C151" s="62">
        <v>4</v>
      </c>
      <c r="D151" s="62">
        <v>4</v>
      </c>
      <c r="E151" s="62">
        <v>14</v>
      </c>
      <c r="F151" s="62">
        <v>414</v>
      </c>
      <c r="G151" s="62">
        <v>53</v>
      </c>
      <c r="H151" s="62">
        <v>51</v>
      </c>
      <c r="I151" s="62">
        <v>3</v>
      </c>
      <c r="J151" s="95">
        <v>45838</v>
      </c>
      <c r="K151" s="3">
        <v>0.35</v>
      </c>
      <c r="L151" s="3">
        <v>8.77</v>
      </c>
      <c r="M151" s="44">
        <v>20</v>
      </c>
    </row>
    <row r="152" spans="1:13" x14ac:dyDescent="0.35">
      <c r="A152" s="62" t="s">
        <v>28</v>
      </c>
      <c r="B152" s="62" t="s">
        <v>32</v>
      </c>
      <c r="C152" s="62">
        <v>4</v>
      </c>
      <c r="D152" s="62">
        <v>3</v>
      </c>
      <c r="E152" s="62">
        <v>14</v>
      </c>
      <c r="F152" s="62">
        <v>314</v>
      </c>
      <c r="G152" s="62">
        <v>54</v>
      </c>
      <c r="H152" s="62">
        <v>46</v>
      </c>
      <c r="I152" s="62">
        <v>3</v>
      </c>
      <c r="J152" s="95">
        <v>45838</v>
      </c>
      <c r="K152" s="3">
        <v>0.34</v>
      </c>
      <c r="L152" s="3">
        <v>10.62</v>
      </c>
      <c r="M152" s="44">
        <v>12</v>
      </c>
    </row>
    <row r="153" spans="1:13" x14ac:dyDescent="0.35">
      <c r="A153" s="62" t="s">
        <v>28</v>
      </c>
      <c r="B153" s="62" t="s">
        <v>29</v>
      </c>
      <c r="C153" s="62">
        <v>4</v>
      </c>
      <c r="D153" s="62">
        <v>2</v>
      </c>
      <c r="E153" s="62">
        <v>14</v>
      </c>
      <c r="F153" s="62">
        <v>214</v>
      </c>
      <c r="G153" s="62">
        <v>55</v>
      </c>
      <c r="H153" s="62">
        <v>19</v>
      </c>
      <c r="I153" s="62">
        <v>3</v>
      </c>
      <c r="J153" s="95">
        <v>45838</v>
      </c>
      <c r="K153" s="3">
        <v>0.44</v>
      </c>
      <c r="L153" s="3">
        <v>10.78</v>
      </c>
      <c r="M153" s="44">
        <v>19</v>
      </c>
    </row>
    <row r="154" spans="1:13" x14ac:dyDescent="0.35">
      <c r="A154" s="62" t="s">
        <v>28</v>
      </c>
      <c r="B154" s="62" t="s">
        <v>30</v>
      </c>
      <c r="C154" s="62">
        <v>4</v>
      </c>
      <c r="D154" s="62">
        <v>1</v>
      </c>
      <c r="E154" s="62">
        <v>14</v>
      </c>
      <c r="F154" s="62">
        <v>114</v>
      </c>
      <c r="G154" s="62">
        <v>56</v>
      </c>
      <c r="H154" s="62">
        <v>14</v>
      </c>
      <c r="I154" s="62">
        <v>3</v>
      </c>
      <c r="J154" s="95">
        <v>45838</v>
      </c>
      <c r="K154" s="3">
        <v>0.52</v>
      </c>
      <c r="L154" s="3">
        <v>8.25</v>
      </c>
      <c r="M154" s="44">
        <v>26</v>
      </c>
    </row>
    <row r="155" spans="1:13" x14ac:dyDescent="0.35">
      <c r="A155" s="62" t="s">
        <v>33</v>
      </c>
      <c r="B155" s="62" t="s">
        <v>30</v>
      </c>
      <c r="C155" s="62">
        <v>4</v>
      </c>
      <c r="D155" s="62">
        <v>1</v>
      </c>
      <c r="E155" s="62">
        <v>15</v>
      </c>
      <c r="F155" s="62">
        <v>115</v>
      </c>
      <c r="G155" s="62">
        <v>57</v>
      </c>
      <c r="H155" s="62">
        <v>15</v>
      </c>
      <c r="I155" s="62">
        <v>3</v>
      </c>
      <c r="J155" s="95">
        <v>45838</v>
      </c>
      <c r="K155" s="3">
        <v>0.18</v>
      </c>
      <c r="L155" s="3">
        <v>1.72</v>
      </c>
    </row>
    <row r="156" spans="1:13" x14ac:dyDescent="0.35">
      <c r="A156" s="62" t="s">
        <v>33</v>
      </c>
      <c r="B156" s="62" t="s">
        <v>34</v>
      </c>
      <c r="C156" s="62">
        <v>4</v>
      </c>
      <c r="D156" s="62">
        <v>2</v>
      </c>
      <c r="E156" s="62">
        <v>15</v>
      </c>
      <c r="F156" s="62">
        <v>215</v>
      </c>
      <c r="G156" s="62">
        <v>58</v>
      </c>
      <c r="H156" s="62">
        <v>18</v>
      </c>
      <c r="I156" s="62">
        <v>3</v>
      </c>
      <c r="J156" s="95">
        <v>45838</v>
      </c>
      <c r="K156" s="3">
        <v>0.2</v>
      </c>
      <c r="L156" s="3">
        <v>2.33</v>
      </c>
    </row>
    <row r="157" spans="1:13" x14ac:dyDescent="0.35">
      <c r="A157" s="62" t="s">
        <v>33</v>
      </c>
      <c r="B157" s="62" t="s">
        <v>29</v>
      </c>
      <c r="C157" s="62">
        <v>4</v>
      </c>
      <c r="D157" s="62">
        <v>3</v>
      </c>
      <c r="E157" s="62">
        <v>15</v>
      </c>
      <c r="F157" s="62">
        <v>315</v>
      </c>
      <c r="G157" s="62">
        <v>59</v>
      </c>
      <c r="H157" s="62">
        <v>47</v>
      </c>
      <c r="I157" s="62">
        <v>3</v>
      </c>
      <c r="J157" s="95">
        <v>45838</v>
      </c>
      <c r="K157" s="3">
        <v>0.19</v>
      </c>
      <c r="L157" s="3">
        <v>3.4</v>
      </c>
    </row>
    <row r="158" spans="1:13" x14ac:dyDescent="0.35">
      <c r="A158" s="62" t="s">
        <v>33</v>
      </c>
      <c r="B158" s="62" t="s">
        <v>35</v>
      </c>
      <c r="C158" s="62">
        <v>4</v>
      </c>
      <c r="D158" s="62">
        <v>4</v>
      </c>
      <c r="E158" s="62">
        <v>15</v>
      </c>
      <c r="F158" s="62">
        <v>415</v>
      </c>
      <c r="G158" s="62">
        <v>60</v>
      </c>
      <c r="H158" s="62">
        <v>50</v>
      </c>
      <c r="I158" s="62">
        <v>3</v>
      </c>
      <c r="J158" s="95">
        <v>45838</v>
      </c>
      <c r="K158" s="3">
        <v>0.2</v>
      </c>
      <c r="L158" s="3">
        <v>3.3</v>
      </c>
    </row>
    <row r="159" spans="1:13" x14ac:dyDescent="0.35">
      <c r="A159" s="62" t="s">
        <v>33</v>
      </c>
      <c r="B159" s="62" t="s">
        <v>35</v>
      </c>
      <c r="C159" s="62">
        <v>4</v>
      </c>
      <c r="D159" s="62">
        <v>4</v>
      </c>
      <c r="E159" s="62">
        <v>16</v>
      </c>
      <c r="F159" s="62">
        <v>416</v>
      </c>
      <c r="G159" s="62">
        <v>61</v>
      </c>
      <c r="H159" s="62">
        <v>49</v>
      </c>
      <c r="I159" s="62">
        <v>3</v>
      </c>
      <c r="J159" s="95">
        <v>45838</v>
      </c>
      <c r="K159" s="3">
        <v>0.21</v>
      </c>
      <c r="L159" s="3">
        <v>3.27</v>
      </c>
      <c r="M159" s="44">
        <v>18</v>
      </c>
    </row>
    <row r="160" spans="1:13" x14ac:dyDescent="0.35">
      <c r="A160" s="62" t="s">
        <v>33</v>
      </c>
      <c r="B160" s="62" t="s">
        <v>29</v>
      </c>
      <c r="C160" s="62">
        <v>4</v>
      </c>
      <c r="D160" s="62">
        <v>3</v>
      </c>
      <c r="E160" s="62">
        <v>16</v>
      </c>
      <c r="F160" s="62">
        <v>316</v>
      </c>
      <c r="G160" s="62">
        <v>62</v>
      </c>
      <c r="H160" s="62">
        <v>48</v>
      </c>
      <c r="I160" s="62">
        <v>3</v>
      </c>
      <c r="J160" s="95">
        <v>45838</v>
      </c>
      <c r="K160" s="3">
        <v>0.18</v>
      </c>
      <c r="L160" s="3">
        <v>3.11</v>
      </c>
      <c r="M160" s="44">
        <v>18</v>
      </c>
    </row>
    <row r="161" spans="1:14" x14ac:dyDescent="0.35">
      <c r="A161" s="62" t="s">
        <v>33</v>
      </c>
      <c r="B161" s="62" t="s">
        <v>34</v>
      </c>
      <c r="C161" s="62">
        <v>4</v>
      </c>
      <c r="D161" s="62">
        <v>2</v>
      </c>
      <c r="E161" s="62">
        <v>16</v>
      </c>
      <c r="F161" s="62">
        <v>216</v>
      </c>
      <c r="G161" s="62">
        <v>63</v>
      </c>
      <c r="H161" s="62">
        <v>17</v>
      </c>
      <c r="I161" s="62">
        <v>3</v>
      </c>
      <c r="J161" s="95">
        <v>45838</v>
      </c>
      <c r="K161" s="3">
        <v>0.17</v>
      </c>
      <c r="L161" s="3">
        <v>3.7</v>
      </c>
      <c r="M161" s="44">
        <v>16</v>
      </c>
    </row>
    <row r="162" spans="1:14" x14ac:dyDescent="0.35">
      <c r="A162" s="62" t="s">
        <v>33</v>
      </c>
      <c r="B162" s="62" t="s">
        <v>30</v>
      </c>
      <c r="C162" s="62">
        <v>4</v>
      </c>
      <c r="D162" s="62">
        <v>1</v>
      </c>
      <c r="E162" s="62">
        <v>16</v>
      </c>
      <c r="F162" s="62">
        <v>116</v>
      </c>
      <c r="G162" s="62">
        <v>64</v>
      </c>
      <c r="H162" s="62">
        <v>16</v>
      </c>
      <c r="I162" s="62">
        <v>3</v>
      </c>
      <c r="J162" s="95">
        <v>45838</v>
      </c>
      <c r="K162" s="3">
        <v>0.17</v>
      </c>
      <c r="L162" s="3">
        <v>3.17</v>
      </c>
      <c r="M162" s="44">
        <v>14</v>
      </c>
    </row>
    <row r="163" spans="1:14" x14ac:dyDescent="0.35">
      <c r="A163" s="62" t="s">
        <v>28</v>
      </c>
      <c r="B163" s="62" t="s">
        <v>29</v>
      </c>
      <c r="C163" s="62">
        <v>1</v>
      </c>
      <c r="D163" s="62">
        <v>1</v>
      </c>
      <c r="E163" s="62">
        <v>1</v>
      </c>
      <c r="F163" s="62">
        <v>101</v>
      </c>
      <c r="G163" s="62">
        <v>1</v>
      </c>
      <c r="H163" s="62">
        <v>1</v>
      </c>
      <c r="I163" s="62">
        <v>4</v>
      </c>
      <c r="J163" s="95">
        <v>45856</v>
      </c>
      <c r="K163" s="3">
        <v>0.65</v>
      </c>
      <c r="L163" s="3">
        <v>5.26</v>
      </c>
    </row>
    <row r="164" spans="1:14" x14ac:dyDescent="0.35">
      <c r="A164" s="62" t="s">
        <v>28</v>
      </c>
      <c r="B164" s="62" t="s">
        <v>30</v>
      </c>
      <c r="C164" s="62">
        <v>1</v>
      </c>
      <c r="D164" s="62">
        <v>2</v>
      </c>
      <c r="E164" s="62">
        <v>1</v>
      </c>
      <c r="F164" s="62">
        <v>201</v>
      </c>
      <c r="G164" s="62">
        <v>2</v>
      </c>
      <c r="H164" s="62">
        <v>32</v>
      </c>
      <c r="I164" s="62">
        <v>4</v>
      </c>
      <c r="J164" s="95">
        <v>45856</v>
      </c>
      <c r="K164" s="3">
        <v>0.61</v>
      </c>
      <c r="L164" s="3">
        <v>3.5</v>
      </c>
    </row>
    <row r="165" spans="1:14" x14ac:dyDescent="0.35">
      <c r="A165" s="62" t="s">
        <v>28</v>
      </c>
      <c r="B165" s="62" t="s">
        <v>31</v>
      </c>
      <c r="C165" s="62">
        <v>1</v>
      </c>
      <c r="D165" s="62">
        <v>3</v>
      </c>
      <c r="E165" s="62">
        <v>1</v>
      </c>
      <c r="F165" s="62">
        <v>301</v>
      </c>
      <c r="G165" s="62">
        <v>3</v>
      </c>
      <c r="H165" s="62">
        <v>33</v>
      </c>
      <c r="I165" s="62">
        <v>4</v>
      </c>
      <c r="J165" s="95">
        <v>45856</v>
      </c>
      <c r="K165" s="3">
        <v>0.57999999999999996</v>
      </c>
      <c r="L165" s="3">
        <v>9.61</v>
      </c>
    </row>
    <row r="166" spans="1:14" x14ac:dyDescent="0.35">
      <c r="A166" s="62" t="s">
        <v>28</v>
      </c>
      <c r="B166" s="62" t="s">
        <v>32</v>
      </c>
      <c r="C166" s="62">
        <v>1</v>
      </c>
      <c r="D166" s="62">
        <v>4</v>
      </c>
      <c r="E166" s="62">
        <v>1</v>
      </c>
      <c r="F166" s="62">
        <v>401</v>
      </c>
      <c r="G166" s="62">
        <v>4</v>
      </c>
      <c r="H166" s="62">
        <v>64</v>
      </c>
      <c r="I166" s="62">
        <v>4</v>
      </c>
      <c r="J166" s="95">
        <v>45856</v>
      </c>
      <c r="K166" s="3">
        <v>0.51</v>
      </c>
      <c r="L166" s="3">
        <v>9.0500000000000007</v>
      </c>
    </row>
    <row r="167" spans="1:14" x14ac:dyDescent="0.35">
      <c r="A167" s="62" t="s">
        <v>28</v>
      </c>
      <c r="B167" s="62" t="s">
        <v>32</v>
      </c>
      <c r="C167" s="62">
        <v>1</v>
      </c>
      <c r="D167" s="62">
        <v>4</v>
      </c>
      <c r="E167" s="62">
        <v>2</v>
      </c>
      <c r="F167" s="62">
        <v>402</v>
      </c>
      <c r="G167" s="62">
        <v>5</v>
      </c>
      <c r="H167" s="62">
        <v>63</v>
      </c>
      <c r="I167" s="62">
        <v>4</v>
      </c>
      <c r="J167" s="95">
        <v>45856</v>
      </c>
      <c r="K167" s="3">
        <v>0.41</v>
      </c>
      <c r="L167" s="3">
        <v>12.08</v>
      </c>
      <c r="M167" s="44">
        <v>10</v>
      </c>
      <c r="N167" t="s">
        <v>460</v>
      </c>
    </row>
    <row r="168" spans="1:14" x14ac:dyDescent="0.35">
      <c r="A168" s="62" t="s">
        <v>28</v>
      </c>
      <c r="B168" s="62" t="s">
        <v>31</v>
      </c>
      <c r="C168" s="62">
        <v>1</v>
      </c>
      <c r="D168" s="62">
        <v>3</v>
      </c>
      <c r="E168" s="62">
        <v>2</v>
      </c>
      <c r="F168" s="62">
        <v>302</v>
      </c>
      <c r="G168" s="62">
        <v>6</v>
      </c>
      <c r="H168" s="62">
        <v>34</v>
      </c>
      <c r="I168" s="62">
        <v>4</v>
      </c>
      <c r="J168" s="95">
        <v>45856</v>
      </c>
      <c r="K168" s="3">
        <v>0.53</v>
      </c>
      <c r="L168" s="3">
        <v>11.36</v>
      </c>
      <c r="M168" s="44">
        <v>23</v>
      </c>
    </row>
    <row r="169" spans="1:14" x14ac:dyDescent="0.35">
      <c r="A169" s="62" t="s">
        <v>28</v>
      </c>
      <c r="B169" s="62" t="s">
        <v>30</v>
      </c>
      <c r="C169" s="62">
        <v>1</v>
      </c>
      <c r="D169" s="62">
        <v>2</v>
      </c>
      <c r="E169" s="62">
        <v>2</v>
      </c>
      <c r="F169" s="62">
        <v>202</v>
      </c>
      <c r="G169" s="62">
        <v>7</v>
      </c>
      <c r="H169" s="62">
        <v>31</v>
      </c>
      <c r="I169" s="62">
        <v>4</v>
      </c>
      <c r="J169" s="95">
        <v>45856</v>
      </c>
      <c r="K169" s="3">
        <v>0.66</v>
      </c>
      <c r="L169" s="3">
        <v>3.15</v>
      </c>
      <c r="M169" s="44">
        <v>28</v>
      </c>
    </row>
    <row r="170" spans="1:14" x14ac:dyDescent="0.35">
      <c r="A170" s="62" t="s">
        <v>28</v>
      </c>
      <c r="B170" s="62" t="s">
        <v>29</v>
      </c>
      <c r="C170" s="62">
        <v>1</v>
      </c>
      <c r="D170" s="62">
        <v>1</v>
      </c>
      <c r="E170" s="62">
        <v>2</v>
      </c>
      <c r="F170" s="62">
        <v>102</v>
      </c>
      <c r="G170" s="62">
        <v>8</v>
      </c>
      <c r="H170" s="62">
        <v>2</v>
      </c>
      <c r="I170" s="62">
        <v>4</v>
      </c>
      <c r="J170" s="95">
        <v>45856</v>
      </c>
      <c r="K170" s="3">
        <v>0.66</v>
      </c>
      <c r="L170" s="3">
        <v>5.4</v>
      </c>
      <c r="M170" s="44">
        <v>33</v>
      </c>
    </row>
    <row r="171" spans="1:14" x14ac:dyDescent="0.35">
      <c r="A171" s="62" t="s">
        <v>33</v>
      </c>
      <c r="B171" s="62" t="s">
        <v>34</v>
      </c>
      <c r="C171" s="62">
        <v>1</v>
      </c>
      <c r="D171" s="62">
        <v>1</v>
      </c>
      <c r="E171" s="62">
        <v>3</v>
      </c>
      <c r="F171" s="62">
        <v>103</v>
      </c>
      <c r="G171" s="62">
        <v>9</v>
      </c>
      <c r="H171" s="62">
        <v>3</v>
      </c>
      <c r="I171" s="62">
        <v>4</v>
      </c>
      <c r="J171" s="95">
        <v>45856</v>
      </c>
      <c r="K171" s="3">
        <v>0.28999999999999998</v>
      </c>
      <c r="L171" s="3">
        <v>5.25</v>
      </c>
    </row>
    <row r="172" spans="1:14" x14ac:dyDescent="0.35">
      <c r="A172" s="62" t="s">
        <v>33</v>
      </c>
      <c r="B172" s="62" t="s">
        <v>30</v>
      </c>
      <c r="C172" s="62">
        <v>1</v>
      </c>
      <c r="D172" s="62">
        <v>2</v>
      </c>
      <c r="E172" s="62">
        <v>3</v>
      </c>
      <c r="F172" s="62">
        <v>203</v>
      </c>
      <c r="G172" s="62">
        <v>10</v>
      </c>
      <c r="H172" s="62">
        <v>30</v>
      </c>
      <c r="I172" s="62">
        <v>4</v>
      </c>
      <c r="J172" s="95">
        <v>45856</v>
      </c>
      <c r="K172" s="3">
        <v>0.31</v>
      </c>
      <c r="L172" s="3">
        <v>4.58</v>
      </c>
    </row>
    <row r="173" spans="1:14" x14ac:dyDescent="0.35">
      <c r="A173" s="62" t="s">
        <v>33</v>
      </c>
      <c r="B173" s="62" t="s">
        <v>35</v>
      </c>
      <c r="C173" s="62">
        <v>1</v>
      </c>
      <c r="D173" s="62">
        <v>3</v>
      </c>
      <c r="E173" s="62">
        <v>3</v>
      </c>
      <c r="F173" s="62">
        <v>303</v>
      </c>
      <c r="G173" s="62">
        <v>11</v>
      </c>
      <c r="H173" s="62">
        <v>35</v>
      </c>
      <c r="I173" s="62">
        <v>4</v>
      </c>
      <c r="J173" s="95">
        <v>45856</v>
      </c>
      <c r="K173" s="3">
        <v>0.26</v>
      </c>
      <c r="L173" s="3">
        <v>5.99</v>
      </c>
    </row>
    <row r="174" spans="1:14" x14ac:dyDescent="0.35">
      <c r="A174" s="62" t="s">
        <v>33</v>
      </c>
      <c r="B174" s="62" t="s">
        <v>29</v>
      </c>
      <c r="C174" s="62">
        <v>1</v>
      </c>
      <c r="D174" s="62">
        <v>4</v>
      </c>
      <c r="E174" s="62">
        <v>3</v>
      </c>
      <c r="F174" s="62">
        <v>403</v>
      </c>
      <c r="G174" s="62">
        <v>12</v>
      </c>
      <c r="H174" s="62">
        <v>62</v>
      </c>
      <c r="I174" s="62">
        <v>4</v>
      </c>
      <c r="J174" s="95">
        <v>45856</v>
      </c>
      <c r="K174" s="3">
        <v>0.3</v>
      </c>
      <c r="L174" s="3">
        <v>4.1500000000000004</v>
      </c>
    </row>
    <row r="175" spans="1:14" x14ac:dyDescent="0.35">
      <c r="A175" s="62" t="s">
        <v>33</v>
      </c>
      <c r="B175" s="62" t="s">
        <v>29</v>
      </c>
      <c r="C175" s="62">
        <v>1</v>
      </c>
      <c r="D175" s="62">
        <v>4</v>
      </c>
      <c r="E175" s="62">
        <v>4</v>
      </c>
      <c r="F175" s="62">
        <v>404</v>
      </c>
      <c r="G175" s="62">
        <v>13</v>
      </c>
      <c r="H175" s="62">
        <v>61</v>
      </c>
      <c r="I175" s="62">
        <v>4</v>
      </c>
      <c r="J175" s="95">
        <v>45856</v>
      </c>
      <c r="K175" s="3">
        <v>0.31</v>
      </c>
      <c r="L175" s="3">
        <v>4.87</v>
      </c>
      <c r="M175" s="44">
        <v>18</v>
      </c>
    </row>
    <row r="176" spans="1:14" x14ac:dyDescent="0.35">
      <c r="A176" s="62" t="s">
        <v>33</v>
      </c>
      <c r="B176" s="62" t="s">
        <v>35</v>
      </c>
      <c r="C176" s="62">
        <v>1</v>
      </c>
      <c r="D176" s="62">
        <v>3</v>
      </c>
      <c r="E176" s="62">
        <v>4</v>
      </c>
      <c r="F176" s="62">
        <v>304</v>
      </c>
      <c r="G176" s="62">
        <v>14</v>
      </c>
      <c r="H176" s="62">
        <v>36</v>
      </c>
      <c r="I176" s="62">
        <v>4</v>
      </c>
      <c r="J176" s="95">
        <v>45856</v>
      </c>
      <c r="K176" s="3">
        <v>0.3</v>
      </c>
      <c r="L176" s="3">
        <v>4.01</v>
      </c>
      <c r="M176" s="44">
        <v>12</v>
      </c>
    </row>
    <row r="177" spans="1:13" x14ac:dyDescent="0.35">
      <c r="A177" s="62" t="s">
        <v>33</v>
      </c>
      <c r="B177" s="62" t="s">
        <v>30</v>
      </c>
      <c r="C177" s="62">
        <v>1</v>
      </c>
      <c r="D177" s="62">
        <v>2</v>
      </c>
      <c r="E177" s="62">
        <v>4</v>
      </c>
      <c r="F177" s="62">
        <v>204</v>
      </c>
      <c r="G177" s="62">
        <v>15</v>
      </c>
      <c r="H177" s="62">
        <v>29</v>
      </c>
      <c r="I177" s="62">
        <v>4</v>
      </c>
      <c r="J177" s="95">
        <v>45856</v>
      </c>
      <c r="K177" s="3">
        <v>0.35</v>
      </c>
      <c r="L177" s="3">
        <v>4.66</v>
      </c>
      <c r="M177" s="44">
        <v>16</v>
      </c>
    </row>
    <row r="178" spans="1:13" x14ac:dyDescent="0.35">
      <c r="A178" s="62" t="s">
        <v>33</v>
      </c>
      <c r="B178" s="62" t="s">
        <v>34</v>
      </c>
      <c r="C178" s="62">
        <v>1</v>
      </c>
      <c r="D178" s="62">
        <v>1</v>
      </c>
      <c r="E178" s="62">
        <v>4</v>
      </c>
      <c r="F178" s="62">
        <v>104</v>
      </c>
      <c r="G178" s="62">
        <v>16</v>
      </c>
      <c r="H178" s="62">
        <v>4</v>
      </c>
      <c r="I178" s="62">
        <v>4</v>
      </c>
      <c r="J178" s="95">
        <v>45856</v>
      </c>
      <c r="K178" s="3">
        <v>0.32</v>
      </c>
      <c r="L178" s="3">
        <v>5.36</v>
      </c>
      <c r="M178" s="44">
        <v>21</v>
      </c>
    </row>
    <row r="179" spans="1:13" x14ac:dyDescent="0.35">
      <c r="A179" s="62" t="s">
        <v>28</v>
      </c>
      <c r="B179" s="62" t="s">
        <v>31</v>
      </c>
      <c r="C179" s="62">
        <v>2</v>
      </c>
      <c r="D179" s="62">
        <v>1</v>
      </c>
      <c r="E179" s="62">
        <v>5</v>
      </c>
      <c r="F179" s="62">
        <v>105</v>
      </c>
      <c r="G179" s="62">
        <v>17</v>
      </c>
      <c r="H179" s="62">
        <v>5</v>
      </c>
      <c r="I179" s="62">
        <v>4</v>
      </c>
      <c r="J179" s="95">
        <v>45856</v>
      </c>
      <c r="K179" s="3">
        <v>0.66</v>
      </c>
      <c r="L179" s="3">
        <v>4.21</v>
      </c>
    </row>
    <row r="180" spans="1:13" x14ac:dyDescent="0.35">
      <c r="A180" s="62" t="s">
        <v>28</v>
      </c>
      <c r="B180" s="62" t="s">
        <v>32</v>
      </c>
      <c r="C180" s="62">
        <v>2</v>
      </c>
      <c r="D180" s="62">
        <v>2</v>
      </c>
      <c r="E180" s="62">
        <v>5</v>
      </c>
      <c r="F180" s="62">
        <v>205</v>
      </c>
      <c r="G180" s="62">
        <v>18</v>
      </c>
      <c r="H180" s="62">
        <v>28</v>
      </c>
      <c r="I180" s="62">
        <v>4</v>
      </c>
      <c r="J180" s="95">
        <v>45856</v>
      </c>
      <c r="K180" s="3">
        <v>0.6</v>
      </c>
      <c r="L180" s="3">
        <v>8.5399999999999991</v>
      </c>
    </row>
    <row r="181" spans="1:13" x14ac:dyDescent="0.35">
      <c r="A181" s="62" t="s">
        <v>28</v>
      </c>
      <c r="B181" s="62" t="s">
        <v>30</v>
      </c>
      <c r="C181" s="62">
        <v>2</v>
      </c>
      <c r="D181" s="62">
        <v>3</v>
      </c>
      <c r="E181" s="62">
        <v>5</v>
      </c>
      <c r="F181" s="62">
        <v>305</v>
      </c>
      <c r="G181" s="62">
        <v>19</v>
      </c>
      <c r="H181" s="62">
        <v>37</v>
      </c>
      <c r="I181" s="62">
        <v>4</v>
      </c>
      <c r="J181" s="95">
        <v>45856</v>
      </c>
      <c r="K181" s="3">
        <v>0.51</v>
      </c>
      <c r="L181" s="3">
        <v>5.61</v>
      </c>
    </row>
    <row r="182" spans="1:13" x14ac:dyDescent="0.35">
      <c r="A182" s="62" t="s">
        <v>28</v>
      </c>
      <c r="B182" s="62" t="s">
        <v>29</v>
      </c>
      <c r="C182" s="62">
        <v>2</v>
      </c>
      <c r="D182" s="62">
        <v>4</v>
      </c>
      <c r="E182" s="62">
        <v>5</v>
      </c>
      <c r="F182" s="62">
        <v>405</v>
      </c>
      <c r="G182" s="62">
        <v>20</v>
      </c>
      <c r="H182" s="62">
        <v>60</v>
      </c>
      <c r="I182" s="62">
        <v>4</v>
      </c>
      <c r="J182" s="95">
        <v>45856</v>
      </c>
      <c r="K182" s="3">
        <v>0.5</v>
      </c>
      <c r="L182" s="3">
        <v>7.67</v>
      </c>
    </row>
    <row r="183" spans="1:13" x14ac:dyDescent="0.35">
      <c r="A183" s="62" t="s">
        <v>28</v>
      </c>
      <c r="B183" s="62" t="s">
        <v>29</v>
      </c>
      <c r="C183" s="62">
        <v>2</v>
      </c>
      <c r="D183" s="62">
        <v>4</v>
      </c>
      <c r="E183" s="62">
        <v>6</v>
      </c>
      <c r="F183" s="62">
        <v>406</v>
      </c>
      <c r="G183" s="62">
        <v>21</v>
      </c>
      <c r="H183" s="62">
        <v>59</v>
      </c>
      <c r="I183" s="62">
        <v>4</v>
      </c>
      <c r="J183" s="95">
        <v>45856</v>
      </c>
      <c r="K183" s="3">
        <v>0.57999999999999996</v>
      </c>
      <c r="L183" s="3">
        <v>7.33</v>
      </c>
      <c r="M183" s="44">
        <v>30</v>
      </c>
    </row>
    <row r="184" spans="1:13" x14ac:dyDescent="0.35">
      <c r="A184" s="62" t="s">
        <v>28</v>
      </c>
      <c r="B184" s="62" t="s">
        <v>30</v>
      </c>
      <c r="C184" s="62">
        <v>2</v>
      </c>
      <c r="D184" s="62">
        <v>3</v>
      </c>
      <c r="E184" s="62">
        <v>6</v>
      </c>
      <c r="F184" s="62">
        <v>306</v>
      </c>
      <c r="G184" s="62">
        <v>22</v>
      </c>
      <c r="H184" s="62">
        <v>38</v>
      </c>
      <c r="I184" s="62">
        <v>4</v>
      </c>
      <c r="J184" s="95">
        <v>45856</v>
      </c>
      <c r="K184" s="3">
        <v>0.49</v>
      </c>
      <c r="L184" s="3">
        <v>9.77</v>
      </c>
      <c r="M184" s="44">
        <v>20</v>
      </c>
    </row>
    <row r="185" spans="1:13" x14ac:dyDescent="0.35">
      <c r="A185" s="62" t="s">
        <v>28</v>
      </c>
      <c r="B185" s="62" t="s">
        <v>32</v>
      </c>
      <c r="C185" s="62">
        <v>2</v>
      </c>
      <c r="D185" s="62">
        <v>2</v>
      </c>
      <c r="E185" s="62">
        <v>6</v>
      </c>
      <c r="F185" s="62">
        <v>206</v>
      </c>
      <c r="G185" s="62">
        <v>23</v>
      </c>
      <c r="H185" s="62">
        <v>27</v>
      </c>
      <c r="I185" s="62">
        <v>4</v>
      </c>
      <c r="J185" s="95">
        <v>45856</v>
      </c>
      <c r="K185" s="3">
        <v>0.56000000000000005</v>
      </c>
      <c r="L185" s="3">
        <v>7.84</v>
      </c>
      <c r="M185" s="44">
        <v>13</v>
      </c>
    </row>
    <row r="186" spans="1:13" x14ac:dyDescent="0.35">
      <c r="A186" s="62" t="s">
        <v>28</v>
      </c>
      <c r="B186" s="62" t="s">
        <v>31</v>
      </c>
      <c r="C186" s="62">
        <v>2</v>
      </c>
      <c r="D186" s="62">
        <v>1</v>
      </c>
      <c r="E186" s="62">
        <v>6</v>
      </c>
      <c r="F186" s="62">
        <v>106</v>
      </c>
      <c r="G186" s="62">
        <v>24</v>
      </c>
      <c r="H186" s="62">
        <v>6</v>
      </c>
      <c r="I186" s="62">
        <v>4</v>
      </c>
      <c r="J186" s="95">
        <v>45856</v>
      </c>
      <c r="K186" s="3">
        <v>0.7</v>
      </c>
      <c r="L186" s="3">
        <v>4.34</v>
      </c>
      <c r="M186" s="44">
        <v>33</v>
      </c>
    </row>
    <row r="187" spans="1:13" x14ac:dyDescent="0.35">
      <c r="A187" s="62" t="s">
        <v>33</v>
      </c>
      <c r="B187" s="62" t="s">
        <v>35</v>
      </c>
      <c r="C187" s="62">
        <v>2</v>
      </c>
      <c r="D187" s="62">
        <v>1</v>
      </c>
      <c r="E187" s="62">
        <v>7</v>
      </c>
      <c r="F187" s="62">
        <v>107</v>
      </c>
      <c r="G187" s="62">
        <v>25</v>
      </c>
      <c r="H187" s="62">
        <v>7</v>
      </c>
      <c r="I187" s="62">
        <v>4</v>
      </c>
      <c r="J187" s="95">
        <v>45856</v>
      </c>
      <c r="K187" s="3">
        <v>0.33</v>
      </c>
      <c r="L187" s="3">
        <v>3.76</v>
      </c>
    </row>
    <row r="188" spans="1:13" x14ac:dyDescent="0.35">
      <c r="A188" s="62" t="s">
        <v>33</v>
      </c>
      <c r="B188" s="62" t="s">
        <v>29</v>
      </c>
      <c r="C188" s="62">
        <v>2</v>
      </c>
      <c r="D188" s="62">
        <v>2</v>
      </c>
      <c r="E188" s="62">
        <v>7</v>
      </c>
      <c r="F188" s="62">
        <v>207</v>
      </c>
      <c r="G188" s="62">
        <v>26</v>
      </c>
      <c r="H188" s="62">
        <v>26</v>
      </c>
      <c r="I188" s="62">
        <v>4</v>
      </c>
      <c r="J188" s="95">
        <v>45856</v>
      </c>
      <c r="K188" s="3">
        <v>0.34</v>
      </c>
      <c r="L188" s="3">
        <v>5.85</v>
      </c>
    </row>
    <row r="189" spans="1:13" x14ac:dyDescent="0.35">
      <c r="A189" s="62" t="s">
        <v>33</v>
      </c>
      <c r="B189" s="62" t="s">
        <v>30</v>
      </c>
      <c r="C189" s="62">
        <v>2</v>
      </c>
      <c r="D189" s="62">
        <v>3</v>
      </c>
      <c r="E189" s="62">
        <v>7</v>
      </c>
      <c r="F189" s="62">
        <v>307</v>
      </c>
      <c r="G189" s="62">
        <v>27</v>
      </c>
      <c r="H189" s="62">
        <v>39</v>
      </c>
      <c r="I189" s="62">
        <v>4</v>
      </c>
      <c r="J189" s="95">
        <v>45856</v>
      </c>
      <c r="K189" s="3">
        <v>0.28000000000000003</v>
      </c>
      <c r="L189" s="3">
        <v>4.78</v>
      </c>
    </row>
    <row r="190" spans="1:13" x14ac:dyDescent="0.35">
      <c r="A190" s="62" t="s">
        <v>33</v>
      </c>
      <c r="B190" s="62" t="s">
        <v>34</v>
      </c>
      <c r="C190" s="62">
        <v>2</v>
      </c>
      <c r="D190" s="62">
        <v>4</v>
      </c>
      <c r="E190" s="62">
        <v>7</v>
      </c>
      <c r="F190" s="62">
        <v>407</v>
      </c>
      <c r="G190" s="62">
        <v>28</v>
      </c>
      <c r="H190" s="62">
        <v>58</v>
      </c>
      <c r="I190" s="62">
        <v>4</v>
      </c>
      <c r="J190" s="95">
        <v>45856</v>
      </c>
      <c r="K190" s="3">
        <v>0.31</v>
      </c>
      <c r="L190" s="3">
        <v>5.13</v>
      </c>
    </row>
    <row r="191" spans="1:13" x14ac:dyDescent="0.35">
      <c r="A191" s="62" t="s">
        <v>33</v>
      </c>
      <c r="B191" s="62" t="s">
        <v>34</v>
      </c>
      <c r="C191" s="62">
        <v>2</v>
      </c>
      <c r="D191" s="62">
        <v>4</v>
      </c>
      <c r="E191" s="62">
        <v>8</v>
      </c>
      <c r="F191" s="62">
        <v>408</v>
      </c>
      <c r="G191" s="62">
        <v>29</v>
      </c>
      <c r="H191" s="62">
        <v>57</v>
      </c>
      <c r="I191" s="62">
        <v>4</v>
      </c>
      <c r="J191" s="95">
        <v>45856</v>
      </c>
      <c r="K191" s="3">
        <v>0.37</v>
      </c>
      <c r="L191" s="3">
        <v>7.46</v>
      </c>
      <c r="M191" s="44">
        <v>19</v>
      </c>
    </row>
    <row r="192" spans="1:13" x14ac:dyDescent="0.35">
      <c r="A192" s="62" t="s">
        <v>33</v>
      </c>
      <c r="B192" s="62" t="s">
        <v>30</v>
      </c>
      <c r="C192" s="62">
        <v>2</v>
      </c>
      <c r="D192" s="62">
        <v>3</v>
      </c>
      <c r="E192" s="62">
        <v>8</v>
      </c>
      <c r="F192" s="62">
        <v>308</v>
      </c>
      <c r="G192" s="62">
        <v>30</v>
      </c>
      <c r="H192" s="62">
        <v>40</v>
      </c>
      <c r="I192" s="62">
        <v>4</v>
      </c>
      <c r="J192" s="95">
        <v>45856</v>
      </c>
      <c r="K192" s="3">
        <v>0.27</v>
      </c>
      <c r="L192" s="3">
        <v>3.55</v>
      </c>
      <c r="M192" s="44">
        <v>14</v>
      </c>
    </row>
    <row r="193" spans="1:13" x14ac:dyDescent="0.35">
      <c r="A193" s="62" t="s">
        <v>33</v>
      </c>
      <c r="B193" s="62" t="s">
        <v>29</v>
      </c>
      <c r="C193" s="62">
        <v>2</v>
      </c>
      <c r="D193" s="62">
        <v>2</v>
      </c>
      <c r="E193" s="62">
        <v>8</v>
      </c>
      <c r="F193" s="62">
        <v>208</v>
      </c>
      <c r="G193" s="62">
        <v>31</v>
      </c>
      <c r="H193" s="62">
        <v>25</v>
      </c>
      <c r="I193" s="62">
        <v>4</v>
      </c>
      <c r="J193" s="95">
        <v>45856</v>
      </c>
      <c r="K193" s="3">
        <v>0.34</v>
      </c>
      <c r="L193" s="3">
        <v>5.63</v>
      </c>
      <c r="M193" s="44">
        <v>15</v>
      </c>
    </row>
    <row r="194" spans="1:13" x14ac:dyDescent="0.35">
      <c r="A194" s="62" t="s">
        <v>33</v>
      </c>
      <c r="B194" s="62" t="s">
        <v>35</v>
      </c>
      <c r="C194" s="62">
        <v>2</v>
      </c>
      <c r="D194" s="62">
        <v>1</v>
      </c>
      <c r="E194" s="62">
        <v>8</v>
      </c>
      <c r="F194" s="62">
        <v>108</v>
      </c>
      <c r="G194" s="62">
        <v>32</v>
      </c>
      <c r="H194" s="62">
        <v>8</v>
      </c>
      <c r="I194" s="62">
        <v>4</v>
      </c>
      <c r="J194" s="95">
        <v>45856</v>
      </c>
      <c r="K194" s="3">
        <v>0.28999999999999998</v>
      </c>
      <c r="L194" s="3">
        <v>4.7</v>
      </c>
      <c r="M194" s="44">
        <v>10</v>
      </c>
    </row>
    <row r="195" spans="1:13" x14ac:dyDescent="0.35">
      <c r="A195" s="62" t="s">
        <v>28</v>
      </c>
      <c r="B195" s="62" t="s">
        <v>32</v>
      </c>
      <c r="C195" s="62">
        <v>3</v>
      </c>
      <c r="D195" s="62">
        <v>1</v>
      </c>
      <c r="E195" s="62">
        <v>9</v>
      </c>
      <c r="F195" s="62">
        <v>109</v>
      </c>
      <c r="G195" s="62">
        <v>33</v>
      </c>
      <c r="H195" s="62">
        <v>9</v>
      </c>
      <c r="I195" s="62">
        <v>4</v>
      </c>
      <c r="J195" s="95">
        <v>45856</v>
      </c>
      <c r="K195" s="3">
        <v>0.6</v>
      </c>
      <c r="L195" s="3">
        <v>4.82</v>
      </c>
    </row>
    <row r="196" spans="1:13" x14ac:dyDescent="0.35">
      <c r="A196" s="62" t="s">
        <v>28</v>
      </c>
      <c r="B196" s="62" t="s">
        <v>31</v>
      </c>
      <c r="C196" s="62">
        <v>3</v>
      </c>
      <c r="D196" s="62">
        <v>2</v>
      </c>
      <c r="E196" s="62">
        <v>9</v>
      </c>
      <c r="F196" s="62">
        <v>209</v>
      </c>
      <c r="G196" s="62">
        <v>34</v>
      </c>
      <c r="H196" s="62">
        <v>24</v>
      </c>
      <c r="I196" s="62">
        <v>4</v>
      </c>
      <c r="J196" s="95">
        <v>45856</v>
      </c>
      <c r="K196" s="3">
        <v>0.68</v>
      </c>
      <c r="L196" s="3">
        <v>3.11</v>
      </c>
    </row>
    <row r="197" spans="1:13" x14ac:dyDescent="0.35">
      <c r="A197" s="62" t="s">
        <v>28</v>
      </c>
      <c r="B197" s="62" t="s">
        <v>29</v>
      </c>
      <c r="C197" s="62">
        <v>3</v>
      </c>
      <c r="D197" s="62">
        <v>3</v>
      </c>
      <c r="E197" s="62">
        <v>9</v>
      </c>
      <c r="F197" s="62">
        <v>309</v>
      </c>
      <c r="G197" s="62">
        <v>35</v>
      </c>
      <c r="H197" s="62">
        <v>41</v>
      </c>
      <c r="I197" s="62">
        <v>4</v>
      </c>
      <c r="J197" s="95">
        <v>45856</v>
      </c>
      <c r="K197" s="3">
        <v>0.45</v>
      </c>
      <c r="L197" s="3">
        <v>8.2899999999999991</v>
      </c>
    </row>
    <row r="198" spans="1:13" x14ac:dyDescent="0.35">
      <c r="A198" s="62" t="s">
        <v>28</v>
      </c>
      <c r="B198" s="62" t="s">
        <v>30</v>
      </c>
      <c r="C198" s="62">
        <v>3</v>
      </c>
      <c r="D198" s="62">
        <v>4</v>
      </c>
      <c r="E198" s="62">
        <v>9</v>
      </c>
      <c r="F198" s="62">
        <v>409</v>
      </c>
      <c r="G198" s="62">
        <v>36</v>
      </c>
      <c r="H198" s="62">
        <v>56</v>
      </c>
      <c r="I198" s="62">
        <v>4</v>
      </c>
      <c r="J198" s="95">
        <v>45856</v>
      </c>
      <c r="K198" s="3">
        <v>0.59</v>
      </c>
      <c r="L198" s="3">
        <v>5.38</v>
      </c>
    </row>
    <row r="199" spans="1:13" x14ac:dyDescent="0.35">
      <c r="A199" s="62" t="s">
        <v>28</v>
      </c>
      <c r="B199" s="62" t="s">
        <v>30</v>
      </c>
      <c r="C199" s="62">
        <v>3</v>
      </c>
      <c r="D199" s="62">
        <v>4</v>
      </c>
      <c r="E199" s="62">
        <v>10</v>
      </c>
      <c r="F199" s="62">
        <v>410</v>
      </c>
      <c r="G199" s="62">
        <v>37</v>
      </c>
      <c r="H199" s="62">
        <v>55</v>
      </c>
      <c r="I199" s="62">
        <v>4</v>
      </c>
      <c r="J199" s="95">
        <v>45856</v>
      </c>
      <c r="K199" s="3">
        <v>0.55000000000000004</v>
      </c>
      <c r="L199" s="3">
        <v>5.32</v>
      </c>
      <c r="M199" s="44">
        <v>25</v>
      </c>
    </row>
    <row r="200" spans="1:13" x14ac:dyDescent="0.35">
      <c r="A200" s="62" t="s">
        <v>28</v>
      </c>
      <c r="B200" s="62" t="s">
        <v>29</v>
      </c>
      <c r="C200" s="62">
        <v>3</v>
      </c>
      <c r="D200" s="62">
        <v>3</v>
      </c>
      <c r="E200" s="62">
        <v>10</v>
      </c>
      <c r="F200" s="62">
        <v>310</v>
      </c>
      <c r="G200" s="62">
        <v>38</v>
      </c>
      <c r="H200" s="62">
        <v>42</v>
      </c>
      <c r="I200" s="62">
        <v>4</v>
      </c>
      <c r="J200" s="95">
        <v>45856</v>
      </c>
      <c r="K200" s="3">
        <v>0.39</v>
      </c>
      <c r="L200" s="3">
        <v>7.1</v>
      </c>
      <c r="M200" s="44">
        <v>22</v>
      </c>
    </row>
    <row r="201" spans="1:13" x14ac:dyDescent="0.35">
      <c r="A201" s="62" t="s">
        <v>28</v>
      </c>
      <c r="B201" s="62" t="s">
        <v>31</v>
      </c>
      <c r="C201" s="62">
        <v>3</v>
      </c>
      <c r="D201" s="62">
        <v>2</v>
      </c>
      <c r="E201" s="62">
        <v>10</v>
      </c>
      <c r="F201" s="62">
        <v>210</v>
      </c>
      <c r="G201" s="62">
        <v>39</v>
      </c>
      <c r="H201" s="62">
        <v>23</v>
      </c>
      <c r="I201" s="62">
        <v>4</v>
      </c>
      <c r="J201" s="95">
        <v>45856</v>
      </c>
      <c r="K201" s="3">
        <v>0.61</v>
      </c>
      <c r="L201" s="3">
        <v>9.59</v>
      </c>
      <c r="M201" s="44">
        <v>24</v>
      </c>
    </row>
    <row r="202" spans="1:13" x14ac:dyDescent="0.35">
      <c r="A202" s="62" t="s">
        <v>28</v>
      </c>
      <c r="B202" s="62" t="s">
        <v>32</v>
      </c>
      <c r="C202" s="62">
        <v>3</v>
      </c>
      <c r="D202" s="62">
        <v>1</v>
      </c>
      <c r="E202" s="62">
        <v>10</v>
      </c>
      <c r="F202" s="62">
        <v>110</v>
      </c>
      <c r="G202" s="62">
        <v>40</v>
      </c>
      <c r="H202" s="62">
        <v>10</v>
      </c>
      <c r="I202" s="62">
        <v>4</v>
      </c>
      <c r="J202" s="95">
        <v>45856</v>
      </c>
      <c r="K202" s="3">
        <v>0.62</v>
      </c>
      <c r="L202" s="3">
        <v>7.2</v>
      </c>
      <c r="M202" s="44">
        <v>9</v>
      </c>
    </row>
    <row r="203" spans="1:13" x14ac:dyDescent="0.35">
      <c r="A203" s="62" t="s">
        <v>33</v>
      </c>
      <c r="B203" s="62" t="s">
        <v>29</v>
      </c>
      <c r="C203" s="62">
        <v>3</v>
      </c>
      <c r="D203" s="62">
        <v>1</v>
      </c>
      <c r="E203" s="62">
        <v>11</v>
      </c>
      <c r="F203" s="62">
        <v>111</v>
      </c>
      <c r="G203" s="62">
        <v>41</v>
      </c>
      <c r="H203" s="62">
        <v>11</v>
      </c>
      <c r="I203" s="62">
        <v>4</v>
      </c>
      <c r="J203" s="95">
        <v>45856</v>
      </c>
      <c r="K203" s="3">
        <v>0.25</v>
      </c>
      <c r="L203" s="3">
        <v>4.43</v>
      </c>
    </row>
    <row r="204" spans="1:13" x14ac:dyDescent="0.35">
      <c r="A204" s="62" t="s">
        <v>33</v>
      </c>
      <c r="B204" s="62" t="s">
        <v>35</v>
      </c>
      <c r="C204" s="62">
        <v>3</v>
      </c>
      <c r="D204" s="62">
        <v>2</v>
      </c>
      <c r="E204" s="62">
        <v>11</v>
      </c>
      <c r="F204" s="62">
        <v>211</v>
      </c>
      <c r="G204" s="62">
        <v>42</v>
      </c>
      <c r="H204" s="62">
        <v>22</v>
      </c>
      <c r="I204" s="62">
        <v>4</v>
      </c>
      <c r="J204" s="95">
        <v>45856</v>
      </c>
      <c r="K204" s="3">
        <v>0.32</v>
      </c>
      <c r="L204" s="3">
        <v>6.87</v>
      </c>
    </row>
    <row r="205" spans="1:13" x14ac:dyDescent="0.35">
      <c r="A205" s="62" t="s">
        <v>33</v>
      </c>
      <c r="B205" s="62" t="s">
        <v>34</v>
      </c>
      <c r="C205" s="62">
        <v>3</v>
      </c>
      <c r="D205" s="62">
        <v>3</v>
      </c>
      <c r="E205" s="62">
        <v>11</v>
      </c>
      <c r="F205" s="62">
        <v>311</v>
      </c>
      <c r="G205" s="62">
        <v>43</v>
      </c>
      <c r="H205" s="62">
        <v>43</v>
      </c>
      <c r="I205" s="62">
        <v>4</v>
      </c>
      <c r="J205" s="95">
        <v>45856</v>
      </c>
      <c r="K205" s="3">
        <v>0.25</v>
      </c>
      <c r="L205" s="3">
        <v>3.18</v>
      </c>
    </row>
    <row r="206" spans="1:13" x14ac:dyDescent="0.35">
      <c r="A206" s="62" t="s">
        <v>33</v>
      </c>
      <c r="B206" s="62" t="s">
        <v>30</v>
      </c>
      <c r="C206" s="62">
        <v>3</v>
      </c>
      <c r="D206" s="62">
        <v>4</v>
      </c>
      <c r="E206" s="62">
        <v>11</v>
      </c>
      <c r="F206" s="62">
        <v>411</v>
      </c>
      <c r="G206" s="62">
        <v>44</v>
      </c>
      <c r="H206" s="62">
        <v>54</v>
      </c>
      <c r="I206" s="62">
        <v>4</v>
      </c>
      <c r="J206" s="95">
        <v>45856</v>
      </c>
      <c r="K206" s="3">
        <v>0.28000000000000003</v>
      </c>
      <c r="L206" s="3">
        <v>4.38</v>
      </c>
    </row>
    <row r="207" spans="1:13" x14ac:dyDescent="0.35">
      <c r="A207" s="62" t="s">
        <v>33</v>
      </c>
      <c r="B207" s="62" t="s">
        <v>30</v>
      </c>
      <c r="C207" s="62">
        <v>3</v>
      </c>
      <c r="D207" s="62">
        <v>4</v>
      </c>
      <c r="E207" s="62">
        <v>12</v>
      </c>
      <c r="F207" s="62">
        <v>412</v>
      </c>
      <c r="G207" s="62">
        <v>45</v>
      </c>
      <c r="H207" s="62">
        <v>53</v>
      </c>
      <c r="I207" s="62">
        <v>4</v>
      </c>
      <c r="J207" s="95">
        <v>45856</v>
      </c>
      <c r="K207" s="3">
        <v>0.27</v>
      </c>
      <c r="L207" s="3">
        <v>3.82</v>
      </c>
      <c r="M207" s="44">
        <v>16</v>
      </c>
    </row>
    <row r="208" spans="1:13" x14ac:dyDescent="0.35">
      <c r="A208" s="62" t="s">
        <v>33</v>
      </c>
      <c r="B208" s="62" t="s">
        <v>34</v>
      </c>
      <c r="C208" s="62">
        <v>3</v>
      </c>
      <c r="D208" s="62">
        <v>3</v>
      </c>
      <c r="E208" s="62">
        <v>12</v>
      </c>
      <c r="F208" s="62">
        <v>312</v>
      </c>
      <c r="G208" s="62">
        <v>46</v>
      </c>
      <c r="H208" s="62">
        <v>44</v>
      </c>
      <c r="I208" s="62">
        <v>4</v>
      </c>
      <c r="J208" s="95">
        <v>45856</v>
      </c>
      <c r="K208" s="3">
        <v>0.26</v>
      </c>
      <c r="L208" s="3">
        <v>5.9</v>
      </c>
      <c r="M208" s="44">
        <v>20</v>
      </c>
    </row>
    <row r="209" spans="1:13" x14ac:dyDescent="0.35">
      <c r="A209" s="62" t="s">
        <v>33</v>
      </c>
      <c r="B209" s="62" t="s">
        <v>35</v>
      </c>
      <c r="C209" s="62">
        <v>3</v>
      </c>
      <c r="D209" s="62">
        <v>2</v>
      </c>
      <c r="E209" s="62">
        <v>12</v>
      </c>
      <c r="F209" s="62">
        <v>212</v>
      </c>
      <c r="G209" s="62">
        <v>47</v>
      </c>
      <c r="H209" s="62">
        <v>21</v>
      </c>
      <c r="I209" s="62">
        <v>4</v>
      </c>
      <c r="J209" s="95">
        <v>45856</v>
      </c>
      <c r="K209" s="3">
        <v>0.31</v>
      </c>
      <c r="L209" s="3">
        <v>6.28</v>
      </c>
      <c r="M209" s="44">
        <v>11</v>
      </c>
    </row>
    <row r="210" spans="1:13" x14ac:dyDescent="0.35">
      <c r="A210" s="62" t="s">
        <v>33</v>
      </c>
      <c r="B210" s="62" t="s">
        <v>29</v>
      </c>
      <c r="C210" s="62">
        <v>3</v>
      </c>
      <c r="D210" s="62">
        <v>1</v>
      </c>
      <c r="E210" s="62">
        <v>12</v>
      </c>
      <c r="F210" s="62">
        <v>112</v>
      </c>
      <c r="G210" s="62">
        <v>48</v>
      </c>
      <c r="H210" s="62">
        <v>12</v>
      </c>
      <c r="I210" s="62">
        <v>4</v>
      </c>
      <c r="J210" s="95">
        <v>45856</v>
      </c>
      <c r="K210" s="3">
        <v>0.27</v>
      </c>
      <c r="L210" s="3">
        <v>5.34</v>
      </c>
      <c r="M210" s="44">
        <v>15</v>
      </c>
    </row>
    <row r="211" spans="1:13" x14ac:dyDescent="0.35">
      <c r="A211" s="62" t="s">
        <v>28</v>
      </c>
      <c r="B211" s="62" t="s">
        <v>30</v>
      </c>
      <c r="C211" s="62">
        <v>4</v>
      </c>
      <c r="D211" s="62">
        <v>1</v>
      </c>
      <c r="E211" s="62">
        <v>13</v>
      </c>
      <c r="F211" s="62">
        <v>113</v>
      </c>
      <c r="G211" s="62">
        <v>49</v>
      </c>
      <c r="H211" s="62">
        <v>13</v>
      </c>
      <c r="I211" s="62">
        <v>4</v>
      </c>
      <c r="J211" s="95">
        <v>45856</v>
      </c>
      <c r="K211" s="3">
        <v>0.61</v>
      </c>
      <c r="L211" s="3">
        <v>5.55</v>
      </c>
    </row>
    <row r="212" spans="1:13" x14ac:dyDescent="0.35">
      <c r="A212" s="62" t="s">
        <v>28</v>
      </c>
      <c r="B212" s="62" t="s">
        <v>29</v>
      </c>
      <c r="C212" s="62">
        <v>4</v>
      </c>
      <c r="D212" s="62">
        <v>2</v>
      </c>
      <c r="E212" s="62">
        <v>13</v>
      </c>
      <c r="F212" s="62">
        <v>213</v>
      </c>
      <c r="G212" s="62">
        <v>50</v>
      </c>
      <c r="H212" s="62">
        <v>20</v>
      </c>
      <c r="I212" s="62">
        <v>4</v>
      </c>
      <c r="J212" s="95">
        <v>45856</v>
      </c>
      <c r="K212" s="3">
        <v>0.6</v>
      </c>
      <c r="L212" s="3">
        <v>4.9000000000000004</v>
      </c>
    </row>
    <row r="213" spans="1:13" x14ac:dyDescent="0.35">
      <c r="A213" s="62" t="s">
        <v>28</v>
      </c>
      <c r="B213" s="62" t="s">
        <v>32</v>
      </c>
      <c r="C213" s="62">
        <v>4</v>
      </c>
      <c r="D213" s="62">
        <v>3</v>
      </c>
      <c r="E213" s="62">
        <v>13</v>
      </c>
      <c r="F213" s="62">
        <v>313</v>
      </c>
      <c r="G213" s="62">
        <v>51</v>
      </c>
      <c r="H213" s="62">
        <v>45</v>
      </c>
      <c r="I213" s="62">
        <v>4</v>
      </c>
      <c r="J213" s="95">
        <v>45856</v>
      </c>
      <c r="K213" s="3">
        <v>0.45</v>
      </c>
      <c r="L213" s="3">
        <v>8.83</v>
      </c>
    </row>
    <row r="214" spans="1:13" x14ac:dyDescent="0.35">
      <c r="A214" s="62" t="s">
        <v>28</v>
      </c>
      <c r="B214" s="62" t="s">
        <v>31</v>
      </c>
      <c r="C214" s="62">
        <v>4</v>
      </c>
      <c r="D214" s="62">
        <v>4</v>
      </c>
      <c r="E214" s="62">
        <v>13</v>
      </c>
      <c r="F214" s="62">
        <v>413</v>
      </c>
      <c r="G214" s="62">
        <v>52</v>
      </c>
      <c r="H214" s="62">
        <v>52</v>
      </c>
      <c r="I214" s="62">
        <v>4</v>
      </c>
      <c r="J214" s="95">
        <v>45856</v>
      </c>
      <c r="K214" s="3">
        <v>0.56999999999999995</v>
      </c>
      <c r="L214" s="3">
        <v>8.64</v>
      </c>
    </row>
    <row r="215" spans="1:13" x14ac:dyDescent="0.35">
      <c r="A215" s="62" t="s">
        <v>28</v>
      </c>
      <c r="B215" s="62" t="s">
        <v>31</v>
      </c>
      <c r="C215" s="62">
        <v>4</v>
      </c>
      <c r="D215" s="62">
        <v>4</v>
      </c>
      <c r="E215" s="62">
        <v>14</v>
      </c>
      <c r="F215" s="62">
        <v>414</v>
      </c>
      <c r="G215" s="62">
        <v>53</v>
      </c>
      <c r="H215" s="62">
        <v>51</v>
      </c>
      <c r="I215" s="62">
        <v>4</v>
      </c>
      <c r="J215" s="95">
        <v>45856</v>
      </c>
      <c r="K215" s="3">
        <v>0.54</v>
      </c>
      <c r="L215" s="3">
        <v>5.17</v>
      </c>
      <c r="M215" s="44">
        <v>24</v>
      </c>
    </row>
    <row r="216" spans="1:13" x14ac:dyDescent="0.35">
      <c r="A216" s="62" t="s">
        <v>28</v>
      </c>
      <c r="B216" s="62" t="s">
        <v>32</v>
      </c>
      <c r="C216" s="62">
        <v>4</v>
      </c>
      <c r="D216" s="62">
        <v>3</v>
      </c>
      <c r="E216" s="62">
        <v>14</v>
      </c>
      <c r="F216" s="62">
        <v>314</v>
      </c>
      <c r="G216" s="62">
        <v>54</v>
      </c>
      <c r="H216" s="62">
        <v>46</v>
      </c>
      <c r="I216" s="62">
        <v>4</v>
      </c>
      <c r="J216" s="95">
        <v>45856</v>
      </c>
      <c r="K216" s="3">
        <v>0.47</v>
      </c>
      <c r="L216" s="3">
        <v>17.66</v>
      </c>
      <c r="M216" s="44">
        <v>13</v>
      </c>
    </row>
    <row r="217" spans="1:13" x14ac:dyDescent="0.35">
      <c r="A217" s="62" t="s">
        <v>28</v>
      </c>
      <c r="B217" s="62" t="s">
        <v>29</v>
      </c>
      <c r="C217" s="62">
        <v>4</v>
      </c>
      <c r="D217" s="62">
        <v>2</v>
      </c>
      <c r="E217" s="62">
        <v>14</v>
      </c>
      <c r="F217" s="62">
        <v>214</v>
      </c>
      <c r="G217" s="62">
        <v>55</v>
      </c>
      <c r="H217" s="62">
        <v>19</v>
      </c>
      <c r="I217" s="62">
        <v>4</v>
      </c>
      <c r="J217" s="95">
        <v>45856</v>
      </c>
      <c r="K217" s="3">
        <v>0.6</v>
      </c>
      <c r="L217" s="3">
        <v>7.42</v>
      </c>
      <c r="M217" s="44">
        <v>33</v>
      </c>
    </row>
    <row r="218" spans="1:13" x14ac:dyDescent="0.35">
      <c r="A218" s="62" t="s">
        <v>28</v>
      </c>
      <c r="B218" s="62" t="s">
        <v>30</v>
      </c>
      <c r="C218" s="62">
        <v>4</v>
      </c>
      <c r="D218" s="62">
        <v>1</v>
      </c>
      <c r="E218" s="62">
        <v>14</v>
      </c>
      <c r="F218" s="62">
        <v>114</v>
      </c>
      <c r="G218" s="62">
        <v>56</v>
      </c>
      <c r="H218" s="62">
        <v>14</v>
      </c>
      <c r="I218" s="62">
        <v>4</v>
      </c>
      <c r="J218" s="95">
        <v>45856</v>
      </c>
      <c r="K218" s="3">
        <v>0.65</v>
      </c>
      <c r="L218" s="3">
        <v>5.82</v>
      </c>
      <c r="M218" s="44">
        <v>24</v>
      </c>
    </row>
    <row r="219" spans="1:13" x14ac:dyDescent="0.35">
      <c r="A219" s="62" t="s">
        <v>33</v>
      </c>
      <c r="B219" s="62" t="s">
        <v>30</v>
      </c>
      <c r="C219" s="62">
        <v>4</v>
      </c>
      <c r="D219" s="62">
        <v>1</v>
      </c>
      <c r="E219" s="62">
        <v>15</v>
      </c>
      <c r="F219" s="62">
        <v>115</v>
      </c>
      <c r="G219" s="62">
        <v>57</v>
      </c>
      <c r="H219" s="62">
        <v>15</v>
      </c>
      <c r="I219" s="62">
        <v>4</v>
      </c>
      <c r="J219" s="95">
        <v>45856</v>
      </c>
      <c r="K219" s="3">
        <v>0.27</v>
      </c>
      <c r="L219" s="3">
        <v>5.36</v>
      </c>
    </row>
    <row r="220" spans="1:13" x14ac:dyDescent="0.35">
      <c r="A220" s="62" t="s">
        <v>33</v>
      </c>
      <c r="B220" s="62" t="s">
        <v>34</v>
      </c>
      <c r="C220" s="62">
        <v>4</v>
      </c>
      <c r="D220" s="62">
        <v>2</v>
      </c>
      <c r="E220" s="62">
        <v>15</v>
      </c>
      <c r="F220" s="62">
        <v>215</v>
      </c>
      <c r="G220" s="62">
        <v>58</v>
      </c>
      <c r="H220" s="62">
        <v>18</v>
      </c>
      <c r="I220" s="62">
        <v>4</v>
      </c>
      <c r="J220" s="95">
        <v>45856</v>
      </c>
      <c r="K220" s="3">
        <v>0.28000000000000003</v>
      </c>
      <c r="L220" s="3">
        <v>4.72</v>
      </c>
    </row>
    <row r="221" spans="1:13" x14ac:dyDescent="0.35">
      <c r="A221" s="62" t="s">
        <v>33</v>
      </c>
      <c r="B221" s="62" t="s">
        <v>29</v>
      </c>
      <c r="C221" s="62">
        <v>4</v>
      </c>
      <c r="D221" s="62">
        <v>3</v>
      </c>
      <c r="E221" s="62">
        <v>15</v>
      </c>
      <c r="F221" s="62">
        <v>315</v>
      </c>
      <c r="G221" s="62">
        <v>59</v>
      </c>
      <c r="H221" s="62">
        <v>47</v>
      </c>
      <c r="I221" s="62">
        <v>4</v>
      </c>
      <c r="J221" s="95">
        <v>45856</v>
      </c>
      <c r="K221" s="3">
        <v>0.28000000000000003</v>
      </c>
      <c r="L221" s="3">
        <v>4.83</v>
      </c>
    </row>
    <row r="222" spans="1:13" x14ac:dyDescent="0.35">
      <c r="A222" s="62" t="s">
        <v>33</v>
      </c>
      <c r="B222" s="62" t="s">
        <v>35</v>
      </c>
      <c r="C222" s="62">
        <v>4</v>
      </c>
      <c r="D222" s="62">
        <v>4</v>
      </c>
      <c r="E222" s="62">
        <v>15</v>
      </c>
      <c r="F222" s="62">
        <v>415</v>
      </c>
      <c r="G222" s="62">
        <v>60</v>
      </c>
      <c r="H222" s="62">
        <v>50</v>
      </c>
      <c r="I222" s="62">
        <v>4</v>
      </c>
      <c r="J222" s="95">
        <v>45856</v>
      </c>
      <c r="K222" s="3">
        <v>0.35</v>
      </c>
      <c r="L222" s="3">
        <v>4.32</v>
      </c>
    </row>
    <row r="223" spans="1:13" x14ac:dyDescent="0.35">
      <c r="A223" s="62" t="s">
        <v>33</v>
      </c>
      <c r="B223" s="62" t="s">
        <v>35</v>
      </c>
      <c r="C223" s="62">
        <v>4</v>
      </c>
      <c r="D223" s="62">
        <v>4</v>
      </c>
      <c r="E223" s="62">
        <v>16</v>
      </c>
      <c r="F223" s="62">
        <v>416</v>
      </c>
      <c r="G223" s="62">
        <v>61</v>
      </c>
      <c r="H223" s="62">
        <v>49</v>
      </c>
      <c r="I223" s="62">
        <v>4</v>
      </c>
      <c r="J223" s="95">
        <v>45856</v>
      </c>
      <c r="K223" s="3">
        <v>0.34</v>
      </c>
      <c r="L223" s="3">
        <v>4.5</v>
      </c>
      <c r="M223" s="44">
        <v>12</v>
      </c>
    </row>
    <row r="224" spans="1:13" x14ac:dyDescent="0.35">
      <c r="A224" s="62" t="s">
        <v>33</v>
      </c>
      <c r="B224" s="62" t="s">
        <v>29</v>
      </c>
      <c r="C224" s="62">
        <v>4</v>
      </c>
      <c r="D224" s="62">
        <v>3</v>
      </c>
      <c r="E224" s="62">
        <v>16</v>
      </c>
      <c r="F224" s="62">
        <v>316</v>
      </c>
      <c r="G224" s="62">
        <v>62</v>
      </c>
      <c r="H224" s="62">
        <v>48</v>
      </c>
      <c r="I224" s="62">
        <v>4</v>
      </c>
      <c r="J224" s="95">
        <v>45856</v>
      </c>
      <c r="K224" s="3">
        <v>0.25</v>
      </c>
      <c r="L224" s="3">
        <v>3.7</v>
      </c>
      <c r="M224" s="44">
        <v>15</v>
      </c>
    </row>
    <row r="225" spans="1:13" x14ac:dyDescent="0.35">
      <c r="A225" s="62" t="s">
        <v>33</v>
      </c>
      <c r="B225" s="62" t="s">
        <v>34</v>
      </c>
      <c r="C225" s="62">
        <v>4</v>
      </c>
      <c r="D225" s="62">
        <v>2</v>
      </c>
      <c r="E225" s="62">
        <v>16</v>
      </c>
      <c r="F225" s="62">
        <v>216</v>
      </c>
      <c r="G225" s="62">
        <v>63</v>
      </c>
      <c r="H225" s="62">
        <v>17</v>
      </c>
      <c r="I225" s="62">
        <v>4</v>
      </c>
      <c r="J225" s="95">
        <v>45856</v>
      </c>
      <c r="K225" s="3">
        <v>0.26</v>
      </c>
      <c r="L225" s="3">
        <v>3.73</v>
      </c>
      <c r="M225" s="44">
        <v>15</v>
      </c>
    </row>
    <row r="226" spans="1:13" x14ac:dyDescent="0.35">
      <c r="A226" s="62" t="s">
        <v>33</v>
      </c>
      <c r="B226" s="62" t="s">
        <v>30</v>
      </c>
      <c r="C226" s="62">
        <v>4</v>
      </c>
      <c r="D226" s="62">
        <v>1</v>
      </c>
      <c r="E226" s="62">
        <v>16</v>
      </c>
      <c r="F226" s="62">
        <v>116</v>
      </c>
      <c r="G226" s="62">
        <v>64</v>
      </c>
      <c r="H226" s="62">
        <v>16</v>
      </c>
      <c r="I226" s="62">
        <v>4</v>
      </c>
      <c r="J226" s="95">
        <v>45856</v>
      </c>
      <c r="K226" s="3">
        <v>0.26</v>
      </c>
      <c r="L226" s="3">
        <v>4.24</v>
      </c>
      <c r="M226" s="44">
        <v>15</v>
      </c>
    </row>
    <row r="227" spans="1:13" x14ac:dyDescent="0.35">
      <c r="A227" s="62" t="s">
        <v>28</v>
      </c>
      <c r="B227" s="62" t="s">
        <v>29</v>
      </c>
      <c r="C227" s="62">
        <v>1</v>
      </c>
      <c r="D227" s="62">
        <v>1</v>
      </c>
      <c r="E227" s="62">
        <v>1</v>
      </c>
      <c r="F227" s="62">
        <v>101</v>
      </c>
      <c r="G227" s="62">
        <v>1</v>
      </c>
      <c r="H227" s="62">
        <v>1</v>
      </c>
      <c r="I227" s="62">
        <v>5</v>
      </c>
      <c r="J227" s="95">
        <v>45866</v>
      </c>
      <c r="K227" s="3">
        <v>0.72</v>
      </c>
      <c r="L227" s="3">
        <v>4.42</v>
      </c>
    </row>
    <row r="228" spans="1:13" x14ac:dyDescent="0.35">
      <c r="A228" s="62" t="s">
        <v>28</v>
      </c>
      <c r="B228" s="62" t="s">
        <v>30</v>
      </c>
      <c r="C228" s="62">
        <v>1</v>
      </c>
      <c r="D228" s="62">
        <v>2</v>
      </c>
      <c r="E228" s="62">
        <v>1</v>
      </c>
      <c r="F228" s="62">
        <v>201</v>
      </c>
      <c r="G228" s="62">
        <v>2</v>
      </c>
      <c r="H228" s="62">
        <v>32</v>
      </c>
      <c r="I228" s="62">
        <v>5</v>
      </c>
      <c r="J228" s="95">
        <v>45866</v>
      </c>
      <c r="K228" s="3">
        <v>0.7</v>
      </c>
      <c r="L228" s="3">
        <v>5.0999999999999996</v>
      </c>
    </row>
    <row r="229" spans="1:13" x14ac:dyDescent="0.35">
      <c r="A229" s="62" t="s">
        <v>28</v>
      </c>
      <c r="B229" s="62" t="s">
        <v>31</v>
      </c>
      <c r="C229" s="62">
        <v>1</v>
      </c>
      <c r="D229" s="62">
        <v>3</v>
      </c>
      <c r="E229" s="62">
        <v>1</v>
      </c>
      <c r="F229" s="62">
        <v>301</v>
      </c>
      <c r="G229" s="62">
        <v>3</v>
      </c>
      <c r="H229" s="62">
        <v>33</v>
      </c>
      <c r="I229" s="62">
        <v>5</v>
      </c>
      <c r="J229" s="95">
        <v>45866</v>
      </c>
      <c r="K229" s="3">
        <v>0.65</v>
      </c>
      <c r="L229" s="3">
        <v>9.6199999999999992</v>
      </c>
    </row>
    <row r="230" spans="1:13" x14ac:dyDescent="0.35">
      <c r="A230" s="62" t="s">
        <v>28</v>
      </c>
      <c r="B230" s="62" t="s">
        <v>32</v>
      </c>
      <c r="C230" s="62">
        <v>1</v>
      </c>
      <c r="D230" s="62">
        <v>4</v>
      </c>
      <c r="E230" s="62">
        <v>1</v>
      </c>
      <c r="F230" s="62">
        <v>401</v>
      </c>
      <c r="G230" s="62">
        <v>4</v>
      </c>
      <c r="H230" s="62">
        <v>64</v>
      </c>
      <c r="I230" s="62">
        <v>5</v>
      </c>
      <c r="J230" s="95">
        <v>45866</v>
      </c>
      <c r="K230" s="3">
        <v>0.6</v>
      </c>
      <c r="L230" s="3">
        <v>7.45</v>
      </c>
    </row>
    <row r="231" spans="1:13" x14ac:dyDescent="0.35">
      <c r="A231" s="62" t="s">
        <v>28</v>
      </c>
      <c r="B231" s="62" t="s">
        <v>32</v>
      </c>
      <c r="C231" s="62">
        <v>1</v>
      </c>
      <c r="D231" s="62">
        <v>4</v>
      </c>
      <c r="E231" s="62">
        <v>2</v>
      </c>
      <c r="F231" s="62">
        <v>402</v>
      </c>
      <c r="G231" s="62">
        <v>5</v>
      </c>
      <c r="H231" s="62">
        <v>63</v>
      </c>
      <c r="I231" s="62">
        <v>5</v>
      </c>
      <c r="J231" s="95">
        <v>45866</v>
      </c>
      <c r="K231" s="3">
        <v>0.53</v>
      </c>
      <c r="L231" s="3">
        <v>13.55</v>
      </c>
      <c r="M231" s="44">
        <v>20</v>
      </c>
    </row>
    <row r="232" spans="1:13" x14ac:dyDescent="0.35">
      <c r="A232" s="62" t="s">
        <v>28</v>
      </c>
      <c r="B232" s="62" t="s">
        <v>31</v>
      </c>
      <c r="C232" s="62">
        <v>1</v>
      </c>
      <c r="D232" s="62">
        <v>3</v>
      </c>
      <c r="E232" s="62">
        <v>2</v>
      </c>
      <c r="F232" s="62">
        <v>302</v>
      </c>
      <c r="G232" s="62">
        <v>6</v>
      </c>
      <c r="H232" s="62">
        <v>34</v>
      </c>
      <c r="I232" s="62">
        <v>5</v>
      </c>
      <c r="J232" s="95">
        <v>45866</v>
      </c>
      <c r="K232" s="3">
        <v>0.64</v>
      </c>
      <c r="L232" s="3">
        <v>11.2</v>
      </c>
      <c r="M232" s="44">
        <v>31</v>
      </c>
    </row>
    <row r="233" spans="1:13" x14ac:dyDescent="0.35">
      <c r="A233" s="62" t="s">
        <v>28</v>
      </c>
      <c r="B233" s="62" t="s">
        <v>30</v>
      </c>
      <c r="C233" s="62">
        <v>1</v>
      </c>
      <c r="D233" s="62">
        <v>2</v>
      </c>
      <c r="E233" s="62">
        <v>2</v>
      </c>
      <c r="F233" s="62">
        <v>202</v>
      </c>
      <c r="G233" s="62">
        <v>7</v>
      </c>
      <c r="H233" s="62">
        <v>31</v>
      </c>
      <c r="I233" s="62">
        <v>5</v>
      </c>
      <c r="J233" s="95">
        <v>45866</v>
      </c>
      <c r="K233" s="3">
        <v>0.75</v>
      </c>
      <c r="L233" s="3">
        <v>2.59</v>
      </c>
      <c r="M233" s="44">
        <v>37</v>
      </c>
    </row>
    <row r="234" spans="1:13" x14ac:dyDescent="0.35">
      <c r="A234" s="62" t="s">
        <v>28</v>
      </c>
      <c r="B234" s="62" t="s">
        <v>29</v>
      </c>
      <c r="C234" s="62">
        <v>1</v>
      </c>
      <c r="D234" s="62">
        <v>1</v>
      </c>
      <c r="E234" s="62">
        <v>2</v>
      </c>
      <c r="F234" s="62">
        <v>102</v>
      </c>
      <c r="G234" s="62">
        <v>8</v>
      </c>
      <c r="H234" s="62">
        <v>2</v>
      </c>
      <c r="I234" s="62">
        <v>5</v>
      </c>
      <c r="J234" s="95">
        <v>45866</v>
      </c>
      <c r="K234" s="3">
        <v>0.76</v>
      </c>
      <c r="L234" s="3">
        <v>5.16</v>
      </c>
      <c r="M234" s="44">
        <v>40</v>
      </c>
    </row>
    <row r="235" spans="1:13" x14ac:dyDescent="0.35">
      <c r="A235" s="62" t="s">
        <v>33</v>
      </c>
      <c r="B235" s="62" t="s">
        <v>34</v>
      </c>
      <c r="C235" s="62">
        <v>1</v>
      </c>
      <c r="D235" s="62">
        <v>1</v>
      </c>
      <c r="E235" s="62">
        <v>3</v>
      </c>
      <c r="F235" s="62">
        <v>103</v>
      </c>
      <c r="G235" s="62">
        <v>9</v>
      </c>
      <c r="H235" s="62">
        <v>3</v>
      </c>
      <c r="I235" s="62">
        <v>5</v>
      </c>
      <c r="J235" s="95">
        <v>45866</v>
      </c>
      <c r="K235" s="3">
        <v>0.39</v>
      </c>
      <c r="L235" s="3">
        <v>10.42</v>
      </c>
    </row>
    <row r="236" spans="1:13" x14ac:dyDescent="0.35">
      <c r="A236" s="62" t="s">
        <v>33</v>
      </c>
      <c r="B236" s="62" t="s">
        <v>30</v>
      </c>
      <c r="C236" s="62">
        <v>1</v>
      </c>
      <c r="D236" s="62">
        <v>2</v>
      </c>
      <c r="E236" s="62">
        <v>3</v>
      </c>
      <c r="F236" s="62">
        <v>203</v>
      </c>
      <c r="G236" s="62">
        <v>10</v>
      </c>
      <c r="H236" s="62">
        <v>30</v>
      </c>
      <c r="I236" s="62">
        <v>5</v>
      </c>
      <c r="J236" s="95">
        <v>45866</v>
      </c>
      <c r="K236" s="3">
        <v>0.46</v>
      </c>
      <c r="L236" s="3">
        <v>7.99</v>
      </c>
    </row>
    <row r="237" spans="1:13" x14ac:dyDescent="0.35">
      <c r="A237" s="62" t="s">
        <v>33</v>
      </c>
      <c r="B237" s="62" t="s">
        <v>35</v>
      </c>
      <c r="C237" s="62">
        <v>1</v>
      </c>
      <c r="D237" s="62">
        <v>3</v>
      </c>
      <c r="E237" s="62">
        <v>3</v>
      </c>
      <c r="F237" s="62">
        <v>303</v>
      </c>
      <c r="G237" s="62">
        <v>11</v>
      </c>
      <c r="H237" s="62">
        <v>35</v>
      </c>
      <c r="I237" s="62">
        <v>5</v>
      </c>
      <c r="J237" s="95">
        <v>45866</v>
      </c>
      <c r="K237" s="3">
        <v>0.4</v>
      </c>
      <c r="L237" s="3">
        <v>4.75</v>
      </c>
    </row>
    <row r="238" spans="1:13" x14ac:dyDescent="0.35">
      <c r="A238" s="62" t="s">
        <v>33</v>
      </c>
      <c r="B238" s="62" t="s">
        <v>29</v>
      </c>
      <c r="C238" s="62">
        <v>1</v>
      </c>
      <c r="D238" s="62">
        <v>4</v>
      </c>
      <c r="E238" s="62">
        <v>3</v>
      </c>
      <c r="F238" s="62">
        <v>403</v>
      </c>
      <c r="G238" s="62">
        <v>12</v>
      </c>
      <c r="H238" s="62">
        <v>62</v>
      </c>
      <c r="I238" s="62">
        <v>5</v>
      </c>
      <c r="J238" s="95">
        <v>45866</v>
      </c>
      <c r="K238" s="3">
        <v>0.44</v>
      </c>
      <c r="L238" s="3">
        <v>5.79</v>
      </c>
    </row>
    <row r="239" spans="1:13" x14ac:dyDescent="0.35">
      <c r="A239" s="62" t="s">
        <v>33</v>
      </c>
      <c r="B239" s="62" t="s">
        <v>29</v>
      </c>
      <c r="C239" s="62">
        <v>1</v>
      </c>
      <c r="D239" s="62">
        <v>4</v>
      </c>
      <c r="E239" s="62">
        <v>4</v>
      </c>
      <c r="F239" s="62">
        <v>404</v>
      </c>
      <c r="G239" s="62">
        <v>13</v>
      </c>
      <c r="H239" s="62">
        <v>61</v>
      </c>
      <c r="I239" s="62">
        <v>5</v>
      </c>
      <c r="J239" s="95">
        <v>45866</v>
      </c>
      <c r="K239" s="3">
        <v>0.47</v>
      </c>
      <c r="L239" s="3">
        <v>2.88</v>
      </c>
      <c r="M239" s="44">
        <v>22</v>
      </c>
    </row>
    <row r="240" spans="1:13" x14ac:dyDescent="0.35">
      <c r="A240" s="62" t="s">
        <v>33</v>
      </c>
      <c r="B240" s="62" t="s">
        <v>35</v>
      </c>
      <c r="C240" s="62">
        <v>1</v>
      </c>
      <c r="D240" s="62">
        <v>3</v>
      </c>
      <c r="E240" s="62">
        <v>4</v>
      </c>
      <c r="F240" s="62">
        <v>304</v>
      </c>
      <c r="G240" s="62">
        <v>14</v>
      </c>
      <c r="H240" s="62">
        <v>36</v>
      </c>
      <c r="I240" s="62">
        <v>5</v>
      </c>
      <c r="J240" s="95">
        <v>45866</v>
      </c>
      <c r="K240" s="3">
        <v>0.47</v>
      </c>
      <c r="L240" s="3">
        <v>5.78</v>
      </c>
      <c r="M240" s="44">
        <v>19</v>
      </c>
    </row>
    <row r="241" spans="1:13" x14ac:dyDescent="0.35">
      <c r="A241" s="62" t="s">
        <v>33</v>
      </c>
      <c r="B241" s="62" t="s">
        <v>30</v>
      </c>
      <c r="C241" s="62">
        <v>1</v>
      </c>
      <c r="D241" s="62">
        <v>2</v>
      </c>
      <c r="E241" s="62">
        <v>4</v>
      </c>
      <c r="F241" s="62">
        <v>204</v>
      </c>
      <c r="G241" s="62">
        <v>15</v>
      </c>
      <c r="H241" s="62">
        <v>29</v>
      </c>
      <c r="I241" s="62">
        <v>5</v>
      </c>
      <c r="J241" s="95">
        <v>45866</v>
      </c>
      <c r="K241" s="3">
        <v>0.53</v>
      </c>
      <c r="L241" s="3">
        <v>7.24</v>
      </c>
      <c r="M241" s="44">
        <v>22</v>
      </c>
    </row>
    <row r="242" spans="1:13" x14ac:dyDescent="0.35">
      <c r="A242" s="62" t="s">
        <v>33</v>
      </c>
      <c r="B242" s="62" t="s">
        <v>34</v>
      </c>
      <c r="C242" s="62">
        <v>1</v>
      </c>
      <c r="D242" s="62">
        <v>1</v>
      </c>
      <c r="E242" s="62">
        <v>4</v>
      </c>
      <c r="F242" s="62">
        <v>104</v>
      </c>
      <c r="G242" s="62">
        <v>16</v>
      </c>
      <c r="H242" s="62">
        <v>4</v>
      </c>
      <c r="I242" s="62">
        <v>5</v>
      </c>
      <c r="J242" s="95">
        <v>45866</v>
      </c>
      <c r="K242" s="3">
        <v>0.47</v>
      </c>
      <c r="L242" s="3">
        <v>6.99</v>
      </c>
      <c r="M242" s="44">
        <v>29</v>
      </c>
    </row>
    <row r="243" spans="1:13" x14ac:dyDescent="0.35">
      <c r="A243" s="62" t="s">
        <v>28</v>
      </c>
      <c r="B243" s="62" t="s">
        <v>31</v>
      </c>
      <c r="C243" s="62">
        <v>2</v>
      </c>
      <c r="D243" s="62">
        <v>1</v>
      </c>
      <c r="E243" s="62">
        <v>5</v>
      </c>
      <c r="F243" s="62">
        <v>105</v>
      </c>
      <c r="G243" s="62">
        <v>17</v>
      </c>
      <c r="H243" s="62">
        <v>5</v>
      </c>
      <c r="I243" s="62">
        <v>5</v>
      </c>
      <c r="J243" s="95">
        <v>45866</v>
      </c>
      <c r="K243" s="3">
        <v>0.77</v>
      </c>
      <c r="L243" s="3">
        <v>3.52</v>
      </c>
    </row>
    <row r="244" spans="1:13" x14ac:dyDescent="0.35">
      <c r="A244" s="62" t="s">
        <v>28</v>
      </c>
      <c r="B244" s="62" t="s">
        <v>32</v>
      </c>
      <c r="C244" s="62">
        <v>2</v>
      </c>
      <c r="D244" s="62">
        <v>2</v>
      </c>
      <c r="E244" s="62">
        <v>5</v>
      </c>
      <c r="F244" s="62">
        <v>205</v>
      </c>
      <c r="G244" s="62">
        <v>18</v>
      </c>
      <c r="H244" s="62">
        <v>28</v>
      </c>
      <c r="I244" s="62">
        <v>5</v>
      </c>
      <c r="J244" s="95">
        <v>45866</v>
      </c>
      <c r="K244" s="3">
        <v>0.69</v>
      </c>
      <c r="L244" s="3">
        <v>5.03</v>
      </c>
    </row>
    <row r="245" spans="1:13" x14ac:dyDescent="0.35">
      <c r="A245" s="62" t="s">
        <v>28</v>
      </c>
      <c r="B245" s="62" t="s">
        <v>30</v>
      </c>
      <c r="C245" s="62">
        <v>2</v>
      </c>
      <c r="D245" s="62">
        <v>3</v>
      </c>
      <c r="E245" s="62">
        <v>5</v>
      </c>
      <c r="F245" s="62">
        <v>305</v>
      </c>
      <c r="G245" s="62">
        <v>19</v>
      </c>
      <c r="H245" s="62">
        <v>37</v>
      </c>
      <c r="I245" s="62">
        <v>5</v>
      </c>
      <c r="J245" s="95">
        <v>45866</v>
      </c>
      <c r="K245" s="3">
        <v>0.56999999999999995</v>
      </c>
      <c r="L245" s="3">
        <v>4.92</v>
      </c>
    </row>
    <row r="246" spans="1:13" x14ac:dyDescent="0.35">
      <c r="A246" s="62" t="s">
        <v>28</v>
      </c>
      <c r="B246" s="62" t="s">
        <v>29</v>
      </c>
      <c r="C246" s="62">
        <v>2</v>
      </c>
      <c r="D246" s="62">
        <v>4</v>
      </c>
      <c r="E246" s="62">
        <v>5</v>
      </c>
      <c r="F246" s="62">
        <v>405</v>
      </c>
      <c r="G246" s="62">
        <v>20</v>
      </c>
      <c r="H246" s="62">
        <v>60</v>
      </c>
      <c r="I246" s="62">
        <v>5</v>
      </c>
      <c r="J246" s="95">
        <v>45866</v>
      </c>
      <c r="K246" s="3">
        <v>0.6</v>
      </c>
      <c r="L246" s="3">
        <v>5.13</v>
      </c>
    </row>
    <row r="247" spans="1:13" x14ac:dyDescent="0.35">
      <c r="A247" s="62" t="s">
        <v>28</v>
      </c>
      <c r="B247" s="62" t="s">
        <v>29</v>
      </c>
      <c r="C247" s="62">
        <v>2</v>
      </c>
      <c r="D247" s="62">
        <v>4</v>
      </c>
      <c r="E247" s="62">
        <v>6</v>
      </c>
      <c r="F247" s="62">
        <v>406</v>
      </c>
      <c r="G247" s="62">
        <v>21</v>
      </c>
      <c r="H247" s="62">
        <v>59</v>
      </c>
      <c r="I247" s="62">
        <v>5</v>
      </c>
      <c r="J247" s="95">
        <v>45866</v>
      </c>
      <c r="K247" s="3">
        <v>0.69</v>
      </c>
      <c r="L247" s="3">
        <v>3.61</v>
      </c>
      <c r="M247" s="44">
        <v>35</v>
      </c>
    </row>
    <row r="248" spans="1:13" x14ac:dyDescent="0.35">
      <c r="A248" s="62" t="s">
        <v>28</v>
      </c>
      <c r="B248" s="62" t="s">
        <v>30</v>
      </c>
      <c r="C248" s="62">
        <v>2</v>
      </c>
      <c r="D248" s="62">
        <v>3</v>
      </c>
      <c r="E248" s="62">
        <v>6</v>
      </c>
      <c r="F248" s="62">
        <v>306</v>
      </c>
      <c r="G248" s="62">
        <v>22</v>
      </c>
      <c r="H248" s="62">
        <v>38</v>
      </c>
      <c r="I248" s="62">
        <v>5</v>
      </c>
      <c r="J248" s="95">
        <v>45866</v>
      </c>
      <c r="K248" s="3">
        <v>0.56000000000000005</v>
      </c>
      <c r="L248" s="3">
        <v>10.89</v>
      </c>
      <c r="M248" s="44">
        <v>28</v>
      </c>
    </row>
    <row r="249" spans="1:13" x14ac:dyDescent="0.35">
      <c r="A249" s="62" t="s">
        <v>28</v>
      </c>
      <c r="B249" s="62" t="s">
        <v>32</v>
      </c>
      <c r="C249" s="62">
        <v>2</v>
      </c>
      <c r="D249" s="62">
        <v>2</v>
      </c>
      <c r="E249" s="62">
        <v>6</v>
      </c>
      <c r="F249" s="62">
        <v>206</v>
      </c>
      <c r="G249" s="62">
        <v>23</v>
      </c>
      <c r="H249" s="62">
        <v>27</v>
      </c>
      <c r="I249" s="62">
        <v>5</v>
      </c>
      <c r="J249" s="95">
        <v>45866</v>
      </c>
      <c r="K249" s="3">
        <v>0.66</v>
      </c>
      <c r="L249" s="3">
        <v>7.7</v>
      </c>
      <c r="M249" s="44">
        <v>19</v>
      </c>
    </row>
    <row r="250" spans="1:13" x14ac:dyDescent="0.35">
      <c r="A250" s="62" t="s">
        <v>28</v>
      </c>
      <c r="B250" s="62" t="s">
        <v>31</v>
      </c>
      <c r="C250" s="62">
        <v>2</v>
      </c>
      <c r="D250" s="62">
        <v>1</v>
      </c>
      <c r="E250" s="62">
        <v>6</v>
      </c>
      <c r="F250" s="62">
        <v>106</v>
      </c>
      <c r="G250" s="62">
        <v>24</v>
      </c>
      <c r="H250" s="62">
        <v>6</v>
      </c>
      <c r="I250" s="62">
        <v>5</v>
      </c>
      <c r="J250" s="95">
        <v>45866</v>
      </c>
      <c r="K250" s="3">
        <v>0.78</v>
      </c>
      <c r="L250" s="3">
        <v>4.09</v>
      </c>
      <c r="M250" s="44">
        <v>36</v>
      </c>
    </row>
    <row r="251" spans="1:13" x14ac:dyDescent="0.35">
      <c r="A251" s="62" t="s">
        <v>33</v>
      </c>
      <c r="B251" s="62" t="s">
        <v>35</v>
      </c>
      <c r="C251" s="62">
        <v>2</v>
      </c>
      <c r="D251" s="62">
        <v>1</v>
      </c>
      <c r="E251" s="62">
        <v>7</v>
      </c>
      <c r="F251" s="62">
        <v>107</v>
      </c>
      <c r="G251" s="62">
        <v>25</v>
      </c>
      <c r="H251" s="62">
        <v>7</v>
      </c>
      <c r="I251" s="62">
        <v>5</v>
      </c>
      <c r="J251" s="95">
        <v>45866</v>
      </c>
      <c r="K251" s="3">
        <v>0.44</v>
      </c>
      <c r="L251" s="3">
        <v>5.49</v>
      </c>
    </row>
    <row r="252" spans="1:13" x14ac:dyDescent="0.35">
      <c r="A252" s="62" t="s">
        <v>33</v>
      </c>
      <c r="B252" s="62" t="s">
        <v>29</v>
      </c>
      <c r="C252" s="62">
        <v>2</v>
      </c>
      <c r="D252" s="62">
        <v>2</v>
      </c>
      <c r="E252" s="62">
        <v>7</v>
      </c>
      <c r="F252" s="62">
        <v>207</v>
      </c>
      <c r="G252" s="62">
        <v>26</v>
      </c>
      <c r="H252" s="62">
        <v>26</v>
      </c>
      <c r="I252" s="62">
        <v>5</v>
      </c>
      <c r="J252" s="95">
        <v>45866</v>
      </c>
      <c r="K252" s="3">
        <v>0.42</v>
      </c>
      <c r="L252" s="3">
        <v>4.71</v>
      </c>
    </row>
    <row r="253" spans="1:13" x14ac:dyDescent="0.35">
      <c r="A253" s="62" t="s">
        <v>33</v>
      </c>
      <c r="B253" s="62" t="s">
        <v>30</v>
      </c>
      <c r="C253" s="62">
        <v>2</v>
      </c>
      <c r="D253" s="62">
        <v>3</v>
      </c>
      <c r="E253" s="62">
        <v>7</v>
      </c>
      <c r="F253" s="62">
        <v>307</v>
      </c>
      <c r="G253" s="62">
        <v>27</v>
      </c>
      <c r="H253" s="62">
        <v>39</v>
      </c>
      <c r="I253" s="62">
        <v>5</v>
      </c>
      <c r="J253" s="95">
        <v>45866</v>
      </c>
      <c r="K253" s="3">
        <v>0.31</v>
      </c>
      <c r="L253" s="3">
        <v>7.11</v>
      </c>
    </row>
    <row r="254" spans="1:13" x14ac:dyDescent="0.35">
      <c r="A254" s="62" t="s">
        <v>33</v>
      </c>
      <c r="B254" s="62" t="s">
        <v>34</v>
      </c>
      <c r="C254" s="62">
        <v>2</v>
      </c>
      <c r="D254" s="62">
        <v>4</v>
      </c>
      <c r="E254" s="62">
        <v>7</v>
      </c>
      <c r="F254" s="62">
        <v>407</v>
      </c>
      <c r="G254" s="62">
        <v>28</v>
      </c>
      <c r="H254" s="62">
        <v>58</v>
      </c>
      <c r="I254" s="62">
        <v>5</v>
      </c>
      <c r="J254" s="95">
        <v>45866</v>
      </c>
      <c r="K254" s="3">
        <v>0.39</v>
      </c>
      <c r="L254" s="3">
        <v>4.32</v>
      </c>
    </row>
    <row r="255" spans="1:13" x14ac:dyDescent="0.35">
      <c r="A255" s="62" t="s">
        <v>33</v>
      </c>
      <c r="B255" s="62" t="s">
        <v>34</v>
      </c>
      <c r="C255" s="62">
        <v>2</v>
      </c>
      <c r="D255" s="62">
        <v>4</v>
      </c>
      <c r="E255" s="62">
        <v>8</v>
      </c>
      <c r="F255" s="62">
        <v>408</v>
      </c>
      <c r="G255" s="62">
        <v>29</v>
      </c>
      <c r="H255" s="62">
        <v>57</v>
      </c>
      <c r="I255" s="62">
        <v>5</v>
      </c>
      <c r="J255" s="95">
        <v>45866</v>
      </c>
      <c r="K255" s="3">
        <v>0.52</v>
      </c>
      <c r="L255" s="3">
        <v>7.5</v>
      </c>
      <c r="M255" s="44">
        <v>24</v>
      </c>
    </row>
    <row r="256" spans="1:13" x14ac:dyDescent="0.35">
      <c r="A256" s="62" t="s">
        <v>33</v>
      </c>
      <c r="B256" s="62" t="s">
        <v>30</v>
      </c>
      <c r="C256" s="62">
        <v>2</v>
      </c>
      <c r="D256" s="62">
        <v>3</v>
      </c>
      <c r="E256" s="62">
        <v>8</v>
      </c>
      <c r="F256" s="62">
        <v>308</v>
      </c>
      <c r="G256" s="62">
        <v>30</v>
      </c>
      <c r="H256" s="62">
        <v>40</v>
      </c>
      <c r="I256" s="62">
        <v>5</v>
      </c>
      <c r="J256" s="95">
        <v>45866</v>
      </c>
      <c r="K256" s="3">
        <v>0.39</v>
      </c>
      <c r="L256" s="3">
        <v>5.32</v>
      </c>
      <c r="M256" s="44">
        <v>18</v>
      </c>
    </row>
    <row r="257" spans="1:13" x14ac:dyDescent="0.35">
      <c r="A257" s="62" t="s">
        <v>33</v>
      </c>
      <c r="B257" s="62" t="s">
        <v>29</v>
      </c>
      <c r="C257" s="62">
        <v>2</v>
      </c>
      <c r="D257" s="62">
        <v>2</v>
      </c>
      <c r="E257" s="62">
        <v>8</v>
      </c>
      <c r="F257" s="62">
        <v>208</v>
      </c>
      <c r="G257" s="62">
        <v>31</v>
      </c>
      <c r="H257" s="62">
        <v>25</v>
      </c>
      <c r="I257" s="62">
        <v>5</v>
      </c>
      <c r="J257" s="95">
        <v>45866</v>
      </c>
      <c r="K257" s="3">
        <v>0.47</v>
      </c>
      <c r="L257" s="3">
        <v>6.78</v>
      </c>
      <c r="M257" s="44">
        <v>21</v>
      </c>
    </row>
    <row r="258" spans="1:13" x14ac:dyDescent="0.35">
      <c r="A258" s="62" t="s">
        <v>33</v>
      </c>
      <c r="B258" s="62" t="s">
        <v>35</v>
      </c>
      <c r="C258" s="62">
        <v>2</v>
      </c>
      <c r="D258" s="62">
        <v>1</v>
      </c>
      <c r="E258" s="62">
        <v>8</v>
      </c>
      <c r="F258" s="62">
        <v>108</v>
      </c>
      <c r="G258" s="62">
        <v>32</v>
      </c>
      <c r="H258" s="62">
        <v>8</v>
      </c>
      <c r="I258" s="62">
        <v>5</v>
      </c>
      <c r="J258" s="95">
        <v>45866</v>
      </c>
      <c r="K258" s="3">
        <v>0.45</v>
      </c>
      <c r="L258" s="3">
        <v>4.58</v>
      </c>
      <c r="M258" s="44">
        <v>19</v>
      </c>
    </row>
    <row r="259" spans="1:13" x14ac:dyDescent="0.35">
      <c r="A259" s="62" t="s">
        <v>28</v>
      </c>
      <c r="B259" s="62" t="s">
        <v>32</v>
      </c>
      <c r="C259" s="62">
        <v>3</v>
      </c>
      <c r="D259" s="62">
        <v>1</v>
      </c>
      <c r="E259" s="62">
        <v>9</v>
      </c>
      <c r="F259" s="62">
        <v>109</v>
      </c>
      <c r="G259" s="62">
        <v>33</v>
      </c>
      <c r="H259" s="62">
        <v>9</v>
      </c>
      <c r="I259" s="62">
        <v>5</v>
      </c>
      <c r="J259" s="95">
        <v>45866</v>
      </c>
      <c r="K259" s="3">
        <v>0.71</v>
      </c>
      <c r="L259" s="3">
        <v>5.26</v>
      </c>
    </row>
    <row r="260" spans="1:13" x14ac:dyDescent="0.35">
      <c r="A260" s="62" t="s">
        <v>28</v>
      </c>
      <c r="B260" s="62" t="s">
        <v>31</v>
      </c>
      <c r="C260" s="62">
        <v>3</v>
      </c>
      <c r="D260" s="62">
        <v>2</v>
      </c>
      <c r="E260" s="62">
        <v>9</v>
      </c>
      <c r="F260" s="62">
        <v>209</v>
      </c>
      <c r="G260" s="62">
        <v>34</v>
      </c>
      <c r="H260" s="62">
        <v>24</v>
      </c>
      <c r="I260" s="62">
        <v>5</v>
      </c>
      <c r="J260" s="95">
        <v>45866</v>
      </c>
      <c r="K260" s="3">
        <v>0.76</v>
      </c>
      <c r="L260" s="3">
        <v>3.2</v>
      </c>
    </row>
    <row r="261" spans="1:13" x14ac:dyDescent="0.35">
      <c r="A261" s="62" t="s">
        <v>28</v>
      </c>
      <c r="B261" s="62" t="s">
        <v>29</v>
      </c>
      <c r="C261" s="62">
        <v>3</v>
      </c>
      <c r="D261" s="62">
        <v>3</v>
      </c>
      <c r="E261" s="62">
        <v>9</v>
      </c>
      <c r="F261" s="62">
        <v>309</v>
      </c>
      <c r="G261" s="62">
        <v>35</v>
      </c>
      <c r="H261" s="62">
        <v>41</v>
      </c>
      <c r="I261" s="62">
        <v>5</v>
      </c>
      <c r="J261" s="95">
        <v>45866</v>
      </c>
      <c r="K261" s="3">
        <v>0.51</v>
      </c>
      <c r="L261" s="3">
        <v>10.17</v>
      </c>
    </row>
    <row r="262" spans="1:13" x14ac:dyDescent="0.35">
      <c r="A262" s="62" t="s">
        <v>28</v>
      </c>
      <c r="B262" s="62" t="s">
        <v>30</v>
      </c>
      <c r="C262" s="62">
        <v>3</v>
      </c>
      <c r="D262" s="62">
        <v>4</v>
      </c>
      <c r="E262" s="62">
        <v>9</v>
      </c>
      <c r="F262" s="62">
        <v>409</v>
      </c>
      <c r="G262" s="62">
        <v>36</v>
      </c>
      <c r="H262" s="62">
        <v>56</v>
      </c>
      <c r="I262" s="62">
        <v>5</v>
      </c>
      <c r="J262" s="95">
        <v>45866</v>
      </c>
      <c r="K262" s="3">
        <v>0.66</v>
      </c>
      <c r="L262" s="3">
        <v>5.03</v>
      </c>
    </row>
    <row r="263" spans="1:13" x14ac:dyDescent="0.35">
      <c r="A263" s="62" t="s">
        <v>28</v>
      </c>
      <c r="B263" s="62" t="s">
        <v>30</v>
      </c>
      <c r="C263" s="62">
        <v>3</v>
      </c>
      <c r="D263" s="62">
        <v>4</v>
      </c>
      <c r="E263" s="62">
        <v>10</v>
      </c>
      <c r="F263" s="62">
        <v>410</v>
      </c>
      <c r="G263" s="62">
        <v>37</v>
      </c>
      <c r="H263" s="62">
        <v>55</v>
      </c>
      <c r="I263" s="62">
        <v>5</v>
      </c>
      <c r="J263" s="95">
        <v>45866</v>
      </c>
      <c r="K263" s="3">
        <v>0.67</v>
      </c>
      <c r="L263" s="3">
        <v>8.49</v>
      </c>
      <c r="M263" s="44">
        <v>31</v>
      </c>
    </row>
    <row r="264" spans="1:13" x14ac:dyDescent="0.35">
      <c r="A264" s="62" t="s">
        <v>28</v>
      </c>
      <c r="B264" s="62" t="s">
        <v>29</v>
      </c>
      <c r="C264" s="62">
        <v>3</v>
      </c>
      <c r="D264" s="62">
        <v>3</v>
      </c>
      <c r="E264" s="62">
        <v>10</v>
      </c>
      <c r="F264" s="62">
        <v>310</v>
      </c>
      <c r="G264" s="62">
        <v>38</v>
      </c>
      <c r="H264" s="62">
        <v>42</v>
      </c>
      <c r="I264" s="62">
        <v>5</v>
      </c>
      <c r="J264" s="95">
        <v>45866</v>
      </c>
      <c r="K264" s="3">
        <v>0.48</v>
      </c>
      <c r="L264" s="3">
        <v>8.5500000000000007</v>
      </c>
      <c r="M264" s="44">
        <v>27</v>
      </c>
    </row>
    <row r="265" spans="1:13" x14ac:dyDescent="0.35">
      <c r="A265" s="62" t="s">
        <v>28</v>
      </c>
      <c r="B265" s="62" t="s">
        <v>31</v>
      </c>
      <c r="C265" s="62">
        <v>3</v>
      </c>
      <c r="D265" s="62">
        <v>2</v>
      </c>
      <c r="E265" s="62">
        <v>10</v>
      </c>
      <c r="F265" s="62">
        <v>210</v>
      </c>
      <c r="G265" s="62">
        <v>39</v>
      </c>
      <c r="H265" s="62">
        <v>23</v>
      </c>
      <c r="I265" s="62">
        <v>5</v>
      </c>
      <c r="J265" s="95">
        <v>45866</v>
      </c>
      <c r="K265" s="3">
        <v>0.72</v>
      </c>
      <c r="L265" s="3">
        <v>10.3</v>
      </c>
      <c r="M265" s="44">
        <v>37</v>
      </c>
    </row>
    <row r="266" spans="1:13" x14ac:dyDescent="0.35">
      <c r="A266" s="62" t="s">
        <v>28</v>
      </c>
      <c r="B266" s="62" t="s">
        <v>32</v>
      </c>
      <c r="C266" s="62">
        <v>3</v>
      </c>
      <c r="D266" s="62">
        <v>1</v>
      </c>
      <c r="E266" s="62">
        <v>10</v>
      </c>
      <c r="F266" s="62">
        <v>110</v>
      </c>
      <c r="G266" s="62">
        <v>40</v>
      </c>
      <c r="H266" s="62">
        <v>10</v>
      </c>
      <c r="I266" s="62">
        <v>5</v>
      </c>
      <c r="J266" s="95">
        <v>45866</v>
      </c>
      <c r="K266" s="3">
        <v>0.72</v>
      </c>
      <c r="L266" s="3">
        <v>6.76</v>
      </c>
      <c r="M266" s="44">
        <v>19</v>
      </c>
    </row>
    <row r="267" spans="1:13" x14ac:dyDescent="0.35">
      <c r="A267" s="62" t="s">
        <v>33</v>
      </c>
      <c r="B267" s="62" t="s">
        <v>29</v>
      </c>
      <c r="C267" s="62">
        <v>3</v>
      </c>
      <c r="D267" s="62">
        <v>1</v>
      </c>
      <c r="E267" s="62">
        <v>11</v>
      </c>
      <c r="F267" s="62">
        <v>111</v>
      </c>
      <c r="G267" s="62">
        <v>41</v>
      </c>
      <c r="H267" s="62">
        <v>11</v>
      </c>
      <c r="I267" s="62">
        <v>5</v>
      </c>
      <c r="J267" s="95">
        <v>45866</v>
      </c>
      <c r="K267" s="3">
        <v>0.34</v>
      </c>
      <c r="L267" s="3">
        <v>5.56</v>
      </c>
    </row>
    <row r="268" spans="1:13" x14ac:dyDescent="0.35">
      <c r="A268" s="62" t="s">
        <v>33</v>
      </c>
      <c r="B268" s="62" t="s">
        <v>35</v>
      </c>
      <c r="C268" s="62">
        <v>3</v>
      </c>
      <c r="D268" s="62">
        <v>2</v>
      </c>
      <c r="E268" s="62">
        <v>11</v>
      </c>
      <c r="F268" s="62">
        <v>211</v>
      </c>
      <c r="G268" s="62">
        <v>42</v>
      </c>
      <c r="H268" s="62">
        <v>22</v>
      </c>
      <c r="I268" s="62">
        <v>5</v>
      </c>
      <c r="J268" s="95">
        <v>45866</v>
      </c>
      <c r="K268" s="3">
        <v>0.52</v>
      </c>
      <c r="L268" s="3">
        <v>7.5</v>
      </c>
    </row>
    <row r="269" spans="1:13" x14ac:dyDescent="0.35">
      <c r="A269" s="62" t="s">
        <v>33</v>
      </c>
      <c r="B269" s="62" t="s">
        <v>34</v>
      </c>
      <c r="C269" s="62">
        <v>3</v>
      </c>
      <c r="D269" s="62">
        <v>3</v>
      </c>
      <c r="E269" s="62">
        <v>11</v>
      </c>
      <c r="F269" s="62">
        <v>311</v>
      </c>
      <c r="G269" s="62">
        <v>43</v>
      </c>
      <c r="H269" s="62">
        <v>43</v>
      </c>
      <c r="I269" s="62">
        <v>5</v>
      </c>
      <c r="J269" s="95">
        <v>45866</v>
      </c>
      <c r="K269" s="3">
        <v>0.36</v>
      </c>
      <c r="L269" s="3">
        <v>3.48</v>
      </c>
    </row>
    <row r="270" spans="1:13" x14ac:dyDescent="0.35">
      <c r="A270" s="62" t="s">
        <v>33</v>
      </c>
      <c r="B270" s="62" t="s">
        <v>30</v>
      </c>
      <c r="C270" s="62">
        <v>3</v>
      </c>
      <c r="D270" s="62">
        <v>4</v>
      </c>
      <c r="E270" s="62">
        <v>11</v>
      </c>
      <c r="F270" s="62">
        <v>411</v>
      </c>
      <c r="G270" s="62">
        <v>44</v>
      </c>
      <c r="H270" s="62">
        <v>54</v>
      </c>
      <c r="I270" s="62">
        <v>5</v>
      </c>
      <c r="J270" s="95">
        <v>45866</v>
      </c>
      <c r="K270" s="3">
        <v>0.41</v>
      </c>
      <c r="L270" s="3">
        <v>7.02</v>
      </c>
    </row>
    <row r="271" spans="1:13" x14ac:dyDescent="0.35">
      <c r="A271" s="62" t="s">
        <v>33</v>
      </c>
      <c r="B271" s="62" t="s">
        <v>30</v>
      </c>
      <c r="C271" s="62">
        <v>3</v>
      </c>
      <c r="D271" s="62">
        <v>4</v>
      </c>
      <c r="E271" s="62">
        <v>12</v>
      </c>
      <c r="F271" s="62">
        <v>412</v>
      </c>
      <c r="G271" s="62">
        <v>45</v>
      </c>
      <c r="H271" s="62">
        <v>53</v>
      </c>
      <c r="I271" s="62">
        <v>5</v>
      </c>
      <c r="J271" s="95">
        <v>45866</v>
      </c>
      <c r="K271" s="3">
        <v>0.41</v>
      </c>
      <c r="L271" s="3">
        <v>8.07</v>
      </c>
      <c r="M271" s="44">
        <v>21</v>
      </c>
    </row>
    <row r="272" spans="1:13" x14ac:dyDescent="0.35">
      <c r="A272" s="62" t="s">
        <v>33</v>
      </c>
      <c r="B272" s="62" t="s">
        <v>34</v>
      </c>
      <c r="C272" s="62">
        <v>3</v>
      </c>
      <c r="D272" s="62">
        <v>3</v>
      </c>
      <c r="E272" s="62">
        <v>12</v>
      </c>
      <c r="F272" s="62">
        <v>312</v>
      </c>
      <c r="G272" s="62">
        <v>46</v>
      </c>
      <c r="H272" s="62">
        <v>44</v>
      </c>
      <c r="I272" s="62">
        <v>5</v>
      </c>
      <c r="J272" s="95">
        <v>45866</v>
      </c>
      <c r="K272" s="3">
        <v>0.38</v>
      </c>
      <c r="L272" s="3">
        <v>8.33</v>
      </c>
      <c r="M272" s="44">
        <v>24</v>
      </c>
    </row>
    <row r="273" spans="1:13" x14ac:dyDescent="0.35">
      <c r="A273" s="62" t="s">
        <v>33</v>
      </c>
      <c r="B273" s="62" t="s">
        <v>35</v>
      </c>
      <c r="C273" s="62">
        <v>3</v>
      </c>
      <c r="D273" s="62">
        <v>2</v>
      </c>
      <c r="E273" s="62">
        <v>12</v>
      </c>
      <c r="F273" s="62">
        <v>212</v>
      </c>
      <c r="G273" s="62">
        <v>47</v>
      </c>
      <c r="H273" s="62">
        <v>21</v>
      </c>
      <c r="I273" s="62">
        <v>5</v>
      </c>
      <c r="J273" s="95">
        <v>45866</v>
      </c>
      <c r="K273" s="3">
        <v>0.43</v>
      </c>
      <c r="L273" s="3">
        <v>8.23</v>
      </c>
      <c r="M273" s="44">
        <v>18</v>
      </c>
    </row>
    <row r="274" spans="1:13" x14ac:dyDescent="0.35">
      <c r="A274" s="62" t="s">
        <v>33</v>
      </c>
      <c r="B274" s="62" t="s">
        <v>29</v>
      </c>
      <c r="C274" s="62">
        <v>3</v>
      </c>
      <c r="D274" s="62">
        <v>1</v>
      </c>
      <c r="E274" s="62">
        <v>12</v>
      </c>
      <c r="F274" s="62">
        <v>112</v>
      </c>
      <c r="G274" s="62">
        <v>48</v>
      </c>
      <c r="H274" s="62">
        <v>12</v>
      </c>
      <c r="I274" s="62">
        <v>5</v>
      </c>
      <c r="J274" s="95">
        <v>45866</v>
      </c>
      <c r="K274" s="3">
        <v>0.35</v>
      </c>
      <c r="L274" s="3">
        <v>6.45</v>
      </c>
      <c r="M274" s="44">
        <v>20</v>
      </c>
    </row>
    <row r="275" spans="1:13" x14ac:dyDescent="0.35">
      <c r="A275" s="62" t="s">
        <v>28</v>
      </c>
      <c r="B275" s="62" t="s">
        <v>30</v>
      </c>
      <c r="C275" s="62">
        <v>4</v>
      </c>
      <c r="D275" s="62">
        <v>1</v>
      </c>
      <c r="E275" s="62">
        <v>13</v>
      </c>
      <c r="F275" s="62">
        <v>113</v>
      </c>
      <c r="G275" s="62">
        <v>49</v>
      </c>
      <c r="H275" s="62">
        <v>13</v>
      </c>
      <c r="I275" s="62">
        <v>5</v>
      </c>
      <c r="J275" s="95">
        <v>45866</v>
      </c>
      <c r="K275" s="3">
        <v>0.69</v>
      </c>
      <c r="L275" s="3">
        <v>3.71</v>
      </c>
    </row>
    <row r="276" spans="1:13" x14ac:dyDescent="0.35">
      <c r="A276" s="62" t="s">
        <v>28</v>
      </c>
      <c r="B276" s="62" t="s">
        <v>29</v>
      </c>
      <c r="C276" s="62">
        <v>4</v>
      </c>
      <c r="D276" s="62">
        <v>2</v>
      </c>
      <c r="E276" s="62">
        <v>13</v>
      </c>
      <c r="F276" s="62">
        <v>213</v>
      </c>
      <c r="G276" s="62">
        <v>50</v>
      </c>
      <c r="H276" s="62">
        <v>20</v>
      </c>
      <c r="I276" s="62">
        <v>5</v>
      </c>
      <c r="J276" s="95">
        <v>45866</v>
      </c>
      <c r="K276" s="3">
        <v>0.68</v>
      </c>
      <c r="L276" s="3">
        <v>3.4</v>
      </c>
    </row>
    <row r="277" spans="1:13" x14ac:dyDescent="0.35">
      <c r="A277" s="62" t="s">
        <v>28</v>
      </c>
      <c r="B277" s="62" t="s">
        <v>32</v>
      </c>
      <c r="C277" s="62">
        <v>4</v>
      </c>
      <c r="D277" s="62">
        <v>3</v>
      </c>
      <c r="E277" s="62">
        <v>13</v>
      </c>
      <c r="F277" s="62">
        <v>313</v>
      </c>
      <c r="G277" s="62">
        <v>51</v>
      </c>
      <c r="H277" s="62">
        <v>45</v>
      </c>
      <c r="I277" s="62">
        <v>5</v>
      </c>
      <c r="J277" s="95">
        <v>45866</v>
      </c>
      <c r="K277" s="3">
        <v>0.61</v>
      </c>
      <c r="L277" s="3">
        <v>6.52</v>
      </c>
    </row>
    <row r="278" spans="1:13" x14ac:dyDescent="0.35">
      <c r="A278" s="62" t="s">
        <v>28</v>
      </c>
      <c r="B278" s="62" t="s">
        <v>31</v>
      </c>
      <c r="C278" s="62">
        <v>4</v>
      </c>
      <c r="D278" s="62">
        <v>4</v>
      </c>
      <c r="E278" s="62">
        <v>13</v>
      </c>
      <c r="F278" s="62">
        <v>413</v>
      </c>
      <c r="G278" s="62">
        <v>52</v>
      </c>
      <c r="H278" s="62">
        <v>52</v>
      </c>
      <c r="I278" s="62">
        <v>5</v>
      </c>
      <c r="J278" s="95">
        <v>45866</v>
      </c>
      <c r="K278" s="3">
        <v>0.65</v>
      </c>
      <c r="L278" s="3">
        <v>8.75</v>
      </c>
    </row>
    <row r="279" spans="1:13" x14ac:dyDescent="0.35">
      <c r="A279" s="62" t="s">
        <v>28</v>
      </c>
      <c r="B279" s="62" t="s">
        <v>31</v>
      </c>
      <c r="C279" s="62">
        <v>4</v>
      </c>
      <c r="D279" s="62">
        <v>4</v>
      </c>
      <c r="E279" s="62">
        <v>14</v>
      </c>
      <c r="F279" s="62">
        <v>414</v>
      </c>
      <c r="G279" s="62">
        <v>53</v>
      </c>
      <c r="H279" s="62">
        <v>51</v>
      </c>
      <c r="I279" s="62">
        <v>5</v>
      </c>
      <c r="J279" s="95">
        <v>45866</v>
      </c>
      <c r="K279" s="3">
        <v>0.62</v>
      </c>
      <c r="L279" s="3">
        <v>10.34</v>
      </c>
      <c r="M279" s="44">
        <v>31</v>
      </c>
    </row>
    <row r="280" spans="1:13" x14ac:dyDescent="0.35">
      <c r="A280" s="62" t="s">
        <v>28</v>
      </c>
      <c r="B280" s="62" t="s">
        <v>32</v>
      </c>
      <c r="C280" s="62">
        <v>4</v>
      </c>
      <c r="D280" s="62">
        <v>3</v>
      </c>
      <c r="E280" s="62">
        <v>14</v>
      </c>
      <c r="F280" s="62">
        <v>314</v>
      </c>
      <c r="G280" s="62">
        <v>54</v>
      </c>
      <c r="H280" s="62">
        <v>46</v>
      </c>
      <c r="I280" s="62">
        <v>5</v>
      </c>
      <c r="J280" s="95">
        <v>45866</v>
      </c>
      <c r="K280" s="3">
        <v>0.54</v>
      </c>
      <c r="L280" s="3">
        <v>13.8</v>
      </c>
      <c r="M280" s="44">
        <v>13</v>
      </c>
    </row>
    <row r="281" spans="1:13" x14ac:dyDescent="0.35">
      <c r="A281" s="62" t="s">
        <v>28</v>
      </c>
      <c r="B281" s="62" t="s">
        <v>29</v>
      </c>
      <c r="C281" s="62">
        <v>4</v>
      </c>
      <c r="D281" s="62">
        <v>2</v>
      </c>
      <c r="E281" s="62">
        <v>14</v>
      </c>
      <c r="F281" s="62">
        <v>214</v>
      </c>
      <c r="G281" s="62">
        <v>55</v>
      </c>
      <c r="H281" s="62">
        <v>19</v>
      </c>
      <c r="I281" s="62">
        <v>5</v>
      </c>
      <c r="J281" s="95">
        <v>45866</v>
      </c>
      <c r="K281" s="3">
        <v>0.66</v>
      </c>
      <c r="L281" s="3">
        <v>5.55</v>
      </c>
      <c r="M281" s="44">
        <v>36</v>
      </c>
    </row>
    <row r="282" spans="1:13" x14ac:dyDescent="0.35">
      <c r="A282" s="62" t="s">
        <v>28</v>
      </c>
      <c r="B282" s="62" t="s">
        <v>30</v>
      </c>
      <c r="C282" s="62">
        <v>4</v>
      </c>
      <c r="D282" s="62">
        <v>1</v>
      </c>
      <c r="E282" s="62">
        <v>14</v>
      </c>
      <c r="F282" s="62">
        <v>114</v>
      </c>
      <c r="G282" s="62">
        <v>56</v>
      </c>
      <c r="H282" s="62">
        <v>14</v>
      </c>
      <c r="I282" s="62">
        <v>5</v>
      </c>
      <c r="J282" s="95">
        <v>45866</v>
      </c>
      <c r="K282" s="3">
        <v>0.71</v>
      </c>
      <c r="L282" s="3">
        <v>5.37</v>
      </c>
      <c r="M282" s="44">
        <v>30</v>
      </c>
    </row>
    <row r="283" spans="1:13" x14ac:dyDescent="0.35">
      <c r="A283" s="62" t="s">
        <v>33</v>
      </c>
      <c r="B283" s="62" t="s">
        <v>30</v>
      </c>
      <c r="C283" s="62">
        <v>4</v>
      </c>
      <c r="D283" s="62">
        <v>1</v>
      </c>
      <c r="E283" s="62">
        <v>15</v>
      </c>
      <c r="F283" s="62">
        <v>115</v>
      </c>
      <c r="G283" s="62">
        <v>57</v>
      </c>
      <c r="H283" s="62">
        <v>15</v>
      </c>
      <c r="I283" s="62">
        <v>5</v>
      </c>
      <c r="J283" s="95">
        <v>45866</v>
      </c>
      <c r="K283" s="3">
        <v>0.37</v>
      </c>
      <c r="L283" s="3">
        <v>6.73</v>
      </c>
    </row>
    <row r="284" spans="1:13" x14ac:dyDescent="0.35">
      <c r="A284" s="62" t="s">
        <v>33</v>
      </c>
      <c r="B284" s="62" t="s">
        <v>34</v>
      </c>
      <c r="C284" s="62">
        <v>4</v>
      </c>
      <c r="D284" s="62">
        <v>2</v>
      </c>
      <c r="E284" s="62">
        <v>15</v>
      </c>
      <c r="F284" s="62">
        <v>215</v>
      </c>
      <c r="G284" s="62">
        <v>58</v>
      </c>
      <c r="H284" s="62">
        <v>18</v>
      </c>
      <c r="I284" s="62">
        <v>5</v>
      </c>
      <c r="J284" s="95">
        <v>45866</v>
      </c>
      <c r="K284" s="3">
        <v>0.39</v>
      </c>
      <c r="L284" s="3">
        <v>2.95</v>
      </c>
    </row>
    <row r="285" spans="1:13" x14ac:dyDescent="0.35">
      <c r="A285" s="62" t="s">
        <v>33</v>
      </c>
      <c r="B285" s="62" t="s">
        <v>29</v>
      </c>
      <c r="C285" s="62">
        <v>4</v>
      </c>
      <c r="D285" s="62">
        <v>3</v>
      </c>
      <c r="E285" s="62">
        <v>15</v>
      </c>
      <c r="F285" s="62">
        <v>315</v>
      </c>
      <c r="G285" s="62">
        <v>59</v>
      </c>
      <c r="H285" s="62">
        <v>47</v>
      </c>
      <c r="I285" s="62">
        <v>5</v>
      </c>
      <c r="J285" s="95">
        <v>45866</v>
      </c>
      <c r="K285" s="3">
        <v>0.42</v>
      </c>
      <c r="L285" s="3">
        <v>4.22</v>
      </c>
    </row>
    <row r="286" spans="1:13" x14ac:dyDescent="0.35">
      <c r="A286" s="62" t="s">
        <v>33</v>
      </c>
      <c r="B286" s="62" t="s">
        <v>35</v>
      </c>
      <c r="C286" s="62">
        <v>4</v>
      </c>
      <c r="D286" s="62">
        <v>4</v>
      </c>
      <c r="E286" s="62">
        <v>15</v>
      </c>
      <c r="F286" s="62">
        <v>415</v>
      </c>
      <c r="G286" s="62">
        <v>60</v>
      </c>
      <c r="H286" s="62">
        <v>50</v>
      </c>
      <c r="I286" s="62">
        <v>5</v>
      </c>
      <c r="J286" s="95">
        <v>45866</v>
      </c>
      <c r="K286" s="3">
        <v>0.52</v>
      </c>
      <c r="L286" s="3">
        <v>3.59</v>
      </c>
    </row>
    <row r="287" spans="1:13" x14ac:dyDescent="0.35">
      <c r="A287" s="62" t="s">
        <v>33</v>
      </c>
      <c r="B287" s="62" t="s">
        <v>35</v>
      </c>
      <c r="C287" s="62">
        <v>4</v>
      </c>
      <c r="D287" s="62">
        <v>4</v>
      </c>
      <c r="E287" s="62">
        <v>16</v>
      </c>
      <c r="F287" s="62">
        <v>416</v>
      </c>
      <c r="G287" s="62">
        <v>61</v>
      </c>
      <c r="H287" s="62">
        <v>49</v>
      </c>
      <c r="I287" s="62">
        <v>5</v>
      </c>
      <c r="J287" s="95">
        <v>45866</v>
      </c>
      <c r="K287" s="3">
        <v>0.47</v>
      </c>
      <c r="L287" s="3">
        <v>7.03</v>
      </c>
      <c r="M287" s="44">
        <v>18</v>
      </c>
    </row>
    <row r="288" spans="1:13" x14ac:dyDescent="0.35">
      <c r="A288" s="62" t="s">
        <v>33</v>
      </c>
      <c r="B288" s="62" t="s">
        <v>29</v>
      </c>
      <c r="C288" s="62">
        <v>4</v>
      </c>
      <c r="D288" s="62">
        <v>3</v>
      </c>
      <c r="E288" s="62">
        <v>16</v>
      </c>
      <c r="F288" s="62">
        <v>316</v>
      </c>
      <c r="G288" s="62">
        <v>62</v>
      </c>
      <c r="H288" s="62">
        <v>48</v>
      </c>
      <c r="I288" s="62">
        <v>5</v>
      </c>
      <c r="J288" s="95">
        <v>45866</v>
      </c>
      <c r="K288" s="3">
        <v>0.4</v>
      </c>
      <c r="L288" s="3">
        <v>7.58</v>
      </c>
      <c r="M288" s="44">
        <v>18</v>
      </c>
    </row>
    <row r="289" spans="1:14" x14ac:dyDescent="0.35">
      <c r="A289" s="62" t="s">
        <v>33</v>
      </c>
      <c r="B289" s="62" t="s">
        <v>34</v>
      </c>
      <c r="C289" s="62">
        <v>4</v>
      </c>
      <c r="D289" s="62">
        <v>2</v>
      </c>
      <c r="E289" s="62">
        <v>16</v>
      </c>
      <c r="F289" s="62">
        <v>216</v>
      </c>
      <c r="G289" s="62">
        <v>63</v>
      </c>
      <c r="H289" s="62">
        <v>17</v>
      </c>
      <c r="I289" s="62">
        <v>5</v>
      </c>
      <c r="J289" s="95">
        <v>45866</v>
      </c>
      <c r="K289" s="3">
        <v>0.39</v>
      </c>
      <c r="L289" s="3">
        <v>9.86</v>
      </c>
      <c r="M289" s="44">
        <v>21</v>
      </c>
    </row>
    <row r="290" spans="1:14" x14ac:dyDescent="0.35">
      <c r="A290" s="62" t="s">
        <v>33</v>
      </c>
      <c r="B290" s="62" t="s">
        <v>30</v>
      </c>
      <c r="C290" s="62">
        <v>4</v>
      </c>
      <c r="D290" s="62">
        <v>1</v>
      </c>
      <c r="E290" s="62">
        <v>16</v>
      </c>
      <c r="F290" s="62">
        <v>116</v>
      </c>
      <c r="G290" s="62">
        <v>64</v>
      </c>
      <c r="H290" s="62">
        <v>16</v>
      </c>
      <c r="I290" s="62">
        <v>5</v>
      </c>
      <c r="J290" s="95">
        <v>45866</v>
      </c>
      <c r="K290" s="3">
        <v>0.37</v>
      </c>
      <c r="L290" s="3">
        <v>5.58</v>
      </c>
      <c r="M290" s="44">
        <v>21</v>
      </c>
    </row>
    <row r="291" spans="1:14" x14ac:dyDescent="0.35">
      <c r="A291" s="62" t="s">
        <v>28</v>
      </c>
      <c r="B291" s="62" t="s">
        <v>29</v>
      </c>
      <c r="C291" s="62">
        <v>1</v>
      </c>
      <c r="D291" s="62">
        <v>1</v>
      </c>
      <c r="E291" s="62">
        <v>1</v>
      </c>
      <c r="F291" s="62">
        <v>101</v>
      </c>
      <c r="G291" s="62">
        <v>1</v>
      </c>
      <c r="H291" s="62">
        <v>1</v>
      </c>
      <c r="I291" s="62">
        <v>6</v>
      </c>
      <c r="J291" s="95">
        <v>45880</v>
      </c>
      <c r="K291" s="3">
        <v>0.78</v>
      </c>
      <c r="L291" s="3">
        <v>3.07</v>
      </c>
    </row>
    <row r="292" spans="1:14" x14ac:dyDescent="0.35">
      <c r="A292" s="62" t="s">
        <v>28</v>
      </c>
      <c r="B292" s="62" t="s">
        <v>30</v>
      </c>
      <c r="C292" s="62">
        <v>1</v>
      </c>
      <c r="D292" s="62">
        <v>2</v>
      </c>
      <c r="E292" s="62">
        <v>1</v>
      </c>
      <c r="F292" s="62">
        <v>201</v>
      </c>
      <c r="G292" s="62">
        <v>2</v>
      </c>
      <c r="H292" s="62">
        <v>32</v>
      </c>
      <c r="I292" s="62">
        <v>6</v>
      </c>
      <c r="J292" s="95">
        <v>45880</v>
      </c>
      <c r="K292" s="3">
        <v>0.73</v>
      </c>
      <c r="L292" s="3">
        <v>3.57</v>
      </c>
    </row>
    <row r="293" spans="1:14" x14ac:dyDescent="0.35">
      <c r="A293" s="62" t="s">
        <v>28</v>
      </c>
      <c r="B293" s="62" t="s">
        <v>31</v>
      </c>
      <c r="C293" s="62">
        <v>1</v>
      </c>
      <c r="D293" s="62">
        <v>3</v>
      </c>
      <c r="E293" s="62">
        <v>1</v>
      </c>
      <c r="F293" s="62">
        <v>301</v>
      </c>
      <c r="G293" s="62">
        <v>3</v>
      </c>
      <c r="H293" s="62">
        <v>33</v>
      </c>
      <c r="I293" s="62">
        <v>6</v>
      </c>
      <c r="J293" s="95">
        <v>45880</v>
      </c>
      <c r="K293" s="3">
        <v>0.68</v>
      </c>
      <c r="L293" s="3">
        <v>7.49</v>
      </c>
    </row>
    <row r="294" spans="1:14" x14ac:dyDescent="0.35">
      <c r="A294" s="62" t="s">
        <v>28</v>
      </c>
      <c r="B294" s="62" t="s">
        <v>32</v>
      </c>
      <c r="C294" s="62">
        <v>1</v>
      </c>
      <c r="D294" s="62">
        <v>4</v>
      </c>
      <c r="E294" s="62">
        <v>1</v>
      </c>
      <c r="F294" s="62">
        <v>401</v>
      </c>
      <c r="G294" s="62">
        <v>4</v>
      </c>
      <c r="H294" s="62">
        <v>64</v>
      </c>
      <c r="I294" s="62">
        <v>6</v>
      </c>
      <c r="J294" s="95">
        <v>45880</v>
      </c>
      <c r="K294" s="3">
        <v>0.7</v>
      </c>
      <c r="L294" s="3">
        <v>4.1100000000000003</v>
      </c>
    </row>
    <row r="295" spans="1:14" x14ac:dyDescent="0.35">
      <c r="A295" s="62" t="s">
        <v>28</v>
      </c>
      <c r="B295" s="62" t="s">
        <v>32</v>
      </c>
      <c r="C295" s="62">
        <v>1</v>
      </c>
      <c r="D295" s="62">
        <v>4</v>
      </c>
      <c r="E295" s="62">
        <v>2</v>
      </c>
      <c r="F295" s="62">
        <v>402</v>
      </c>
      <c r="G295" s="62">
        <v>5</v>
      </c>
      <c r="H295" s="62">
        <v>63</v>
      </c>
      <c r="I295" s="62">
        <v>6</v>
      </c>
      <c r="J295" s="95">
        <v>45880</v>
      </c>
      <c r="K295" s="3">
        <v>0.56999999999999995</v>
      </c>
      <c r="L295" s="3">
        <v>10.23</v>
      </c>
      <c r="M295" s="44">
        <v>27</v>
      </c>
    </row>
    <row r="296" spans="1:14" x14ac:dyDescent="0.35">
      <c r="A296" s="62" t="s">
        <v>28</v>
      </c>
      <c r="B296" s="62" t="s">
        <v>31</v>
      </c>
      <c r="C296" s="62">
        <v>1</v>
      </c>
      <c r="D296" s="62">
        <v>3</v>
      </c>
      <c r="E296" s="62">
        <v>2</v>
      </c>
      <c r="F296" s="62">
        <v>302</v>
      </c>
      <c r="G296" s="62">
        <v>6</v>
      </c>
      <c r="H296" s="62">
        <v>34</v>
      </c>
      <c r="I296" s="62">
        <v>6</v>
      </c>
      <c r="J296" s="95">
        <v>45880</v>
      </c>
      <c r="K296" s="3">
        <v>0.68</v>
      </c>
      <c r="L296" s="3">
        <v>4.3899999999999997</v>
      </c>
      <c r="M296" s="44">
        <v>40</v>
      </c>
    </row>
    <row r="297" spans="1:14" x14ac:dyDescent="0.35">
      <c r="A297" s="62" t="s">
        <v>28</v>
      </c>
      <c r="B297" s="62" t="s">
        <v>30</v>
      </c>
      <c r="C297" s="62">
        <v>1</v>
      </c>
      <c r="D297" s="62">
        <v>2</v>
      </c>
      <c r="E297" s="62">
        <v>2</v>
      </c>
      <c r="F297" s="62">
        <v>202</v>
      </c>
      <c r="G297" s="62">
        <v>7</v>
      </c>
      <c r="H297" s="62">
        <v>31</v>
      </c>
      <c r="I297" s="62">
        <v>6</v>
      </c>
      <c r="J297" s="95">
        <v>45880</v>
      </c>
      <c r="K297" s="3">
        <v>0.72</v>
      </c>
      <c r="L297" s="3">
        <v>3.73</v>
      </c>
      <c r="M297" s="44">
        <v>44</v>
      </c>
    </row>
    <row r="298" spans="1:14" x14ac:dyDescent="0.35">
      <c r="A298" s="62" t="s">
        <v>28</v>
      </c>
      <c r="B298" s="62" t="s">
        <v>29</v>
      </c>
      <c r="C298" s="62">
        <v>1</v>
      </c>
      <c r="D298" s="62">
        <v>1</v>
      </c>
      <c r="E298" s="62">
        <v>2</v>
      </c>
      <c r="F298" s="62">
        <v>102</v>
      </c>
      <c r="G298" s="62">
        <v>8</v>
      </c>
      <c r="H298" s="62">
        <v>2</v>
      </c>
      <c r="I298" s="62">
        <v>6</v>
      </c>
      <c r="J298" s="95">
        <v>45880</v>
      </c>
      <c r="K298" s="3">
        <v>0.73</v>
      </c>
      <c r="L298" s="3">
        <v>4.22</v>
      </c>
      <c r="M298" s="44">
        <v>43</v>
      </c>
    </row>
    <row r="299" spans="1:14" x14ac:dyDescent="0.35">
      <c r="A299" s="62" t="s">
        <v>33</v>
      </c>
      <c r="B299" s="62" t="s">
        <v>34</v>
      </c>
      <c r="C299" s="62">
        <v>1</v>
      </c>
      <c r="D299" s="62">
        <v>1</v>
      </c>
      <c r="E299" s="62">
        <v>3</v>
      </c>
      <c r="F299" s="62">
        <v>103</v>
      </c>
      <c r="G299" s="62">
        <v>9</v>
      </c>
      <c r="H299" s="62">
        <v>3</v>
      </c>
      <c r="I299" s="62">
        <v>6</v>
      </c>
      <c r="J299" s="95">
        <v>45880</v>
      </c>
      <c r="K299" s="3">
        <v>0.55000000000000004</v>
      </c>
      <c r="L299" s="3">
        <v>11.92</v>
      </c>
    </row>
    <row r="300" spans="1:14" x14ac:dyDescent="0.35">
      <c r="A300" s="62" t="s">
        <v>33</v>
      </c>
      <c r="B300" s="62" t="s">
        <v>30</v>
      </c>
      <c r="C300" s="62">
        <v>1</v>
      </c>
      <c r="D300" s="62">
        <v>2</v>
      </c>
      <c r="E300" s="62">
        <v>3</v>
      </c>
      <c r="F300" s="62">
        <v>203</v>
      </c>
      <c r="G300" s="62">
        <v>10</v>
      </c>
      <c r="H300" s="62">
        <v>30</v>
      </c>
      <c r="I300" s="62">
        <v>6</v>
      </c>
      <c r="J300" s="95">
        <v>45880</v>
      </c>
      <c r="K300" s="3">
        <v>0.62</v>
      </c>
      <c r="L300" s="3">
        <v>8.36</v>
      </c>
    </row>
    <row r="301" spans="1:14" x14ac:dyDescent="0.35">
      <c r="A301" s="62" t="s">
        <v>33</v>
      </c>
      <c r="B301" s="62" t="s">
        <v>35</v>
      </c>
      <c r="C301" s="62">
        <v>1</v>
      </c>
      <c r="D301" s="62">
        <v>3</v>
      </c>
      <c r="E301" s="62">
        <v>3</v>
      </c>
      <c r="F301" s="62">
        <v>303</v>
      </c>
      <c r="G301" s="62">
        <v>11</v>
      </c>
      <c r="H301" s="62">
        <v>35</v>
      </c>
      <c r="I301" s="62">
        <v>6</v>
      </c>
      <c r="J301" s="95">
        <v>45880</v>
      </c>
      <c r="K301" s="3">
        <v>0.55000000000000004</v>
      </c>
      <c r="L301" s="3">
        <v>6.75</v>
      </c>
    </row>
    <row r="302" spans="1:14" x14ac:dyDescent="0.35">
      <c r="A302" s="62" t="s">
        <v>33</v>
      </c>
      <c r="B302" s="62" t="s">
        <v>29</v>
      </c>
      <c r="C302" s="62">
        <v>1</v>
      </c>
      <c r="D302" s="62">
        <v>4</v>
      </c>
      <c r="E302" s="62">
        <v>3</v>
      </c>
      <c r="F302" s="62">
        <v>403</v>
      </c>
      <c r="G302" s="62">
        <v>12</v>
      </c>
      <c r="H302" s="62">
        <v>62</v>
      </c>
      <c r="I302" s="62">
        <v>6</v>
      </c>
      <c r="J302" s="95">
        <v>45880</v>
      </c>
      <c r="K302" s="3">
        <v>0.63</v>
      </c>
      <c r="L302" s="3">
        <v>4.04</v>
      </c>
    </row>
    <row r="303" spans="1:14" x14ac:dyDescent="0.35">
      <c r="A303" s="62" t="s">
        <v>33</v>
      </c>
      <c r="B303" s="62" t="s">
        <v>29</v>
      </c>
      <c r="C303" s="62">
        <v>1</v>
      </c>
      <c r="D303" s="62">
        <v>4</v>
      </c>
      <c r="E303" s="62">
        <v>4</v>
      </c>
      <c r="F303" s="62">
        <v>404</v>
      </c>
      <c r="G303" s="62">
        <v>13</v>
      </c>
      <c r="H303" s="62">
        <v>61</v>
      </c>
      <c r="I303" s="62">
        <v>6</v>
      </c>
      <c r="J303" s="95">
        <v>45880</v>
      </c>
      <c r="K303" s="3">
        <v>0.56000000000000005</v>
      </c>
      <c r="L303" s="3">
        <v>6.31</v>
      </c>
      <c r="M303" s="44">
        <v>30</v>
      </c>
      <c r="N303" s="44"/>
    </row>
    <row r="304" spans="1:14" x14ac:dyDescent="0.35">
      <c r="A304" s="62" t="s">
        <v>33</v>
      </c>
      <c r="B304" s="62" t="s">
        <v>35</v>
      </c>
      <c r="C304" s="62">
        <v>1</v>
      </c>
      <c r="D304" s="62">
        <v>3</v>
      </c>
      <c r="E304" s="62">
        <v>4</v>
      </c>
      <c r="F304" s="62">
        <v>304</v>
      </c>
      <c r="G304" s="62">
        <v>14</v>
      </c>
      <c r="H304" s="62">
        <v>36</v>
      </c>
      <c r="I304" s="62">
        <v>6</v>
      </c>
      <c r="J304" s="95">
        <v>45880</v>
      </c>
      <c r="K304" s="3">
        <v>0.51</v>
      </c>
      <c r="L304" s="3">
        <v>6.88</v>
      </c>
      <c r="M304" s="44">
        <v>25</v>
      </c>
      <c r="N304" s="44"/>
    </row>
    <row r="305" spans="1:14" x14ac:dyDescent="0.35">
      <c r="A305" s="62" t="s">
        <v>33</v>
      </c>
      <c r="B305" s="62" t="s">
        <v>30</v>
      </c>
      <c r="C305" s="62">
        <v>1</v>
      </c>
      <c r="D305" s="62">
        <v>2</v>
      </c>
      <c r="E305" s="62">
        <v>4</v>
      </c>
      <c r="F305" s="62">
        <v>204</v>
      </c>
      <c r="G305" s="62">
        <v>15</v>
      </c>
      <c r="H305" s="62">
        <v>29</v>
      </c>
      <c r="I305" s="62">
        <v>6</v>
      </c>
      <c r="J305" s="95">
        <v>45880</v>
      </c>
      <c r="K305" s="3">
        <v>0.59</v>
      </c>
      <c r="L305" s="3">
        <v>5.28</v>
      </c>
      <c r="M305" s="44">
        <v>31</v>
      </c>
      <c r="N305" s="44"/>
    </row>
    <row r="306" spans="1:14" x14ac:dyDescent="0.35">
      <c r="A306" s="62" t="s">
        <v>33</v>
      </c>
      <c r="B306" s="62" t="s">
        <v>34</v>
      </c>
      <c r="C306" s="62">
        <v>1</v>
      </c>
      <c r="D306" s="62">
        <v>1</v>
      </c>
      <c r="E306" s="62">
        <v>4</v>
      </c>
      <c r="F306" s="62">
        <v>104</v>
      </c>
      <c r="G306" s="62">
        <v>16</v>
      </c>
      <c r="H306" s="62">
        <v>4</v>
      </c>
      <c r="I306" s="62">
        <v>6</v>
      </c>
      <c r="J306" s="95">
        <v>45880</v>
      </c>
      <c r="K306" s="3">
        <v>0.52</v>
      </c>
      <c r="L306" s="3">
        <v>7.65</v>
      </c>
      <c r="M306" s="44">
        <v>35</v>
      </c>
      <c r="N306" s="44"/>
    </row>
    <row r="307" spans="1:14" x14ac:dyDescent="0.35">
      <c r="A307" s="62" t="s">
        <v>28</v>
      </c>
      <c r="B307" s="62" t="s">
        <v>31</v>
      </c>
      <c r="C307" s="62">
        <v>2</v>
      </c>
      <c r="D307" s="62">
        <v>1</v>
      </c>
      <c r="E307" s="62">
        <v>5</v>
      </c>
      <c r="F307" s="62">
        <v>105</v>
      </c>
      <c r="G307" s="62">
        <v>17</v>
      </c>
      <c r="H307" s="62">
        <v>5</v>
      </c>
      <c r="I307" s="62">
        <v>6</v>
      </c>
      <c r="J307" s="95">
        <v>45880</v>
      </c>
      <c r="K307" s="3">
        <v>0.79</v>
      </c>
      <c r="L307" s="3">
        <v>2.89</v>
      </c>
    </row>
    <row r="308" spans="1:14" x14ac:dyDescent="0.35">
      <c r="A308" s="62" t="s">
        <v>28</v>
      </c>
      <c r="B308" s="62" t="s">
        <v>32</v>
      </c>
      <c r="C308" s="62">
        <v>2</v>
      </c>
      <c r="D308" s="62">
        <v>2</v>
      </c>
      <c r="E308" s="62">
        <v>5</v>
      </c>
      <c r="F308" s="62">
        <v>205</v>
      </c>
      <c r="G308" s="62">
        <v>18</v>
      </c>
      <c r="H308" s="62">
        <v>28</v>
      </c>
      <c r="I308" s="62">
        <v>6</v>
      </c>
      <c r="J308" s="95">
        <v>45880</v>
      </c>
      <c r="K308" s="3">
        <v>0.75</v>
      </c>
      <c r="L308" s="3">
        <v>3.21</v>
      </c>
    </row>
    <row r="309" spans="1:14" x14ac:dyDescent="0.35">
      <c r="A309" s="62" t="s">
        <v>28</v>
      </c>
      <c r="B309" s="62" t="s">
        <v>30</v>
      </c>
      <c r="C309" s="62">
        <v>2</v>
      </c>
      <c r="D309" s="62">
        <v>3</v>
      </c>
      <c r="E309" s="62">
        <v>5</v>
      </c>
      <c r="F309" s="62">
        <v>305</v>
      </c>
      <c r="G309" s="62">
        <v>19</v>
      </c>
      <c r="H309" s="62">
        <v>37</v>
      </c>
      <c r="I309" s="62">
        <v>6</v>
      </c>
      <c r="J309" s="95">
        <v>45880</v>
      </c>
      <c r="K309" s="3">
        <v>0.65</v>
      </c>
      <c r="L309" s="3">
        <v>5.48</v>
      </c>
    </row>
    <row r="310" spans="1:14" x14ac:dyDescent="0.35">
      <c r="A310" s="62" t="s">
        <v>28</v>
      </c>
      <c r="B310" s="62" t="s">
        <v>29</v>
      </c>
      <c r="C310" s="62">
        <v>2</v>
      </c>
      <c r="D310" s="62">
        <v>4</v>
      </c>
      <c r="E310" s="62">
        <v>5</v>
      </c>
      <c r="F310" s="62">
        <v>405</v>
      </c>
      <c r="G310" s="62">
        <v>20</v>
      </c>
      <c r="H310" s="62">
        <v>60</v>
      </c>
      <c r="I310" s="62">
        <v>6</v>
      </c>
      <c r="J310" s="95">
        <v>45880</v>
      </c>
      <c r="K310" s="3">
        <v>0.69</v>
      </c>
      <c r="L310" s="3">
        <v>6.5</v>
      </c>
    </row>
    <row r="311" spans="1:14" x14ac:dyDescent="0.35">
      <c r="A311" s="62" t="s">
        <v>28</v>
      </c>
      <c r="B311" s="62" t="s">
        <v>29</v>
      </c>
      <c r="C311" s="62">
        <v>2</v>
      </c>
      <c r="D311" s="62">
        <v>4</v>
      </c>
      <c r="E311" s="62">
        <v>6</v>
      </c>
      <c r="F311" s="62">
        <v>406</v>
      </c>
      <c r="G311" s="62">
        <v>21</v>
      </c>
      <c r="H311" s="62">
        <v>59</v>
      </c>
      <c r="I311" s="62">
        <v>6</v>
      </c>
      <c r="J311" s="95">
        <v>45880</v>
      </c>
      <c r="K311" s="3">
        <v>0.67</v>
      </c>
      <c r="L311" s="3">
        <v>5.07</v>
      </c>
      <c r="M311" s="44">
        <v>41</v>
      </c>
    </row>
    <row r="312" spans="1:14" x14ac:dyDescent="0.35">
      <c r="A312" s="62" t="s">
        <v>28</v>
      </c>
      <c r="B312" s="62" t="s">
        <v>30</v>
      </c>
      <c r="C312" s="62">
        <v>2</v>
      </c>
      <c r="D312" s="62">
        <v>3</v>
      </c>
      <c r="E312" s="62">
        <v>6</v>
      </c>
      <c r="F312" s="62">
        <v>306</v>
      </c>
      <c r="G312" s="62">
        <v>22</v>
      </c>
      <c r="H312" s="62">
        <v>38</v>
      </c>
      <c r="I312" s="62">
        <v>6</v>
      </c>
      <c r="J312" s="95">
        <v>45880</v>
      </c>
      <c r="K312" s="3">
        <v>0.61</v>
      </c>
      <c r="L312" s="3">
        <v>5.8</v>
      </c>
      <c r="M312" s="44">
        <v>31</v>
      </c>
    </row>
    <row r="313" spans="1:14" x14ac:dyDescent="0.35">
      <c r="A313" s="62" t="s">
        <v>28</v>
      </c>
      <c r="B313" s="62" t="s">
        <v>32</v>
      </c>
      <c r="C313" s="62">
        <v>2</v>
      </c>
      <c r="D313" s="62">
        <v>2</v>
      </c>
      <c r="E313" s="62">
        <v>6</v>
      </c>
      <c r="F313" s="62">
        <v>206</v>
      </c>
      <c r="G313" s="62">
        <v>23</v>
      </c>
      <c r="H313" s="62">
        <v>27</v>
      </c>
      <c r="I313" s="62">
        <v>6</v>
      </c>
      <c r="J313" s="95">
        <v>45880</v>
      </c>
      <c r="K313" s="3">
        <v>0.72</v>
      </c>
      <c r="L313" s="3">
        <v>5.07</v>
      </c>
      <c r="M313" s="44">
        <v>27</v>
      </c>
    </row>
    <row r="314" spans="1:14" x14ac:dyDescent="0.35">
      <c r="A314" s="62" t="s">
        <v>28</v>
      </c>
      <c r="B314" s="62" t="s">
        <v>31</v>
      </c>
      <c r="C314" s="62">
        <v>2</v>
      </c>
      <c r="D314" s="62">
        <v>1</v>
      </c>
      <c r="E314" s="62">
        <v>6</v>
      </c>
      <c r="F314" s="62">
        <v>106</v>
      </c>
      <c r="G314" s="62">
        <v>24</v>
      </c>
      <c r="H314" s="62">
        <v>6</v>
      </c>
      <c r="I314" s="62">
        <v>6</v>
      </c>
      <c r="J314" s="95">
        <v>45880</v>
      </c>
      <c r="K314" s="3">
        <v>0.77</v>
      </c>
      <c r="L314" s="3">
        <v>4.1900000000000004</v>
      </c>
      <c r="M314" s="44">
        <v>44</v>
      </c>
    </row>
    <row r="315" spans="1:14" x14ac:dyDescent="0.35">
      <c r="A315" s="62" t="s">
        <v>33</v>
      </c>
      <c r="B315" s="62" t="s">
        <v>35</v>
      </c>
      <c r="C315" s="62">
        <v>2</v>
      </c>
      <c r="D315" s="62">
        <v>1</v>
      </c>
      <c r="E315" s="62">
        <v>7</v>
      </c>
      <c r="F315" s="62">
        <v>107</v>
      </c>
      <c r="G315" s="62">
        <v>25</v>
      </c>
      <c r="H315" s="62">
        <v>7</v>
      </c>
      <c r="I315" s="62">
        <v>6</v>
      </c>
      <c r="J315" s="95">
        <v>45880</v>
      </c>
      <c r="K315" s="3">
        <v>0.61</v>
      </c>
      <c r="L315" s="3">
        <v>5.24</v>
      </c>
    </row>
    <row r="316" spans="1:14" x14ac:dyDescent="0.35">
      <c r="A316" s="62" t="s">
        <v>33</v>
      </c>
      <c r="B316" s="62" t="s">
        <v>29</v>
      </c>
      <c r="C316" s="62">
        <v>2</v>
      </c>
      <c r="D316" s="62">
        <v>2</v>
      </c>
      <c r="E316" s="62">
        <v>7</v>
      </c>
      <c r="F316" s="62">
        <v>207</v>
      </c>
      <c r="G316" s="62">
        <v>26</v>
      </c>
      <c r="H316" s="62">
        <v>26</v>
      </c>
      <c r="I316" s="62">
        <v>6</v>
      </c>
      <c r="J316" s="95">
        <v>45880</v>
      </c>
      <c r="K316" s="3">
        <v>0.66</v>
      </c>
      <c r="L316" s="3">
        <v>5.76</v>
      </c>
    </row>
    <row r="317" spans="1:14" x14ac:dyDescent="0.35">
      <c r="A317" s="62" t="s">
        <v>33</v>
      </c>
      <c r="B317" s="62" t="s">
        <v>30</v>
      </c>
      <c r="C317" s="62">
        <v>2</v>
      </c>
      <c r="D317" s="62">
        <v>3</v>
      </c>
      <c r="E317" s="62">
        <v>7</v>
      </c>
      <c r="F317" s="62">
        <v>307</v>
      </c>
      <c r="G317" s="62">
        <v>27</v>
      </c>
      <c r="H317" s="62">
        <v>39</v>
      </c>
      <c r="I317" s="62">
        <v>6</v>
      </c>
      <c r="J317" s="95">
        <v>45880</v>
      </c>
      <c r="K317" s="3">
        <v>0.46</v>
      </c>
      <c r="L317" s="3">
        <v>7.25</v>
      </c>
    </row>
    <row r="318" spans="1:14" x14ac:dyDescent="0.35">
      <c r="A318" s="62" t="s">
        <v>33</v>
      </c>
      <c r="B318" s="62" t="s">
        <v>34</v>
      </c>
      <c r="C318" s="62">
        <v>2</v>
      </c>
      <c r="D318" s="62">
        <v>4</v>
      </c>
      <c r="E318" s="62">
        <v>7</v>
      </c>
      <c r="F318" s="62">
        <v>407</v>
      </c>
      <c r="G318" s="62">
        <v>28</v>
      </c>
      <c r="H318" s="62">
        <v>58</v>
      </c>
      <c r="I318" s="62">
        <v>6</v>
      </c>
      <c r="J318" s="95">
        <v>45880</v>
      </c>
      <c r="K318" s="3">
        <v>0.59</v>
      </c>
      <c r="L318" s="3">
        <v>5.69</v>
      </c>
    </row>
    <row r="319" spans="1:14" x14ac:dyDescent="0.35">
      <c r="A319" s="62" t="s">
        <v>33</v>
      </c>
      <c r="B319" s="62" t="s">
        <v>34</v>
      </c>
      <c r="C319" s="62">
        <v>2</v>
      </c>
      <c r="D319" s="62">
        <v>4</v>
      </c>
      <c r="E319" s="62">
        <v>8</v>
      </c>
      <c r="F319" s="62">
        <v>408</v>
      </c>
      <c r="G319" s="62">
        <v>29</v>
      </c>
      <c r="H319" s="62">
        <v>57</v>
      </c>
      <c r="I319" s="62">
        <v>6</v>
      </c>
      <c r="J319" s="95">
        <v>45880</v>
      </c>
      <c r="K319" s="3">
        <v>0.62</v>
      </c>
      <c r="L319" s="3">
        <v>6.98</v>
      </c>
      <c r="M319" s="44">
        <v>28</v>
      </c>
    </row>
    <row r="320" spans="1:14" x14ac:dyDescent="0.35">
      <c r="A320" s="62" t="s">
        <v>33</v>
      </c>
      <c r="B320" s="62" t="s">
        <v>30</v>
      </c>
      <c r="C320" s="62">
        <v>2</v>
      </c>
      <c r="D320" s="62">
        <v>3</v>
      </c>
      <c r="E320" s="62">
        <v>8</v>
      </c>
      <c r="F320" s="62">
        <v>308</v>
      </c>
      <c r="G320" s="62">
        <v>30</v>
      </c>
      <c r="H320" s="62">
        <v>40</v>
      </c>
      <c r="I320" s="62">
        <v>6</v>
      </c>
      <c r="J320" s="95">
        <v>45880</v>
      </c>
      <c r="K320" s="3">
        <v>0.45</v>
      </c>
      <c r="L320" s="3">
        <v>4.95</v>
      </c>
      <c r="M320" s="44">
        <v>25</v>
      </c>
    </row>
    <row r="321" spans="1:17" x14ac:dyDescent="0.35">
      <c r="A321" s="62" t="s">
        <v>33</v>
      </c>
      <c r="B321" s="62" t="s">
        <v>29</v>
      </c>
      <c r="C321" s="62">
        <v>2</v>
      </c>
      <c r="D321" s="62">
        <v>2</v>
      </c>
      <c r="E321" s="62">
        <v>8</v>
      </c>
      <c r="F321" s="62">
        <v>208</v>
      </c>
      <c r="G321" s="62">
        <v>31</v>
      </c>
      <c r="H321" s="62">
        <v>25</v>
      </c>
      <c r="I321" s="62">
        <v>6</v>
      </c>
      <c r="J321" s="95">
        <v>45880</v>
      </c>
      <c r="K321" s="3">
        <v>0.6</v>
      </c>
      <c r="L321" s="3">
        <v>4.17</v>
      </c>
      <c r="M321" s="44">
        <v>29</v>
      </c>
    </row>
    <row r="322" spans="1:17" x14ac:dyDescent="0.35">
      <c r="A322" s="62" t="s">
        <v>33</v>
      </c>
      <c r="B322" s="62" t="s">
        <v>35</v>
      </c>
      <c r="C322" s="62">
        <v>2</v>
      </c>
      <c r="D322" s="62">
        <v>1</v>
      </c>
      <c r="E322" s="62">
        <v>8</v>
      </c>
      <c r="F322" s="62">
        <v>108</v>
      </c>
      <c r="G322" s="62">
        <v>32</v>
      </c>
      <c r="H322" s="62">
        <v>8</v>
      </c>
      <c r="I322" s="62">
        <v>6</v>
      </c>
      <c r="J322" s="95">
        <v>45880</v>
      </c>
      <c r="K322" s="3">
        <v>0.56999999999999995</v>
      </c>
      <c r="L322" s="3">
        <v>5.61</v>
      </c>
      <c r="M322" s="44">
        <v>31</v>
      </c>
      <c r="P322" s="44"/>
      <c r="Q322" s="44"/>
    </row>
    <row r="323" spans="1:17" x14ac:dyDescent="0.35">
      <c r="A323" s="62" t="s">
        <v>28</v>
      </c>
      <c r="B323" s="62" t="s">
        <v>32</v>
      </c>
      <c r="C323" s="62">
        <v>3</v>
      </c>
      <c r="D323" s="62">
        <v>1</v>
      </c>
      <c r="E323" s="62">
        <v>9</v>
      </c>
      <c r="F323" s="62">
        <v>109</v>
      </c>
      <c r="G323" s="62">
        <v>33</v>
      </c>
      <c r="H323" s="62">
        <v>9</v>
      </c>
      <c r="I323" s="62">
        <v>6</v>
      </c>
      <c r="J323" s="95">
        <v>45880</v>
      </c>
      <c r="K323" s="3">
        <v>0.76</v>
      </c>
      <c r="L323" s="3">
        <v>3.02</v>
      </c>
      <c r="P323" s="44"/>
      <c r="Q323" s="44"/>
    </row>
    <row r="324" spans="1:17" x14ac:dyDescent="0.35">
      <c r="A324" s="62" t="s">
        <v>28</v>
      </c>
      <c r="B324" s="62" t="s">
        <v>31</v>
      </c>
      <c r="C324" s="62">
        <v>3</v>
      </c>
      <c r="D324" s="62">
        <v>2</v>
      </c>
      <c r="E324" s="62">
        <v>9</v>
      </c>
      <c r="F324" s="62">
        <v>209</v>
      </c>
      <c r="G324" s="62">
        <v>34</v>
      </c>
      <c r="H324" s="62">
        <v>24</v>
      </c>
      <c r="I324" s="62">
        <v>6</v>
      </c>
      <c r="J324" s="95">
        <v>45880</v>
      </c>
      <c r="K324" s="3">
        <v>0.8</v>
      </c>
      <c r="L324" s="3">
        <v>2.64</v>
      </c>
      <c r="P324" s="44"/>
      <c r="Q324" s="44"/>
    </row>
    <row r="325" spans="1:17" x14ac:dyDescent="0.35">
      <c r="A325" s="62" t="s">
        <v>28</v>
      </c>
      <c r="B325" s="62" t="s">
        <v>29</v>
      </c>
      <c r="C325" s="62">
        <v>3</v>
      </c>
      <c r="D325" s="62">
        <v>3</v>
      </c>
      <c r="E325" s="62">
        <v>9</v>
      </c>
      <c r="F325" s="62">
        <v>309</v>
      </c>
      <c r="G325" s="62">
        <v>35</v>
      </c>
      <c r="H325" s="62">
        <v>41</v>
      </c>
      <c r="I325" s="62">
        <v>6</v>
      </c>
      <c r="J325" s="95">
        <v>45880</v>
      </c>
      <c r="K325" s="3">
        <v>0.63</v>
      </c>
      <c r="L325" s="3">
        <v>8.69</v>
      </c>
      <c r="P325" s="44"/>
      <c r="Q325" s="44"/>
    </row>
    <row r="326" spans="1:17" x14ac:dyDescent="0.35">
      <c r="A326" s="62" t="s">
        <v>28</v>
      </c>
      <c r="B326" s="62" t="s">
        <v>30</v>
      </c>
      <c r="C326" s="62">
        <v>3</v>
      </c>
      <c r="D326" s="62">
        <v>4</v>
      </c>
      <c r="E326" s="62">
        <v>9</v>
      </c>
      <c r="F326" s="62">
        <v>409</v>
      </c>
      <c r="G326" s="62">
        <v>36</v>
      </c>
      <c r="H326" s="62">
        <v>56</v>
      </c>
      <c r="I326" s="62">
        <v>6</v>
      </c>
      <c r="J326" s="95">
        <v>45880</v>
      </c>
      <c r="K326" s="3">
        <v>0.74</v>
      </c>
      <c r="L326" s="3">
        <v>4.76</v>
      </c>
      <c r="P326" s="44"/>
      <c r="Q326" s="44"/>
    </row>
    <row r="327" spans="1:17" x14ac:dyDescent="0.35">
      <c r="A327" s="62" t="s">
        <v>28</v>
      </c>
      <c r="B327" s="62" t="s">
        <v>30</v>
      </c>
      <c r="C327" s="62">
        <v>3</v>
      </c>
      <c r="D327" s="62">
        <v>4</v>
      </c>
      <c r="E327" s="62">
        <v>10</v>
      </c>
      <c r="F327" s="62">
        <v>410</v>
      </c>
      <c r="G327" s="62">
        <v>37</v>
      </c>
      <c r="H327" s="62">
        <v>55</v>
      </c>
      <c r="I327" s="62">
        <v>6</v>
      </c>
      <c r="J327" s="95">
        <v>45880</v>
      </c>
      <c r="K327" s="3">
        <v>0.66</v>
      </c>
      <c r="L327" s="3">
        <v>4.33</v>
      </c>
      <c r="M327" s="44">
        <v>45</v>
      </c>
      <c r="P327" s="44"/>
      <c r="Q327" s="44"/>
    </row>
    <row r="328" spans="1:17" x14ac:dyDescent="0.35">
      <c r="A328" s="62" t="s">
        <v>28</v>
      </c>
      <c r="B328" s="62" t="s">
        <v>29</v>
      </c>
      <c r="C328" s="62">
        <v>3</v>
      </c>
      <c r="D328" s="62">
        <v>3</v>
      </c>
      <c r="E328" s="62">
        <v>10</v>
      </c>
      <c r="F328" s="62">
        <v>310</v>
      </c>
      <c r="G328" s="62">
        <v>38</v>
      </c>
      <c r="H328" s="62">
        <v>42</v>
      </c>
      <c r="I328" s="62">
        <v>6</v>
      </c>
      <c r="J328" s="95">
        <v>45880</v>
      </c>
      <c r="K328" s="3">
        <v>0.56000000000000005</v>
      </c>
      <c r="L328" s="3">
        <v>9.56</v>
      </c>
      <c r="M328" s="44">
        <v>33</v>
      </c>
      <c r="P328" s="44"/>
      <c r="Q328" s="44"/>
    </row>
    <row r="329" spans="1:17" x14ac:dyDescent="0.35">
      <c r="A329" s="62" t="s">
        <v>28</v>
      </c>
      <c r="B329" s="62" t="s">
        <v>31</v>
      </c>
      <c r="C329" s="62">
        <v>3</v>
      </c>
      <c r="D329" s="62">
        <v>2</v>
      </c>
      <c r="E329" s="62">
        <v>10</v>
      </c>
      <c r="F329" s="62">
        <v>210</v>
      </c>
      <c r="G329" s="62">
        <v>39</v>
      </c>
      <c r="H329" s="62">
        <v>23</v>
      </c>
      <c r="I329" s="62">
        <v>6</v>
      </c>
      <c r="J329" s="95">
        <v>45880</v>
      </c>
      <c r="K329" s="3">
        <v>0.75</v>
      </c>
      <c r="L329" s="3">
        <v>4.87</v>
      </c>
      <c r="M329" s="44">
        <v>39</v>
      </c>
      <c r="P329" s="44"/>
      <c r="Q329" s="44"/>
    </row>
    <row r="330" spans="1:17" x14ac:dyDescent="0.35">
      <c r="A330" s="62" t="s">
        <v>28</v>
      </c>
      <c r="B330" s="62" t="s">
        <v>32</v>
      </c>
      <c r="C330" s="62">
        <v>3</v>
      </c>
      <c r="D330" s="62">
        <v>1</v>
      </c>
      <c r="E330" s="62">
        <v>10</v>
      </c>
      <c r="F330" s="62">
        <v>110</v>
      </c>
      <c r="G330" s="62">
        <v>40</v>
      </c>
      <c r="H330" s="62">
        <v>10</v>
      </c>
      <c r="I330" s="62">
        <v>6</v>
      </c>
      <c r="J330" s="95">
        <v>45880</v>
      </c>
      <c r="K330" s="3">
        <v>0.73</v>
      </c>
      <c r="L330" s="3">
        <v>4.42</v>
      </c>
      <c r="M330" s="44">
        <v>25</v>
      </c>
      <c r="P330" s="44"/>
      <c r="Q330" s="44"/>
    </row>
    <row r="331" spans="1:17" x14ac:dyDescent="0.35">
      <c r="A331" s="62" t="s">
        <v>33</v>
      </c>
      <c r="B331" s="62" t="s">
        <v>29</v>
      </c>
      <c r="C331" s="62">
        <v>3</v>
      </c>
      <c r="D331" s="62">
        <v>1</v>
      </c>
      <c r="E331" s="62">
        <v>11</v>
      </c>
      <c r="F331" s="62">
        <v>111</v>
      </c>
      <c r="G331" s="62">
        <v>41</v>
      </c>
      <c r="H331" s="62">
        <v>11</v>
      </c>
      <c r="I331" s="62">
        <v>6</v>
      </c>
      <c r="J331" s="95">
        <v>45880</v>
      </c>
      <c r="K331" s="3">
        <v>0.49</v>
      </c>
      <c r="L331" s="3">
        <v>7.89</v>
      </c>
      <c r="P331" s="44"/>
      <c r="Q331" s="44"/>
    </row>
    <row r="332" spans="1:17" x14ac:dyDescent="0.35">
      <c r="A332" s="62" t="s">
        <v>33</v>
      </c>
      <c r="B332" s="62" t="s">
        <v>35</v>
      </c>
      <c r="C332" s="62">
        <v>3</v>
      </c>
      <c r="D332" s="62">
        <v>2</v>
      </c>
      <c r="E332" s="62">
        <v>11</v>
      </c>
      <c r="F332" s="62">
        <v>211</v>
      </c>
      <c r="G332" s="62">
        <v>42</v>
      </c>
      <c r="H332" s="62">
        <v>22</v>
      </c>
      <c r="I332" s="62">
        <v>6</v>
      </c>
      <c r="J332" s="95">
        <v>45880</v>
      </c>
      <c r="K332" s="3">
        <v>0.7</v>
      </c>
      <c r="L332" s="3">
        <v>3.79</v>
      </c>
      <c r="P332" s="44"/>
      <c r="Q332" s="44"/>
    </row>
    <row r="333" spans="1:17" x14ac:dyDescent="0.35">
      <c r="A333" s="62" t="s">
        <v>33</v>
      </c>
      <c r="B333" s="62" t="s">
        <v>34</v>
      </c>
      <c r="C333" s="62">
        <v>3</v>
      </c>
      <c r="D333" s="62">
        <v>3</v>
      </c>
      <c r="E333" s="62">
        <v>11</v>
      </c>
      <c r="F333" s="62">
        <v>311</v>
      </c>
      <c r="G333" s="62">
        <v>43</v>
      </c>
      <c r="H333" s="62">
        <v>43</v>
      </c>
      <c r="I333" s="62">
        <v>6</v>
      </c>
      <c r="J333" s="95">
        <v>45880</v>
      </c>
      <c r="K333" s="3">
        <v>0.5</v>
      </c>
      <c r="L333" s="3">
        <v>9.25</v>
      </c>
      <c r="P333" s="44"/>
      <c r="Q333" s="44"/>
    </row>
    <row r="334" spans="1:17" x14ac:dyDescent="0.35">
      <c r="A334" s="62" t="s">
        <v>33</v>
      </c>
      <c r="B334" s="62" t="s">
        <v>30</v>
      </c>
      <c r="C334" s="62">
        <v>3</v>
      </c>
      <c r="D334" s="62">
        <v>4</v>
      </c>
      <c r="E334" s="62">
        <v>11</v>
      </c>
      <c r="F334" s="62">
        <v>411</v>
      </c>
      <c r="G334" s="62">
        <v>44</v>
      </c>
      <c r="H334" s="62">
        <v>54</v>
      </c>
      <c r="I334" s="62">
        <v>6</v>
      </c>
      <c r="J334" s="95">
        <v>45880</v>
      </c>
      <c r="K334" s="3">
        <v>0.56999999999999995</v>
      </c>
      <c r="L334" s="3">
        <v>8.81</v>
      </c>
      <c r="P334" s="44"/>
      <c r="Q334" s="44"/>
    </row>
    <row r="335" spans="1:17" x14ac:dyDescent="0.35">
      <c r="A335" s="62" t="s">
        <v>33</v>
      </c>
      <c r="B335" s="62" t="s">
        <v>30</v>
      </c>
      <c r="C335" s="62">
        <v>3</v>
      </c>
      <c r="D335" s="62">
        <v>4</v>
      </c>
      <c r="E335" s="62">
        <v>12</v>
      </c>
      <c r="F335" s="62">
        <v>412</v>
      </c>
      <c r="G335" s="62">
        <v>45</v>
      </c>
      <c r="H335" s="62">
        <v>53</v>
      </c>
      <c r="I335" s="62">
        <v>6</v>
      </c>
      <c r="J335" s="95">
        <v>45880</v>
      </c>
      <c r="K335" s="3">
        <v>0.52</v>
      </c>
      <c r="L335" s="3">
        <v>4.09</v>
      </c>
      <c r="M335" s="44">
        <v>24</v>
      </c>
      <c r="P335" s="44"/>
      <c r="Q335" s="44"/>
    </row>
    <row r="336" spans="1:17" x14ac:dyDescent="0.35">
      <c r="A336" s="62" t="s">
        <v>33</v>
      </c>
      <c r="B336" s="62" t="s">
        <v>34</v>
      </c>
      <c r="C336" s="62">
        <v>3</v>
      </c>
      <c r="D336" s="62">
        <v>3</v>
      </c>
      <c r="E336" s="62">
        <v>12</v>
      </c>
      <c r="F336" s="62">
        <v>312</v>
      </c>
      <c r="G336" s="62">
        <v>46</v>
      </c>
      <c r="H336" s="62">
        <v>44</v>
      </c>
      <c r="I336" s="62">
        <v>6</v>
      </c>
      <c r="J336" s="95">
        <v>45880</v>
      </c>
      <c r="K336" s="3">
        <v>0.44</v>
      </c>
      <c r="L336" s="3">
        <v>7.09</v>
      </c>
      <c r="M336" s="44">
        <v>33</v>
      </c>
      <c r="P336" s="44"/>
      <c r="Q336" s="44"/>
    </row>
    <row r="337" spans="1:17" x14ac:dyDescent="0.35">
      <c r="A337" s="62" t="s">
        <v>33</v>
      </c>
      <c r="B337" s="62" t="s">
        <v>35</v>
      </c>
      <c r="C337" s="62">
        <v>3</v>
      </c>
      <c r="D337" s="62">
        <v>2</v>
      </c>
      <c r="E337" s="62">
        <v>12</v>
      </c>
      <c r="F337" s="62">
        <v>212</v>
      </c>
      <c r="G337" s="62">
        <v>47</v>
      </c>
      <c r="H337" s="62">
        <v>21</v>
      </c>
      <c r="I337" s="62">
        <v>6</v>
      </c>
      <c r="J337" s="95">
        <v>45880</v>
      </c>
      <c r="K337" s="3">
        <v>0.57999999999999996</v>
      </c>
      <c r="L337" s="3">
        <v>6.26</v>
      </c>
      <c r="M337" s="44">
        <v>23</v>
      </c>
      <c r="P337" s="44"/>
      <c r="Q337" s="44"/>
    </row>
    <row r="338" spans="1:17" x14ac:dyDescent="0.35">
      <c r="A338" s="62" t="s">
        <v>33</v>
      </c>
      <c r="B338" s="62" t="s">
        <v>29</v>
      </c>
      <c r="C338" s="62">
        <v>3</v>
      </c>
      <c r="D338" s="62">
        <v>1</v>
      </c>
      <c r="E338" s="62">
        <v>12</v>
      </c>
      <c r="F338" s="62">
        <v>112</v>
      </c>
      <c r="G338" s="62">
        <v>48</v>
      </c>
      <c r="H338" s="62">
        <v>12</v>
      </c>
      <c r="I338" s="62">
        <v>6</v>
      </c>
      <c r="J338" s="95">
        <v>45880</v>
      </c>
      <c r="K338" s="3">
        <v>0.45</v>
      </c>
      <c r="L338" s="3">
        <v>8.61</v>
      </c>
      <c r="M338" s="44">
        <v>27</v>
      </c>
      <c r="P338" s="44"/>
      <c r="Q338" s="44"/>
    </row>
    <row r="339" spans="1:17" x14ac:dyDescent="0.35">
      <c r="A339" s="62" t="s">
        <v>28</v>
      </c>
      <c r="B339" s="62" t="s">
        <v>30</v>
      </c>
      <c r="C339" s="62">
        <v>4</v>
      </c>
      <c r="D339" s="62">
        <v>1</v>
      </c>
      <c r="E339" s="62">
        <v>13</v>
      </c>
      <c r="F339" s="62">
        <v>113</v>
      </c>
      <c r="G339" s="62">
        <v>49</v>
      </c>
      <c r="H339" s="62">
        <v>13</v>
      </c>
      <c r="I339" s="62">
        <v>6</v>
      </c>
      <c r="J339" s="95">
        <v>45880</v>
      </c>
      <c r="K339" s="3">
        <v>0.77</v>
      </c>
      <c r="L339" s="3">
        <v>4.55</v>
      </c>
      <c r="P339" s="44"/>
      <c r="Q339" s="44"/>
    </row>
    <row r="340" spans="1:17" x14ac:dyDescent="0.35">
      <c r="A340" s="62" t="s">
        <v>28</v>
      </c>
      <c r="B340" s="62" t="s">
        <v>29</v>
      </c>
      <c r="C340" s="62">
        <v>4</v>
      </c>
      <c r="D340" s="62">
        <v>2</v>
      </c>
      <c r="E340" s="62">
        <v>13</v>
      </c>
      <c r="F340" s="62">
        <v>213</v>
      </c>
      <c r="G340" s="62">
        <v>50</v>
      </c>
      <c r="H340" s="62">
        <v>20</v>
      </c>
      <c r="I340" s="62">
        <v>6</v>
      </c>
      <c r="J340" s="95">
        <v>45880</v>
      </c>
      <c r="K340" s="3">
        <v>0.77</v>
      </c>
      <c r="L340" s="3">
        <v>2.5499999999999998</v>
      </c>
      <c r="P340" s="44"/>
      <c r="Q340" s="44"/>
    </row>
    <row r="341" spans="1:17" x14ac:dyDescent="0.35">
      <c r="A341" s="62" t="s">
        <v>28</v>
      </c>
      <c r="B341" s="62" t="s">
        <v>32</v>
      </c>
      <c r="C341" s="62">
        <v>4</v>
      </c>
      <c r="D341" s="62">
        <v>3</v>
      </c>
      <c r="E341" s="62">
        <v>13</v>
      </c>
      <c r="F341" s="62">
        <v>313</v>
      </c>
      <c r="G341" s="62">
        <v>51</v>
      </c>
      <c r="H341" s="62">
        <v>45</v>
      </c>
      <c r="I341" s="62">
        <v>6</v>
      </c>
      <c r="J341" s="95">
        <v>45880</v>
      </c>
      <c r="K341" s="3">
        <v>0.67</v>
      </c>
      <c r="L341" s="3">
        <v>6.32</v>
      </c>
      <c r="P341" s="44"/>
      <c r="Q341" s="44"/>
    </row>
    <row r="342" spans="1:17" x14ac:dyDescent="0.35">
      <c r="A342" s="62" t="s">
        <v>28</v>
      </c>
      <c r="B342" s="62" t="s">
        <v>31</v>
      </c>
      <c r="C342" s="62">
        <v>4</v>
      </c>
      <c r="D342" s="62">
        <v>4</v>
      </c>
      <c r="E342" s="62">
        <v>13</v>
      </c>
      <c r="F342" s="62">
        <v>413</v>
      </c>
      <c r="G342" s="62">
        <v>52</v>
      </c>
      <c r="H342" s="62">
        <v>52</v>
      </c>
      <c r="I342" s="62">
        <v>6</v>
      </c>
      <c r="J342" s="95">
        <v>45880</v>
      </c>
      <c r="K342" s="3">
        <v>0.75</v>
      </c>
      <c r="L342" s="3">
        <v>5.41</v>
      </c>
      <c r="P342" s="44"/>
      <c r="Q342" s="44"/>
    </row>
    <row r="343" spans="1:17" x14ac:dyDescent="0.35">
      <c r="A343" s="62" t="s">
        <v>28</v>
      </c>
      <c r="B343" s="62" t="s">
        <v>31</v>
      </c>
      <c r="C343" s="62">
        <v>4</v>
      </c>
      <c r="D343" s="62">
        <v>4</v>
      </c>
      <c r="E343" s="62">
        <v>14</v>
      </c>
      <c r="F343" s="62">
        <v>414</v>
      </c>
      <c r="G343" s="62">
        <v>53</v>
      </c>
      <c r="H343" s="62">
        <v>51</v>
      </c>
      <c r="I343" s="62">
        <v>6</v>
      </c>
      <c r="J343" s="95">
        <v>45880</v>
      </c>
      <c r="K343" s="3">
        <v>0.69</v>
      </c>
      <c r="L343" s="3">
        <v>4.13</v>
      </c>
      <c r="M343" s="44">
        <v>39</v>
      </c>
      <c r="P343" s="44"/>
      <c r="Q343" s="44"/>
    </row>
    <row r="344" spans="1:17" x14ac:dyDescent="0.35">
      <c r="A344" s="62" t="s">
        <v>28</v>
      </c>
      <c r="B344" s="62" t="s">
        <v>32</v>
      </c>
      <c r="C344" s="62">
        <v>4</v>
      </c>
      <c r="D344" s="62">
        <v>3</v>
      </c>
      <c r="E344" s="62">
        <v>14</v>
      </c>
      <c r="F344" s="62">
        <v>314</v>
      </c>
      <c r="G344" s="62">
        <v>54</v>
      </c>
      <c r="H344" s="62">
        <v>46</v>
      </c>
      <c r="I344" s="62">
        <v>6</v>
      </c>
      <c r="J344" s="95">
        <v>45880</v>
      </c>
      <c r="K344" s="3">
        <v>0.63</v>
      </c>
      <c r="L344" s="3">
        <v>7.84</v>
      </c>
      <c r="M344" s="44">
        <v>23</v>
      </c>
      <c r="P344" s="44"/>
      <c r="Q344" s="44"/>
    </row>
    <row r="345" spans="1:17" x14ac:dyDescent="0.35">
      <c r="A345" s="62" t="s">
        <v>28</v>
      </c>
      <c r="B345" s="62" t="s">
        <v>29</v>
      </c>
      <c r="C345" s="62">
        <v>4</v>
      </c>
      <c r="D345" s="62">
        <v>2</v>
      </c>
      <c r="E345" s="62">
        <v>14</v>
      </c>
      <c r="F345" s="62">
        <v>214</v>
      </c>
      <c r="G345" s="62">
        <v>55</v>
      </c>
      <c r="H345" s="62">
        <v>19</v>
      </c>
      <c r="I345" s="62">
        <v>6</v>
      </c>
      <c r="J345" s="95">
        <v>45880</v>
      </c>
      <c r="K345" s="3">
        <v>0.7</v>
      </c>
      <c r="L345" s="3">
        <v>5.9</v>
      </c>
      <c r="M345" s="44">
        <v>39</v>
      </c>
      <c r="P345" s="44"/>
      <c r="Q345" s="44"/>
    </row>
    <row r="346" spans="1:17" x14ac:dyDescent="0.35">
      <c r="A346" s="62" t="s">
        <v>28</v>
      </c>
      <c r="B346" s="62" t="s">
        <v>30</v>
      </c>
      <c r="C346" s="62">
        <v>4</v>
      </c>
      <c r="D346" s="62">
        <v>1</v>
      </c>
      <c r="E346" s="62">
        <v>14</v>
      </c>
      <c r="F346" s="62">
        <v>114</v>
      </c>
      <c r="G346" s="62">
        <v>56</v>
      </c>
      <c r="H346" s="62">
        <v>14</v>
      </c>
      <c r="I346" s="62">
        <v>6</v>
      </c>
      <c r="J346" s="95">
        <v>45880</v>
      </c>
      <c r="K346" s="3">
        <v>0.75</v>
      </c>
      <c r="L346" s="3">
        <v>3.67</v>
      </c>
      <c r="M346" s="44">
        <v>36</v>
      </c>
      <c r="P346" s="44"/>
      <c r="Q346" s="44"/>
    </row>
    <row r="347" spans="1:17" x14ac:dyDescent="0.35">
      <c r="A347" s="62" t="s">
        <v>33</v>
      </c>
      <c r="B347" s="62" t="s">
        <v>30</v>
      </c>
      <c r="C347" s="62">
        <v>4</v>
      </c>
      <c r="D347" s="62">
        <v>1</v>
      </c>
      <c r="E347" s="62">
        <v>15</v>
      </c>
      <c r="F347" s="62">
        <v>115</v>
      </c>
      <c r="G347" s="62">
        <v>57</v>
      </c>
      <c r="H347" s="62">
        <v>15</v>
      </c>
      <c r="I347" s="62">
        <v>6</v>
      </c>
      <c r="J347" s="95">
        <v>45880</v>
      </c>
      <c r="K347" s="3">
        <v>0.53</v>
      </c>
      <c r="L347" s="3">
        <v>4.25</v>
      </c>
      <c r="P347" s="44"/>
      <c r="Q347" s="44"/>
    </row>
    <row r="348" spans="1:17" x14ac:dyDescent="0.35">
      <c r="A348" s="62" t="s">
        <v>33</v>
      </c>
      <c r="B348" s="62" t="s">
        <v>34</v>
      </c>
      <c r="C348" s="62">
        <v>4</v>
      </c>
      <c r="D348" s="62">
        <v>2</v>
      </c>
      <c r="E348" s="62">
        <v>15</v>
      </c>
      <c r="F348" s="62">
        <v>215</v>
      </c>
      <c r="G348" s="62">
        <v>58</v>
      </c>
      <c r="H348" s="62">
        <v>18</v>
      </c>
      <c r="I348" s="62">
        <v>6</v>
      </c>
      <c r="J348" s="95">
        <v>45880</v>
      </c>
      <c r="K348" s="3">
        <v>0.57999999999999996</v>
      </c>
      <c r="L348" s="3">
        <v>6.11</v>
      </c>
      <c r="P348" s="44"/>
      <c r="Q348" s="44"/>
    </row>
    <row r="349" spans="1:17" x14ac:dyDescent="0.35">
      <c r="A349" s="62" t="s">
        <v>33</v>
      </c>
      <c r="B349" s="62" t="s">
        <v>29</v>
      </c>
      <c r="C349" s="62">
        <v>4</v>
      </c>
      <c r="D349" s="62">
        <v>3</v>
      </c>
      <c r="E349" s="62">
        <v>15</v>
      </c>
      <c r="F349" s="62">
        <v>315</v>
      </c>
      <c r="G349" s="62">
        <v>59</v>
      </c>
      <c r="H349" s="62">
        <v>47</v>
      </c>
      <c r="I349" s="62">
        <v>6</v>
      </c>
      <c r="J349" s="95">
        <v>45880</v>
      </c>
      <c r="K349" s="3">
        <v>0.56000000000000005</v>
      </c>
      <c r="L349" s="3">
        <v>5.72</v>
      </c>
      <c r="P349" s="44"/>
      <c r="Q349" s="44"/>
    </row>
    <row r="350" spans="1:17" x14ac:dyDescent="0.35">
      <c r="A350" s="62" t="s">
        <v>33</v>
      </c>
      <c r="B350" s="62" t="s">
        <v>35</v>
      </c>
      <c r="C350" s="62">
        <v>4</v>
      </c>
      <c r="D350" s="62">
        <v>4</v>
      </c>
      <c r="E350" s="62">
        <v>15</v>
      </c>
      <c r="F350" s="62">
        <v>415</v>
      </c>
      <c r="G350" s="62">
        <v>60</v>
      </c>
      <c r="H350" s="62">
        <v>50</v>
      </c>
      <c r="I350" s="62">
        <v>6</v>
      </c>
      <c r="J350" s="95">
        <v>45880</v>
      </c>
      <c r="K350" s="3">
        <v>0.65</v>
      </c>
      <c r="L350" s="3">
        <v>5.91</v>
      </c>
      <c r="P350" s="44"/>
      <c r="Q350" s="44"/>
    </row>
    <row r="351" spans="1:17" x14ac:dyDescent="0.35">
      <c r="A351" s="62" t="s">
        <v>33</v>
      </c>
      <c r="B351" s="62" t="s">
        <v>35</v>
      </c>
      <c r="C351" s="62">
        <v>4</v>
      </c>
      <c r="D351" s="62">
        <v>4</v>
      </c>
      <c r="E351" s="62">
        <v>16</v>
      </c>
      <c r="F351" s="62">
        <v>416</v>
      </c>
      <c r="G351" s="62">
        <v>61</v>
      </c>
      <c r="H351" s="62">
        <v>49</v>
      </c>
      <c r="I351" s="62">
        <v>6</v>
      </c>
      <c r="J351" s="95">
        <v>45880</v>
      </c>
      <c r="K351" s="3">
        <v>0.62</v>
      </c>
      <c r="L351" s="3">
        <v>4.7699999999999996</v>
      </c>
      <c r="M351" s="44">
        <v>33</v>
      </c>
      <c r="P351" s="44"/>
      <c r="Q351" s="44"/>
    </row>
    <row r="352" spans="1:17" x14ac:dyDescent="0.35">
      <c r="A352" s="62" t="s">
        <v>33</v>
      </c>
      <c r="B352" s="62" t="s">
        <v>29</v>
      </c>
      <c r="C352" s="62">
        <v>4</v>
      </c>
      <c r="D352" s="62">
        <v>3</v>
      </c>
      <c r="E352" s="62">
        <v>16</v>
      </c>
      <c r="F352" s="62">
        <v>316</v>
      </c>
      <c r="G352" s="62">
        <v>62</v>
      </c>
      <c r="H352" s="62">
        <v>48</v>
      </c>
      <c r="I352" s="62">
        <v>6</v>
      </c>
      <c r="J352" s="95">
        <v>45880</v>
      </c>
      <c r="K352" s="3">
        <v>0.49</v>
      </c>
      <c r="L352" s="3">
        <v>8.14</v>
      </c>
      <c r="M352" s="44">
        <v>24</v>
      </c>
      <c r="P352" s="44"/>
      <c r="Q352" s="44"/>
    </row>
    <row r="353" spans="1:17" x14ac:dyDescent="0.35">
      <c r="A353" s="62" t="s">
        <v>33</v>
      </c>
      <c r="B353" s="62" t="s">
        <v>34</v>
      </c>
      <c r="C353" s="62">
        <v>4</v>
      </c>
      <c r="D353" s="62">
        <v>2</v>
      </c>
      <c r="E353" s="62">
        <v>16</v>
      </c>
      <c r="F353" s="62">
        <v>216</v>
      </c>
      <c r="G353" s="62">
        <v>63</v>
      </c>
      <c r="H353" s="62">
        <v>17</v>
      </c>
      <c r="I353" s="62">
        <v>6</v>
      </c>
      <c r="J353" s="95">
        <v>45880</v>
      </c>
      <c r="K353" s="3">
        <v>0.48</v>
      </c>
      <c r="L353" s="3">
        <v>6.27</v>
      </c>
      <c r="M353" s="44">
        <v>29</v>
      </c>
      <c r="P353" s="44"/>
      <c r="Q353" s="44"/>
    </row>
    <row r="354" spans="1:17" x14ac:dyDescent="0.35">
      <c r="A354" s="62" t="s">
        <v>33</v>
      </c>
      <c r="B354" s="62" t="s">
        <v>30</v>
      </c>
      <c r="C354" s="62">
        <v>4</v>
      </c>
      <c r="D354" s="62">
        <v>1</v>
      </c>
      <c r="E354" s="62">
        <v>16</v>
      </c>
      <c r="F354" s="62">
        <v>116</v>
      </c>
      <c r="G354" s="62">
        <v>64</v>
      </c>
      <c r="H354" s="62">
        <v>16</v>
      </c>
      <c r="I354" s="62">
        <v>6</v>
      </c>
      <c r="J354" s="95">
        <v>45880</v>
      </c>
      <c r="K354" s="3">
        <v>0.5</v>
      </c>
      <c r="L354" s="3">
        <v>6.82</v>
      </c>
      <c r="M354" s="44">
        <v>28</v>
      </c>
    </row>
    <row r="355" spans="1:17" x14ac:dyDescent="0.35">
      <c r="A355" s="62" t="s">
        <v>28</v>
      </c>
      <c r="B355" s="62" t="s">
        <v>29</v>
      </c>
      <c r="C355" s="62">
        <v>1</v>
      </c>
      <c r="D355" s="62">
        <v>1</v>
      </c>
      <c r="E355" s="62">
        <v>1</v>
      </c>
      <c r="F355" s="62">
        <v>101</v>
      </c>
      <c r="G355" s="62">
        <v>1</v>
      </c>
      <c r="H355" s="62">
        <v>1</v>
      </c>
      <c r="I355" s="62">
        <v>7</v>
      </c>
      <c r="J355" s="95">
        <v>45899</v>
      </c>
      <c r="K355" s="3">
        <v>0.81</v>
      </c>
      <c r="L355" s="3">
        <v>3.83</v>
      </c>
    </row>
    <row r="356" spans="1:17" x14ac:dyDescent="0.35">
      <c r="A356" s="62" t="s">
        <v>28</v>
      </c>
      <c r="B356" s="62" t="s">
        <v>30</v>
      </c>
      <c r="C356" s="62">
        <v>1</v>
      </c>
      <c r="D356" s="62">
        <v>2</v>
      </c>
      <c r="E356" s="62">
        <v>1</v>
      </c>
      <c r="F356" s="62">
        <v>201</v>
      </c>
      <c r="G356" s="62">
        <v>2</v>
      </c>
      <c r="H356" s="62">
        <v>32</v>
      </c>
      <c r="I356" s="62">
        <v>7</v>
      </c>
      <c r="J356" s="95">
        <v>45899</v>
      </c>
      <c r="K356" s="3">
        <v>0.8</v>
      </c>
      <c r="L356" s="3">
        <v>3.2</v>
      </c>
    </row>
    <row r="357" spans="1:17" x14ac:dyDescent="0.35">
      <c r="A357" s="62" t="s">
        <v>28</v>
      </c>
      <c r="B357" s="62" t="s">
        <v>31</v>
      </c>
      <c r="C357" s="62">
        <v>1</v>
      </c>
      <c r="D357" s="62">
        <v>3</v>
      </c>
      <c r="E357" s="62">
        <v>1</v>
      </c>
      <c r="F357" s="62">
        <v>301</v>
      </c>
      <c r="G357" s="62">
        <v>3</v>
      </c>
      <c r="H357" s="62">
        <v>33</v>
      </c>
      <c r="I357" s="62">
        <v>7</v>
      </c>
      <c r="J357" s="95">
        <v>45899</v>
      </c>
      <c r="K357" s="3">
        <v>0.73</v>
      </c>
      <c r="L357" s="3">
        <v>4.0599999999999996</v>
      </c>
    </row>
    <row r="358" spans="1:17" x14ac:dyDescent="0.35">
      <c r="A358" s="62" t="s">
        <v>28</v>
      </c>
      <c r="B358" s="62" t="s">
        <v>32</v>
      </c>
      <c r="C358" s="62">
        <v>1</v>
      </c>
      <c r="D358" s="62">
        <v>4</v>
      </c>
      <c r="E358" s="62">
        <v>1</v>
      </c>
      <c r="F358" s="62">
        <v>401</v>
      </c>
      <c r="G358" s="62">
        <v>4</v>
      </c>
      <c r="H358" s="62">
        <v>64</v>
      </c>
      <c r="I358" s="62">
        <v>7</v>
      </c>
      <c r="J358" s="95">
        <v>45899</v>
      </c>
      <c r="K358" s="3">
        <v>0.66</v>
      </c>
      <c r="L358" s="3">
        <v>3.23</v>
      </c>
    </row>
    <row r="359" spans="1:17" x14ac:dyDescent="0.35">
      <c r="A359" s="62" t="s">
        <v>28</v>
      </c>
      <c r="B359" s="62" t="s">
        <v>32</v>
      </c>
      <c r="C359" s="62">
        <v>1</v>
      </c>
      <c r="D359" s="62">
        <v>4</v>
      </c>
      <c r="E359" s="62">
        <v>2</v>
      </c>
      <c r="F359" s="62">
        <v>402</v>
      </c>
      <c r="G359" s="62">
        <v>5</v>
      </c>
      <c r="H359" s="62">
        <v>63</v>
      </c>
      <c r="I359" s="62">
        <v>7</v>
      </c>
      <c r="J359" s="95">
        <v>45899</v>
      </c>
      <c r="K359" s="3">
        <v>0.73</v>
      </c>
      <c r="L359" s="3">
        <v>7.24</v>
      </c>
      <c r="M359" s="44">
        <v>43</v>
      </c>
    </row>
    <row r="360" spans="1:17" x14ac:dyDescent="0.35">
      <c r="A360" s="62" t="s">
        <v>28</v>
      </c>
      <c r="B360" s="62" t="s">
        <v>31</v>
      </c>
      <c r="C360" s="62">
        <v>1</v>
      </c>
      <c r="D360" s="62">
        <v>3</v>
      </c>
      <c r="E360" s="62">
        <v>2</v>
      </c>
      <c r="F360" s="62">
        <v>302</v>
      </c>
      <c r="G360" s="62">
        <v>6</v>
      </c>
      <c r="H360" s="62">
        <v>34</v>
      </c>
      <c r="I360" s="62">
        <v>7</v>
      </c>
      <c r="J360" s="95">
        <v>45899</v>
      </c>
      <c r="K360" s="3">
        <v>0.8</v>
      </c>
      <c r="L360" s="3">
        <v>4.74</v>
      </c>
      <c r="M360" s="44">
        <v>49</v>
      </c>
    </row>
    <row r="361" spans="1:17" x14ac:dyDescent="0.35">
      <c r="A361" s="62" t="s">
        <v>28</v>
      </c>
      <c r="B361" s="62" t="s">
        <v>30</v>
      </c>
      <c r="C361" s="62">
        <v>1</v>
      </c>
      <c r="D361" s="62">
        <v>2</v>
      </c>
      <c r="E361" s="62">
        <v>2</v>
      </c>
      <c r="F361" s="62">
        <v>202</v>
      </c>
      <c r="G361" s="62">
        <v>7</v>
      </c>
      <c r="H361" s="62">
        <v>31</v>
      </c>
      <c r="I361" s="62">
        <v>7</v>
      </c>
      <c r="J361" s="95">
        <v>45899</v>
      </c>
      <c r="K361" s="3">
        <v>0.83</v>
      </c>
      <c r="L361" s="3">
        <v>3.74</v>
      </c>
      <c r="M361" s="44">
        <v>60</v>
      </c>
    </row>
    <row r="362" spans="1:17" x14ac:dyDescent="0.35">
      <c r="A362" s="62" t="s">
        <v>28</v>
      </c>
      <c r="B362" s="62" t="s">
        <v>29</v>
      </c>
      <c r="C362" s="62">
        <v>1</v>
      </c>
      <c r="D362" s="62">
        <v>1</v>
      </c>
      <c r="E362" s="62">
        <v>2</v>
      </c>
      <c r="F362" s="62">
        <v>102</v>
      </c>
      <c r="G362" s="62">
        <v>8</v>
      </c>
      <c r="H362" s="62">
        <v>2</v>
      </c>
      <c r="I362" s="62">
        <v>7</v>
      </c>
      <c r="J362" s="95">
        <v>45899</v>
      </c>
      <c r="K362" s="3">
        <v>0.83</v>
      </c>
      <c r="L362" s="3">
        <v>3.7</v>
      </c>
      <c r="M362" s="44">
        <v>57</v>
      </c>
    </row>
    <row r="363" spans="1:17" x14ac:dyDescent="0.35">
      <c r="A363" s="62" t="s">
        <v>33</v>
      </c>
      <c r="B363" s="62" t="s">
        <v>34</v>
      </c>
      <c r="C363" s="62">
        <v>1</v>
      </c>
      <c r="D363" s="62">
        <v>1</v>
      </c>
      <c r="E363" s="62">
        <v>3</v>
      </c>
      <c r="F363" s="62">
        <v>103</v>
      </c>
      <c r="G363" s="62">
        <v>9</v>
      </c>
      <c r="H363" s="62">
        <v>3</v>
      </c>
      <c r="I363" s="62">
        <v>7</v>
      </c>
      <c r="J363" s="95">
        <v>45899</v>
      </c>
      <c r="K363" s="3">
        <v>0.66</v>
      </c>
      <c r="L363" s="3">
        <v>7.41</v>
      </c>
    </row>
    <row r="364" spans="1:17" x14ac:dyDescent="0.35">
      <c r="A364" s="62" t="s">
        <v>33</v>
      </c>
      <c r="B364" s="62" t="s">
        <v>30</v>
      </c>
      <c r="C364" s="62">
        <v>1</v>
      </c>
      <c r="D364" s="62">
        <v>2</v>
      </c>
      <c r="E364" s="62">
        <v>3</v>
      </c>
      <c r="F364" s="62">
        <v>203</v>
      </c>
      <c r="G364" s="62">
        <v>10</v>
      </c>
      <c r="H364" s="62">
        <v>30</v>
      </c>
      <c r="I364" s="62">
        <v>7</v>
      </c>
      <c r="J364" s="95">
        <v>45899</v>
      </c>
      <c r="K364" s="3">
        <v>0.68</v>
      </c>
      <c r="L364" s="3">
        <v>5.41</v>
      </c>
    </row>
    <row r="365" spans="1:17" x14ac:dyDescent="0.35">
      <c r="A365" s="62" t="s">
        <v>33</v>
      </c>
      <c r="B365" s="62" t="s">
        <v>35</v>
      </c>
      <c r="C365" s="62">
        <v>1</v>
      </c>
      <c r="D365" s="62">
        <v>3</v>
      </c>
      <c r="E365" s="62">
        <v>3</v>
      </c>
      <c r="F365" s="62">
        <v>303</v>
      </c>
      <c r="G365" s="62">
        <v>11</v>
      </c>
      <c r="H365" s="62">
        <v>35</v>
      </c>
      <c r="I365" s="62">
        <v>7</v>
      </c>
      <c r="J365" s="95">
        <v>45899</v>
      </c>
      <c r="K365" s="3">
        <v>0.63</v>
      </c>
      <c r="L365" s="3">
        <v>5.38</v>
      </c>
    </row>
    <row r="366" spans="1:17" x14ac:dyDescent="0.35">
      <c r="A366" s="62" t="s">
        <v>33</v>
      </c>
      <c r="B366" s="62" t="s">
        <v>29</v>
      </c>
      <c r="C366" s="62">
        <v>1</v>
      </c>
      <c r="D366" s="62">
        <v>4</v>
      </c>
      <c r="E366" s="62">
        <v>3</v>
      </c>
      <c r="F366" s="62">
        <v>403</v>
      </c>
      <c r="G366" s="62">
        <v>12</v>
      </c>
      <c r="H366" s="62">
        <v>62</v>
      </c>
      <c r="I366" s="62">
        <v>7</v>
      </c>
      <c r="J366" s="95">
        <v>45899</v>
      </c>
      <c r="K366" s="3">
        <v>0.7</v>
      </c>
      <c r="L366" s="3">
        <v>6.24</v>
      </c>
    </row>
    <row r="367" spans="1:17" x14ac:dyDescent="0.35">
      <c r="A367" s="62" t="s">
        <v>33</v>
      </c>
      <c r="B367" s="62" t="s">
        <v>29</v>
      </c>
      <c r="C367" s="62">
        <v>1</v>
      </c>
      <c r="D367" s="62">
        <v>4</v>
      </c>
      <c r="E367" s="62">
        <v>4</v>
      </c>
      <c r="F367" s="62">
        <v>404</v>
      </c>
      <c r="G367" s="62">
        <v>13</v>
      </c>
      <c r="H367" s="62">
        <v>61</v>
      </c>
      <c r="I367" s="62">
        <v>7</v>
      </c>
      <c r="J367" s="95">
        <v>45899</v>
      </c>
      <c r="K367" s="3">
        <v>0.73</v>
      </c>
      <c r="L367" s="3">
        <v>4.18</v>
      </c>
      <c r="M367" s="44">
        <v>37</v>
      </c>
    </row>
    <row r="368" spans="1:17" x14ac:dyDescent="0.35">
      <c r="A368" s="62" t="s">
        <v>33</v>
      </c>
      <c r="B368" s="62" t="s">
        <v>35</v>
      </c>
      <c r="C368" s="62">
        <v>1</v>
      </c>
      <c r="D368" s="62">
        <v>3</v>
      </c>
      <c r="E368" s="62">
        <v>4</v>
      </c>
      <c r="F368" s="62">
        <v>304</v>
      </c>
      <c r="G368" s="62">
        <v>14</v>
      </c>
      <c r="H368" s="62">
        <v>36</v>
      </c>
      <c r="I368" s="62">
        <v>7</v>
      </c>
      <c r="J368" s="95">
        <v>45899</v>
      </c>
      <c r="K368" s="3">
        <v>0.76</v>
      </c>
      <c r="L368" s="3">
        <v>2.96</v>
      </c>
      <c r="M368" s="44">
        <v>38</v>
      </c>
    </row>
    <row r="369" spans="1:13" x14ac:dyDescent="0.35">
      <c r="A369" s="62" t="s">
        <v>33</v>
      </c>
      <c r="B369" s="62" t="s">
        <v>30</v>
      </c>
      <c r="C369" s="62">
        <v>1</v>
      </c>
      <c r="D369" s="62">
        <v>2</v>
      </c>
      <c r="E369" s="62">
        <v>4</v>
      </c>
      <c r="F369" s="62">
        <v>204</v>
      </c>
      <c r="G369" s="62">
        <v>15</v>
      </c>
      <c r="H369" s="62">
        <v>29</v>
      </c>
      <c r="I369" s="62">
        <v>7</v>
      </c>
      <c r="J369" s="95">
        <v>45899</v>
      </c>
      <c r="K369" s="3">
        <v>0.81</v>
      </c>
      <c r="L369" s="3">
        <v>2.96</v>
      </c>
      <c r="M369" s="44">
        <v>41</v>
      </c>
    </row>
    <row r="370" spans="1:13" x14ac:dyDescent="0.35">
      <c r="A370" s="62" t="s">
        <v>33</v>
      </c>
      <c r="B370" s="62" t="s">
        <v>34</v>
      </c>
      <c r="C370" s="62">
        <v>1</v>
      </c>
      <c r="D370" s="62">
        <v>1</v>
      </c>
      <c r="E370" s="62">
        <v>4</v>
      </c>
      <c r="F370" s="62">
        <v>104</v>
      </c>
      <c r="G370" s="62">
        <v>16</v>
      </c>
      <c r="H370" s="62">
        <v>4</v>
      </c>
      <c r="I370" s="62">
        <v>7</v>
      </c>
      <c r="J370" s="95">
        <v>45899</v>
      </c>
      <c r="K370" s="3">
        <v>0.75</v>
      </c>
      <c r="L370" s="3">
        <v>6.04</v>
      </c>
      <c r="M370" s="44">
        <v>45</v>
      </c>
    </row>
    <row r="371" spans="1:13" x14ac:dyDescent="0.35">
      <c r="A371" s="62" t="s">
        <v>28</v>
      </c>
      <c r="B371" s="62" t="s">
        <v>31</v>
      </c>
      <c r="C371" s="62">
        <v>2</v>
      </c>
      <c r="D371" s="62">
        <v>1</v>
      </c>
      <c r="E371" s="62">
        <v>5</v>
      </c>
      <c r="F371" s="62">
        <v>105</v>
      </c>
      <c r="G371" s="62">
        <v>17</v>
      </c>
      <c r="H371" s="62">
        <v>5</v>
      </c>
      <c r="I371" s="62">
        <v>7</v>
      </c>
      <c r="J371" s="95">
        <v>45899</v>
      </c>
      <c r="K371" s="3">
        <v>0.85</v>
      </c>
      <c r="L371" s="3">
        <v>2.95</v>
      </c>
    </row>
    <row r="372" spans="1:13" x14ac:dyDescent="0.35">
      <c r="A372" s="62" t="s">
        <v>28</v>
      </c>
      <c r="B372" s="62" t="s">
        <v>32</v>
      </c>
      <c r="C372" s="62">
        <v>2</v>
      </c>
      <c r="D372" s="62">
        <v>2</v>
      </c>
      <c r="E372" s="62">
        <v>5</v>
      </c>
      <c r="F372" s="62">
        <v>205</v>
      </c>
      <c r="G372" s="62">
        <v>18</v>
      </c>
      <c r="H372" s="62">
        <v>28</v>
      </c>
      <c r="I372" s="62">
        <v>7</v>
      </c>
      <c r="J372" s="95">
        <v>45899</v>
      </c>
      <c r="K372" s="3">
        <v>0.79</v>
      </c>
      <c r="L372" s="3">
        <v>4.13</v>
      </c>
    </row>
    <row r="373" spans="1:13" x14ac:dyDescent="0.35">
      <c r="A373" s="62" t="s">
        <v>28</v>
      </c>
      <c r="B373" s="62" t="s">
        <v>30</v>
      </c>
      <c r="C373" s="62">
        <v>2</v>
      </c>
      <c r="D373" s="62">
        <v>3</v>
      </c>
      <c r="E373" s="62">
        <v>5</v>
      </c>
      <c r="F373" s="62">
        <v>305</v>
      </c>
      <c r="G373" s="62">
        <v>19</v>
      </c>
      <c r="H373" s="62">
        <v>37</v>
      </c>
      <c r="I373" s="62">
        <v>7</v>
      </c>
      <c r="J373" s="95">
        <v>45899</v>
      </c>
      <c r="K373" s="3">
        <v>0.69</v>
      </c>
      <c r="L373" s="3">
        <v>3.94</v>
      </c>
    </row>
    <row r="374" spans="1:13" x14ac:dyDescent="0.35">
      <c r="A374" s="62" t="s">
        <v>28</v>
      </c>
      <c r="B374" s="62" t="s">
        <v>29</v>
      </c>
      <c r="C374" s="62">
        <v>2</v>
      </c>
      <c r="D374" s="62">
        <v>4</v>
      </c>
      <c r="E374" s="62">
        <v>5</v>
      </c>
      <c r="F374" s="62">
        <v>405</v>
      </c>
      <c r="G374" s="62">
        <v>20</v>
      </c>
      <c r="H374" s="62">
        <v>60</v>
      </c>
      <c r="I374" s="62">
        <v>7</v>
      </c>
      <c r="J374" s="95">
        <v>45899</v>
      </c>
      <c r="K374" s="3">
        <v>0.72</v>
      </c>
      <c r="L374" s="3">
        <v>6.12</v>
      </c>
    </row>
    <row r="375" spans="1:13" x14ac:dyDescent="0.35">
      <c r="A375" s="62" t="s">
        <v>28</v>
      </c>
      <c r="B375" s="62" t="s">
        <v>29</v>
      </c>
      <c r="C375" s="62">
        <v>2</v>
      </c>
      <c r="D375" s="62">
        <v>4</v>
      </c>
      <c r="E375" s="62">
        <v>6</v>
      </c>
      <c r="F375" s="62">
        <v>406</v>
      </c>
      <c r="G375" s="62">
        <v>21</v>
      </c>
      <c r="H375" s="62">
        <v>59</v>
      </c>
      <c r="I375" s="62">
        <v>7</v>
      </c>
      <c r="J375" s="95">
        <v>45899</v>
      </c>
      <c r="K375" s="3">
        <v>0.8</v>
      </c>
      <c r="L375" s="3">
        <v>4.83</v>
      </c>
      <c r="M375" s="44">
        <v>55</v>
      </c>
    </row>
    <row r="376" spans="1:13" x14ac:dyDescent="0.35">
      <c r="A376" s="62" t="s">
        <v>28</v>
      </c>
      <c r="B376" s="62" t="s">
        <v>30</v>
      </c>
      <c r="C376" s="62">
        <v>2</v>
      </c>
      <c r="D376" s="62">
        <v>3</v>
      </c>
      <c r="E376" s="62">
        <v>6</v>
      </c>
      <c r="F376" s="62">
        <v>306</v>
      </c>
      <c r="G376" s="62">
        <v>22</v>
      </c>
      <c r="H376" s="62">
        <v>38</v>
      </c>
      <c r="I376" s="62">
        <v>7</v>
      </c>
      <c r="J376" s="95">
        <v>45899</v>
      </c>
      <c r="K376" s="3">
        <v>0.72</v>
      </c>
      <c r="L376" s="3">
        <v>6.76</v>
      </c>
      <c r="M376" s="44">
        <v>47</v>
      </c>
    </row>
    <row r="377" spans="1:13" x14ac:dyDescent="0.35">
      <c r="A377" s="62" t="s">
        <v>28</v>
      </c>
      <c r="B377" s="62" t="s">
        <v>32</v>
      </c>
      <c r="C377" s="62">
        <v>2</v>
      </c>
      <c r="D377" s="62">
        <v>2</v>
      </c>
      <c r="E377" s="62">
        <v>6</v>
      </c>
      <c r="F377" s="62">
        <v>206</v>
      </c>
      <c r="G377" s="62">
        <v>23</v>
      </c>
      <c r="H377" s="62">
        <v>27</v>
      </c>
      <c r="I377" s="62">
        <v>7</v>
      </c>
      <c r="J377" s="95">
        <v>45899</v>
      </c>
      <c r="K377" s="3">
        <v>0.83</v>
      </c>
      <c r="L377" s="3">
        <v>2.44</v>
      </c>
      <c r="M377" s="44">
        <v>39</v>
      </c>
    </row>
    <row r="378" spans="1:13" x14ac:dyDescent="0.35">
      <c r="A378" s="62" t="s">
        <v>28</v>
      </c>
      <c r="B378" s="62" t="s">
        <v>31</v>
      </c>
      <c r="C378" s="62">
        <v>2</v>
      </c>
      <c r="D378" s="62">
        <v>1</v>
      </c>
      <c r="E378" s="62">
        <v>6</v>
      </c>
      <c r="F378" s="62">
        <v>106</v>
      </c>
      <c r="G378" s="62">
        <v>24</v>
      </c>
      <c r="H378" s="62">
        <v>6</v>
      </c>
      <c r="I378" s="62">
        <v>7</v>
      </c>
      <c r="J378" s="95">
        <v>45899</v>
      </c>
      <c r="K378" s="3">
        <v>0.88</v>
      </c>
      <c r="L378" s="3">
        <v>1.52</v>
      </c>
      <c r="M378" s="44">
        <v>54</v>
      </c>
    </row>
    <row r="379" spans="1:13" x14ac:dyDescent="0.35">
      <c r="A379" s="62" t="s">
        <v>33</v>
      </c>
      <c r="B379" s="62" t="s">
        <v>35</v>
      </c>
      <c r="C379" s="62">
        <v>2</v>
      </c>
      <c r="D379" s="62">
        <v>1</v>
      </c>
      <c r="E379" s="62">
        <v>7</v>
      </c>
      <c r="F379" s="62">
        <v>107</v>
      </c>
      <c r="G379" s="62">
        <v>25</v>
      </c>
      <c r="H379" s="62">
        <v>7</v>
      </c>
      <c r="I379" s="62">
        <v>7</v>
      </c>
      <c r="J379" s="95">
        <v>45899</v>
      </c>
      <c r="K379" s="3">
        <v>0.73</v>
      </c>
      <c r="L379" s="3">
        <v>4.87</v>
      </c>
    </row>
    <row r="380" spans="1:13" x14ac:dyDescent="0.35">
      <c r="A380" s="62" t="s">
        <v>33</v>
      </c>
      <c r="B380" s="62" t="s">
        <v>29</v>
      </c>
      <c r="C380" s="62">
        <v>2</v>
      </c>
      <c r="D380" s="62">
        <v>2</v>
      </c>
      <c r="E380" s="62">
        <v>7</v>
      </c>
      <c r="F380" s="62">
        <v>207</v>
      </c>
      <c r="G380" s="62">
        <v>26</v>
      </c>
      <c r="H380" s="62">
        <v>26</v>
      </c>
      <c r="I380" s="62">
        <v>7</v>
      </c>
      <c r="J380" s="95">
        <v>45899</v>
      </c>
      <c r="K380" s="3">
        <v>0.72</v>
      </c>
      <c r="L380" s="3">
        <v>5.98</v>
      </c>
    </row>
    <row r="381" spans="1:13" x14ac:dyDescent="0.35">
      <c r="A381" s="62" t="s">
        <v>33</v>
      </c>
      <c r="B381" s="62" t="s">
        <v>30</v>
      </c>
      <c r="C381" s="62">
        <v>2</v>
      </c>
      <c r="D381" s="62">
        <v>3</v>
      </c>
      <c r="E381" s="62">
        <v>7</v>
      </c>
      <c r="F381" s="62">
        <v>307</v>
      </c>
      <c r="G381" s="62">
        <v>27</v>
      </c>
      <c r="H381" s="62">
        <v>39</v>
      </c>
      <c r="I381" s="62">
        <v>7</v>
      </c>
      <c r="J381" s="95">
        <v>45899</v>
      </c>
      <c r="K381" s="3">
        <v>0.52</v>
      </c>
      <c r="L381" s="3">
        <v>7.61</v>
      </c>
    </row>
    <row r="382" spans="1:13" x14ac:dyDescent="0.35">
      <c r="A382" s="62" t="s">
        <v>33</v>
      </c>
      <c r="B382" s="62" t="s">
        <v>34</v>
      </c>
      <c r="C382" s="62">
        <v>2</v>
      </c>
      <c r="D382" s="62">
        <v>4</v>
      </c>
      <c r="E382" s="62">
        <v>7</v>
      </c>
      <c r="F382" s="62">
        <v>407</v>
      </c>
      <c r="G382" s="62">
        <v>28</v>
      </c>
      <c r="H382" s="62">
        <v>58</v>
      </c>
      <c r="I382" s="62">
        <v>7</v>
      </c>
      <c r="J382" s="95">
        <v>45899</v>
      </c>
      <c r="K382" s="3">
        <v>0.68</v>
      </c>
      <c r="L382" s="3">
        <v>6.09</v>
      </c>
    </row>
    <row r="383" spans="1:13" x14ac:dyDescent="0.35">
      <c r="A383" s="62" t="s">
        <v>33</v>
      </c>
      <c r="B383" s="62" t="s">
        <v>34</v>
      </c>
      <c r="C383" s="62">
        <v>2</v>
      </c>
      <c r="D383" s="62">
        <v>4</v>
      </c>
      <c r="E383" s="62">
        <v>8</v>
      </c>
      <c r="F383" s="62">
        <v>408</v>
      </c>
      <c r="G383" s="62">
        <v>29</v>
      </c>
      <c r="H383" s="62">
        <v>57</v>
      </c>
      <c r="I383" s="62">
        <v>7</v>
      </c>
      <c r="J383" s="95">
        <v>45899</v>
      </c>
      <c r="K383" s="3">
        <v>0.8</v>
      </c>
      <c r="L383" s="3">
        <v>3.2</v>
      </c>
      <c r="M383" s="44">
        <v>45</v>
      </c>
    </row>
    <row r="384" spans="1:13" x14ac:dyDescent="0.35">
      <c r="A384" s="62" t="s">
        <v>33</v>
      </c>
      <c r="B384" s="62" t="s">
        <v>30</v>
      </c>
      <c r="C384" s="62">
        <v>2</v>
      </c>
      <c r="D384" s="62">
        <v>3</v>
      </c>
      <c r="E384" s="62">
        <v>8</v>
      </c>
      <c r="F384" s="62">
        <v>308</v>
      </c>
      <c r="G384" s="62">
        <v>30</v>
      </c>
      <c r="H384" s="62">
        <v>40</v>
      </c>
      <c r="I384" s="62">
        <v>7</v>
      </c>
      <c r="J384" s="95">
        <v>45899</v>
      </c>
      <c r="K384" s="3">
        <v>0.62</v>
      </c>
      <c r="L384" s="3">
        <v>7.38</v>
      </c>
      <c r="M384" s="44">
        <v>32</v>
      </c>
    </row>
    <row r="385" spans="1:13" x14ac:dyDescent="0.35">
      <c r="A385" s="62" t="s">
        <v>33</v>
      </c>
      <c r="B385" s="62" t="s">
        <v>29</v>
      </c>
      <c r="C385" s="62">
        <v>2</v>
      </c>
      <c r="D385" s="62">
        <v>2</v>
      </c>
      <c r="E385" s="62">
        <v>8</v>
      </c>
      <c r="F385" s="62">
        <v>208</v>
      </c>
      <c r="G385" s="62">
        <v>31</v>
      </c>
      <c r="H385" s="62">
        <v>25</v>
      </c>
      <c r="I385" s="62">
        <v>7</v>
      </c>
      <c r="J385" s="95">
        <v>45899</v>
      </c>
      <c r="K385" s="3">
        <v>0.79</v>
      </c>
      <c r="L385" s="3">
        <v>3.35</v>
      </c>
      <c r="M385" s="44">
        <v>40</v>
      </c>
    </row>
    <row r="386" spans="1:13" x14ac:dyDescent="0.35">
      <c r="A386" s="62" t="s">
        <v>33</v>
      </c>
      <c r="B386" s="62" t="s">
        <v>35</v>
      </c>
      <c r="C386" s="62">
        <v>2</v>
      </c>
      <c r="D386" s="62">
        <v>1</v>
      </c>
      <c r="E386" s="62">
        <v>8</v>
      </c>
      <c r="F386" s="62">
        <v>108</v>
      </c>
      <c r="G386" s="62">
        <v>32</v>
      </c>
      <c r="H386" s="62">
        <v>8</v>
      </c>
      <c r="I386" s="62">
        <v>7</v>
      </c>
      <c r="J386" s="95">
        <v>45899</v>
      </c>
      <c r="K386" s="3">
        <v>0.79</v>
      </c>
      <c r="L386" s="3">
        <v>3.26</v>
      </c>
      <c r="M386" s="44">
        <v>40</v>
      </c>
    </row>
    <row r="387" spans="1:13" x14ac:dyDescent="0.35">
      <c r="A387" s="62" t="s">
        <v>28</v>
      </c>
      <c r="B387" s="62" t="s">
        <v>32</v>
      </c>
      <c r="C387" s="62">
        <v>3</v>
      </c>
      <c r="D387" s="62">
        <v>1</v>
      </c>
      <c r="E387" s="62">
        <v>9</v>
      </c>
      <c r="F387" s="62">
        <v>109</v>
      </c>
      <c r="G387" s="62">
        <v>33</v>
      </c>
      <c r="H387" s="62">
        <v>9</v>
      </c>
      <c r="I387" s="62">
        <v>7</v>
      </c>
      <c r="J387" s="95">
        <v>45899</v>
      </c>
      <c r="K387" s="3">
        <v>0.8</v>
      </c>
      <c r="L387" s="3">
        <v>1.73</v>
      </c>
    </row>
    <row r="388" spans="1:13" x14ac:dyDescent="0.35">
      <c r="A388" s="62" t="s">
        <v>28</v>
      </c>
      <c r="B388" s="62" t="s">
        <v>31</v>
      </c>
      <c r="C388" s="62">
        <v>3</v>
      </c>
      <c r="D388" s="62">
        <v>2</v>
      </c>
      <c r="E388" s="62">
        <v>9</v>
      </c>
      <c r="F388" s="62">
        <v>209</v>
      </c>
      <c r="G388" s="62">
        <v>34</v>
      </c>
      <c r="H388" s="62">
        <v>24</v>
      </c>
      <c r="I388" s="62">
        <v>7</v>
      </c>
      <c r="J388" s="95">
        <v>45899</v>
      </c>
      <c r="K388" s="3">
        <v>0.86</v>
      </c>
      <c r="L388" s="3">
        <v>2.46</v>
      </c>
    </row>
    <row r="389" spans="1:13" x14ac:dyDescent="0.35">
      <c r="A389" s="62" t="s">
        <v>28</v>
      </c>
      <c r="B389" s="62" t="s">
        <v>29</v>
      </c>
      <c r="C389" s="62">
        <v>3</v>
      </c>
      <c r="D389" s="62">
        <v>3</v>
      </c>
      <c r="E389" s="62">
        <v>9</v>
      </c>
      <c r="F389" s="62">
        <v>309</v>
      </c>
      <c r="G389" s="62">
        <v>35</v>
      </c>
      <c r="H389" s="62">
        <v>41</v>
      </c>
      <c r="I389" s="62">
        <v>7</v>
      </c>
      <c r="J389" s="95">
        <v>45899</v>
      </c>
      <c r="K389" s="3">
        <v>0.71</v>
      </c>
      <c r="L389" s="3">
        <v>5.97</v>
      </c>
    </row>
    <row r="390" spans="1:13" x14ac:dyDescent="0.35">
      <c r="A390" s="62" t="s">
        <v>28</v>
      </c>
      <c r="B390" s="62" t="s">
        <v>30</v>
      </c>
      <c r="C390" s="62">
        <v>3</v>
      </c>
      <c r="D390" s="62">
        <v>4</v>
      </c>
      <c r="E390" s="62">
        <v>9</v>
      </c>
      <c r="F390" s="62">
        <v>409</v>
      </c>
      <c r="G390" s="62">
        <v>36</v>
      </c>
      <c r="H390" s="62">
        <v>56</v>
      </c>
      <c r="I390" s="62">
        <v>7</v>
      </c>
      <c r="J390" s="95">
        <v>45899</v>
      </c>
      <c r="K390" s="3">
        <v>0.77</v>
      </c>
      <c r="L390" s="3">
        <v>5.17</v>
      </c>
    </row>
    <row r="391" spans="1:13" x14ac:dyDescent="0.35">
      <c r="A391" s="62" t="s">
        <v>28</v>
      </c>
      <c r="B391" s="62" t="s">
        <v>30</v>
      </c>
      <c r="C391" s="62">
        <v>3</v>
      </c>
      <c r="D391" s="62">
        <v>4</v>
      </c>
      <c r="E391" s="62">
        <v>10</v>
      </c>
      <c r="F391" s="62">
        <v>410</v>
      </c>
      <c r="G391" s="62">
        <v>37</v>
      </c>
      <c r="H391" s="62">
        <v>55</v>
      </c>
      <c r="I391" s="62">
        <v>7</v>
      </c>
      <c r="J391" s="95">
        <v>45899</v>
      </c>
      <c r="K391" s="3">
        <v>0.79</v>
      </c>
      <c r="L391" s="3">
        <v>3.51</v>
      </c>
      <c r="M391" s="44">
        <v>54</v>
      </c>
    </row>
    <row r="392" spans="1:13" x14ac:dyDescent="0.35">
      <c r="A392" s="62" t="s">
        <v>28</v>
      </c>
      <c r="B392" s="62" t="s">
        <v>29</v>
      </c>
      <c r="C392" s="62">
        <v>3</v>
      </c>
      <c r="D392" s="62">
        <v>3</v>
      </c>
      <c r="E392" s="62">
        <v>10</v>
      </c>
      <c r="F392" s="62">
        <v>310</v>
      </c>
      <c r="G392" s="62">
        <v>38</v>
      </c>
      <c r="H392" s="62">
        <v>42</v>
      </c>
      <c r="I392" s="62">
        <v>7</v>
      </c>
      <c r="J392" s="95">
        <v>45899</v>
      </c>
      <c r="K392" s="3">
        <v>0.72</v>
      </c>
      <c r="L392" s="3">
        <v>3.39</v>
      </c>
      <c r="M392" s="44">
        <v>48</v>
      </c>
    </row>
    <row r="393" spans="1:13" x14ac:dyDescent="0.35">
      <c r="A393" s="62" t="s">
        <v>28</v>
      </c>
      <c r="B393" s="62" t="s">
        <v>31</v>
      </c>
      <c r="C393" s="62">
        <v>3</v>
      </c>
      <c r="D393" s="62">
        <v>2</v>
      </c>
      <c r="E393" s="62">
        <v>10</v>
      </c>
      <c r="F393" s="62">
        <v>210</v>
      </c>
      <c r="G393" s="62">
        <v>39</v>
      </c>
      <c r="H393" s="62">
        <v>23</v>
      </c>
      <c r="I393" s="62">
        <v>7</v>
      </c>
      <c r="J393" s="95">
        <v>45899</v>
      </c>
      <c r="K393" s="3">
        <v>0.84</v>
      </c>
      <c r="L393" s="3">
        <v>10.97</v>
      </c>
      <c r="M393" s="44">
        <v>54</v>
      </c>
    </row>
    <row r="394" spans="1:13" x14ac:dyDescent="0.35">
      <c r="A394" s="62" t="s">
        <v>28</v>
      </c>
      <c r="B394" s="62" t="s">
        <v>32</v>
      </c>
      <c r="C394" s="62">
        <v>3</v>
      </c>
      <c r="D394" s="62">
        <v>1</v>
      </c>
      <c r="E394" s="62">
        <v>10</v>
      </c>
      <c r="F394" s="62">
        <v>110</v>
      </c>
      <c r="G394" s="62">
        <v>40</v>
      </c>
      <c r="H394" s="62">
        <v>10</v>
      </c>
      <c r="I394" s="62">
        <v>7</v>
      </c>
      <c r="J394" s="95">
        <v>45899</v>
      </c>
      <c r="K394" s="3">
        <v>0.82</v>
      </c>
      <c r="L394" s="3">
        <v>3.73</v>
      </c>
      <c r="M394" s="44">
        <v>38</v>
      </c>
    </row>
    <row r="395" spans="1:13" x14ac:dyDescent="0.35">
      <c r="A395" s="62" t="s">
        <v>33</v>
      </c>
      <c r="B395" s="62" t="s">
        <v>29</v>
      </c>
      <c r="C395" s="62">
        <v>3</v>
      </c>
      <c r="D395" s="62">
        <v>1</v>
      </c>
      <c r="E395" s="62">
        <v>11</v>
      </c>
      <c r="F395" s="62">
        <v>111</v>
      </c>
      <c r="G395" s="62">
        <v>41</v>
      </c>
      <c r="H395" s="62">
        <v>11</v>
      </c>
      <c r="I395" s="62">
        <v>7</v>
      </c>
      <c r="J395" s="95">
        <v>45899</v>
      </c>
      <c r="K395" s="3">
        <v>0.6</v>
      </c>
      <c r="L395" s="3">
        <v>6</v>
      </c>
    </row>
    <row r="396" spans="1:13" x14ac:dyDescent="0.35">
      <c r="A396" s="62" t="s">
        <v>33</v>
      </c>
      <c r="B396" s="62" t="s">
        <v>35</v>
      </c>
      <c r="C396" s="62">
        <v>3</v>
      </c>
      <c r="D396" s="62">
        <v>2</v>
      </c>
      <c r="E396" s="62">
        <v>11</v>
      </c>
      <c r="F396" s="62">
        <v>211</v>
      </c>
      <c r="G396" s="62">
        <v>42</v>
      </c>
      <c r="H396" s="62">
        <v>22</v>
      </c>
      <c r="I396" s="62">
        <v>7</v>
      </c>
      <c r="J396" s="95">
        <v>45899</v>
      </c>
      <c r="K396" s="3">
        <v>0.8</v>
      </c>
      <c r="L396" s="3">
        <v>3.64</v>
      </c>
    </row>
    <row r="397" spans="1:13" x14ac:dyDescent="0.35">
      <c r="A397" s="62" t="s">
        <v>33</v>
      </c>
      <c r="B397" s="62" t="s">
        <v>34</v>
      </c>
      <c r="C397" s="62">
        <v>3</v>
      </c>
      <c r="D397" s="62">
        <v>3</v>
      </c>
      <c r="E397" s="62">
        <v>11</v>
      </c>
      <c r="F397" s="62">
        <v>311</v>
      </c>
      <c r="G397" s="62">
        <v>43</v>
      </c>
      <c r="H397" s="62">
        <v>43</v>
      </c>
      <c r="I397" s="62">
        <v>7</v>
      </c>
      <c r="J397" s="95">
        <v>45899</v>
      </c>
      <c r="K397" s="3">
        <v>0.64</v>
      </c>
      <c r="L397" s="3">
        <v>7.22</v>
      </c>
    </row>
    <row r="398" spans="1:13" x14ac:dyDescent="0.35">
      <c r="A398" s="62" t="s">
        <v>33</v>
      </c>
      <c r="B398" s="62" t="s">
        <v>30</v>
      </c>
      <c r="C398" s="62">
        <v>3</v>
      </c>
      <c r="D398" s="62">
        <v>4</v>
      </c>
      <c r="E398" s="62">
        <v>11</v>
      </c>
      <c r="F398" s="62">
        <v>411</v>
      </c>
      <c r="G398" s="62">
        <v>44</v>
      </c>
      <c r="H398" s="62">
        <v>54</v>
      </c>
      <c r="I398" s="62">
        <v>7</v>
      </c>
      <c r="J398" s="95">
        <v>45899</v>
      </c>
      <c r="K398" s="3">
        <v>0.67</v>
      </c>
      <c r="L398" s="3">
        <v>2.58</v>
      </c>
    </row>
    <row r="399" spans="1:13" x14ac:dyDescent="0.35">
      <c r="A399" s="62" t="s">
        <v>33</v>
      </c>
      <c r="B399" s="62" t="s">
        <v>30</v>
      </c>
      <c r="C399" s="62">
        <v>3</v>
      </c>
      <c r="D399" s="62">
        <v>4</v>
      </c>
      <c r="E399" s="62">
        <v>12</v>
      </c>
      <c r="F399" s="62">
        <v>412</v>
      </c>
      <c r="G399" s="62">
        <v>45</v>
      </c>
      <c r="H399" s="62">
        <v>53</v>
      </c>
      <c r="I399" s="62">
        <v>7</v>
      </c>
      <c r="J399" s="95">
        <v>45899</v>
      </c>
      <c r="K399" s="3">
        <v>0.69</v>
      </c>
      <c r="L399" s="3">
        <v>4.6100000000000003</v>
      </c>
      <c r="M399" s="44">
        <v>39</v>
      </c>
    </row>
    <row r="400" spans="1:13" x14ac:dyDescent="0.35">
      <c r="A400" s="62" t="s">
        <v>33</v>
      </c>
      <c r="B400" s="62" t="s">
        <v>34</v>
      </c>
      <c r="C400" s="62">
        <v>3</v>
      </c>
      <c r="D400" s="62">
        <v>3</v>
      </c>
      <c r="E400" s="62">
        <v>12</v>
      </c>
      <c r="F400" s="62">
        <v>312</v>
      </c>
      <c r="G400" s="62">
        <v>46</v>
      </c>
      <c r="H400" s="62">
        <v>44</v>
      </c>
      <c r="I400" s="62">
        <v>7</v>
      </c>
      <c r="J400" s="95">
        <v>45899</v>
      </c>
      <c r="K400" s="3">
        <v>0.72</v>
      </c>
      <c r="L400" s="3">
        <v>7.29</v>
      </c>
      <c r="M400" s="44">
        <v>42</v>
      </c>
    </row>
    <row r="401" spans="1:13" x14ac:dyDescent="0.35">
      <c r="A401" s="62" t="s">
        <v>33</v>
      </c>
      <c r="B401" s="62" t="s">
        <v>35</v>
      </c>
      <c r="C401" s="62">
        <v>3</v>
      </c>
      <c r="D401" s="62">
        <v>2</v>
      </c>
      <c r="E401" s="62">
        <v>12</v>
      </c>
      <c r="F401" s="62">
        <v>212</v>
      </c>
      <c r="G401" s="62">
        <v>47</v>
      </c>
      <c r="H401" s="62">
        <v>21</v>
      </c>
      <c r="I401" s="62">
        <v>7</v>
      </c>
      <c r="J401" s="95">
        <v>45899</v>
      </c>
      <c r="K401" s="3">
        <v>0.8</v>
      </c>
      <c r="L401" s="3">
        <v>2.85</v>
      </c>
      <c r="M401" s="44">
        <v>34</v>
      </c>
    </row>
    <row r="402" spans="1:13" x14ac:dyDescent="0.35">
      <c r="A402" s="62" t="s">
        <v>33</v>
      </c>
      <c r="B402" s="62" t="s">
        <v>29</v>
      </c>
      <c r="C402" s="62">
        <v>3</v>
      </c>
      <c r="D402" s="62">
        <v>1</v>
      </c>
      <c r="E402" s="62">
        <v>12</v>
      </c>
      <c r="F402" s="62">
        <v>112</v>
      </c>
      <c r="G402" s="62">
        <v>48</v>
      </c>
      <c r="H402" s="62">
        <v>12</v>
      </c>
      <c r="I402" s="62">
        <v>7</v>
      </c>
      <c r="J402" s="95">
        <v>45899</v>
      </c>
      <c r="K402" s="3">
        <v>0.66</v>
      </c>
      <c r="L402" s="3">
        <v>7.64</v>
      </c>
      <c r="M402" s="44">
        <v>36</v>
      </c>
    </row>
    <row r="403" spans="1:13" x14ac:dyDescent="0.35">
      <c r="A403" s="62" t="s">
        <v>28</v>
      </c>
      <c r="B403" s="62" t="s">
        <v>30</v>
      </c>
      <c r="C403" s="62">
        <v>4</v>
      </c>
      <c r="D403" s="62">
        <v>1</v>
      </c>
      <c r="E403" s="62">
        <v>13</v>
      </c>
      <c r="F403" s="62">
        <v>113</v>
      </c>
      <c r="G403" s="62">
        <v>49</v>
      </c>
      <c r="H403" s="62">
        <v>13</v>
      </c>
      <c r="I403" s="62">
        <v>7</v>
      </c>
      <c r="J403" s="95">
        <v>45899</v>
      </c>
      <c r="K403" s="3">
        <v>0.81</v>
      </c>
      <c r="L403" s="3">
        <v>4</v>
      </c>
    </row>
    <row r="404" spans="1:13" x14ac:dyDescent="0.35">
      <c r="A404" s="62" t="s">
        <v>28</v>
      </c>
      <c r="B404" s="62" t="s">
        <v>29</v>
      </c>
      <c r="C404" s="62">
        <v>4</v>
      </c>
      <c r="D404" s="62">
        <v>2</v>
      </c>
      <c r="E404" s="62">
        <v>13</v>
      </c>
      <c r="F404" s="62">
        <v>213</v>
      </c>
      <c r="G404" s="62">
        <v>50</v>
      </c>
      <c r="H404" s="62">
        <v>20</v>
      </c>
      <c r="I404" s="62">
        <v>7</v>
      </c>
      <c r="J404" s="95">
        <v>45899</v>
      </c>
      <c r="K404" s="3">
        <v>0.82</v>
      </c>
      <c r="L404" s="3">
        <v>2.52</v>
      </c>
    </row>
    <row r="405" spans="1:13" x14ac:dyDescent="0.35">
      <c r="A405" s="62" t="s">
        <v>28</v>
      </c>
      <c r="B405" s="62" t="s">
        <v>32</v>
      </c>
      <c r="C405" s="62">
        <v>4</v>
      </c>
      <c r="D405" s="62">
        <v>3</v>
      </c>
      <c r="E405" s="62">
        <v>13</v>
      </c>
      <c r="F405" s="62">
        <v>313</v>
      </c>
      <c r="G405" s="62">
        <v>51</v>
      </c>
      <c r="H405" s="62">
        <v>45</v>
      </c>
      <c r="I405" s="62">
        <v>7</v>
      </c>
      <c r="J405" s="95">
        <v>45899</v>
      </c>
      <c r="K405" s="3">
        <v>0.72</v>
      </c>
      <c r="L405" s="3">
        <v>4</v>
      </c>
    </row>
    <row r="406" spans="1:13" x14ac:dyDescent="0.35">
      <c r="A406" s="62" t="s">
        <v>28</v>
      </c>
      <c r="B406" s="62" t="s">
        <v>31</v>
      </c>
      <c r="C406" s="62">
        <v>4</v>
      </c>
      <c r="D406" s="62">
        <v>4</v>
      </c>
      <c r="E406" s="62">
        <v>13</v>
      </c>
      <c r="F406" s="62">
        <v>413</v>
      </c>
      <c r="G406" s="62">
        <v>52</v>
      </c>
      <c r="H406" s="62">
        <v>52</v>
      </c>
      <c r="I406" s="62">
        <v>7</v>
      </c>
      <c r="J406" s="95">
        <v>45899</v>
      </c>
      <c r="K406" s="3">
        <v>0.81</v>
      </c>
      <c r="L406" s="3">
        <v>5.66</v>
      </c>
    </row>
    <row r="407" spans="1:13" x14ac:dyDescent="0.35">
      <c r="A407" s="62" t="s">
        <v>28</v>
      </c>
      <c r="B407" s="62" t="s">
        <v>31</v>
      </c>
      <c r="C407" s="62">
        <v>4</v>
      </c>
      <c r="D407" s="62">
        <v>4</v>
      </c>
      <c r="E407" s="62">
        <v>14</v>
      </c>
      <c r="F407" s="62">
        <v>414</v>
      </c>
      <c r="G407" s="62">
        <v>53</v>
      </c>
      <c r="H407" s="62">
        <v>51</v>
      </c>
      <c r="I407" s="62">
        <v>7</v>
      </c>
      <c r="J407" s="95">
        <v>45899</v>
      </c>
      <c r="K407" s="3">
        <v>0.84</v>
      </c>
      <c r="L407" s="3">
        <v>2.5</v>
      </c>
      <c r="M407" s="44">
        <v>47</v>
      </c>
    </row>
    <row r="408" spans="1:13" x14ac:dyDescent="0.35">
      <c r="A408" s="62" t="s">
        <v>28</v>
      </c>
      <c r="B408" s="62" t="s">
        <v>32</v>
      </c>
      <c r="C408" s="62">
        <v>4</v>
      </c>
      <c r="D408" s="62">
        <v>3</v>
      </c>
      <c r="E408" s="62">
        <v>14</v>
      </c>
      <c r="F408" s="62">
        <v>314</v>
      </c>
      <c r="G408" s="62">
        <v>54</v>
      </c>
      <c r="H408" s="62">
        <v>46</v>
      </c>
      <c r="I408" s="62">
        <v>7</v>
      </c>
      <c r="J408" s="95">
        <v>45899</v>
      </c>
      <c r="K408" s="3">
        <v>0.73</v>
      </c>
      <c r="L408" s="3">
        <v>3.39</v>
      </c>
      <c r="M408" s="44">
        <v>35</v>
      </c>
    </row>
    <row r="409" spans="1:13" x14ac:dyDescent="0.35">
      <c r="A409" s="62" t="s">
        <v>28</v>
      </c>
      <c r="B409" s="62" t="s">
        <v>29</v>
      </c>
      <c r="C409" s="62">
        <v>4</v>
      </c>
      <c r="D409" s="62">
        <v>2</v>
      </c>
      <c r="E409" s="62">
        <v>14</v>
      </c>
      <c r="F409" s="62">
        <v>214</v>
      </c>
      <c r="G409" s="62">
        <v>55</v>
      </c>
      <c r="H409" s="62">
        <v>19</v>
      </c>
      <c r="I409" s="62">
        <v>7</v>
      </c>
      <c r="J409" s="95">
        <v>45899</v>
      </c>
      <c r="K409" s="3">
        <v>0.83</v>
      </c>
      <c r="L409" s="3">
        <v>3.58</v>
      </c>
      <c r="M409" s="44">
        <v>55</v>
      </c>
    </row>
    <row r="410" spans="1:13" x14ac:dyDescent="0.35">
      <c r="A410" s="62" t="s">
        <v>28</v>
      </c>
      <c r="B410" s="62" t="s">
        <v>30</v>
      </c>
      <c r="C410" s="62">
        <v>4</v>
      </c>
      <c r="D410" s="62">
        <v>1</v>
      </c>
      <c r="E410" s="62">
        <v>14</v>
      </c>
      <c r="F410" s="62">
        <v>114</v>
      </c>
      <c r="G410" s="62">
        <v>56</v>
      </c>
      <c r="H410" s="62">
        <v>14</v>
      </c>
      <c r="I410" s="62">
        <v>7</v>
      </c>
      <c r="J410" s="95">
        <v>45899</v>
      </c>
      <c r="K410" s="3">
        <v>0.82</v>
      </c>
      <c r="L410" s="3">
        <v>4.8</v>
      </c>
      <c r="M410" s="44">
        <v>52</v>
      </c>
    </row>
    <row r="411" spans="1:13" x14ac:dyDescent="0.35">
      <c r="A411" s="62" t="s">
        <v>33</v>
      </c>
      <c r="B411" s="62" t="s">
        <v>30</v>
      </c>
      <c r="C411" s="62">
        <v>4</v>
      </c>
      <c r="D411" s="62">
        <v>1</v>
      </c>
      <c r="E411" s="62">
        <v>15</v>
      </c>
      <c r="F411" s="62">
        <v>115</v>
      </c>
      <c r="G411" s="62">
        <v>57</v>
      </c>
      <c r="H411" s="62">
        <v>15</v>
      </c>
      <c r="I411" s="62">
        <v>7</v>
      </c>
      <c r="J411" s="95">
        <v>45899</v>
      </c>
      <c r="K411" s="3">
        <v>0.64</v>
      </c>
      <c r="L411" s="3">
        <v>6.71</v>
      </c>
    </row>
    <row r="412" spans="1:13" x14ac:dyDescent="0.35">
      <c r="A412" s="62" t="s">
        <v>33</v>
      </c>
      <c r="B412" s="62" t="s">
        <v>34</v>
      </c>
      <c r="C412" s="62">
        <v>4</v>
      </c>
      <c r="D412" s="62">
        <v>2</v>
      </c>
      <c r="E412" s="62">
        <v>15</v>
      </c>
      <c r="F412" s="62">
        <v>215</v>
      </c>
      <c r="G412" s="62">
        <v>58</v>
      </c>
      <c r="H412" s="62">
        <v>18</v>
      </c>
      <c r="I412" s="62">
        <v>7</v>
      </c>
      <c r="J412" s="95">
        <v>45899</v>
      </c>
      <c r="K412" s="3">
        <v>0.71</v>
      </c>
      <c r="L412" s="3">
        <v>3.91</v>
      </c>
    </row>
    <row r="413" spans="1:13" x14ac:dyDescent="0.35">
      <c r="A413" s="62" t="s">
        <v>33</v>
      </c>
      <c r="B413" s="62" t="s">
        <v>29</v>
      </c>
      <c r="C413" s="62">
        <v>4</v>
      </c>
      <c r="D413" s="62">
        <v>3</v>
      </c>
      <c r="E413" s="62">
        <v>15</v>
      </c>
      <c r="F413" s="62">
        <v>315</v>
      </c>
      <c r="G413" s="62">
        <v>59</v>
      </c>
      <c r="H413" s="62">
        <v>47</v>
      </c>
      <c r="I413" s="62">
        <v>7</v>
      </c>
      <c r="J413" s="95">
        <v>45899</v>
      </c>
      <c r="K413" s="3">
        <v>0.66</v>
      </c>
      <c r="L413" s="3">
        <v>3.91</v>
      </c>
    </row>
    <row r="414" spans="1:13" x14ac:dyDescent="0.35">
      <c r="A414" s="62" t="s">
        <v>33</v>
      </c>
      <c r="B414" s="62" t="s">
        <v>35</v>
      </c>
      <c r="C414" s="62">
        <v>4</v>
      </c>
      <c r="D414" s="62">
        <v>4</v>
      </c>
      <c r="E414" s="62">
        <v>15</v>
      </c>
      <c r="F414" s="62">
        <v>415</v>
      </c>
      <c r="G414" s="62">
        <v>60</v>
      </c>
      <c r="H414" s="62">
        <v>50</v>
      </c>
      <c r="I414" s="62">
        <v>7</v>
      </c>
      <c r="J414" s="95">
        <v>45899</v>
      </c>
      <c r="K414" s="3">
        <v>0.79</v>
      </c>
      <c r="L414" s="3">
        <v>4.47</v>
      </c>
    </row>
    <row r="415" spans="1:13" x14ac:dyDescent="0.35">
      <c r="A415" s="62" t="s">
        <v>33</v>
      </c>
      <c r="B415" s="62" t="s">
        <v>35</v>
      </c>
      <c r="C415" s="62">
        <v>4</v>
      </c>
      <c r="D415" s="62">
        <v>4</v>
      </c>
      <c r="E415" s="62">
        <v>16</v>
      </c>
      <c r="F415" s="62">
        <v>416</v>
      </c>
      <c r="G415" s="62">
        <v>61</v>
      </c>
      <c r="H415" s="62">
        <v>49</v>
      </c>
      <c r="I415" s="62">
        <v>7</v>
      </c>
      <c r="J415" s="95">
        <v>45899</v>
      </c>
      <c r="K415" s="3">
        <v>0.8</v>
      </c>
      <c r="L415" s="3">
        <v>4.6500000000000004</v>
      </c>
      <c r="M415" s="44">
        <v>41</v>
      </c>
    </row>
    <row r="416" spans="1:13" x14ac:dyDescent="0.35">
      <c r="A416" s="62" t="s">
        <v>33</v>
      </c>
      <c r="B416" s="62" t="s">
        <v>29</v>
      </c>
      <c r="C416" s="62">
        <v>4</v>
      </c>
      <c r="D416" s="62">
        <v>3</v>
      </c>
      <c r="E416" s="62">
        <v>16</v>
      </c>
      <c r="F416" s="62">
        <v>316</v>
      </c>
      <c r="G416" s="62">
        <v>62</v>
      </c>
      <c r="H416" s="62">
        <v>48</v>
      </c>
      <c r="I416" s="62">
        <v>7</v>
      </c>
      <c r="J416" s="95">
        <v>45899</v>
      </c>
      <c r="K416" s="3">
        <v>0.69</v>
      </c>
      <c r="L416" s="3">
        <v>5.29</v>
      </c>
      <c r="M416" s="44">
        <v>33</v>
      </c>
    </row>
    <row r="417" spans="1:13" x14ac:dyDescent="0.35">
      <c r="A417" s="62" t="s">
        <v>33</v>
      </c>
      <c r="B417" s="62" t="s">
        <v>34</v>
      </c>
      <c r="C417" s="62">
        <v>4</v>
      </c>
      <c r="D417" s="62">
        <v>2</v>
      </c>
      <c r="E417" s="62">
        <v>16</v>
      </c>
      <c r="F417" s="62">
        <v>216</v>
      </c>
      <c r="G417" s="62">
        <v>63</v>
      </c>
      <c r="H417" s="62">
        <v>17</v>
      </c>
      <c r="I417" s="62">
        <v>7</v>
      </c>
      <c r="J417" s="95">
        <v>45899</v>
      </c>
      <c r="K417" s="3">
        <v>0.7</v>
      </c>
      <c r="L417" s="3">
        <v>8.24</v>
      </c>
      <c r="M417" s="44">
        <v>36</v>
      </c>
    </row>
    <row r="418" spans="1:13" x14ac:dyDescent="0.35">
      <c r="A418" s="62" t="s">
        <v>33</v>
      </c>
      <c r="B418" s="62" t="s">
        <v>30</v>
      </c>
      <c r="C418" s="62">
        <v>4</v>
      </c>
      <c r="D418" s="62">
        <v>1</v>
      </c>
      <c r="E418" s="62">
        <v>16</v>
      </c>
      <c r="F418" s="62">
        <v>116</v>
      </c>
      <c r="G418" s="62">
        <v>64</v>
      </c>
      <c r="H418" s="62">
        <v>16</v>
      </c>
      <c r="I418" s="62">
        <v>7</v>
      </c>
      <c r="J418" s="95">
        <v>45899</v>
      </c>
      <c r="K418" s="3">
        <v>0.6</v>
      </c>
      <c r="L418" s="3">
        <v>3.54</v>
      </c>
      <c r="M418" s="44">
        <v>38</v>
      </c>
    </row>
    <row r="419" spans="1:13" x14ac:dyDescent="0.35">
      <c r="A419" s="62" t="s">
        <v>28</v>
      </c>
      <c r="B419" s="62" t="s">
        <v>29</v>
      </c>
      <c r="C419" s="62">
        <v>1</v>
      </c>
      <c r="D419" s="62">
        <v>1</v>
      </c>
      <c r="E419" s="62">
        <v>1</v>
      </c>
      <c r="F419" s="62">
        <v>101</v>
      </c>
      <c r="G419" s="62">
        <v>1</v>
      </c>
      <c r="H419" s="62">
        <v>1</v>
      </c>
      <c r="I419" s="62">
        <v>8</v>
      </c>
      <c r="J419" s="95">
        <v>45911</v>
      </c>
      <c r="K419" s="3">
        <v>0.82</v>
      </c>
      <c r="L419" s="3">
        <v>2.95</v>
      </c>
    </row>
    <row r="420" spans="1:13" x14ac:dyDescent="0.35">
      <c r="A420" s="62" t="s">
        <v>28</v>
      </c>
      <c r="B420" s="62" t="s">
        <v>30</v>
      </c>
      <c r="C420" s="62">
        <v>1</v>
      </c>
      <c r="D420" s="62">
        <v>2</v>
      </c>
      <c r="E420" s="62">
        <v>1</v>
      </c>
      <c r="F420" s="62">
        <v>201</v>
      </c>
      <c r="G420" s="62">
        <v>2</v>
      </c>
      <c r="H420" s="62">
        <v>32</v>
      </c>
      <c r="I420" s="62">
        <v>8</v>
      </c>
      <c r="J420" s="95">
        <v>45911</v>
      </c>
      <c r="K420" s="3">
        <v>0.82</v>
      </c>
      <c r="L420" s="3">
        <v>1.99</v>
      </c>
    </row>
    <row r="421" spans="1:13" x14ac:dyDescent="0.35">
      <c r="A421" s="62" t="s">
        <v>28</v>
      </c>
      <c r="B421" s="62" t="s">
        <v>31</v>
      </c>
      <c r="C421" s="62">
        <v>1</v>
      </c>
      <c r="D421" s="62">
        <v>3</v>
      </c>
      <c r="E421" s="62">
        <v>1</v>
      </c>
      <c r="F421" s="62">
        <v>301</v>
      </c>
      <c r="G421" s="62">
        <v>3</v>
      </c>
      <c r="H421" s="62">
        <v>33</v>
      </c>
      <c r="I421" s="62">
        <v>8</v>
      </c>
      <c r="J421" s="95">
        <v>45911</v>
      </c>
      <c r="K421" s="3">
        <v>0.78</v>
      </c>
      <c r="L421" s="3">
        <v>4.75</v>
      </c>
    </row>
    <row r="422" spans="1:13" x14ac:dyDescent="0.35">
      <c r="A422" s="62" t="s">
        <v>28</v>
      </c>
      <c r="B422" s="62" t="s">
        <v>32</v>
      </c>
      <c r="C422" s="62">
        <v>1</v>
      </c>
      <c r="D422" s="62">
        <v>4</v>
      </c>
      <c r="E422" s="62">
        <v>1</v>
      </c>
      <c r="F422" s="62">
        <v>401</v>
      </c>
      <c r="G422" s="62">
        <v>4</v>
      </c>
      <c r="H422" s="62">
        <v>64</v>
      </c>
      <c r="I422" s="62">
        <v>8</v>
      </c>
      <c r="J422" s="95">
        <v>45911</v>
      </c>
      <c r="K422" s="3">
        <v>0.77</v>
      </c>
      <c r="L422" s="3">
        <v>6.8</v>
      </c>
    </row>
    <row r="423" spans="1:13" x14ac:dyDescent="0.35">
      <c r="A423" s="62" t="s">
        <v>28</v>
      </c>
      <c r="B423" s="62" t="s">
        <v>32</v>
      </c>
      <c r="C423" s="62">
        <v>1</v>
      </c>
      <c r="D423" s="62">
        <v>4</v>
      </c>
      <c r="E423" s="62">
        <v>2</v>
      </c>
      <c r="F423" s="62">
        <v>402</v>
      </c>
      <c r="G423" s="62">
        <v>5</v>
      </c>
      <c r="H423" s="62">
        <v>63</v>
      </c>
      <c r="I423" s="62">
        <v>8</v>
      </c>
      <c r="J423" s="95">
        <v>45911</v>
      </c>
      <c r="K423" s="3">
        <v>0.75</v>
      </c>
      <c r="L423" s="3">
        <v>6.18</v>
      </c>
      <c r="M423" s="44">
        <v>55</v>
      </c>
    </row>
    <row r="424" spans="1:13" x14ac:dyDescent="0.35">
      <c r="A424" s="62" t="s">
        <v>28</v>
      </c>
      <c r="B424" s="62" t="s">
        <v>31</v>
      </c>
      <c r="C424" s="62">
        <v>1</v>
      </c>
      <c r="D424" s="62">
        <v>3</v>
      </c>
      <c r="E424" s="62">
        <v>2</v>
      </c>
      <c r="F424" s="62">
        <v>302</v>
      </c>
      <c r="G424" s="62">
        <v>6</v>
      </c>
      <c r="H424" s="62">
        <v>34</v>
      </c>
      <c r="I424" s="62">
        <v>8</v>
      </c>
      <c r="J424" s="95">
        <v>45911</v>
      </c>
      <c r="K424" s="3">
        <v>0.82</v>
      </c>
      <c r="L424" s="3">
        <v>2.98</v>
      </c>
      <c r="M424" s="44">
        <v>59</v>
      </c>
    </row>
    <row r="425" spans="1:13" x14ac:dyDescent="0.35">
      <c r="A425" s="62" t="s">
        <v>28</v>
      </c>
      <c r="B425" s="62" t="s">
        <v>30</v>
      </c>
      <c r="C425" s="62">
        <v>1</v>
      </c>
      <c r="D425" s="62">
        <v>2</v>
      </c>
      <c r="E425" s="62">
        <v>2</v>
      </c>
      <c r="F425" s="62">
        <v>202</v>
      </c>
      <c r="G425" s="62">
        <v>7</v>
      </c>
      <c r="H425" s="62">
        <v>31</v>
      </c>
      <c r="I425" s="62">
        <v>8</v>
      </c>
      <c r="J425" s="95">
        <v>45911</v>
      </c>
      <c r="K425" s="3">
        <v>0.84</v>
      </c>
      <c r="L425" s="3">
        <v>2.2799999999999998</v>
      </c>
      <c r="M425" s="44">
        <v>82</v>
      </c>
    </row>
    <row r="426" spans="1:13" x14ac:dyDescent="0.35">
      <c r="A426" s="62" t="s">
        <v>28</v>
      </c>
      <c r="B426" s="62" t="s">
        <v>29</v>
      </c>
      <c r="C426" s="62">
        <v>1</v>
      </c>
      <c r="D426" s="62">
        <v>1</v>
      </c>
      <c r="E426" s="62">
        <v>2</v>
      </c>
      <c r="F426" s="62">
        <v>102</v>
      </c>
      <c r="G426" s="62">
        <v>8</v>
      </c>
      <c r="H426" s="62">
        <v>2</v>
      </c>
      <c r="I426" s="62">
        <v>8</v>
      </c>
      <c r="J426" s="95">
        <v>45911</v>
      </c>
      <c r="K426" s="3">
        <v>0.84</v>
      </c>
      <c r="L426" s="3">
        <v>4.38</v>
      </c>
      <c r="M426" s="44">
        <v>63</v>
      </c>
    </row>
    <row r="427" spans="1:13" x14ac:dyDescent="0.35">
      <c r="A427" s="62" t="s">
        <v>33</v>
      </c>
      <c r="B427" s="62" t="s">
        <v>34</v>
      </c>
      <c r="C427" s="62">
        <v>1</v>
      </c>
      <c r="D427" s="62">
        <v>1</v>
      </c>
      <c r="E427" s="62">
        <v>3</v>
      </c>
      <c r="F427" s="62">
        <v>103</v>
      </c>
      <c r="G427" s="62">
        <v>9</v>
      </c>
      <c r="H427" s="62">
        <v>3</v>
      </c>
      <c r="I427" s="62">
        <v>8</v>
      </c>
      <c r="J427" s="95">
        <v>45911</v>
      </c>
      <c r="K427" s="3">
        <v>0.73</v>
      </c>
      <c r="L427" s="3">
        <v>8.68</v>
      </c>
    </row>
    <row r="428" spans="1:13" x14ac:dyDescent="0.35">
      <c r="A428" s="62" t="s">
        <v>33</v>
      </c>
      <c r="B428" s="62" t="s">
        <v>30</v>
      </c>
      <c r="C428" s="62">
        <v>1</v>
      </c>
      <c r="D428" s="62">
        <v>2</v>
      </c>
      <c r="E428" s="62">
        <v>3</v>
      </c>
      <c r="F428" s="62">
        <v>203</v>
      </c>
      <c r="G428" s="62">
        <v>10</v>
      </c>
      <c r="H428" s="62">
        <v>30</v>
      </c>
      <c r="I428" s="62">
        <v>8</v>
      </c>
      <c r="J428" s="95">
        <v>45911</v>
      </c>
      <c r="K428" s="3">
        <v>0.78</v>
      </c>
      <c r="L428" s="3">
        <v>3.14</v>
      </c>
    </row>
    <row r="429" spans="1:13" x14ac:dyDescent="0.35">
      <c r="A429" s="62" t="s">
        <v>33</v>
      </c>
      <c r="B429" s="62" t="s">
        <v>35</v>
      </c>
      <c r="C429" s="62">
        <v>1</v>
      </c>
      <c r="D429" s="62">
        <v>3</v>
      </c>
      <c r="E429" s="62">
        <v>3</v>
      </c>
      <c r="F429" s="62">
        <v>303</v>
      </c>
      <c r="G429" s="62">
        <v>11</v>
      </c>
      <c r="H429" s="62">
        <v>35</v>
      </c>
      <c r="I429" s="62">
        <v>8</v>
      </c>
      <c r="J429" s="95">
        <v>45911</v>
      </c>
      <c r="K429" s="3">
        <v>0.69</v>
      </c>
      <c r="L429" s="3">
        <v>5.42</v>
      </c>
    </row>
    <row r="430" spans="1:13" x14ac:dyDescent="0.35">
      <c r="A430" s="62" t="s">
        <v>33</v>
      </c>
      <c r="B430" s="62" t="s">
        <v>29</v>
      </c>
      <c r="C430" s="62">
        <v>1</v>
      </c>
      <c r="D430" s="62">
        <v>4</v>
      </c>
      <c r="E430" s="62">
        <v>3</v>
      </c>
      <c r="F430" s="62">
        <v>403</v>
      </c>
      <c r="G430" s="62">
        <v>12</v>
      </c>
      <c r="H430" s="62">
        <v>62</v>
      </c>
      <c r="I430" s="62">
        <v>8</v>
      </c>
      <c r="J430" s="95">
        <v>45911</v>
      </c>
      <c r="K430" s="3">
        <v>0.74</v>
      </c>
      <c r="L430" s="3">
        <v>6.25</v>
      </c>
    </row>
    <row r="431" spans="1:13" x14ac:dyDescent="0.35">
      <c r="A431" s="62" t="s">
        <v>33</v>
      </c>
      <c r="B431" s="62" t="s">
        <v>29</v>
      </c>
      <c r="C431" s="62">
        <v>1</v>
      </c>
      <c r="D431" s="62">
        <v>4</v>
      </c>
      <c r="E431" s="62">
        <v>4</v>
      </c>
      <c r="F431" s="62">
        <v>404</v>
      </c>
      <c r="G431" s="62">
        <v>13</v>
      </c>
      <c r="H431" s="62">
        <v>61</v>
      </c>
      <c r="I431" s="62">
        <v>8</v>
      </c>
      <c r="J431" s="95">
        <v>45911</v>
      </c>
      <c r="K431" s="3">
        <v>0.74</v>
      </c>
      <c r="L431" s="3">
        <v>3.58</v>
      </c>
      <c r="M431" s="44">
        <v>47</v>
      </c>
    </row>
    <row r="432" spans="1:13" x14ac:dyDescent="0.35">
      <c r="A432" s="62" t="s">
        <v>33</v>
      </c>
      <c r="B432" s="62" t="s">
        <v>35</v>
      </c>
      <c r="C432" s="62">
        <v>1</v>
      </c>
      <c r="D432" s="62">
        <v>3</v>
      </c>
      <c r="E432" s="62">
        <v>4</v>
      </c>
      <c r="F432" s="62">
        <v>304</v>
      </c>
      <c r="G432" s="62">
        <v>14</v>
      </c>
      <c r="H432" s="62">
        <v>36</v>
      </c>
      <c r="I432" s="62">
        <v>8</v>
      </c>
      <c r="J432" s="95">
        <v>45911</v>
      </c>
      <c r="K432" s="3">
        <v>0.77</v>
      </c>
      <c r="L432" s="3">
        <v>3.54</v>
      </c>
      <c r="M432" s="44">
        <v>52</v>
      </c>
    </row>
    <row r="433" spans="1:13" x14ac:dyDescent="0.35">
      <c r="A433" s="62" t="s">
        <v>33</v>
      </c>
      <c r="B433" s="62" t="s">
        <v>30</v>
      </c>
      <c r="C433" s="62">
        <v>1</v>
      </c>
      <c r="D433" s="62">
        <v>2</v>
      </c>
      <c r="E433" s="62">
        <v>4</v>
      </c>
      <c r="F433" s="62">
        <v>204</v>
      </c>
      <c r="G433" s="62">
        <v>15</v>
      </c>
      <c r="H433" s="62">
        <v>29</v>
      </c>
      <c r="I433" s="62">
        <v>8</v>
      </c>
      <c r="J433" s="95">
        <v>45911</v>
      </c>
      <c r="K433" s="3">
        <v>0.79</v>
      </c>
      <c r="L433" s="3">
        <v>2.64</v>
      </c>
      <c r="M433" s="44">
        <v>54</v>
      </c>
    </row>
    <row r="434" spans="1:13" x14ac:dyDescent="0.35">
      <c r="A434" s="62" t="s">
        <v>33</v>
      </c>
      <c r="B434" s="62" t="s">
        <v>34</v>
      </c>
      <c r="C434" s="62">
        <v>1</v>
      </c>
      <c r="D434" s="62">
        <v>1</v>
      </c>
      <c r="E434" s="62">
        <v>4</v>
      </c>
      <c r="F434" s="62">
        <v>104</v>
      </c>
      <c r="G434" s="62">
        <v>16</v>
      </c>
      <c r="H434" s="62">
        <v>4</v>
      </c>
      <c r="I434" s="62">
        <v>8</v>
      </c>
      <c r="J434" s="95">
        <v>45911</v>
      </c>
      <c r="K434" s="3">
        <v>0.74</v>
      </c>
      <c r="L434" s="3">
        <v>7.96</v>
      </c>
      <c r="M434" s="44">
        <v>56</v>
      </c>
    </row>
    <row r="435" spans="1:13" x14ac:dyDescent="0.35">
      <c r="A435" s="62" t="s">
        <v>28</v>
      </c>
      <c r="B435" s="62" t="s">
        <v>31</v>
      </c>
      <c r="C435" s="62">
        <v>2</v>
      </c>
      <c r="D435" s="62">
        <v>1</v>
      </c>
      <c r="E435" s="62">
        <v>5</v>
      </c>
      <c r="F435" s="62">
        <v>105</v>
      </c>
      <c r="G435" s="62">
        <v>17</v>
      </c>
      <c r="H435" s="62">
        <v>5</v>
      </c>
      <c r="I435" s="62">
        <v>8</v>
      </c>
      <c r="J435" s="95">
        <v>45911</v>
      </c>
      <c r="K435" s="3">
        <v>0.86</v>
      </c>
      <c r="L435" s="3">
        <v>1.96</v>
      </c>
    </row>
    <row r="436" spans="1:13" x14ac:dyDescent="0.35">
      <c r="A436" s="62" t="s">
        <v>28</v>
      </c>
      <c r="B436" s="62" t="s">
        <v>32</v>
      </c>
      <c r="C436" s="62">
        <v>2</v>
      </c>
      <c r="D436" s="62">
        <v>2</v>
      </c>
      <c r="E436" s="62">
        <v>5</v>
      </c>
      <c r="F436" s="62">
        <v>205</v>
      </c>
      <c r="G436" s="62">
        <v>18</v>
      </c>
      <c r="H436" s="62">
        <v>28</v>
      </c>
      <c r="I436" s="62">
        <v>8</v>
      </c>
      <c r="J436" s="95">
        <v>45911</v>
      </c>
      <c r="K436" s="3">
        <v>0.85</v>
      </c>
      <c r="L436" s="3">
        <v>1.33</v>
      </c>
    </row>
    <row r="437" spans="1:13" x14ac:dyDescent="0.35">
      <c r="A437" s="62" t="s">
        <v>28</v>
      </c>
      <c r="B437" s="62" t="s">
        <v>30</v>
      </c>
      <c r="C437" s="62">
        <v>2</v>
      </c>
      <c r="D437" s="62">
        <v>3</v>
      </c>
      <c r="E437" s="62">
        <v>5</v>
      </c>
      <c r="F437" s="62">
        <v>305</v>
      </c>
      <c r="G437" s="62">
        <v>19</v>
      </c>
      <c r="H437" s="62">
        <v>37</v>
      </c>
      <c r="I437" s="62">
        <v>8</v>
      </c>
      <c r="J437" s="95">
        <v>45911</v>
      </c>
      <c r="K437" s="3">
        <v>0.74</v>
      </c>
      <c r="L437" s="3">
        <v>2.95</v>
      </c>
    </row>
    <row r="438" spans="1:13" x14ac:dyDescent="0.35">
      <c r="A438" s="62" t="s">
        <v>28</v>
      </c>
      <c r="B438" s="62" t="s">
        <v>29</v>
      </c>
      <c r="C438" s="62">
        <v>2</v>
      </c>
      <c r="D438" s="62">
        <v>4</v>
      </c>
      <c r="E438" s="62">
        <v>5</v>
      </c>
      <c r="F438" s="62">
        <v>405</v>
      </c>
      <c r="G438" s="62">
        <v>20</v>
      </c>
      <c r="H438" s="62">
        <v>60</v>
      </c>
      <c r="I438" s="62">
        <v>8</v>
      </c>
      <c r="J438" s="95">
        <v>45911</v>
      </c>
      <c r="K438" s="3">
        <v>0.73</v>
      </c>
      <c r="L438" s="3">
        <v>6.63</v>
      </c>
    </row>
    <row r="439" spans="1:13" x14ac:dyDescent="0.35">
      <c r="A439" s="62" t="s">
        <v>28</v>
      </c>
      <c r="B439" s="62" t="s">
        <v>29</v>
      </c>
      <c r="C439" s="62">
        <v>2</v>
      </c>
      <c r="D439" s="62">
        <v>4</v>
      </c>
      <c r="E439" s="62">
        <v>6</v>
      </c>
      <c r="F439" s="62">
        <v>406</v>
      </c>
      <c r="G439" s="62">
        <v>21</v>
      </c>
      <c r="H439" s="62">
        <v>59</v>
      </c>
      <c r="I439" s="62">
        <v>8</v>
      </c>
      <c r="J439" s="95">
        <v>45911</v>
      </c>
      <c r="K439" s="3">
        <v>0.76</v>
      </c>
      <c r="L439" s="3">
        <v>3.27</v>
      </c>
      <c r="M439" s="44">
        <v>66</v>
      </c>
    </row>
    <row r="440" spans="1:13" x14ac:dyDescent="0.35">
      <c r="A440" s="62" t="s">
        <v>28</v>
      </c>
      <c r="B440" s="62" t="s">
        <v>30</v>
      </c>
      <c r="C440" s="62">
        <v>2</v>
      </c>
      <c r="D440" s="62">
        <v>3</v>
      </c>
      <c r="E440" s="62">
        <v>6</v>
      </c>
      <c r="F440" s="62">
        <v>306</v>
      </c>
      <c r="G440" s="62">
        <v>22</v>
      </c>
      <c r="H440" s="62">
        <v>38</v>
      </c>
      <c r="I440" s="62">
        <v>8</v>
      </c>
      <c r="J440" s="95">
        <v>45911</v>
      </c>
      <c r="K440" s="3">
        <v>0.71</v>
      </c>
      <c r="L440" s="3">
        <v>3.04</v>
      </c>
      <c r="M440" s="44">
        <v>64</v>
      </c>
    </row>
    <row r="441" spans="1:13" x14ac:dyDescent="0.35">
      <c r="A441" s="62" t="s">
        <v>28</v>
      </c>
      <c r="B441" s="62" t="s">
        <v>32</v>
      </c>
      <c r="C441" s="62">
        <v>2</v>
      </c>
      <c r="D441" s="62">
        <v>2</v>
      </c>
      <c r="E441" s="62">
        <v>6</v>
      </c>
      <c r="F441" s="62">
        <v>206</v>
      </c>
      <c r="G441" s="62">
        <v>23</v>
      </c>
      <c r="H441" s="62">
        <v>27</v>
      </c>
      <c r="I441" s="62">
        <v>8</v>
      </c>
      <c r="J441" s="95">
        <v>45911</v>
      </c>
      <c r="K441" s="3">
        <v>0.84</v>
      </c>
      <c r="L441" s="3">
        <v>2.5</v>
      </c>
      <c r="M441" s="44">
        <v>50</v>
      </c>
    </row>
    <row r="442" spans="1:13" x14ac:dyDescent="0.35">
      <c r="A442" s="62" t="s">
        <v>28</v>
      </c>
      <c r="B442" s="62" t="s">
        <v>31</v>
      </c>
      <c r="C442" s="62">
        <v>2</v>
      </c>
      <c r="D442" s="62">
        <v>1</v>
      </c>
      <c r="E442" s="62">
        <v>6</v>
      </c>
      <c r="F442" s="62">
        <v>106</v>
      </c>
      <c r="G442" s="62">
        <v>24</v>
      </c>
      <c r="H442" s="62">
        <v>6</v>
      </c>
      <c r="I442" s="62">
        <v>8</v>
      </c>
      <c r="J442" s="95">
        <v>45911</v>
      </c>
      <c r="K442" s="3">
        <v>0.86</v>
      </c>
      <c r="L442" s="3">
        <v>1.88</v>
      </c>
      <c r="M442" s="44">
        <v>72</v>
      </c>
    </row>
    <row r="443" spans="1:13" x14ac:dyDescent="0.35">
      <c r="A443" s="62" t="s">
        <v>33</v>
      </c>
      <c r="B443" s="62" t="s">
        <v>35</v>
      </c>
      <c r="C443" s="62">
        <v>2</v>
      </c>
      <c r="D443" s="62">
        <v>1</v>
      </c>
      <c r="E443" s="62">
        <v>7</v>
      </c>
      <c r="F443" s="62">
        <v>107</v>
      </c>
      <c r="G443" s="62">
        <v>25</v>
      </c>
      <c r="H443" s="62">
        <v>7</v>
      </c>
      <c r="I443" s="62">
        <v>8</v>
      </c>
      <c r="J443" s="95">
        <v>45911</v>
      </c>
      <c r="K443" s="3">
        <v>0.77</v>
      </c>
      <c r="L443" s="3">
        <v>3.41</v>
      </c>
    </row>
    <row r="444" spans="1:13" x14ac:dyDescent="0.35">
      <c r="A444" s="62" t="s">
        <v>33</v>
      </c>
      <c r="B444" s="62" t="s">
        <v>29</v>
      </c>
      <c r="C444" s="62">
        <v>2</v>
      </c>
      <c r="D444" s="62">
        <v>2</v>
      </c>
      <c r="E444" s="62">
        <v>7</v>
      </c>
      <c r="F444" s="62">
        <v>207</v>
      </c>
      <c r="G444" s="62">
        <v>26</v>
      </c>
      <c r="H444" s="62">
        <v>26</v>
      </c>
      <c r="I444" s="62">
        <v>8</v>
      </c>
      <c r="J444" s="95">
        <v>45911</v>
      </c>
      <c r="K444" s="3">
        <v>0.79</v>
      </c>
      <c r="L444" s="3">
        <v>3.62</v>
      </c>
    </row>
    <row r="445" spans="1:13" x14ac:dyDescent="0.35">
      <c r="A445" s="62" t="s">
        <v>33</v>
      </c>
      <c r="B445" s="62" t="s">
        <v>30</v>
      </c>
      <c r="C445" s="62">
        <v>2</v>
      </c>
      <c r="D445" s="62">
        <v>3</v>
      </c>
      <c r="E445" s="62">
        <v>7</v>
      </c>
      <c r="F445" s="62">
        <v>307</v>
      </c>
      <c r="G445" s="62">
        <v>27</v>
      </c>
      <c r="H445" s="62">
        <v>39</v>
      </c>
      <c r="I445" s="62">
        <v>8</v>
      </c>
      <c r="J445" s="95">
        <v>45911</v>
      </c>
      <c r="K445" s="3">
        <v>0.66</v>
      </c>
      <c r="L445" s="3">
        <v>7.92</v>
      </c>
    </row>
    <row r="446" spans="1:13" x14ac:dyDescent="0.35">
      <c r="A446" s="62" t="s">
        <v>33</v>
      </c>
      <c r="B446" s="62" t="s">
        <v>34</v>
      </c>
      <c r="C446" s="62">
        <v>2</v>
      </c>
      <c r="D446" s="62">
        <v>4</v>
      </c>
      <c r="E446" s="62">
        <v>7</v>
      </c>
      <c r="F446" s="62">
        <v>407</v>
      </c>
      <c r="G446" s="62">
        <v>28</v>
      </c>
      <c r="H446" s="62">
        <v>58</v>
      </c>
      <c r="I446" s="62">
        <v>8</v>
      </c>
      <c r="J446" s="95">
        <v>45911</v>
      </c>
      <c r="K446" s="3">
        <v>0.74</v>
      </c>
      <c r="L446" s="3">
        <v>4.1900000000000004</v>
      </c>
    </row>
    <row r="447" spans="1:13" x14ac:dyDescent="0.35">
      <c r="A447" s="62" t="s">
        <v>33</v>
      </c>
      <c r="B447" s="62" t="s">
        <v>34</v>
      </c>
      <c r="C447" s="62">
        <v>2</v>
      </c>
      <c r="D447" s="62">
        <v>4</v>
      </c>
      <c r="E447" s="62">
        <v>8</v>
      </c>
      <c r="F447" s="62">
        <v>408</v>
      </c>
      <c r="G447" s="62">
        <v>29</v>
      </c>
      <c r="H447" s="62">
        <v>57</v>
      </c>
      <c r="I447" s="62">
        <v>8</v>
      </c>
      <c r="J447" s="95">
        <v>45911</v>
      </c>
      <c r="K447" s="3">
        <v>0.8</v>
      </c>
      <c r="L447" s="3">
        <v>2.12</v>
      </c>
      <c r="M447" s="44">
        <v>58</v>
      </c>
    </row>
    <row r="448" spans="1:13" x14ac:dyDescent="0.35">
      <c r="A448" s="62" t="s">
        <v>33</v>
      </c>
      <c r="B448" s="62" t="s">
        <v>30</v>
      </c>
      <c r="C448" s="62">
        <v>2</v>
      </c>
      <c r="D448" s="62">
        <v>3</v>
      </c>
      <c r="E448" s="62">
        <v>8</v>
      </c>
      <c r="F448" s="62">
        <v>308</v>
      </c>
      <c r="G448" s="62">
        <v>30</v>
      </c>
      <c r="H448" s="62">
        <v>40</v>
      </c>
      <c r="I448" s="62">
        <v>8</v>
      </c>
      <c r="J448" s="95">
        <v>45911</v>
      </c>
      <c r="K448" s="3">
        <v>0.6</v>
      </c>
      <c r="L448" s="3">
        <v>12.5</v>
      </c>
      <c r="M448" s="44">
        <v>47</v>
      </c>
    </row>
    <row r="449" spans="1:13" x14ac:dyDescent="0.35">
      <c r="A449" s="62" t="s">
        <v>33</v>
      </c>
      <c r="B449" s="62" t="s">
        <v>29</v>
      </c>
      <c r="C449" s="62">
        <v>2</v>
      </c>
      <c r="D449" s="62">
        <v>2</v>
      </c>
      <c r="E449" s="62">
        <v>8</v>
      </c>
      <c r="F449" s="62">
        <v>208</v>
      </c>
      <c r="G449" s="62">
        <v>31</v>
      </c>
      <c r="H449" s="62">
        <v>25</v>
      </c>
      <c r="I449" s="62">
        <v>8</v>
      </c>
      <c r="J449" s="95">
        <v>45911</v>
      </c>
      <c r="K449" s="3">
        <v>0.78</v>
      </c>
      <c r="L449" s="3">
        <v>2.72</v>
      </c>
      <c r="M449" s="44">
        <v>51</v>
      </c>
    </row>
    <row r="450" spans="1:13" x14ac:dyDescent="0.35">
      <c r="A450" s="62" t="s">
        <v>33</v>
      </c>
      <c r="B450" s="62" t="s">
        <v>35</v>
      </c>
      <c r="C450" s="62">
        <v>2</v>
      </c>
      <c r="D450" s="62">
        <v>1</v>
      </c>
      <c r="E450" s="62">
        <v>8</v>
      </c>
      <c r="F450" s="62">
        <v>108</v>
      </c>
      <c r="G450" s="62">
        <v>32</v>
      </c>
      <c r="H450" s="62">
        <v>8</v>
      </c>
      <c r="I450" s="62">
        <v>8</v>
      </c>
      <c r="J450" s="95">
        <v>45911</v>
      </c>
      <c r="K450" s="3">
        <v>0.79</v>
      </c>
      <c r="L450" s="3">
        <v>4.0599999999999996</v>
      </c>
      <c r="M450" s="44">
        <v>54</v>
      </c>
    </row>
    <row r="451" spans="1:13" x14ac:dyDescent="0.35">
      <c r="A451" s="62" t="s">
        <v>28</v>
      </c>
      <c r="B451" s="62" t="s">
        <v>32</v>
      </c>
      <c r="C451" s="62">
        <v>3</v>
      </c>
      <c r="D451" s="62">
        <v>1</v>
      </c>
      <c r="E451" s="62">
        <v>9</v>
      </c>
      <c r="F451" s="62">
        <v>109</v>
      </c>
      <c r="G451" s="62">
        <v>33</v>
      </c>
      <c r="H451" s="62">
        <v>9</v>
      </c>
      <c r="I451" s="62">
        <v>8</v>
      </c>
      <c r="J451" s="95">
        <v>45911</v>
      </c>
      <c r="K451" s="3">
        <v>0.81</v>
      </c>
      <c r="L451" s="3">
        <v>2.12</v>
      </c>
    </row>
    <row r="452" spans="1:13" x14ac:dyDescent="0.35">
      <c r="A452" s="62" t="s">
        <v>28</v>
      </c>
      <c r="B452" s="62" t="s">
        <v>31</v>
      </c>
      <c r="C452" s="62">
        <v>3</v>
      </c>
      <c r="D452" s="62">
        <v>2</v>
      </c>
      <c r="E452" s="62">
        <v>9</v>
      </c>
      <c r="F452" s="62">
        <v>209</v>
      </c>
      <c r="G452" s="62">
        <v>34</v>
      </c>
      <c r="H452" s="62">
        <v>24</v>
      </c>
      <c r="I452" s="62">
        <v>8</v>
      </c>
      <c r="J452" s="95">
        <v>45911</v>
      </c>
      <c r="K452" s="3">
        <v>0.86</v>
      </c>
      <c r="L452" s="3">
        <v>1.58</v>
      </c>
    </row>
    <row r="453" spans="1:13" x14ac:dyDescent="0.35">
      <c r="A453" s="62" t="s">
        <v>28</v>
      </c>
      <c r="B453" s="62" t="s">
        <v>29</v>
      </c>
      <c r="C453" s="62">
        <v>3</v>
      </c>
      <c r="D453" s="62">
        <v>3</v>
      </c>
      <c r="E453" s="62">
        <v>9</v>
      </c>
      <c r="F453" s="62">
        <v>309</v>
      </c>
      <c r="G453" s="62">
        <v>35</v>
      </c>
      <c r="H453" s="62">
        <v>41</v>
      </c>
      <c r="I453" s="62">
        <v>8</v>
      </c>
      <c r="J453" s="95">
        <v>45911</v>
      </c>
      <c r="K453" s="3">
        <v>0.73</v>
      </c>
      <c r="L453" s="3">
        <v>6.2</v>
      </c>
    </row>
    <row r="454" spans="1:13" x14ac:dyDescent="0.35">
      <c r="A454" s="62" t="s">
        <v>28</v>
      </c>
      <c r="B454" s="62" t="s">
        <v>30</v>
      </c>
      <c r="C454" s="62">
        <v>3</v>
      </c>
      <c r="D454" s="62">
        <v>4</v>
      </c>
      <c r="E454" s="62">
        <v>9</v>
      </c>
      <c r="F454" s="62">
        <v>409</v>
      </c>
      <c r="G454" s="62">
        <v>36</v>
      </c>
      <c r="H454" s="62">
        <v>56</v>
      </c>
      <c r="I454" s="62">
        <v>8</v>
      </c>
      <c r="J454" s="95">
        <v>45911</v>
      </c>
      <c r="K454" s="3">
        <v>0.77</v>
      </c>
      <c r="L454" s="3">
        <v>5.92</v>
      </c>
    </row>
    <row r="455" spans="1:13" x14ac:dyDescent="0.35">
      <c r="A455" s="62" t="s">
        <v>28</v>
      </c>
      <c r="B455" s="62" t="s">
        <v>30</v>
      </c>
      <c r="C455" s="62">
        <v>3</v>
      </c>
      <c r="D455" s="62">
        <v>4</v>
      </c>
      <c r="E455" s="62">
        <v>10</v>
      </c>
      <c r="F455" s="62">
        <v>410</v>
      </c>
      <c r="G455" s="62">
        <v>37</v>
      </c>
      <c r="H455" s="62">
        <v>55</v>
      </c>
      <c r="I455" s="62">
        <v>8</v>
      </c>
      <c r="J455" s="95">
        <v>45911</v>
      </c>
      <c r="K455" s="3">
        <v>0.75</v>
      </c>
      <c r="L455" s="3">
        <v>3.85</v>
      </c>
      <c r="M455" s="44">
        <v>71</v>
      </c>
    </row>
    <row r="456" spans="1:13" x14ac:dyDescent="0.35">
      <c r="A456" s="62" t="s">
        <v>28</v>
      </c>
      <c r="B456" s="62" t="s">
        <v>29</v>
      </c>
      <c r="C456" s="62">
        <v>3</v>
      </c>
      <c r="D456" s="62">
        <v>3</v>
      </c>
      <c r="E456" s="62">
        <v>10</v>
      </c>
      <c r="F456" s="62">
        <v>310</v>
      </c>
      <c r="G456" s="62">
        <v>38</v>
      </c>
      <c r="H456" s="62">
        <v>42</v>
      </c>
      <c r="I456" s="62">
        <v>8</v>
      </c>
      <c r="J456" s="95">
        <v>45911</v>
      </c>
      <c r="K456" s="3">
        <v>0.67</v>
      </c>
      <c r="L456" s="3">
        <v>5.45</v>
      </c>
      <c r="M456" s="44">
        <v>55</v>
      </c>
    </row>
    <row r="457" spans="1:13" x14ac:dyDescent="0.35">
      <c r="A457" s="62" t="s">
        <v>28</v>
      </c>
      <c r="B457" s="62" t="s">
        <v>31</v>
      </c>
      <c r="C457" s="62">
        <v>3</v>
      </c>
      <c r="D457" s="62">
        <v>2</v>
      </c>
      <c r="E457" s="62">
        <v>10</v>
      </c>
      <c r="F457" s="62">
        <v>210</v>
      </c>
      <c r="G457" s="62">
        <v>39</v>
      </c>
      <c r="H457" s="62">
        <v>23</v>
      </c>
      <c r="I457" s="62">
        <v>8</v>
      </c>
      <c r="J457" s="95">
        <v>45911</v>
      </c>
      <c r="K457" s="3">
        <v>0.87</v>
      </c>
      <c r="L457" s="3">
        <v>1.6</v>
      </c>
      <c r="M457" s="44">
        <v>68</v>
      </c>
    </row>
    <row r="458" spans="1:13" x14ac:dyDescent="0.35">
      <c r="A458" s="62" t="s">
        <v>28</v>
      </c>
      <c r="B458" s="62" t="s">
        <v>32</v>
      </c>
      <c r="C458" s="62">
        <v>3</v>
      </c>
      <c r="D458" s="62">
        <v>1</v>
      </c>
      <c r="E458" s="62">
        <v>10</v>
      </c>
      <c r="F458" s="62">
        <v>110</v>
      </c>
      <c r="G458" s="62">
        <v>40</v>
      </c>
      <c r="H458" s="62">
        <v>10</v>
      </c>
      <c r="I458" s="62">
        <v>8</v>
      </c>
      <c r="J458" s="95">
        <v>45911</v>
      </c>
      <c r="K458" s="3">
        <v>0.83</v>
      </c>
      <c r="L458" s="3">
        <v>3.54</v>
      </c>
      <c r="M458" s="44">
        <v>48</v>
      </c>
    </row>
    <row r="459" spans="1:13" x14ac:dyDescent="0.35">
      <c r="A459" s="62" t="s">
        <v>33</v>
      </c>
      <c r="B459" s="62" t="s">
        <v>29</v>
      </c>
      <c r="C459" s="62">
        <v>3</v>
      </c>
      <c r="D459" s="62">
        <v>1</v>
      </c>
      <c r="E459" s="62">
        <v>11</v>
      </c>
      <c r="F459" s="62">
        <v>111</v>
      </c>
      <c r="G459" s="62">
        <v>41</v>
      </c>
      <c r="H459" s="62">
        <v>11</v>
      </c>
      <c r="I459" s="62">
        <v>8</v>
      </c>
      <c r="J459" s="95">
        <v>45911</v>
      </c>
      <c r="K459" s="3">
        <v>0.64</v>
      </c>
      <c r="L459" s="3">
        <v>5.63</v>
      </c>
    </row>
    <row r="460" spans="1:13" x14ac:dyDescent="0.35">
      <c r="A460" s="62" t="s">
        <v>33</v>
      </c>
      <c r="B460" s="62" t="s">
        <v>35</v>
      </c>
      <c r="C460" s="62">
        <v>3</v>
      </c>
      <c r="D460" s="62">
        <v>2</v>
      </c>
      <c r="E460" s="62">
        <v>11</v>
      </c>
      <c r="F460" s="62">
        <v>211</v>
      </c>
      <c r="G460" s="62">
        <v>42</v>
      </c>
      <c r="H460" s="62">
        <v>22</v>
      </c>
      <c r="I460" s="62">
        <v>8</v>
      </c>
      <c r="J460" s="95">
        <v>45911</v>
      </c>
      <c r="K460" s="3">
        <v>0.83</v>
      </c>
      <c r="L460" s="3">
        <v>2.11</v>
      </c>
    </row>
    <row r="461" spans="1:13" x14ac:dyDescent="0.35">
      <c r="A461" s="62" t="s">
        <v>33</v>
      </c>
      <c r="B461" s="62" t="s">
        <v>34</v>
      </c>
      <c r="C461" s="62">
        <v>3</v>
      </c>
      <c r="D461" s="62">
        <v>3</v>
      </c>
      <c r="E461" s="62">
        <v>11</v>
      </c>
      <c r="F461" s="62">
        <v>311</v>
      </c>
      <c r="G461" s="62">
        <v>43</v>
      </c>
      <c r="H461" s="62">
        <v>43</v>
      </c>
      <c r="I461" s="62">
        <v>8</v>
      </c>
      <c r="J461" s="95">
        <v>45911</v>
      </c>
      <c r="K461" s="3">
        <v>0.7</v>
      </c>
      <c r="L461" s="3">
        <v>4.88</v>
      </c>
    </row>
    <row r="462" spans="1:13" x14ac:dyDescent="0.35">
      <c r="A462" s="62" t="s">
        <v>33</v>
      </c>
      <c r="B462" s="62" t="s">
        <v>30</v>
      </c>
      <c r="C462" s="62">
        <v>3</v>
      </c>
      <c r="D462" s="62">
        <v>4</v>
      </c>
      <c r="E462" s="62">
        <v>11</v>
      </c>
      <c r="F462" s="62">
        <v>411</v>
      </c>
      <c r="G462" s="62">
        <v>44</v>
      </c>
      <c r="H462" s="62">
        <v>54</v>
      </c>
      <c r="I462" s="62">
        <v>8</v>
      </c>
      <c r="J462" s="95">
        <v>45911</v>
      </c>
      <c r="K462" s="3">
        <v>0.71</v>
      </c>
      <c r="L462" s="3">
        <v>4.18</v>
      </c>
    </row>
    <row r="463" spans="1:13" x14ac:dyDescent="0.35">
      <c r="A463" s="62" t="s">
        <v>33</v>
      </c>
      <c r="B463" s="62" t="s">
        <v>30</v>
      </c>
      <c r="C463" s="62">
        <v>3</v>
      </c>
      <c r="D463" s="62">
        <v>4</v>
      </c>
      <c r="E463" s="62">
        <v>12</v>
      </c>
      <c r="F463" s="62">
        <v>412</v>
      </c>
      <c r="G463" s="62">
        <v>45</v>
      </c>
      <c r="H463" s="62">
        <v>53</v>
      </c>
      <c r="I463" s="62">
        <v>8</v>
      </c>
      <c r="J463" s="95">
        <v>45911</v>
      </c>
      <c r="K463" s="3">
        <v>0.74</v>
      </c>
      <c r="L463" s="3">
        <v>3.17</v>
      </c>
      <c r="M463" s="44">
        <v>44</v>
      </c>
    </row>
    <row r="464" spans="1:13" x14ac:dyDescent="0.35">
      <c r="A464" s="62" t="s">
        <v>33</v>
      </c>
      <c r="B464" s="62" t="s">
        <v>34</v>
      </c>
      <c r="C464" s="62">
        <v>3</v>
      </c>
      <c r="D464" s="62">
        <v>3</v>
      </c>
      <c r="E464" s="62">
        <v>12</v>
      </c>
      <c r="F464" s="62">
        <v>312</v>
      </c>
      <c r="G464" s="62">
        <v>46</v>
      </c>
      <c r="H464" s="62">
        <v>44</v>
      </c>
      <c r="I464" s="62">
        <v>8</v>
      </c>
      <c r="J464" s="95">
        <v>45911</v>
      </c>
      <c r="K464" s="3">
        <v>0.71</v>
      </c>
      <c r="L464" s="3">
        <v>6.3</v>
      </c>
      <c r="M464" s="44">
        <v>52</v>
      </c>
    </row>
    <row r="465" spans="1:13" x14ac:dyDescent="0.35">
      <c r="A465" s="62" t="s">
        <v>33</v>
      </c>
      <c r="B465" s="62" t="s">
        <v>35</v>
      </c>
      <c r="C465" s="62">
        <v>3</v>
      </c>
      <c r="D465" s="62">
        <v>2</v>
      </c>
      <c r="E465" s="62">
        <v>12</v>
      </c>
      <c r="F465" s="62">
        <v>212</v>
      </c>
      <c r="G465" s="62">
        <v>47</v>
      </c>
      <c r="H465" s="62">
        <v>21</v>
      </c>
      <c r="I465" s="62">
        <v>8</v>
      </c>
      <c r="J465" s="95">
        <v>45911</v>
      </c>
      <c r="K465" s="3">
        <v>0.83</v>
      </c>
      <c r="L465" s="3">
        <v>1.85</v>
      </c>
      <c r="M465" s="44">
        <v>50</v>
      </c>
    </row>
    <row r="466" spans="1:13" x14ac:dyDescent="0.35">
      <c r="A466" s="62" t="s">
        <v>33</v>
      </c>
      <c r="B466" s="62" t="s">
        <v>29</v>
      </c>
      <c r="C466" s="62">
        <v>3</v>
      </c>
      <c r="D466" s="62">
        <v>1</v>
      </c>
      <c r="E466" s="62">
        <v>12</v>
      </c>
      <c r="F466" s="62">
        <v>112</v>
      </c>
      <c r="G466" s="62">
        <v>48</v>
      </c>
      <c r="H466" s="62">
        <v>12</v>
      </c>
      <c r="I466" s="62">
        <v>8</v>
      </c>
      <c r="J466" s="95">
        <v>45911</v>
      </c>
      <c r="K466" s="3">
        <v>0.66</v>
      </c>
      <c r="L466" s="3">
        <v>9.2899999999999991</v>
      </c>
      <c r="M466" s="44">
        <v>47</v>
      </c>
    </row>
    <row r="467" spans="1:13" x14ac:dyDescent="0.35">
      <c r="A467" s="62" t="s">
        <v>28</v>
      </c>
      <c r="B467" s="62" t="s">
        <v>30</v>
      </c>
      <c r="C467" s="62">
        <v>4</v>
      </c>
      <c r="D467" s="62">
        <v>1</v>
      </c>
      <c r="E467" s="62">
        <v>13</v>
      </c>
      <c r="F467" s="62">
        <v>113</v>
      </c>
      <c r="G467" s="62">
        <v>49</v>
      </c>
      <c r="H467" s="62">
        <v>13</v>
      </c>
      <c r="I467" s="62">
        <v>8</v>
      </c>
      <c r="J467" s="95">
        <v>45911</v>
      </c>
      <c r="K467" s="3">
        <v>0.82</v>
      </c>
      <c r="L467" s="3">
        <v>2.3199999999999998</v>
      </c>
    </row>
    <row r="468" spans="1:13" x14ac:dyDescent="0.35">
      <c r="A468" s="62" t="s">
        <v>28</v>
      </c>
      <c r="B468" s="62" t="s">
        <v>29</v>
      </c>
      <c r="C468" s="62">
        <v>4</v>
      </c>
      <c r="D468" s="62">
        <v>2</v>
      </c>
      <c r="E468" s="62">
        <v>13</v>
      </c>
      <c r="F468" s="62">
        <v>213</v>
      </c>
      <c r="G468" s="62">
        <v>50</v>
      </c>
      <c r="H468" s="62">
        <v>20</v>
      </c>
      <c r="I468" s="62">
        <v>8</v>
      </c>
      <c r="J468" s="95">
        <v>45911</v>
      </c>
      <c r="K468" s="3">
        <v>0.82</v>
      </c>
      <c r="L468" s="3">
        <v>2.36</v>
      </c>
    </row>
    <row r="469" spans="1:13" x14ac:dyDescent="0.35">
      <c r="A469" s="62" t="s">
        <v>28</v>
      </c>
      <c r="B469" s="62" t="s">
        <v>32</v>
      </c>
      <c r="C469" s="62">
        <v>4</v>
      </c>
      <c r="D469" s="62">
        <v>3</v>
      </c>
      <c r="E469" s="62">
        <v>13</v>
      </c>
      <c r="F469" s="62">
        <v>313</v>
      </c>
      <c r="G469" s="62">
        <v>51</v>
      </c>
      <c r="H469" s="62">
        <v>45</v>
      </c>
      <c r="I469" s="62">
        <v>8</v>
      </c>
      <c r="J469" s="95">
        <v>45911</v>
      </c>
      <c r="K469" s="3">
        <v>0.74</v>
      </c>
      <c r="L469" s="3">
        <v>2.88</v>
      </c>
    </row>
    <row r="470" spans="1:13" x14ac:dyDescent="0.35">
      <c r="A470" s="62" t="s">
        <v>28</v>
      </c>
      <c r="B470" s="62" t="s">
        <v>31</v>
      </c>
      <c r="C470" s="62">
        <v>4</v>
      </c>
      <c r="D470" s="62">
        <v>4</v>
      </c>
      <c r="E470" s="62">
        <v>13</v>
      </c>
      <c r="F470" s="62">
        <v>413</v>
      </c>
      <c r="G470" s="62">
        <v>52</v>
      </c>
      <c r="H470" s="62">
        <v>52</v>
      </c>
      <c r="I470" s="62">
        <v>8</v>
      </c>
      <c r="J470" s="95">
        <v>45911</v>
      </c>
      <c r="K470" s="3">
        <v>0.8</v>
      </c>
      <c r="L470" s="3">
        <v>5.05</v>
      </c>
    </row>
    <row r="471" spans="1:13" x14ac:dyDescent="0.35">
      <c r="A471" s="62" t="s">
        <v>28</v>
      </c>
      <c r="B471" s="62" t="s">
        <v>31</v>
      </c>
      <c r="C471" s="62">
        <v>4</v>
      </c>
      <c r="D471" s="62">
        <v>4</v>
      </c>
      <c r="E471" s="62">
        <v>14</v>
      </c>
      <c r="F471" s="62">
        <v>414</v>
      </c>
      <c r="G471" s="62">
        <v>53</v>
      </c>
      <c r="H471" s="62">
        <v>51</v>
      </c>
      <c r="I471" s="62">
        <v>8</v>
      </c>
      <c r="J471" s="95">
        <v>45911</v>
      </c>
      <c r="K471" s="3">
        <v>0.81</v>
      </c>
      <c r="L471" s="3">
        <v>1.94</v>
      </c>
      <c r="M471" s="44">
        <v>67</v>
      </c>
    </row>
    <row r="472" spans="1:13" x14ac:dyDescent="0.35">
      <c r="A472" s="62" t="s">
        <v>28</v>
      </c>
      <c r="B472" s="62" t="s">
        <v>32</v>
      </c>
      <c r="C472" s="62">
        <v>4</v>
      </c>
      <c r="D472" s="62">
        <v>3</v>
      </c>
      <c r="E472" s="62">
        <v>14</v>
      </c>
      <c r="F472" s="62">
        <v>314</v>
      </c>
      <c r="G472" s="62">
        <v>54</v>
      </c>
      <c r="H472" s="62">
        <v>46</v>
      </c>
      <c r="I472" s="62">
        <v>8</v>
      </c>
      <c r="J472" s="95">
        <v>45911</v>
      </c>
      <c r="K472" s="3">
        <v>0.74</v>
      </c>
      <c r="L472" s="3">
        <v>5.54</v>
      </c>
      <c r="M472" s="44">
        <v>45</v>
      </c>
    </row>
    <row r="473" spans="1:13" x14ac:dyDescent="0.35">
      <c r="A473" s="62" t="s">
        <v>28</v>
      </c>
      <c r="B473" s="62" t="s">
        <v>29</v>
      </c>
      <c r="C473" s="62">
        <v>4</v>
      </c>
      <c r="D473" s="62">
        <v>2</v>
      </c>
      <c r="E473" s="62">
        <v>14</v>
      </c>
      <c r="F473" s="62">
        <v>214</v>
      </c>
      <c r="G473" s="62">
        <v>55</v>
      </c>
      <c r="H473" s="62">
        <v>19</v>
      </c>
      <c r="I473" s="62">
        <v>8</v>
      </c>
      <c r="J473" s="95">
        <v>45911</v>
      </c>
      <c r="K473" s="3">
        <v>0.8</v>
      </c>
      <c r="L473" s="3">
        <v>2.04</v>
      </c>
      <c r="M473" s="44">
        <v>62</v>
      </c>
    </row>
    <row r="474" spans="1:13" x14ac:dyDescent="0.35">
      <c r="A474" s="62" t="s">
        <v>28</v>
      </c>
      <c r="B474" s="62" t="s">
        <v>30</v>
      </c>
      <c r="C474" s="62">
        <v>4</v>
      </c>
      <c r="D474" s="62">
        <v>1</v>
      </c>
      <c r="E474" s="62">
        <v>14</v>
      </c>
      <c r="F474" s="62">
        <v>114</v>
      </c>
      <c r="G474" s="62">
        <v>56</v>
      </c>
      <c r="H474" s="62">
        <v>14</v>
      </c>
      <c r="I474" s="62">
        <v>8</v>
      </c>
      <c r="J474" s="95">
        <v>45911</v>
      </c>
      <c r="K474" s="3">
        <v>0.78</v>
      </c>
      <c r="L474" s="3">
        <v>6.22</v>
      </c>
      <c r="M474" s="44">
        <v>67</v>
      </c>
    </row>
    <row r="475" spans="1:13" x14ac:dyDescent="0.35">
      <c r="A475" s="62" t="s">
        <v>33</v>
      </c>
      <c r="B475" s="62" t="s">
        <v>30</v>
      </c>
      <c r="C475" s="62">
        <v>4</v>
      </c>
      <c r="D475" s="62">
        <v>1</v>
      </c>
      <c r="E475" s="62">
        <v>15</v>
      </c>
      <c r="F475" s="62">
        <v>115</v>
      </c>
      <c r="G475" s="62">
        <v>57</v>
      </c>
      <c r="H475" s="62">
        <v>15</v>
      </c>
      <c r="I475" s="62">
        <v>8</v>
      </c>
      <c r="J475" s="95">
        <v>45911</v>
      </c>
      <c r="K475" s="3">
        <v>0.67</v>
      </c>
      <c r="L475" s="3">
        <v>4.58</v>
      </c>
    </row>
    <row r="476" spans="1:13" x14ac:dyDescent="0.35">
      <c r="A476" s="62" t="s">
        <v>33</v>
      </c>
      <c r="B476" s="62" t="s">
        <v>34</v>
      </c>
      <c r="C476" s="62">
        <v>4</v>
      </c>
      <c r="D476" s="62">
        <v>2</v>
      </c>
      <c r="E476" s="62">
        <v>15</v>
      </c>
      <c r="F476" s="62">
        <v>215</v>
      </c>
      <c r="G476" s="62">
        <v>58</v>
      </c>
      <c r="H476" s="62">
        <v>18</v>
      </c>
      <c r="I476" s="62">
        <v>8</v>
      </c>
      <c r="J476" s="95">
        <v>45911</v>
      </c>
      <c r="K476" s="3">
        <v>0.74</v>
      </c>
      <c r="L476" s="3">
        <v>4.75</v>
      </c>
    </row>
    <row r="477" spans="1:13" x14ac:dyDescent="0.35">
      <c r="A477" s="62" t="s">
        <v>33</v>
      </c>
      <c r="B477" s="62" t="s">
        <v>29</v>
      </c>
      <c r="C477" s="62">
        <v>4</v>
      </c>
      <c r="D477" s="62">
        <v>3</v>
      </c>
      <c r="E477" s="62">
        <v>15</v>
      </c>
      <c r="F477" s="62">
        <v>315</v>
      </c>
      <c r="G477" s="62">
        <v>59</v>
      </c>
      <c r="H477" s="62">
        <v>47</v>
      </c>
      <c r="I477" s="62">
        <v>8</v>
      </c>
      <c r="J477" s="95">
        <v>45911</v>
      </c>
      <c r="K477" s="3">
        <v>0.66</v>
      </c>
      <c r="L477" s="3">
        <v>4.0999999999999996</v>
      </c>
    </row>
    <row r="478" spans="1:13" x14ac:dyDescent="0.35">
      <c r="A478" s="62" t="s">
        <v>33</v>
      </c>
      <c r="B478" s="62" t="s">
        <v>35</v>
      </c>
      <c r="C478" s="62">
        <v>4</v>
      </c>
      <c r="D478" s="62">
        <v>4</v>
      </c>
      <c r="E478" s="62">
        <v>15</v>
      </c>
      <c r="F478" s="62">
        <v>415</v>
      </c>
      <c r="G478" s="62">
        <v>60</v>
      </c>
      <c r="H478" s="62">
        <v>50</v>
      </c>
      <c r="I478" s="62">
        <v>8</v>
      </c>
      <c r="J478" s="95">
        <v>45911</v>
      </c>
      <c r="K478" s="3">
        <v>0.8</v>
      </c>
      <c r="L478" s="3">
        <v>3.99</v>
      </c>
    </row>
    <row r="479" spans="1:13" x14ac:dyDescent="0.35">
      <c r="A479" s="62" t="s">
        <v>33</v>
      </c>
      <c r="B479" s="62" t="s">
        <v>35</v>
      </c>
      <c r="C479" s="62">
        <v>4</v>
      </c>
      <c r="D479" s="62">
        <v>4</v>
      </c>
      <c r="E479" s="62">
        <v>16</v>
      </c>
      <c r="F479" s="62">
        <v>416</v>
      </c>
      <c r="G479" s="62">
        <v>61</v>
      </c>
      <c r="H479" s="62">
        <v>49</v>
      </c>
      <c r="I479" s="62">
        <v>8</v>
      </c>
      <c r="J479" s="95">
        <v>45911</v>
      </c>
      <c r="K479" s="3">
        <v>0.85</v>
      </c>
      <c r="L479" s="3">
        <v>1.33</v>
      </c>
      <c r="M479" s="44">
        <v>53</v>
      </c>
    </row>
    <row r="480" spans="1:13" x14ac:dyDescent="0.35">
      <c r="A480" s="62" t="s">
        <v>33</v>
      </c>
      <c r="B480" s="62" t="s">
        <v>29</v>
      </c>
      <c r="C480" s="62">
        <v>4</v>
      </c>
      <c r="D480" s="62">
        <v>3</v>
      </c>
      <c r="E480" s="62">
        <v>16</v>
      </c>
      <c r="F480" s="62">
        <v>316</v>
      </c>
      <c r="G480" s="62">
        <v>62</v>
      </c>
      <c r="H480" s="62">
        <v>48</v>
      </c>
      <c r="I480" s="62">
        <v>8</v>
      </c>
      <c r="J480" s="95">
        <v>45911</v>
      </c>
      <c r="K480" s="3">
        <v>0.7</v>
      </c>
      <c r="L480" s="3">
        <v>4.04</v>
      </c>
      <c r="M480" s="44">
        <v>42</v>
      </c>
    </row>
    <row r="481" spans="1:13" x14ac:dyDescent="0.35">
      <c r="A481" s="62" t="s">
        <v>33</v>
      </c>
      <c r="B481" s="62" t="s">
        <v>34</v>
      </c>
      <c r="C481" s="62">
        <v>4</v>
      </c>
      <c r="D481" s="62">
        <v>2</v>
      </c>
      <c r="E481" s="62">
        <v>16</v>
      </c>
      <c r="F481" s="62">
        <v>216</v>
      </c>
      <c r="G481" s="62">
        <v>63</v>
      </c>
      <c r="H481" s="62">
        <v>17</v>
      </c>
      <c r="I481" s="62">
        <v>8</v>
      </c>
      <c r="J481" s="95">
        <v>45911</v>
      </c>
      <c r="K481" s="3">
        <v>0.74</v>
      </c>
      <c r="L481" s="3">
        <v>5.04</v>
      </c>
      <c r="M481" s="44">
        <v>52</v>
      </c>
    </row>
    <row r="482" spans="1:13" x14ac:dyDescent="0.35">
      <c r="A482" s="62" t="s">
        <v>33</v>
      </c>
      <c r="B482" s="62" t="s">
        <v>30</v>
      </c>
      <c r="C482" s="62">
        <v>4</v>
      </c>
      <c r="D482" s="62">
        <v>1</v>
      </c>
      <c r="E482" s="62">
        <v>16</v>
      </c>
      <c r="F482" s="62">
        <v>116</v>
      </c>
      <c r="G482" s="62">
        <v>64</v>
      </c>
      <c r="H482" s="62">
        <v>16</v>
      </c>
      <c r="I482" s="62">
        <v>8</v>
      </c>
      <c r="J482" s="95">
        <v>45911</v>
      </c>
      <c r="K482" s="3">
        <v>0.67</v>
      </c>
      <c r="L482" s="3">
        <v>4.66</v>
      </c>
      <c r="M482" s="44">
        <v>56</v>
      </c>
    </row>
    <row r="483" spans="1:13" x14ac:dyDescent="0.35">
      <c r="A483" s="62" t="s">
        <v>28</v>
      </c>
      <c r="B483" s="62" t="s">
        <v>29</v>
      </c>
      <c r="C483" s="62">
        <v>1</v>
      </c>
      <c r="D483" s="62">
        <v>1</v>
      </c>
      <c r="E483" s="62">
        <v>1</v>
      </c>
      <c r="F483" s="62">
        <v>101</v>
      </c>
      <c r="G483" s="62">
        <v>1</v>
      </c>
      <c r="H483" s="62">
        <v>1</v>
      </c>
      <c r="I483" s="62">
        <v>9</v>
      </c>
      <c r="J483" s="95">
        <v>45926</v>
      </c>
      <c r="K483" s="3">
        <v>0.8</v>
      </c>
      <c r="L483" s="3">
        <v>2.33</v>
      </c>
    </row>
    <row r="484" spans="1:13" x14ac:dyDescent="0.35">
      <c r="A484" s="62" t="s">
        <v>28</v>
      </c>
      <c r="B484" s="62" t="s">
        <v>30</v>
      </c>
      <c r="C484" s="62">
        <v>1</v>
      </c>
      <c r="D484" s="62">
        <v>2</v>
      </c>
      <c r="E484" s="62">
        <v>1</v>
      </c>
      <c r="F484" s="62">
        <v>201</v>
      </c>
      <c r="G484" s="62">
        <v>2</v>
      </c>
      <c r="H484" s="62">
        <v>32</v>
      </c>
      <c r="I484" s="62">
        <v>9</v>
      </c>
      <c r="J484" s="95">
        <v>45926</v>
      </c>
      <c r="K484" s="3">
        <v>0.79</v>
      </c>
      <c r="L484" s="3">
        <v>3.47</v>
      </c>
    </row>
    <row r="485" spans="1:13" x14ac:dyDescent="0.35">
      <c r="A485" s="62" t="s">
        <v>28</v>
      </c>
      <c r="B485" s="62" t="s">
        <v>31</v>
      </c>
      <c r="C485" s="62">
        <v>1</v>
      </c>
      <c r="D485" s="62">
        <v>3</v>
      </c>
      <c r="E485" s="62">
        <v>1</v>
      </c>
      <c r="F485" s="62">
        <v>301</v>
      </c>
      <c r="G485" s="62">
        <v>3</v>
      </c>
      <c r="H485" s="62">
        <v>33</v>
      </c>
      <c r="I485" s="62">
        <v>9</v>
      </c>
      <c r="J485" s="95">
        <v>45926</v>
      </c>
      <c r="K485" s="3">
        <v>0.77</v>
      </c>
      <c r="L485" s="3">
        <v>2.5499999999999998</v>
      </c>
    </row>
    <row r="486" spans="1:13" x14ac:dyDescent="0.35">
      <c r="A486" s="62" t="s">
        <v>28</v>
      </c>
      <c r="B486" s="62" t="s">
        <v>32</v>
      </c>
      <c r="C486" s="62">
        <v>1</v>
      </c>
      <c r="D486" s="62">
        <v>4</v>
      </c>
      <c r="E486" s="62">
        <v>1</v>
      </c>
      <c r="F486" s="62">
        <v>401</v>
      </c>
      <c r="G486" s="62">
        <v>4</v>
      </c>
      <c r="H486" s="62">
        <v>64</v>
      </c>
      <c r="I486" s="62">
        <v>9</v>
      </c>
      <c r="J486" s="95">
        <v>45926</v>
      </c>
      <c r="K486" s="3">
        <v>0.76</v>
      </c>
      <c r="L486" s="3">
        <v>2.99</v>
      </c>
    </row>
    <row r="487" spans="1:13" x14ac:dyDescent="0.35">
      <c r="A487" s="62" t="s">
        <v>28</v>
      </c>
      <c r="B487" s="62" t="s">
        <v>32</v>
      </c>
      <c r="C487" s="62">
        <v>1</v>
      </c>
      <c r="D487" s="62">
        <v>4</v>
      </c>
      <c r="E487" s="62">
        <v>2</v>
      </c>
      <c r="F487" s="62">
        <v>402</v>
      </c>
      <c r="G487" s="62">
        <v>5</v>
      </c>
      <c r="H487" s="62">
        <v>63</v>
      </c>
      <c r="I487" s="62">
        <v>9</v>
      </c>
      <c r="J487" s="95">
        <v>45926</v>
      </c>
      <c r="K487" s="3">
        <v>0.78</v>
      </c>
      <c r="L487" s="3">
        <v>3.28</v>
      </c>
    </row>
    <row r="488" spans="1:13" x14ac:dyDescent="0.35">
      <c r="A488" s="62" t="s">
        <v>28</v>
      </c>
      <c r="B488" s="62" t="s">
        <v>31</v>
      </c>
      <c r="C488" s="62">
        <v>1</v>
      </c>
      <c r="D488" s="62">
        <v>3</v>
      </c>
      <c r="E488" s="62">
        <v>2</v>
      </c>
      <c r="F488" s="62">
        <v>302</v>
      </c>
      <c r="G488" s="62">
        <v>6</v>
      </c>
      <c r="H488" s="62">
        <v>34</v>
      </c>
      <c r="I488" s="62">
        <v>9</v>
      </c>
      <c r="J488" s="95">
        <v>45926</v>
      </c>
      <c r="K488" s="3">
        <v>0.76</v>
      </c>
      <c r="L488" s="3">
        <v>2.48</v>
      </c>
    </row>
    <row r="489" spans="1:13" x14ac:dyDescent="0.35">
      <c r="A489" s="62" t="s">
        <v>28</v>
      </c>
      <c r="B489" s="62" t="s">
        <v>30</v>
      </c>
      <c r="C489" s="62">
        <v>1</v>
      </c>
      <c r="D489" s="62">
        <v>2</v>
      </c>
      <c r="E489" s="62">
        <v>2</v>
      </c>
      <c r="F489" s="62">
        <v>202</v>
      </c>
      <c r="G489" s="62">
        <v>7</v>
      </c>
      <c r="H489" s="62">
        <v>31</v>
      </c>
      <c r="I489" s="62">
        <v>9</v>
      </c>
      <c r="J489" s="95">
        <v>45926</v>
      </c>
      <c r="K489" s="3">
        <v>0.81</v>
      </c>
      <c r="L489" s="3">
        <v>2.74</v>
      </c>
    </row>
    <row r="490" spans="1:13" x14ac:dyDescent="0.35">
      <c r="A490" s="62" t="s">
        <v>28</v>
      </c>
      <c r="B490" s="62" t="s">
        <v>29</v>
      </c>
      <c r="C490" s="62">
        <v>1</v>
      </c>
      <c r="D490" s="62">
        <v>1</v>
      </c>
      <c r="E490" s="62">
        <v>2</v>
      </c>
      <c r="F490" s="62">
        <v>102</v>
      </c>
      <c r="G490" s="62">
        <v>8</v>
      </c>
      <c r="H490" s="62">
        <v>2</v>
      </c>
      <c r="I490" s="62">
        <v>9</v>
      </c>
      <c r="J490" s="95">
        <v>45926</v>
      </c>
      <c r="K490" s="3">
        <v>0.79</v>
      </c>
      <c r="L490" s="3">
        <v>3.88</v>
      </c>
    </row>
    <row r="491" spans="1:13" x14ac:dyDescent="0.35">
      <c r="A491" s="62" t="s">
        <v>33</v>
      </c>
      <c r="B491" s="62" t="s">
        <v>34</v>
      </c>
      <c r="C491" s="62">
        <v>1</v>
      </c>
      <c r="D491" s="62">
        <v>1</v>
      </c>
      <c r="E491" s="62">
        <v>3</v>
      </c>
      <c r="F491" s="62">
        <v>103</v>
      </c>
      <c r="G491" s="62">
        <v>9</v>
      </c>
      <c r="H491" s="62">
        <v>3</v>
      </c>
      <c r="I491" s="62">
        <v>9</v>
      </c>
      <c r="J491" s="95">
        <v>45926</v>
      </c>
      <c r="K491" s="3">
        <v>0.79</v>
      </c>
      <c r="L491" s="3">
        <v>3.12</v>
      </c>
    </row>
    <row r="492" spans="1:13" x14ac:dyDescent="0.35">
      <c r="A492" s="62" t="s">
        <v>33</v>
      </c>
      <c r="B492" s="62" t="s">
        <v>30</v>
      </c>
      <c r="C492" s="62">
        <v>1</v>
      </c>
      <c r="D492" s="62">
        <v>2</v>
      </c>
      <c r="E492" s="62">
        <v>3</v>
      </c>
      <c r="F492" s="62">
        <v>203</v>
      </c>
      <c r="G492" s="62">
        <v>10</v>
      </c>
      <c r="H492" s="62">
        <v>30</v>
      </c>
      <c r="I492" s="62">
        <v>9</v>
      </c>
      <c r="J492" s="95">
        <v>45926</v>
      </c>
      <c r="K492" s="3">
        <v>0.79</v>
      </c>
      <c r="L492" s="3">
        <v>1.77</v>
      </c>
    </row>
    <row r="493" spans="1:13" x14ac:dyDescent="0.35">
      <c r="A493" s="62" t="s">
        <v>33</v>
      </c>
      <c r="B493" s="62" t="s">
        <v>35</v>
      </c>
      <c r="C493" s="62">
        <v>1</v>
      </c>
      <c r="D493" s="62">
        <v>3</v>
      </c>
      <c r="E493" s="62">
        <v>3</v>
      </c>
      <c r="F493" s="62">
        <v>303</v>
      </c>
      <c r="G493" s="62">
        <v>11</v>
      </c>
      <c r="H493" s="62">
        <v>35</v>
      </c>
      <c r="I493" s="62">
        <v>9</v>
      </c>
      <c r="J493" s="95">
        <v>45926</v>
      </c>
      <c r="K493" s="3">
        <v>0.74</v>
      </c>
      <c r="L493" s="3">
        <v>2.92</v>
      </c>
    </row>
    <row r="494" spans="1:13" x14ac:dyDescent="0.35">
      <c r="A494" s="62" t="s">
        <v>33</v>
      </c>
      <c r="B494" s="62" t="s">
        <v>29</v>
      </c>
      <c r="C494" s="62">
        <v>1</v>
      </c>
      <c r="D494" s="62">
        <v>4</v>
      </c>
      <c r="E494" s="62">
        <v>3</v>
      </c>
      <c r="F494" s="62">
        <v>403</v>
      </c>
      <c r="G494" s="62">
        <v>12</v>
      </c>
      <c r="H494" s="62">
        <v>62</v>
      </c>
      <c r="I494" s="62">
        <v>9</v>
      </c>
      <c r="J494" s="95">
        <v>45926</v>
      </c>
      <c r="K494" s="3">
        <v>0.79</v>
      </c>
      <c r="L494" s="3">
        <v>2.4700000000000002</v>
      </c>
    </row>
    <row r="495" spans="1:13" x14ac:dyDescent="0.35">
      <c r="A495" s="62" t="s">
        <v>33</v>
      </c>
      <c r="B495" s="62" t="s">
        <v>29</v>
      </c>
      <c r="C495" s="62">
        <v>1</v>
      </c>
      <c r="D495" s="62">
        <v>4</v>
      </c>
      <c r="E495" s="62">
        <v>4</v>
      </c>
      <c r="F495" s="62">
        <v>404</v>
      </c>
      <c r="G495" s="62">
        <v>13</v>
      </c>
      <c r="H495" s="62">
        <v>61</v>
      </c>
      <c r="I495" s="62">
        <v>9</v>
      </c>
      <c r="J495" s="95">
        <v>45926</v>
      </c>
      <c r="K495" s="3">
        <v>0.79</v>
      </c>
      <c r="L495" s="3">
        <v>3.41</v>
      </c>
    </row>
    <row r="496" spans="1:13" x14ac:dyDescent="0.35">
      <c r="A496" s="62" t="s">
        <v>33</v>
      </c>
      <c r="B496" s="62" t="s">
        <v>35</v>
      </c>
      <c r="C496" s="62">
        <v>1</v>
      </c>
      <c r="D496" s="62">
        <v>3</v>
      </c>
      <c r="E496" s="62">
        <v>4</v>
      </c>
      <c r="F496" s="62">
        <v>304</v>
      </c>
      <c r="G496" s="62">
        <v>14</v>
      </c>
      <c r="H496" s="62">
        <v>36</v>
      </c>
      <c r="I496" s="62">
        <v>9</v>
      </c>
      <c r="J496" s="95">
        <v>45926</v>
      </c>
      <c r="K496" s="3">
        <v>0.78</v>
      </c>
      <c r="L496" s="3">
        <v>1.64</v>
      </c>
    </row>
    <row r="497" spans="1:12" x14ac:dyDescent="0.35">
      <c r="A497" s="62" t="s">
        <v>33</v>
      </c>
      <c r="B497" s="62" t="s">
        <v>30</v>
      </c>
      <c r="C497" s="62">
        <v>1</v>
      </c>
      <c r="D497" s="62">
        <v>2</v>
      </c>
      <c r="E497" s="62">
        <v>4</v>
      </c>
      <c r="F497" s="62">
        <v>204</v>
      </c>
      <c r="G497" s="62">
        <v>15</v>
      </c>
      <c r="H497" s="62">
        <v>29</v>
      </c>
      <c r="I497" s="62">
        <v>9</v>
      </c>
      <c r="J497" s="95">
        <v>45926</v>
      </c>
      <c r="K497" s="3">
        <v>0.81</v>
      </c>
      <c r="L497" s="3">
        <v>1.8</v>
      </c>
    </row>
    <row r="498" spans="1:12" x14ac:dyDescent="0.35">
      <c r="A498" s="62" t="s">
        <v>33</v>
      </c>
      <c r="B498" s="62" t="s">
        <v>34</v>
      </c>
      <c r="C498" s="62">
        <v>1</v>
      </c>
      <c r="D498" s="62">
        <v>1</v>
      </c>
      <c r="E498" s="62">
        <v>4</v>
      </c>
      <c r="F498" s="62">
        <v>104</v>
      </c>
      <c r="G498" s="62">
        <v>16</v>
      </c>
      <c r="H498" s="62">
        <v>4</v>
      </c>
      <c r="I498" s="62">
        <v>9</v>
      </c>
      <c r="J498" s="95">
        <v>45926</v>
      </c>
      <c r="K498" s="3">
        <v>0.81</v>
      </c>
      <c r="L498" s="3">
        <v>1.1000000000000001</v>
      </c>
    </row>
    <row r="499" spans="1:12" x14ac:dyDescent="0.35">
      <c r="A499" s="62" t="s">
        <v>28</v>
      </c>
      <c r="B499" s="62" t="s">
        <v>31</v>
      </c>
      <c r="C499" s="62">
        <v>2</v>
      </c>
      <c r="D499" s="62">
        <v>1</v>
      </c>
      <c r="E499" s="62">
        <v>5</v>
      </c>
      <c r="F499" s="62">
        <v>105</v>
      </c>
      <c r="G499" s="62">
        <v>17</v>
      </c>
      <c r="H499" s="62">
        <v>5</v>
      </c>
      <c r="I499" s="62">
        <v>9</v>
      </c>
      <c r="J499" s="95">
        <v>45926</v>
      </c>
      <c r="K499" s="3">
        <v>0.83</v>
      </c>
      <c r="L499" s="3">
        <v>1.41</v>
      </c>
    </row>
    <row r="500" spans="1:12" x14ac:dyDescent="0.35">
      <c r="A500" s="62" t="s">
        <v>28</v>
      </c>
      <c r="B500" s="62" t="s">
        <v>32</v>
      </c>
      <c r="C500" s="62">
        <v>2</v>
      </c>
      <c r="D500" s="62">
        <v>2</v>
      </c>
      <c r="E500" s="62">
        <v>5</v>
      </c>
      <c r="F500" s="62">
        <v>205</v>
      </c>
      <c r="G500" s="62">
        <v>18</v>
      </c>
      <c r="H500" s="62">
        <v>28</v>
      </c>
      <c r="I500" s="62">
        <v>9</v>
      </c>
      <c r="J500" s="95">
        <v>45926</v>
      </c>
      <c r="K500" s="3">
        <v>0.83</v>
      </c>
      <c r="L500" s="3">
        <v>1.73</v>
      </c>
    </row>
    <row r="501" spans="1:12" x14ac:dyDescent="0.35">
      <c r="A501" s="62" t="s">
        <v>28</v>
      </c>
      <c r="B501" s="62" t="s">
        <v>30</v>
      </c>
      <c r="C501" s="62">
        <v>2</v>
      </c>
      <c r="D501" s="62">
        <v>3</v>
      </c>
      <c r="E501" s="62">
        <v>5</v>
      </c>
      <c r="F501" s="62">
        <v>305</v>
      </c>
      <c r="G501" s="62">
        <v>19</v>
      </c>
      <c r="H501" s="62">
        <v>37</v>
      </c>
      <c r="I501" s="62">
        <v>9</v>
      </c>
      <c r="J501" s="95">
        <v>45926</v>
      </c>
      <c r="K501" s="3">
        <v>0.71</v>
      </c>
      <c r="L501" s="3">
        <v>3.49</v>
      </c>
    </row>
    <row r="502" spans="1:12" x14ac:dyDescent="0.35">
      <c r="A502" s="62" t="s">
        <v>28</v>
      </c>
      <c r="B502" s="62" t="s">
        <v>29</v>
      </c>
      <c r="C502" s="62">
        <v>2</v>
      </c>
      <c r="D502" s="62">
        <v>4</v>
      </c>
      <c r="E502" s="62">
        <v>5</v>
      </c>
      <c r="F502" s="62">
        <v>405</v>
      </c>
      <c r="G502" s="62">
        <v>20</v>
      </c>
      <c r="H502" s="62">
        <v>60</v>
      </c>
      <c r="I502" s="62">
        <v>9</v>
      </c>
      <c r="J502" s="95">
        <v>45926</v>
      </c>
      <c r="K502" s="3">
        <v>0.72</v>
      </c>
      <c r="L502" s="3">
        <v>4.3</v>
      </c>
    </row>
    <row r="503" spans="1:12" x14ac:dyDescent="0.35">
      <c r="A503" s="62" t="s">
        <v>28</v>
      </c>
      <c r="B503" s="62" t="s">
        <v>29</v>
      </c>
      <c r="C503" s="62">
        <v>2</v>
      </c>
      <c r="D503" s="62">
        <v>4</v>
      </c>
      <c r="E503" s="62">
        <v>6</v>
      </c>
      <c r="F503" s="62">
        <v>406</v>
      </c>
      <c r="G503" s="62">
        <v>21</v>
      </c>
      <c r="H503" s="62">
        <v>59</v>
      </c>
      <c r="I503" s="62">
        <v>9</v>
      </c>
      <c r="J503" s="95">
        <v>45926</v>
      </c>
      <c r="K503" s="3">
        <v>0.77</v>
      </c>
      <c r="L503" s="3">
        <v>3.27</v>
      </c>
    </row>
    <row r="504" spans="1:12" x14ac:dyDescent="0.35">
      <c r="A504" s="62" t="s">
        <v>28</v>
      </c>
      <c r="B504" s="62" t="s">
        <v>30</v>
      </c>
      <c r="C504" s="62">
        <v>2</v>
      </c>
      <c r="D504" s="62">
        <v>3</v>
      </c>
      <c r="E504" s="62">
        <v>6</v>
      </c>
      <c r="F504" s="62">
        <v>306</v>
      </c>
      <c r="G504" s="62">
        <v>22</v>
      </c>
      <c r="H504" s="62">
        <v>38</v>
      </c>
      <c r="I504" s="62">
        <v>9</v>
      </c>
      <c r="J504" s="95">
        <v>45926</v>
      </c>
      <c r="K504" s="3">
        <v>0.77</v>
      </c>
      <c r="L504" s="3">
        <v>1.1399999999999999</v>
      </c>
    </row>
    <row r="505" spans="1:12" x14ac:dyDescent="0.35">
      <c r="A505" s="62" t="s">
        <v>28</v>
      </c>
      <c r="B505" s="62" t="s">
        <v>32</v>
      </c>
      <c r="C505" s="62">
        <v>2</v>
      </c>
      <c r="D505" s="62">
        <v>2</v>
      </c>
      <c r="E505" s="62">
        <v>6</v>
      </c>
      <c r="F505" s="62">
        <v>206</v>
      </c>
      <c r="G505" s="62">
        <v>23</v>
      </c>
      <c r="H505" s="62">
        <v>27</v>
      </c>
      <c r="I505" s="62">
        <v>9</v>
      </c>
      <c r="J505" s="95">
        <v>45926</v>
      </c>
      <c r="K505" s="3">
        <v>0.85</v>
      </c>
      <c r="L505" s="3">
        <v>2.52</v>
      </c>
    </row>
    <row r="506" spans="1:12" x14ac:dyDescent="0.35">
      <c r="A506" s="62" t="s">
        <v>28</v>
      </c>
      <c r="B506" s="62" t="s">
        <v>31</v>
      </c>
      <c r="C506" s="62">
        <v>2</v>
      </c>
      <c r="D506" s="62">
        <v>1</v>
      </c>
      <c r="E506" s="62">
        <v>6</v>
      </c>
      <c r="F506" s="62">
        <v>106</v>
      </c>
      <c r="G506" s="62">
        <v>24</v>
      </c>
      <c r="H506" s="62">
        <v>6</v>
      </c>
      <c r="I506" s="62">
        <v>9</v>
      </c>
      <c r="J506" s="95">
        <v>45926</v>
      </c>
      <c r="K506" s="3">
        <v>0.82</v>
      </c>
      <c r="L506" s="3">
        <v>0.75</v>
      </c>
    </row>
    <row r="507" spans="1:12" x14ac:dyDescent="0.35">
      <c r="A507" s="62" t="s">
        <v>33</v>
      </c>
      <c r="B507" s="62" t="s">
        <v>35</v>
      </c>
      <c r="C507" s="62">
        <v>2</v>
      </c>
      <c r="D507" s="62">
        <v>1</v>
      </c>
      <c r="E507" s="62">
        <v>7</v>
      </c>
      <c r="F507" s="62">
        <v>107</v>
      </c>
      <c r="G507" s="62">
        <v>25</v>
      </c>
      <c r="H507" s="62">
        <v>7</v>
      </c>
      <c r="I507" s="62">
        <v>9</v>
      </c>
      <c r="J507" s="95">
        <v>45926</v>
      </c>
      <c r="K507" s="3">
        <v>0.8</v>
      </c>
      <c r="L507" s="3">
        <v>3.37</v>
      </c>
    </row>
    <row r="508" spans="1:12" x14ac:dyDescent="0.35">
      <c r="A508" s="62" t="s">
        <v>33</v>
      </c>
      <c r="B508" s="62" t="s">
        <v>29</v>
      </c>
      <c r="C508" s="62">
        <v>2</v>
      </c>
      <c r="D508" s="62">
        <v>2</v>
      </c>
      <c r="E508" s="62">
        <v>7</v>
      </c>
      <c r="F508" s="62">
        <v>207</v>
      </c>
      <c r="G508" s="62">
        <v>26</v>
      </c>
      <c r="H508" s="62">
        <v>26</v>
      </c>
      <c r="I508" s="62">
        <v>9</v>
      </c>
      <c r="J508" s="95">
        <v>45926</v>
      </c>
      <c r="K508" s="3">
        <v>0.81</v>
      </c>
      <c r="L508" s="3">
        <v>3.27</v>
      </c>
    </row>
    <row r="509" spans="1:12" x14ac:dyDescent="0.35">
      <c r="A509" s="62" t="s">
        <v>33</v>
      </c>
      <c r="B509" s="62" t="s">
        <v>30</v>
      </c>
      <c r="C509" s="62">
        <v>2</v>
      </c>
      <c r="D509" s="62">
        <v>3</v>
      </c>
      <c r="E509" s="62">
        <v>7</v>
      </c>
      <c r="F509" s="62">
        <v>307</v>
      </c>
      <c r="G509" s="62">
        <v>27</v>
      </c>
      <c r="H509" s="62">
        <v>39</v>
      </c>
      <c r="I509" s="62">
        <v>9</v>
      </c>
      <c r="J509" s="95">
        <v>45926</v>
      </c>
      <c r="K509" s="3">
        <v>0.75</v>
      </c>
      <c r="L509" s="3">
        <v>4.57</v>
      </c>
    </row>
    <row r="510" spans="1:12" x14ac:dyDescent="0.35">
      <c r="A510" s="62" t="s">
        <v>33</v>
      </c>
      <c r="B510" s="62" t="s">
        <v>34</v>
      </c>
      <c r="C510" s="62">
        <v>2</v>
      </c>
      <c r="D510" s="62">
        <v>4</v>
      </c>
      <c r="E510" s="62">
        <v>7</v>
      </c>
      <c r="F510" s="62">
        <v>407</v>
      </c>
      <c r="G510" s="62">
        <v>28</v>
      </c>
      <c r="H510" s="62">
        <v>58</v>
      </c>
      <c r="I510" s="62">
        <v>9</v>
      </c>
      <c r="J510" s="95">
        <v>45926</v>
      </c>
      <c r="K510" s="3">
        <v>0.81</v>
      </c>
      <c r="L510" s="3">
        <v>3.31</v>
      </c>
    </row>
    <row r="511" spans="1:12" x14ac:dyDescent="0.35">
      <c r="A511" s="62" t="s">
        <v>33</v>
      </c>
      <c r="B511" s="62" t="s">
        <v>34</v>
      </c>
      <c r="C511" s="62">
        <v>2</v>
      </c>
      <c r="D511" s="62">
        <v>4</v>
      </c>
      <c r="E511" s="62">
        <v>8</v>
      </c>
      <c r="F511" s="62">
        <v>408</v>
      </c>
      <c r="G511" s="62">
        <v>29</v>
      </c>
      <c r="H511" s="62">
        <v>57</v>
      </c>
      <c r="I511" s="62">
        <v>9</v>
      </c>
      <c r="J511" s="95">
        <v>45926</v>
      </c>
      <c r="K511" s="3">
        <v>0.82</v>
      </c>
      <c r="L511" s="3">
        <v>1.99</v>
      </c>
    </row>
    <row r="512" spans="1:12" x14ac:dyDescent="0.35">
      <c r="A512" s="62" t="s">
        <v>33</v>
      </c>
      <c r="B512" s="62" t="s">
        <v>30</v>
      </c>
      <c r="C512" s="62">
        <v>2</v>
      </c>
      <c r="D512" s="62">
        <v>3</v>
      </c>
      <c r="E512" s="62">
        <v>8</v>
      </c>
      <c r="F512" s="62">
        <v>308</v>
      </c>
      <c r="G512" s="62">
        <v>30</v>
      </c>
      <c r="H512" s="62">
        <v>40</v>
      </c>
      <c r="I512" s="62">
        <v>9</v>
      </c>
      <c r="J512" s="95">
        <v>45926</v>
      </c>
      <c r="K512" s="3">
        <v>0.76</v>
      </c>
      <c r="L512" s="3">
        <v>4.54</v>
      </c>
    </row>
    <row r="513" spans="1:12" x14ac:dyDescent="0.35">
      <c r="A513" s="62" t="s">
        <v>33</v>
      </c>
      <c r="B513" s="62" t="s">
        <v>29</v>
      </c>
      <c r="C513" s="62">
        <v>2</v>
      </c>
      <c r="D513" s="62">
        <v>2</v>
      </c>
      <c r="E513" s="62">
        <v>8</v>
      </c>
      <c r="F513" s="62">
        <v>208</v>
      </c>
      <c r="G513" s="62">
        <v>31</v>
      </c>
      <c r="H513" s="62">
        <v>25</v>
      </c>
      <c r="I513" s="62">
        <v>9</v>
      </c>
      <c r="J513" s="95">
        <v>45926</v>
      </c>
      <c r="K513" s="3">
        <v>0.83</v>
      </c>
      <c r="L513" s="3">
        <v>2.44</v>
      </c>
    </row>
    <row r="514" spans="1:12" x14ac:dyDescent="0.35">
      <c r="A514" s="62" t="s">
        <v>33</v>
      </c>
      <c r="B514" s="62" t="s">
        <v>35</v>
      </c>
      <c r="C514" s="62">
        <v>2</v>
      </c>
      <c r="D514" s="62">
        <v>1</v>
      </c>
      <c r="E514" s="62">
        <v>8</v>
      </c>
      <c r="F514" s="62">
        <v>108</v>
      </c>
      <c r="G514" s="62">
        <v>32</v>
      </c>
      <c r="H514" s="62">
        <v>8</v>
      </c>
      <c r="I514" s="62">
        <v>9</v>
      </c>
      <c r="J514" s="95">
        <v>45926</v>
      </c>
      <c r="K514" s="3">
        <v>0.83</v>
      </c>
      <c r="L514" s="3">
        <v>4.04</v>
      </c>
    </row>
    <row r="515" spans="1:12" x14ac:dyDescent="0.35">
      <c r="A515" s="62" t="s">
        <v>28</v>
      </c>
      <c r="B515" s="62" t="s">
        <v>32</v>
      </c>
      <c r="C515" s="62">
        <v>3</v>
      </c>
      <c r="D515" s="62">
        <v>1</v>
      </c>
      <c r="E515" s="62">
        <v>9</v>
      </c>
      <c r="F515" s="62">
        <v>109</v>
      </c>
      <c r="G515" s="62">
        <v>33</v>
      </c>
      <c r="H515" s="62">
        <v>9</v>
      </c>
      <c r="I515" s="62">
        <v>9</v>
      </c>
      <c r="J515" s="95">
        <v>45926</v>
      </c>
      <c r="K515" s="3">
        <v>0.81</v>
      </c>
      <c r="L515" s="3">
        <v>1.99</v>
      </c>
    </row>
    <row r="516" spans="1:12" x14ac:dyDescent="0.35">
      <c r="A516" s="62" t="s">
        <v>28</v>
      </c>
      <c r="B516" s="62" t="s">
        <v>31</v>
      </c>
      <c r="C516" s="62">
        <v>3</v>
      </c>
      <c r="D516" s="62">
        <v>2</v>
      </c>
      <c r="E516" s="62">
        <v>9</v>
      </c>
      <c r="F516" s="62">
        <v>209</v>
      </c>
      <c r="G516" s="62">
        <v>34</v>
      </c>
      <c r="H516" s="62">
        <v>24</v>
      </c>
      <c r="I516" s="62">
        <v>9</v>
      </c>
      <c r="J516" s="95">
        <v>45926</v>
      </c>
      <c r="K516" s="3">
        <v>0.84</v>
      </c>
      <c r="L516" s="3">
        <v>1.24</v>
      </c>
    </row>
    <row r="517" spans="1:12" x14ac:dyDescent="0.35">
      <c r="A517" s="62" t="s">
        <v>28</v>
      </c>
      <c r="B517" s="62" t="s">
        <v>29</v>
      </c>
      <c r="C517" s="62">
        <v>3</v>
      </c>
      <c r="D517" s="62">
        <v>3</v>
      </c>
      <c r="E517" s="62">
        <v>9</v>
      </c>
      <c r="F517" s="62">
        <v>309</v>
      </c>
      <c r="G517" s="62">
        <v>35</v>
      </c>
      <c r="H517" s="62">
        <v>41</v>
      </c>
      <c r="I517" s="62">
        <v>9</v>
      </c>
      <c r="J517" s="95">
        <v>45926</v>
      </c>
      <c r="K517" s="3">
        <v>0.73</v>
      </c>
      <c r="L517" s="3">
        <v>4.41</v>
      </c>
    </row>
    <row r="518" spans="1:12" x14ac:dyDescent="0.35">
      <c r="A518" s="62" t="s">
        <v>28</v>
      </c>
      <c r="B518" s="62" t="s">
        <v>30</v>
      </c>
      <c r="C518" s="62">
        <v>3</v>
      </c>
      <c r="D518" s="62">
        <v>4</v>
      </c>
      <c r="E518" s="62">
        <v>9</v>
      </c>
      <c r="F518" s="62">
        <v>409</v>
      </c>
      <c r="G518" s="62">
        <v>36</v>
      </c>
      <c r="H518" s="62">
        <v>56</v>
      </c>
      <c r="I518" s="62">
        <v>9</v>
      </c>
      <c r="J518" s="95">
        <v>45926</v>
      </c>
      <c r="K518" s="3">
        <v>0.77</v>
      </c>
      <c r="L518" s="3">
        <v>3.42</v>
      </c>
    </row>
    <row r="519" spans="1:12" x14ac:dyDescent="0.35">
      <c r="A519" s="62" t="s">
        <v>28</v>
      </c>
      <c r="B519" s="62" t="s">
        <v>30</v>
      </c>
      <c r="C519" s="62">
        <v>3</v>
      </c>
      <c r="D519" s="62">
        <v>4</v>
      </c>
      <c r="E519" s="62">
        <v>10</v>
      </c>
      <c r="F519" s="62">
        <v>410</v>
      </c>
      <c r="G519" s="62">
        <v>37</v>
      </c>
      <c r="H519" s="62">
        <v>55</v>
      </c>
      <c r="I519" s="62">
        <v>9</v>
      </c>
      <c r="J519" s="95">
        <v>45926</v>
      </c>
      <c r="K519" s="3">
        <v>0.76</v>
      </c>
      <c r="L519" s="3">
        <v>2.93</v>
      </c>
    </row>
    <row r="520" spans="1:12" x14ac:dyDescent="0.35">
      <c r="A520" s="62" t="s">
        <v>28</v>
      </c>
      <c r="B520" s="62" t="s">
        <v>29</v>
      </c>
      <c r="C520" s="62">
        <v>3</v>
      </c>
      <c r="D520" s="62">
        <v>3</v>
      </c>
      <c r="E520" s="62">
        <v>10</v>
      </c>
      <c r="F520" s="62">
        <v>310</v>
      </c>
      <c r="G520" s="62">
        <v>38</v>
      </c>
      <c r="H520" s="62">
        <v>42</v>
      </c>
      <c r="I520" s="62">
        <v>9</v>
      </c>
      <c r="J520" s="95">
        <v>45926</v>
      </c>
      <c r="K520" s="3">
        <v>0.72</v>
      </c>
      <c r="L520" s="3">
        <v>5.98</v>
      </c>
    </row>
    <row r="521" spans="1:12" x14ac:dyDescent="0.35">
      <c r="A521" s="62" t="s">
        <v>28</v>
      </c>
      <c r="B521" s="62" t="s">
        <v>31</v>
      </c>
      <c r="C521" s="62">
        <v>3</v>
      </c>
      <c r="D521" s="62">
        <v>2</v>
      </c>
      <c r="E521" s="62">
        <v>10</v>
      </c>
      <c r="F521" s="62">
        <v>210</v>
      </c>
      <c r="G521" s="62">
        <v>39</v>
      </c>
      <c r="H521" s="62">
        <v>23</v>
      </c>
      <c r="I521" s="62">
        <v>9</v>
      </c>
      <c r="J521" s="95">
        <v>45926</v>
      </c>
      <c r="K521" s="3">
        <v>0.85</v>
      </c>
      <c r="L521" s="3">
        <v>1.89</v>
      </c>
    </row>
    <row r="522" spans="1:12" x14ac:dyDescent="0.35">
      <c r="A522" s="62" t="s">
        <v>28</v>
      </c>
      <c r="B522" s="62" t="s">
        <v>32</v>
      </c>
      <c r="C522" s="62">
        <v>3</v>
      </c>
      <c r="D522" s="62">
        <v>1</v>
      </c>
      <c r="E522" s="62">
        <v>10</v>
      </c>
      <c r="F522" s="62">
        <v>110</v>
      </c>
      <c r="G522" s="62">
        <v>40</v>
      </c>
      <c r="H522" s="62">
        <v>10</v>
      </c>
      <c r="I522" s="62">
        <v>9</v>
      </c>
      <c r="J522" s="95">
        <v>45926</v>
      </c>
      <c r="K522" s="3">
        <v>0.85</v>
      </c>
      <c r="L522" s="3">
        <v>1.96</v>
      </c>
    </row>
    <row r="523" spans="1:12" x14ac:dyDescent="0.35">
      <c r="A523" s="62" t="s">
        <v>33</v>
      </c>
      <c r="B523" s="62" t="s">
        <v>29</v>
      </c>
      <c r="C523" s="62">
        <v>3</v>
      </c>
      <c r="D523" s="62">
        <v>1</v>
      </c>
      <c r="E523" s="62">
        <v>11</v>
      </c>
      <c r="F523" s="62">
        <v>111</v>
      </c>
      <c r="G523" s="62">
        <v>41</v>
      </c>
      <c r="H523" s="62">
        <v>11</v>
      </c>
      <c r="I523" s="62">
        <v>9</v>
      </c>
      <c r="J523" s="95">
        <v>45926</v>
      </c>
      <c r="K523" s="3">
        <v>0.74</v>
      </c>
      <c r="L523" s="3">
        <v>2.46</v>
      </c>
    </row>
    <row r="524" spans="1:12" x14ac:dyDescent="0.35">
      <c r="A524" s="62" t="s">
        <v>33</v>
      </c>
      <c r="B524" s="62" t="s">
        <v>35</v>
      </c>
      <c r="C524" s="62">
        <v>3</v>
      </c>
      <c r="D524" s="62">
        <v>2</v>
      </c>
      <c r="E524" s="62">
        <v>11</v>
      </c>
      <c r="F524" s="62">
        <v>211</v>
      </c>
      <c r="G524" s="62">
        <v>42</v>
      </c>
      <c r="H524" s="62">
        <v>22</v>
      </c>
      <c r="I524" s="62">
        <v>9</v>
      </c>
      <c r="J524" s="95">
        <v>45926</v>
      </c>
      <c r="K524" s="3">
        <v>0.83</v>
      </c>
      <c r="L524" s="3">
        <v>2.15</v>
      </c>
    </row>
    <row r="525" spans="1:12" x14ac:dyDescent="0.35">
      <c r="A525" s="62" t="s">
        <v>33</v>
      </c>
      <c r="B525" s="62" t="s">
        <v>34</v>
      </c>
      <c r="C525" s="62">
        <v>3</v>
      </c>
      <c r="D525" s="62">
        <v>3</v>
      </c>
      <c r="E525" s="62">
        <v>11</v>
      </c>
      <c r="F525" s="62">
        <v>311</v>
      </c>
      <c r="G525" s="62">
        <v>43</v>
      </c>
      <c r="H525" s="62">
        <v>43</v>
      </c>
      <c r="I525" s="62">
        <v>9</v>
      </c>
      <c r="J525" s="95">
        <v>45926</v>
      </c>
      <c r="K525" s="3">
        <v>0.78</v>
      </c>
      <c r="L525" s="3">
        <v>2.5299999999999998</v>
      </c>
    </row>
    <row r="526" spans="1:12" x14ac:dyDescent="0.35">
      <c r="A526" s="62" t="s">
        <v>33</v>
      </c>
      <c r="B526" s="62" t="s">
        <v>30</v>
      </c>
      <c r="C526" s="62">
        <v>3</v>
      </c>
      <c r="D526" s="62">
        <v>4</v>
      </c>
      <c r="E526" s="62">
        <v>11</v>
      </c>
      <c r="F526" s="62">
        <v>411</v>
      </c>
      <c r="G526" s="62">
        <v>44</v>
      </c>
      <c r="H526" s="62">
        <v>54</v>
      </c>
      <c r="I526" s="62">
        <v>9</v>
      </c>
      <c r="J526" s="95">
        <v>45926</v>
      </c>
      <c r="K526" s="3">
        <v>0.79</v>
      </c>
      <c r="L526" s="3">
        <v>2.38</v>
      </c>
    </row>
    <row r="527" spans="1:12" x14ac:dyDescent="0.35">
      <c r="A527" s="62" t="s">
        <v>33</v>
      </c>
      <c r="B527" s="62" t="s">
        <v>30</v>
      </c>
      <c r="C527" s="62">
        <v>3</v>
      </c>
      <c r="D527" s="62">
        <v>4</v>
      </c>
      <c r="E527" s="62">
        <v>12</v>
      </c>
      <c r="F527" s="62">
        <v>412</v>
      </c>
      <c r="G527" s="62">
        <v>45</v>
      </c>
      <c r="H527" s="62">
        <v>53</v>
      </c>
      <c r="I527" s="62">
        <v>9</v>
      </c>
      <c r="J527" s="95">
        <v>45926</v>
      </c>
      <c r="K527" s="3">
        <v>0.8</v>
      </c>
      <c r="L527" s="3">
        <v>2.61</v>
      </c>
    </row>
    <row r="528" spans="1:12" x14ac:dyDescent="0.35">
      <c r="A528" s="62" t="s">
        <v>33</v>
      </c>
      <c r="B528" s="62" t="s">
        <v>34</v>
      </c>
      <c r="C528" s="62">
        <v>3</v>
      </c>
      <c r="D528" s="62">
        <v>3</v>
      </c>
      <c r="E528" s="62">
        <v>12</v>
      </c>
      <c r="F528" s="62">
        <v>312</v>
      </c>
      <c r="G528" s="62">
        <v>46</v>
      </c>
      <c r="H528" s="62">
        <v>44</v>
      </c>
      <c r="I528" s="62">
        <v>9</v>
      </c>
      <c r="J528" s="95">
        <v>45926</v>
      </c>
      <c r="K528" s="3">
        <v>0.8</v>
      </c>
      <c r="L528" s="3">
        <v>1.9</v>
      </c>
    </row>
    <row r="529" spans="1:12" x14ac:dyDescent="0.35">
      <c r="A529" s="62" t="s">
        <v>33</v>
      </c>
      <c r="B529" s="62" t="s">
        <v>35</v>
      </c>
      <c r="C529" s="62">
        <v>3</v>
      </c>
      <c r="D529" s="62">
        <v>2</v>
      </c>
      <c r="E529" s="62">
        <v>12</v>
      </c>
      <c r="F529" s="62">
        <v>212</v>
      </c>
      <c r="G529" s="62">
        <v>47</v>
      </c>
      <c r="H529" s="62">
        <v>21</v>
      </c>
      <c r="I529" s="62">
        <v>9</v>
      </c>
      <c r="J529" s="95">
        <v>45926</v>
      </c>
      <c r="K529" s="3">
        <v>0.83</v>
      </c>
      <c r="L529" s="3">
        <v>2.72</v>
      </c>
    </row>
    <row r="530" spans="1:12" x14ac:dyDescent="0.35">
      <c r="A530" s="62" t="s">
        <v>33</v>
      </c>
      <c r="B530" s="62" t="s">
        <v>29</v>
      </c>
      <c r="C530" s="62">
        <v>3</v>
      </c>
      <c r="D530" s="62">
        <v>1</v>
      </c>
      <c r="E530" s="62">
        <v>12</v>
      </c>
      <c r="F530" s="62">
        <v>112</v>
      </c>
      <c r="G530" s="62">
        <v>48</v>
      </c>
      <c r="H530" s="62">
        <v>12</v>
      </c>
      <c r="I530" s="62">
        <v>9</v>
      </c>
      <c r="J530" s="95">
        <v>45926</v>
      </c>
      <c r="K530" s="3">
        <v>0.76</v>
      </c>
      <c r="L530" s="3">
        <v>7.71</v>
      </c>
    </row>
    <row r="531" spans="1:12" x14ac:dyDescent="0.35">
      <c r="A531" s="62" t="s">
        <v>28</v>
      </c>
      <c r="B531" s="62" t="s">
        <v>30</v>
      </c>
      <c r="C531" s="62">
        <v>4</v>
      </c>
      <c r="D531" s="62">
        <v>1</v>
      </c>
      <c r="E531" s="62">
        <v>13</v>
      </c>
      <c r="F531" s="62">
        <v>113</v>
      </c>
      <c r="G531" s="62">
        <v>49</v>
      </c>
      <c r="H531" s="62">
        <v>13</v>
      </c>
      <c r="I531" s="62">
        <v>9</v>
      </c>
      <c r="J531" s="95">
        <v>45926</v>
      </c>
      <c r="K531" s="3">
        <v>0.8</v>
      </c>
      <c r="L531" s="3">
        <v>3.54</v>
      </c>
    </row>
    <row r="532" spans="1:12" x14ac:dyDescent="0.35">
      <c r="A532" s="62" t="s">
        <v>28</v>
      </c>
      <c r="B532" s="62" t="s">
        <v>29</v>
      </c>
      <c r="C532" s="62">
        <v>4</v>
      </c>
      <c r="D532" s="62">
        <v>2</v>
      </c>
      <c r="E532" s="62">
        <v>13</v>
      </c>
      <c r="F532" s="62">
        <v>213</v>
      </c>
      <c r="G532" s="62">
        <v>50</v>
      </c>
      <c r="H532" s="62">
        <v>20</v>
      </c>
      <c r="I532" s="62">
        <v>9</v>
      </c>
      <c r="J532" s="95">
        <v>45926</v>
      </c>
      <c r="K532" s="3">
        <v>0.79</v>
      </c>
      <c r="L532" s="3">
        <v>1.64</v>
      </c>
    </row>
    <row r="533" spans="1:12" x14ac:dyDescent="0.35">
      <c r="A533" s="62" t="s">
        <v>28</v>
      </c>
      <c r="B533" s="62" t="s">
        <v>32</v>
      </c>
      <c r="C533" s="62">
        <v>4</v>
      </c>
      <c r="D533" s="62">
        <v>3</v>
      </c>
      <c r="E533" s="62">
        <v>13</v>
      </c>
      <c r="F533" s="62">
        <v>313</v>
      </c>
      <c r="G533" s="62">
        <v>51</v>
      </c>
      <c r="H533" s="62">
        <v>45</v>
      </c>
      <c r="I533" s="62">
        <v>9</v>
      </c>
      <c r="J533" s="95">
        <v>45926</v>
      </c>
      <c r="K533" s="3">
        <v>0.78</v>
      </c>
      <c r="L533" s="3">
        <v>2.23</v>
      </c>
    </row>
    <row r="534" spans="1:12" x14ac:dyDescent="0.35">
      <c r="A534" s="62" t="s">
        <v>28</v>
      </c>
      <c r="B534" s="62" t="s">
        <v>31</v>
      </c>
      <c r="C534" s="62">
        <v>4</v>
      </c>
      <c r="D534" s="62">
        <v>4</v>
      </c>
      <c r="E534" s="62">
        <v>13</v>
      </c>
      <c r="F534" s="62">
        <v>413</v>
      </c>
      <c r="G534" s="62">
        <v>52</v>
      </c>
      <c r="H534" s="62">
        <v>52</v>
      </c>
      <c r="I534" s="62">
        <v>9</v>
      </c>
      <c r="J534" s="95">
        <v>45926</v>
      </c>
      <c r="K534" s="3">
        <v>0.79</v>
      </c>
      <c r="L534" s="3">
        <v>4.68</v>
      </c>
    </row>
    <row r="535" spans="1:12" x14ac:dyDescent="0.35">
      <c r="A535" s="62" t="s">
        <v>28</v>
      </c>
      <c r="B535" s="62" t="s">
        <v>31</v>
      </c>
      <c r="C535" s="62">
        <v>4</v>
      </c>
      <c r="D535" s="62">
        <v>4</v>
      </c>
      <c r="E535" s="62">
        <v>14</v>
      </c>
      <c r="F535" s="62">
        <v>414</v>
      </c>
      <c r="G535" s="62">
        <v>53</v>
      </c>
      <c r="H535" s="62">
        <v>51</v>
      </c>
      <c r="I535" s="62">
        <v>9</v>
      </c>
      <c r="J535" s="95">
        <v>45926</v>
      </c>
      <c r="K535" s="3">
        <v>0.82</v>
      </c>
      <c r="L535" s="3">
        <v>2.04</v>
      </c>
    </row>
    <row r="536" spans="1:12" x14ac:dyDescent="0.35">
      <c r="A536" s="62" t="s">
        <v>28</v>
      </c>
      <c r="B536" s="62" t="s">
        <v>32</v>
      </c>
      <c r="C536" s="62">
        <v>4</v>
      </c>
      <c r="D536" s="62">
        <v>3</v>
      </c>
      <c r="E536" s="62">
        <v>14</v>
      </c>
      <c r="F536" s="62">
        <v>314</v>
      </c>
      <c r="G536" s="62">
        <v>54</v>
      </c>
      <c r="H536" s="62">
        <v>46</v>
      </c>
      <c r="I536" s="62">
        <v>9</v>
      </c>
      <c r="J536" s="95">
        <v>45926</v>
      </c>
      <c r="K536" s="3">
        <v>0.77</v>
      </c>
      <c r="L536" s="3">
        <v>3.22</v>
      </c>
    </row>
    <row r="537" spans="1:12" x14ac:dyDescent="0.35">
      <c r="A537" s="62" t="s">
        <v>28</v>
      </c>
      <c r="B537" s="62" t="s">
        <v>29</v>
      </c>
      <c r="C537" s="62">
        <v>4</v>
      </c>
      <c r="D537" s="62">
        <v>2</v>
      </c>
      <c r="E537" s="62">
        <v>14</v>
      </c>
      <c r="F537" s="62">
        <v>214</v>
      </c>
      <c r="G537" s="62">
        <v>55</v>
      </c>
      <c r="H537" s="62">
        <v>19</v>
      </c>
      <c r="I537" s="62">
        <v>9</v>
      </c>
      <c r="J537" s="95">
        <v>45926</v>
      </c>
      <c r="K537" s="3">
        <v>0.79</v>
      </c>
      <c r="L537" s="3">
        <v>4.22</v>
      </c>
    </row>
    <row r="538" spans="1:12" x14ac:dyDescent="0.35">
      <c r="A538" s="62" t="s">
        <v>28</v>
      </c>
      <c r="B538" s="62" t="s">
        <v>30</v>
      </c>
      <c r="C538" s="62">
        <v>4</v>
      </c>
      <c r="D538" s="62">
        <v>1</v>
      </c>
      <c r="E538" s="62">
        <v>14</v>
      </c>
      <c r="F538" s="62">
        <v>114</v>
      </c>
      <c r="G538" s="62">
        <v>56</v>
      </c>
      <c r="H538" s="62">
        <v>14</v>
      </c>
      <c r="I538" s="62">
        <v>9</v>
      </c>
      <c r="J538" s="95">
        <v>45926</v>
      </c>
      <c r="K538" s="3">
        <v>0.78</v>
      </c>
      <c r="L538" s="3">
        <v>3.24</v>
      </c>
    </row>
    <row r="539" spans="1:12" x14ac:dyDescent="0.35">
      <c r="A539" s="62" t="s">
        <v>33</v>
      </c>
      <c r="B539" s="62" t="s">
        <v>30</v>
      </c>
      <c r="C539" s="62">
        <v>4</v>
      </c>
      <c r="D539" s="62">
        <v>1</v>
      </c>
      <c r="E539" s="62">
        <v>15</v>
      </c>
      <c r="F539" s="62">
        <v>115</v>
      </c>
      <c r="G539" s="62">
        <v>57</v>
      </c>
      <c r="H539" s="62">
        <v>15</v>
      </c>
      <c r="I539" s="62">
        <v>9</v>
      </c>
      <c r="J539" s="95">
        <v>45926</v>
      </c>
      <c r="K539" s="3">
        <v>0.78</v>
      </c>
      <c r="L539" s="3">
        <v>2.4</v>
      </c>
    </row>
    <row r="540" spans="1:12" x14ac:dyDescent="0.35">
      <c r="A540" s="62" t="s">
        <v>33</v>
      </c>
      <c r="B540" s="62" t="s">
        <v>34</v>
      </c>
      <c r="C540" s="62">
        <v>4</v>
      </c>
      <c r="D540" s="62">
        <v>2</v>
      </c>
      <c r="E540" s="62">
        <v>15</v>
      </c>
      <c r="F540" s="62">
        <v>215</v>
      </c>
      <c r="G540" s="62">
        <v>58</v>
      </c>
      <c r="H540" s="62">
        <v>18</v>
      </c>
      <c r="I540" s="62">
        <v>9</v>
      </c>
      <c r="J540" s="95">
        <v>45926</v>
      </c>
      <c r="K540" s="3">
        <v>0.82</v>
      </c>
      <c r="L540" s="3">
        <v>2.54</v>
      </c>
    </row>
    <row r="541" spans="1:12" x14ac:dyDescent="0.35">
      <c r="A541" s="62" t="s">
        <v>33</v>
      </c>
      <c r="B541" s="62" t="s">
        <v>29</v>
      </c>
      <c r="C541" s="62">
        <v>4</v>
      </c>
      <c r="D541" s="62">
        <v>3</v>
      </c>
      <c r="E541" s="62">
        <v>15</v>
      </c>
      <c r="F541" s="62">
        <v>315</v>
      </c>
      <c r="G541" s="62">
        <v>59</v>
      </c>
      <c r="H541" s="62">
        <v>47</v>
      </c>
      <c r="I541" s="62">
        <v>9</v>
      </c>
      <c r="J541" s="95">
        <v>45926</v>
      </c>
      <c r="K541" s="3">
        <v>0.71</v>
      </c>
      <c r="L541" s="3">
        <v>4.2300000000000004</v>
      </c>
    </row>
    <row r="542" spans="1:12" x14ac:dyDescent="0.35">
      <c r="A542" s="62" t="s">
        <v>33</v>
      </c>
      <c r="B542" s="62" t="s">
        <v>35</v>
      </c>
      <c r="C542" s="62">
        <v>4</v>
      </c>
      <c r="D542" s="62">
        <v>4</v>
      </c>
      <c r="E542" s="62">
        <v>15</v>
      </c>
      <c r="F542" s="62">
        <v>415</v>
      </c>
      <c r="G542" s="62">
        <v>60</v>
      </c>
      <c r="H542" s="62">
        <v>50</v>
      </c>
      <c r="I542" s="62">
        <v>9</v>
      </c>
      <c r="J542" s="95">
        <v>45926</v>
      </c>
      <c r="K542" s="3">
        <v>0.83</v>
      </c>
      <c r="L542" s="3">
        <v>1.49</v>
      </c>
    </row>
    <row r="543" spans="1:12" x14ac:dyDescent="0.35">
      <c r="A543" s="62" t="s">
        <v>33</v>
      </c>
      <c r="B543" s="62" t="s">
        <v>35</v>
      </c>
      <c r="C543" s="62">
        <v>4</v>
      </c>
      <c r="D543" s="62">
        <v>4</v>
      </c>
      <c r="E543" s="62">
        <v>16</v>
      </c>
      <c r="F543" s="62">
        <v>416</v>
      </c>
      <c r="G543" s="62">
        <v>61</v>
      </c>
      <c r="H543" s="62">
        <v>49</v>
      </c>
      <c r="I543" s="62">
        <v>9</v>
      </c>
      <c r="J543" s="95">
        <v>45926</v>
      </c>
      <c r="K543" s="3">
        <v>0.85</v>
      </c>
      <c r="L543" s="3">
        <v>1.1299999999999999</v>
      </c>
    </row>
    <row r="544" spans="1:12" x14ac:dyDescent="0.35">
      <c r="A544" s="62" t="s">
        <v>33</v>
      </c>
      <c r="B544" s="62" t="s">
        <v>29</v>
      </c>
      <c r="C544" s="62">
        <v>4</v>
      </c>
      <c r="D544" s="62">
        <v>3</v>
      </c>
      <c r="E544" s="62">
        <v>16</v>
      </c>
      <c r="F544" s="62">
        <v>316</v>
      </c>
      <c r="G544" s="62">
        <v>62</v>
      </c>
      <c r="H544" s="62">
        <v>48</v>
      </c>
      <c r="I544" s="62">
        <v>9</v>
      </c>
      <c r="J544" s="95">
        <v>45926</v>
      </c>
      <c r="K544" s="3">
        <v>0.74</v>
      </c>
      <c r="L544" s="3">
        <v>2.56</v>
      </c>
    </row>
    <row r="545" spans="1:12" x14ac:dyDescent="0.35">
      <c r="A545" s="62" t="s">
        <v>33</v>
      </c>
      <c r="B545" s="62" t="s">
        <v>34</v>
      </c>
      <c r="C545" s="62">
        <v>4</v>
      </c>
      <c r="D545" s="62">
        <v>2</v>
      </c>
      <c r="E545" s="62">
        <v>16</v>
      </c>
      <c r="F545" s="62">
        <v>216</v>
      </c>
      <c r="G545" s="62">
        <v>63</v>
      </c>
      <c r="H545" s="62">
        <v>17</v>
      </c>
      <c r="I545" s="62">
        <v>9</v>
      </c>
      <c r="J545" s="95">
        <v>45926</v>
      </c>
      <c r="K545" s="3">
        <v>0.82</v>
      </c>
      <c r="L545" s="3">
        <v>2.56</v>
      </c>
    </row>
    <row r="546" spans="1:12" x14ac:dyDescent="0.35">
      <c r="A546" s="62" t="s">
        <v>33</v>
      </c>
      <c r="B546" s="62" t="s">
        <v>30</v>
      </c>
      <c r="C546" s="62">
        <v>4</v>
      </c>
      <c r="D546" s="62">
        <v>1</v>
      </c>
      <c r="E546" s="62">
        <v>16</v>
      </c>
      <c r="F546" s="62">
        <v>116</v>
      </c>
      <c r="G546" s="62">
        <v>64</v>
      </c>
      <c r="H546" s="62">
        <v>16</v>
      </c>
      <c r="I546" s="62">
        <v>9</v>
      </c>
      <c r="J546" s="95">
        <v>45926</v>
      </c>
      <c r="K546" s="3">
        <v>0.8</v>
      </c>
      <c r="L546" s="3">
        <v>1.27</v>
      </c>
    </row>
    <row r="547" spans="1:12" x14ac:dyDescent="0.35">
      <c r="A547" s="62" t="s">
        <v>28</v>
      </c>
      <c r="B547" s="62" t="s">
        <v>29</v>
      </c>
      <c r="C547" s="62">
        <v>1</v>
      </c>
      <c r="D547" s="62">
        <v>1</v>
      </c>
      <c r="E547" s="62">
        <v>1</v>
      </c>
      <c r="F547" s="62">
        <v>101</v>
      </c>
      <c r="G547" s="62">
        <v>1</v>
      </c>
      <c r="H547" s="62">
        <v>1</v>
      </c>
      <c r="I547" s="62">
        <v>10</v>
      </c>
      <c r="J547" s="95">
        <v>45951</v>
      </c>
      <c r="K547" s="3">
        <v>0.33</v>
      </c>
      <c r="L547" s="3">
        <v>3.02</v>
      </c>
    </row>
    <row r="548" spans="1:12" x14ac:dyDescent="0.35">
      <c r="A548" s="62" t="s">
        <v>28</v>
      </c>
      <c r="B548" s="62" t="s">
        <v>30</v>
      </c>
      <c r="C548" s="62">
        <v>1</v>
      </c>
      <c r="D548" s="62">
        <v>2</v>
      </c>
      <c r="E548" s="62">
        <v>1</v>
      </c>
      <c r="F548" s="62">
        <v>201</v>
      </c>
      <c r="G548" s="62">
        <v>2</v>
      </c>
      <c r="H548" s="62">
        <v>32</v>
      </c>
      <c r="I548" s="62">
        <v>10</v>
      </c>
      <c r="J548" s="95">
        <v>45951</v>
      </c>
      <c r="K548" s="3">
        <v>0.34</v>
      </c>
      <c r="L548" s="3">
        <v>4.0999999999999996</v>
      </c>
    </row>
    <row r="549" spans="1:12" x14ac:dyDescent="0.35">
      <c r="A549" s="62" t="s">
        <v>28</v>
      </c>
      <c r="B549" s="62" t="s">
        <v>31</v>
      </c>
      <c r="C549" s="62">
        <v>1</v>
      </c>
      <c r="D549" s="62">
        <v>3</v>
      </c>
      <c r="E549" s="62">
        <v>1</v>
      </c>
      <c r="F549" s="62">
        <v>301</v>
      </c>
      <c r="G549" s="62">
        <v>3</v>
      </c>
      <c r="H549" s="62">
        <v>33</v>
      </c>
      <c r="I549" s="62">
        <v>10</v>
      </c>
      <c r="J549" s="95">
        <v>45951</v>
      </c>
      <c r="K549" s="3">
        <v>0.37</v>
      </c>
      <c r="L549" s="3">
        <v>6.24</v>
      </c>
    </row>
    <row r="550" spans="1:12" x14ac:dyDescent="0.35">
      <c r="A550" s="62" t="s">
        <v>28</v>
      </c>
      <c r="B550" s="62" t="s">
        <v>32</v>
      </c>
      <c r="C550" s="62">
        <v>1</v>
      </c>
      <c r="D550" s="62">
        <v>4</v>
      </c>
      <c r="E550" s="62">
        <v>1</v>
      </c>
      <c r="F550" s="62">
        <v>401</v>
      </c>
      <c r="G550" s="62">
        <v>4</v>
      </c>
      <c r="H550" s="62">
        <v>64</v>
      </c>
      <c r="I550" s="62">
        <v>10</v>
      </c>
      <c r="J550" s="95">
        <v>45951</v>
      </c>
      <c r="K550" s="3">
        <v>0.41</v>
      </c>
      <c r="L550" s="3">
        <v>4.0599999999999996</v>
      </c>
    </row>
    <row r="551" spans="1:12" x14ac:dyDescent="0.35">
      <c r="A551" s="62" t="s">
        <v>28</v>
      </c>
      <c r="B551" s="62" t="s">
        <v>32</v>
      </c>
      <c r="C551" s="62">
        <v>1</v>
      </c>
      <c r="D551" s="62">
        <v>4</v>
      </c>
      <c r="E551" s="62">
        <v>2</v>
      </c>
      <c r="F551" s="62">
        <v>402</v>
      </c>
      <c r="G551" s="62">
        <v>5</v>
      </c>
      <c r="H551" s="62">
        <v>63</v>
      </c>
      <c r="I551" s="62">
        <v>10</v>
      </c>
      <c r="J551" s="95">
        <v>45951</v>
      </c>
      <c r="K551" s="3">
        <v>0.41</v>
      </c>
      <c r="L551" s="3">
        <v>2.74</v>
      </c>
    </row>
    <row r="552" spans="1:12" x14ac:dyDescent="0.35">
      <c r="A552" s="62" t="s">
        <v>28</v>
      </c>
      <c r="B552" s="62" t="s">
        <v>31</v>
      </c>
      <c r="C552" s="62">
        <v>1</v>
      </c>
      <c r="D552" s="62">
        <v>3</v>
      </c>
      <c r="E552" s="62">
        <v>2</v>
      </c>
      <c r="F552" s="62">
        <v>302</v>
      </c>
      <c r="G552" s="62">
        <v>6</v>
      </c>
      <c r="H552" s="62">
        <v>34</v>
      </c>
      <c r="I552" s="62">
        <v>10</v>
      </c>
      <c r="J552" s="95">
        <v>45951</v>
      </c>
      <c r="K552" s="3">
        <v>0.31</v>
      </c>
      <c r="L552" s="3">
        <v>3.99</v>
      </c>
    </row>
    <row r="553" spans="1:12" x14ac:dyDescent="0.35">
      <c r="A553" s="62" t="s">
        <v>28</v>
      </c>
      <c r="B553" s="62" t="s">
        <v>30</v>
      </c>
      <c r="C553" s="62">
        <v>1</v>
      </c>
      <c r="D553" s="62">
        <v>2</v>
      </c>
      <c r="E553" s="62">
        <v>2</v>
      </c>
      <c r="F553" s="62">
        <v>202</v>
      </c>
      <c r="G553" s="62">
        <v>7</v>
      </c>
      <c r="H553" s="62">
        <v>31</v>
      </c>
      <c r="I553" s="62">
        <v>10</v>
      </c>
      <c r="J553" s="95">
        <v>45951</v>
      </c>
      <c r="K553" s="3">
        <v>0.35</v>
      </c>
      <c r="L553" s="3">
        <v>1.52</v>
      </c>
    </row>
    <row r="554" spans="1:12" x14ac:dyDescent="0.35">
      <c r="A554" s="62" t="s">
        <v>28</v>
      </c>
      <c r="B554" s="62" t="s">
        <v>29</v>
      </c>
      <c r="C554" s="62">
        <v>1</v>
      </c>
      <c r="D554" s="62">
        <v>1</v>
      </c>
      <c r="E554" s="62">
        <v>2</v>
      </c>
      <c r="F554" s="62">
        <v>102</v>
      </c>
      <c r="G554" s="62">
        <v>8</v>
      </c>
      <c r="H554" s="62">
        <v>2</v>
      </c>
      <c r="I554" s="62">
        <v>10</v>
      </c>
      <c r="J554" s="95">
        <v>45951</v>
      </c>
      <c r="K554" s="3">
        <v>0.36</v>
      </c>
      <c r="L554" s="3">
        <v>2.88</v>
      </c>
    </row>
    <row r="555" spans="1:12" x14ac:dyDescent="0.35">
      <c r="A555" s="62" t="s">
        <v>33</v>
      </c>
      <c r="B555" s="62" t="s">
        <v>34</v>
      </c>
      <c r="C555" s="62">
        <v>1</v>
      </c>
      <c r="D555" s="62">
        <v>1</v>
      </c>
      <c r="E555" s="62">
        <v>3</v>
      </c>
      <c r="F555" s="62">
        <v>103</v>
      </c>
      <c r="G555" s="62">
        <v>9</v>
      </c>
      <c r="H555" s="62">
        <v>3</v>
      </c>
      <c r="I555" s="62">
        <v>10</v>
      </c>
      <c r="J555" s="95">
        <v>45951</v>
      </c>
      <c r="K555" s="3">
        <v>0.51</v>
      </c>
      <c r="L555" s="3">
        <v>3.2</v>
      </c>
    </row>
    <row r="556" spans="1:12" x14ac:dyDescent="0.35">
      <c r="A556" s="62" t="s">
        <v>33</v>
      </c>
      <c r="B556" s="62" t="s">
        <v>30</v>
      </c>
      <c r="C556" s="62">
        <v>1</v>
      </c>
      <c r="D556" s="62">
        <v>2</v>
      </c>
      <c r="E556" s="62">
        <v>3</v>
      </c>
      <c r="F556" s="62">
        <v>203</v>
      </c>
      <c r="G556" s="62">
        <v>10</v>
      </c>
      <c r="H556" s="62">
        <v>30</v>
      </c>
      <c r="I556" s="62">
        <v>10</v>
      </c>
      <c r="J556" s="95">
        <v>45951</v>
      </c>
      <c r="K556" s="3">
        <v>0.45</v>
      </c>
      <c r="L556" s="3">
        <v>3.79</v>
      </c>
    </row>
    <row r="557" spans="1:12" x14ac:dyDescent="0.35">
      <c r="A557" s="62" t="s">
        <v>33</v>
      </c>
      <c r="B557" s="62" t="s">
        <v>35</v>
      </c>
      <c r="C557" s="62">
        <v>1</v>
      </c>
      <c r="D557" s="62">
        <v>3</v>
      </c>
      <c r="E557" s="62">
        <v>3</v>
      </c>
      <c r="F557" s="62">
        <v>303</v>
      </c>
      <c r="G557" s="62">
        <v>11</v>
      </c>
      <c r="H557" s="62">
        <v>35</v>
      </c>
      <c r="I557" s="62">
        <v>10</v>
      </c>
      <c r="J557" s="95">
        <v>45951</v>
      </c>
      <c r="K557" s="3">
        <v>0.4</v>
      </c>
      <c r="L557" s="3">
        <v>4.43</v>
      </c>
    </row>
    <row r="558" spans="1:12" x14ac:dyDescent="0.35">
      <c r="A558" s="62" t="s">
        <v>33</v>
      </c>
      <c r="B558" s="62" t="s">
        <v>29</v>
      </c>
      <c r="C558" s="62">
        <v>1</v>
      </c>
      <c r="D558" s="62">
        <v>4</v>
      </c>
      <c r="E558" s="62">
        <v>3</v>
      </c>
      <c r="F558" s="62">
        <v>403</v>
      </c>
      <c r="G558" s="62">
        <v>12</v>
      </c>
      <c r="H558" s="62">
        <v>62</v>
      </c>
      <c r="I558" s="62">
        <v>10</v>
      </c>
      <c r="J558" s="95">
        <v>45951</v>
      </c>
      <c r="K558" s="3">
        <v>0.37</v>
      </c>
      <c r="L558" s="3">
        <v>3.74</v>
      </c>
    </row>
    <row r="559" spans="1:12" x14ac:dyDescent="0.35">
      <c r="A559" s="62" t="s">
        <v>33</v>
      </c>
      <c r="B559" s="62" t="s">
        <v>29</v>
      </c>
      <c r="C559" s="62">
        <v>1</v>
      </c>
      <c r="D559" s="62">
        <v>4</v>
      </c>
      <c r="E559" s="62">
        <v>4</v>
      </c>
      <c r="F559" s="62">
        <v>404</v>
      </c>
      <c r="G559" s="62">
        <v>13</v>
      </c>
      <c r="H559" s="62">
        <v>61</v>
      </c>
      <c r="I559" s="62">
        <v>10</v>
      </c>
      <c r="J559" s="95">
        <v>45951</v>
      </c>
      <c r="K559" s="3">
        <v>0.35</v>
      </c>
      <c r="L559" s="3">
        <v>4.75</v>
      </c>
    </row>
    <row r="560" spans="1:12" x14ac:dyDescent="0.35">
      <c r="A560" s="62" t="s">
        <v>33</v>
      </c>
      <c r="B560" s="62" t="s">
        <v>35</v>
      </c>
      <c r="C560" s="62">
        <v>1</v>
      </c>
      <c r="D560" s="62">
        <v>3</v>
      </c>
      <c r="E560" s="62">
        <v>4</v>
      </c>
      <c r="F560" s="62">
        <v>304</v>
      </c>
      <c r="G560" s="62">
        <v>14</v>
      </c>
      <c r="H560" s="62">
        <v>36</v>
      </c>
      <c r="I560" s="62">
        <v>10</v>
      </c>
      <c r="J560" s="95">
        <v>45951</v>
      </c>
      <c r="K560" s="3">
        <v>0.37</v>
      </c>
      <c r="L560" s="3">
        <v>4.45</v>
      </c>
    </row>
    <row r="561" spans="1:12" x14ac:dyDescent="0.35">
      <c r="A561" s="62" t="s">
        <v>33</v>
      </c>
      <c r="B561" s="62" t="s">
        <v>30</v>
      </c>
      <c r="C561" s="62">
        <v>1</v>
      </c>
      <c r="D561" s="62">
        <v>2</v>
      </c>
      <c r="E561" s="62">
        <v>4</v>
      </c>
      <c r="F561" s="62">
        <v>204</v>
      </c>
      <c r="G561" s="62">
        <v>15</v>
      </c>
      <c r="H561" s="62">
        <v>29</v>
      </c>
      <c r="I561" s="62">
        <v>10</v>
      </c>
      <c r="J561" s="95">
        <v>45951</v>
      </c>
      <c r="K561" s="3">
        <v>0.4</v>
      </c>
      <c r="L561" s="3">
        <v>8.0399999999999991</v>
      </c>
    </row>
    <row r="562" spans="1:12" x14ac:dyDescent="0.35">
      <c r="A562" s="62" t="s">
        <v>33</v>
      </c>
      <c r="B562" s="62" t="s">
        <v>34</v>
      </c>
      <c r="C562" s="62">
        <v>1</v>
      </c>
      <c r="D562" s="62">
        <v>1</v>
      </c>
      <c r="E562" s="62">
        <v>4</v>
      </c>
      <c r="F562" s="62">
        <v>104</v>
      </c>
      <c r="G562" s="62">
        <v>16</v>
      </c>
      <c r="H562" s="62">
        <v>4</v>
      </c>
      <c r="I562" s="62">
        <v>10</v>
      </c>
      <c r="J562" s="95">
        <v>45951</v>
      </c>
      <c r="K562" s="3">
        <v>0.44</v>
      </c>
      <c r="L562" s="3">
        <v>9.23</v>
      </c>
    </row>
    <row r="563" spans="1:12" x14ac:dyDescent="0.35">
      <c r="A563" s="62" t="s">
        <v>28</v>
      </c>
      <c r="B563" s="62" t="s">
        <v>31</v>
      </c>
      <c r="C563" s="62">
        <v>2</v>
      </c>
      <c r="D563" s="62">
        <v>1</v>
      </c>
      <c r="E563" s="62">
        <v>5</v>
      </c>
      <c r="F563" s="62">
        <v>105</v>
      </c>
      <c r="G563" s="62">
        <v>17</v>
      </c>
      <c r="H563" s="62">
        <v>5</v>
      </c>
      <c r="I563" s="62">
        <v>10</v>
      </c>
      <c r="J563" s="95">
        <v>45951</v>
      </c>
      <c r="K563" s="3">
        <v>0.4</v>
      </c>
      <c r="L563" s="3">
        <v>3.46</v>
      </c>
    </row>
    <row r="564" spans="1:12" x14ac:dyDescent="0.35">
      <c r="A564" s="62" t="s">
        <v>28</v>
      </c>
      <c r="B564" s="62" t="s">
        <v>32</v>
      </c>
      <c r="C564" s="62">
        <v>2</v>
      </c>
      <c r="D564" s="62">
        <v>2</v>
      </c>
      <c r="E564" s="62">
        <v>5</v>
      </c>
      <c r="F564" s="62">
        <v>205</v>
      </c>
      <c r="G564" s="62">
        <v>18</v>
      </c>
      <c r="H564" s="62">
        <v>28</v>
      </c>
      <c r="I564" s="62">
        <v>10</v>
      </c>
      <c r="J564" s="95">
        <v>45951</v>
      </c>
      <c r="K564" s="3">
        <v>0.48</v>
      </c>
      <c r="L564" s="3">
        <v>4.57</v>
      </c>
    </row>
    <row r="565" spans="1:12" x14ac:dyDescent="0.35">
      <c r="A565" s="62" t="s">
        <v>28</v>
      </c>
      <c r="B565" s="62" t="s">
        <v>30</v>
      </c>
      <c r="C565" s="62">
        <v>2</v>
      </c>
      <c r="D565" s="62">
        <v>3</v>
      </c>
      <c r="E565" s="62">
        <v>5</v>
      </c>
      <c r="F565" s="62">
        <v>305</v>
      </c>
      <c r="G565" s="62">
        <v>19</v>
      </c>
      <c r="H565" s="62">
        <v>37</v>
      </c>
      <c r="I565" s="62">
        <v>10</v>
      </c>
      <c r="J565" s="95">
        <v>45951</v>
      </c>
      <c r="K565" s="3">
        <v>0.32</v>
      </c>
      <c r="L565" s="3">
        <v>1.94</v>
      </c>
    </row>
    <row r="566" spans="1:12" x14ac:dyDescent="0.35">
      <c r="A566" s="62" t="s">
        <v>28</v>
      </c>
      <c r="B566" s="62" t="s">
        <v>29</v>
      </c>
      <c r="C566" s="62">
        <v>2</v>
      </c>
      <c r="D566" s="62">
        <v>4</v>
      </c>
      <c r="E566" s="62">
        <v>5</v>
      </c>
      <c r="F566" s="62">
        <v>405</v>
      </c>
      <c r="G566" s="62">
        <v>20</v>
      </c>
      <c r="H566" s="62">
        <v>60</v>
      </c>
      <c r="I566" s="62">
        <v>10</v>
      </c>
      <c r="J566" s="95">
        <v>45951</v>
      </c>
      <c r="K566" s="3">
        <v>0.37</v>
      </c>
      <c r="L566" s="3">
        <v>3.02</v>
      </c>
    </row>
    <row r="567" spans="1:12" x14ac:dyDescent="0.35">
      <c r="A567" s="62" t="s">
        <v>28</v>
      </c>
      <c r="B567" s="62" t="s">
        <v>29</v>
      </c>
      <c r="C567" s="62">
        <v>2</v>
      </c>
      <c r="D567" s="62">
        <v>4</v>
      </c>
      <c r="E567" s="62">
        <v>6</v>
      </c>
      <c r="F567" s="62">
        <v>406</v>
      </c>
      <c r="G567" s="62">
        <v>21</v>
      </c>
      <c r="H567" s="62">
        <v>59</v>
      </c>
      <c r="I567" s="62">
        <v>10</v>
      </c>
      <c r="J567" s="95">
        <v>45951</v>
      </c>
      <c r="K567" s="3">
        <v>0.34</v>
      </c>
      <c r="L567" s="3">
        <v>2.4900000000000002</v>
      </c>
    </row>
    <row r="568" spans="1:12" x14ac:dyDescent="0.35">
      <c r="A568" s="62" t="s">
        <v>28</v>
      </c>
      <c r="B568" s="62" t="s">
        <v>30</v>
      </c>
      <c r="C568" s="62">
        <v>2</v>
      </c>
      <c r="D568" s="62">
        <v>3</v>
      </c>
      <c r="E568" s="62">
        <v>6</v>
      </c>
      <c r="F568" s="62">
        <v>306</v>
      </c>
      <c r="G568" s="62">
        <v>22</v>
      </c>
      <c r="H568" s="62">
        <v>38</v>
      </c>
      <c r="I568" s="62">
        <v>10</v>
      </c>
      <c r="J568" s="95">
        <v>45951</v>
      </c>
      <c r="K568" s="3">
        <v>0.35</v>
      </c>
      <c r="L568" s="3">
        <v>2.89</v>
      </c>
    </row>
    <row r="569" spans="1:12" x14ac:dyDescent="0.35">
      <c r="A569" s="62" t="s">
        <v>28</v>
      </c>
      <c r="B569" s="62" t="s">
        <v>32</v>
      </c>
      <c r="C569" s="62">
        <v>2</v>
      </c>
      <c r="D569" s="62">
        <v>2</v>
      </c>
      <c r="E569" s="62">
        <v>6</v>
      </c>
      <c r="F569" s="62">
        <v>206</v>
      </c>
      <c r="G569" s="62">
        <v>23</v>
      </c>
      <c r="H569" s="62">
        <v>27</v>
      </c>
      <c r="I569" s="62">
        <v>10</v>
      </c>
      <c r="J569" s="95">
        <v>45951</v>
      </c>
      <c r="K569" s="3">
        <v>0.48</v>
      </c>
      <c r="L569" s="3">
        <v>11.31</v>
      </c>
    </row>
    <row r="570" spans="1:12" x14ac:dyDescent="0.35">
      <c r="A570" s="62" t="s">
        <v>28</v>
      </c>
      <c r="B570" s="62" t="s">
        <v>31</v>
      </c>
      <c r="C570" s="62">
        <v>2</v>
      </c>
      <c r="D570" s="62">
        <v>1</v>
      </c>
      <c r="E570" s="62">
        <v>6</v>
      </c>
      <c r="F570" s="62">
        <v>106</v>
      </c>
      <c r="G570" s="62">
        <v>24</v>
      </c>
      <c r="H570" s="62">
        <v>6</v>
      </c>
      <c r="I570" s="62">
        <v>10</v>
      </c>
      <c r="J570" s="95">
        <v>45951</v>
      </c>
      <c r="K570" s="3">
        <v>0.36</v>
      </c>
      <c r="L570" s="3">
        <v>1.03</v>
      </c>
    </row>
    <row r="571" spans="1:12" x14ac:dyDescent="0.35">
      <c r="A571" s="62" t="s">
        <v>33</v>
      </c>
      <c r="B571" s="62" t="s">
        <v>35</v>
      </c>
      <c r="C571" s="62">
        <v>2</v>
      </c>
      <c r="D571" s="62">
        <v>1</v>
      </c>
      <c r="E571" s="62">
        <v>7</v>
      </c>
      <c r="F571" s="62">
        <v>107</v>
      </c>
      <c r="G571" s="62">
        <v>25</v>
      </c>
      <c r="H571" s="62">
        <v>7</v>
      </c>
      <c r="I571" s="62">
        <v>10</v>
      </c>
      <c r="J571" s="95">
        <v>45951</v>
      </c>
      <c r="K571" s="3">
        <v>0.46</v>
      </c>
      <c r="L571" s="3">
        <v>4.8099999999999996</v>
      </c>
    </row>
    <row r="572" spans="1:12" x14ac:dyDescent="0.35">
      <c r="A572" s="62" t="s">
        <v>33</v>
      </c>
      <c r="B572" s="62" t="s">
        <v>29</v>
      </c>
      <c r="C572" s="62">
        <v>2</v>
      </c>
      <c r="D572" s="62">
        <v>2</v>
      </c>
      <c r="E572" s="62">
        <v>7</v>
      </c>
      <c r="F572" s="62">
        <v>207</v>
      </c>
      <c r="G572" s="62">
        <v>26</v>
      </c>
      <c r="H572" s="62">
        <v>26</v>
      </c>
      <c r="I572" s="62">
        <v>10</v>
      </c>
      <c r="J572" s="95">
        <v>45951</v>
      </c>
      <c r="K572" s="3">
        <v>0.4</v>
      </c>
      <c r="L572" s="3">
        <v>4.21</v>
      </c>
    </row>
    <row r="573" spans="1:12" x14ac:dyDescent="0.35">
      <c r="A573" s="62" t="s">
        <v>33</v>
      </c>
      <c r="B573" s="62" t="s">
        <v>30</v>
      </c>
      <c r="C573" s="62">
        <v>2</v>
      </c>
      <c r="D573" s="62">
        <v>3</v>
      </c>
      <c r="E573" s="62">
        <v>7</v>
      </c>
      <c r="F573" s="62">
        <v>307</v>
      </c>
      <c r="G573" s="62">
        <v>27</v>
      </c>
      <c r="H573" s="62">
        <v>39</v>
      </c>
      <c r="I573" s="62">
        <v>10</v>
      </c>
      <c r="J573" s="95">
        <v>45951</v>
      </c>
      <c r="K573" s="3">
        <v>0.38</v>
      </c>
      <c r="L573" s="3">
        <v>3.18</v>
      </c>
    </row>
    <row r="574" spans="1:12" x14ac:dyDescent="0.35">
      <c r="A574" s="62" t="s">
        <v>33</v>
      </c>
      <c r="B574" s="62" t="s">
        <v>34</v>
      </c>
      <c r="C574" s="62">
        <v>2</v>
      </c>
      <c r="D574" s="62">
        <v>4</v>
      </c>
      <c r="E574" s="62">
        <v>7</v>
      </c>
      <c r="F574" s="62">
        <v>407</v>
      </c>
      <c r="G574" s="62">
        <v>28</v>
      </c>
      <c r="H574" s="62">
        <v>58</v>
      </c>
      <c r="I574" s="62">
        <v>10</v>
      </c>
      <c r="J574" s="95">
        <v>45951</v>
      </c>
      <c r="K574" s="3">
        <v>0.49</v>
      </c>
      <c r="L574" s="3">
        <v>4.03</v>
      </c>
    </row>
    <row r="575" spans="1:12" x14ac:dyDescent="0.35">
      <c r="A575" s="62" t="s">
        <v>33</v>
      </c>
      <c r="B575" s="62" t="s">
        <v>34</v>
      </c>
      <c r="C575" s="62">
        <v>2</v>
      </c>
      <c r="D575" s="62">
        <v>4</v>
      </c>
      <c r="E575" s="62">
        <v>8</v>
      </c>
      <c r="F575" s="62">
        <v>408</v>
      </c>
      <c r="G575" s="62">
        <v>29</v>
      </c>
      <c r="H575" s="62">
        <v>57</v>
      </c>
      <c r="I575" s="62">
        <v>10</v>
      </c>
      <c r="J575" s="95">
        <v>45951</v>
      </c>
      <c r="K575" s="3">
        <v>0.48</v>
      </c>
      <c r="L575" s="3">
        <v>2.21</v>
      </c>
    </row>
    <row r="576" spans="1:12" x14ac:dyDescent="0.35">
      <c r="A576" s="62" t="s">
        <v>33</v>
      </c>
      <c r="B576" s="62" t="s">
        <v>30</v>
      </c>
      <c r="C576" s="62">
        <v>2</v>
      </c>
      <c r="D576" s="62">
        <v>3</v>
      </c>
      <c r="E576" s="62">
        <v>8</v>
      </c>
      <c r="F576" s="62">
        <v>308</v>
      </c>
      <c r="G576" s="62">
        <v>30</v>
      </c>
      <c r="H576" s="62">
        <v>40</v>
      </c>
      <c r="I576" s="62">
        <v>10</v>
      </c>
      <c r="J576" s="95">
        <v>45951</v>
      </c>
      <c r="K576" s="3">
        <v>0.34</v>
      </c>
      <c r="L576" s="3">
        <v>1.51</v>
      </c>
    </row>
    <row r="577" spans="1:12" x14ac:dyDescent="0.35">
      <c r="A577" s="62" t="s">
        <v>33</v>
      </c>
      <c r="B577" s="62" t="s">
        <v>29</v>
      </c>
      <c r="C577" s="62">
        <v>2</v>
      </c>
      <c r="D577" s="62">
        <v>2</v>
      </c>
      <c r="E577" s="62">
        <v>8</v>
      </c>
      <c r="F577" s="62">
        <v>208</v>
      </c>
      <c r="G577" s="62">
        <v>31</v>
      </c>
      <c r="H577" s="62">
        <v>25</v>
      </c>
      <c r="I577" s="62">
        <v>10</v>
      </c>
      <c r="J577" s="95">
        <v>45951</v>
      </c>
      <c r="K577" s="3">
        <v>0.41</v>
      </c>
      <c r="L577" s="3">
        <v>2.15</v>
      </c>
    </row>
    <row r="578" spans="1:12" x14ac:dyDescent="0.35">
      <c r="A578" s="62" t="s">
        <v>33</v>
      </c>
      <c r="B578" s="62" t="s">
        <v>35</v>
      </c>
      <c r="C578" s="62">
        <v>2</v>
      </c>
      <c r="D578" s="62">
        <v>1</v>
      </c>
      <c r="E578" s="62">
        <v>8</v>
      </c>
      <c r="F578" s="62">
        <v>108</v>
      </c>
      <c r="G578" s="62">
        <v>32</v>
      </c>
      <c r="H578" s="62">
        <v>8</v>
      </c>
      <c r="I578" s="62">
        <v>10</v>
      </c>
      <c r="J578" s="95">
        <v>45951</v>
      </c>
      <c r="K578" s="3">
        <v>0.44</v>
      </c>
      <c r="L578" s="3">
        <v>3.99</v>
      </c>
    </row>
    <row r="579" spans="1:12" x14ac:dyDescent="0.35">
      <c r="A579" s="62" t="s">
        <v>28</v>
      </c>
      <c r="B579" s="62" t="s">
        <v>32</v>
      </c>
      <c r="C579" s="62">
        <v>3</v>
      </c>
      <c r="D579" s="62">
        <v>1</v>
      </c>
      <c r="E579" s="62">
        <v>9</v>
      </c>
      <c r="F579" s="62">
        <v>109</v>
      </c>
      <c r="G579" s="62">
        <v>33</v>
      </c>
      <c r="H579" s="62">
        <v>9</v>
      </c>
      <c r="I579" s="62">
        <v>10</v>
      </c>
      <c r="J579" s="95">
        <v>45951</v>
      </c>
      <c r="K579" s="3">
        <v>0.44</v>
      </c>
      <c r="L579" s="3">
        <v>3.81</v>
      </c>
    </row>
    <row r="580" spans="1:12" x14ac:dyDescent="0.35">
      <c r="A580" s="62" t="s">
        <v>28</v>
      </c>
      <c r="B580" s="62" t="s">
        <v>31</v>
      </c>
      <c r="C580" s="62">
        <v>3</v>
      </c>
      <c r="D580" s="62">
        <v>2</v>
      </c>
      <c r="E580" s="62">
        <v>9</v>
      </c>
      <c r="F580" s="62">
        <v>209</v>
      </c>
      <c r="G580" s="62">
        <v>34</v>
      </c>
      <c r="H580" s="62">
        <v>24</v>
      </c>
      <c r="I580" s="62">
        <v>10</v>
      </c>
      <c r="J580" s="95">
        <v>45951</v>
      </c>
      <c r="K580" s="3">
        <v>0.36</v>
      </c>
      <c r="L580" s="3">
        <v>2.27</v>
      </c>
    </row>
    <row r="581" spans="1:12" x14ac:dyDescent="0.35">
      <c r="A581" s="62" t="s">
        <v>28</v>
      </c>
      <c r="B581" s="62" t="s">
        <v>29</v>
      </c>
      <c r="C581" s="62">
        <v>3</v>
      </c>
      <c r="D581" s="62">
        <v>3</v>
      </c>
      <c r="E581" s="62">
        <v>9</v>
      </c>
      <c r="F581" s="62">
        <v>309</v>
      </c>
      <c r="G581" s="62">
        <v>35</v>
      </c>
      <c r="H581" s="62">
        <v>41</v>
      </c>
      <c r="I581" s="62">
        <v>10</v>
      </c>
      <c r="J581" s="95">
        <v>45951</v>
      </c>
      <c r="K581" s="3">
        <v>0.36</v>
      </c>
      <c r="L581" s="3">
        <v>2.62</v>
      </c>
    </row>
    <row r="582" spans="1:12" x14ac:dyDescent="0.35">
      <c r="A582" s="62" t="s">
        <v>28</v>
      </c>
      <c r="B582" s="62" t="s">
        <v>30</v>
      </c>
      <c r="C582" s="62">
        <v>3</v>
      </c>
      <c r="D582" s="62">
        <v>4</v>
      </c>
      <c r="E582" s="62">
        <v>9</v>
      </c>
      <c r="F582" s="62">
        <v>409</v>
      </c>
      <c r="G582" s="62">
        <v>36</v>
      </c>
      <c r="H582" s="62">
        <v>56</v>
      </c>
      <c r="I582" s="62">
        <v>10</v>
      </c>
      <c r="J582" s="95">
        <v>45951</v>
      </c>
      <c r="K582" s="3">
        <v>0.37</v>
      </c>
      <c r="L582" s="3">
        <v>4.91</v>
      </c>
    </row>
    <row r="583" spans="1:12" x14ac:dyDescent="0.35">
      <c r="A583" s="62" t="s">
        <v>28</v>
      </c>
      <c r="B583" s="62" t="s">
        <v>30</v>
      </c>
      <c r="C583" s="62">
        <v>3</v>
      </c>
      <c r="D583" s="62">
        <v>4</v>
      </c>
      <c r="E583" s="62">
        <v>10</v>
      </c>
      <c r="F583" s="62">
        <v>410</v>
      </c>
      <c r="G583" s="62">
        <v>37</v>
      </c>
      <c r="H583" s="62">
        <v>55</v>
      </c>
      <c r="I583" s="62">
        <v>10</v>
      </c>
      <c r="J583" s="95">
        <v>45951</v>
      </c>
      <c r="K583" s="3">
        <v>0.38</v>
      </c>
      <c r="L583" s="3">
        <v>4.3600000000000003</v>
      </c>
    </row>
    <row r="584" spans="1:12" x14ac:dyDescent="0.35">
      <c r="A584" s="62" t="s">
        <v>28</v>
      </c>
      <c r="B584" s="62" t="s">
        <v>29</v>
      </c>
      <c r="C584" s="62">
        <v>3</v>
      </c>
      <c r="D584" s="62">
        <v>3</v>
      </c>
      <c r="E584" s="62">
        <v>10</v>
      </c>
      <c r="F584" s="62">
        <v>310</v>
      </c>
      <c r="G584" s="62">
        <v>38</v>
      </c>
      <c r="H584" s="62">
        <v>42</v>
      </c>
      <c r="I584" s="62">
        <v>10</v>
      </c>
      <c r="J584" s="95">
        <v>45951</v>
      </c>
      <c r="K584" s="3">
        <v>0.35</v>
      </c>
      <c r="L584" s="3">
        <v>2.81</v>
      </c>
    </row>
    <row r="585" spans="1:12" x14ac:dyDescent="0.35">
      <c r="A585" s="62" t="s">
        <v>28</v>
      </c>
      <c r="B585" s="62" t="s">
        <v>31</v>
      </c>
      <c r="C585" s="62">
        <v>3</v>
      </c>
      <c r="D585" s="62">
        <v>2</v>
      </c>
      <c r="E585" s="62">
        <v>10</v>
      </c>
      <c r="F585" s="62">
        <v>210</v>
      </c>
      <c r="G585" s="62">
        <v>39</v>
      </c>
      <c r="H585" s="62">
        <v>23</v>
      </c>
      <c r="I585" s="62">
        <v>10</v>
      </c>
      <c r="J585" s="95">
        <v>45951</v>
      </c>
      <c r="K585" s="3">
        <v>0.42</v>
      </c>
      <c r="L585" s="3">
        <v>3.51</v>
      </c>
    </row>
    <row r="586" spans="1:12" x14ac:dyDescent="0.35">
      <c r="A586" s="62" t="s">
        <v>28</v>
      </c>
      <c r="B586" s="62" t="s">
        <v>32</v>
      </c>
      <c r="C586" s="62">
        <v>3</v>
      </c>
      <c r="D586" s="62">
        <v>1</v>
      </c>
      <c r="E586" s="62">
        <v>10</v>
      </c>
      <c r="F586" s="62">
        <v>110</v>
      </c>
      <c r="G586" s="62">
        <v>40</v>
      </c>
      <c r="H586" s="62">
        <v>10</v>
      </c>
      <c r="I586" s="62">
        <v>10</v>
      </c>
      <c r="J586" s="95">
        <v>45951</v>
      </c>
      <c r="K586" s="3">
        <v>0.45</v>
      </c>
      <c r="L586" s="3">
        <v>2.15</v>
      </c>
    </row>
    <row r="587" spans="1:12" x14ac:dyDescent="0.35">
      <c r="A587" s="62" t="s">
        <v>33</v>
      </c>
      <c r="B587" s="62" t="s">
        <v>29</v>
      </c>
      <c r="C587" s="62">
        <v>3</v>
      </c>
      <c r="D587" s="62">
        <v>1</v>
      </c>
      <c r="E587" s="62">
        <v>11</v>
      </c>
      <c r="F587" s="62">
        <v>111</v>
      </c>
      <c r="G587" s="62">
        <v>41</v>
      </c>
      <c r="H587" s="62">
        <v>11</v>
      </c>
      <c r="I587" s="62">
        <v>10</v>
      </c>
      <c r="J587" s="95">
        <v>45951</v>
      </c>
      <c r="K587" s="3">
        <v>0.39</v>
      </c>
      <c r="L587" s="3">
        <v>3.15</v>
      </c>
    </row>
    <row r="588" spans="1:12" x14ac:dyDescent="0.35">
      <c r="A588" s="62" t="s">
        <v>33</v>
      </c>
      <c r="B588" s="62" t="s">
        <v>35</v>
      </c>
      <c r="C588" s="62">
        <v>3</v>
      </c>
      <c r="D588" s="62">
        <v>2</v>
      </c>
      <c r="E588" s="62">
        <v>11</v>
      </c>
      <c r="F588" s="62">
        <v>211</v>
      </c>
      <c r="G588" s="62">
        <v>42</v>
      </c>
      <c r="H588" s="62">
        <v>22</v>
      </c>
      <c r="I588" s="62">
        <v>10</v>
      </c>
      <c r="J588" s="95">
        <v>45951</v>
      </c>
      <c r="K588" s="3">
        <v>0.45</v>
      </c>
      <c r="L588" s="3">
        <v>4.2699999999999996</v>
      </c>
    </row>
    <row r="589" spans="1:12" x14ac:dyDescent="0.35">
      <c r="A589" s="62" t="s">
        <v>33</v>
      </c>
      <c r="B589" s="62" t="s">
        <v>34</v>
      </c>
      <c r="C589" s="62">
        <v>3</v>
      </c>
      <c r="D589" s="62">
        <v>3</v>
      </c>
      <c r="E589" s="62">
        <v>11</v>
      </c>
      <c r="F589" s="62">
        <v>311</v>
      </c>
      <c r="G589" s="62">
        <v>43</v>
      </c>
      <c r="H589" s="62">
        <v>43</v>
      </c>
      <c r="I589" s="62">
        <v>10</v>
      </c>
      <c r="J589" s="95">
        <v>45951</v>
      </c>
      <c r="K589" s="3">
        <v>0.45</v>
      </c>
      <c r="L589" s="3">
        <v>1.64</v>
      </c>
    </row>
    <row r="590" spans="1:12" x14ac:dyDescent="0.35">
      <c r="A590" s="62" t="s">
        <v>33</v>
      </c>
      <c r="B590" s="62" t="s">
        <v>30</v>
      </c>
      <c r="C590" s="62">
        <v>3</v>
      </c>
      <c r="D590" s="62">
        <v>4</v>
      </c>
      <c r="E590" s="62">
        <v>11</v>
      </c>
      <c r="F590" s="62">
        <v>411</v>
      </c>
      <c r="G590" s="62">
        <v>44</v>
      </c>
      <c r="H590" s="62">
        <v>54</v>
      </c>
      <c r="I590" s="62">
        <v>10</v>
      </c>
      <c r="J590" s="95">
        <v>45951</v>
      </c>
      <c r="K590" s="3">
        <v>0.43</v>
      </c>
      <c r="L590" s="3">
        <v>2.2400000000000002</v>
      </c>
    </row>
    <row r="591" spans="1:12" x14ac:dyDescent="0.35">
      <c r="A591" s="62" t="s">
        <v>33</v>
      </c>
      <c r="B591" s="62" t="s">
        <v>30</v>
      </c>
      <c r="C591" s="62">
        <v>3</v>
      </c>
      <c r="D591" s="62">
        <v>4</v>
      </c>
      <c r="E591" s="62">
        <v>12</v>
      </c>
      <c r="F591" s="62">
        <v>412</v>
      </c>
      <c r="G591" s="62">
        <v>45</v>
      </c>
      <c r="H591" s="62">
        <v>53</v>
      </c>
      <c r="I591" s="62">
        <v>10</v>
      </c>
      <c r="J591" s="95">
        <v>45951</v>
      </c>
      <c r="K591" s="3">
        <v>0.41</v>
      </c>
      <c r="L591" s="3">
        <v>3.43</v>
      </c>
    </row>
    <row r="592" spans="1:12" x14ac:dyDescent="0.35">
      <c r="A592" s="62" t="s">
        <v>33</v>
      </c>
      <c r="B592" s="62" t="s">
        <v>34</v>
      </c>
      <c r="C592" s="62">
        <v>3</v>
      </c>
      <c r="D592" s="62">
        <v>3</v>
      </c>
      <c r="E592" s="62">
        <v>12</v>
      </c>
      <c r="F592" s="62">
        <v>312</v>
      </c>
      <c r="G592" s="62">
        <v>46</v>
      </c>
      <c r="H592" s="62">
        <v>44</v>
      </c>
      <c r="I592" s="62">
        <v>10</v>
      </c>
      <c r="J592" s="95">
        <v>45951</v>
      </c>
      <c r="K592" s="3">
        <v>0.44</v>
      </c>
      <c r="L592" s="3">
        <v>3.67</v>
      </c>
    </row>
    <row r="593" spans="1:12" x14ac:dyDescent="0.35">
      <c r="A593" s="62" t="s">
        <v>33</v>
      </c>
      <c r="B593" s="62" t="s">
        <v>35</v>
      </c>
      <c r="C593" s="62">
        <v>3</v>
      </c>
      <c r="D593" s="62">
        <v>2</v>
      </c>
      <c r="E593" s="62">
        <v>12</v>
      </c>
      <c r="F593" s="62">
        <v>212</v>
      </c>
      <c r="G593" s="62">
        <v>47</v>
      </c>
      <c r="H593" s="62">
        <v>21</v>
      </c>
      <c r="I593" s="62">
        <v>10</v>
      </c>
      <c r="J593" s="95">
        <v>45951</v>
      </c>
      <c r="K593" s="3">
        <v>0.47</v>
      </c>
      <c r="L593" s="3">
        <v>2.21</v>
      </c>
    </row>
    <row r="594" spans="1:12" x14ac:dyDescent="0.35">
      <c r="A594" s="62" t="s">
        <v>33</v>
      </c>
      <c r="B594" s="62" t="s">
        <v>29</v>
      </c>
      <c r="C594" s="62">
        <v>3</v>
      </c>
      <c r="D594" s="62">
        <v>1</v>
      </c>
      <c r="E594" s="62">
        <v>12</v>
      </c>
      <c r="F594" s="62">
        <v>112</v>
      </c>
      <c r="G594" s="62">
        <v>48</v>
      </c>
      <c r="H594" s="62">
        <v>12</v>
      </c>
      <c r="I594" s="62">
        <v>10</v>
      </c>
      <c r="J594" s="95">
        <v>45951</v>
      </c>
      <c r="K594" s="3">
        <v>0.38</v>
      </c>
      <c r="L594" s="3">
        <v>6.74</v>
      </c>
    </row>
    <row r="595" spans="1:12" x14ac:dyDescent="0.35">
      <c r="A595" s="62" t="s">
        <v>28</v>
      </c>
      <c r="B595" s="62" t="s">
        <v>30</v>
      </c>
      <c r="C595" s="62">
        <v>4</v>
      </c>
      <c r="D595" s="62">
        <v>1</v>
      </c>
      <c r="E595" s="62">
        <v>13</v>
      </c>
      <c r="F595" s="62">
        <v>113</v>
      </c>
      <c r="G595" s="62">
        <v>49</v>
      </c>
      <c r="H595" s="62">
        <v>13</v>
      </c>
      <c r="I595" s="62">
        <v>10</v>
      </c>
      <c r="J595" s="95">
        <v>45951</v>
      </c>
      <c r="K595" s="3">
        <v>0.42</v>
      </c>
      <c r="L595" s="3">
        <v>3.02</v>
      </c>
    </row>
    <row r="596" spans="1:12" x14ac:dyDescent="0.35">
      <c r="A596" s="62" t="s">
        <v>28</v>
      </c>
      <c r="B596" s="62" t="s">
        <v>29</v>
      </c>
      <c r="C596" s="62">
        <v>4</v>
      </c>
      <c r="D596" s="62">
        <v>2</v>
      </c>
      <c r="E596" s="62">
        <v>13</v>
      </c>
      <c r="F596" s="62">
        <v>213</v>
      </c>
      <c r="G596" s="62">
        <v>50</v>
      </c>
      <c r="H596" s="62">
        <v>20</v>
      </c>
      <c r="I596" s="62">
        <v>10</v>
      </c>
      <c r="J596" s="95">
        <v>45951</v>
      </c>
      <c r="K596" s="3">
        <v>0.35</v>
      </c>
      <c r="L596" s="3">
        <v>1.49</v>
      </c>
    </row>
    <row r="597" spans="1:12" x14ac:dyDescent="0.35">
      <c r="A597" s="62" t="s">
        <v>28</v>
      </c>
      <c r="B597" s="62" t="s">
        <v>32</v>
      </c>
      <c r="C597" s="62">
        <v>4</v>
      </c>
      <c r="D597" s="62">
        <v>3</v>
      </c>
      <c r="E597" s="62">
        <v>13</v>
      </c>
      <c r="F597" s="62">
        <v>313</v>
      </c>
      <c r="G597" s="62">
        <v>51</v>
      </c>
      <c r="H597" s="62">
        <v>45</v>
      </c>
      <c r="I597" s="62">
        <v>10</v>
      </c>
      <c r="J597" s="95">
        <v>45951</v>
      </c>
      <c r="K597" s="3">
        <v>0.46</v>
      </c>
      <c r="L597" s="3">
        <v>1.77</v>
      </c>
    </row>
    <row r="598" spans="1:12" x14ac:dyDescent="0.35">
      <c r="A598" s="62" t="s">
        <v>28</v>
      </c>
      <c r="B598" s="62" t="s">
        <v>31</v>
      </c>
      <c r="C598" s="62">
        <v>4</v>
      </c>
      <c r="D598" s="62">
        <v>4</v>
      </c>
      <c r="E598" s="62">
        <v>13</v>
      </c>
      <c r="F598" s="62">
        <v>413</v>
      </c>
      <c r="G598" s="62">
        <v>52</v>
      </c>
      <c r="H598" s="62">
        <v>52</v>
      </c>
      <c r="I598" s="62">
        <v>10</v>
      </c>
      <c r="J598" s="95">
        <v>45951</v>
      </c>
      <c r="K598" s="3">
        <v>0.37</v>
      </c>
      <c r="L598" s="3">
        <v>2.42</v>
      </c>
    </row>
    <row r="599" spans="1:12" x14ac:dyDescent="0.35">
      <c r="A599" s="62" t="s">
        <v>28</v>
      </c>
      <c r="B599" s="62" t="s">
        <v>31</v>
      </c>
      <c r="C599" s="62">
        <v>4</v>
      </c>
      <c r="D599" s="62">
        <v>4</v>
      </c>
      <c r="E599" s="62">
        <v>14</v>
      </c>
      <c r="F599" s="62">
        <v>414</v>
      </c>
      <c r="G599" s="62">
        <v>53</v>
      </c>
      <c r="H599" s="62">
        <v>51</v>
      </c>
      <c r="I599" s="62">
        <v>10</v>
      </c>
      <c r="J599" s="95">
        <v>45951</v>
      </c>
      <c r="K599" s="3">
        <v>0.37</v>
      </c>
      <c r="L599" s="3">
        <v>2.66</v>
      </c>
    </row>
    <row r="600" spans="1:12" x14ac:dyDescent="0.35">
      <c r="A600" s="62" t="s">
        <v>28</v>
      </c>
      <c r="B600" s="62" t="s">
        <v>32</v>
      </c>
      <c r="C600" s="62">
        <v>4</v>
      </c>
      <c r="D600" s="62">
        <v>3</v>
      </c>
      <c r="E600" s="62">
        <v>14</v>
      </c>
      <c r="F600" s="62">
        <v>314</v>
      </c>
      <c r="G600" s="62">
        <v>54</v>
      </c>
      <c r="H600" s="62">
        <v>46</v>
      </c>
      <c r="I600" s="62">
        <v>10</v>
      </c>
      <c r="J600" s="95">
        <v>45951</v>
      </c>
      <c r="K600" s="3">
        <v>0.41</v>
      </c>
      <c r="L600" s="3">
        <v>2.4300000000000002</v>
      </c>
    </row>
    <row r="601" spans="1:12" x14ac:dyDescent="0.35">
      <c r="A601" s="62" t="s">
        <v>28</v>
      </c>
      <c r="B601" s="62" t="s">
        <v>29</v>
      </c>
      <c r="C601" s="62">
        <v>4</v>
      </c>
      <c r="D601" s="62">
        <v>2</v>
      </c>
      <c r="E601" s="62">
        <v>14</v>
      </c>
      <c r="F601" s="62">
        <v>214</v>
      </c>
      <c r="G601" s="62">
        <v>55</v>
      </c>
      <c r="H601" s="62">
        <v>19</v>
      </c>
      <c r="I601" s="62">
        <v>10</v>
      </c>
      <c r="J601" s="95">
        <v>45951</v>
      </c>
      <c r="K601" s="3">
        <v>0.33</v>
      </c>
      <c r="L601" s="3">
        <v>2.39</v>
      </c>
    </row>
    <row r="602" spans="1:12" x14ac:dyDescent="0.35">
      <c r="A602" s="62" t="s">
        <v>28</v>
      </c>
      <c r="B602" s="62" t="s">
        <v>30</v>
      </c>
      <c r="C602" s="62">
        <v>4</v>
      </c>
      <c r="D602" s="62">
        <v>1</v>
      </c>
      <c r="E602" s="62">
        <v>14</v>
      </c>
      <c r="F602" s="62">
        <v>114</v>
      </c>
      <c r="G602" s="62">
        <v>56</v>
      </c>
      <c r="H602" s="62">
        <v>14</v>
      </c>
      <c r="I602" s="62">
        <v>10</v>
      </c>
      <c r="J602" s="95">
        <v>45951</v>
      </c>
      <c r="K602" s="3">
        <v>0.35</v>
      </c>
      <c r="L602" s="3">
        <v>5.29</v>
      </c>
    </row>
    <row r="603" spans="1:12" x14ac:dyDescent="0.35">
      <c r="A603" s="62" t="s">
        <v>33</v>
      </c>
      <c r="B603" s="62" t="s">
        <v>30</v>
      </c>
      <c r="C603" s="62">
        <v>4</v>
      </c>
      <c r="D603" s="62">
        <v>1</v>
      </c>
      <c r="E603" s="62">
        <v>15</v>
      </c>
      <c r="F603" s="62">
        <v>115</v>
      </c>
      <c r="G603" s="62">
        <v>57</v>
      </c>
      <c r="H603" s="62">
        <v>15</v>
      </c>
      <c r="I603" s="62">
        <v>10</v>
      </c>
      <c r="J603" s="95">
        <v>45951</v>
      </c>
      <c r="K603" s="3">
        <v>0.45</v>
      </c>
      <c r="L603" s="3">
        <v>3.74</v>
      </c>
    </row>
    <row r="604" spans="1:12" x14ac:dyDescent="0.35">
      <c r="A604" s="62" t="s">
        <v>33</v>
      </c>
      <c r="B604" s="62" t="s">
        <v>34</v>
      </c>
      <c r="C604" s="62">
        <v>4</v>
      </c>
      <c r="D604" s="62">
        <v>2</v>
      </c>
      <c r="E604" s="62">
        <v>15</v>
      </c>
      <c r="F604" s="62">
        <v>215</v>
      </c>
      <c r="G604" s="62">
        <v>58</v>
      </c>
      <c r="H604" s="62">
        <v>18</v>
      </c>
      <c r="I604" s="62">
        <v>10</v>
      </c>
      <c r="J604" s="95">
        <v>45951</v>
      </c>
      <c r="K604" s="3">
        <v>0.48</v>
      </c>
      <c r="L604" s="3">
        <v>2.93</v>
      </c>
    </row>
    <row r="605" spans="1:12" x14ac:dyDescent="0.35">
      <c r="A605" s="62" t="s">
        <v>33</v>
      </c>
      <c r="B605" s="62" t="s">
        <v>29</v>
      </c>
      <c r="C605" s="62">
        <v>4</v>
      </c>
      <c r="D605" s="62">
        <v>3</v>
      </c>
      <c r="E605" s="62">
        <v>15</v>
      </c>
      <c r="F605" s="62">
        <v>315</v>
      </c>
      <c r="G605" s="62">
        <v>59</v>
      </c>
      <c r="H605" s="62">
        <v>47</v>
      </c>
      <c r="I605" s="62">
        <v>10</v>
      </c>
      <c r="J605" s="95">
        <v>45951</v>
      </c>
      <c r="K605" s="3">
        <v>0.36</v>
      </c>
      <c r="L605" s="3">
        <v>2.79</v>
      </c>
    </row>
    <row r="606" spans="1:12" x14ac:dyDescent="0.35">
      <c r="A606" s="62" t="s">
        <v>33</v>
      </c>
      <c r="B606" s="62" t="s">
        <v>35</v>
      </c>
      <c r="C606" s="62">
        <v>4</v>
      </c>
      <c r="D606" s="62">
        <v>4</v>
      </c>
      <c r="E606" s="62">
        <v>15</v>
      </c>
      <c r="F606" s="62">
        <v>415</v>
      </c>
      <c r="G606" s="62">
        <v>60</v>
      </c>
      <c r="H606" s="62">
        <v>50</v>
      </c>
      <c r="I606" s="62">
        <v>10</v>
      </c>
      <c r="J606" s="95">
        <v>45951</v>
      </c>
      <c r="K606" s="3">
        <v>0.48</v>
      </c>
      <c r="L606" s="3">
        <v>3.33</v>
      </c>
    </row>
    <row r="607" spans="1:12" x14ac:dyDescent="0.35">
      <c r="A607" s="62" t="s">
        <v>33</v>
      </c>
      <c r="B607" s="62" t="s">
        <v>35</v>
      </c>
      <c r="C607" s="62">
        <v>4</v>
      </c>
      <c r="D607" s="62">
        <v>4</v>
      </c>
      <c r="E607" s="62">
        <v>16</v>
      </c>
      <c r="F607" s="62">
        <v>416</v>
      </c>
      <c r="G607" s="62">
        <v>61</v>
      </c>
      <c r="H607" s="62">
        <v>49</v>
      </c>
      <c r="I607" s="62">
        <v>10</v>
      </c>
      <c r="J607" s="95">
        <v>45951</v>
      </c>
      <c r="K607" s="3">
        <v>0.46</v>
      </c>
      <c r="L607" s="3">
        <v>3.41</v>
      </c>
    </row>
    <row r="608" spans="1:12" x14ac:dyDescent="0.35">
      <c r="A608" s="62" t="s">
        <v>33</v>
      </c>
      <c r="B608" s="62" t="s">
        <v>29</v>
      </c>
      <c r="C608" s="62">
        <v>4</v>
      </c>
      <c r="D608" s="62">
        <v>3</v>
      </c>
      <c r="E608" s="62">
        <v>16</v>
      </c>
      <c r="F608" s="62">
        <v>316</v>
      </c>
      <c r="G608" s="62">
        <v>62</v>
      </c>
      <c r="H608" s="62">
        <v>48</v>
      </c>
      <c r="I608" s="62">
        <v>10</v>
      </c>
      <c r="J608" s="95">
        <v>45951</v>
      </c>
      <c r="K608" s="3">
        <v>0.36</v>
      </c>
      <c r="L608" s="3">
        <v>4.18</v>
      </c>
    </row>
    <row r="609" spans="1:12" x14ac:dyDescent="0.35">
      <c r="A609" s="62" t="s">
        <v>33</v>
      </c>
      <c r="B609" s="62" t="s">
        <v>34</v>
      </c>
      <c r="C609" s="62">
        <v>4</v>
      </c>
      <c r="D609" s="62">
        <v>2</v>
      </c>
      <c r="E609" s="62">
        <v>16</v>
      </c>
      <c r="F609" s="62">
        <v>216</v>
      </c>
      <c r="G609" s="62">
        <v>63</v>
      </c>
      <c r="H609" s="62">
        <v>17</v>
      </c>
      <c r="I609" s="62">
        <v>10</v>
      </c>
      <c r="J609" s="95">
        <v>45951</v>
      </c>
      <c r="K609" s="3">
        <v>0.5</v>
      </c>
      <c r="L609" s="3">
        <v>3.58</v>
      </c>
    </row>
    <row r="610" spans="1:12" x14ac:dyDescent="0.35">
      <c r="A610" s="62" t="s">
        <v>33</v>
      </c>
      <c r="B610" s="62" t="s">
        <v>30</v>
      </c>
      <c r="C610" s="62">
        <v>4</v>
      </c>
      <c r="D610" s="62">
        <v>1</v>
      </c>
      <c r="E610" s="62">
        <v>16</v>
      </c>
      <c r="F610" s="62">
        <v>116</v>
      </c>
      <c r="G610" s="62">
        <v>64</v>
      </c>
      <c r="H610" s="62">
        <v>16</v>
      </c>
      <c r="I610" s="62">
        <v>10</v>
      </c>
      <c r="J610" s="95">
        <v>45951</v>
      </c>
      <c r="K610" s="3">
        <v>0.47</v>
      </c>
      <c r="L610" s="3">
        <v>3.87</v>
      </c>
    </row>
    <row r="611" spans="1:12" x14ac:dyDescent="0.35">
      <c r="A611" s="62" t="s">
        <v>28</v>
      </c>
      <c r="B611" s="62" t="s">
        <v>29</v>
      </c>
      <c r="C611" s="62">
        <v>1</v>
      </c>
      <c r="D611" s="62">
        <v>1</v>
      </c>
      <c r="E611" s="62">
        <v>1</v>
      </c>
      <c r="F611" s="62">
        <v>101</v>
      </c>
      <c r="G611" s="62">
        <v>1</v>
      </c>
      <c r="H611" s="62">
        <v>1</v>
      </c>
      <c r="I611" s="62">
        <v>11</v>
      </c>
      <c r="J611" s="95">
        <v>45961</v>
      </c>
      <c r="K611" s="3">
        <v>0.3</v>
      </c>
      <c r="L611" s="3">
        <v>2.71</v>
      </c>
    </row>
    <row r="612" spans="1:12" x14ac:dyDescent="0.35">
      <c r="A612" s="62" t="s">
        <v>28</v>
      </c>
      <c r="B612" s="62" t="s">
        <v>30</v>
      </c>
      <c r="C612" s="62">
        <v>1</v>
      </c>
      <c r="D612" s="62">
        <v>2</v>
      </c>
      <c r="E612" s="62">
        <v>1</v>
      </c>
      <c r="F612" s="62">
        <v>201</v>
      </c>
      <c r="G612" s="62">
        <v>2</v>
      </c>
      <c r="H612" s="62">
        <v>32</v>
      </c>
      <c r="I612" s="62">
        <v>11</v>
      </c>
      <c r="J612" s="95">
        <v>45961</v>
      </c>
      <c r="K612" s="3">
        <v>0.31</v>
      </c>
      <c r="L612" s="3">
        <v>2.2200000000000002</v>
      </c>
    </row>
    <row r="613" spans="1:12" x14ac:dyDescent="0.35">
      <c r="A613" s="62" t="s">
        <v>28</v>
      </c>
      <c r="B613" s="62" t="s">
        <v>31</v>
      </c>
      <c r="C613" s="62">
        <v>1</v>
      </c>
      <c r="D613" s="62">
        <v>3</v>
      </c>
      <c r="E613" s="62">
        <v>1</v>
      </c>
      <c r="F613" s="62">
        <v>301</v>
      </c>
      <c r="G613" s="62">
        <v>3</v>
      </c>
      <c r="H613" s="62">
        <v>33</v>
      </c>
      <c r="I613" s="62">
        <v>11</v>
      </c>
      <c r="J613" s="95">
        <v>45961</v>
      </c>
      <c r="K613" s="3">
        <v>0.33</v>
      </c>
      <c r="L613" s="3">
        <v>4.17</v>
      </c>
    </row>
    <row r="614" spans="1:12" x14ac:dyDescent="0.35">
      <c r="A614" s="62" t="s">
        <v>28</v>
      </c>
      <c r="B614" s="62" t="s">
        <v>32</v>
      </c>
      <c r="C614" s="62">
        <v>1</v>
      </c>
      <c r="D614" s="62">
        <v>4</v>
      </c>
      <c r="E614" s="62">
        <v>1</v>
      </c>
      <c r="F614" s="62">
        <v>401</v>
      </c>
      <c r="G614" s="62">
        <v>4</v>
      </c>
      <c r="H614" s="62">
        <v>64</v>
      </c>
      <c r="I614" s="62">
        <v>11</v>
      </c>
      <c r="J614" s="95">
        <v>45961</v>
      </c>
      <c r="K614" s="3">
        <v>0.42</v>
      </c>
      <c r="L614" s="3">
        <v>3.13</v>
      </c>
    </row>
    <row r="615" spans="1:12" x14ac:dyDescent="0.35">
      <c r="A615" s="62" t="s">
        <v>28</v>
      </c>
      <c r="B615" s="62" t="s">
        <v>32</v>
      </c>
      <c r="C615" s="62">
        <v>1</v>
      </c>
      <c r="D615" s="62">
        <v>4</v>
      </c>
      <c r="E615" s="62">
        <v>2</v>
      </c>
      <c r="F615" s="62">
        <v>402</v>
      </c>
      <c r="G615" s="62">
        <v>5</v>
      </c>
      <c r="H615" s="62">
        <v>63</v>
      </c>
      <c r="I615" s="62">
        <v>11</v>
      </c>
      <c r="J615" s="95">
        <v>45961</v>
      </c>
      <c r="K615" s="3">
        <v>0.41</v>
      </c>
      <c r="L615" s="3">
        <v>1.82</v>
      </c>
    </row>
    <row r="616" spans="1:12" x14ac:dyDescent="0.35">
      <c r="A616" s="62" t="s">
        <v>28</v>
      </c>
      <c r="B616" s="62" t="s">
        <v>31</v>
      </c>
      <c r="C616" s="62">
        <v>1</v>
      </c>
      <c r="D616" s="62">
        <v>3</v>
      </c>
      <c r="E616" s="62">
        <v>2</v>
      </c>
      <c r="F616" s="62">
        <v>302</v>
      </c>
      <c r="G616" s="62">
        <v>6</v>
      </c>
      <c r="H616" s="62">
        <v>34</v>
      </c>
      <c r="I616" s="62">
        <v>11</v>
      </c>
      <c r="J616" s="95">
        <v>45961</v>
      </c>
      <c r="K616" s="3">
        <v>0.3</v>
      </c>
      <c r="L616" s="3">
        <v>2.2999999999999998</v>
      </c>
    </row>
    <row r="617" spans="1:12" x14ac:dyDescent="0.35">
      <c r="A617" s="62" t="s">
        <v>28</v>
      </c>
      <c r="B617" s="62" t="s">
        <v>30</v>
      </c>
      <c r="C617" s="62">
        <v>1</v>
      </c>
      <c r="D617" s="62">
        <v>2</v>
      </c>
      <c r="E617" s="62">
        <v>2</v>
      </c>
      <c r="F617" s="62">
        <v>202</v>
      </c>
      <c r="G617" s="62">
        <v>7</v>
      </c>
      <c r="H617" s="62">
        <v>31</v>
      </c>
      <c r="I617" s="62">
        <v>11</v>
      </c>
      <c r="J617" s="95">
        <v>45961</v>
      </c>
      <c r="K617" s="3">
        <v>0.28000000000000003</v>
      </c>
      <c r="L617" s="3">
        <v>3.19</v>
      </c>
    </row>
    <row r="618" spans="1:12" x14ac:dyDescent="0.35">
      <c r="A618" s="62" t="s">
        <v>28</v>
      </c>
      <c r="B618" s="62" t="s">
        <v>29</v>
      </c>
      <c r="C618" s="62">
        <v>1</v>
      </c>
      <c r="D618" s="62">
        <v>1</v>
      </c>
      <c r="E618" s="62">
        <v>2</v>
      </c>
      <c r="F618" s="62">
        <v>102</v>
      </c>
      <c r="G618" s="62">
        <v>8</v>
      </c>
      <c r="H618" s="62">
        <v>2</v>
      </c>
      <c r="I618" s="62">
        <v>11</v>
      </c>
      <c r="J618" s="95">
        <v>45961</v>
      </c>
      <c r="K618" s="3">
        <v>0.28000000000000003</v>
      </c>
      <c r="L618" s="3">
        <v>2.63</v>
      </c>
    </row>
    <row r="619" spans="1:12" x14ac:dyDescent="0.35">
      <c r="A619" s="62" t="s">
        <v>33</v>
      </c>
      <c r="B619" s="62" t="s">
        <v>34</v>
      </c>
      <c r="C619" s="62">
        <v>1</v>
      </c>
      <c r="D619" s="62">
        <v>1</v>
      </c>
      <c r="E619" s="62">
        <v>3</v>
      </c>
      <c r="F619" s="62">
        <v>103</v>
      </c>
      <c r="G619" s="62">
        <v>9</v>
      </c>
      <c r="H619" s="62">
        <v>3</v>
      </c>
      <c r="I619" s="62">
        <v>11</v>
      </c>
      <c r="J619" s="95">
        <v>45961</v>
      </c>
      <c r="K619" s="3">
        <v>0.53</v>
      </c>
      <c r="L619" s="3">
        <v>3.69</v>
      </c>
    </row>
    <row r="620" spans="1:12" x14ac:dyDescent="0.35">
      <c r="A620" s="62" t="s">
        <v>33</v>
      </c>
      <c r="B620" s="62" t="s">
        <v>30</v>
      </c>
      <c r="C620" s="62">
        <v>1</v>
      </c>
      <c r="D620" s="62">
        <v>2</v>
      </c>
      <c r="E620" s="62">
        <v>3</v>
      </c>
      <c r="F620" s="62">
        <v>203</v>
      </c>
      <c r="G620" s="62">
        <v>10</v>
      </c>
      <c r="H620" s="62">
        <v>30</v>
      </c>
      <c r="I620" s="62">
        <v>11</v>
      </c>
      <c r="J620" s="95">
        <v>45961</v>
      </c>
      <c r="K620" s="3">
        <v>0.42</v>
      </c>
      <c r="L620" s="3">
        <v>3.64</v>
      </c>
    </row>
    <row r="621" spans="1:12" x14ac:dyDescent="0.35">
      <c r="A621" s="62" t="s">
        <v>33</v>
      </c>
      <c r="B621" s="62" t="s">
        <v>35</v>
      </c>
      <c r="C621" s="62">
        <v>1</v>
      </c>
      <c r="D621" s="62">
        <v>3</v>
      </c>
      <c r="E621" s="62">
        <v>3</v>
      </c>
      <c r="F621" s="62">
        <v>303</v>
      </c>
      <c r="G621" s="62">
        <v>11</v>
      </c>
      <c r="H621" s="62">
        <v>35</v>
      </c>
      <c r="I621" s="62">
        <v>11</v>
      </c>
      <c r="J621" s="95">
        <v>45961</v>
      </c>
      <c r="K621" s="3">
        <v>0.42</v>
      </c>
      <c r="L621" s="3">
        <v>3.38</v>
      </c>
    </row>
    <row r="622" spans="1:12" x14ac:dyDescent="0.35">
      <c r="A622" s="62" t="s">
        <v>33</v>
      </c>
      <c r="B622" s="62" t="s">
        <v>29</v>
      </c>
      <c r="C622" s="62">
        <v>1</v>
      </c>
      <c r="D622" s="62">
        <v>4</v>
      </c>
      <c r="E622" s="62">
        <v>3</v>
      </c>
      <c r="F622" s="62">
        <v>403</v>
      </c>
      <c r="G622" s="62">
        <v>12</v>
      </c>
      <c r="H622" s="62">
        <v>62</v>
      </c>
      <c r="I622" s="62">
        <v>11</v>
      </c>
      <c r="J622" s="95">
        <v>45961</v>
      </c>
      <c r="K622" s="3">
        <v>0.37</v>
      </c>
      <c r="L622" s="3">
        <v>4.07</v>
      </c>
    </row>
    <row r="623" spans="1:12" x14ac:dyDescent="0.35">
      <c r="A623" s="62" t="s">
        <v>33</v>
      </c>
      <c r="B623" s="62" t="s">
        <v>29</v>
      </c>
      <c r="C623" s="62">
        <v>1</v>
      </c>
      <c r="D623" s="62">
        <v>4</v>
      </c>
      <c r="E623" s="62">
        <v>4</v>
      </c>
      <c r="F623" s="62">
        <v>404</v>
      </c>
      <c r="G623" s="62">
        <v>13</v>
      </c>
      <c r="H623" s="62">
        <v>61</v>
      </c>
      <c r="I623" s="62">
        <v>11</v>
      </c>
      <c r="J623" s="95">
        <v>45961</v>
      </c>
      <c r="K623" s="3">
        <v>0.32</v>
      </c>
      <c r="L623" s="3">
        <v>2.3199999999999998</v>
      </c>
    </row>
    <row r="624" spans="1:12" x14ac:dyDescent="0.35">
      <c r="A624" s="62" t="s">
        <v>33</v>
      </c>
      <c r="B624" s="62" t="s">
        <v>35</v>
      </c>
      <c r="C624" s="62">
        <v>1</v>
      </c>
      <c r="D624" s="62">
        <v>3</v>
      </c>
      <c r="E624" s="62">
        <v>4</v>
      </c>
      <c r="F624" s="62">
        <v>304</v>
      </c>
      <c r="G624" s="62">
        <v>14</v>
      </c>
      <c r="H624" s="62">
        <v>36</v>
      </c>
      <c r="I624" s="62">
        <v>11</v>
      </c>
      <c r="J624" s="95">
        <v>45961</v>
      </c>
      <c r="K624" s="3">
        <v>0.32</v>
      </c>
      <c r="L624" s="3">
        <v>1.83</v>
      </c>
    </row>
    <row r="625" spans="1:12" x14ac:dyDescent="0.35">
      <c r="A625" s="62" t="s">
        <v>33</v>
      </c>
      <c r="B625" s="62" t="s">
        <v>30</v>
      </c>
      <c r="C625" s="62">
        <v>1</v>
      </c>
      <c r="D625" s="62">
        <v>2</v>
      </c>
      <c r="E625" s="62">
        <v>4</v>
      </c>
      <c r="F625" s="62">
        <v>204</v>
      </c>
      <c r="G625" s="62">
        <v>15</v>
      </c>
      <c r="H625" s="62">
        <v>29</v>
      </c>
      <c r="I625" s="62">
        <v>11</v>
      </c>
      <c r="J625" s="95">
        <v>45961</v>
      </c>
      <c r="K625" s="3">
        <v>0.36</v>
      </c>
      <c r="L625" s="3">
        <v>3.25</v>
      </c>
    </row>
    <row r="626" spans="1:12" x14ac:dyDescent="0.35">
      <c r="A626" s="62" t="s">
        <v>33</v>
      </c>
      <c r="B626" s="62" t="s">
        <v>34</v>
      </c>
      <c r="C626" s="62">
        <v>1</v>
      </c>
      <c r="D626" s="62">
        <v>1</v>
      </c>
      <c r="E626" s="62">
        <v>4</v>
      </c>
      <c r="F626" s="62">
        <v>104</v>
      </c>
      <c r="G626" s="62">
        <v>16</v>
      </c>
      <c r="H626" s="62">
        <v>4</v>
      </c>
      <c r="I626" s="62">
        <v>11</v>
      </c>
      <c r="J626" s="95">
        <v>45961</v>
      </c>
      <c r="K626" s="3">
        <v>0.44</v>
      </c>
      <c r="L626" s="3">
        <v>4.09</v>
      </c>
    </row>
    <row r="627" spans="1:12" x14ac:dyDescent="0.35">
      <c r="A627" s="62" t="s">
        <v>28</v>
      </c>
      <c r="B627" s="62" t="s">
        <v>31</v>
      </c>
      <c r="C627" s="62">
        <v>2</v>
      </c>
      <c r="D627" s="62">
        <v>1</v>
      </c>
      <c r="E627" s="62">
        <v>5</v>
      </c>
      <c r="F627" s="62">
        <v>105</v>
      </c>
      <c r="G627" s="62">
        <v>17</v>
      </c>
      <c r="H627" s="62">
        <v>5</v>
      </c>
      <c r="I627" s="62">
        <v>11</v>
      </c>
      <c r="J627" s="95">
        <v>45961</v>
      </c>
      <c r="K627" s="3">
        <v>0.36</v>
      </c>
      <c r="L627" s="3">
        <v>3.46</v>
      </c>
    </row>
    <row r="628" spans="1:12" x14ac:dyDescent="0.35">
      <c r="A628" s="62" t="s">
        <v>28</v>
      </c>
      <c r="B628" s="62" t="s">
        <v>32</v>
      </c>
      <c r="C628" s="62">
        <v>2</v>
      </c>
      <c r="D628" s="62">
        <v>2</v>
      </c>
      <c r="E628" s="62">
        <v>5</v>
      </c>
      <c r="F628" s="62">
        <v>205</v>
      </c>
      <c r="G628" s="62">
        <v>18</v>
      </c>
      <c r="H628" s="62">
        <v>28</v>
      </c>
      <c r="I628" s="62">
        <v>11</v>
      </c>
      <c r="J628" s="95">
        <v>45961</v>
      </c>
      <c r="K628" s="3">
        <v>0.46</v>
      </c>
      <c r="L628" s="3">
        <v>4.24</v>
      </c>
    </row>
    <row r="629" spans="1:12" x14ac:dyDescent="0.35">
      <c r="A629" s="62" t="s">
        <v>28</v>
      </c>
      <c r="B629" s="62" t="s">
        <v>30</v>
      </c>
      <c r="C629" s="62">
        <v>2</v>
      </c>
      <c r="D629" s="62">
        <v>3</v>
      </c>
      <c r="E629" s="62">
        <v>5</v>
      </c>
      <c r="F629" s="62">
        <v>305</v>
      </c>
      <c r="G629" s="62">
        <v>19</v>
      </c>
      <c r="H629" s="62">
        <v>37</v>
      </c>
      <c r="I629" s="62">
        <v>11</v>
      </c>
      <c r="J629" s="95">
        <v>45961</v>
      </c>
      <c r="K629" s="3">
        <v>0.28000000000000003</v>
      </c>
      <c r="L629" s="3">
        <v>3.2</v>
      </c>
    </row>
    <row r="630" spans="1:12" x14ac:dyDescent="0.35">
      <c r="A630" s="62" t="s">
        <v>28</v>
      </c>
      <c r="B630" s="62" t="s">
        <v>29</v>
      </c>
      <c r="C630" s="62">
        <v>2</v>
      </c>
      <c r="D630" s="62">
        <v>4</v>
      </c>
      <c r="E630" s="62">
        <v>5</v>
      </c>
      <c r="F630" s="62">
        <v>405</v>
      </c>
      <c r="G630" s="62">
        <v>20</v>
      </c>
      <c r="H630" s="62">
        <v>60</v>
      </c>
      <c r="I630" s="62">
        <v>11</v>
      </c>
      <c r="J630" s="95">
        <v>45961</v>
      </c>
      <c r="K630" s="3">
        <v>0.3</v>
      </c>
      <c r="L630" s="3">
        <v>2</v>
      </c>
    </row>
    <row r="631" spans="1:12" x14ac:dyDescent="0.35">
      <c r="A631" s="62" t="s">
        <v>28</v>
      </c>
      <c r="B631" s="62" t="s">
        <v>29</v>
      </c>
      <c r="C631" s="62">
        <v>2</v>
      </c>
      <c r="D631" s="62">
        <v>4</v>
      </c>
      <c r="E631" s="62">
        <v>6</v>
      </c>
      <c r="F631" s="62">
        <v>406</v>
      </c>
      <c r="G631" s="62">
        <v>21</v>
      </c>
      <c r="H631" s="62">
        <v>59</v>
      </c>
      <c r="I631" s="62">
        <v>11</v>
      </c>
      <c r="J631" s="95">
        <v>45961</v>
      </c>
      <c r="K631" s="3">
        <v>0.28000000000000003</v>
      </c>
      <c r="L631" s="3">
        <v>1.41</v>
      </c>
    </row>
    <row r="632" spans="1:12" x14ac:dyDescent="0.35">
      <c r="A632" s="62" t="s">
        <v>28</v>
      </c>
      <c r="B632" s="62" t="s">
        <v>30</v>
      </c>
      <c r="C632" s="62">
        <v>2</v>
      </c>
      <c r="D632" s="62">
        <v>3</v>
      </c>
      <c r="E632" s="62">
        <v>6</v>
      </c>
      <c r="F632" s="62">
        <v>306</v>
      </c>
      <c r="G632" s="62">
        <v>22</v>
      </c>
      <c r="H632" s="62">
        <v>38</v>
      </c>
      <c r="I632" s="62">
        <v>11</v>
      </c>
      <c r="J632" s="95">
        <v>45961</v>
      </c>
      <c r="K632" s="3">
        <v>0.28999999999999998</v>
      </c>
      <c r="L632" s="3">
        <v>1.41</v>
      </c>
    </row>
    <row r="633" spans="1:12" x14ac:dyDescent="0.35">
      <c r="A633" s="62" t="s">
        <v>28</v>
      </c>
      <c r="B633" s="62" t="s">
        <v>32</v>
      </c>
      <c r="C633" s="62">
        <v>2</v>
      </c>
      <c r="D633" s="62">
        <v>2</v>
      </c>
      <c r="E633" s="62">
        <v>6</v>
      </c>
      <c r="F633" s="62">
        <v>206</v>
      </c>
      <c r="G633" s="62">
        <v>23</v>
      </c>
      <c r="H633" s="62">
        <v>27</v>
      </c>
      <c r="I633" s="62">
        <v>11</v>
      </c>
      <c r="J633" s="95">
        <v>45961</v>
      </c>
      <c r="K633" s="3">
        <v>0.48</v>
      </c>
      <c r="L633" s="3">
        <v>4.8600000000000003</v>
      </c>
    </row>
    <row r="634" spans="1:12" x14ac:dyDescent="0.35">
      <c r="A634" s="62" t="s">
        <v>28</v>
      </c>
      <c r="B634" s="62" t="s">
        <v>31</v>
      </c>
      <c r="C634" s="62">
        <v>2</v>
      </c>
      <c r="D634" s="62">
        <v>1</v>
      </c>
      <c r="E634" s="62">
        <v>6</v>
      </c>
      <c r="F634" s="62">
        <v>106</v>
      </c>
      <c r="G634" s="62">
        <v>24</v>
      </c>
      <c r="H634" s="62">
        <v>6</v>
      </c>
      <c r="I634" s="62">
        <v>11</v>
      </c>
      <c r="J634" s="95">
        <v>45961</v>
      </c>
      <c r="K634" s="3">
        <v>0.28999999999999998</v>
      </c>
      <c r="L634" s="3">
        <v>1.95</v>
      </c>
    </row>
    <row r="635" spans="1:12" x14ac:dyDescent="0.35">
      <c r="A635" s="62" t="s">
        <v>33</v>
      </c>
      <c r="B635" s="62" t="s">
        <v>35</v>
      </c>
      <c r="C635" s="62">
        <v>2</v>
      </c>
      <c r="D635" s="62">
        <v>1</v>
      </c>
      <c r="E635" s="62">
        <v>7</v>
      </c>
      <c r="F635" s="62">
        <v>107</v>
      </c>
      <c r="G635" s="62">
        <v>25</v>
      </c>
      <c r="H635" s="62">
        <v>7</v>
      </c>
      <c r="I635" s="62">
        <v>11</v>
      </c>
      <c r="J635" s="95">
        <v>45961</v>
      </c>
      <c r="K635" s="3">
        <v>0.46</v>
      </c>
      <c r="L635" s="3">
        <v>5.5</v>
      </c>
    </row>
    <row r="636" spans="1:12" x14ac:dyDescent="0.35">
      <c r="A636" s="62" t="s">
        <v>33</v>
      </c>
      <c r="B636" s="62" t="s">
        <v>29</v>
      </c>
      <c r="C636" s="62">
        <v>2</v>
      </c>
      <c r="D636" s="62">
        <v>2</v>
      </c>
      <c r="E636" s="62">
        <v>7</v>
      </c>
      <c r="F636" s="62">
        <v>207</v>
      </c>
      <c r="G636" s="62">
        <v>26</v>
      </c>
      <c r="H636" s="62">
        <v>26</v>
      </c>
      <c r="I636" s="62">
        <v>11</v>
      </c>
      <c r="J636" s="95">
        <v>45961</v>
      </c>
      <c r="K636" s="3">
        <v>0.32</v>
      </c>
      <c r="L636" s="3">
        <v>6.09</v>
      </c>
    </row>
    <row r="637" spans="1:12" x14ac:dyDescent="0.35">
      <c r="A637" s="62" t="s">
        <v>33</v>
      </c>
      <c r="B637" s="62" t="s">
        <v>30</v>
      </c>
      <c r="C637" s="62">
        <v>2</v>
      </c>
      <c r="D637" s="62">
        <v>3</v>
      </c>
      <c r="E637" s="62">
        <v>7</v>
      </c>
      <c r="F637" s="62">
        <v>307</v>
      </c>
      <c r="G637" s="62">
        <v>27</v>
      </c>
      <c r="H637" s="62">
        <v>39</v>
      </c>
      <c r="I637" s="62">
        <v>11</v>
      </c>
      <c r="J637" s="95">
        <v>45961</v>
      </c>
      <c r="K637" s="3">
        <v>0.27</v>
      </c>
      <c r="L637" s="3">
        <v>1.19</v>
      </c>
    </row>
    <row r="638" spans="1:12" x14ac:dyDescent="0.35">
      <c r="A638" s="62" t="s">
        <v>33</v>
      </c>
      <c r="B638" s="62" t="s">
        <v>34</v>
      </c>
      <c r="C638" s="62">
        <v>2</v>
      </c>
      <c r="D638" s="62">
        <v>4</v>
      </c>
      <c r="E638" s="62">
        <v>7</v>
      </c>
      <c r="F638" s="62">
        <v>407</v>
      </c>
      <c r="G638" s="62">
        <v>28</v>
      </c>
      <c r="H638" s="62">
        <v>58</v>
      </c>
      <c r="I638" s="62">
        <v>11</v>
      </c>
      <c r="J638" s="95">
        <v>45961</v>
      </c>
      <c r="K638" s="3">
        <v>0.38</v>
      </c>
      <c r="L638" s="3">
        <v>3.46</v>
      </c>
    </row>
    <row r="639" spans="1:12" x14ac:dyDescent="0.35">
      <c r="A639" s="62" t="s">
        <v>33</v>
      </c>
      <c r="B639" s="62" t="s">
        <v>34</v>
      </c>
      <c r="C639" s="62">
        <v>2</v>
      </c>
      <c r="D639" s="62">
        <v>4</v>
      </c>
      <c r="E639" s="62">
        <v>8</v>
      </c>
      <c r="F639" s="62">
        <v>408</v>
      </c>
      <c r="G639" s="62">
        <v>29</v>
      </c>
      <c r="H639" s="62">
        <v>57</v>
      </c>
      <c r="I639" s="62">
        <v>11</v>
      </c>
      <c r="J639" s="95">
        <v>45961</v>
      </c>
      <c r="K639" s="3">
        <v>0.33</v>
      </c>
      <c r="L639" s="3">
        <v>2.14</v>
      </c>
    </row>
    <row r="640" spans="1:12" x14ac:dyDescent="0.35">
      <c r="A640" s="62" t="s">
        <v>33</v>
      </c>
      <c r="B640" s="62" t="s">
        <v>30</v>
      </c>
      <c r="C640" s="62">
        <v>2</v>
      </c>
      <c r="D640" s="62">
        <v>3</v>
      </c>
      <c r="E640" s="62">
        <v>8</v>
      </c>
      <c r="F640" s="62">
        <v>308</v>
      </c>
      <c r="G640" s="62">
        <v>30</v>
      </c>
      <c r="H640" s="62">
        <v>40</v>
      </c>
      <c r="I640" s="62">
        <v>11</v>
      </c>
      <c r="J640" s="95">
        <v>45961</v>
      </c>
      <c r="K640" s="3">
        <v>0.24</v>
      </c>
      <c r="L640" s="3">
        <v>1.82</v>
      </c>
    </row>
    <row r="641" spans="1:12" x14ac:dyDescent="0.35">
      <c r="A641" s="62" t="s">
        <v>33</v>
      </c>
      <c r="B641" s="62" t="s">
        <v>29</v>
      </c>
      <c r="C641" s="62">
        <v>2</v>
      </c>
      <c r="D641" s="62">
        <v>2</v>
      </c>
      <c r="E641" s="62">
        <v>8</v>
      </c>
      <c r="F641" s="62">
        <v>208</v>
      </c>
      <c r="G641" s="62">
        <v>31</v>
      </c>
      <c r="H641" s="62">
        <v>25</v>
      </c>
      <c r="I641" s="62">
        <v>11</v>
      </c>
      <c r="J641" s="95">
        <v>45961</v>
      </c>
      <c r="K641" s="3">
        <v>0.32</v>
      </c>
      <c r="L641" s="3">
        <v>1.41</v>
      </c>
    </row>
    <row r="642" spans="1:12" x14ac:dyDescent="0.35">
      <c r="A642" s="62" t="s">
        <v>33</v>
      </c>
      <c r="B642" s="62" t="s">
        <v>35</v>
      </c>
      <c r="C642" s="62">
        <v>2</v>
      </c>
      <c r="D642" s="62">
        <v>1</v>
      </c>
      <c r="E642" s="62">
        <v>8</v>
      </c>
      <c r="F642" s="62">
        <v>108</v>
      </c>
      <c r="G642" s="62">
        <v>32</v>
      </c>
      <c r="H642" s="62">
        <v>8</v>
      </c>
      <c r="I642" s="62">
        <v>11</v>
      </c>
      <c r="J642" s="95">
        <v>45961</v>
      </c>
      <c r="K642" s="3">
        <v>0.41</v>
      </c>
      <c r="L642" s="3">
        <v>3.51</v>
      </c>
    </row>
    <row r="643" spans="1:12" x14ac:dyDescent="0.35">
      <c r="A643" s="62" t="s">
        <v>28</v>
      </c>
      <c r="B643" s="62" t="s">
        <v>32</v>
      </c>
      <c r="C643" s="62">
        <v>3</v>
      </c>
      <c r="D643" s="62">
        <v>1</v>
      </c>
      <c r="E643" s="62">
        <v>9</v>
      </c>
      <c r="F643" s="62">
        <v>109</v>
      </c>
      <c r="G643" s="62">
        <v>33</v>
      </c>
      <c r="H643" s="62">
        <v>9</v>
      </c>
      <c r="I643" s="62">
        <v>11</v>
      </c>
      <c r="J643" s="95">
        <v>45961</v>
      </c>
      <c r="K643" s="3">
        <v>0.41</v>
      </c>
      <c r="L643" s="3">
        <v>2.97</v>
      </c>
    </row>
    <row r="644" spans="1:12" x14ac:dyDescent="0.35">
      <c r="A644" s="62" t="s">
        <v>28</v>
      </c>
      <c r="B644" s="62" t="s">
        <v>31</v>
      </c>
      <c r="C644" s="62">
        <v>3</v>
      </c>
      <c r="D644" s="62">
        <v>2</v>
      </c>
      <c r="E644" s="62">
        <v>9</v>
      </c>
      <c r="F644" s="62">
        <v>209</v>
      </c>
      <c r="G644" s="62">
        <v>34</v>
      </c>
      <c r="H644" s="62">
        <v>24</v>
      </c>
      <c r="I644" s="62">
        <v>11</v>
      </c>
      <c r="J644" s="95">
        <v>45961</v>
      </c>
      <c r="K644" s="3">
        <v>0.27</v>
      </c>
      <c r="L644" s="3">
        <v>2.2000000000000002</v>
      </c>
    </row>
    <row r="645" spans="1:12" x14ac:dyDescent="0.35">
      <c r="A645" s="62" t="s">
        <v>28</v>
      </c>
      <c r="B645" s="62" t="s">
        <v>29</v>
      </c>
      <c r="C645" s="62">
        <v>3</v>
      </c>
      <c r="D645" s="62">
        <v>3</v>
      </c>
      <c r="E645" s="62">
        <v>9</v>
      </c>
      <c r="F645" s="62">
        <v>309</v>
      </c>
      <c r="G645" s="62">
        <v>35</v>
      </c>
      <c r="H645" s="62">
        <v>41</v>
      </c>
      <c r="I645" s="62">
        <v>11</v>
      </c>
      <c r="J645" s="95">
        <v>45961</v>
      </c>
      <c r="K645" s="3">
        <v>0.28999999999999998</v>
      </c>
      <c r="L645" s="3">
        <v>1.58</v>
      </c>
    </row>
    <row r="646" spans="1:12" x14ac:dyDescent="0.35">
      <c r="A646" s="62" t="s">
        <v>28</v>
      </c>
      <c r="B646" s="62" t="s">
        <v>30</v>
      </c>
      <c r="C646" s="62">
        <v>3</v>
      </c>
      <c r="D646" s="62">
        <v>4</v>
      </c>
      <c r="E646" s="62">
        <v>9</v>
      </c>
      <c r="F646" s="62">
        <v>409</v>
      </c>
      <c r="G646" s="62">
        <v>36</v>
      </c>
      <c r="H646" s="62">
        <v>56</v>
      </c>
      <c r="I646" s="62">
        <v>11</v>
      </c>
      <c r="J646" s="95">
        <v>45961</v>
      </c>
      <c r="K646" s="3">
        <v>0.28000000000000003</v>
      </c>
      <c r="L646" s="3">
        <v>3.16</v>
      </c>
    </row>
    <row r="647" spans="1:12" x14ac:dyDescent="0.35">
      <c r="A647" s="62" t="s">
        <v>28</v>
      </c>
      <c r="B647" s="62" t="s">
        <v>30</v>
      </c>
      <c r="C647" s="62">
        <v>3</v>
      </c>
      <c r="D647" s="62">
        <v>4</v>
      </c>
      <c r="E647" s="62">
        <v>10</v>
      </c>
      <c r="F647" s="62">
        <v>410</v>
      </c>
      <c r="G647" s="62">
        <v>37</v>
      </c>
      <c r="H647" s="62">
        <v>55</v>
      </c>
      <c r="I647" s="62">
        <v>11</v>
      </c>
      <c r="J647" s="95">
        <v>45961</v>
      </c>
      <c r="K647" s="3">
        <v>0.28999999999999998</v>
      </c>
      <c r="L647" s="3">
        <v>2.61</v>
      </c>
    </row>
    <row r="648" spans="1:12" x14ac:dyDescent="0.35">
      <c r="A648" s="62" t="s">
        <v>28</v>
      </c>
      <c r="B648" s="62" t="s">
        <v>29</v>
      </c>
      <c r="C648" s="62">
        <v>3</v>
      </c>
      <c r="D648" s="62">
        <v>3</v>
      </c>
      <c r="E648" s="62">
        <v>10</v>
      </c>
      <c r="F648" s="62">
        <v>310</v>
      </c>
      <c r="G648" s="62">
        <v>38</v>
      </c>
      <c r="H648" s="62">
        <v>42</v>
      </c>
      <c r="I648" s="62">
        <v>11</v>
      </c>
      <c r="J648" s="95">
        <v>45961</v>
      </c>
      <c r="K648" s="3">
        <v>0.3</v>
      </c>
      <c r="L648" s="3">
        <v>4.21</v>
      </c>
    </row>
    <row r="649" spans="1:12" x14ac:dyDescent="0.35">
      <c r="A649" s="62" t="s">
        <v>28</v>
      </c>
      <c r="B649" s="62" t="s">
        <v>31</v>
      </c>
      <c r="C649" s="62">
        <v>3</v>
      </c>
      <c r="D649" s="62">
        <v>2</v>
      </c>
      <c r="E649" s="62">
        <v>10</v>
      </c>
      <c r="F649" s="62">
        <v>210</v>
      </c>
      <c r="G649" s="62">
        <v>39</v>
      </c>
      <c r="H649" s="62">
        <v>23</v>
      </c>
      <c r="I649" s="62">
        <v>11</v>
      </c>
      <c r="J649" s="95">
        <v>45961</v>
      </c>
      <c r="K649" s="3">
        <v>0.3</v>
      </c>
      <c r="L649" s="3">
        <v>1.17</v>
      </c>
    </row>
    <row r="650" spans="1:12" x14ac:dyDescent="0.35">
      <c r="A650" s="62" t="s">
        <v>28</v>
      </c>
      <c r="B650" s="62" t="s">
        <v>32</v>
      </c>
      <c r="C650" s="62">
        <v>3</v>
      </c>
      <c r="D650" s="62">
        <v>1</v>
      </c>
      <c r="E650" s="62">
        <v>10</v>
      </c>
      <c r="F650" s="62">
        <v>110</v>
      </c>
      <c r="G650" s="62">
        <v>40</v>
      </c>
      <c r="H650" s="62">
        <v>10</v>
      </c>
      <c r="I650" s="62">
        <v>11</v>
      </c>
      <c r="J650" s="95">
        <v>45961</v>
      </c>
      <c r="K650" s="3">
        <v>0.44</v>
      </c>
      <c r="L650" s="3">
        <v>4.08</v>
      </c>
    </row>
    <row r="651" spans="1:12" x14ac:dyDescent="0.35">
      <c r="A651" s="62" t="s">
        <v>33</v>
      </c>
      <c r="B651" s="62" t="s">
        <v>29</v>
      </c>
      <c r="C651" s="62">
        <v>3</v>
      </c>
      <c r="D651" s="62">
        <v>1</v>
      </c>
      <c r="E651" s="62">
        <v>11</v>
      </c>
      <c r="F651" s="62">
        <v>111</v>
      </c>
      <c r="G651" s="62">
        <v>41</v>
      </c>
      <c r="H651" s="62">
        <v>11</v>
      </c>
      <c r="I651" s="62">
        <v>11</v>
      </c>
      <c r="J651" s="95">
        <v>45961</v>
      </c>
      <c r="K651" s="3">
        <v>0.36</v>
      </c>
      <c r="L651" s="3">
        <v>4.8099999999999996</v>
      </c>
    </row>
    <row r="652" spans="1:12" x14ac:dyDescent="0.35">
      <c r="A652" s="62" t="s">
        <v>33</v>
      </c>
      <c r="B652" s="62" t="s">
        <v>35</v>
      </c>
      <c r="C652" s="62">
        <v>3</v>
      </c>
      <c r="D652" s="62">
        <v>2</v>
      </c>
      <c r="E652" s="62">
        <v>11</v>
      </c>
      <c r="F652" s="62">
        <v>211</v>
      </c>
      <c r="G652" s="62">
        <v>42</v>
      </c>
      <c r="H652" s="62">
        <v>22</v>
      </c>
      <c r="I652" s="62">
        <v>11</v>
      </c>
      <c r="J652" s="95">
        <v>45961</v>
      </c>
      <c r="K652" s="3">
        <v>0.4</v>
      </c>
      <c r="L652" s="3">
        <v>3.88</v>
      </c>
    </row>
    <row r="653" spans="1:12" x14ac:dyDescent="0.35">
      <c r="A653" s="62" t="s">
        <v>33</v>
      </c>
      <c r="B653" s="62" t="s">
        <v>34</v>
      </c>
      <c r="C653" s="62">
        <v>3</v>
      </c>
      <c r="D653" s="62">
        <v>3</v>
      </c>
      <c r="E653" s="62">
        <v>11</v>
      </c>
      <c r="F653" s="62">
        <v>311</v>
      </c>
      <c r="G653" s="62">
        <v>43</v>
      </c>
      <c r="H653" s="62">
        <v>43</v>
      </c>
      <c r="I653" s="62">
        <v>11</v>
      </c>
      <c r="J653" s="95">
        <v>45961</v>
      </c>
      <c r="K653" s="3">
        <v>0.34</v>
      </c>
      <c r="L653" s="3">
        <v>1.91</v>
      </c>
    </row>
    <row r="654" spans="1:12" x14ac:dyDescent="0.35">
      <c r="A654" s="62" t="s">
        <v>33</v>
      </c>
      <c r="B654" s="62" t="s">
        <v>30</v>
      </c>
      <c r="C654" s="62">
        <v>3</v>
      </c>
      <c r="D654" s="62">
        <v>4</v>
      </c>
      <c r="E654" s="62">
        <v>11</v>
      </c>
      <c r="F654" s="62">
        <v>411</v>
      </c>
      <c r="G654" s="62">
        <v>44</v>
      </c>
      <c r="H654" s="62">
        <v>54</v>
      </c>
      <c r="I654" s="62">
        <v>11</v>
      </c>
      <c r="J654" s="95">
        <v>45961</v>
      </c>
      <c r="K654" s="3">
        <v>0.33</v>
      </c>
      <c r="L654" s="3">
        <v>1.96</v>
      </c>
    </row>
    <row r="655" spans="1:12" x14ac:dyDescent="0.35">
      <c r="A655" s="62" t="s">
        <v>33</v>
      </c>
      <c r="B655" s="62" t="s">
        <v>30</v>
      </c>
      <c r="C655" s="62">
        <v>3</v>
      </c>
      <c r="D655" s="62">
        <v>4</v>
      </c>
      <c r="E655" s="62">
        <v>12</v>
      </c>
      <c r="F655" s="62">
        <v>412</v>
      </c>
      <c r="G655" s="62">
        <v>45</v>
      </c>
      <c r="H655" s="62">
        <v>53</v>
      </c>
      <c r="I655" s="62">
        <v>11</v>
      </c>
      <c r="J655" s="95">
        <v>45961</v>
      </c>
      <c r="K655" s="3">
        <v>0.33</v>
      </c>
      <c r="L655" s="3">
        <v>1.97</v>
      </c>
    </row>
    <row r="656" spans="1:12" x14ac:dyDescent="0.35">
      <c r="A656" s="62" t="s">
        <v>33</v>
      </c>
      <c r="B656" s="62" t="s">
        <v>34</v>
      </c>
      <c r="C656" s="62">
        <v>3</v>
      </c>
      <c r="D656" s="62">
        <v>3</v>
      </c>
      <c r="E656" s="62">
        <v>12</v>
      </c>
      <c r="F656" s="62">
        <v>312</v>
      </c>
      <c r="G656" s="62">
        <v>46</v>
      </c>
      <c r="H656" s="62">
        <v>44</v>
      </c>
      <c r="I656" s="62">
        <v>11</v>
      </c>
      <c r="J656" s="95">
        <v>45961</v>
      </c>
      <c r="K656" s="3">
        <v>0.36</v>
      </c>
      <c r="L656" s="3">
        <v>3.77</v>
      </c>
    </row>
    <row r="657" spans="1:12" x14ac:dyDescent="0.35">
      <c r="A657" s="62" t="s">
        <v>33</v>
      </c>
      <c r="B657" s="62" t="s">
        <v>35</v>
      </c>
      <c r="C657" s="62">
        <v>3</v>
      </c>
      <c r="D657" s="62">
        <v>2</v>
      </c>
      <c r="E657" s="62">
        <v>12</v>
      </c>
      <c r="F657" s="62">
        <v>212</v>
      </c>
      <c r="G657" s="62">
        <v>47</v>
      </c>
      <c r="H657" s="62">
        <v>21</v>
      </c>
      <c r="I657" s="62">
        <v>11</v>
      </c>
      <c r="J657" s="95">
        <v>45961</v>
      </c>
      <c r="K657" s="3">
        <v>0.38</v>
      </c>
      <c r="L657" s="3">
        <v>2.94</v>
      </c>
    </row>
    <row r="658" spans="1:12" x14ac:dyDescent="0.35">
      <c r="A658" s="62" t="s">
        <v>33</v>
      </c>
      <c r="B658" s="62" t="s">
        <v>29</v>
      </c>
      <c r="C658" s="62">
        <v>3</v>
      </c>
      <c r="D658" s="62">
        <v>1</v>
      </c>
      <c r="E658" s="62">
        <v>12</v>
      </c>
      <c r="F658" s="62">
        <v>112</v>
      </c>
      <c r="G658" s="62">
        <v>48</v>
      </c>
      <c r="H658" s="62">
        <v>12</v>
      </c>
      <c r="I658" s="62">
        <v>11</v>
      </c>
      <c r="J658" s="95">
        <v>45961</v>
      </c>
      <c r="K658" s="3">
        <v>0.32</v>
      </c>
      <c r="L658" s="3">
        <v>6.02</v>
      </c>
    </row>
    <row r="659" spans="1:12" x14ac:dyDescent="0.35">
      <c r="A659" s="62" t="s">
        <v>28</v>
      </c>
      <c r="B659" s="62" t="s">
        <v>30</v>
      </c>
      <c r="C659" s="62">
        <v>4</v>
      </c>
      <c r="D659" s="62">
        <v>1</v>
      </c>
      <c r="E659" s="62">
        <v>13</v>
      </c>
      <c r="F659" s="62">
        <v>113</v>
      </c>
      <c r="G659" s="62">
        <v>49</v>
      </c>
      <c r="H659" s="62">
        <v>13</v>
      </c>
      <c r="I659" s="62">
        <v>11</v>
      </c>
      <c r="J659" s="95">
        <v>45961</v>
      </c>
      <c r="K659" s="3">
        <v>0.35</v>
      </c>
      <c r="L659" s="3">
        <v>1.77</v>
      </c>
    </row>
    <row r="660" spans="1:12" x14ac:dyDescent="0.35">
      <c r="A660" s="62" t="s">
        <v>28</v>
      </c>
      <c r="B660" s="62" t="s">
        <v>29</v>
      </c>
      <c r="C660" s="62">
        <v>4</v>
      </c>
      <c r="D660" s="62">
        <v>2</v>
      </c>
      <c r="E660" s="62">
        <v>13</v>
      </c>
      <c r="F660" s="62">
        <v>213</v>
      </c>
      <c r="G660" s="62">
        <v>50</v>
      </c>
      <c r="H660" s="62">
        <v>20</v>
      </c>
      <c r="I660" s="62">
        <v>11</v>
      </c>
      <c r="J660" s="95">
        <v>45961</v>
      </c>
      <c r="K660" s="3">
        <v>0.26</v>
      </c>
      <c r="L660" s="3">
        <v>2.0099999999999998</v>
      </c>
    </row>
    <row r="661" spans="1:12" x14ac:dyDescent="0.35">
      <c r="A661" s="62" t="s">
        <v>28</v>
      </c>
      <c r="B661" s="62" t="s">
        <v>32</v>
      </c>
      <c r="C661" s="62">
        <v>4</v>
      </c>
      <c r="D661" s="62">
        <v>3</v>
      </c>
      <c r="E661" s="62">
        <v>13</v>
      </c>
      <c r="F661" s="62">
        <v>313</v>
      </c>
      <c r="G661" s="62">
        <v>51</v>
      </c>
      <c r="H661" s="62">
        <v>45</v>
      </c>
      <c r="I661" s="62">
        <v>11</v>
      </c>
      <c r="J661" s="95">
        <v>45961</v>
      </c>
      <c r="K661" s="3">
        <v>0.44</v>
      </c>
      <c r="L661" s="3">
        <v>2.71</v>
      </c>
    </row>
    <row r="662" spans="1:12" x14ac:dyDescent="0.35">
      <c r="A662" s="62" t="s">
        <v>28</v>
      </c>
      <c r="B662" s="62" t="s">
        <v>31</v>
      </c>
      <c r="C662" s="62">
        <v>4</v>
      </c>
      <c r="D662" s="62">
        <v>4</v>
      </c>
      <c r="E662" s="62">
        <v>13</v>
      </c>
      <c r="F662" s="62">
        <v>413</v>
      </c>
      <c r="G662" s="62">
        <v>52</v>
      </c>
      <c r="H662" s="62">
        <v>52</v>
      </c>
      <c r="I662" s="62">
        <v>11</v>
      </c>
      <c r="J662" s="95">
        <v>45961</v>
      </c>
      <c r="K662" s="3">
        <v>0.33</v>
      </c>
      <c r="L662" s="3">
        <v>3.23</v>
      </c>
    </row>
    <row r="663" spans="1:12" x14ac:dyDescent="0.35">
      <c r="A663" s="62" t="s">
        <v>28</v>
      </c>
      <c r="B663" s="62" t="s">
        <v>31</v>
      </c>
      <c r="C663" s="62">
        <v>4</v>
      </c>
      <c r="D663" s="62">
        <v>4</v>
      </c>
      <c r="E663" s="62">
        <v>14</v>
      </c>
      <c r="F663" s="62">
        <v>414</v>
      </c>
      <c r="G663" s="62">
        <v>53</v>
      </c>
      <c r="H663" s="62">
        <v>51</v>
      </c>
      <c r="I663" s="62">
        <v>11</v>
      </c>
      <c r="J663" s="95">
        <v>45961</v>
      </c>
      <c r="K663" s="3">
        <v>0.32</v>
      </c>
      <c r="L663" s="3">
        <v>2</v>
      </c>
    </row>
    <row r="664" spans="1:12" x14ac:dyDescent="0.35">
      <c r="A664" s="62" t="s">
        <v>28</v>
      </c>
      <c r="B664" s="62" t="s">
        <v>32</v>
      </c>
      <c r="C664" s="62">
        <v>4</v>
      </c>
      <c r="D664" s="62">
        <v>3</v>
      </c>
      <c r="E664" s="62">
        <v>14</v>
      </c>
      <c r="F664" s="62">
        <v>314</v>
      </c>
      <c r="G664" s="62">
        <v>54</v>
      </c>
      <c r="H664" s="62">
        <v>46</v>
      </c>
      <c r="I664" s="62">
        <v>11</v>
      </c>
      <c r="J664" s="95">
        <v>45961</v>
      </c>
      <c r="K664" s="3">
        <v>0.38</v>
      </c>
      <c r="L664" s="3">
        <v>2.17</v>
      </c>
    </row>
    <row r="665" spans="1:12" x14ac:dyDescent="0.35">
      <c r="A665" s="62" t="s">
        <v>28</v>
      </c>
      <c r="B665" s="62" t="s">
        <v>29</v>
      </c>
      <c r="C665" s="62">
        <v>4</v>
      </c>
      <c r="D665" s="62">
        <v>2</v>
      </c>
      <c r="E665" s="62">
        <v>14</v>
      </c>
      <c r="F665" s="62">
        <v>214</v>
      </c>
      <c r="G665" s="62">
        <v>55</v>
      </c>
      <c r="H665" s="62">
        <v>19</v>
      </c>
      <c r="I665" s="62">
        <v>11</v>
      </c>
      <c r="J665" s="95">
        <v>45961</v>
      </c>
      <c r="K665" s="3">
        <v>0.28000000000000003</v>
      </c>
      <c r="L665" s="3">
        <v>1.99</v>
      </c>
    </row>
    <row r="666" spans="1:12" x14ac:dyDescent="0.35">
      <c r="A666" s="62" t="s">
        <v>28</v>
      </c>
      <c r="B666" s="62" t="s">
        <v>30</v>
      </c>
      <c r="C666" s="62">
        <v>4</v>
      </c>
      <c r="D666" s="62">
        <v>1</v>
      </c>
      <c r="E666" s="62">
        <v>14</v>
      </c>
      <c r="F666" s="62">
        <v>114</v>
      </c>
      <c r="G666" s="62">
        <v>56</v>
      </c>
      <c r="H666" s="62">
        <v>14</v>
      </c>
      <c r="I666" s="62">
        <v>11</v>
      </c>
      <c r="J666" s="95">
        <v>45961</v>
      </c>
      <c r="K666" s="3">
        <v>0.32</v>
      </c>
      <c r="L666" s="3">
        <v>2.37</v>
      </c>
    </row>
    <row r="667" spans="1:12" x14ac:dyDescent="0.35">
      <c r="A667" s="62" t="s">
        <v>33</v>
      </c>
      <c r="B667" s="62" t="s">
        <v>30</v>
      </c>
      <c r="C667" s="62">
        <v>4</v>
      </c>
      <c r="D667" s="62">
        <v>1</v>
      </c>
      <c r="E667" s="62">
        <v>15</v>
      </c>
      <c r="F667" s="62">
        <v>115</v>
      </c>
      <c r="G667" s="62">
        <v>57</v>
      </c>
      <c r="H667" s="62">
        <v>15</v>
      </c>
      <c r="I667" s="62">
        <v>11</v>
      </c>
      <c r="J667" s="95">
        <v>45961</v>
      </c>
      <c r="K667" s="3">
        <v>0.42</v>
      </c>
      <c r="L667" s="3">
        <v>5.41</v>
      </c>
    </row>
    <row r="668" spans="1:12" x14ac:dyDescent="0.35">
      <c r="A668" s="62" t="s">
        <v>33</v>
      </c>
      <c r="B668" s="62" t="s">
        <v>34</v>
      </c>
      <c r="C668" s="62">
        <v>4</v>
      </c>
      <c r="D668" s="62">
        <v>2</v>
      </c>
      <c r="E668" s="62">
        <v>15</v>
      </c>
      <c r="F668" s="62">
        <v>215</v>
      </c>
      <c r="G668" s="62">
        <v>58</v>
      </c>
      <c r="H668" s="62">
        <v>18</v>
      </c>
      <c r="I668" s="62">
        <v>11</v>
      </c>
      <c r="J668" s="95">
        <v>45961</v>
      </c>
      <c r="K668" s="3">
        <v>0.42</v>
      </c>
      <c r="L668" s="3">
        <v>5.13</v>
      </c>
    </row>
    <row r="669" spans="1:12" x14ac:dyDescent="0.35">
      <c r="A669" s="62" t="s">
        <v>33</v>
      </c>
      <c r="B669" s="62" t="s">
        <v>29</v>
      </c>
      <c r="C669" s="62">
        <v>4</v>
      </c>
      <c r="D669" s="62">
        <v>3</v>
      </c>
      <c r="E669" s="62">
        <v>15</v>
      </c>
      <c r="F669" s="62">
        <v>315</v>
      </c>
      <c r="G669" s="62">
        <v>59</v>
      </c>
      <c r="H669" s="62">
        <v>47</v>
      </c>
      <c r="I669" s="62">
        <v>11</v>
      </c>
      <c r="J669" s="95">
        <v>45961</v>
      </c>
      <c r="K669" s="3">
        <v>0.31</v>
      </c>
      <c r="L669" s="3">
        <v>1.99</v>
      </c>
    </row>
    <row r="670" spans="1:12" x14ac:dyDescent="0.35">
      <c r="A670" s="62" t="s">
        <v>33</v>
      </c>
      <c r="B670" s="62" t="s">
        <v>35</v>
      </c>
      <c r="C670" s="62">
        <v>4</v>
      </c>
      <c r="D670" s="62">
        <v>4</v>
      </c>
      <c r="E670" s="62">
        <v>15</v>
      </c>
      <c r="F670" s="62">
        <v>415</v>
      </c>
      <c r="G670" s="62">
        <v>60</v>
      </c>
      <c r="H670" s="62">
        <v>50</v>
      </c>
      <c r="I670" s="62">
        <v>11</v>
      </c>
      <c r="J670" s="95">
        <v>45961</v>
      </c>
      <c r="K670" s="3">
        <v>0.39</v>
      </c>
      <c r="L670" s="3">
        <v>2.35</v>
      </c>
    </row>
    <row r="671" spans="1:12" x14ac:dyDescent="0.35">
      <c r="A671" s="62" t="s">
        <v>33</v>
      </c>
      <c r="B671" s="62" t="s">
        <v>35</v>
      </c>
      <c r="C671" s="62">
        <v>4</v>
      </c>
      <c r="D671" s="62">
        <v>4</v>
      </c>
      <c r="E671" s="62">
        <v>16</v>
      </c>
      <c r="F671" s="62">
        <v>416</v>
      </c>
      <c r="G671" s="62">
        <v>61</v>
      </c>
      <c r="H671" s="62">
        <v>49</v>
      </c>
      <c r="I671" s="62">
        <v>11</v>
      </c>
      <c r="J671" s="95">
        <v>45961</v>
      </c>
      <c r="K671" s="3">
        <v>0.4</v>
      </c>
      <c r="L671" s="3">
        <v>3.3</v>
      </c>
    </row>
    <row r="672" spans="1:12" x14ac:dyDescent="0.35">
      <c r="A672" s="62" t="s">
        <v>33</v>
      </c>
      <c r="B672" s="62" t="s">
        <v>29</v>
      </c>
      <c r="C672" s="62">
        <v>4</v>
      </c>
      <c r="D672" s="62">
        <v>3</v>
      </c>
      <c r="E672" s="62">
        <v>16</v>
      </c>
      <c r="F672" s="62">
        <v>316</v>
      </c>
      <c r="G672" s="62">
        <v>62</v>
      </c>
      <c r="H672" s="62">
        <v>48</v>
      </c>
      <c r="I672" s="62">
        <v>11</v>
      </c>
      <c r="J672" s="95">
        <v>45961</v>
      </c>
      <c r="K672" s="3">
        <v>0.32</v>
      </c>
      <c r="L672" s="3">
        <v>1.63</v>
      </c>
    </row>
    <row r="673" spans="1:12" x14ac:dyDescent="0.35">
      <c r="A673" s="62" t="s">
        <v>33</v>
      </c>
      <c r="B673" s="62" t="s">
        <v>34</v>
      </c>
      <c r="C673" s="62">
        <v>4</v>
      </c>
      <c r="D673" s="62">
        <v>2</v>
      </c>
      <c r="E673" s="62">
        <v>16</v>
      </c>
      <c r="F673" s="62">
        <v>216</v>
      </c>
      <c r="G673" s="62">
        <v>63</v>
      </c>
      <c r="H673" s="62">
        <v>17</v>
      </c>
      <c r="I673" s="62">
        <v>11</v>
      </c>
      <c r="J673" s="95">
        <v>45961</v>
      </c>
      <c r="K673" s="3">
        <v>0.42</v>
      </c>
      <c r="L673" s="3">
        <v>5.4</v>
      </c>
    </row>
    <row r="674" spans="1:12" x14ac:dyDescent="0.35">
      <c r="A674" s="62" t="s">
        <v>33</v>
      </c>
      <c r="B674" s="62" t="s">
        <v>30</v>
      </c>
      <c r="C674" s="62">
        <v>4</v>
      </c>
      <c r="D674" s="62">
        <v>1</v>
      </c>
      <c r="E674" s="62">
        <v>16</v>
      </c>
      <c r="F674" s="62">
        <v>116</v>
      </c>
      <c r="G674" s="62">
        <v>64</v>
      </c>
      <c r="H674" s="62">
        <v>16</v>
      </c>
      <c r="I674" s="62">
        <v>11</v>
      </c>
      <c r="J674" s="95">
        <v>45961</v>
      </c>
      <c r="K674" s="3">
        <v>0.41</v>
      </c>
      <c r="L674" s="3">
        <v>3.83</v>
      </c>
    </row>
    <row r="675" spans="1:12" x14ac:dyDescent="0.35">
      <c r="A675" s="62" t="s">
        <v>28</v>
      </c>
      <c r="B675" s="62" t="s">
        <v>29</v>
      </c>
      <c r="C675" s="62">
        <v>1</v>
      </c>
      <c r="D675" s="62">
        <v>1</v>
      </c>
      <c r="E675" s="62">
        <v>1</v>
      </c>
      <c r="F675" s="62">
        <v>101</v>
      </c>
      <c r="G675" s="62">
        <v>1</v>
      </c>
      <c r="H675" s="62">
        <v>1</v>
      </c>
      <c r="I675" s="62">
        <v>12</v>
      </c>
      <c r="J675" s="95">
        <v>45967</v>
      </c>
      <c r="K675" s="3">
        <v>0.21</v>
      </c>
      <c r="L675" s="3">
        <v>3.15</v>
      </c>
    </row>
    <row r="676" spans="1:12" x14ac:dyDescent="0.35">
      <c r="A676" s="62" t="s">
        <v>28</v>
      </c>
      <c r="B676" s="62" t="s">
        <v>30</v>
      </c>
      <c r="C676" s="62">
        <v>1</v>
      </c>
      <c r="D676" s="62">
        <v>2</v>
      </c>
      <c r="E676" s="62">
        <v>1</v>
      </c>
      <c r="F676" s="62">
        <v>201</v>
      </c>
      <c r="G676" s="62">
        <v>2</v>
      </c>
      <c r="H676" s="62">
        <v>32</v>
      </c>
      <c r="I676" s="62">
        <v>12</v>
      </c>
      <c r="J676" s="95">
        <v>45967</v>
      </c>
      <c r="K676" s="3">
        <v>0.23</v>
      </c>
      <c r="L676" s="3">
        <v>3.35</v>
      </c>
    </row>
    <row r="677" spans="1:12" x14ac:dyDescent="0.35">
      <c r="A677" s="62" t="s">
        <v>28</v>
      </c>
      <c r="B677" s="62" t="s">
        <v>31</v>
      </c>
      <c r="C677" s="62">
        <v>1</v>
      </c>
      <c r="D677" s="62">
        <v>3</v>
      </c>
      <c r="E677" s="62">
        <v>1</v>
      </c>
      <c r="F677" s="62">
        <v>301</v>
      </c>
      <c r="G677" s="62">
        <v>3</v>
      </c>
      <c r="H677" s="62">
        <v>33</v>
      </c>
      <c r="I677" s="62">
        <v>12</v>
      </c>
      <c r="J677" s="95">
        <v>45967</v>
      </c>
      <c r="K677" s="3">
        <v>0.23</v>
      </c>
      <c r="L677" s="3">
        <v>2.0299999999999998</v>
      </c>
    </row>
    <row r="678" spans="1:12" x14ac:dyDescent="0.35">
      <c r="A678" s="62" t="s">
        <v>28</v>
      </c>
      <c r="B678" s="62" t="s">
        <v>32</v>
      </c>
      <c r="C678" s="62">
        <v>1</v>
      </c>
      <c r="D678" s="62">
        <v>4</v>
      </c>
      <c r="E678" s="62">
        <v>1</v>
      </c>
      <c r="F678" s="62">
        <v>401</v>
      </c>
      <c r="G678" s="62">
        <v>4</v>
      </c>
      <c r="H678" s="62">
        <v>64</v>
      </c>
      <c r="I678" s="62">
        <v>12</v>
      </c>
      <c r="J678" s="95">
        <v>45967</v>
      </c>
      <c r="K678" s="3">
        <v>0.37</v>
      </c>
      <c r="L678" s="3">
        <v>3.16</v>
      </c>
    </row>
    <row r="679" spans="1:12" x14ac:dyDescent="0.35">
      <c r="A679" s="62" t="s">
        <v>28</v>
      </c>
      <c r="B679" s="62" t="s">
        <v>32</v>
      </c>
      <c r="C679" s="62">
        <v>1</v>
      </c>
      <c r="D679" s="62">
        <v>4</v>
      </c>
      <c r="E679" s="62">
        <v>2</v>
      </c>
      <c r="F679" s="62">
        <v>402</v>
      </c>
      <c r="G679" s="62">
        <v>5</v>
      </c>
      <c r="H679" s="62">
        <v>63</v>
      </c>
      <c r="I679" s="62">
        <v>12</v>
      </c>
      <c r="J679" s="95">
        <v>45967</v>
      </c>
      <c r="K679" s="3">
        <v>0.35</v>
      </c>
      <c r="L679" s="3">
        <v>3.58</v>
      </c>
    </row>
    <row r="680" spans="1:12" x14ac:dyDescent="0.35">
      <c r="A680" s="62" t="s">
        <v>28</v>
      </c>
      <c r="B680" s="62" t="s">
        <v>31</v>
      </c>
      <c r="C680" s="62">
        <v>1</v>
      </c>
      <c r="D680" s="62">
        <v>3</v>
      </c>
      <c r="E680" s="62">
        <v>2</v>
      </c>
      <c r="F680" s="62">
        <v>302</v>
      </c>
      <c r="G680" s="62">
        <v>6</v>
      </c>
      <c r="H680" s="62">
        <v>34</v>
      </c>
      <c r="I680" s="62">
        <v>12</v>
      </c>
      <c r="J680" s="95">
        <v>45967</v>
      </c>
      <c r="K680" s="3">
        <v>0.21</v>
      </c>
      <c r="L680" s="3">
        <v>1.82</v>
      </c>
    </row>
    <row r="681" spans="1:12" x14ac:dyDescent="0.35">
      <c r="A681" s="62" t="s">
        <v>28</v>
      </c>
      <c r="B681" s="62" t="s">
        <v>30</v>
      </c>
      <c r="C681" s="62">
        <v>1</v>
      </c>
      <c r="D681" s="62">
        <v>2</v>
      </c>
      <c r="E681" s="62">
        <v>2</v>
      </c>
      <c r="F681" s="62">
        <v>202</v>
      </c>
      <c r="G681" s="62">
        <v>7</v>
      </c>
      <c r="H681" s="62">
        <v>31</v>
      </c>
      <c r="I681" s="62">
        <v>12</v>
      </c>
      <c r="J681" s="95">
        <v>45967</v>
      </c>
      <c r="K681" s="3">
        <v>0.22</v>
      </c>
      <c r="L681" s="3">
        <v>1.67</v>
      </c>
    </row>
    <row r="682" spans="1:12" x14ac:dyDescent="0.35">
      <c r="A682" s="62" t="s">
        <v>28</v>
      </c>
      <c r="B682" s="62" t="s">
        <v>29</v>
      </c>
      <c r="C682" s="62">
        <v>1</v>
      </c>
      <c r="D682" s="62">
        <v>1</v>
      </c>
      <c r="E682" s="62">
        <v>2</v>
      </c>
      <c r="F682" s="62">
        <v>102</v>
      </c>
      <c r="G682" s="62">
        <v>8</v>
      </c>
      <c r="H682" s="62">
        <v>2</v>
      </c>
      <c r="I682" s="62">
        <v>12</v>
      </c>
      <c r="J682" s="95">
        <v>45967</v>
      </c>
      <c r="K682" s="3">
        <v>0.19</v>
      </c>
      <c r="L682" s="3">
        <v>2.7</v>
      </c>
    </row>
    <row r="683" spans="1:12" x14ac:dyDescent="0.35">
      <c r="A683" s="62" t="s">
        <v>33</v>
      </c>
      <c r="B683" s="62" t="s">
        <v>34</v>
      </c>
      <c r="C683" s="62">
        <v>1</v>
      </c>
      <c r="D683" s="62">
        <v>1</v>
      </c>
      <c r="E683" s="62">
        <v>3</v>
      </c>
      <c r="F683" s="62">
        <v>103</v>
      </c>
      <c r="G683" s="62">
        <v>9</v>
      </c>
      <c r="H683" s="62">
        <v>3</v>
      </c>
      <c r="I683" s="62">
        <v>12</v>
      </c>
      <c r="J683" s="95">
        <v>45967</v>
      </c>
      <c r="K683" s="3">
        <v>0.39</v>
      </c>
      <c r="L683" s="3">
        <v>4.1100000000000003</v>
      </c>
    </row>
    <row r="684" spans="1:12" x14ac:dyDescent="0.35">
      <c r="A684" s="62" t="s">
        <v>33</v>
      </c>
      <c r="B684" s="62" t="s">
        <v>30</v>
      </c>
      <c r="C684" s="62">
        <v>1</v>
      </c>
      <c r="D684" s="62">
        <v>2</v>
      </c>
      <c r="E684" s="62">
        <v>3</v>
      </c>
      <c r="F684" s="62">
        <v>203</v>
      </c>
      <c r="G684" s="62">
        <v>10</v>
      </c>
      <c r="H684" s="62">
        <v>30</v>
      </c>
      <c r="I684" s="62">
        <v>12</v>
      </c>
      <c r="J684" s="95">
        <v>45967</v>
      </c>
      <c r="K684" s="3">
        <v>0.28999999999999998</v>
      </c>
      <c r="L684" s="3">
        <v>4.07</v>
      </c>
    </row>
    <row r="685" spans="1:12" x14ac:dyDescent="0.35">
      <c r="A685" s="62" t="s">
        <v>33</v>
      </c>
      <c r="B685" s="62" t="s">
        <v>35</v>
      </c>
      <c r="C685" s="62">
        <v>1</v>
      </c>
      <c r="D685" s="62">
        <v>3</v>
      </c>
      <c r="E685" s="62">
        <v>3</v>
      </c>
      <c r="F685" s="62">
        <v>303</v>
      </c>
      <c r="G685" s="62">
        <v>11</v>
      </c>
      <c r="H685" s="62">
        <v>35</v>
      </c>
      <c r="I685" s="62">
        <v>12</v>
      </c>
      <c r="J685" s="95">
        <v>45967</v>
      </c>
      <c r="K685" s="3">
        <v>0.31</v>
      </c>
      <c r="L685" s="3">
        <v>4.28</v>
      </c>
    </row>
    <row r="686" spans="1:12" x14ac:dyDescent="0.35">
      <c r="A686" s="62" t="s">
        <v>33</v>
      </c>
      <c r="B686" s="62" t="s">
        <v>29</v>
      </c>
      <c r="C686" s="62">
        <v>1</v>
      </c>
      <c r="D686" s="62">
        <v>4</v>
      </c>
      <c r="E686" s="62">
        <v>3</v>
      </c>
      <c r="F686" s="62">
        <v>403</v>
      </c>
      <c r="G686" s="62">
        <v>12</v>
      </c>
      <c r="H686" s="62">
        <v>62</v>
      </c>
      <c r="I686" s="62">
        <v>12</v>
      </c>
      <c r="J686" s="95">
        <v>45967</v>
      </c>
      <c r="K686" s="3">
        <v>0.23</v>
      </c>
      <c r="L686" s="3">
        <v>2.4</v>
      </c>
    </row>
    <row r="687" spans="1:12" x14ac:dyDescent="0.35">
      <c r="A687" s="62" t="s">
        <v>33</v>
      </c>
      <c r="B687" s="62" t="s">
        <v>29</v>
      </c>
      <c r="C687" s="62">
        <v>1</v>
      </c>
      <c r="D687" s="62">
        <v>4</v>
      </c>
      <c r="E687" s="62">
        <v>4</v>
      </c>
      <c r="F687" s="62">
        <v>404</v>
      </c>
      <c r="G687" s="62">
        <v>13</v>
      </c>
      <c r="H687" s="62">
        <v>61</v>
      </c>
      <c r="I687" s="62">
        <v>12</v>
      </c>
      <c r="J687" s="95">
        <v>45967</v>
      </c>
      <c r="K687" s="3">
        <v>0.25</v>
      </c>
      <c r="L687" s="3">
        <v>2.12</v>
      </c>
    </row>
    <row r="688" spans="1:12" x14ac:dyDescent="0.35">
      <c r="A688" s="62" t="s">
        <v>33</v>
      </c>
      <c r="B688" s="62" t="s">
        <v>35</v>
      </c>
      <c r="C688" s="62">
        <v>1</v>
      </c>
      <c r="D688" s="62">
        <v>3</v>
      </c>
      <c r="E688" s="62">
        <v>4</v>
      </c>
      <c r="F688" s="62">
        <v>304</v>
      </c>
      <c r="G688" s="62">
        <v>14</v>
      </c>
      <c r="H688" s="62">
        <v>36</v>
      </c>
      <c r="I688" s="62">
        <v>12</v>
      </c>
      <c r="J688" s="95">
        <v>45967</v>
      </c>
      <c r="K688" s="3">
        <v>0.27</v>
      </c>
      <c r="L688" s="3">
        <v>2.59</v>
      </c>
    </row>
    <row r="689" spans="1:12" x14ac:dyDescent="0.35">
      <c r="A689" s="62" t="s">
        <v>33</v>
      </c>
      <c r="B689" s="62" t="s">
        <v>30</v>
      </c>
      <c r="C689" s="62">
        <v>1</v>
      </c>
      <c r="D689" s="62">
        <v>2</v>
      </c>
      <c r="E689" s="62">
        <v>4</v>
      </c>
      <c r="F689" s="62">
        <v>204</v>
      </c>
      <c r="G689" s="62">
        <v>15</v>
      </c>
      <c r="H689" s="62">
        <v>29</v>
      </c>
      <c r="I689" s="62">
        <v>12</v>
      </c>
      <c r="J689" s="95">
        <v>45967</v>
      </c>
      <c r="K689" s="3">
        <v>0.26</v>
      </c>
      <c r="L689" s="3">
        <v>2.93</v>
      </c>
    </row>
    <row r="690" spans="1:12" x14ac:dyDescent="0.35">
      <c r="A690" s="62" t="s">
        <v>33</v>
      </c>
      <c r="B690" s="62" t="s">
        <v>34</v>
      </c>
      <c r="C690" s="62">
        <v>1</v>
      </c>
      <c r="D690" s="62">
        <v>1</v>
      </c>
      <c r="E690" s="62">
        <v>4</v>
      </c>
      <c r="F690" s="62">
        <v>104</v>
      </c>
      <c r="G690" s="62">
        <v>16</v>
      </c>
      <c r="H690" s="62">
        <v>4</v>
      </c>
      <c r="I690" s="62">
        <v>12</v>
      </c>
      <c r="J690" s="95">
        <v>45967</v>
      </c>
      <c r="K690" s="3">
        <v>0.33</v>
      </c>
      <c r="L690" s="3">
        <v>3.39</v>
      </c>
    </row>
    <row r="691" spans="1:12" x14ac:dyDescent="0.35">
      <c r="A691" s="62" t="s">
        <v>28</v>
      </c>
      <c r="B691" s="62" t="s">
        <v>31</v>
      </c>
      <c r="C691" s="62">
        <v>2</v>
      </c>
      <c r="D691" s="62">
        <v>1</v>
      </c>
      <c r="E691" s="62">
        <v>5</v>
      </c>
      <c r="F691" s="62">
        <v>105</v>
      </c>
      <c r="G691" s="62">
        <v>17</v>
      </c>
      <c r="H691" s="62">
        <v>5</v>
      </c>
      <c r="I691" s="62">
        <v>12</v>
      </c>
      <c r="J691" s="95">
        <v>45967</v>
      </c>
      <c r="K691" s="3">
        <v>0.24</v>
      </c>
      <c r="L691" s="3">
        <v>1.95</v>
      </c>
    </row>
    <row r="692" spans="1:12" x14ac:dyDescent="0.35">
      <c r="A692" s="62" t="s">
        <v>28</v>
      </c>
      <c r="B692" s="62" t="s">
        <v>32</v>
      </c>
      <c r="C692" s="62">
        <v>2</v>
      </c>
      <c r="D692" s="62">
        <v>2</v>
      </c>
      <c r="E692" s="62">
        <v>5</v>
      </c>
      <c r="F692" s="62">
        <v>205</v>
      </c>
      <c r="G692" s="62">
        <v>18</v>
      </c>
      <c r="H692" s="62">
        <v>28</v>
      </c>
      <c r="I692" s="62">
        <v>12</v>
      </c>
      <c r="J692" s="95">
        <v>45967</v>
      </c>
      <c r="K692" s="3">
        <v>0.4</v>
      </c>
      <c r="L692" s="3">
        <v>4.0599999999999996</v>
      </c>
    </row>
    <row r="693" spans="1:12" x14ac:dyDescent="0.35">
      <c r="A693" s="62" t="s">
        <v>28</v>
      </c>
      <c r="B693" s="62" t="s">
        <v>30</v>
      </c>
      <c r="C693" s="62">
        <v>2</v>
      </c>
      <c r="D693" s="62">
        <v>3</v>
      </c>
      <c r="E693" s="62">
        <v>5</v>
      </c>
      <c r="F693" s="62">
        <v>305</v>
      </c>
      <c r="G693" s="62">
        <v>19</v>
      </c>
      <c r="H693" s="62">
        <v>37</v>
      </c>
      <c r="I693" s="62">
        <v>12</v>
      </c>
      <c r="J693" s="95">
        <v>45967</v>
      </c>
      <c r="K693" s="3">
        <v>0.2</v>
      </c>
      <c r="L693" s="3">
        <v>1.9</v>
      </c>
    </row>
    <row r="694" spans="1:12" x14ac:dyDescent="0.35">
      <c r="A694" s="62" t="s">
        <v>28</v>
      </c>
      <c r="B694" s="62" t="s">
        <v>29</v>
      </c>
      <c r="C694" s="62">
        <v>2</v>
      </c>
      <c r="D694" s="62">
        <v>4</v>
      </c>
      <c r="E694" s="62">
        <v>5</v>
      </c>
      <c r="F694" s="62">
        <v>405</v>
      </c>
      <c r="G694" s="62">
        <v>20</v>
      </c>
      <c r="H694" s="62">
        <v>60</v>
      </c>
      <c r="I694" s="62">
        <v>12</v>
      </c>
      <c r="J694" s="95">
        <v>45967</v>
      </c>
      <c r="K694" s="3">
        <v>0.22</v>
      </c>
      <c r="L694" s="3">
        <v>2.37</v>
      </c>
    </row>
    <row r="695" spans="1:12" x14ac:dyDescent="0.35">
      <c r="A695" s="62" t="s">
        <v>28</v>
      </c>
      <c r="B695" s="62" t="s">
        <v>29</v>
      </c>
      <c r="C695" s="62">
        <v>2</v>
      </c>
      <c r="D695" s="62">
        <v>4</v>
      </c>
      <c r="E695" s="62">
        <v>6</v>
      </c>
      <c r="F695" s="62">
        <v>406</v>
      </c>
      <c r="G695" s="62">
        <v>21</v>
      </c>
      <c r="H695" s="62">
        <v>59</v>
      </c>
      <c r="I695" s="62">
        <v>12</v>
      </c>
      <c r="J695" s="95">
        <v>45967</v>
      </c>
      <c r="K695" s="3">
        <v>0.2</v>
      </c>
      <c r="L695" s="3">
        <v>1.67</v>
      </c>
    </row>
    <row r="696" spans="1:12" x14ac:dyDescent="0.35">
      <c r="A696" s="62" t="s">
        <v>28</v>
      </c>
      <c r="B696" s="62" t="s">
        <v>30</v>
      </c>
      <c r="C696" s="62">
        <v>2</v>
      </c>
      <c r="D696" s="62">
        <v>3</v>
      </c>
      <c r="E696" s="62">
        <v>6</v>
      </c>
      <c r="F696" s="62">
        <v>306</v>
      </c>
      <c r="G696" s="62">
        <v>22</v>
      </c>
      <c r="H696" s="62">
        <v>38</v>
      </c>
      <c r="I696" s="62">
        <v>12</v>
      </c>
      <c r="J696" s="95">
        <v>45967</v>
      </c>
      <c r="K696" s="3">
        <v>0.22</v>
      </c>
      <c r="L696" s="3">
        <v>2.19</v>
      </c>
    </row>
    <row r="697" spans="1:12" x14ac:dyDescent="0.35">
      <c r="A697" s="62" t="s">
        <v>28</v>
      </c>
      <c r="B697" s="62" t="s">
        <v>32</v>
      </c>
      <c r="C697" s="62">
        <v>2</v>
      </c>
      <c r="D697" s="62">
        <v>2</v>
      </c>
      <c r="E697" s="62">
        <v>6</v>
      </c>
      <c r="F697" s="62">
        <v>206</v>
      </c>
      <c r="G697" s="62">
        <v>23</v>
      </c>
      <c r="H697" s="62">
        <v>27</v>
      </c>
      <c r="I697" s="62">
        <v>12</v>
      </c>
      <c r="J697" s="95">
        <v>45967</v>
      </c>
      <c r="K697" s="3">
        <v>0.42</v>
      </c>
      <c r="L697" s="3">
        <v>4.58</v>
      </c>
    </row>
    <row r="698" spans="1:12" x14ac:dyDescent="0.35">
      <c r="A698" s="62" t="s">
        <v>28</v>
      </c>
      <c r="B698" s="62" t="s">
        <v>31</v>
      </c>
      <c r="C698" s="62">
        <v>2</v>
      </c>
      <c r="D698" s="62">
        <v>1</v>
      </c>
      <c r="E698" s="62">
        <v>6</v>
      </c>
      <c r="F698" s="62">
        <v>106</v>
      </c>
      <c r="G698" s="62">
        <v>24</v>
      </c>
      <c r="H698" s="62">
        <v>6</v>
      </c>
      <c r="I698" s="62">
        <v>12</v>
      </c>
      <c r="J698" s="95">
        <v>45967</v>
      </c>
      <c r="K698" s="3">
        <v>0.24</v>
      </c>
      <c r="L698" s="3">
        <v>2.2799999999999998</v>
      </c>
    </row>
    <row r="699" spans="1:12" x14ac:dyDescent="0.35">
      <c r="A699" s="62" t="s">
        <v>33</v>
      </c>
      <c r="B699" s="62" t="s">
        <v>35</v>
      </c>
      <c r="C699" s="62">
        <v>2</v>
      </c>
      <c r="D699" s="62">
        <v>1</v>
      </c>
      <c r="E699" s="62">
        <v>7</v>
      </c>
      <c r="F699" s="62">
        <v>107</v>
      </c>
      <c r="G699" s="62">
        <v>25</v>
      </c>
      <c r="H699" s="62">
        <v>7</v>
      </c>
      <c r="I699" s="62">
        <v>12</v>
      </c>
      <c r="J699" s="95">
        <v>45967</v>
      </c>
      <c r="K699" s="3">
        <v>0.38</v>
      </c>
      <c r="L699" s="3">
        <v>3.74</v>
      </c>
    </row>
    <row r="700" spans="1:12" x14ac:dyDescent="0.35">
      <c r="A700" s="62" t="s">
        <v>33</v>
      </c>
      <c r="B700" s="62" t="s">
        <v>29</v>
      </c>
      <c r="C700" s="62">
        <v>2</v>
      </c>
      <c r="D700" s="62">
        <v>2</v>
      </c>
      <c r="E700" s="62">
        <v>7</v>
      </c>
      <c r="F700" s="62">
        <v>207</v>
      </c>
      <c r="G700" s="62">
        <v>26</v>
      </c>
      <c r="H700" s="62">
        <v>26</v>
      </c>
      <c r="I700" s="62">
        <v>12</v>
      </c>
      <c r="J700" s="95">
        <v>45967</v>
      </c>
      <c r="K700" s="3">
        <v>0.27</v>
      </c>
      <c r="L700" s="3">
        <v>5.68</v>
      </c>
    </row>
    <row r="701" spans="1:12" x14ac:dyDescent="0.35">
      <c r="A701" s="62" t="s">
        <v>33</v>
      </c>
      <c r="B701" s="62" t="s">
        <v>30</v>
      </c>
      <c r="C701" s="62">
        <v>2</v>
      </c>
      <c r="D701" s="62">
        <v>3</v>
      </c>
      <c r="E701" s="62">
        <v>7</v>
      </c>
      <c r="F701" s="62">
        <v>307</v>
      </c>
      <c r="G701" s="62">
        <v>27</v>
      </c>
      <c r="H701" s="62">
        <v>39</v>
      </c>
      <c r="I701" s="62">
        <v>12</v>
      </c>
      <c r="J701" s="95">
        <v>45967</v>
      </c>
      <c r="K701" s="3">
        <v>0.28000000000000003</v>
      </c>
      <c r="L701" s="3">
        <v>2.27</v>
      </c>
    </row>
    <row r="702" spans="1:12" x14ac:dyDescent="0.35">
      <c r="A702" s="62" t="s">
        <v>33</v>
      </c>
      <c r="B702" s="62" t="s">
        <v>34</v>
      </c>
      <c r="C702" s="62">
        <v>2</v>
      </c>
      <c r="D702" s="62">
        <v>4</v>
      </c>
      <c r="E702" s="62">
        <v>7</v>
      </c>
      <c r="F702" s="62">
        <v>407</v>
      </c>
      <c r="G702" s="62">
        <v>28</v>
      </c>
      <c r="H702" s="62">
        <v>58</v>
      </c>
      <c r="I702" s="62">
        <v>12</v>
      </c>
      <c r="J702" s="95">
        <v>45967</v>
      </c>
      <c r="K702" s="3">
        <v>0.34</v>
      </c>
      <c r="L702" s="3">
        <v>5.0999999999999996</v>
      </c>
    </row>
    <row r="703" spans="1:12" x14ac:dyDescent="0.35">
      <c r="A703" s="62" t="s">
        <v>33</v>
      </c>
      <c r="B703" s="62" t="s">
        <v>34</v>
      </c>
      <c r="C703" s="62">
        <v>2</v>
      </c>
      <c r="D703" s="62">
        <v>4</v>
      </c>
      <c r="E703" s="62">
        <v>8</v>
      </c>
      <c r="F703" s="62">
        <v>408</v>
      </c>
      <c r="G703" s="62">
        <v>29</v>
      </c>
      <c r="H703" s="62">
        <v>57</v>
      </c>
      <c r="I703" s="62">
        <v>12</v>
      </c>
      <c r="J703" s="95">
        <v>45967</v>
      </c>
      <c r="K703" s="3">
        <v>0.31</v>
      </c>
      <c r="L703" s="3">
        <v>3.39</v>
      </c>
    </row>
    <row r="704" spans="1:12" x14ac:dyDescent="0.35">
      <c r="A704" s="62" t="s">
        <v>33</v>
      </c>
      <c r="B704" s="62" t="s">
        <v>30</v>
      </c>
      <c r="C704" s="62">
        <v>2</v>
      </c>
      <c r="D704" s="62">
        <v>3</v>
      </c>
      <c r="E704" s="62">
        <v>8</v>
      </c>
      <c r="F704" s="62">
        <v>308</v>
      </c>
      <c r="G704" s="62">
        <v>30</v>
      </c>
      <c r="H704" s="62">
        <v>40</v>
      </c>
      <c r="I704" s="62">
        <v>12</v>
      </c>
      <c r="J704" s="95">
        <v>45967</v>
      </c>
      <c r="K704" s="3">
        <v>0.24</v>
      </c>
      <c r="L704" s="3">
        <v>3.03</v>
      </c>
    </row>
    <row r="705" spans="1:12" x14ac:dyDescent="0.35">
      <c r="A705" s="62" t="s">
        <v>33</v>
      </c>
      <c r="B705" s="62" t="s">
        <v>29</v>
      </c>
      <c r="C705" s="62">
        <v>2</v>
      </c>
      <c r="D705" s="62">
        <v>2</v>
      </c>
      <c r="E705" s="62">
        <v>8</v>
      </c>
      <c r="F705" s="62">
        <v>208</v>
      </c>
      <c r="G705" s="62">
        <v>31</v>
      </c>
      <c r="H705" s="62">
        <v>25</v>
      </c>
      <c r="I705" s="62">
        <v>12</v>
      </c>
      <c r="J705" s="95">
        <v>45967</v>
      </c>
      <c r="K705" s="3">
        <v>0.26</v>
      </c>
      <c r="L705" s="3">
        <v>3.9</v>
      </c>
    </row>
    <row r="706" spans="1:12" x14ac:dyDescent="0.35">
      <c r="A706" s="62" t="s">
        <v>33</v>
      </c>
      <c r="B706" s="62" t="s">
        <v>35</v>
      </c>
      <c r="C706" s="62">
        <v>2</v>
      </c>
      <c r="D706" s="62">
        <v>1</v>
      </c>
      <c r="E706" s="62">
        <v>8</v>
      </c>
      <c r="F706" s="62">
        <v>108</v>
      </c>
      <c r="G706" s="62">
        <v>32</v>
      </c>
      <c r="H706" s="62">
        <v>8</v>
      </c>
      <c r="I706" s="62">
        <v>12</v>
      </c>
      <c r="J706" s="95">
        <v>45967</v>
      </c>
      <c r="K706" s="3">
        <v>0.33</v>
      </c>
      <c r="L706" s="3">
        <v>4</v>
      </c>
    </row>
    <row r="707" spans="1:12" x14ac:dyDescent="0.35">
      <c r="A707" s="62" t="s">
        <v>28</v>
      </c>
      <c r="B707" s="62" t="s">
        <v>32</v>
      </c>
      <c r="C707" s="62">
        <v>3</v>
      </c>
      <c r="D707" s="62">
        <v>1</v>
      </c>
      <c r="E707" s="62">
        <v>9</v>
      </c>
      <c r="F707" s="62">
        <v>109</v>
      </c>
      <c r="G707" s="62">
        <v>33</v>
      </c>
      <c r="H707" s="62">
        <v>9</v>
      </c>
      <c r="I707" s="62">
        <v>12</v>
      </c>
      <c r="J707" s="95">
        <v>45967</v>
      </c>
      <c r="K707" s="3">
        <v>0.36</v>
      </c>
      <c r="L707" s="3">
        <v>2.2400000000000002</v>
      </c>
    </row>
    <row r="708" spans="1:12" x14ac:dyDescent="0.35">
      <c r="A708" s="62" t="s">
        <v>28</v>
      </c>
      <c r="B708" s="62" t="s">
        <v>31</v>
      </c>
      <c r="C708" s="62">
        <v>3</v>
      </c>
      <c r="D708" s="62">
        <v>2</v>
      </c>
      <c r="E708" s="62">
        <v>9</v>
      </c>
      <c r="F708" s="62">
        <v>209</v>
      </c>
      <c r="G708" s="62">
        <v>34</v>
      </c>
      <c r="H708" s="62">
        <v>24</v>
      </c>
      <c r="I708" s="62">
        <v>12</v>
      </c>
      <c r="J708" s="95">
        <v>45967</v>
      </c>
      <c r="K708" s="3">
        <v>0.24</v>
      </c>
      <c r="L708" s="3">
        <v>1.93</v>
      </c>
    </row>
    <row r="709" spans="1:12" x14ac:dyDescent="0.35">
      <c r="A709" s="62" t="s">
        <v>28</v>
      </c>
      <c r="B709" s="62" t="s">
        <v>29</v>
      </c>
      <c r="C709" s="62">
        <v>3</v>
      </c>
      <c r="D709" s="62">
        <v>3</v>
      </c>
      <c r="E709" s="62">
        <v>9</v>
      </c>
      <c r="F709" s="62">
        <v>309</v>
      </c>
      <c r="G709" s="62">
        <v>35</v>
      </c>
      <c r="H709" s="62">
        <v>41</v>
      </c>
      <c r="I709" s="62">
        <v>12</v>
      </c>
      <c r="J709" s="95">
        <v>45967</v>
      </c>
      <c r="K709" s="3">
        <v>0.22</v>
      </c>
      <c r="L709" s="3">
        <v>3.36</v>
      </c>
    </row>
    <row r="710" spans="1:12" x14ac:dyDescent="0.35">
      <c r="A710" s="62" t="s">
        <v>28</v>
      </c>
      <c r="B710" s="62" t="s">
        <v>30</v>
      </c>
      <c r="C710" s="62">
        <v>3</v>
      </c>
      <c r="D710" s="62">
        <v>4</v>
      </c>
      <c r="E710" s="62">
        <v>9</v>
      </c>
      <c r="F710" s="62">
        <v>409</v>
      </c>
      <c r="G710" s="62">
        <v>36</v>
      </c>
      <c r="H710" s="62">
        <v>56</v>
      </c>
      <c r="I710" s="62">
        <v>12</v>
      </c>
      <c r="J710" s="95">
        <v>45967</v>
      </c>
      <c r="K710" s="3">
        <v>0.23</v>
      </c>
      <c r="L710" s="3">
        <v>1.99</v>
      </c>
    </row>
    <row r="711" spans="1:12" x14ac:dyDescent="0.35">
      <c r="A711" s="62" t="s">
        <v>28</v>
      </c>
      <c r="B711" s="62" t="s">
        <v>30</v>
      </c>
      <c r="C711" s="62">
        <v>3</v>
      </c>
      <c r="D711" s="62">
        <v>4</v>
      </c>
      <c r="E711" s="62">
        <v>10</v>
      </c>
      <c r="F711" s="62">
        <v>410</v>
      </c>
      <c r="G711" s="62">
        <v>37</v>
      </c>
      <c r="H711" s="62">
        <v>55</v>
      </c>
      <c r="I711" s="62">
        <v>12</v>
      </c>
      <c r="J711" s="95">
        <v>45967</v>
      </c>
      <c r="K711" s="3">
        <v>0.22</v>
      </c>
      <c r="L711" s="3">
        <v>2.4500000000000002</v>
      </c>
    </row>
    <row r="712" spans="1:12" x14ac:dyDescent="0.35">
      <c r="A712" s="62" t="s">
        <v>28</v>
      </c>
      <c r="B712" s="62" t="s">
        <v>29</v>
      </c>
      <c r="C712" s="62">
        <v>3</v>
      </c>
      <c r="D712" s="62">
        <v>3</v>
      </c>
      <c r="E712" s="62">
        <v>10</v>
      </c>
      <c r="F712" s="62">
        <v>310</v>
      </c>
      <c r="G712" s="62">
        <v>38</v>
      </c>
      <c r="H712" s="62">
        <v>42</v>
      </c>
      <c r="I712" s="62">
        <v>12</v>
      </c>
      <c r="J712" s="95">
        <v>45967</v>
      </c>
      <c r="K712" s="3">
        <v>0.21</v>
      </c>
      <c r="L712" s="3">
        <v>1.76</v>
      </c>
    </row>
    <row r="713" spans="1:12" x14ac:dyDescent="0.35">
      <c r="A713" s="62" t="s">
        <v>28</v>
      </c>
      <c r="B713" s="62" t="s">
        <v>31</v>
      </c>
      <c r="C713" s="62">
        <v>3</v>
      </c>
      <c r="D713" s="62">
        <v>2</v>
      </c>
      <c r="E713" s="62">
        <v>10</v>
      </c>
      <c r="F713" s="62">
        <v>210</v>
      </c>
      <c r="G713" s="62">
        <v>39</v>
      </c>
      <c r="H713" s="62">
        <v>23</v>
      </c>
      <c r="I713" s="62">
        <v>12</v>
      </c>
      <c r="J713" s="95">
        <v>45967</v>
      </c>
      <c r="K713" s="3">
        <v>0.26</v>
      </c>
      <c r="L713" s="3">
        <v>2.4500000000000002</v>
      </c>
    </row>
    <row r="714" spans="1:12" x14ac:dyDescent="0.35">
      <c r="A714" s="62" t="s">
        <v>28</v>
      </c>
      <c r="B714" s="62" t="s">
        <v>32</v>
      </c>
      <c r="C714" s="62">
        <v>3</v>
      </c>
      <c r="D714" s="62">
        <v>1</v>
      </c>
      <c r="E714" s="62">
        <v>10</v>
      </c>
      <c r="F714" s="62">
        <v>110</v>
      </c>
      <c r="G714" s="62">
        <v>40</v>
      </c>
      <c r="H714" s="62">
        <v>10</v>
      </c>
      <c r="I714" s="62">
        <v>12</v>
      </c>
      <c r="J714" s="95">
        <v>45967</v>
      </c>
      <c r="K714" s="3">
        <v>0.4</v>
      </c>
      <c r="L714" s="3">
        <v>2.83</v>
      </c>
    </row>
    <row r="715" spans="1:12" x14ac:dyDescent="0.35">
      <c r="A715" s="62" t="s">
        <v>33</v>
      </c>
      <c r="B715" s="62" t="s">
        <v>29</v>
      </c>
      <c r="C715" s="62">
        <v>3</v>
      </c>
      <c r="D715" s="62">
        <v>1</v>
      </c>
      <c r="E715" s="62">
        <v>11</v>
      </c>
      <c r="F715" s="62">
        <v>111</v>
      </c>
      <c r="G715" s="62">
        <v>41</v>
      </c>
      <c r="H715" s="62">
        <v>11</v>
      </c>
      <c r="I715" s="62">
        <v>12</v>
      </c>
      <c r="J715" s="95">
        <v>45967</v>
      </c>
      <c r="K715" s="3">
        <v>0.3</v>
      </c>
      <c r="L715" s="3">
        <v>3.09</v>
      </c>
    </row>
    <row r="716" spans="1:12" x14ac:dyDescent="0.35">
      <c r="A716" s="62" t="s">
        <v>33</v>
      </c>
      <c r="B716" s="62" t="s">
        <v>35</v>
      </c>
      <c r="C716" s="62">
        <v>3</v>
      </c>
      <c r="D716" s="62">
        <v>2</v>
      </c>
      <c r="E716" s="62">
        <v>11</v>
      </c>
      <c r="F716" s="62">
        <v>211</v>
      </c>
      <c r="G716" s="62">
        <v>42</v>
      </c>
      <c r="H716" s="62">
        <v>22</v>
      </c>
      <c r="I716" s="62">
        <v>12</v>
      </c>
      <c r="J716" s="95">
        <v>45967</v>
      </c>
      <c r="K716" s="3">
        <v>0.36</v>
      </c>
      <c r="L716" s="3">
        <v>4.6500000000000004</v>
      </c>
    </row>
    <row r="717" spans="1:12" x14ac:dyDescent="0.35">
      <c r="A717" s="62" t="s">
        <v>33</v>
      </c>
      <c r="B717" s="62" t="s">
        <v>34</v>
      </c>
      <c r="C717" s="62">
        <v>3</v>
      </c>
      <c r="D717" s="62">
        <v>3</v>
      </c>
      <c r="E717" s="62">
        <v>11</v>
      </c>
      <c r="F717" s="62">
        <v>311</v>
      </c>
      <c r="G717" s="62">
        <v>43</v>
      </c>
      <c r="H717" s="62">
        <v>43</v>
      </c>
      <c r="I717" s="62">
        <v>12</v>
      </c>
      <c r="J717" s="95">
        <v>45967</v>
      </c>
      <c r="K717" s="3">
        <v>0.3</v>
      </c>
      <c r="L717" s="3">
        <v>1.31</v>
      </c>
    </row>
    <row r="718" spans="1:12" x14ac:dyDescent="0.35">
      <c r="A718" s="62" t="s">
        <v>33</v>
      </c>
      <c r="B718" s="62" t="s">
        <v>30</v>
      </c>
      <c r="C718" s="62">
        <v>3</v>
      </c>
      <c r="D718" s="62">
        <v>4</v>
      </c>
      <c r="E718" s="62">
        <v>11</v>
      </c>
      <c r="F718" s="62">
        <v>411</v>
      </c>
      <c r="G718" s="62">
        <v>44</v>
      </c>
      <c r="H718" s="62">
        <v>54</v>
      </c>
      <c r="I718" s="62">
        <v>12</v>
      </c>
      <c r="J718" s="95">
        <v>45967</v>
      </c>
      <c r="K718" s="3">
        <v>0.28999999999999998</v>
      </c>
      <c r="L718" s="3">
        <v>2.5</v>
      </c>
    </row>
    <row r="719" spans="1:12" x14ac:dyDescent="0.35">
      <c r="A719" s="62" t="s">
        <v>33</v>
      </c>
      <c r="B719" s="62" t="s">
        <v>30</v>
      </c>
      <c r="C719" s="62">
        <v>3</v>
      </c>
      <c r="D719" s="62">
        <v>4</v>
      </c>
      <c r="E719" s="62">
        <v>12</v>
      </c>
      <c r="F719" s="62">
        <v>412</v>
      </c>
      <c r="G719" s="62">
        <v>45</v>
      </c>
      <c r="H719" s="62">
        <v>53</v>
      </c>
      <c r="I719" s="62">
        <v>12</v>
      </c>
      <c r="J719" s="95">
        <v>45967</v>
      </c>
      <c r="K719" s="3">
        <v>0.28999999999999998</v>
      </c>
      <c r="L719" s="3">
        <v>2.5099999999999998</v>
      </c>
    </row>
    <row r="720" spans="1:12" x14ac:dyDescent="0.35">
      <c r="A720" s="62" t="s">
        <v>33</v>
      </c>
      <c r="B720" s="62" t="s">
        <v>34</v>
      </c>
      <c r="C720" s="62">
        <v>3</v>
      </c>
      <c r="D720" s="62">
        <v>3</v>
      </c>
      <c r="E720" s="62">
        <v>12</v>
      </c>
      <c r="F720" s="62">
        <v>312</v>
      </c>
      <c r="G720" s="62">
        <v>46</v>
      </c>
      <c r="H720" s="62">
        <v>44</v>
      </c>
      <c r="I720" s="62">
        <v>12</v>
      </c>
      <c r="J720" s="95">
        <v>45967</v>
      </c>
      <c r="K720" s="3">
        <v>0.32</v>
      </c>
      <c r="L720" s="3">
        <v>1.48</v>
      </c>
    </row>
    <row r="721" spans="1:12" x14ac:dyDescent="0.35">
      <c r="A721" s="62" t="s">
        <v>33</v>
      </c>
      <c r="B721" s="62" t="s">
        <v>35</v>
      </c>
      <c r="C721" s="62">
        <v>3</v>
      </c>
      <c r="D721" s="62">
        <v>2</v>
      </c>
      <c r="E721" s="62">
        <v>12</v>
      </c>
      <c r="F721" s="62">
        <v>212</v>
      </c>
      <c r="G721" s="62">
        <v>47</v>
      </c>
      <c r="H721" s="62">
        <v>21</v>
      </c>
      <c r="I721" s="62">
        <v>12</v>
      </c>
      <c r="J721" s="95">
        <v>45967</v>
      </c>
      <c r="K721" s="3">
        <v>0.34</v>
      </c>
      <c r="L721" s="3">
        <v>2.83</v>
      </c>
    </row>
    <row r="722" spans="1:12" x14ac:dyDescent="0.35">
      <c r="A722" s="62" t="s">
        <v>33</v>
      </c>
      <c r="B722" s="62" t="s">
        <v>29</v>
      </c>
      <c r="C722" s="62">
        <v>3</v>
      </c>
      <c r="D722" s="62">
        <v>1</v>
      </c>
      <c r="E722" s="62">
        <v>12</v>
      </c>
      <c r="F722" s="62">
        <v>112</v>
      </c>
      <c r="G722" s="62">
        <v>48</v>
      </c>
      <c r="H722" s="62">
        <v>12</v>
      </c>
      <c r="I722" s="62">
        <v>12</v>
      </c>
      <c r="J722" s="95">
        <v>45967</v>
      </c>
      <c r="K722" s="3">
        <v>0.3</v>
      </c>
      <c r="L722" s="3">
        <v>2.35</v>
      </c>
    </row>
    <row r="723" spans="1:12" x14ac:dyDescent="0.35">
      <c r="A723" s="62" t="s">
        <v>28</v>
      </c>
      <c r="B723" s="62" t="s">
        <v>30</v>
      </c>
      <c r="C723" s="62">
        <v>4</v>
      </c>
      <c r="D723" s="62">
        <v>1</v>
      </c>
      <c r="E723" s="62">
        <v>13</v>
      </c>
      <c r="F723" s="62">
        <v>113</v>
      </c>
      <c r="G723" s="62">
        <v>49</v>
      </c>
      <c r="H723" s="62">
        <v>13</v>
      </c>
      <c r="I723" s="62">
        <v>12</v>
      </c>
      <c r="J723" s="95">
        <v>45967</v>
      </c>
      <c r="K723" s="3">
        <v>0.28999999999999998</v>
      </c>
      <c r="L723" s="3">
        <v>2.7</v>
      </c>
    </row>
    <row r="724" spans="1:12" x14ac:dyDescent="0.35">
      <c r="A724" s="62" t="s">
        <v>28</v>
      </c>
      <c r="B724" s="62" t="s">
        <v>29</v>
      </c>
      <c r="C724" s="62">
        <v>4</v>
      </c>
      <c r="D724" s="62">
        <v>2</v>
      </c>
      <c r="E724" s="62">
        <v>13</v>
      </c>
      <c r="F724" s="62">
        <v>213</v>
      </c>
      <c r="G724" s="62">
        <v>50</v>
      </c>
      <c r="H724" s="62">
        <v>20</v>
      </c>
      <c r="I724" s="62">
        <v>12</v>
      </c>
      <c r="J724" s="95">
        <v>45967</v>
      </c>
      <c r="K724" s="3">
        <v>0.23</v>
      </c>
      <c r="L724" s="3">
        <v>2.6</v>
      </c>
    </row>
    <row r="725" spans="1:12" x14ac:dyDescent="0.35">
      <c r="A725" s="62" t="s">
        <v>28</v>
      </c>
      <c r="B725" s="62" t="s">
        <v>32</v>
      </c>
      <c r="C725" s="62">
        <v>4</v>
      </c>
      <c r="D725" s="62">
        <v>3</v>
      </c>
      <c r="E725" s="62">
        <v>13</v>
      </c>
      <c r="F725" s="62">
        <v>313</v>
      </c>
      <c r="G725" s="62">
        <v>51</v>
      </c>
      <c r="H725" s="62">
        <v>45</v>
      </c>
      <c r="I725" s="62">
        <v>12</v>
      </c>
      <c r="J725" s="95">
        <v>45967</v>
      </c>
      <c r="K725" s="3">
        <v>0.43</v>
      </c>
      <c r="L725" s="3">
        <v>2.94</v>
      </c>
    </row>
    <row r="726" spans="1:12" x14ac:dyDescent="0.35">
      <c r="A726" s="62" t="s">
        <v>28</v>
      </c>
      <c r="B726" s="62" t="s">
        <v>31</v>
      </c>
      <c r="C726" s="62">
        <v>4</v>
      </c>
      <c r="D726" s="62">
        <v>4</v>
      </c>
      <c r="E726" s="62">
        <v>13</v>
      </c>
      <c r="F726" s="62">
        <v>413</v>
      </c>
      <c r="G726" s="62">
        <v>52</v>
      </c>
      <c r="H726" s="62">
        <v>52</v>
      </c>
      <c r="I726" s="62">
        <v>12</v>
      </c>
      <c r="J726" s="95">
        <v>45967</v>
      </c>
      <c r="K726" s="3">
        <v>0.28000000000000003</v>
      </c>
      <c r="L726" s="3">
        <v>1.89</v>
      </c>
    </row>
    <row r="727" spans="1:12" x14ac:dyDescent="0.35">
      <c r="A727" s="62" t="s">
        <v>28</v>
      </c>
      <c r="B727" s="62" t="s">
        <v>31</v>
      </c>
      <c r="C727" s="62">
        <v>4</v>
      </c>
      <c r="D727" s="62">
        <v>4</v>
      </c>
      <c r="E727" s="62">
        <v>14</v>
      </c>
      <c r="F727" s="62">
        <v>414</v>
      </c>
      <c r="G727" s="62">
        <v>53</v>
      </c>
      <c r="H727" s="62">
        <v>51</v>
      </c>
      <c r="I727" s="62">
        <v>12</v>
      </c>
      <c r="J727" s="95">
        <v>45967</v>
      </c>
      <c r="K727" s="3">
        <v>0.28999999999999998</v>
      </c>
      <c r="L727" s="3">
        <v>1.03</v>
      </c>
    </row>
    <row r="728" spans="1:12" x14ac:dyDescent="0.35">
      <c r="A728" s="62" t="s">
        <v>28</v>
      </c>
      <c r="B728" s="62" t="s">
        <v>32</v>
      </c>
      <c r="C728" s="62">
        <v>4</v>
      </c>
      <c r="D728" s="62">
        <v>3</v>
      </c>
      <c r="E728" s="62">
        <v>14</v>
      </c>
      <c r="F728" s="62">
        <v>314</v>
      </c>
      <c r="G728" s="62">
        <v>54</v>
      </c>
      <c r="H728" s="62">
        <v>46</v>
      </c>
      <c r="I728" s="62">
        <v>12</v>
      </c>
      <c r="J728" s="95">
        <v>45967</v>
      </c>
      <c r="K728" s="3">
        <v>0.37</v>
      </c>
      <c r="L728" s="3">
        <v>2.77</v>
      </c>
    </row>
    <row r="729" spans="1:12" x14ac:dyDescent="0.35">
      <c r="A729" s="62" t="s">
        <v>28</v>
      </c>
      <c r="B729" s="62" t="s">
        <v>29</v>
      </c>
      <c r="C729" s="62">
        <v>4</v>
      </c>
      <c r="D729" s="62">
        <v>2</v>
      </c>
      <c r="E729" s="62">
        <v>14</v>
      </c>
      <c r="F729" s="62">
        <v>214</v>
      </c>
      <c r="G729" s="62">
        <v>55</v>
      </c>
      <c r="H729" s="62">
        <v>19</v>
      </c>
      <c r="I729" s="62">
        <v>12</v>
      </c>
      <c r="J729" s="95">
        <v>45967</v>
      </c>
      <c r="K729" s="3">
        <v>0.21</v>
      </c>
      <c r="L729" s="3">
        <v>2.29</v>
      </c>
    </row>
    <row r="730" spans="1:12" x14ac:dyDescent="0.35">
      <c r="A730" s="62" t="s">
        <v>28</v>
      </c>
      <c r="B730" s="62" t="s">
        <v>30</v>
      </c>
      <c r="C730" s="62">
        <v>4</v>
      </c>
      <c r="D730" s="62">
        <v>1</v>
      </c>
      <c r="E730" s="62">
        <v>14</v>
      </c>
      <c r="F730" s="62">
        <v>114</v>
      </c>
      <c r="G730" s="62">
        <v>56</v>
      </c>
      <c r="H730" s="62">
        <v>14</v>
      </c>
      <c r="I730" s="62">
        <v>12</v>
      </c>
      <c r="J730" s="95">
        <v>45967</v>
      </c>
      <c r="K730" s="3">
        <v>0.24</v>
      </c>
      <c r="L730" s="3">
        <v>2.71</v>
      </c>
    </row>
    <row r="731" spans="1:12" x14ac:dyDescent="0.35">
      <c r="A731" s="62" t="s">
        <v>33</v>
      </c>
      <c r="B731" s="62" t="s">
        <v>30</v>
      </c>
      <c r="C731" s="62">
        <v>4</v>
      </c>
      <c r="D731" s="62">
        <v>1</v>
      </c>
      <c r="E731" s="62">
        <v>15</v>
      </c>
      <c r="F731" s="62">
        <v>115</v>
      </c>
      <c r="G731" s="62">
        <v>57</v>
      </c>
      <c r="H731" s="62">
        <v>15</v>
      </c>
      <c r="I731" s="62">
        <v>12</v>
      </c>
      <c r="J731" s="95">
        <v>45967</v>
      </c>
      <c r="K731" s="3">
        <v>0.37</v>
      </c>
      <c r="L731" s="3">
        <v>4.38</v>
      </c>
    </row>
    <row r="732" spans="1:12" x14ac:dyDescent="0.35">
      <c r="A732" s="62" t="s">
        <v>33</v>
      </c>
      <c r="B732" s="62" t="s">
        <v>34</v>
      </c>
      <c r="C732" s="62">
        <v>4</v>
      </c>
      <c r="D732" s="62">
        <v>2</v>
      </c>
      <c r="E732" s="62">
        <v>15</v>
      </c>
      <c r="F732" s="62">
        <v>215</v>
      </c>
      <c r="G732" s="62">
        <v>58</v>
      </c>
      <c r="H732" s="62">
        <v>18</v>
      </c>
      <c r="I732" s="62">
        <v>12</v>
      </c>
      <c r="J732" s="95">
        <v>45967</v>
      </c>
      <c r="K732" s="3">
        <v>0.38</v>
      </c>
      <c r="L732" s="3">
        <v>3.51</v>
      </c>
    </row>
    <row r="733" spans="1:12" x14ac:dyDescent="0.35">
      <c r="A733" s="62" t="s">
        <v>33</v>
      </c>
      <c r="B733" s="62" t="s">
        <v>29</v>
      </c>
      <c r="C733" s="62">
        <v>4</v>
      </c>
      <c r="D733" s="62">
        <v>3</v>
      </c>
      <c r="E733" s="62">
        <v>15</v>
      </c>
      <c r="F733" s="62">
        <v>315</v>
      </c>
      <c r="G733" s="62">
        <v>59</v>
      </c>
      <c r="H733" s="62">
        <v>47</v>
      </c>
      <c r="I733" s="62">
        <v>12</v>
      </c>
      <c r="J733" s="95">
        <v>45967</v>
      </c>
      <c r="K733" s="3">
        <v>0.25</v>
      </c>
      <c r="L733" s="3">
        <v>2.56</v>
      </c>
    </row>
    <row r="734" spans="1:12" x14ac:dyDescent="0.35">
      <c r="A734" s="62" t="s">
        <v>33</v>
      </c>
      <c r="B734" s="62" t="s">
        <v>35</v>
      </c>
      <c r="C734" s="62">
        <v>4</v>
      </c>
      <c r="D734" s="62">
        <v>4</v>
      </c>
      <c r="E734" s="62">
        <v>15</v>
      </c>
      <c r="F734" s="62">
        <v>415</v>
      </c>
      <c r="G734" s="62">
        <v>60</v>
      </c>
      <c r="H734" s="62">
        <v>50</v>
      </c>
      <c r="I734" s="62">
        <v>12</v>
      </c>
      <c r="J734" s="95">
        <v>45967</v>
      </c>
      <c r="K734" s="3">
        <v>0.37</v>
      </c>
      <c r="L734" s="3">
        <v>2.68</v>
      </c>
    </row>
    <row r="735" spans="1:12" x14ac:dyDescent="0.35">
      <c r="A735" s="62" t="s">
        <v>33</v>
      </c>
      <c r="B735" s="62" t="s">
        <v>35</v>
      </c>
      <c r="C735" s="62">
        <v>4</v>
      </c>
      <c r="D735" s="62">
        <v>4</v>
      </c>
      <c r="E735" s="62">
        <v>16</v>
      </c>
      <c r="F735" s="62">
        <v>416</v>
      </c>
      <c r="G735" s="62">
        <v>61</v>
      </c>
      <c r="H735" s="62">
        <v>49</v>
      </c>
      <c r="I735" s="62">
        <v>12</v>
      </c>
      <c r="J735" s="95">
        <v>45967</v>
      </c>
      <c r="K735" s="3">
        <v>0.35</v>
      </c>
      <c r="L735" s="3">
        <v>2.1</v>
      </c>
    </row>
    <row r="736" spans="1:12" x14ac:dyDescent="0.35">
      <c r="A736" s="62" t="s">
        <v>33</v>
      </c>
      <c r="B736" s="62" t="s">
        <v>29</v>
      </c>
      <c r="C736" s="62">
        <v>4</v>
      </c>
      <c r="D736" s="62">
        <v>3</v>
      </c>
      <c r="E736" s="62">
        <v>16</v>
      </c>
      <c r="F736" s="62">
        <v>316</v>
      </c>
      <c r="G736" s="62">
        <v>62</v>
      </c>
      <c r="H736" s="62">
        <v>48</v>
      </c>
      <c r="I736" s="62">
        <v>12</v>
      </c>
      <c r="J736" s="95">
        <v>45967</v>
      </c>
      <c r="K736" s="3">
        <v>0.28000000000000003</v>
      </c>
      <c r="L736" s="3">
        <v>2.2400000000000002</v>
      </c>
    </row>
    <row r="737" spans="1:12" x14ac:dyDescent="0.35">
      <c r="A737" s="62" t="s">
        <v>33</v>
      </c>
      <c r="B737" s="62" t="s">
        <v>34</v>
      </c>
      <c r="C737" s="62">
        <v>4</v>
      </c>
      <c r="D737" s="62">
        <v>2</v>
      </c>
      <c r="E737" s="62">
        <v>16</v>
      </c>
      <c r="F737" s="62">
        <v>216</v>
      </c>
      <c r="G737" s="62">
        <v>63</v>
      </c>
      <c r="H737" s="62">
        <v>17</v>
      </c>
      <c r="I737" s="62">
        <v>12</v>
      </c>
      <c r="J737" s="95">
        <v>45967</v>
      </c>
      <c r="K737" s="3">
        <v>0.33</v>
      </c>
      <c r="L737" s="3">
        <v>3.58</v>
      </c>
    </row>
    <row r="738" spans="1:12" x14ac:dyDescent="0.35">
      <c r="A738" s="62" t="s">
        <v>33</v>
      </c>
      <c r="B738" s="62" t="s">
        <v>30</v>
      </c>
      <c r="C738" s="62">
        <v>4</v>
      </c>
      <c r="D738" s="62">
        <v>1</v>
      </c>
      <c r="E738" s="62">
        <v>16</v>
      </c>
      <c r="F738" s="62">
        <v>116</v>
      </c>
      <c r="G738" s="62">
        <v>64</v>
      </c>
      <c r="H738" s="62">
        <v>16</v>
      </c>
      <c r="I738" s="62">
        <v>12</v>
      </c>
      <c r="J738" s="95">
        <v>45967</v>
      </c>
      <c r="K738" s="3">
        <v>0.34</v>
      </c>
      <c r="L738" s="3">
        <v>3.46</v>
      </c>
    </row>
    <row r="739" spans="1:12" x14ac:dyDescent="0.35">
      <c r="A739" s="62" t="s">
        <v>28</v>
      </c>
      <c r="B739" s="62" t="s">
        <v>29</v>
      </c>
      <c r="C739" s="62">
        <v>1</v>
      </c>
      <c r="D739" s="62">
        <v>1</v>
      </c>
      <c r="E739" s="62">
        <v>1</v>
      </c>
      <c r="F739" s="62">
        <v>101</v>
      </c>
      <c r="G739" s="62">
        <v>1</v>
      </c>
      <c r="H739" s="62">
        <v>1</v>
      </c>
      <c r="I739" s="62">
        <v>13</v>
      </c>
      <c r="J739" s="95">
        <v>45975</v>
      </c>
      <c r="K739" s="3">
        <v>0.16</v>
      </c>
      <c r="L739" s="3">
        <v>1.54</v>
      </c>
    </row>
    <row r="740" spans="1:12" x14ac:dyDescent="0.35">
      <c r="A740" s="62" t="s">
        <v>28</v>
      </c>
      <c r="B740" s="62" t="s">
        <v>30</v>
      </c>
      <c r="C740" s="62">
        <v>1</v>
      </c>
      <c r="D740" s="62">
        <v>2</v>
      </c>
      <c r="E740" s="62">
        <v>1</v>
      </c>
      <c r="F740" s="62">
        <v>201</v>
      </c>
      <c r="G740" s="62">
        <v>2</v>
      </c>
      <c r="H740" s="62">
        <v>32</v>
      </c>
      <c r="I740" s="62">
        <v>13</v>
      </c>
      <c r="J740" s="95">
        <v>45975</v>
      </c>
      <c r="K740" s="3">
        <v>0.17</v>
      </c>
      <c r="L740" s="3">
        <v>1.22</v>
      </c>
    </row>
    <row r="741" spans="1:12" x14ac:dyDescent="0.35">
      <c r="A741" s="62" t="s">
        <v>28</v>
      </c>
      <c r="B741" s="62" t="s">
        <v>31</v>
      </c>
      <c r="C741" s="62">
        <v>1</v>
      </c>
      <c r="D741" s="62">
        <v>3</v>
      </c>
      <c r="E741" s="62">
        <v>1</v>
      </c>
      <c r="F741" s="62">
        <v>301</v>
      </c>
      <c r="G741" s="62">
        <v>3</v>
      </c>
      <c r="H741" s="62">
        <v>33</v>
      </c>
      <c r="I741" s="62">
        <v>13</v>
      </c>
      <c r="J741" s="95">
        <v>45975</v>
      </c>
      <c r="K741" s="3">
        <v>0.17</v>
      </c>
      <c r="L741" s="3">
        <v>3.33</v>
      </c>
    </row>
    <row r="742" spans="1:12" x14ac:dyDescent="0.35">
      <c r="A742" s="62" t="s">
        <v>28</v>
      </c>
      <c r="B742" s="62" t="s">
        <v>32</v>
      </c>
      <c r="C742" s="62">
        <v>1</v>
      </c>
      <c r="D742" s="62">
        <v>4</v>
      </c>
      <c r="E742" s="62">
        <v>1</v>
      </c>
      <c r="F742" s="62">
        <v>401</v>
      </c>
      <c r="G742" s="62">
        <v>4</v>
      </c>
      <c r="H742" s="62">
        <v>64</v>
      </c>
      <c r="I742" s="62">
        <v>13</v>
      </c>
      <c r="J742" s="95">
        <v>45975</v>
      </c>
      <c r="K742" s="3">
        <v>0.28000000000000003</v>
      </c>
      <c r="L742" s="3">
        <v>2.69</v>
      </c>
    </row>
    <row r="743" spans="1:12" x14ac:dyDescent="0.35">
      <c r="A743" s="62" t="s">
        <v>28</v>
      </c>
      <c r="B743" s="62" t="s">
        <v>32</v>
      </c>
      <c r="C743" s="62">
        <v>1</v>
      </c>
      <c r="D743" s="62">
        <v>4</v>
      </c>
      <c r="E743" s="62">
        <v>2</v>
      </c>
      <c r="F743" s="62">
        <v>402</v>
      </c>
      <c r="G743" s="62">
        <v>5</v>
      </c>
      <c r="H743" s="62">
        <v>63</v>
      </c>
      <c r="I743" s="62">
        <v>13</v>
      </c>
      <c r="J743" s="95">
        <v>45975</v>
      </c>
      <c r="K743" s="3">
        <v>0.27</v>
      </c>
      <c r="L743" s="3">
        <v>2.87</v>
      </c>
    </row>
    <row r="744" spans="1:12" x14ac:dyDescent="0.35">
      <c r="A744" s="62" t="s">
        <v>28</v>
      </c>
      <c r="B744" s="62" t="s">
        <v>31</v>
      </c>
      <c r="C744" s="62">
        <v>1</v>
      </c>
      <c r="D744" s="62">
        <v>3</v>
      </c>
      <c r="E744" s="62">
        <v>2</v>
      </c>
      <c r="F744" s="62">
        <v>302</v>
      </c>
      <c r="G744" s="62">
        <v>6</v>
      </c>
      <c r="H744" s="62">
        <v>34</v>
      </c>
      <c r="I744" s="62">
        <v>13</v>
      </c>
      <c r="J744" s="95">
        <v>45975</v>
      </c>
      <c r="K744" s="3">
        <v>0.17</v>
      </c>
      <c r="L744" s="3">
        <v>2.16</v>
      </c>
    </row>
    <row r="745" spans="1:12" x14ac:dyDescent="0.35">
      <c r="A745" s="62" t="s">
        <v>28</v>
      </c>
      <c r="B745" s="62" t="s">
        <v>30</v>
      </c>
      <c r="C745" s="62">
        <v>1</v>
      </c>
      <c r="D745" s="62">
        <v>2</v>
      </c>
      <c r="E745" s="62">
        <v>2</v>
      </c>
      <c r="F745" s="62">
        <v>202</v>
      </c>
      <c r="G745" s="62">
        <v>7</v>
      </c>
      <c r="H745" s="62">
        <v>31</v>
      </c>
      <c r="I745" s="62">
        <v>13</v>
      </c>
      <c r="J745" s="95">
        <v>45975</v>
      </c>
      <c r="K745" s="3">
        <v>0.16</v>
      </c>
      <c r="L745" s="3">
        <v>1.33</v>
      </c>
    </row>
    <row r="746" spans="1:12" x14ac:dyDescent="0.35">
      <c r="A746" s="62" t="s">
        <v>28</v>
      </c>
      <c r="B746" s="62" t="s">
        <v>29</v>
      </c>
      <c r="C746" s="62">
        <v>1</v>
      </c>
      <c r="D746" s="62">
        <v>1</v>
      </c>
      <c r="E746" s="62">
        <v>2</v>
      </c>
      <c r="F746" s="62">
        <v>102</v>
      </c>
      <c r="G746" s="62">
        <v>8</v>
      </c>
      <c r="H746" s="62">
        <v>2</v>
      </c>
      <c r="I746" s="62">
        <v>13</v>
      </c>
      <c r="J746" s="95">
        <v>45975</v>
      </c>
      <c r="K746" s="3">
        <v>0.15</v>
      </c>
      <c r="L746" s="3">
        <v>0.55000000000000004</v>
      </c>
    </row>
    <row r="747" spans="1:12" x14ac:dyDescent="0.35">
      <c r="A747" s="62" t="s">
        <v>33</v>
      </c>
      <c r="B747" s="62" t="s">
        <v>34</v>
      </c>
      <c r="C747" s="62">
        <v>1</v>
      </c>
      <c r="D747" s="62">
        <v>1</v>
      </c>
      <c r="E747" s="62">
        <v>3</v>
      </c>
      <c r="F747" s="62">
        <v>103</v>
      </c>
      <c r="G747" s="62">
        <v>9</v>
      </c>
      <c r="H747" s="62">
        <v>3</v>
      </c>
      <c r="I747" s="62">
        <v>13</v>
      </c>
      <c r="J747" s="95">
        <v>45975</v>
      </c>
      <c r="K747" s="3">
        <v>0.26</v>
      </c>
      <c r="L747" s="3">
        <v>4.2699999999999996</v>
      </c>
    </row>
    <row r="748" spans="1:12" x14ac:dyDescent="0.35">
      <c r="A748" s="62" t="s">
        <v>33</v>
      </c>
      <c r="B748" s="62" t="s">
        <v>30</v>
      </c>
      <c r="C748" s="62">
        <v>1</v>
      </c>
      <c r="D748" s="62">
        <v>2</v>
      </c>
      <c r="E748" s="62">
        <v>3</v>
      </c>
      <c r="F748" s="62">
        <v>203</v>
      </c>
      <c r="G748" s="62">
        <v>10</v>
      </c>
      <c r="H748" s="62">
        <v>30</v>
      </c>
      <c r="I748" s="62">
        <v>13</v>
      </c>
      <c r="J748" s="95">
        <v>45975</v>
      </c>
      <c r="K748" s="3">
        <v>0.22</v>
      </c>
      <c r="L748" s="3">
        <v>1.78</v>
      </c>
    </row>
    <row r="749" spans="1:12" x14ac:dyDescent="0.35">
      <c r="A749" s="62" t="s">
        <v>33</v>
      </c>
      <c r="B749" s="62" t="s">
        <v>35</v>
      </c>
      <c r="C749" s="62">
        <v>1</v>
      </c>
      <c r="D749" s="62">
        <v>3</v>
      </c>
      <c r="E749" s="62">
        <v>3</v>
      </c>
      <c r="F749" s="62">
        <v>303</v>
      </c>
      <c r="G749" s="62">
        <v>11</v>
      </c>
      <c r="H749" s="62">
        <v>35</v>
      </c>
      <c r="I749" s="62">
        <v>13</v>
      </c>
      <c r="J749" s="95">
        <v>45975</v>
      </c>
      <c r="K749" s="3">
        <v>0.25</v>
      </c>
      <c r="L749" s="3">
        <v>2.42</v>
      </c>
    </row>
    <row r="750" spans="1:12" x14ac:dyDescent="0.35">
      <c r="A750" s="62" t="s">
        <v>33</v>
      </c>
      <c r="B750" s="62" t="s">
        <v>29</v>
      </c>
      <c r="C750" s="62">
        <v>1</v>
      </c>
      <c r="D750" s="62">
        <v>4</v>
      </c>
      <c r="E750" s="62">
        <v>3</v>
      </c>
      <c r="F750" s="62">
        <v>403</v>
      </c>
      <c r="G750" s="62">
        <v>12</v>
      </c>
      <c r="H750" s="62">
        <v>62</v>
      </c>
      <c r="I750" s="62">
        <v>13</v>
      </c>
      <c r="J750" s="95">
        <v>45975</v>
      </c>
      <c r="K750" s="3">
        <v>0.19</v>
      </c>
      <c r="L750" s="3">
        <v>2.93</v>
      </c>
    </row>
    <row r="751" spans="1:12" x14ac:dyDescent="0.35">
      <c r="A751" s="62" t="s">
        <v>33</v>
      </c>
      <c r="B751" s="62" t="s">
        <v>29</v>
      </c>
      <c r="C751" s="62">
        <v>1</v>
      </c>
      <c r="D751" s="62">
        <v>4</v>
      </c>
      <c r="E751" s="62">
        <v>4</v>
      </c>
      <c r="F751" s="62">
        <v>404</v>
      </c>
      <c r="G751" s="62">
        <v>13</v>
      </c>
      <c r="H751" s="62">
        <v>61</v>
      </c>
      <c r="I751" s="62">
        <v>13</v>
      </c>
      <c r="J751" s="95">
        <v>45975</v>
      </c>
      <c r="K751" s="3">
        <v>0.19</v>
      </c>
      <c r="L751" s="3">
        <v>2.61</v>
      </c>
    </row>
    <row r="752" spans="1:12" x14ac:dyDescent="0.35">
      <c r="A752" s="62" t="s">
        <v>33</v>
      </c>
      <c r="B752" s="62" t="s">
        <v>35</v>
      </c>
      <c r="C752" s="62">
        <v>1</v>
      </c>
      <c r="D752" s="62">
        <v>3</v>
      </c>
      <c r="E752" s="62">
        <v>4</v>
      </c>
      <c r="F752" s="62">
        <v>304</v>
      </c>
      <c r="G752" s="62">
        <v>14</v>
      </c>
      <c r="H752" s="62">
        <v>36</v>
      </c>
      <c r="I752" s="62">
        <v>13</v>
      </c>
      <c r="J752" s="95">
        <v>45975</v>
      </c>
      <c r="K752" s="3">
        <v>0.19</v>
      </c>
      <c r="L752" s="3">
        <v>1.64</v>
      </c>
    </row>
    <row r="753" spans="1:12" x14ac:dyDescent="0.35">
      <c r="A753" s="62" t="s">
        <v>33</v>
      </c>
      <c r="B753" s="62" t="s">
        <v>30</v>
      </c>
      <c r="C753" s="62">
        <v>1</v>
      </c>
      <c r="D753" s="62">
        <v>2</v>
      </c>
      <c r="E753" s="62">
        <v>4</v>
      </c>
      <c r="F753" s="62">
        <v>204</v>
      </c>
      <c r="G753" s="62">
        <v>15</v>
      </c>
      <c r="H753" s="62">
        <v>29</v>
      </c>
      <c r="I753" s="62">
        <v>13</v>
      </c>
      <c r="J753" s="95">
        <v>45975</v>
      </c>
      <c r="K753" s="3">
        <v>0.19</v>
      </c>
      <c r="L753" s="3">
        <v>2.59</v>
      </c>
    </row>
    <row r="754" spans="1:12" x14ac:dyDescent="0.35">
      <c r="A754" s="62" t="s">
        <v>33</v>
      </c>
      <c r="B754" s="62" t="s">
        <v>34</v>
      </c>
      <c r="C754" s="62">
        <v>1</v>
      </c>
      <c r="D754" s="62">
        <v>1</v>
      </c>
      <c r="E754" s="62">
        <v>4</v>
      </c>
      <c r="F754" s="62">
        <v>104</v>
      </c>
      <c r="G754" s="62">
        <v>16</v>
      </c>
      <c r="H754" s="62">
        <v>4</v>
      </c>
      <c r="I754" s="62">
        <v>13</v>
      </c>
      <c r="J754" s="95">
        <v>45975</v>
      </c>
      <c r="K754" s="3">
        <v>0.23</v>
      </c>
      <c r="L754" s="3">
        <v>1.71</v>
      </c>
    </row>
    <row r="755" spans="1:12" x14ac:dyDescent="0.35">
      <c r="A755" s="62" t="s">
        <v>28</v>
      </c>
      <c r="B755" s="62" t="s">
        <v>31</v>
      </c>
      <c r="C755" s="62">
        <v>2</v>
      </c>
      <c r="D755" s="62">
        <v>1</v>
      </c>
      <c r="E755" s="62">
        <v>5</v>
      </c>
      <c r="F755" s="62">
        <v>105</v>
      </c>
      <c r="G755" s="62">
        <v>17</v>
      </c>
      <c r="H755" s="62">
        <v>5</v>
      </c>
      <c r="I755" s="62">
        <v>13</v>
      </c>
      <c r="J755" s="95">
        <v>45975</v>
      </c>
      <c r="K755" s="3">
        <v>0.16</v>
      </c>
      <c r="L755" s="3">
        <v>1.88</v>
      </c>
    </row>
    <row r="756" spans="1:12" x14ac:dyDescent="0.35">
      <c r="A756" s="62" t="s">
        <v>28</v>
      </c>
      <c r="B756" s="62" t="s">
        <v>32</v>
      </c>
      <c r="C756" s="62">
        <v>2</v>
      </c>
      <c r="D756" s="62">
        <v>2</v>
      </c>
      <c r="E756" s="62">
        <v>5</v>
      </c>
      <c r="F756" s="62">
        <v>205</v>
      </c>
      <c r="G756" s="62">
        <v>18</v>
      </c>
      <c r="H756" s="62">
        <v>28</v>
      </c>
      <c r="I756" s="62">
        <v>13</v>
      </c>
      <c r="J756" s="95">
        <v>45975</v>
      </c>
      <c r="K756" s="3">
        <v>0.28999999999999998</v>
      </c>
      <c r="L756" s="3">
        <v>1.75</v>
      </c>
    </row>
    <row r="757" spans="1:12" x14ac:dyDescent="0.35">
      <c r="A757" s="62" t="s">
        <v>28</v>
      </c>
      <c r="B757" s="62" t="s">
        <v>30</v>
      </c>
      <c r="C757" s="62">
        <v>2</v>
      </c>
      <c r="D757" s="62">
        <v>3</v>
      </c>
      <c r="E757" s="62">
        <v>5</v>
      </c>
      <c r="F757" s="62">
        <v>305</v>
      </c>
      <c r="G757" s="62">
        <v>19</v>
      </c>
      <c r="H757" s="62">
        <v>37</v>
      </c>
      <c r="I757" s="62">
        <v>13</v>
      </c>
      <c r="J757" s="95">
        <v>45975</v>
      </c>
      <c r="K757" s="3">
        <v>0.14000000000000001</v>
      </c>
      <c r="L757" s="3">
        <v>2.65</v>
      </c>
    </row>
    <row r="758" spans="1:12" x14ac:dyDescent="0.35">
      <c r="A758" s="62" t="s">
        <v>28</v>
      </c>
      <c r="B758" s="62" t="s">
        <v>29</v>
      </c>
      <c r="C758" s="62">
        <v>2</v>
      </c>
      <c r="D758" s="62">
        <v>4</v>
      </c>
      <c r="E758" s="62">
        <v>5</v>
      </c>
      <c r="F758" s="62">
        <v>405</v>
      </c>
      <c r="G758" s="62">
        <v>20</v>
      </c>
      <c r="H758" s="62">
        <v>60</v>
      </c>
      <c r="I758" s="62">
        <v>13</v>
      </c>
      <c r="J758" s="95">
        <v>45975</v>
      </c>
      <c r="K758" s="3">
        <v>0.15</v>
      </c>
      <c r="L758" s="3">
        <v>1.67</v>
      </c>
    </row>
    <row r="759" spans="1:12" x14ac:dyDescent="0.35">
      <c r="A759" s="62" t="s">
        <v>28</v>
      </c>
      <c r="B759" s="62" t="s">
        <v>29</v>
      </c>
      <c r="C759" s="62">
        <v>2</v>
      </c>
      <c r="D759" s="62">
        <v>4</v>
      </c>
      <c r="E759" s="62">
        <v>6</v>
      </c>
      <c r="F759" s="62">
        <v>406</v>
      </c>
      <c r="G759" s="62">
        <v>21</v>
      </c>
      <c r="H759" s="62">
        <v>59</v>
      </c>
      <c r="I759" s="62">
        <v>13</v>
      </c>
      <c r="J759" s="95">
        <v>45975</v>
      </c>
      <c r="K759" s="3">
        <v>0.14000000000000001</v>
      </c>
      <c r="L759" s="3">
        <v>2.7</v>
      </c>
    </row>
    <row r="760" spans="1:12" x14ac:dyDescent="0.35">
      <c r="A760" s="62" t="s">
        <v>28</v>
      </c>
      <c r="B760" s="62" t="s">
        <v>30</v>
      </c>
      <c r="C760" s="62">
        <v>2</v>
      </c>
      <c r="D760" s="62">
        <v>3</v>
      </c>
      <c r="E760" s="62">
        <v>6</v>
      </c>
      <c r="F760" s="62">
        <v>306</v>
      </c>
      <c r="G760" s="62">
        <v>22</v>
      </c>
      <c r="H760" s="62">
        <v>38</v>
      </c>
      <c r="I760" s="62">
        <v>13</v>
      </c>
      <c r="J760" s="95">
        <v>45975</v>
      </c>
      <c r="K760" s="3">
        <v>0.14000000000000001</v>
      </c>
      <c r="L760" s="3">
        <v>2.2000000000000002</v>
      </c>
    </row>
    <row r="761" spans="1:12" x14ac:dyDescent="0.35">
      <c r="A761" s="62" t="s">
        <v>28</v>
      </c>
      <c r="B761" s="62" t="s">
        <v>32</v>
      </c>
      <c r="C761" s="62">
        <v>2</v>
      </c>
      <c r="D761" s="62">
        <v>2</v>
      </c>
      <c r="E761" s="62">
        <v>6</v>
      </c>
      <c r="F761" s="62">
        <v>206</v>
      </c>
      <c r="G761" s="62">
        <v>23</v>
      </c>
      <c r="H761" s="62">
        <v>27</v>
      </c>
      <c r="I761" s="62">
        <v>13</v>
      </c>
      <c r="J761" s="95">
        <v>45975</v>
      </c>
      <c r="K761" s="3">
        <v>0.32</v>
      </c>
      <c r="L761" s="3">
        <v>3.41</v>
      </c>
    </row>
    <row r="762" spans="1:12" x14ac:dyDescent="0.35">
      <c r="A762" s="62" t="s">
        <v>28</v>
      </c>
      <c r="B762" s="62" t="s">
        <v>31</v>
      </c>
      <c r="C762" s="62">
        <v>2</v>
      </c>
      <c r="D762" s="62">
        <v>1</v>
      </c>
      <c r="E762" s="62">
        <v>6</v>
      </c>
      <c r="F762" s="62">
        <v>106</v>
      </c>
      <c r="G762" s="62">
        <v>24</v>
      </c>
      <c r="H762" s="62">
        <v>6</v>
      </c>
      <c r="I762" s="62">
        <v>13</v>
      </c>
      <c r="J762" s="95">
        <v>45975</v>
      </c>
      <c r="K762" s="3">
        <v>0.17</v>
      </c>
      <c r="L762" s="3">
        <v>1.6</v>
      </c>
    </row>
    <row r="763" spans="1:12" x14ac:dyDescent="0.35">
      <c r="A763" s="62" t="s">
        <v>33</v>
      </c>
      <c r="B763" s="62" t="s">
        <v>35</v>
      </c>
      <c r="C763" s="62">
        <v>2</v>
      </c>
      <c r="D763" s="62">
        <v>1</v>
      </c>
      <c r="E763" s="62">
        <v>7</v>
      </c>
      <c r="F763" s="62">
        <v>107</v>
      </c>
      <c r="G763" s="62">
        <v>25</v>
      </c>
      <c r="H763" s="62">
        <v>7</v>
      </c>
      <c r="I763" s="62">
        <v>13</v>
      </c>
      <c r="J763" s="95">
        <v>45975</v>
      </c>
      <c r="K763" s="3">
        <v>0.28000000000000003</v>
      </c>
      <c r="L763" s="3">
        <v>2.72</v>
      </c>
    </row>
    <row r="764" spans="1:12" x14ac:dyDescent="0.35">
      <c r="A764" s="62" t="s">
        <v>33</v>
      </c>
      <c r="B764" s="62" t="s">
        <v>29</v>
      </c>
      <c r="C764" s="62">
        <v>2</v>
      </c>
      <c r="D764" s="62">
        <v>2</v>
      </c>
      <c r="E764" s="62">
        <v>7</v>
      </c>
      <c r="F764" s="62">
        <v>207</v>
      </c>
      <c r="G764" s="62">
        <v>26</v>
      </c>
      <c r="H764" s="62">
        <v>26</v>
      </c>
      <c r="I764" s="62">
        <v>13</v>
      </c>
      <c r="J764" s="95">
        <v>45975</v>
      </c>
      <c r="K764" s="3">
        <v>0.17</v>
      </c>
      <c r="L764" s="3">
        <v>2.46</v>
      </c>
    </row>
    <row r="765" spans="1:12" x14ac:dyDescent="0.35">
      <c r="A765" s="62" t="s">
        <v>33</v>
      </c>
      <c r="B765" s="62" t="s">
        <v>30</v>
      </c>
      <c r="C765" s="62">
        <v>2</v>
      </c>
      <c r="D765" s="62">
        <v>3</v>
      </c>
      <c r="E765" s="62">
        <v>7</v>
      </c>
      <c r="F765" s="62">
        <v>307</v>
      </c>
      <c r="G765" s="62">
        <v>27</v>
      </c>
      <c r="H765" s="62">
        <v>39</v>
      </c>
      <c r="I765" s="62">
        <v>13</v>
      </c>
      <c r="J765" s="95">
        <v>45975</v>
      </c>
      <c r="K765" s="3">
        <v>0.2</v>
      </c>
      <c r="L765" s="3">
        <v>1.67</v>
      </c>
    </row>
    <row r="766" spans="1:12" x14ac:dyDescent="0.35">
      <c r="A766" s="62" t="s">
        <v>33</v>
      </c>
      <c r="B766" s="62" t="s">
        <v>34</v>
      </c>
      <c r="C766" s="62">
        <v>2</v>
      </c>
      <c r="D766" s="62">
        <v>4</v>
      </c>
      <c r="E766" s="62">
        <v>7</v>
      </c>
      <c r="F766" s="62">
        <v>407</v>
      </c>
      <c r="G766" s="62">
        <v>28</v>
      </c>
      <c r="H766" s="62">
        <v>58</v>
      </c>
      <c r="I766" s="62">
        <v>13</v>
      </c>
      <c r="J766" s="95">
        <v>45975</v>
      </c>
      <c r="K766" s="3">
        <v>0.21</v>
      </c>
      <c r="L766" s="3">
        <v>3.24</v>
      </c>
    </row>
    <row r="767" spans="1:12" x14ac:dyDescent="0.35">
      <c r="A767" s="62" t="s">
        <v>33</v>
      </c>
      <c r="B767" s="62" t="s">
        <v>34</v>
      </c>
      <c r="C767" s="62">
        <v>2</v>
      </c>
      <c r="D767" s="62">
        <v>4</v>
      </c>
      <c r="E767" s="62">
        <v>8</v>
      </c>
      <c r="F767" s="62">
        <v>408</v>
      </c>
      <c r="G767" s="62">
        <v>29</v>
      </c>
      <c r="H767" s="62">
        <v>57</v>
      </c>
      <c r="I767" s="62">
        <v>13</v>
      </c>
      <c r="J767" s="95">
        <v>45975</v>
      </c>
      <c r="K767" s="3">
        <v>0.21</v>
      </c>
      <c r="L767" s="3">
        <v>3.16</v>
      </c>
    </row>
    <row r="768" spans="1:12" x14ac:dyDescent="0.35">
      <c r="A768" s="62" t="s">
        <v>33</v>
      </c>
      <c r="B768" s="62" t="s">
        <v>30</v>
      </c>
      <c r="C768" s="62">
        <v>2</v>
      </c>
      <c r="D768" s="62">
        <v>3</v>
      </c>
      <c r="E768" s="62">
        <v>8</v>
      </c>
      <c r="F768" s="62">
        <v>308</v>
      </c>
      <c r="G768" s="62">
        <v>30</v>
      </c>
      <c r="H768" s="62">
        <v>40</v>
      </c>
      <c r="I768" s="62">
        <v>13</v>
      </c>
      <c r="J768" s="95">
        <v>45975</v>
      </c>
      <c r="K768" s="3">
        <v>0.2</v>
      </c>
      <c r="L768" s="3">
        <v>1.98</v>
      </c>
    </row>
    <row r="769" spans="1:12" x14ac:dyDescent="0.35">
      <c r="A769" s="62" t="s">
        <v>33</v>
      </c>
      <c r="B769" s="62" t="s">
        <v>29</v>
      </c>
      <c r="C769" s="62">
        <v>2</v>
      </c>
      <c r="D769" s="62">
        <v>2</v>
      </c>
      <c r="E769" s="62">
        <v>8</v>
      </c>
      <c r="F769" s="62">
        <v>208</v>
      </c>
      <c r="G769" s="62">
        <v>31</v>
      </c>
      <c r="H769" s="62">
        <v>25</v>
      </c>
      <c r="I769" s="62">
        <v>13</v>
      </c>
      <c r="J769" s="95">
        <v>45975</v>
      </c>
      <c r="K769" s="3">
        <v>0.18</v>
      </c>
      <c r="L769" s="3">
        <v>1.57</v>
      </c>
    </row>
    <row r="770" spans="1:12" x14ac:dyDescent="0.35">
      <c r="A770" s="62" t="s">
        <v>33</v>
      </c>
      <c r="B770" s="62" t="s">
        <v>35</v>
      </c>
      <c r="C770" s="62">
        <v>2</v>
      </c>
      <c r="D770" s="62">
        <v>1</v>
      </c>
      <c r="E770" s="62">
        <v>8</v>
      </c>
      <c r="F770" s="62">
        <v>108</v>
      </c>
      <c r="G770" s="62">
        <v>32</v>
      </c>
      <c r="H770" s="62">
        <v>8</v>
      </c>
      <c r="I770" s="62">
        <v>13</v>
      </c>
      <c r="J770" s="95">
        <v>45975</v>
      </c>
      <c r="K770" s="3">
        <v>0.27</v>
      </c>
      <c r="L770" s="3">
        <v>1.57</v>
      </c>
    </row>
    <row r="771" spans="1:12" x14ac:dyDescent="0.35">
      <c r="A771" s="62" t="s">
        <v>28</v>
      </c>
      <c r="B771" s="62" t="s">
        <v>32</v>
      </c>
      <c r="C771" s="62">
        <v>3</v>
      </c>
      <c r="D771" s="62">
        <v>1</v>
      </c>
      <c r="E771" s="62">
        <v>9</v>
      </c>
      <c r="F771" s="62">
        <v>109</v>
      </c>
      <c r="G771" s="62">
        <v>33</v>
      </c>
      <c r="H771" s="62">
        <v>9</v>
      </c>
      <c r="I771" s="62">
        <v>13</v>
      </c>
      <c r="J771" s="95">
        <v>45975</v>
      </c>
      <c r="K771" s="3">
        <v>0.28999999999999998</v>
      </c>
      <c r="L771" s="3">
        <v>1.73</v>
      </c>
    </row>
    <row r="772" spans="1:12" x14ac:dyDescent="0.35">
      <c r="A772" s="62" t="s">
        <v>28</v>
      </c>
      <c r="B772" s="62" t="s">
        <v>31</v>
      </c>
      <c r="C772" s="62">
        <v>3</v>
      </c>
      <c r="D772" s="62">
        <v>2</v>
      </c>
      <c r="E772" s="62">
        <v>9</v>
      </c>
      <c r="F772" s="62">
        <v>209</v>
      </c>
      <c r="G772" s="62">
        <v>34</v>
      </c>
      <c r="H772" s="62">
        <v>24</v>
      </c>
      <c r="I772" s="62">
        <v>13</v>
      </c>
      <c r="J772" s="95">
        <v>45975</v>
      </c>
      <c r="K772" s="3">
        <v>0.16</v>
      </c>
      <c r="L772" s="3">
        <v>1.33</v>
      </c>
    </row>
    <row r="773" spans="1:12" x14ac:dyDescent="0.35">
      <c r="A773" s="62" t="s">
        <v>28</v>
      </c>
      <c r="B773" s="62" t="s">
        <v>29</v>
      </c>
      <c r="C773" s="62">
        <v>3</v>
      </c>
      <c r="D773" s="62">
        <v>3</v>
      </c>
      <c r="E773" s="62">
        <v>9</v>
      </c>
      <c r="F773" s="62">
        <v>309</v>
      </c>
      <c r="G773" s="62">
        <v>35</v>
      </c>
      <c r="H773" s="62">
        <v>41</v>
      </c>
      <c r="I773" s="62">
        <v>13</v>
      </c>
      <c r="J773" s="95">
        <v>45975</v>
      </c>
      <c r="K773" s="3">
        <v>0.16</v>
      </c>
      <c r="L773" s="3">
        <v>2.5499999999999998</v>
      </c>
    </row>
    <row r="774" spans="1:12" x14ac:dyDescent="0.35">
      <c r="A774" s="62" t="s">
        <v>28</v>
      </c>
      <c r="B774" s="62" t="s">
        <v>30</v>
      </c>
      <c r="C774" s="62">
        <v>3</v>
      </c>
      <c r="D774" s="62">
        <v>4</v>
      </c>
      <c r="E774" s="62">
        <v>9</v>
      </c>
      <c r="F774" s="62">
        <v>409</v>
      </c>
      <c r="G774" s="62">
        <v>36</v>
      </c>
      <c r="H774" s="62">
        <v>56</v>
      </c>
      <c r="I774" s="62">
        <v>13</v>
      </c>
      <c r="J774" s="95">
        <v>45975</v>
      </c>
      <c r="K774" s="3">
        <v>0.16</v>
      </c>
      <c r="L774" s="3">
        <v>2.62</v>
      </c>
    </row>
    <row r="775" spans="1:12" x14ac:dyDescent="0.35">
      <c r="A775" s="62" t="s">
        <v>28</v>
      </c>
      <c r="B775" s="62" t="s">
        <v>30</v>
      </c>
      <c r="C775" s="62">
        <v>3</v>
      </c>
      <c r="D775" s="62">
        <v>4</v>
      </c>
      <c r="E775" s="62">
        <v>10</v>
      </c>
      <c r="F775" s="62">
        <v>410</v>
      </c>
      <c r="G775" s="62">
        <v>37</v>
      </c>
      <c r="H775" s="62">
        <v>55</v>
      </c>
      <c r="I775" s="62">
        <v>13</v>
      </c>
      <c r="J775" s="95">
        <v>45975</v>
      </c>
      <c r="K775" s="3">
        <v>0.15</v>
      </c>
      <c r="L775" s="3">
        <v>2.19</v>
      </c>
    </row>
    <row r="776" spans="1:12" x14ac:dyDescent="0.35">
      <c r="A776" s="62" t="s">
        <v>28</v>
      </c>
      <c r="B776" s="62" t="s">
        <v>29</v>
      </c>
      <c r="C776" s="62">
        <v>3</v>
      </c>
      <c r="D776" s="62">
        <v>3</v>
      </c>
      <c r="E776" s="62">
        <v>10</v>
      </c>
      <c r="F776" s="62">
        <v>310</v>
      </c>
      <c r="G776" s="62">
        <v>38</v>
      </c>
      <c r="H776" s="62">
        <v>42</v>
      </c>
      <c r="I776" s="62">
        <v>13</v>
      </c>
      <c r="J776" s="95">
        <v>45975</v>
      </c>
      <c r="K776" s="3">
        <v>0.15</v>
      </c>
      <c r="L776" s="3">
        <v>1.38</v>
      </c>
    </row>
    <row r="777" spans="1:12" x14ac:dyDescent="0.35">
      <c r="A777" s="62" t="s">
        <v>28</v>
      </c>
      <c r="B777" s="62" t="s">
        <v>31</v>
      </c>
      <c r="C777" s="62">
        <v>3</v>
      </c>
      <c r="D777" s="62">
        <v>2</v>
      </c>
      <c r="E777" s="62">
        <v>10</v>
      </c>
      <c r="F777" s="62">
        <v>210</v>
      </c>
      <c r="G777" s="62">
        <v>39</v>
      </c>
      <c r="H777" s="62">
        <v>23</v>
      </c>
      <c r="I777" s="62">
        <v>13</v>
      </c>
      <c r="J777" s="95">
        <v>45975</v>
      </c>
      <c r="K777" s="3">
        <v>0.17</v>
      </c>
      <c r="L777" s="3">
        <v>2.23</v>
      </c>
    </row>
    <row r="778" spans="1:12" x14ac:dyDescent="0.35">
      <c r="A778" s="62" t="s">
        <v>28</v>
      </c>
      <c r="B778" s="62" t="s">
        <v>32</v>
      </c>
      <c r="C778" s="62">
        <v>3</v>
      </c>
      <c r="D778" s="62">
        <v>1</v>
      </c>
      <c r="E778" s="62">
        <v>10</v>
      </c>
      <c r="F778" s="62">
        <v>110</v>
      </c>
      <c r="G778" s="62">
        <v>40</v>
      </c>
      <c r="H778" s="62">
        <v>10</v>
      </c>
      <c r="I778" s="62">
        <v>13</v>
      </c>
      <c r="J778" s="95">
        <v>45975</v>
      </c>
      <c r="K778" s="3">
        <v>0.3</v>
      </c>
      <c r="L778" s="3">
        <v>2</v>
      </c>
    </row>
    <row r="779" spans="1:12" x14ac:dyDescent="0.35">
      <c r="A779" s="62" t="s">
        <v>33</v>
      </c>
      <c r="B779" s="62" t="s">
        <v>29</v>
      </c>
      <c r="C779" s="62">
        <v>3</v>
      </c>
      <c r="D779" s="62">
        <v>1</v>
      </c>
      <c r="E779" s="62">
        <v>11</v>
      </c>
      <c r="F779" s="62">
        <v>111</v>
      </c>
      <c r="G779" s="62">
        <v>41</v>
      </c>
      <c r="H779" s="62">
        <v>11</v>
      </c>
      <c r="I779" s="62">
        <v>13</v>
      </c>
      <c r="J779" s="95">
        <v>45975</v>
      </c>
      <c r="K779" s="3">
        <v>0.22</v>
      </c>
      <c r="L779" s="3">
        <v>2.1800000000000002</v>
      </c>
    </row>
    <row r="780" spans="1:12" x14ac:dyDescent="0.35">
      <c r="A780" s="62" t="s">
        <v>33</v>
      </c>
      <c r="B780" s="62" t="s">
        <v>35</v>
      </c>
      <c r="C780" s="62">
        <v>3</v>
      </c>
      <c r="D780" s="62">
        <v>2</v>
      </c>
      <c r="E780" s="62">
        <v>11</v>
      </c>
      <c r="F780" s="62">
        <v>211</v>
      </c>
      <c r="G780" s="62">
        <v>42</v>
      </c>
      <c r="H780" s="62">
        <v>22</v>
      </c>
      <c r="I780" s="62">
        <v>13</v>
      </c>
      <c r="J780" s="95">
        <v>45975</v>
      </c>
      <c r="K780" s="3">
        <v>0.22</v>
      </c>
      <c r="L780" s="3">
        <v>3.02</v>
      </c>
    </row>
    <row r="781" spans="1:12" x14ac:dyDescent="0.35">
      <c r="A781" s="62" t="s">
        <v>33</v>
      </c>
      <c r="B781" s="62" t="s">
        <v>34</v>
      </c>
      <c r="C781" s="62">
        <v>3</v>
      </c>
      <c r="D781" s="62">
        <v>3</v>
      </c>
      <c r="E781" s="62">
        <v>11</v>
      </c>
      <c r="F781" s="62">
        <v>311</v>
      </c>
      <c r="G781" s="62">
        <v>43</v>
      </c>
      <c r="H781" s="62">
        <v>43</v>
      </c>
      <c r="I781" s="62">
        <v>13</v>
      </c>
      <c r="J781" s="95">
        <v>45975</v>
      </c>
      <c r="K781" s="3">
        <v>0.2</v>
      </c>
      <c r="L781" s="3">
        <v>1.51</v>
      </c>
    </row>
    <row r="782" spans="1:12" x14ac:dyDescent="0.35">
      <c r="A782" s="62" t="s">
        <v>33</v>
      </c>
      <c r="B782" s="62" t="s">
        <v>30</v>
      </c>
      <c r="C782" s="62">
        <v>3</v>
      </c>
      <c r="D782" s="62">
        <v>4</v>
      </c>
      <c r="E782" s="62">
        <v>11</v>
      </c>
      <c r="F782" s="62">
        <v>411</v>
      </c>
      <c r="G782" s="62">
        <v>44</v>
      </c>
      <c r="H782" s="62">
        <v>54</v>
      </c>
      <c r="I782" s="62">
        <v>13</v>
      </c>
      <c r="J782" s="95">
        <v>45975</v>
      </c>
      <c r="K782" s="3">
        <v>0.21</v>
      </c>
      <c r="L782" s="3">
        <v>1.69</v>
      </c>
    </row>
    <row r="783" spans="1:12" x14ac:dyDescent="0.35">
      <c r="A783" s="62" t="s">
        <v>33</v>
      </c>
      <c r="B783" s="62" t="s">
        <v>30</v>
      </c>
      <c r="C783" s="62">
        <v>3</v>
      </c>
      <c r="D783" s="62">
        <v>4</v>
      </c>
      <c r="E783" s="62">
        <v>12</v>
      </c>
      <c r="F783" s="62">
        <v>412</v>
      </c>
      <c r="G783" s="62">
        <v>45</v>
      </c>
      <c r="H783" s="62">
        <v>53</v>
      </c>
      <c r="I783" s="62">
        <v>13</v>
      </c>
      <c r="J783" s="95">
        <v>45975</v>
      </c>
      <c r="K783" s="3">
        <v>0.22</v>
      </c>
      <c r="L783" s="3">
        <v>2.56</v>
      </c>
    </row>
    <row r="784" spans="1:12" x14ac:dyDescent="0.35">
      <c r="A784" s="62" t="s">
        <v>33</v>
      </c>
      <c r="B784" s="62" t="s">
        <v>34</v>
      </c>
      <c r="C784" s="62">
        <v>3</v>
      </c>
      <c r="D784" s="62">
        <v>3</v>
      </c>
      <c r="E784" s="62">
        <v>12</v>
      </c>
      <c r="F784" s="62">
        <v>312</v>
      </c>
      <c r="G784" s="62">
        <v>46</v>
      </c>
      <c r="H784" s="62">
        <v>44</v>
      </c>
      <c r="I784" s="62">
        <v>13</v>
      </c>
      <c r="J784" s="95">
        <v>45975</v>
      </c>
      <c r="K784" s="3">
        <v>0.2</v>
      </c>
      <c r="L784" s="3">
        <v>0.45</v>
      </c>
    </row>
    <row r="785" spans="1:12" x14ac:dyDescent="0.35">
      <c r="A785" s="62" t="s">
        <v>33</v>
      </c>
      <c r="B785" s="62" t="s">
        <v>35</v>
      </c>
      <c r="C785" s="62">
        <v>3</v>
      </c>
      <c r="D785" s="62">
        <v>2</v>
      </c>
      <c r="E785" s="62">
        <v>12</v>
      </c>
      <c r="F785" s="62">
        <v>212</v>
      </c>
      <c r="G785" s="62">
        <v>47</v>
      </c>
      <c r="H785" s="62">
        <v>21</v>
      </c>
      <c r="I785" s="62">
        <v>13</v>
      </c>
      <c r="J785" s="95">
        <v>45975</v>
      </c>
      <c r="K785" s="3">
        <v>0.24</v>
      </c>
      <c r="L785" s="3">
        <v>2.64</v>
      </c>
    </row>
    <row r="786" spans="1:12" x14ac:dyDescent="0.35">
      <c r="A786" s="62" t="s">
        <v>33</v>
      </c>
      <c r="B786" s="62" t="s">
        <v>29</v>
      </c>
      <c r="C786" s="62">
        <v>3</v>
      </c>
      <c r="D786" s="62">
        <v>1</v>
      </c>
      <c r="E786" s="62">
        <v>12</v>
      </c>
      <c r="F786" s="62">
        <v>112</v>
      </c>
      <c r="G786" s="62">
        <v>48</v>
      </c>
      <c r="H786" s="62">
        <v>12</v>
      </c>
      <c r="I786" s="62">
        <v>13</v>
      </c>
      <c r="J786" s="95">
        <v>45975</v>
      </c>
      <c r="K786" s="3">
        <v>0.2</v>
      </c>
      <c r="L786" s="3">
        <v>2.58</v>
      </c>
    </row>
    <row r="787" spans="1:12" x14ac:dyDescent="0.35">
      <c r="A787" s="62" t="s">
        <v>28</v>
      </c>
      <c r="B787" s="62" t="s">
        <v>30</v>
      </c>
      <c r="C787" s="62">
        <v>4</v>
      </c>
      <c r="D787" s="62">
        <v>1</v>
      </c>
      <c r="E787" s="62">
        <v>13</v>
      </c>
      <c r="F787" s="62">
        <v>113</v>
      </c>
      <c r="G787" s="62">
        <v>49</v>
      </c>
      <c r="H787" s="62">
        <v>13</v>
      </c>
      <c r="I787" s="62">
        <v>13</v>
      </c>
      <c r="J787" s="95">
        <v>45975</v>
      </c>
      <c r="K787" s="3">
        <v>0.18</v>
      </c>
      <c r="L787" s="3">
        <v>1.73</v>
      </c>
    </row>
    <row r="788" spans="1:12" x14ac:dyDescent="0.35">
      <c r="A788" s="62" t="s">
        <v>28</v>
      </c>
      <c r="B788" s="62" t="s">
        <v>29</v>
      </c>
      <c r="C788" s="62">
        <v>4</v>
      </c>
      <c r="D788" s="62">
        <v>2</v>
      </c>
      <c r="E788" s="62">
        <v>13</v>
      </c>
      <c r="F788" s="62">
        <v>213</v>
      </c>
      <c r="G788" s="62">
        <v>50</v>
      </c>
      <c r="H788" s="62">
        <v>20</v>
      </c>
      <c r="I788" s="62">
        <v>13</v>
      </c>
      <c r="J788" s="95">
        <v>45975</v>
      </c>
      <c r="K788" s="3">
        <v>0.16</v>
      </c>
      <c r="L788" s="3">
        <v>2.62</v>
      </c>
    </row>
    <row r="789" spans="1:12" x14ac:dyDescent="0.35">
      <c r="A789" s="62" t="s">
        <v>28</v>
      </c>
      <c r="B789" s="62" t="s">
        <v>32</v>
      </c>
      <c r="C789" s="62">
        <v>4</v>
      </c>
      <c r="D789" s="62">
        <v>3</v>
      </c>
      <c r="E789" s="62">
        <v>13</v>
      </c>
      <c r="F789" s="62">
        <v>313</v>
      </c>
      <c r="G789" s="62">
        <v>51</v>
      </c>
      <c r="H789" s="62">
        <v>45</v>
      </c>
      <c r="I789" s="62">
        <v>13</v>
      </c>
      <c r="J789" s="95">
        <v>45975</v>
      </c>
      <c r="K789" s="3">
        <v>0.28000000000000003</v>
      </c>
      <c r="L789" s="3">
        <v>3.41</v>
      </c>
    </row>
    <row r="790" spans="1:12" x14ac:dyDescent="0.35">
      <c r="A790" s="62" t="s">
        <v>28</v>
      </c>
      <c r="B790" s="62" t="s">
        <v>31</v>
      </c>
      <c r="C790" s="62">
        <v>4</v>
      </c>
      <c r="D790" s="62">
        <v>4</v>
      </c>
      <c r="E790" s="62">
        <v>13</v>
      </c>
      <c r="F790" s="62">
        <v>413</v>
      </c>
      <c r="G790" s="62">
        <v>52</v>
      </c>
      <c r="H790" s="62">
        <v>52</v>
      </c>
      <c r="I790" s="62">
        <v>13</v>
      </c>
      <c r="J790" s="95">
        <v>45975</v>
      </c>
      <c r="K790" s="3">
        <v>0.16</v>
      </c>
      <c r="L790" s="3">
        <v>2.5499999999999998</v>
      </c>
    </row>
    <row r="791" spans="1:12" x14ac:dyDescent="0.35">
      <c r="A791" s="62" t="s">
        <v>28</v>
      </c>
      <c r="B791" s="62" t="s">
        <v>31</v>
      </c>
      <c r="C791" s="62">
        <v>4</v>
      </c>
      <c r="D791" s="62">
        <v>4</v>
      </c>
      <c r="E791" s="62">
        <v>14</v>
      </c>
      <c r="F791" s="62">
        <v>414</v>
      </c>
      <c r="G791" s="62">
        <v>53</v>
      </c>
      <c r="H791" s="62">
        <v>51</v>
      </c>
      <c r="I791" s="62">
        <v>13</v>
      </c>
      <c r="J791" s="95">
        <v>45975</v>
      </c>
      <c r="K791" s="3">
        <v>0.16</v>
      </c>
      <c r="L791" s="3">
        <v>1.52</v>
      </c>
    </row>
    <row r="792" spans="1:12" x14ac:dyDescent="0.35">
      <c r="A792" s="62" t="s">
        <v>28</v>
      </c>
      <c r="B792" s="62" t="s">
        <v>32</v>
      </c>
      <c r="C792" s="62">
        <v>4</v>
      </c>
      <c r="D792" s="62">
        <v>3</v>
      </c>
      <c r="E792" s="62">
        <v>14</v>
      </c>
      <c r="F792" s="62">
        <v>314</v>
      </c>
      <c r="G792" s="62">
        <v>54</v>
      </c>
      <c r="H792" s="62">
        <v>46</v>
      </c>
      <c r="I792" s="62">
        <v>13</v>
      </c>
      <c r="J792" s="95">
        <v>45975</v>
      </c>
      <c r="K792" s="3">
        <v>0.28999999999999998</v>
      </c>
      <c r="L792" s="3">
        <v>1.47</v>
      </c>
    </row>
    <row r="793" spans="1:12" x14ac:dyDescent="0.35">
      <c r="A793" s="62" t="s">
        <v>28</v>
      </c>
      <c r="B793" s="62" t="s">
        <v>29</v>
      </c>
      <c r="C793" s="62">
        <v>4</v>
      </c>
      <c r="D793" s="62">
        <v>2</v>
      </c>
      <c r="E793" s="62">
        <v>14</v>
      </c>
      <c r="F793" s="62">
        <v>214</v>
      </c>
      <c r="G793" s="62">
        <v>55</v>
      </c>
      <c r="H793" s="62">
        <v>19</v>
      </c>
      <c r="I793" s="62">
        <v>13</v>
      </c>
      <c r="J793" s="95">
        <v>45975</v>
      </c>
      <c r="K793" s="3">
        <v>0.15</v>
      </c>
      <c r="L793" s="3">
        <v>2.15</v>
      </c>
    </row>
    <row r="794" spans="1:12" x14ac:dyDescent="0.35">
      <c r="A794" s="62" t="s">
        <v>28</v>
      </c>
      <c r="B794" s="62" t="s">
        <v>30</v>
      </c>
      <c r="C794" s="62">
        <v>4</v>
      </c>
      <c r="D794" s="62">
        <v>1</v>
      </c>
      <c r="E794" s="62">
        <v>14</v>
      </c>
      <c r="F794" s="62">
        <v>114</v>
      </c>
      <c r="G794" s="62">
        <v>56</v>
      </c>
      <c r="H794" s="62">
        <v>14</v>
      </c>
      <c r="I794" s="62">
        <v>13</v>
      </c>
      <c r="J794" s="95">
        <v>45975</v>
      </c>
      <c r="K794" s="3">
        <v>0.14000000000000001</v>
      </c>
      <c r="L794" s="3">
        <v>1.72</v>
      </c>
    </row>
    <row r="795" spans="1:12" x14ac:dyDescent="0.35">
      <c r="A795" s="62" t="s">
        <v>33</v>
      </c>
      <c r="B795" s="62" t="s">
        <v>30</v>
      </c>
      <c r="C795" s="62">
        <v>4</v>
      </c>
      <c r="D795" s="62">
        <v>1</v>
      </c>
      <c r="E795" s="62">
        <v>15</v>
      </c>
      <c r="F795" s="62">
        <v>115</v>
      </c>
      <c r="G795" s="62">
        <v>57</v>
      </c>
      <c r="H795" s="62">
        <v>15</v>
      </c>
      <c r="I795" s="62">
        <v>13</v>
      </c>
      <c r="J795" s="95">
        <v>45975</v>
      </c>
      <c r="K795" s="3">
        <v>0.25</v>
      </c>
      <c r="L795" s="3">
        <v>2.2400000000000002</v>
      </c>
    </row>
    <row r="796" spans="1:12" x14ac:dyDescent="0.35">
      <c r="A796" s="62" t="s">
        <v>33</v>
      </c>
      <c r="B796" s="62" t="s">
        <v>34</v>
      </c>
      <c r="C796" s="62">
        <v>4</v>
      </c>
      <c r="D796" s="62">
        <v>2</v>
      </c>
      <c r="E796" s="62">
        <v>15</v>
      </c>
      <c r="F796" s="62">
        <v>215</v>
      </c>
      <c r="G796" s="62">
        <v>58</v>
      </c>
      <c r="H796" s="62">
        <v>18</v>
      </c>
      <c r="I796" s="62">
        <v>13</v>
      </c>
      <c r="J796" s="95">
        <v>45975</v>
      </c>
      <c r="K796" s="3">
        <v>0.22</v>
      </c>
      <c r="L796" s="3">
        <v>2.5499999999999998</v>
      </c>
    </row>
    <row r="797" spans="1:12" x14ac:dyDescent="0.35">
      <c r="A797" s="62" t="s">
        <v>33</v>
      </c>
      <c r="B797" s="62" t="s">
        <v>29</v>
      </c>
      <c r="C797" s="62">
        <v>4</v>
      </c>
      <c r="D797" s="62">
        <v>3</v>
      </c>
      <c r="E797" s="62">
        <v>15</v>
      </c>
      <c r="F797" s="62">
        <v>315</v>
      </c>
      <c r="G797" s="62">
        <v>59</v>
      </c>
      <c r="H797" s="62">
        <v>47</v>
      </c>
      <c r="I797" s="62">
        <v>13</v>
      </c>
      <c r="J797" s="95">
        <v>45975</v>
      </c>
      <c r="K797" s="3">
        <v>0.18</v>
      </c>
      <c r="L797" s="3">
        <v>1.89</v>
      </c>
    </row>
    <row r="798" spans="1:12" x14ac:dyDescent="0.35">
      <c r="A798" s="62" t="s">
        <v>33</v>
      </c>
      <c r="B798" s="62" t="s">
        <v>35</v>
      </c>
      <c r="C798" s="62">
        <v>4</v>
      </c>
      <c r="D798" s="62">
        <v>4</v>
      </c>
      <c r="E798" s="62">
        <v>15</v>
      </c>
      <c r="F798" s="62">
        <v>415</v>
      </c>
      <c r="G798" s="62">
        <v>60</v>
      </c>
      <c r="H798" s="62">
        <v>50</v>
      </c>
      <c r="I798" s="62">
        <v>13</v>
      </c>
      <c r="J798" s="95">
        <v>45975</v>
      </c>
      <c r="K798" s="3">
        <v>0.22</v>
      </c>
      <c r="L798" s="3">
        <v>1.35</v>
      </c>
    </row>
    <row r="799" spans="1:12" x14ac:dyDescent="0.35">
      <c r="A799" s="62" t="s">
        <v>33</v>
      </c>
      <c r="B799" s="62" t="s">
        <v>35</v>
      </c>
      <c r="C799" s="62">
        <v>4</v>
      </c>
      <c r="D799" s="62">
        <v>4</v>
      </c>
      <c r="E799" s="62">
        <v>16</v>
      </c>
      <c r="F799" s="62">
        <v>416</v>
      </c>
      <c r="G799" s="62">
        <v>61</v>
      </c>
      <c r="H799" s="62">
        <v>49</v>
      </c>
      <c r="I799" s="62">
        <v>13</v>
      </c>
      <c r="J799" s="95">
        <v>45975</v>
      </c>
      <c r="K799" s="3">
        <v>0.22</v>
      </c>
      <c r="L799" s="3">
        <v>1.17</v>
      </c>
    </row>
    <row r="800" spans="1:12" x14ac:dyDescent="0.35">
      <c r="A800" s="62" t="s">
        <v>33</v>
      </c>
      <c r="B800" s="62" t="s">
        <v>29</v>
      </c>
      <c r="C800" s="62">
        <v>4</v>
      </c>
      <c r="D800" s="62">
        <v>3</v>
      </c>
      <c r="E800" s="62">
        <v>16</v>
      </c>
      <c r="F800" s="62">
        <v>316</v>
      </c>
      <c r="G800" s="62">
        <v>62</v>
      </c>
      <c r="H800" s="62">
        <v>48</v>
      </c>
      <c r="I800" s="62">
        <v>13</v>
      </c>
      <c r="J800" s="95">
        <v>45975</v>
      </c>
      <c r="K800" s="3">
        <v>0.18</v>
      </c>
      <c r="L800" s="3">
        <v>1.86</v>
      </c>
    </row>
    <row r="801" spans="1:12" x14ac:dyDescent="0.35">
      <c r="A801" s="62" t="s">
        <v>33</v>
      </c>
      <c r="B801" s="62" t="s">
        <v>34</v>
      </c>
      <c r="C801" s="62">
        <v>4</v>
      </c>
      <c r="D801" s="62">
        <v>2</v>
      </c>
      <c r="E801" s="62">
        <v>16</v>
      </c>
      <c r="F801" s="62">
        <v>216</v>
      </c>
      <c r="G801" s="62">
        <v>63</v>
      </c>
      <c r="H801" s="62">
        <v>17</v>
      </c>
      <c r="I801" s="62">
        <v>13</v>
      </c>
      <c r="J801" s="95">
        <v>45975</v>
      </c>
      <c r="K801" s="3">
        <v>0.2</v>
      </c>
      <c r="L801" s="3">
        <v>3.2</v>
      </c>
    </row>
    <row r="802" spans="1:12" x14ac:dyDescent="0.35">
      <c r="A802" s="62" t="s">
        <v>33</v>
      </c>
      <c r="B802" s="62" t="s">
        <v>30</v>
      </c>
      <c r="C802" s="62">
        <v>4</v>
      </c>
      <c r="D802" s="62">
        <v>1</v>
      </c>
      <c r="E802" s="62">
        <v>16</v>
      </c>
      <c r="F802" s="62">
        <v>116</v>
      </c>
      <c r="G802" s="62">
        <v>64</v>
      </c>
      <c r="H802" s="62">
        <v>16</v>
      </c>
      <c r="I802" s="62">
        <v>13</v>
      </c>
      <c r="J802" s="95">
        <v>45975</v>
      </c>
      <c r="K802" s="3">
        <v>0.22</v>
      </c>
      <c r="L802" s="3">
        <v>1.38</v>
      </c>
    </row>
    <row r="803" spans="1:12" x14ac:dyDescent="0.35">
      <c r="A803" s="62" t="s">
        <v>28</v>
      </c>
      <c r="B803" s="62" t="s">
        <v>29</v>
      </c>
      <c r="C803" s="62">
        <v>1</v>
      </c>
      <c r="D803" s="62">
        <v>1</v>
      </c>
      <c r="E803" s="62">
        <v>1</v>
      </c>
      <c r="F803" s="62">
        <v>101</v>
      </c>
      <c r="G803" s="62">
        <v>1</v>
      </c>
      <c r="H803" s="62">
        <v>1</v>
      </c>
      <c r="I803" s="62">
        <v>14</v>
      </c>
      <c r="J803" s="95">
        <v>45982</v>
      </c>
      <c r="K803" s="3">
        <v>0.13</v>
      </c>
      <c r="L803" s="3">
        <v>2.12</v>
      </c>
    </row>
    <row r="804" spans="1:12" x14ac:dyDescent="0.35">
      <c r="A804" s="62" t="s">
        <v>28</v>
      </c>
      <c r="B804" s="62" t="s">
        <v>30</v>
      </c>
      <c r="C804" s="62">
        <v>1</v>
      </c>
      <c r="D804" s="62">
        <v>2</v>
      </c>
      <c r="E804" s="62">
        <v>1</v>
      </c>
      <c r="F804" s="62">
        <v>201</v>
      </c>
      <c r="G804" s="62">
        <v>2</v>
      </c>
      <c r="H804" s="62">
        <v>32</v>
      </c>
      <c r="I804" s="62">
        <v>14</v>
      </c>
      <c r="J804" s="95">
        <v>45982</v>
      </c>
      <c r="K804" s="3">
        <v>0.12</v>
      </c>
      <c r="L804" s="3">
        <v>2.12</v>
      </c>
    </row>
    <row r="805" spans="1:12" x14ac:dyDescent="0.35">
      <c r="A805" s="62" t="s">
        <v>28</v>
      </c>
      <c r="B805" s="62" t="s">
        <v>31</v>
      </c>
      <c r="C805" s="62">
        <v>1</v>
      </c>
      <c r="D805" s="62">
        <v>3</v>
      </c>
      <c r="E805" s="62">
        <v>1</v>
      </c>
      <c r="F805" s="62">
        <v>301</v>
      </c>
      <c r="G805" s="62">
        <v>3</v>
      </c>
      <c r="H805" s="62">
        <v>33</v>
      </c>
      <c r="I805" s="62">
        <v>14</v>
      </c>
      <c r="J805" s="95">
        <v>45982</v>
      </c>
      <c r="K805" s="3">
        <v>0.09</v>
      </c>
      <c r="L805" s="3">
        <v>2.14</v>
      </c>
    </row>
    <row r="806" spans="1:12" x14ac:dyDescent="0.35">
      <c r="A806" s="62" t="s">
        <v>28</v>
      </c>
      <c r="B806" s="62" t="s">
        <v>32</v>
      </c>
      <c r="C806" s="62">
        <v>1</v>
      </c>
      <c r="D806" s="62">
        <v>4</v>
      </c>
      <c r="E806" s="62">
        <v>1</v>
      </c>
      <c r="F806" s="62">
        <v>401</v>
      </c>
      <c r="G806" s="62">
        <v>4</v>
      </c>
      <c r="H806" s="62">
        <v>64</v>
      </c>
      <c r="I806" s="62">
        <v>14</v>
      </c>
      <c r="J806" s="95">
        <v>45982</v>
      </c>
      <c r="K806" s="3">
        <v>0.12</v>
      </c>
      <c r="L806" s="3">
        <v>1.39</v>
      </c>
    </row>
    <row r="807" spans="1:12" x14ac:dyDescent="0.35">
      <c r="A807" s="62" t="s">
        <v>28</v>
      </c>
      <c r="B807" s="62" t="s">
        <v>32</v>
      </c>
      <c r="C807" s="62">
        <v>1</v>
      </c>
      <c r="D807" s="62">
        <v>4</v>
      </c>
      <c r="E807" s="62">
        <v>2</v>
      </c>
      <c r="F807" s="62">
        <v>402</v>
      </c>
      <c r="G807" s="62">
        <v>5</v>
      </c>
      <c r="H807" s="62">
        <v>63</v>
      </c>
      <c r="I807" s="62">
        <v>14</v>
      </c>
      <c r="J807" s="95">
        <v>45982</v>
      </c>
      <c r="K807" s="3">
        <v>0.14000000000000001</v>
      </c>
      <c r="L807" s="3">
        <v>1.64</v>
      </c>
    </row>
    <row r="808" spans="1:12" x14ac:dyDescent="0.35">
      <c r="A808" s="62" t="s">
        <v>28</v>
      </c>
      <c r="B808" s="62" t="s">
        <v>31</v>
      </c>
      <c r="C808" s="62">
        <v>1</v>
      </c>
      <c r="D808" s="62">
        <v>3</v>
      </c>
      <c r="E808" s="62">
        <v>2</v>
      </c>
      <c r="F808" s="62">
        <v>302</v>
      </c>
      <c r="G808" s="62">
        <v>6</v>
      </c>
      <c r="H808" s="62">
        <v>34</v>
      </c>
      <c r="I808" s="62">
        <v>14</v>
      </c>
      <c r="J808" s="95">
        <v>45982</v>
      </c>
      <c r="K808" s="3">
        <v>0.11</v>
      </c>
      <c r="L808" s="3">
        <v>1.92</v>
      </c>
    </row>
    <row r="809" spans="1:12" x14ac:dyDescent="0.35">
      <c r="A809" s="62" t="s">
        <v>28</v>
      </c>
      <c r="B809" s="62" t="s">
        <v>30</v>
      </c>
      <c r="C809" s="62">
        <v>1</v>
      </c>
      <c r="D809" s="62">
        <v>2</v>
      </c>
      <c r="E809" s="62">
        <v>2</v>
      </c>
      <c r="F809" s="62">
        <v>202</v>
      </c>
      <c r="G809" s="62">
        <v>7</v>
      </c>
      <c r="H809" s="62">
        <v>31</v>
      </c>
      <c r="I809" s="62">
        <v>14</v>
      </c>
      <c r="J809" s="95">
        <v>45982</v>
      </c>
      <c r="K809" s="3">
        <v>0.13</v>
      </c>
      <c r="L809" s="3">
        <v>1.67</v>
      </c>
    </row>
    <row r="810" spans="1:12" x14ac:dyDescent="0.35">
      <c r="A810" s="62" t="s">
        <v>28</v>
      </c>
      <c r="B810" s="62" t="s">
        <v>29</v>
      </c>
      <c r="C810" s="62">
        <v>1</v>
      </c>
      <c r="D810" s="62">
        <v>1</v>
      </c>
      <c r="E810" s="62">
        <v>2</v>
      </c>
      <c r="F810" s="62">
        <v>102</v>
      </c>
      <c r="G810" s="62">
        <v>8</v>
      </c>
      <c r="H810" s="62">
        <v>2</v>
      </c>
      <c r="I810" s="62">
        <v>14</v>
      </c>
      <c r="J810" s="95">
        <v>45982</v>
      </c>
      <c r="K810" s="3">
        <v>0.13</v>
      </c>
      <c r="L810" s="3">
        <v>0.57999999999999996</v>
      </c>
    </row>
    <row r="811" spans="1:12" x14ac:dyDescent="0.35">
      <c r="A811" s="62" t="s">
        <v>33</v>
      </c>
      <c r="B811" s="62" t="s">
        <v>34</v>
      </c>
      <c r="C811" s="62">
        <v>1</v>
      </c>
      <c r="D811" s="62">
        <v>1</v>
      </c>
      <c r="E811" s="62">
        <v>3</v>
      </c>
      <c r="F811" s="62">
        <v>103</v>
      </c>
      <c r="G811" s="62">
        <v>9</v>
      </c>
      <c r="H811" s="62">
        <v>3</v>
      </c>
      <c r="I811" s="62">
        <v>14</v>
      </c>
      <c r="J811" s="95">
        <v>45982</v>
      </c>
      <c r="K811" s="3">
        <v>0.13</v>
      </c>
      <c r="L811" s="3">
        <v>1.58</v>
      </c>
    </row>
    <row r="812" spans="1:12" x14ac:dyDescent="0.35">
      <c r="A812" s="62" t="s">
        <v>33</v>
      </c>
      <c r="B812" s="62" t="s">
        <v>30</v>
      </c>
      <c r="C812" s="62">
        <v>1</v>
      </c>
      <c r="D812" s="62">
        <v>2</v>
      </c>
      <c r="E812" s="62">
        <v>3</v>
      </c>
      <c r="F812" s="62">
        <v>203</v>
      </c>
      <c r="G812" s="62">
        <v>10</v>
      </c>
      <c r="H812" s="62">
        <v>30</v>
      </c>
      <c r="I812" s="62">
        <v>14</v>
      </c>
      <c r="J812" s="95">
        <v>45982</v>
      </c>
      <c r="K812" s="3">
        <v>0.13</v>
      </c>
      <c r="L812" s="3">
        <v>1.24</v>
      </c>
    </row>
    <row r="813" spans="1:12" x14ac:dyDescent="0.35">
      <c r="A813" s="62" t="s">
        <v>33</v>
      </c>
      <c r="B813" s="62" t="s">
        <v>35</v>
      </c>
      <c r="C813" s="62">
        <v>1</v>
      </c>
      <c r="D813" s="62">
        <v>3</v>
      </c>
      <c r="E813" s="62">
        <v>3</v>
      </c>
      <c r="F813" s="62">
        <v>303</v>
      </c>
      <c r="G813" s="62">
        <v>11</v>
      </c>
      <c r="H813" s="62">
        <v>35</v>
      </c>
      <c r="I813" s="62">
        <v>14</v>
      </c>
      <c r="J813" s="95">
        <v>45982</v>
      </c>
      <c r="K813" s="3">
        <v>0.12</v>
      </c>
      <c r="L813" s="3">
        <v>1.55</v>
      </c>
    </row>
    <row r="814" spans="1:12" x14ac:dyDescent="0.35">
      <c r="A814" s="62" t="s">
        <v>33</v>
      </c>
      <c r="B814" s="62" t="s">
        <v>29</v>
      </c>
      <c r="C814" s="62">
        <v>1</v>
      </c>
      <c r="D814" s="62">
        <v>4</v>
      </c>
      <c r="E814" s="62">
        <v>3</v>
      </c>
      <c r="F814" s="62">
        <v>403</v>
      </c>
      <c r="G814" s="62">
        <v>12</v>
      </c>
      <c r="H814" s="62">
        <v>62</v>
      </c>
      <c r="I814" s="62">
        <v>14</v>
      </c>
      <c r="J814" s="95">
        <v>45982</v>
      </c>
      <c r="K814" s="3">
        <v>0.13</v>
      </c>
      <c r="L814" s="3">
        <v>1.3</v>
      </c>
    </row>
    <row r="815" spans="1:12" x14ac:dyDescent="0.35">
      <c r="A815" s="62" t="s">
        <v>33</v>
      </c>
      <c r="B815" s="62" t="s">
        <v>29</v>
      </c>
      <c r="C815" s="62">
        <v>1</v>
      </c>
      <c r="D815" s="62">
        <v>4</v>
      </c>
      <c r="E815" s="62">
        <v>4</v>
      </c>
      <c r="F815" s="62">
        <v>404</v>
      </c>
      <c r="G815" s="62">
        <v>13</v>
      </c>
      <c r="H815" s="62">
        <v>61</v>
      </c>
      <c r="I815" s="62">
        <v>14</v>
      </c>
      <c r="J815" s="95">
        <v>45982</v>
      </c>
      <c r="K815" s="3">
        <v>0.13</v>
      </c>
      <c r="L815" s="3">
        <v>1.86</v>
      </c>
    </row>
    <row r="816" spans="1:12" x14ac:dyDescent="0.35">
      <c r="A816" s="62" t="s">
        <v>33</v>
      </c>
      <c r="B816" s="62" t="s">
        <v>35</v>
      </c>
      <c r="C816" s="62">
        <v>1</v>
      </c>
      <c r="D816" s="62">
        <v>3</v>
      </c>
      <c r="E816" s="62">
        <v>4</v>
      </c>
      <c r="F816" s="62">
        <v>304</v>
      </c>
      <c r="G816" s="62">
        <v>14</v>
      </c>
      <c r="H816" s="62">
        <v>36</v>
      </c>
      <c r="I816" s="62">
        <v>14</v>
      </c>
      <c r="J816" s="95">
        <v>45982</v>
      </c>
      <c r="K816" s="3">
        <v>0.13</v>
      </c>
      <c r="L816" s="3">
        <v>1.41</v>
      </c>
    </row>
    <row r="817" spans="1:12" x14ac:dyDescent="0.35">
      <c r="A817" s="62" t="s">
        <v>33</v>
      </c>
      <c r="B817" s="62" t="s">
        <v>30</v>
      </c>
      <c r="C817" s="62">
        <v>1</v>
      </c>
      <c r="D817" s="62">
        <v>2</v>
      </c>
      <c r="E817" s="62">
        <v>4</v>
      </c>
      <c r="F817" s="62">
        <v>204</v>
      </c>
      <c r="G817" s="62">
        <v>15</v>
      </c>
      <c r="H817" s="62">
        <v>29</v>
      </c>
      <c r="I817" s="62">
        <v>14</v>
      </c>
      <c r="J817" s="95">
        <v>45982</v>
      </c>
      <c r="K817" s="3">
        <v>0.12</v>
      </c>
      <c r="L817" s="3">
        <v>1.63</v>
      </c>
    </row>
    <row r="818" spans="1:12" x14ac:dyDescent="0.35">
      <c r="A818" s="62" t="s">
        <v>33</v>
      </c>
      <c r="B818" s="62" t="s">
        <v>34</v>
      </c>
      <c r="C818" s="62">
        <v>1</v>
      </c>
      <c r="D818" s="62">
        <v>1</v>
      </c>
      <c r="E818" s="62">
        <v>4</v>
      </c>
      <c r="F818" s="62">
        <v>104</v>
      </c>
      <c r="G818" s="62">
        <v>16</v>
      </c>
      <c r="H818" s="62">
        <v>4</v>
      </c>
      <c r="I818" s="62">
        <v>14</v>
      </c>
      <c r="J818" s="95">
        <v>45982</v>
      </c>
      <c r="K818" s="3">
        <v>0.13</v>
      </c>
      <c r="L818" s="3">
        <v>0.57999999999999996</v>
      </c>
    </row>
    <row r="819" spans="1:12" x14ac:dyDescent="0.35">
      <c r="A819" s="62" t="s">
        <v>28</v>
      </c>
      <c r="B819" s="62" t="s">
        <v>31</v>
      </c>
      <c r="C819" s="62">
        <v>2</v>
      </c>
      <c r="D819" s="62">
        <v>1</v>
      </c>
      <c r="E819" s="62">
        <v>5</v>
      </c>
      <c r="F819" s="62">
        <v>105</v>
      </c>
      <c r="G819" s="62">
        <v>17</v>
      </c>
      <c r="H819" s="62">
        <v>5</v>
      </c>
      <c r="I819" s="62">
        <v>14</v>
      </c>
      <c r="J819" s="95">
        <v>45982</v>
      </c>
      <c r="K819" s="3">
        <v>0.11</v>
      </c>
      <c r="L819" s="3">
        <v>2.23</v>
      </c>
    </row>
    <row r="820" spans="1:12" x14ac:dyDescent="0.35">
      <c r="A820" s="62" t="s">
        <v>28</v>
      </c>
      <c r="B820" s="62" t="s">
        <v>32</v>
      </c>
      <c r="C820" s="62">
        <v>2</v>
      </c>
      <c r="D820" s="62">
        <v>2</v>
      </c>
      <c r="E820" s="62">
        <v>5</v>
      </c>
      <c r="F820" s="62">
        <v>205</v>
      </c>
      <c r="G820" s="62">
        <v>18</v>
      </c>
      <c r="H820" s="62">
        <v>28</v>
      </c>
      <c r="I820" s="62">
        <v>14</v>
      </c>
      <c r="J820" s="95">
        <v>45982</v>
      </c>
      <c r="K820" s="3">
        <v>0.15</v>
      </c>
      <c r="L820" s="3">
        <v>1.74</v>
      </c>
    </row>
    <row r="821" spans="1:12" x14ac:dyDescent="0.35">
      <c r="A821" s="62" t="s">
        <v>28</v>
      </c>
      <c r="B821" s="62" t="s">
        <v>30</v>
      </c>
      <c r="C821" s="62">
        <v>2</v>
      </c>
      <c r="D821" s="62">
        <v>3</v>
      </c>
      <c r="E821" s="62">
        <v>5</v>
      </c>
      <c r="F821" s="62">
        <v>305</v>
      </c>
      <c r="G821" s="62">
        <v>19</v>
      </c>
      <c r="H821" s="62">
        <v>37</v>
      </c>
      <c r="I821" s="62">
        <v>14</v>
      </c>
      <c r="J821" s="95">
        <v>45982</v>
      </c>
      <c r="K821" s="3">
        <v>0.11</v>
      </c>
      <c r="L821" s="3">
        <v>1.38</v>
      </c>
    </row>
    <row r="822" spans="1:12" x14ac:dyDescent="0.35">
      <c r="A822" s="62" t="s">
        <v>28</v>
      </c>
      <c r="B822" s="62" t="s">
        <v>29</v>
      </c>
      <c r="C822" s="62">
        <v>2</v>
      </c>
      <c r="D822" s="62">
        <v>4</v>
      </c>
      <c r="E822" s="62">
        <v>5</v>
      </c>
      <c r="F822" s="62">
        <v>405</v>
      </c>
      <c r="G822" s="62">
        <v>20</v>
      </c>
      <c r="H822" s="62">
        <v>60</v>
      </c>
      <c r="I822" s="62">
        <v>14</v>
      </c>
      <c r="J822" s="95">
        <v>45982</v>
      </c>
      <c r="K822" s="3">
        <v>0.12</v>
      </c>
      <c r="L822" s="3">
        <v>1.67</v>
      </c>
    </row>
    <row r="823" spans="1:12" x14ac:dyDescent="0.35">
      <c r="A823" s="62" t="s">
        <v>28</v>
      </c>
      <c r="B823" s="62" t="s">
        <v>29</v>
      </c>
      <c r="C823" s="62">
        <v>2</v>
      </c>
      <c r="D823" s="62">
        <v>4</v>
      </c>
      <c r="E823" s="62">
        <v>6</v>
      </c>
      <c r="F823" s="62">
        <v>406</v>
      </c>
      <c r="G823" s="62">
        <v>21</v>
      </c>
      <c r="H823" s="62">
        <v>59</v>
      </c>
      <c r="I823" s="62">
        <v>14</v>
      </c>
      <c r="J823" s="95">
        <v>45982</v>
      </c>
      <c r="K823" s="3">
        <v>0.11</v>
      </c>
      <c r="L823" s="3">
        <v>1.58</v>
      </c>
    </row>
    <row r="824" spans="1:12" x14ac:dyDescent="0.35">
      <c r="A824" s="62" t="s">
        <v>28</v>
      </c>
      <c r="B824" s="62" t="s">
        <v>30</v>
      </c>
      <c r="C824" s="62">
        <v>2</v>
      </c>
      <c r="D824" s="62">
        <v>3</v>
      </c>
      <c r="E824" s="62">
        <v>6</v>
      </c>
      <c r="F824" s="62">
        <v>306</v>
      </c>
      <c r="G824" s="62">
        <v>22</v>
      </c>
      <c r="H824" s="62">
        <v>38</v>
      </c>
      <c r="I824" s="62">
        <v>14</v>
      </c>
      <c r="J824" s="95">
        <v>45982</v>
      </c>
      <c r="K824" s="3">
        <v>0.12</v>
      </c>
      <c r="L824" s="3">
        <v>2.54</v>
      </c>
    </row>
    <row r="825" spans="1:12" x14ac:dyDescent="0.35">
      <c r="A825" s="62" t="s">
        <v>28</v>
      </c>
      <c r="B825" s="62" t="s">
        <v>32</v>
      </c>
      <c r="C825" s="62">
        <v>2</v>
      </c>
      <c r="D825" s="62">
        <v>2</v>
      </c>
      <c r="E825" s="62">
        <v>6</v>
      </c>
      <c r="F825" s="62">
        <v>206</v>
      </c>
      <c r="G825" s="62">
        <v>23</v>
      </c>
      <c r="H825" s="62">
        <v>27</v>
      </c>
      <c r="I825" s="62">
        <v>14</v>
      </c>
      <c r="J825" s="95">
        <v>45982</v>
      </c>
      <c r="K825" s="3">
        <v>0.15</v>
      </c>
      <c r="L825" s="3">
        <v>1.48</v>
      </c>
    </row>
    <row r="826" spans="1:12" x14ac:dyDescent="0.35">
      <c r="A826" s="62" t="s">
        <v>28</v>
      </c>
      <c r="B826" s="62" t="s">
        <v>31</v>
      </c>
      <c r="C826" s="62">
        <v>2</v>
      </c>
      <c r="D826" s="62">
        <v>1</v>
      </c>
      <c r="E826" s="62">
        <v>6</v>
      </c>
      <c r="F826" s="62">
        <v>106</v>
      </c>
      <c r="G826" s="62">
        <v>24</v>
      </c>
      <c r="H826" s="62">
        <v>6</v>
      </c>
      <c r="I826" s="62">
        <v>14</v>
      </c>
      <c r="J826" s="95">
        <v>45982</v>
      </c>
      <c r="K826" s="3">
        <v>0.11</v>
      </c>
      <c r="L826" s="3">
        <v>1.52</v>
      </c>
    </row>
    <row r="827" spans="1:12" x14ac:dyDescent="0.35">
      <c r="A827" s="62" t="s">
        <v>33</v>
      </c>
      <c r="B827" s="62" t="s">
        <v>35</v>
      </c>
      <c r="C827" s="62">
        <v>2</v>
      </c>
      <c r="D827" s="62">
        <v>1</v>
      </c>
      <c r="E827" s="62">
        <v>7</v>
      </c>
      <c r="F827" s="62">
        <v>107</v>
      </c>
      <c r="G827" s="62">
        <v>25</v>
      </c>
      <c r="H827" s="62">
        <v>7</v>
      </c>
      <c r="I827" s="62">
        <v>14</v>
      </c>
      <c r="J827" s="95">
        <v>45982</v>
      </c>
      <c r="K827" s="3">
        <v>0.11</v>
      </c>
      <c r="L827" s="3">
        <v>0.88</v>
      </c>
    </row>
    <row r="828" spans="1:12" x14ac:dyDescent="0.35">
      <c r="A828" s="62" t="s">
        <v>33</v>
      </c>
      <c r="B828" s="62" t="s">
        <v>29</v>
      </c>
      <c r="C828" s="62">
        <v>2</v>
      </c>
      <c r="D828" s="62">
        <v>2</v>
      </c>
      <c r="E828" s="62">
        <v>7</v>
      </c>
      <c r="F828" s="62">
        <v>207</v>
      </c>
      <c r="G828" s="62">
        <v>26</v>
      </c>
      <c r="H828" s="62">
        <v>26</v>
      </c>
      <c r="I828" s="62">
        <v>14</v>
      </c>
      <c r="J828" s="95">
        <v>45982</v>
      </c>
      <c r="K828" s="3">
        <v>0.13</v>
      </c>
      <c r="L828" s="3">
        <v>1.51</v>
      </c>
    </row>
    <row r="829" spans="1:12" x14ac:dyDescent="0.35">
      <c r="A829" s="62" t="s">
        <v>33</v>
      </c>
      <c r="B829" s="62" t="s">
        <v>30</v>
      </c>
      <c r="C829" s="62">
        <v>2</v>
      </c>
      <c r="D829" s="62">
        <v>3</v>
      </c>
      <c r="E829" s="62">
        <v>7</v>
      </c>
      <c r="F829" s="62">
        <v>307</v>
      </c>
      <c r="G829" s="62">
        <v>27</v>
      </c>
      <c r="H829" s="62">
        <v>39</v>
      </c>
      <c r="I829" s="62">
        <v>14</v>
      </c>
      <c r="J829" s="95">
        <v>45982</v>
      </c>
      <c r="K829" s="3">
        <v>0.13</v>
      </c>
      <c r="L829" s="3">
        <v>1.69</v>
      </c>
    </row>
    <row r="830" spans="1:12" x14ac:dyDescent="0.35">
      <c r="A830" s="62" t="s">
        <v>33</v>
      </c>
      <c r="B830" s="62" t="s">
        <v>34</v>
      </c>
      <c r="C830" s="62">
        <v>2</v>
      </c>
      <c r="D830" s="62">
        <v>4</v>
      </c>
      <c r="E830" s="62">
        <v>7</v>
      </c>
      <c r="F830" s="62">
        <v>407</v>
      </c>
      <c r="G830" s="62">
        <v>28</v>
      </c>
      <c r="H830" s="62">
        <v>58</v>
      </c>
      <c r="I830" s="62">
        <v>14</v>
      </c>
      <c r="J830" s="95">
        <v>45982</v>
      </c>
      <c r="K830" s="3">
        <v>0.12</v>
      </c>
      <c r="L830" s="3">
        <v>1.88</v>
      </c>
    </row>
    <row r="831" spans="1:12" x14ac:dyDescent="0.35">
      <c r="A831" s="62" t="s">
        <v>33</v>
      </c>
      <c r="B831" s="62" t="s">
        <v>34</v>
      </c>
      <c r="C831" s="62">
        <v>2</v>
      </c>
      <c r="D831" s="62">
        <v>4</v>
      </c>
      <c r="E831" s="62">
        <v>8</v>
      </c>
      <c r="F831" s="62">
        <v>408</v>
      </c>
      <c r="G831" s="62">
        <v>29</v>
      </c>
      <c r="H831" s="62">
        <v>57</v>
      </c>
      <c r="I831" s="62">
        <v>14</v>
      </c>
      <c r="J831" s="95">
        <v>45982</v>
      </c>
      <c r="K831" s="3">
        <v>0.11</v>
      </c>
      <c r="L831" s="3">
        <v>0.82</v>
      </c>
    </row>
    <row r="832" spans="1:12" x14ac:dyDescent="0.35">
      <c r="A832" s="62" t="s">
        <v>33</v>
      </c>
      <c r="B832" s="62" t="s">
        <v>30</v>
      </c>
      <c r="C832" s="62">
        <v>2</v>
      </c>
      <c r="D832" s="62">
        <v>3</v>
      </c>
      <c r="E832" s="62">
        <v>8</v>
      </c>
      <c r="F832" s="62">
        <v>308</v>
      </c>
      <c r="G832" s="62">
        <v>30</v>
      </c>
      <c r="H832" s="62">
        <v>40</v>
      </c>
      <c r="I832" s="62">
        <v>14</v>
      </c>
      <c r="J832" s="95">
        <v>45982</v>
      </c>
      <c r="K832" s="3">
        <v>0.12</v>
      </c>
      <c r="L832" s="3">
        <v>1.33</v>
      </c>
    </row>
    <row r="833" spans="1:12" x14ac:dyDescent="0.35">
      <c r="A833" s="62" t="s">
        <v>33</v>
      </c>
      <c r="B833" s="62" t="s">
        <v>29</v>
      </c>
      <c r="C833" s="62">
        <v>2</v>
      </c>
      <c r="D833" s="62">
        <v>2</v>
      </c>
      <c r="E833" s="62">
        <v>8</v>
      </c>
      <c r="F833" s="62">
        <v>208</v>
      </c>
      <c r="G833" s="62">
        <v>31</v>
      </c>
      <c r="H833" s="62">
        <v>25</v>
      </c>
      <c r="I833" s="62">
        <v>14</v>
      </c>
      <c r="J833" s="95">
        <v>45982</v>
      </c>
      <c r="K833" s="3">
        <v>0.13</v>
      </c>
      <c r="L833" s="3">
        <v>2</v>
      </c>
    </row>
    <row r="834" spans="1:12" x14ac:dyDescent="0.35">
      <c r="A834" s="62" t="s">
        <v>33</v>
      </c>
      <c r="B834" s="62" t="s">
        <v>35</v>
      </c>
      <c r="C834" s="62">
        <v>2</v>
      </c>
      <c r="D834" s="62">
        <v>1</v>
      </c>
      <c r="E834" s="62">
        <v>8</v>
      </c>
      <c r="F834" s="62">
        <v>108</v>
      </c>
      <c r="G834" s="62">
        <v>32</v>
      </c>
      <c r="H834" s="62">
        <v>8</v>
      </c>
      <c r="I834" s="62">
        <v>14</v>
      </c>
      <c r="J834" s="95">
        <v>45982</v>
      </c>
      <c r="K834" s="3">
        <v>0.12</v>
      </c>
      <c r="L834" s="3">
        <v>1.22</v>
      </c>
    </row>
    <row r="835" spans="1:12" x14ac:dyDescent="0.35">
      <c r="A835" s="62" t="s">
        <v>28</v>
      </c>
      <c r="B835" s="62" t="s">
        <v>32</v>
      </c>
      <c r="C835" s="62">
        <v>3</v>
      </c>
      <c r="D835" s="62">
        <v>1</v>
      </c>
      <c r="E835" s="62">
        <v>9</v>
      </c>
      <c r="F835" s="62">
        <v>109</v>
      </c>
      <c r="G835" s="62">
        <v>33</v>
      </c>
      <c r="H835" s="62">
        <v>9</v>
      </c>
      <c r="I835" s="62">
        <v>14</v>
      </c>
      <c r="J835" s="95">
        <v>45982</v>
      </c>
      <c r="K835" s="3">
        <v>0.14000000000000001</v>
      </c>
      <c r="L835" s="3">
        <v>1.99</v>
      </c>
    </row>
    <row r="836" spans="1:12" x14ac:dyDescent="0.35">
      <c r="A836" s="62" t="s">
        <v>28</v>
      </c>
      <c r="B836" s="62" t="s">
        <v>31</v>
      </c>
      <c r="C836" s="62">
        <v>3</v>
      </c>
      <c r="D836" s="62">
        <v>2</v>
      </c>
      <c r="E836" s="62">
        <v>9</v>
      </c>
      <c r="F836" s="62">
        <v>209</v>
      </c>
      <c r="G836" s="62">
        <v>34</v>
      </c>
      <c r="H836" s="62">
        <v>24</v>
      </c>
      <c r="I836" s="62">
        <v>14</v>
      </c>
      <c r="J836" s="95">
        <v>45982</v>
      </c>
      <c r="K836" s="3">
        <v>0.12</v>
      </c>
      <c r="L836" s="3">
        <v>1.83</v>
      </c>
    </row>
    <row r="837" spans="1:12" x14ac:dyDescent="0.35">
      <c r="A837" s="62" t="s">
        <v>28</v>
      </c>
      <c r="B837" s="62" t="s">
        <v>29</v>
      </c>
      <c r="C837" s="62">
        <v>3</v>
      </c>
      <c r="D837" s="62">
        <v>3</v>
      </c>
      <c r="E837" s="62">
        <v>9</v>
      </c>
      <c r="F837" s="62">
        <v>309</v>
      </c>
      <c r="G837" s="62">
        <v>35</v>
      </c>
      <c r="H837" s="62">
        <v>41</v>
      </c>
      <c r="I837" s="62">
        <v>14</v>
      </c>
      <c r="J837" s="95">
        <v>45982</v>
      </c>
      <c r="K837" s="3">
        <v>0.12</v>
      </c>
      <c r="L837" s="3">
        <v>2.66</v>
      </c>
    </row>
    <row r="838" spans="1:12" x14ac:dyDescent="0.35">
      <c r="A838" s="62" t="s">
        <v>28</v>
      </c>
      <c r="B838" s="62" t="s">
        <v>30</v>
      </c>
      <c r="C838" s="62">
        <v>3</v>
      </c>
      <c r="D838" s="62">
        <v>4</v>
      </c>
      <c r="E838" s="62">
        <v>9</v>
      </c>
      <c r="F838" s="62">
        <v>409</v>
      </c>
      <c r="G838" s="62">
        <v>36</v>
      </c>
      <c r="H838" s="62">
        <v>56</v>
      </c>
      <c r="I838" s="62">
        <v>14</v>
      </c>
      <c r="J838" s="95">
        <v>45982</v>
      </c>
      <c r="K838" s="3">
        <v>0.13</v>
      </c>
      <c r="L838" s="3">
        <v>1.56</v>
      </c>
    </row>
    <row r="839" spans="1:12" x14ac:dyDescent="0.35">
      <c r="A839" s="62" t="s">
        <v>28</v>
      </c>
      <c r="B839" s="62" t="s">
        <v>30</v>
      </c>
      <c r="C839" s="62">
        <v>3</v>
      </c>
      <c r="D839" s="62">
        <v>4</v>
      </c>
      <c r="E839" s="62">
        <v>10</v>
      </c>
      <c r="F839" s="62">
        <v>410</v>
      </c>
      <c r="G839" s="62">
        <v>37</v>
      </c>
      <c r="H839" s="62">
        <v>55</v>
      </c>
      <c r="I839" s="62">
        <v>14</v>
      </c>
      <c r="J839" s="95">
        <v>45982</v>
      </c>
      <c r="K839" s="3">
        <v>0.13</v>
      </c>
      <c r="L839" s="3">
        <v>2.38</v>
      </c>
    </row>
    <row r="840" spans="1:12" x14ac:dyDescent="0.35">
      <c r="A840" s="62" t="s">
        <v>28</v>
      </c>
      <c r="B840" s="62" t="s">
        <v>29</v>
      </c>
      <c r="C840" s="62">
        <v>3</v>
      </c>
      <c r="D840" s="62">
        <v>3</v>
      </c>
      <c r="E840" s="62">
        <v>10</v>
      </c>
      <c r="F840" s="62">
        <v>310</v>
      </c>
      <c r="G840" s="62">
        <v>38</v>
      </c>
      <c r="H840" s="62">
        <v>42</v>
      </c>
      <c r="I840" s="62">
        <v>14</v>
      </c>
      <c r="J840" s="95">
        <v>45982</v>
      </c>
      <c r="K840" s="3">
        <v>0.12</v>
      </c>
      <c r="L840" s="3">
        <v>0.84</v>
      </c>
    </row>
    <row r="841" spans="1:12" x14ac:dyDescent="0.35">
      <c r="A841" s="62" t="s">
        <v>28</v>
      </c>
      <c r="B841" s="62" t="s">
        <v>31</v>
      </c>
      <c r="C841" s="62">
        <v>3</v>
      </c>
      <c r="D841" s="62">
        <v>2</v>
      </c>
      <c r="E841" s="62">
        <v>10</v>
      </c>
      <c r="F841" s="62">
        <v>210</v>
      </c>
      <c r="G841" s="62">
        <v>39</v>
      </c>
      <c r="H841" s="62">
        <v>23</v>
      </c>
      <c r="I841" s="62">
        <v>14</v>
      </c>
      <c r="J841" s="95">
        <v>45982</v>
      </c>
      <c r="K841" s="3">
        <v>0.1</v>
      </c>
      <c r="L841" s="3">
        <v>1.58</v>
      </c>
    </row>
    <row r="842" spans="1:12" x14ac:dyDescent="0.35">
      <c r="A842" s="62" t="s">
        <v>28</v>
      </c>
      <c r="B842" s="62" t="s">
        <v>32</v>
      </c>
      <c r="C842" s="62">
        <v>3</v>
      </c>
      <c r="D842" s="62">
        <v>1</v>
      </c>
      <c r="E842" s="62">
        <v>10</v>
      </c>
      <c r="F842" s="62">
        <v>110</v>
      </c>
      <c r="G842" s="62">
        <v>40</v>
      </c>
      <c r="H842" s="62">
        <v>10</v>
      </c>
      <c r="I842" s="62">
        <v>14</v>
      </c>
      <c r="J842" s="95">
        <v>45982</v>
      </c>
      <c r="K842" s="3">
        <v>0.16</v>
      </c>
      <c r="L842" s="3">
        <v>1.41</v>
      </c>
    </row>
    <row r="843" spans="1:12" x14ac:dyDescent="0.35">
      <c r="A843" s="62" t="s">
        <v>33</v>
      </c>
      <c r="B843" s="62" t="s">
        <v>29</v>
      </c>
      <c r="C843" s="62">
        <v>3</v>
      </c>
      <c r="D843" s="62">
        <v>1</v>
      </c>
      <c r="E843" s="62">
        <v>11</v>
      </c>
      <c r="F843" s="62">
        <v>111</v>
      </c>
      <c r="G843" s="62">
        <v>41</v>
      </c>
      <c r="H843" s="62">
        <v>11</v>
      </c>
      <c r="I843" s="62">
        <v>14</v>
      </c>
      <c r="J843" s="95">
        <v>45982</v>
      </c>
      <c r="K843" s="3">
        <v>0.12</v>
      </c>
      <c r="L843" s="3">
        <v>1.85</v>
      </c>
    </row>
    <row r="844" spans="1:12" x14ac:dyDescent="0.35">
      <c r="A844" s="62" t="s">
        <v>33</v>
      </c>
      <c r="B844" s="62" t="s">
        <v>35</v>
      </c>
      <c r="C844" s="62">
        <v>3</v>
      </c>
      <c r="D844" s="62">
        <v>2</v>
      </c>
      <c r="E844" s="62">
        <v>11</v>
      </c>
      <c r="F844" s="62">
        <v>211</v>
      </c>
      <c r="G844" s="62">
        <v>42</v>
      </c>
      <c r="H844" s="62">
        <v>22</v>
      </c>
      <c r="I844" s="62">
        <v>14</v>
      </c>
      <c r="J844" s="95">
        <v>45982</v>
      </c>
      <c r="K844" s="3">
        <v>0.13</v>
      </c>
      <c r="L844" s="3">
        <v>2.17</v>
      </c>
    </row>
    <row r="845" spans="1:12" x14ac:dyDescent="0.35">
      <c r="A845" s="62" t="s">
        <v>33</v>
      </c>
      <c r="B845" s="62" t="s">
        <v>34</v>
      </c>
      <c r="C845" s="62">
        <v>3</v>
      </c>
      <c r="D845" s="62">
        <v>3</v>
      </c>
      <c r="E845" s="62">
        <v>11</v>
      </c>
      <c r="F845" s="62">
        <v>311</v>
      </c>
      <c r="G845" s="62">
        <v>43</v>
      </c>
      <c r="H845" s="62">
        <v>43</v>
      </c>
      <c r="I845" s="62">
        <v>14</v>
      </c>
      <c r="J845" s="95">
        <v>45982</v>
      </c>
      <c r="K845" s="3">
        <v>0.12</v>
      </c>
      <c r="L845" s="3">
        <v>1.94</v>
      </c>
    </row>
    <row r="846" spans="1:12" x14ac:dyDescent="0.35">
      <c r="A846" s="62" t="s">
        <v>33</v>
      </c>
      <c r="B846" s="62" t="s">
        <v>30</v>
      </c>
      <c r="C846" s="62">
        <v>3</v>
      </c>
      <c r="D846" s="62">
        <v>4</v>
      </c>
      <c r="E846" s="62">
        <v>11</v>
      </c>
      <c r="F846" s="62">
        <v>411</v>
      </c>
      <c r="G846" s="62">
        <v>44</v>
      </c>
      <c r="H846" s="62">
        <v>54</v>
      </c>
      <c r="I846" s="62">
        <v>14</v>
      </c>
      <c r="J846" s="95">
        <v>45982</v>
      </c>
      <c r="K846" s="3">
        <v>0.14000000000000001</v>
      </c>
      <c r="L846" s="3">
        <v>1.58</v>
      </c>
    </row>
    <row r="847" spans="1:12" x14ac:dyDescent="0.35">
      <c r="A847" s="62" t="s">
        <v>33</v>
      </c>
      <c r="B847" s="62" t="s">
        <v>30</v>
      </c>
      <c r="C847" s="62">
        <v>3</v>
      </c>
      <c r="D847" s="62">
        <v>4</v>
      </c>
      <c r="E847" s="62">
        <v>12</v>
      </c>
      <c r="F847" s="62">
        <v>412</v>
      </c>
      <c r="G847" s="62">
        <v>45</v>
      </c>
      <c r="H847" s="62">
        <v>53</v>
      </c>
      <c r="I847" s="62">
        <v>14</v>
      </c>
      <c r="J847" s="95">
        <v>45982</v>
      </c>
      <c r="K847" s="3">
        <v>0.14000000000000001</v>
      </c>
      <c r="L847" s="3">
        <v>2.64</v>
      </c>
    </row>
    <row r="848" spans="1:12" x14ac:dyDescent="0.35">
      <c r="A848" s="62" t="s">
        <v>33</v>
      </c>
      <c r="B848" s="62" t="s">
        <v>34</v>
      </c>
      <c r="C848" s="62">
        <v>3</v>
      </c>
      <c r="D848" s="62">
        <v>3</v>
      </c>
      <c r="E848" s="62">
        <v>12</v>
      </c>
      <c r="F848" s="62">
        <v>312</v>
      </c>
      <c r="G848" s="62">
        <v>46</v>
      </c>
      <c r="H848" s="62">
        <v>44</v>
      </c>
      <c r="I848" s="62">
        <v>14</v>
      </c>
      <c r="J848" s="95">
        <v>45982</v>
      </c>
      <c r="K848" s="3">
        <v>0.13</v>
      </c>
      <c r="L848" s="3">
        <v>3.19</v>
      </c>
    </row>
    <row r="849" spans="1:12" x14ac:dyDescent="0.35">
      <c r="A849" s="62" t="s">
        <v>33</v>
      </c>
      <c r="B849" s="62" t="s">
        <v>35</v>
      </c>
      <c r="C849" s="62">
        <v>3</v>
      </c>
      <c r="D849" s="62">
        <v>2</v>
      </c>
      <c r="E849" s="62">
        <v>12</v>
      </c>
      <c r="F849" s="62">
        <v>212</v>
      </c>
      <c r="G849" s="62">
        <v>47</v>
      </c>
      <c r="H849" s="62">
        <v>21</v>
      </c>
      <c r="I849" s="62">
        <v>14</v>
      </c>
      <c r="J849" s="95">
        <v>45982</v>
      </c>
      <c r="K849" s="3">
        <v>0.12</v>
      </c>
      <c r="L849" s="3">
        <v>2.25</v>
      </c>
    </row>
    <row r="850" spans="1:12" x14ac:dyDescent="0.35">
      <c r="A850" s="62" t="s">
        <v>33</v>
      </c>
      <c r="B850" s="62" t="s">
        <v>29</v>
      </c>
      <c r="C850" s="62">
        <v>3</v>
      </c>
      <c r="D850" s="62">
        <v>1</v>
      </c>
      <c r="E850" s="62">
        <v>12</v>
      </c>
      <c r="F850" s="62">
        <v>112</v>
      </c>
      <c r="G850" s="62">
        <v>48</v>
      </c>
      <c r="H850" s="62">
        <v>12</v>
      </c>
      <c r="I850" s="62">
        <v>14</v>
      </c>
      <c r="J850" s="95">
        <v>45982</v>
      </c>
      <c r="K850" s="3">
        <v>0.11</v>
      </c>
      <c r="L850" s="3">
        <v>1.37</v>
      </c>
    </row>
    <row r="851" spans="1:12" x14ac:dyDescent="0.35">
      <c r="A851" s="62" t="s">
        <v>28</v>
      </c>
      <c r="B851" s="62" t="s">
        <v>30</v>
      </c>
      <c r="C851" s="62">
        <v>4</v>
      </c>
      <c r="D851" s="62">
        <v>1</v>
      </c>
      <c r="E851" s="62">
        <v>13</v>
      </c>
      <c r="F851" s="62">
        <v>113</v>
      </c>
      <c r="G851" s="62">
        <v>49</v>
      </c>
      <c r="H851" s="62">
        <v>13</v>
      </c>
      <c r="I851" s="62">
        <v>14</v>
      </c>
      <c r="J851" s="95">
        <v>45982</v>
      </c>
      <c r="K851" s="3">
        <v>0.12</v>
      </c>
      <c r="L851" s="3">
        <v>1.94</v>
      </c>
    </row>
    <row r="852" spans="1:12" x14ac:dyDescent="0.35">
      <c r="A852" s="62" t="s">
        <v>28</v>
      </c>
      <c r="B852" s="62" t="s">
        <v>29</v>
      </c>
      <c r="C852" s="62">
        <v>4</v>
      </c>
      <c r="D852" s="62">
        <v>2</v>
      </c>
      <c r="E852" s="62">
        <v>13</v>
      </c>
      <c r="F852" s="62">
        <v>213</v>
      </c>
      <c r="G852" s="62">
        <v>50</v>
      </c>
      <c r="H852" s="62">
        <v>20</v>
      </c>
      <c r="I852" s="62">
        <v>14</v>
      </c>
      <c r="J852" s="95">
        <v>45982</v>
      </c>
      <c r="K852" s="3">
        <v>0.12</v>
      </c>
      <c r="L852" s="3">
        <v>2.5099999999999998</v>
      </c>
    </row>
    <row r="853" spans="1:12" x14ac:dyDescent="0.35">
      <c r="A853" s="62" t="s">
        <v>28</v>
      </c>
      <c r="B853" s="62" t="s">
        <v>32</v>
      </c>
      <c r="C853" s="62">
        <v>4</v>
      </c>
      <c r="D853" s="62">
        <v>3</v>
      </c>
      <c r="E853" s="62">
        <v>13</v>
      </c>
      <c r="F853" s="62">
        <v>313</v>
      </c>
      <c r="G853" s="62">
        <v>51</v>
      </c>
      <c r="H853" s="62">
        <v>45</v>
      </c>
      <c r="I853" s="62">
        <v>14</v>
      </c>
      <c r="J853" s="95">
        <v>45982</v>
      </c>
      <c r="K853" s="3">
        <v>0.15</v>
      </c>
      <c r="L853" s="3">
        <v>1.41</v>
      </c>
    </row>
    <row r="854" spans="1:12" x14ac:dyDescent="0.35">
      <c r="A854" s="62" t="s">
        <v>28</v>
      </c>
      <c r="B854" s="62" t="s">
        <v>31</v>
      </c>
      <c r="C854" s="62">
        <v>4</v>
      </c>
      <c r="D854" s="62">
        <v>4</v>
      </c>
      <c r="E854" s="62">
        <v>13</v>
      </c>
      <c r="F854" s="62">
        <v>413</v>
      </c>
      <c r="G854" s="62">
        <v>52</v>
      </c>
      <c r="H854" s="62">
        <v>52</v>
      </c>
      <c r="I854" s="62">
        <v>14</v>
      </c>
      <c r="J854" s="95">
        <v>45982</v>
      </c>
      <c r="K854" s="3">
        <v>0.1</v>
      </c>
      <c r="L854" s="3">
        <v>3.97</v>
      </c>
    </row>
    <row r="855" spans="1:12" x14ac:dyDescent="0.35">
      <c r="A855" s="62" t="s">
        <v>28</v>
      </c>
      <c r="B855" s="62" t="s">
        <v>31</v>
      </c>
      <c r="C855" s="62">
        <v>4</v>
      </c>
      <c r="D855" s="62">
        <v>4</v>
      </c>
      <c r="E855" s="62">
        <v>14</v>
      </c>
      <c r="F855" s="62">
        <v>414</v>
      </c>
      <c r="G855" s="62">
        <v>53</v>
      </c>
      <c r="H855" s="62">
        <v>51</v>
      </c>
      <c r="I855" s="62">
        <v>14</v>
      </c>
      <c r="J855" s="95">
        <v>45982</v>
      </c>
      <c r="K855" s="3">
        <v>0.1</v>
      </c>
      <c r="L855" s="3">
        <v>1.1399999999999999</v>
      </c>
    </row>
    <row r="856" spans="1:12" x14ac:dyDescent="0.35">
      <c r="A856" s="62" t="s">
        <v>28</v>
      </c>
      <c r="B856" s="62" t="s">
        <v>32</v>
      </c>
      <c r="C856" s="62">
        <v>4</v>
      </c>
      <c r="D856" s="62">
        <v>3</v>
      </c>
      <c r="E856" s="62">
        <v>14</v>
      </c>
      <c r="F856" s="62">
        <v>314</v>
      </c>
      <c r="G856" s="62">
        <v>54</v>
      </c>
      <c r="H856" s="62">
        <v>46</v>
      </c>
      <c r="I856" s="62">
        <v>14</v>
      </c>
      <c r="J856" s="95">
        <v>45982</v>
      </c>
      <c r="K856" s="3">
        <v>0.13</v>
      </c>
      <c r="L856" s="3">
        <v>0.52</v>
      </c>
    </row>
    <row r="857" spans="1:12" x14ac:dyDescent="0.35">
      <c r="A857" s="62" t="s">
        <v>28</v>
      </c>
      <c r="B857" s="62" t="s">
        <v>29</v>
      </c>
      <c r="C857" s="62">
        <v>4</v>
      </c>
      <c r="D857" s="62">
        <v>2</v>
      </c>
      <c r="E857" s="62">
        <v>14</v>
      </c>
      <c r="F857" s="62">
        <v>214</v>
      </c>
      <c r="G857" s="62">
        <v>55</v>
      </c>
      <c r="H857" s="62">
        <v>19</v>
      </c>
      <c r="I857" s="62">
        <v>14</v>
      </c>
      <c r="J857" s="95">
        <v>45982</v>
      </c>
      <c r="K857" s="3">
        <v>0.11</v>
      </c>
      <c r="L857" s="3">
        <v>3.55</v>
      </c>
    </row>
    <row r="858" spans="1:12" x14ac:dyDescent="0.35">
      <c r="A858" s="62" t="s">
        <v>28</v>
      </c>
      <c r="B858" s="62" t="s">
        <v>30</v>
      </c>
      <c r="C858" s="62">
        <v>4</v>
      </c>
      <c r="D858" s="62">
        <v>1</v>
      </c>
      <c r="E858" s="62">
        <v>14</v>
      </c>
      <c r="F858" s="62">
        <v>114</v>
      </c>
      <c r="G858" s="62">
        <v>56</v>
      </c>
      <c r="H858" s="62">
        <v>14</v>
      </c>
      <c r="I858" s="62">
        <v>14</v>
      </c>
      <c r="J858" s="95">
        <v>45982</v>
      </c>
      <c r="K858" s="3">
        <v>0.12</v>
      </c>
      <c r="L858" s="3">
        <v>2.37</v>
      </c>
    </row>
    <row r="859" spans="1:12" x14ac:dyDescent="0.35">
      <c r="A859" s="62" t="s">
        <v>33</v>
      </c>
      <c r="B859" s="62" t="s">
        <v>30</v>
      </c>
      <c r="C859" s="62">
        <v>4</v>
      </c>
      <c r="D859" s="62">
        <v>1</v>
      </c>
      <c r="E859" s="62">
        <v>15</v>
      </c>
      <c r="F859" s="62">
        <v>115</v>
      </c>
      <c r="G859" s="62">
        <v>57</v>
      </c>
      <c r="H859" s="62">
        <v>15</v>
      </c>
      <c r="I859" s="62">
        <v>14</v>
      </c>
      <c r="J859" s="95">
        <v>45982</v>
      </c>
      <c r="K859" s="3">
        <v>0.13</v>
      </c>
      <c r="L859" s="3">
        <v>0.87</v>
      </c>
    </row>
    <row r="860" spans="1:12" x14ac:dyDescent="0.35">
      <c r="A860" s="62" t="s">
        <v>33</v>
      </c>
      <c r="B860" s="62" t="s">
        <v>34</v>
      </c>
      <c r="C860" s="62">
        <v>4</v>
      </c>
      <c r="D860" s="62">
        <v>2</v>
      </c>
      <c r="E860" s="62">
        <v>15</v>
      </c>
      <c r="F860" s="62">
        <v>215</v>
      </c>
      <c r="G860" s="62">
        <v>58</v>
      </c>
      <c r="H860" s="62">
        <v>18</v>
      </c>
      <c r="I860" s="62">
        <v>14</v>
      </c>
      <c r="J860" s="95">
        <v>45982</v>
      </c>
      <c r="K860" s="3">
        <v>0.13</v>
      </c>
      <c r="L860" s="3">
        <v>3.3</v>
      </c>
    </row>
    <row r="861" spans="1:12" x14ac:dyDescent="0.35">
      <c r="A861" s="62" t="s">
        <v>33</v>
      </c>
      <c r="B861" s="62" t="s">
        <v>29</v>
      </c>
      <c r="C861" s="62">
        <v>4</v>
      </c>
      <c r="D861" s="62">
        <v>3</v>
      </c>
      <c r="E861" s="62">
        <v>15</v>
      </c>
      <c r="F861" s="62">
        <v>315</v>
      </c>
      <c r="G861" s="62">
        <v>59</v>
      </c>
      <c r="H861" s="62">
        <v>47</v>
      </c>
      <c r="I861" s="62">
        <v>14</v>
      </c>
      <c r="J861" s="95">
        <v>45982</v>
      </c>
      <c r="K861" s="3">
        <v>0.12</v>
      </c>
      <c r="L861" s="3">
        <v>1.85</v>
      </c>
    </row>
    <row r="862" spans="1:12" x14ac:dyDescent="0.35">
      <c r="A862" s="62" t="s">
        <v>33</v>
      </c>
      <c r="B862" s="62" t="s">
        <v>35</v>
      </c>
      <c r="C862" s="62">
        <v>4</v>
      </c>
      <c r="D862" s="62">
        <v>4</v>
      </c>
      <c r="E862" s="62">
        <v>15</v>
      </c>
      <c r="F862" s="62">
        <v>415</v>
      </c>
      <c r="G862" s="62">
        <v>60</v>
      </c>
      <c r="H862" s="62">
        <v>50</v>
      </c>
      <c r="I862" s="62">
        <v>14</v>
      </c>
      <c r="J862" s="95">
        <v>45982</v>
      </c>
      <c r="K862" s="3">
        <v>0.12</v>
      </c>
      <c r="L862" s="3">
        <v>1.24</v>
      </c>
    </row>
    <row r="863" spans="1:12" x14ac:dyDescent="0.35">
      <c r="A863" s="62" t="s">
        <v>33</v>
      </c>
      <c r="B863" s="62" t="s">
        <v>35</v>
      </c>
      <c r="C863" s="62">
        <v>4</v>
      </c>
      <c r="D863" s="62">
        <v>4</v>
      </c>
      <c r="E863" s="62">
        <v>16</v>
      </c>
      <c r="F863" s="62">
        <v>416</v>
      </c>
      <c r="G863" s="62">
        <v>61</v>
      </c>
      <c r="H863" s="62">
        <v>49</v>
      </c>
      <c r="I863" s="62">
        <v>14</v>
      </c>
      <c r="J863" s="95">
        <v>45982</v>
      </c>
      <c r="K863" s="3">
        <v>0.11</v>
      </c>
      <c r="L863" s="3">
        <v>1.38</v>
      </c>
    </row>
    <row r="864" spans="1:12" x14ac:dyDescent="0.35">
      <c r="A864" s="62" t="s">
        <v>33</v>
      </c>
      <c r="B864" s="62" t="s">
        <v>29</v>
      </c>
      <c r="C864" s="62">
        <v>4</v>
      </c>
      <c r="D864" s="62">
        <v>3</v>
      </c>
      <c r="E864" s="62">
        <v>16</v>
      </c>
      <c r="F864" s="62">
        <v>316</v>
      </c>
      <c r="G864" s="62">
        <v>62</v>
      </c>
      <c r="H864" s="62">
        <v>48</v>
      </c>
      <c r="I864" s="62">
        <v>14</v>
      </c>
      <c r="J864" s="95">
        <v>45982</v>
      </c>
      <c r="K864" s="3">
        <v>0.12</v>
      </c>
      <c r="L864" s="3">
        <v>1.33</v>
      </c>
    </row>
    <row r="865" spans="1:12" x14ac:dyDescent="0.35">
      <c r="A865" s="62" t="s">
        <v>33</v>
      </c>
      <c r="B865" s="62" t="s">
        <v>34</v>
      </c>
      <c r="C865" s="62">
        <v>4</v>
      </c>
      <c r="D865" s="62">
        <v>2</v>
      </c>
      <c r="E865" s="62">
        <v>16</v>
      </c>
      <c r="F865" s="62">
        <v>216</v>
      </c>
      <c r="G865" s="62">
        <v>63</v>
      </c>
      <c r="H865" s="62">
        <v>17</v>
      </c>
      <c r="I865" s="62">
        <v>14</v>
      </c>
      <c r="J865" s="95">
        <v>45982</v>
      </c>
      <c r="K865" s="3">
        <v>0.11</v>
      </c>
      <c r="L865" s="3">
        <v>1.67</v>
      </c>
    </row>
    <row r="866" spans="1:12" x14ac:dyDescent="0.35">
      <c r="A866" s="62" t="s">
        <v>33</v>
      </c>
      <c r="B866" s="62" t="s">
        <v>30</v>
      </c>
      <c r="C866" s="62">
        <v>4</v>
      </c>
      <c r="D866" s="62">
        <v>1</v>
      </c>
      <c r="E866" s="62">
        <v>16</v>
      </c>
      <c r="F866" s="62">
        <v>116</v>
      </c>
      <c r="G866" s="62">
        <v>64</v>
      </c>
      <c r="H866" s="62">
        <v>16</v>
      </c>
      <c r="I866" s="62">
        <v>14</v>
      </c>
      <c r="J866" s="95">
        <v>45982</v>
      </c>
      <c r="K866" s="3">
        <v>0.14000000000000001</v>
      </c>
      <c r="L866" s="3">
        <v>2.2799999999999998</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1D64-6F11-4ABD-B799-01598608E985}">
  <dimension ref="A1:CA46"/>
  <sheetViews>
    <sheetView topLeftCell="B1" workbookViewId="0">
      <pane xSplit="8" ySplit="1" topLeftCell="BP2" activePane="bottomRight" state="frozen"/>
      <selection pane="topRight" activeCell="I1" sqref="I1"/>
      <selection pane="bottomLeft" activeCell="B2" sqref="B2"/>
      <selection pane="bottomRight" activeCell="CA20" sqref="CA20"/>
    </sheetView>
  </sheetViews>
  <sheetFormatPr defaultRowHeight="14.5" x14ac:dyDescent="0.35"/>
  <cols>
    <col min="1" max="2" width="13.81640625" style="62" customWidth="1"/>
    <col min="3" max="3" width="16.453125" style="122" customWidth="1"/>
    <col min="4" max="4" width="13.54296875" style="122" customWidth="1"/>
    <col min="5" max="8" width="9.1796875" style="122"/>
    <col min="9" max="9" width="11.453125" style="4" bestFit="1" customWidth="1"/>
    <col min="10" max="10" width="9.1796875" style="4"/>
    <col min="11" max="17" width="8.81640625" style="4"/>
    <col min="18" max="18" width="9.1796875" style="4"/>
    <col min="19" max="25" width="13.7265625" style="4" bestFit="1" customWidth="1"/>
    <col min="26" max="26" width="24.54296875" style="4" bestFit="1" customWidth="1"/>
    <col min="27" max="27" width="13.453125" style="4" bestFit="1" customWidth="1"/>
    <col min="28" max="32" width="13.7265625" style="4" bestFit="1" customWidth="1"/>
    <col min="33" max="33" width="13.26953125" style="4" bestFit="1" customWidth="1"/>
    <col min="34" max="34" width="13.7265625" style="4" bestFit="1" customWidth="1"/>
    <col min="35" max="38" width="11.453125" style="4" bestFit="1" customWidth="1"/>
    <col min="39" max="39" width="9.1796875" style="5"/>
    <col min="40" max="40" width="9.1796875" style="4"/>
    <col min="45" max="45" width="12.453125" customWidth="1"/>
    <col min="46" max="46" width="10.7265625" customWidth="1"/>
    <col min="47" max="47" width="11.453125" style="4" bestFit="1" customWidth="1"/>
    <col min="48" max="48" width="11.453125" style="4" customWidth="1"/>
    <col min="49" max="49" width="11.453125" style="4" bestFit="1" customWidth="1"/>
    <col min="50" max="51" width="9.1796875" style="4"/>
    <col min="52" max="52" width="11.453125" style="4" bestFit="1" customWidth="1"/>
    <col min="53" max="53" width="9.1796875" style="4"/>
    <col min="54" max="55" width="9.1796875" style="11"/>
    <col min="56" max="56" width="9.1796875" style="30"/>
    <col min="57" max="58" width="9.1796875" style="12"/>
    <col min="59" max="62" width="9.1796875" style="30"/>
    <col min="63" max="66" width="9.1796875" style="4"/>
    <col min="72" max="72" width="10.81640625" customWidth="1"/>
    <col min="73" max="73" width="17.26953125" bestFit="1" customWidth="1"/>
    <col min="74" max="74" width="16.26953125" customWidth="1"/>
    <col min="75" max="75" width="7.26953125" customWidth="1"/>
    <col min="76" max="76" width="7.1796875" customWidth="1"/>
    <col min="77" max="77" width="17.26953125" bestFit="1" customWidth="1"/>
    <col min="78" max="78" width="35.1796875" bestFit="1" customWidth="1"/>
    <col min="79" max="79" width="11.26953125" bestFit="1" customWidth="1"/>
  </cols>
  <sheetData>
    <row r="1" spans="1:79" ht="104.5" customHeight="1" x14ac:dyDescent="0.35">
      <c r="A1" s="61" t="s">
        <v>20</v>
      </c>
      <c r="B1" s="61" t="s">
        <v>20</v>
      </c>
      <c r="C1" s="121" t="s">
        <v>21</v>
      </c>
      <c r="D1" s="121" t="s">
        <v>22</v>
      </c>
      <c r="E1" s="121" t="s">
        <v>23</v>
      </c>
      <c r="F1" s="121" t="s">
        <v>24</v>
      </c>
      <c r="G1" s="121" t="s">
        <v>25</v>
      </c>
      <c r="H1" s="10" t="s">
        <v>26</v>
      </c>
      <c r="I1" s="10" t="s">
        <v>413</v>
      </c>
      <c r="J1" s="10" t="s">
        <v>461</v>
      </c>
      <c r="K1" s="10" t="s">
        <v>462</v>
      </c>
      <c r="L1" s="10" t="s">
        <v>463</v>
      </c>
      <c r="M1" s="10" t="s">
        <v>464</v>
      </c>
      <c r="N1" s="10" t="s">
        <v>465</v>
      </c>
      <c r="O1" s="10" t="s">
        <v>466</v>
      </c>
      <c r="P1" s="10" t="s">
        <v>467</v>
      </c>
      <c r="Q1" s="10" t="s">
        <v>468</v>
      </c>
      <c r="R1" s="10" t="s">
        <v>469</v>
      </c>
      <c r="S1" s="10" t="s">
        <v>470</v>
      </c>
      <c r="T1" s="10" t="s">
        <v>471</v>
      </c>
      <c r="U1" s="10" t="s">
        <v>472</v>
      </c>
      <c r="V1" s="10" t="s">
        <v>473</v>
      </c>
      <c r="W1" s="10" t="s">
        <v>474</v>
      </c>
      <c r="X1" s="10" t="s">
        <v>475</v>
      </c>
      <c r="Y1" s="10" t="s">
        <v>476</v>
      </c>
      <c r="Z1" s="10" t="s">
        <v>477</v>
      </c>
      <c r="AA1" s="10" t="s">
        <v>478</v>
      </c>
      <c r="AB1" s="10" t="s">
        <v>479</v>
      </c>
      <c r="AC1" s="10" t="s">
        <v>480</v>
      </c>
      <c r="AD1" s="10" t="s">
        <v>481</v>
      </c>
      <c r="AE1" s="10" t="s">
        <v>482</v>
      </c>
      <c r="AF1" s="10" t="s">
        <v>483</v>
      </c>
      <c r="AG1" s="10" t="s">
        <v>484</v>
      </c>
      <c r="AH1" s="10" t="s">
        <v>485</v>
      </c>
      <c r="AI1" s="10" t="s">
        <v>486</v>
      </c>
      <c r="AJ1" s="10" t="s">
        <v>487</v>
      </c>
      <c r="AK1" s="10" t="s">
        <v>488</v>
      </c>
      <c r="AL1" s="10" t="s">
        <v>489</v>
      </c>
      <c r="AM1" s="10" t="s">
        <v>456</v>
      </c>
      <c r="AN1" s="10" t="s">
        <v>490</v>
      </c>
      <c r="AO1" s="6" t="s">
        <v>491</v>
      </c>
      <c r="AP1" s="123" t="s">
        <v>492</v>
      </c>
      <c r="AQ1" s="6" t="s">
        <v>493</v>
      </c>
      <c r="AR1" s="6" t="s">
        <v>494</v>
      </c>
      <c r="AS1" s="6" t="s">
        <v>495</v>
      </c>
      <c r="AT1" s="124" t="s">
        <v>496</v>
      </c>
      <c r="AU1" s="42" t="s">
        <v>497</v>
      </c>
      <c r="AV1" s="42" t="s">
        <v>602</v>
      </c>
      <c r="AW1" s="31" t="s">
        <v>498</v>
      </c>
      <c r="AX1" s="31" t="s">
        <v>499</v>
      </c>
      <c r="AY1" s="31" t="s">
        <v>500</v>
      </c>
      <c r="AZ1" s="31" t="s">
        <v>501</v>
      </c>
      <c r="BA1" s="10" t="s">
        <v>502</v>
      </c>
      <c r="BB1" s="31" t="s">
        <v>503</v>
      </c>
      <c r="BC1" s="10" t="s">
        <v>504</v>
      </c>
      <c r="BD1" s="31" t="s">
        <v>505</v>
      </c>
      <c r="BE1" s="8" t="s">
        <v>506</v>
      </c>
      <c r="BF1" s="8" t="s">
        <v>507</v>
      </c>
      <c r="BG1" s="31" t="s">
        <v>508</v>
      </c>
      <c r="BH1" s="31" t="s">
        <v>509</v>
      </c>
      <c r="BI1" s="31" t="s">
        <v>510</v>
      </c>
      <c r="BJ1" s="31" t="s">
        <v>511</v>
      </c>
      <c r="BK1" s="8" t="s">
        <v>512</v>
      </c>
      <c r="BL1" s="8" t="s">
        <v>513</v>
      </c>
      <c r="BM1" s="8" t="s">
        <v>514</v>
      </c>
      <c r="BN1" s="8" t="s">
        <v>515</v>
      </c>
      <c r="BO1" s="10" t="s">
        <v>516</v>
      </c>
      <c r="BP1" s="10" t="s">
        <v>517</v>
      </c>
      <c r="BQ1" s="10" t="s">
        <v>518</v>
      </c>
      <c r="BR1" s="10" t="s">
        <v>518</v>
      </c>
      <c r="BS1" s="8" t="s">
        <v>519</v>
      </c>
      <c r="BT1" s="8"/>
      <c r="BU1" s="8"/>
      <c r="BV1" s="8"/>
      <c r="BW1" s="8"/>
    </row>
    <row r="2" spans="1:79" s="65" customFormat="1" x14ac:dyDescent="0.35">
      <c r="A2" s="122" t="s">
        <v>28</v>
      </c>
      <c r="B2" s="122" t="s">
        <v>28</v>
      </c>
      <c r="C2" s="122" t="s">
        <v>29</v>
      </c>
      <c r="D2" s="122">
        <v>1</v>
      </c>
      <c r="E2" s="122">
        <v>1</v>
      </c>
      <c r="F2" s="122">
        <v>2</v>
      </c>
      <c r="G2" s="122">
        <v>102</v>
      </c>
      <c r="H2" s="65">
        <v>1</v>
      </c>
      <c r="I2" s="128">
        <v>45909</v>
      </c>
      <c r="J2" s="130">
        <v>0.8</v>
      </c>
      <c r="K2" s="133">
        <v>0.52900000000000003</v>
      </c>
      <c r="L2" s="133">
        <v>0.151</v>
      </c>
      <c r="M2" s="133">
        <v>9.2999999999999999E-2</v>
      </c>
      <c r="N2" s="133">
        <v>3.3000000000000002E-2</v>
      </c>
      <c r="O2" s="129">
        <f>1-K2</f>
        <v>0.47099999999999997</v>
      </c>
      <c r="P2" s="129">
        <f>1-L2</f>
        <v>0.84899999999999998</v>
      </c>
      <c r="Q2" s="129">
        <f>1-M2</f>
        <v>0.90700000000000003</v>
      </c>
      <c r="R2" s="129">
        <f>1-N2</f>
        <v>0.96699999999999997</v>
      </c>
      <c r="S2" s="65">
        <v>37.299999999999997</v>
      </c>
      <c r="T2" s="65">
        <v>13.7</v>
      </c>
      <c r="U2" s="65">
        <v>48.6</v>
      </c>
      <c r="V2" s="65">
        <v>45.7</v>
      </c>
      <c r="W2" s="65">
        <v>46</v>
      </c>
      <c r="X2" s="65">
        <v>53.5</v>
      </c>
      <c r="Y2" s="65">
        <v>51.5</v>
      </c>
      <c r="Z2" s="65">
        <v>55.7</v>
      </c>
      <c r="AA2" s="65">
        <v>49.9</v>
      </c>
      <c r="AB2" s="65">
        <v>56.2</v>
      </c>
      <c r="AC2" s="65">
        <v>51.4</v>
      </c>
      <c r="AD2" s="65">
        <v>54</v>
      </c>
      <c r="AE2" s="65">
        <v>52.4</v>
      </c>
      <c r="AF2" s="65">
        <v>55</v>
      </c>
      <c r="AG2" s="65">
        <v>49.2</v>
      </c>
      <c r="AH2" s="65">
        <v>50.6</v>
      </c>
      <c r="AI2" s="65">
        <v>48.9</v>
      </c>
      <c r="AJ2" s="65">
        <v>52.6</v>
      </c>
      <c r="AK2" s="65">
        <v>38.200000000000003</v>
      </c>
      <c r="AL2" s="65">
        <v>49</v>
      </c>
      <c r="AM2" s="65">
        <v>68</v>
      </c>
      <c r="AN2" s="130">
        <v>0.5</v>
      </c>
      <c r="AO2" s="65">
        <v>1554</v>
      </c>
      <c r="AP2" s="65">
        <f>AO2/AN2</f>
        <v>3108</v>
      </c>
      <c r="AQ2" s="65">
        <v>120.5</v>
      </c>
      <c r="AR2" s="65">
        <v>20</v>
      </c>
      <c r="AS2" s="65">
        <v>19</v>
      </c>
      <c r="AT2" s="65">
        <v>139.4</v>
      </c>
      <c r="AU2" s="130">
        <v>32.82</v>
      </c>
      <c r="AV2" s="131">
        <f>(AT2-AU2)*100/AT2</f>
        <v>76.456241032998577</v>
      </c>
      <c r="AW2" s="65">
        <v>10.23</v>
      </c>
      <c r="AX2" s="130">
        <v>0.66</v>
      </c>
      <c r="AY2" s="130">
        <v>14.51</v>
      </c>
      <c r="AZ2" s="130">
        <v>1.4</v>
      </c>
      <c r="BA2" s="131">
        <f>AW2+AX2+AY2+AZ2</f>
        <v>26.799999999999997</v>
      </c>
      <c r="BB2" s="131">
        <f>BA2/AS2</f>
        <v>1.4105263157894736</v>
      </c>
      <c r="BC2" s="131">
        <f>AQ2/AS2</f>
        <v>6.3421052631578947</v>
      </c>
      <c r="BD2" s="134">
        <f>AU2/AT2</f>
        <v>0.23543758967001435</v>
      </c>
      <c r="BE2" s="135">
        <f>AO2*BD2</f>
        <v>365.8700143472023</v>
      </c>
      <c r="BF2" s="135">
        <f>BE2/AN2</f>
        <v>731.7400286944046</v>
      </c>
      <c r="BG2" s="134">
        <f>AW2/BA2</f>
        <v>0.3817164179104478</v>
      </c>
      <c r="BH2" s="134">
        <f>AX2/BA2</f>
        <v>2.4626865671641796E-2</v>
      </c>
      <c r="BI2" s="134">
        <f>AY2/BA2</f>
        <v>0.54141791044776122</v>
      </c>
      <c r="BJ2" s="134">
        <f>AZ2/BA2</f>
        <v>5.2238805970149259E-2</v>
      </c>
      <c r="BK2" s="135">
        <f>BF2*BG2</f>
        <v>279.3171825949164</v>
      </c>
      <c r="BL2" s="135">
        <f>BF2*BH2</f>
        <v>18.020463393220414</v>
      </c>
      <c r="BM2" s="135">
        <f>BF2*BI2</f>
        <v>396.17715732670939</v>
      </c>
      <c r="BN2" s="135">
        <f>BF2*BJ2</f>
        <v>38.225225379558452</v>
      </c>
      <c r="BO2" s="136">
        <f>AVERAGE(S2:V2)</f>
        <v>36.325000000000003</v>
      </c>
      <c r="BP2" s="136">
        <f>AVERAGE(W2:Z2)</f>
        <v>51.674999999999997</v>
      </c>
      <c r="BQ2" s="136">
        <f>AVERAGE(AA2:AD2)</f>
        <v>52.875</v>
      </c>
      <c r="BR2" s="136">
        <f>AVERAGE(AE2:AH2)</f>
        <v>51.800000000000004</v>
      </c>
      <c r="BS2" s="136">
        <f>AVERAGE(AI2:AL2)</f>
        <v>47.174999999999997</v>
      </c>
      <c r="BT2" s="136"/>
      <c r="BU2" s="136"/>
    </row>
    <row r="3" spans="1:79" s="65" customFormat="1" x14ac:dyDescent="0.35">
      <c r="A3" s="122" t="s">
        <v>28</v>
      </c>
      <c r="B3" s="122" t="s">
        <v>28</v>
      </c>
      <c r="C3" s="122" t="s">
        <v>30</v>
      </c>
      <c r="D3" s="122">
        <v>1</v>
      </c>
      <c r="E3" s="122">
        <v>2</v>
      </c>
      <c r="F3" s="122">
        <v>2</v>
      </c>
      <c r="G3" s="122">
        <v>202</v>
      </c>
      <c r="H3" s="65">
        <v>2</v>
      </c>
      <c r="I3" s="128">
        <v>45912</v>
      </c>
      <c r="J3" s="130">
        <v>0.79</v>
      </c>
      <c r="K3" s="133">
        <v>0.27100000000000002</v>
      </c>
      <c r="L3" s="133">
        <v>0.114</v>
      </c>
      <c r="M3" s="133">
        <v>8.5000000000000006E-2</v>
      </c>
      <c r="N3" s="133">
        <v>5.0999999999999997E-2</v>
      </c>
      <c r="O3" s="129">
        <f t="shared" ref="O3:O33" si="0">1-K3</f>
        <v>0.72899999999999998</v>
      </c>
      <c r="P3" s="129">
        <f t="shared" ref="P3:P5" si="1">1-L3</f>
        <v>0.88600000000000001</v>
      </c>
      <c r="Q3" s="129">
        <f t="shared" ref="Q3:Q33" si="2">1-M3</f>
        <v>0.91500000000000004</v>
      </c>
      <c r="R3" s="129">
        <f t="shared" ref="R3:R33" si="3">1-N3</f>
        <v>0.94899999999999995</v>
      </c>
      <c r="S3" s="65">
        <v>38</v>
      </c>
      <c r="T3" s="65">
        <v>31.6</v>
      </c>
      <c r="U3" s="65">
        <v>21.4</v>
      </c>
      <c r="V3" s="65">
        <v>50.2</v>
      </c>
      <c r="W3" s="65">
        <v>51.8</v>
      </c>
      <c r="X3" s="65">
        <v>50.5</v>
      </c>
      <c r="Y3" s="65">
        <v>45.6</v>
      </c>
      <c r="Z3" s="65">
        <v>49.1</v>
      </c>
      <c r="AA3" s="65">
        <v>33.700000000000003</v>
      </c>
      <c r="AB3" s="65">
        <v>58.4</v>
      </c>
      <c r="AC3" s="65">
        <v>50.1</v>
      </c>
      <c r="AD3" s="65">
        <v>57.6</v>
      </c>
      <c r="AE3" s="65">
        <v>36.299999999999997</v>
      </c>
      <c r="AF3" s="65">
        <v>53.3</v>
      </c>
      <c r="AG3" s="65">
        <v>50.8</v>
      </c>
      <c r="AH3" s="65">
        <v>55.9</v>
      </c>
      <c r="AI3" s="65">
        <v>54.6</v>
      </c>
      <c r="AJ3" s="65">
        <v>51.6</v>
      </c>
      <c r="AK3" s="65">
        <v>51.1</v>
      </c>
      <c r="AL3" s="65">
        <v>50.7</v>
      </c>
      <c r="AM3" s="65">
        <v>75</v>
      </c>
      <c r="AN3" s="130">
        <v>0.5</v>
      </c>
      <c r="AO3" s="65">
        <v>1806</v>
      </c>
      <c r="AP3" s="65">
        <f t="shared" ref="AP3:AP33" si="4">AO3/AN3</f>
        <v>3612</v>
      </c>
      <c r="AQ3" s="65">
        <v>171.6</v>
      </c>
      <c r="AR3" s="65">
        <v>20</v>
      </c>
      <c r="AS3" s="65">
        <v>20</v>
      </c>
      <c r="AT3" s="65">
        <v>90.7</v>
      </c>
      <c r="AU3" s="130">
        <v>17.670000000000002</v>
      </c>
      <c r="AV3" s="131">
        <f t="shared" ref="AV3:AV33" si="5">(AT3-AU3)*100/AT3</f>
        <v>80.518191841234838</v>
      </c>
      <c r="AW3" s="65">
        <v>11.62</v>
      </c>
      <c r="AX3" s="130">
        <v>1.55</v>
      </c>
      <c r="AY3" s="130">
        <v>21.12</v>
      </c>
      <c r="AZ3" s="130">
        <v>1.58</v>
      </c>
      <c r="BA3" s="131">
        <f t="shared" ref="BA3:BA33" si="6">AW3+AX3+AY3+AZ3</f>
        <v>35.869999999999997</v>
      </c>
      <c r="BB3" s="131">
        <f t="shared" ref="BB3:BB33" si="7">BA3/AS3</f>
        <v>1.7934999999999999</v>
      </c>
      <c r="BC3" s="131">
        <f t="shared" ref="BC3:BC33" si="8">AQ3/AS3</f>
        <v>8.58</v>
      </c>
      <c r="BD3" s="134">
        <f t="shared" ref="BD3:BD33" si="9">AU3/AT3</f>
        <v>0.1948180815876516</v>
      </c>
      <c r="BE3" s="135">
        <f t="shared" ref="BE3:BE33" si="10">AO3*BD3</f>
        <v>351.84145534729879</v>
      </c>
      <c r="BF3" s="135">
        <f t="shared" ref="BF3:BF33" si="11">BE3/AN3</f>
        <v>703.68291069459758</v>
      </c>
      <c r="BG3" s="134">
        <f t="shared" ref="BG3:BG33" si="12">AW3/BA3</f>
        <v>0.32394758851407862</v>
      </c>
      <c r="BH3" s="134">
        <f t="shared" ref="BH3:BH33" si="13">AX3/BA3</f>
        <v>4.321159743518261E-2</v>
      </c>
      <c r="BI3" s="134">
        <f t="shared" ref="BI3:BI33" si="14">AY3/BA3</f>
        <v>0.58879286311681078</v>
      </c>
      <c r="BJ3" s="134">
        <f t="shared" ref="BJ3:BJ33" si="15">AZ3/BA3</f>
        <v>4.4047950933928076E-2</v>
      </c>
      <c r="BK3" s="135">
        <f t="shared" ref="BK3:BK33" si="16">BF3*BG3</f>
        <v>227.95638199808263</v>
      </c>
      <c r="BL3" s="135">
        <f t="shared" ref="BL3:BL33" si="17">BF3*BH3</f>
        <v>30.407262658952508</v>
      </c>
      <c r="BM3" s="135">
        <f t="shared" ref="BM3:BM33" si="18">BF3*BI3</f>
        <v>414.32347571424316</v>
      </c>
      <c r="BN3" s="135">
        <f t="shared" ref="BN3:BN33" si="19">BF3*BJ3</f>
        <v>30.995790323319326</v>
      </c>
      <c r="BO3" s="136">
        <f t="shared" ref="BO3:BO33" si="20">AVERAGE(S3:V3)</f>
        <v>35.299999999999997</v>
      </c>
      <c r="BP3" s="136">
        <f t="shared" ref="BP3:BP33" si="21">AVERAGE(W3:Z3)</f>
        <v>49.25</v>
      </c>
      <c r="BQ3" s="136">
        <f t="shared" ref="BQ3:BQ33" si="22">AVERAGE(AA3:AD3)</f>
        <v>49.949999999999996</v>
      </c>
      <c r="BR3" s="136">
        <f t="shared" ref="BR3:BR33" si="23">AVERAGE(AE3:AH3)</f>
        <v>49.074999999999996</v>
      </c>
      <c r="BS3" s="136">
        <f t="shared" ref="BS3:BS33" si="24">AVERAGE(AI3:AL3)</f>
        <v>52</v>
      </c>
      <c r="BT3" s="136"/>
      <c r="BU3" s="136"/>
    </row>
    <row r="4" spans="1:79" s="65" customFormat="1" x14ac:dyDescent="0.35">
      <c r="A4" s="122" t="s">
        <v>28</v>
      </c>
      <c r="B4" s="122" t="s">
        <v>28</v>
      </c>
      <c r="C4" s="122" t="s">
        <v>31</v>
      </c>
      <c r="D4" s="122">
        <v>1</v>
      </c>
      <c r="E4" s="122">
        <v>3</v>
      </c>
      <c r="F4" s="122">
        <v>2</v>
      </c>
      <c r="G4" s="122">
        <v>302</v>
      </c>
      <c r="H4" s="65">
        <v>3</v>
      </c>
      <c r="I4" s="128">
        <v>45915</v>
      </c>
      <c r="J4" s="130">
        <v>0.8</v>
      </c>
      <c r="K4" s="133">
        <v>0.34100000000000003</v>
      </c>
      <c r="L4" s="133">
        <v>0.224</v>
      </c>
      <c r="M4" s="133">
        <v>0.104</v>
      </c>
      <c r="N4" s="133">
        <v>2.7E-2</v>
      </c>
      <c r="O4" s="129">
        <f t="shared" si="0"/>
        <v>0.65900000000000003</v>
      </c>
      <c r="P4" s="129">
        <f t="shared" si="1"/>
        <v>0.77600000000000002</v>
      </c>
      <c r="Q4" s="129">
        <f t="shared" si="2"/>
        <v>0.89600000000000002</v>
      </c>
      <c r="R4" s="129">
        <f t="shared" si="3"/>
        <v>0.97299999999999998</v>
      </c>
      <c r="S4" s="65">
        <v>42.5</v>
      </c>
      <c r="T4" s="65">
        <v>43.2</v>
      </c>
      <c r="U4" s="65">
        <v>50.7</v>
      </c>
      <c r="V4" s="65">
        <v>40.9</v>
      </c>
      <c r="W4" s="65">
        <v>47.3</v>
      </c>
      <c r="X4" s="65">
        <v>51</v>
      </c>
      <c r="Y4" s="65">
        <v>53.3</v>
      </c>
      <c r="Z4" s="65">
        <v>47.1</v>
      </c>
      <c r="AA4" s="65">
        <v>56.5</v>
      </c>
      <c r="AB4" s="65">
        <v>56.5</v>
      </c>
      <c r="AC4" s="65">
        <v>55.7</v>
      </c>
      <c r="AD4" s="65">
        <v>52.5</v>
      </c>
      <c r="AE4" s="65">
        <v>51.1</v>
      </c>
      <c r="AF4" s="65">
        <v>45.1</v>
      </c>
      <c r="AG4" s="65">
        <v>53.1</v>
      </c>
      <c r="AH4" s="65">
        <v>47.1</v>
      </c>
      <c r="AI4" s="65">
        <v>46.2</v>
      </c>
      <c r="AJ4" s="65">
        <v>47.8</v>
      </c>
      <c r="AK4" s="65">
        <v>53.5</v>
      </c>
      <c r="AL4" s="65">
        <v>45.5</v>
      </c>
      <c r="AM4" s="65">
        <v>65</v>
      </c>
      <c r="AN4" s="130">
        <v>0.5</v>
      </c>
      <c r="AO4" s="65">
        <v>1677</v>
      </c>
      <c r="AP4" s="65">
        <f t="shared" si="4"/>
        <v>3354</v>
      </c>
      <c r="AQ4" s="65">
        <v>170.7</v>
      </c>
      <c r="AR4" s="65">
        <v>20</v>
      </c>
      <c r="AS4" s="65">
        <v>19</v>
      </c>
      <c r="AT4" s="65">
        <v>130.5</v>
      </c>
      <c r="AU4" s="130">
        <v>30.85</v>
      </c>
      <c r="AV4" s="131">
        <f t="shared" si="5"/>
        <v>76.360153256704976</v>
      </c>
      <c r="AW4" s="65">
        <v>12.87</v>
      </c>
      <c r="AX4" s="130">
        <v>1.45</v>
      </c>
      <c r="AY4" s="130">
        <v>26.93</v>
      </c>
      <c r="AZ4" s="130">
        <v>1.33</v>
      </c>
      <c r="BA4" s="131">
        <f t="shared" si="6"/>
        <v>42.58</v>
      </c>
      <c r="BB4" s="131">
        <f t="shared" si="7"/>
        <v>2.2410526315789472</v>
      </c>
      <c r="BC4" s="131">
        <f t="shared" si="8"/>
        <v>8.9842105263157883</v>
      </c>
      <c r="BD4" s="134">
        <f t="shared" si="9"/>
        <v>0.2363984674329502</v>
      </c>
      <c r="BE4" s="135">
        <f t="shared" si="10"/>
        <v>396.44022988505748</v>
      </c>
      <c r="BF4" s="135">
        <f t="shared" si="11"/>
        <v>792.88045977011495</v>
      </c>
      <c r="BG4" s="134">
        <f t="shared" si="12"/>
        <v>0.30225457961484264</v>
      </c>
      <c r="BH4" s="134">
        <f t="shared" si="13"/>
        <v>3.4053546265852511E-2</v>
      </c>
      <c r="BI4" s="134">
        <f t="shared" si="14"/>
        <v>0.63245655237200571</v>
      </c>
      <c r="BJ4" s="134">
        <f t="shared" si="15"/>
        <v>3.1235321747299205E-2</v>
      </c>
      <c r="BK4" s="135">
        <f t="shared" si="16"/>
        <v>239.65175005263924</v>
      </c>
      <c r="BL4" s="135">
        <f t="shared" si="17"/>
        <v>27.00039142007202</v>
      </c>
      <c r="BM4" s="135">
        <f t="shared" si="18"/>
        <v>501.46244202933769</v>
      </c>
      <c r="BN4" s="135">
        <f t="shared" si="19"/>
        <v>24.765876268066066</v>
      </c>
      <c r="BO4" s="136">
        <f t="shared" si="20"/>
        <v>44.325000000000003</v>
      </c>
      <c r="BP4" s="136">
        <f t="shared" si="21"/>
        <v>49.674999999999997</v>
      </c>
      <c r="BQ4" s="136">
        <f t="shared" si="22"/>
        <v>55.3</v>
      </c>
      <c r="BR4" s="136">
        <f t="shared" si="23"/>
        <v>49.1</v>
      </c>
      <c r="BS4" s="136">
        <f t="shared" si="24"/>
        <v>48.25</v>
      </c>
      <c r="BT4" s="136"/>
      <c r="BU4" s="136"/>
    </row>
    <row r="5" spans="1:79" s="65" customFormat="1" x14ac:dyDescent="0.35">
      <c r="A5" s="122" t="s">
        <v>28</v>
      </c>
      <c r="B5" s="122" t="s">
        <v>28</v>
      </c>
      <c r="C5" s="122" t="s">
        <v>32</v>
      </c>
      <c r="D5" s="122">
        <v>1</v>
      </c>
      <c r="E5" s="122">
        <v>4</v>
      </c>
      <c r="F5" s="122">
        <v>2</v>
      </c>
      <c r="G5" s="122">
        <v>402</v>
      </c>
      <c r="H5" s="65">
        <v>4</v>
      </c>
      <c r="I5" s="128">
        <v>45930</v>
      </c>
      <c r="J5" s="130">
        <v>0.7</v>
      </c>
      <c r="K5" s="132">
        <v>0.59050000000000002</v>
      </c>
      <c r="L5" s="132">
        <v>0.379</v>
      </c>
      <c r="M5" s="132">
        <v>0.23949999999999999</v>
      </c>
      <c r="N5" s="132">
        <v>0.14949999999999999</v>
      </c>
      <c r="O5" s="129">
        <f t="shared" si="0"/>
        <v>0.40949999999999998</v>
      </c>
      <c r="P5" s="129">
        <f t="shared" si="1"/>
        <v>0.621</v>
      </c>
      <c r="Q5" s="129">
        <f t="shared" si="2"/>
        <v>0.76049999999999995</v>
      </c>
      <c r="R5" s="129">
        <f t="shared" si="3"/>
        <v>0.85050000000000003</v>
      </c>
      <c r="S5" s="65">
        <v>60.3</v>
      </c>
      <c r="T5" s="65">
        <v>49.9</v>
      </c>
      <c r="U5" s="65">
        <v>45.6</v>
      </c>
      <c r="V5" s="65">
        <v>47.8</v>
      </c>
      <c r="W5" s="65">
        <v>57.2</v>
      </c>
      <c r="X5" s="65">
        <v>57.9</v>
      </c>
      <c r="Y5" s="65">
        <v>57.6</v>
      </c>
      <c r="Z5" s="65">
        <v>55.9</v>
      </c>
      <c r="AA5" s="65">
        <v>59</v>
      </c>
      <c r="AB5" s="65">
        <v>63</v>
      </c>
      <c r="AC5" s="65">
        <v>58.9</v>
      </c>
      <c r="AD5" s="65">
        <v>61.5</v>
      </c>
      <c r="AE5" s="65">
        <v>55.7</v>
      </c>
      <c r="AF5" s="65">
        <v>59.3</v>
      </c>
      <c r="AG5" s="65">
        <v>54.7</v>
      </c>
      <c r="AH5" s="65">
        <v>53.6</v>
      </c>
      <c r="AI5" s="65">
        <v>51.6</v>
      </c>
      <c r="AJ5" s="65">
        <v>44.3</v>
      </c>
      <c r="AK5" s="65">
        <v>50.7</v>
      </c>
      <c r="AL5" s="65">
        <v>48.6</v>
      </c>
      <c r="AM5" s="65">
        <v>54</v>
      </c>
      <c r="AN5" s="130">
        <v>0.5</v>
      </c>
      <c r="AO5" s="65">
        <v>1351</v>
      </c>
      <c r="AP5" s="65">
        <f t="shared" si="4"/>
        <v>2702</v>
      </c>
      <c r="AQ5" s="65">
        <v>88.8</v>
      </c>
      <c r="AR5" s="65">
        <v>20</v>
      </c>
      <c r="AS5" s="65">
        <v>17</v>
      </c>
      <c r="AT5" s="65">
        <v>49.1</v>
      </c>
      <c r="AU5" s="130">
        <v>13.26</v>
      </c>
      <c r="AV5" s="131">
        <f t="shared" si="5"/>
        <v>72.993890020366607</v>
      </c>
      <c r="AW5" s="65">
        <v>7.2</v>
      </c>
      <c r="AX5" s="130">
        <v>0.89</v>
      </c>
      <c r="AY5" s="130">
        <v>14.66</v>
      </c>
      <c r="AZ5" s="130">
        <v>1.25</v>
      </c>
      <c r="BA5" s="131">
        <f t="shared" si="6"/>
        <v>24</v>
      </c>
      <c r="BB5" s="131">
        <f t="shared" si="7"/>
        <v>1.411764705882353</v>
      </c>
      <c r="BC5" s="131">
        <f t="shared" si="8"/>
        <v>5.223529411764706</v>
      </c>
      <c r="BD5" s="134">
        <f t="shared" si="9"/>
        <v>0.27006109979633403</v>
      </c>
      <c r="BE5" s="135">
        <f t="shared" si="10"/>
        <v>364.85254582484725</v>
      </c>
      <c r="BF5" s="135">
        <f t="shared" si="11"/>
        <v>729.70509164969451</v>
      </c>
      <c r="BG5" s="134">
        <f t="shared" si="12"/>
        <v>0.3</v>
      </c>
      <c r="BH5" s="134">
        <f t="shared" si="13"/>
        <v>3.7083333333333336E-2</v>
      </c>
      <c r="BI5" s="134">
        <f t="shared" si="14"/>
        <v>0.61083333333333334</v>
      </c>
      <c r="BJ5" s="134">
        <f t="shared" si="15"/>
        <v>5.2083333333333336E-2</v>
      </c>
      <c r="BK5" s="135">
        <f t="shared" si="16"/>
        <v>218.91152749490834</v>
      </c>
      <c r="BL5" s="135">
        <f t="shared" si="17"/>
        <v>27.059897148676175</v>
      </c>
      <c r="BM5" s="135">
        <f t="shared" si="18"/>
        <v>445.72819348268843</v>
      </c>
      <c r="BN5" s="135">
        <f t="shared" si="19"/>
        <v>38.005473523421593</v>
      </c>
      <c r="BO5" s="136">
        <f t="shared" si="20"/>
        <v>50.899999999999991</v>
      </c>
      <c r="BP5" s="136">
        <f t="shared" si="21"/>
        <v>57.15</v>
      </c>
      <c r="BQ5" s="136">
        <f t="shared" si="22"/>
        <v>60.6</v>
      </c>
      <c r="BR5" s="136">
        <f t="shared" si="23"/>
        <v>55.824999999999996</v>
      </c>
      <c r="BS5" s="136">
        <f t="shared" si="24"/>
        <v>48.800000000000004</v>
      </c>
      <c r="BT5" s="136"/>
      <c r="BU5" s="29" t="s">
        <v>417</v>
      </c>
      <c r="BV5" t="s">
        <v>603</v>
      </c>
      <c r="BW5"/>
      <c r="BX5"/>
      <c r="BY5" s="29" t="s">
        <v>417</v>
      </c>
      <c r="BZ5" t="s">
        <v>604</v>
      </c>
      <c r="CA5"/>
    </row>
    <row r="6" spans="1:79" s="65" customFormat="1" x14ac:dyDescent="0.35">
      <c r="A6" s="122" t="s">
        <v>33</v>
      </c>
      <c r="B6" s="122" t="s">
        <v>33</v>
      </c>
      <c r="C6" s="122" t="s">
        <v>29</v>
      </c>
      <c r="D6" s="122">
        <v>1</v>
      </c>
      <c r="E6" s="122">
        <v>4</v>
      </c>
      <c r="F6" s="122">
        <v>4</v>
      </c>
      <c r="G6" s="122">
        <v>404</v>
      </c>
      <c r="H6" s="65">
        <v>5</v>
      </c>
      <c r="I6" s="128">
        <v>45922</v>
      </c>
      <c r="J6" s="130">
        <v>0.79</v>
      </c>
      <c r="K6" s="133">
        <v>0.41299999999999998</v>
      </c>
      <c r="L6" s="133">
        <v>0.22700000000000001</v>
      </c>
      <c r="M6" s="133">
        <v>0.14799999999999999</v>
      </c>
      <c r="N6" s="133">
        <v>0.107</v>
      </c>
      <c r="O6" s="129">
        <f t="shared" si="0"/>
        <v>0.58699999999999997</v>
      </c>
      <c r="P6" s="129">
        <f>1-L6</f>
        <v>0.77300000000000002</v>
      </c>
      <c r="Q6" s="129">
        <f t="shared" si="2"/>
        <v>0.85199999999999998</v>
      </c>
      <c r="R6" s="129">
        <f t="shared" si="3"/>
        <v>0.89300000000000002</v>
      </c>
      <c r="S6" s="65">
        <v>40</v>
      </c>
      <c r="T6" s="65">
        <v>54.2</v>
      </c>
      <c r="U6" s="65">
        <v>14.7</v>
      </c>
      <c r="V6" s="65">
        <v>45.2</v>
      </c>
      <c r="W6" s="65">
        <v>42.6</v>
      </c>
      <c r="X6" s="65">
        <v>51</v>
      </c>
      <c r="Y6" s="65">
        <v>49.9</v>
      </c>
      <c r="Z6" s="65">
        <v>53.3</v>
      </c>
      <c r="AA6" s="65">
        <v>51.8</v>
      </c>
      <c r="AB6" s="65">
        <v>52.1</v>
      </c>
      <c r="AC6" s="65">
        <v>54.4</v>
      </c>
      <c r="AD6" s="65">
        <v>51.9</v>
      </c>
      <c r="AE6" s="65">
        <v>54.7</v>
      </c>
      <c r="AF6" s="65">
        <v>52.3</v>
      </c>
      <c r="AG6" s="65">
        <v>55.1</v>
      </c>
      <c r="AH6" s="65">
        <v>54.4</v>
      </c>
      <c r="AI6" s="65">
        <v>49.6</v>
      </c>
      <c r="AJ6" s="65">
        <v>49.9</v>
      </c>
      <c r="AK6" s="65">
        <v>50.8</v>
      </c>
      <c r="AL6" s="65">
        <v>48.5</v>
      </c>
      <c r="AM6" s="65">
        <v>48</v>
      </c>
      <c r="AN6" s="130">
        <v>0.5</v>
      </c>
      <c r="AO6" s="65">
        <v>1424</v>
      </c>
      <c r="AP6" s="65">
        <f t="shared" si="4"/>
        <v>2848</v>
      </c>
      <c r="AQ6" s="65">
        <v>104.2</v>
      </c>
      <c r="AR6" s="65">
        <v>20</v>
      </c>
      <c r="AS6" s="65">
        <v>19</v>
      </c>
      <c r="AT6" s="65">
        <v>63.6</v>
      </c>
      <c r="AU6" s="130">
        <v>15.13</v>
      </c>
      <c r="AV6" s="131">
        <f t="shared" si="5"/>
        <v>76.210691823899367</v>
      </c>
      <c r="AW6" s="65">
        <v>8.68</v>
      </c>
      <c r="AX6" s="130">
        <v>0.67</v>
      </c>
      <c r="AY6" s="130">
        <v>12.86</v>
      </c>
      <c r="AZ6" s="130">
        <v>1.9</v>
      </c>
      <c r="BA6" s="131">
        <f t="shared" si="6"/>
        <v>24.11</v>
      </c>
      <c r="BB6" s="131">
        <f t="shared" si="7"/>
        <v>1.2689473684210526</v>
      </c>
      <c r="BC6" s="131">
        <f t="shared" si="8"/>
        <v>5.4842105263157892</v>
      </c>
      <c r="BD6" s="134">
        <f t="shared" si="9"/>
        <v>0.23789308176100629</v>
      </c>
      <c r="BE6" s="135">
        <f t="shared" si="10"/>
        <v>338.75974842767295</v>
      </c>
      <c r="BF6" s="135">
        <f t="shared" si="11"/>
        <v>677.51949685534589</v>
      </c>
      <c r="BG6" s="134">
        <f t="shared" si="12"/>
        <v>0.36001659062629615</v>
      </c>
      <c r="BH6" s="134">
        <f t="shared" si="13"/>
        <v>2.7789299046038992E-2</v>
      </c>
      <c r="BI6" s="134">
        <f t="shared" si="14"/>
        <v>0.53338863542098713</v>
      </c>
      <c r="BJ6" s="134">
        <f t="shared" si="15"/>
        <v>7.8805474906677719E-2</v>
      </c>
      <c r="BK6" s="135">
        <f t="shared" si="16"/>
        <v>243.91825934070519</v>
      </c>
      <c r="BL6" s="135">
        <f t="shared" si="17"/>
        <v>18.827791907635081</v>
      </c>
      <c r="BM6" s="135">
        <f t="shared" si="18"/>
        <v>361.38119989878675</v>
      </c>
      <c r="BN6" s="135">
        <f t="shared" si="19"/>
        <v>53.392245708218873</v>
      </c>
      <c r="BO6" s="136">
        <f t="shared" si="20"/>
        <v>38.525000000000006</v>
      </c>
      <c r="BP6" s="136">
        <f t="shared" si="21"/>
        <v>49.2</v>
      </c>
      <c r="BQ6" s="136">
        <f t="shared" si="22"/>
        <v>52.550000000000004</v>
      </c>
      <c r="BR6" s="136">
        <f t="shared" si="23"/>
        <v>54.125</v>
      </c>
      <c r="BS6" s="136">
        <f t="shared" si="24"/>
        <v>49.7</v>
      </c>
      <c r="BT6" s="136"/>
      <c r="BU6" s="32" t="s">
        <v>28</v>
      </c>
      <c r="BV6" s="104">
        <v>76.563097652784649</v>
      </c>
      <c r="BW6"/>
      <c r="BX6"/>
      <c r="BY6" s="32" t="s">
        <v>28</v>
      </c>
      <c r="BZ6" s="104">
        <v>2.5557902447390148</v>
      </c>
      <c r="CA6"/>
    </row>
    <row r="7" spans="1:79" s="65" customFormat="1" x14ac:dyDescent="0.35">
      <c r="A7" s="122" t="s">
        <v>33</v>
      </c>
      <c r="B7" s="122" t="s">
        <v>33</v>
      </c>
      <c r="C7" s="122" t="s">
        <v>35</v>
      </c>
      <c r="D7" s="122">
        <v>1</v>
      </c>
      <c r="E7" s="122">
        <v>3</v>
      </c>
      <c r="F7" s="122">
        <v>4</v>
      </c>
      <c r="G7" s="122">
        <v>304</v>
      </c>
      <c r="H7" s="65">
        <v>6</v>
      </c>
      <c r="I7" s="128">
        <v>45925</v>
      </c>
      <c r="J7" s="130">
        <v>0.78</v>
      </c>
      <c r="K7" s="132">
        <v>0.75</v>
      </c>
      <c r="L7" s="132">
        <v>0.35</v>
      </c>
      <c r="M7" s="132">
        <v>0.16200000000000001</v>
      </c>
      <c r="N7" s="132">
        <v>0.13350000000000001</v>
      </c>
      <c r="O7" s="129">
        <f t="shared" si="0"/>
        <v>0.25</v>
      </c>
      <c r="P7" s="129">
        <f t="shared" ref="P7:P33" si="25">1-L7</f>
        <v>0.65</v>
      </c>
      <c r="Q7" s="129">
        <f t="shared" si="2"/>
        <v>0.83799999999999997</v>
      </c>
      <c r="R7" s="129">
        <f t="shared" si="3"/>
        <v>0.86650000000000005</v>
      </c>
      <c r="S7" s="65">
        <v>18.399999999999999</v>
      </c>
      <c r="T7" s="65">
        <v>43.8</v>
      </c>
      <c r="U7" s="65">
        <v>52</v>
      </c>
      <c r="V7" s="65">
        <v>35.6</v>
      </c>
      <c r="W7" s="65">
        <v>45.2</v>
      </c>
      <c r="X7" s="65">
        <v>54.4</v>
      </c>
      <c r="Y7" s="65">
        <v>47.7</v>
      </c>
      <c r="Z7" s="65">
        <v>47.3</v>
      </c>
      <c r="AA7" s="65">
        <v>52.3</v>
      </c>
      <c r="AB7" s="65">
        <v>51.2</v>
      </c>
      <c r="AC7" s="65">
        <v>55.9</v>
      </c>
      <c r="AD7" s="65">
        <v>51</v>
      </c>
      <c r="AE7" s="65">
        <v>53.9</v>
      </c>
      <c r="AF7" s="65">
        <v>52.6</v>
      </c>
      <c r="AG7" s="65">
        <v>57.8</v>
      </c>
      <c r="AH7" s="65">
        <v>50.3</v>
      </c>
      <c r="AI7" s="65">
        <v>50</v>
      </c>
      <c r="AJ7" s="65">
        <v>44.4</v>
      </c>
      <c r="AK7" s="65">
        <v>49.4</v>
      </c>
      <c r="AL7" s="65">
        <v>48.2</v>
      </c>
      <c r="AM7" s="65">
        <v>54</v>
      </c>
      <c r="AN7" s="130">
        <v>0.5</v>
      </c>
      <c r="AO7" s="65">
        <v>1127</v>
      </c>
      <c r="AP7" s="65">
        <f t="shared" si="4"/>
        <v>2254</v>
      </c>
      <c r="AQ7" s="65">
        <v>113.1</v>
      </c>
      <c r="AR7" s="65">
        <v>20</v>
      </c>
      <c r="AS7" s="65">
        <v>19</v>
      </c>
      <c r="AT7" s="65">
        <v>98.6</v>
      </c>
      <c r="AU7" s="130">
        <v>24.82</v>
      </c>
      <c r="AV7" s="131">
        <f t="shared" si="5"/>
        <v>74.827586206896555</v>
      </c>
      <c r="AW7" s="65">
        <v>10.3</v>
      </c>
      <c r="AX7" s="130">
        <v>0.08</v>
      </c>
      <c r="AY7" s="130">
        <v>16.25</v>
      </c>
      <c r="AZ7" s="130">
        <v>1.03</v>
      </c>
      <c r="BA7" s="131">
        <f t="shared" si="6"/>
        <v>27.660000000000004</v>
      </c>
      <c r="BB7" s="131">
        <f t="shared" si="7"/>
        <v>1.4557894736842107</v>
      </c>
      <c r="BC7" s="131">
        <f t="shared" si="8"/>
        <v>5.9526315789473685</v>
      </c>
      <c r="BD7" s="134">
        <f t="shared" si="9"/>
        <v>0.25172413793103449</v>
      </c>
      <c r="BE7" s="135">
        <f t="shared" si="10"/>
        <v>283.69310344827585</v>
      </c>
      <c r="BF7" s="135">
        <f t="shared" si="11"/>
        <v>567.3862068965517</v>
      </c>
      <c r="BG7" s="134">
        <f t="shared" si="12"/>
        <v>0.37237888647866951</v>
      </c>
      <c r="BH7" s="134">
        <f t="shared" si="13"/>
        <v>2.892263195950831E-3</v>
      </c>
      <c r="BI7" s="134">
        <f t="shared" si="14"/>
        <v>0.58749096167751258</v>
      </c>
      <c r="BJ7" s="134">
        <f t="shared" si="15"/>
        <v>3.7237888647866951E-2</v>
      </c>
      <c r="BK7" s="135">
        <f t="shared" si="16"/>
        <v>211.28264392749392</v>
      </c>
      <c r="BL7" s="135">
        <f t="shared" si="17"/>
        <v>1.6410302440970401</v>
      </c>
      <c r="BM7" s="135">
        <f t="shared" si="18"/>
        <v>333.33426833221125</v>
      </c>
      <c r="BN7" s="135">
        <f t="shared" si="19"/>
        <v>21.12826439274939</v>
      </c>
      <c r="BO7" s="136">
        <f t="shared" si="20"/>
        <v>37.449999999999996</v>
      </c>
      <c r="BP7" s="136">
        <f t="shared" si="21"/>
        <v>48.650000000000006</v>
      </c>
      <c r="BQ7" s="136">
        <f t="shared" si="22"/>
        <v>52.6</v>
      </c>
      <c r="BR7" s="136">
        <f t="shared" si="23"/>
        <v>53.650000000000006</v>
      </c>
      <c r="BS7" s="136">
        <f t="shared" si="24"/>
        <v>48</v>
      </c>
      <c r="BT7" s="136"/>
      <c r="BU7" s="91" t="s">
        <v>32</v>
      </c>
      <c r="BV7" s="104">
        <v>73.219894424185014</v>
      </c>
      <c r="BW7"/>
      <c r="BX7"/>
      <c r="BY7" s="91" t="s">
        <v>32</v>
      </c>
      <c r="BZ7" s="104">
        <v>1.9720567523639427</v>
      </c>
      <c r="CA7" s="35">
        <f>BZ7/2</f>
        <v>0.98602837618197137</v>
      </c>
    </row>
    <row r="8" spans="1:79" s="65" customFormat="1" x14ac:dyDescent="0.35">
      <c r="A8" s="122" t="s">
        <v>33</v>
      </c>
      <c r="B8" s="122" t="s">
        <v>33</v>
      </c>
      <c r="C8" s="122" t="s">
        <v>30</v>
      </c>
      <c r="D8" s="122">
        <v>1</v>
      </c>
      <c r="E8" s="122">
        <v>2</v>
      </c>
      <c r="F8" s="122">
        <v>4</v>
      </c>
      <c r="G8" s="122">
        <v>204</v>
      </c>
      <c r="H8" s="65">
        <v>7</v>
      </c>
      <c r="I8" s="128">
        <v>45922</v>
      </c>
      <c r="J8" s="130">
        <v>0.8</v>
      </c>
      <c r="K8" s="133">
        <v>0.34200000000000003</v>
      </c>
      <c r="L8" s="133">
        <v>0.24</v>
      </c>
      <c r="M8" s="133">
        <v>0.14199999999999999</v>
      </c>
      <c r="N8" s="133">
        <v>8.2000000000000003E-2</v>
      </c>
      <c r="O8" s="129">
        <f t="shared" si="0"/>
        <v>0.65799999999999992</v>
      </c>
      <c r="P8" s="129">
        <f t="shared" si="25"/>
        <v>0.76</v>
      </c>
      <c r="Q8" s="129">
        <f t="shared" si="2"/>
        <v>0.85799999999999998</v>
      </c>
      <c r="R8" s="129">
        <f t="shared" si="3"/>
        <v>0.91800000000000004</v>
      </c>
      <c r="S8" s="65">
        <v>16.5</v>
      </c>
      <c r="T8" s="65">
        <v>51</v>
      </c>
      <c r="U8" s="65">
        <v>28.5</v>
      </c>
      <c r="V8" s="65">
        <v>42.7</v>
      </c>
      <c r="W8" s="65">
        <v>50.6</v>
      </c>
      <c r="X8" s="65">
        <v>57</v>
      </c>
      <c r="Y8" s="65">
        <v>57.4</v>
      </c>
      <c r="Z8" s="65">
        <v>55.5</v>
      </c>
      <c r="AA8" s="65">
        <v>43.9</v>
      </c>
      <c r="AB8" s="65">
        <v>54.6</v>
      </c>
      <c r="AC8" s="65">
        <v>58.6</v>
      </c>
      <c r="AD8" s="65">
        <v>51.4</v>
      </c>
      <c r="AE8" s="65">
        <v>54.8</v>
      </c>
      <c r="AF8" s="65">
        <v>59.9</v>
      </c>
      <c r="AG8" s="65">
        <v>52.9</v>
      </c>
      <c r="AH8" s="65">
        <v>55.2</v>
      </c>
      <c r="AI8" s="65">
        <v>52.7</v>
      </c>
      <c r="AJ8" s="65">
        <v>51</v>
      </c>
      <c r="AK8" s="65">
        <v>51.3</v>
      </c>
      <c r="AL8" s="65">
        <v>56.8</v>
      </c>
      <c r="AM8" s="65">
        <v>59</v>
      </c>
      <c r="AN8" s="130">
        <v>0.5</v>
      </c>
      <c r="AO8" s="65">
        <v>1358</v>
      </c>
      <c r="AP8" s="65">
        <f t="shared" si="4"/>
        <v>2716</v>
      </c>
      <c r="AQ8" s="65">
        <v>119.6</v>
      </c>
      <c r="AR8" s="65">
        <v>20</v>
      </c>
      <c r="AS8" s="65">
        <v>16</v>
      </c>
      <c r="AT8" s="65">
        <v>89.9</v>
      </c>
      <c r="AU8" s="130">
        <v>19.920000000000002</v>
      </c>
      <c r="AV8" s="131">
        <f t="shared" si="5"/>
        <v>77.842046718576185</v>
      </c>
      <c r="AW8" s="65">
        <v>9.01</v>
      </c>
      <c r="AX8" s="130">
        <v>0.44</v>
      </c>
      <c r="AY8" s="130">
        <v>15.44</v>
      </c>
      <c r="AZ8" s="130">
        <v>1.35</v>
      </c>
      <c r="BA8" s="131">
        <f t="shared" si="6"/>
        <v>26.240000000000002</v>
      </c>
      <c r="BB8" s="131">
        <f t="shared" si="7"/>
        <v>1.6400000000000001</v>
      </c>
      <c r="BC8" s="131">
        <f t="shared" si="8"/>
        <v>7.4749999999999996</v>
      </c>
      <c r="BD8" s="134">
        <f t="shared" si="9"/>
        <v>0.22157953281423803</v>
      </c>
      <c r="BE8" s="135">
        <f t="shared" si="10"/>
        <v>300.90500556173527</v>
      </c>
      <c r="BF8" s="135">
        <f t="shared" si="11"/>
        <v>601.81001112347053</v>
      </c>
      <c r="BG8" s="134">
        <f t="shared" si="12"/>
        <v>0.34336890243902435</v>
      </c>
      <c r="BH8" s="134">
        <f t="shared" si="13"/>
        <v>1.6768292682926827E-2</v>
      </c>
      <c r="BI8" s="134">
        <f t="shared" si="14"/>
        <v>0.58841463414634143</v>
      </c>
      <c r="BJ8" s="134">
        <f t="shared" si="15"/>
        <v>5.1448170731707314E-2</v>
      </c>
      <c r="BK8" s="135">
        <f t="shared" si="16"/>
        <v>206.64284299628312</v>
      </c>
      <c r="BL8" s="135">
        <f t="shared" si="17"/>
        <v>10.091326406033803</v>
      </c>
      <c r="BM8" s="135">
        <f t="shared" si="18"/>
        <v>354.11381752082258</v>
      </c>
      <c r="BN8" s="135">
        <f t="shared" si="19"/>
        <v>30.96202420033099</v>
      </c>
      <c r="BO8" s="136">
        <f t="shared" si="20"/>
        <v>34.674999999999997</v>
      </c>
      <c r="BP8" s="136">
        <f t="shared" si="21"/>
        <v>55.125</v>
      </c>
      <c r="BQ8" s="136">
        <f t="shared" si="22"/>
        <v>52.125</v>
      </c>
      <c r="BR8" s="136">
        <f t="shared" si="23"/>
        <v>55.7</v>
      </c>
      <c r="BS8" s="136">
        <f t="shared" si="24"/>
        <v>52.95</v>
      </c>
      <c r="BT8" s="136"/>
      <c r="BU8" s="91" t="s">
        <v>31</v>
      </c>
      <c r="BV8" s="104">
        <v>76.592733763590999</v>
      </c>
      <c r="BW8"/>
      <c r="BX8"/>
      <c r="BY8" s="91" t="s">
        <v>31</v>
      </c>
      <c r="BZ8" s="104">
        <v>0.67259574546172352</v>
      </c>
      <c r="CA8" s="35">
        <f t="shared" ref="CA8:CA15" si="26">BZ8/2</f>
        <v>0.33629787273086176</v>
      </c>
    </row>
    <row r="9" spans="1:79" s="65" customFormat="1" x14ac:dyDescent="0.35">
      <c r="A9" s="122" t="s">
        <v>33</v>
      </c>
      <c r="B9" s="122" t="s">
        <v>33</v>
      </c>
      <c r="C9" s="122" t="s">
        <v>34</v>
      </c>
      <c r="D9" s="122">
        <v>1</v>
      </c>
      <c r="E9" s="122">
        <v>1</v>
      </c>
      <c r="F9" s="122">
        <v>4</v>
      </c>
      <c r="G9" s="122">
        <v>104</v>
      </c>
      <c r="H9" s="65">
        <v>8</v>
      </c>
      <c r="I9" s="128">
        <v>45922</v>
      </c>
      <c r="J9" s="130">
        <v>0.77</v>
      </c>
      <c r="K9" s="133">
        <v>0.53200000000000003</v>
      </c>
      <c r="L9" s="133">
        <v>0.307</v>
      </c>
      <c r="M9" s="133">
        <v>0.17599999999999999</v>
      </c>
      <c r="N9" s="133">
        <v>6.7000000000000004E-2</v>
      </c>
      <c r="O9" s="129">
        <f t="shared" si="0"/>
        <v>0.46799999999999997</v>
      </c>
      <c r="P9" s="129">
        <f t="shared" si="25"/>
        <v>0.69300000000000006</v>
      </c>
      <c r="Q9" s="129">
        <f t="shared" si="2"/>
        <v>0.82400000000000007</v>
      </c>
      <c r="R9" s="129">
        <f t="shared" si="3"/>
        <v>0.93300000000000005</v>
      </c>
      <c r="S9" s="65">
        <v>45.6</v>
      </c>
      <c r="T9" s="65">
        <v>50.6</v>
      </c>
      <c r="U9" s="65">
        <v>46.4</v>
      </c>
      <c r="V9" s="65">
        <v>42.1</v>
      </c>
      <c r="W9" s="65">
        <v>46.3</v>
      </c>
      <c r="X9" s="65">
        <v>54.8</v>
      </c>
      <c r="Y9" s="65">
        <v>49.4</v>
      </c>
      <c r="Z9" s="65">
        <v>45.3</v>
      </c>
      <c r="AA9" s="65">
        <v>52</v>
      </c>
      <c r="AB9" s="65">
        <v>54.1</v>
      </c>
      <c r="AC9" s="65">
        <v>52.2</v>
      </c>
      <c r="AD9" s="65">
        <v>48.8</v>
      </c>
      <c r="AE9" s="65">
        <v>50.8</v>
      </c>
      <c r="AF9" s="65">
        <v>54.6</v>
      </c>
      <c r="AG9" s="65">
        <v>55.3</v>
      </c>
      <c r="AH9" s="65">
        <v>53.8</v>
      </c>
      <c r="AI9" s="65">
        <v>45.7</v>
      </c>
      <c r="AJ9" s="65">
        <v>47</v>
      </c>
      <c r="AK9" s="65">
        <v>42.6</v>
      </c>
      <c r="AL9" s="65">
        <v>45.6</v>
      </c>
      <c r="AM9" s="65">
        <v>58</v>
      </c>
      <c r="AN9" s="130">
        <v>0.5</v>
      </c>
      <c r="AO9" s="65">
        <v>1409</v>
      </c>
      <c r="AP9" s="65">
        <f t="shared" si="4"/>
        <v>2818</v>
      </c>
      <c r="AQ9" s="65">
        <v>179.7</v>
      </c>
      <c r="AR9" s="65">
        <v>20</v>
      </c>
      <c r="AS9" s="65">
        <v>19</v>
      </c>
      <c r="AT9" s="65">
        <v>77.900000000000006</v>
      </c>
      <c r="AU9" s="130">
        <v>19.559999999999999</v>
      </c>
      <c r="AV9" s="131">
        <f t="shared" si="5"/>
        <v>74.890885750962767</v>
      </c>
      <c r="AW9" s="65">
        <v>13.15</v>
      </c>
      <c r="AX9" s="130">
        <v>0.23</v>
      </c>
      <c r="AY9" s="130">
        <v>27.16</v>
      </c>
      <c r="AZ9" s="130">
        <v>1.94</v>
      </c>
      <c r="BA9" s="131">
        <f t="shared" si="6"/>
        <v>42.48</v>
      </c>
      <c r="BB9" s="131">
        <f t="shared" si="7"/>
        <v>2.2357894736842105</v>
      </c>
      <c r="BC9" s="131">
        <f t="shared" si="8"/>
        <v>9.4578947368421051</v>
      </c>
      <c r="BD9" s="134">
        <f t="shared" si="9"/>
        <v>0.25109114249037223</v>
      </c>
      <c r="BE9" s="135">
        <f t="shared" si="10"/>
        <v>353.78741976893446</v>
      </c>
      <c r="BF9" s="135">
        <f t="shared" si="11"/>
        <v>707.57483953786891</v>
      </c>
      <c r="BG9" s="134">
        <f t="shared" si="12"/>
        <v>0.30955743879472697</v>
      </c>
      <c r="BH9" s="134">
        <f t="shared" si="13"/>
        <v>5.4143126177024492E-3</v>
      </c>
      <c r="BI9" s="134">
        <f t="shared" si="14"/>
        <v>0.63935969868173259</v>
      </c>
      <c r="BJ9" s="134">
        <f t="shared" si="15"/>
        <v>4.5668549905838046E-2</v>
      </c>
      <c r="BK9" s="135">
        <f t="shared" si="16"/>
        <v>219.03505508293262</v>
      </c>
      <c r="BL9" s="135">
        <f t="shared" si="17"/>
        <v>3.8310313816786694</v>
      </c>
      <c r="BM9" s="135">
        <f t="shared" si="18"/>
        <v>452.39483620170716</v>
      </c>
      <c r="BN9" s="135">
        <f t="shared" si="19"/>
        <v>32.313916871550511</v>
      </c>
      <c r="BO9" s="136">
        <f t="shared" si="20"/>
        <v>46.174999999999997</v>
      </c>
      <c r="BP9" s="136">
        <f t="shared" si="21"/>
        <v>48.95</v>
      </c>
      <c r="BQ9" s="136">
        <f t="shared" si="22"/>
        <v>51.775000000000006</v>
      </c>
      <c r="BR9" s="136">
        <f t="shared" si="23"/>
        <v>53.625</v>
      </c>
      <c r="BS9" s="136">
        <f t="shared" si="24"/>
        <v>45.225000000000001</v>
      </c>
      <c r="BT9" s="136"/>
      <c r="BU9" s="91" t="s">
        <v>29</v>
      </c>
      <c r="BV9" s="104">
        <v>76.967621100590961</v>
      </c>
      <c r="BW9"/>
      <c r="BX9"/>
      <c r="BY9" s="91" t="s">
        <v>29</v>
      </c>
      <c r="BZ9" s="104">
        <v>0.75605673036451093</v>
      </c>
      <c r="CA9" s="35">
        <f t="shared" si="26"/>
        <v>0.37802836518225547</v>
      </c>
    </row>
    <row r="10" spans="1:79" s="65" customFormat="1" x14ac:dyDescent="0.35">
      <c r="A10" s="122" t="s">
        <v>28</v>
      </c>
      <c r="B10" s="122" t="s">
        <v>28</v>
      </c>
      <c r="C10" s="122" t="s">
        <v>31</v>
      </c>
      <c r="D10" s="122">
        <v>2</v>
      </c>
      <c r="E10" s="122">
        <v>1</v>
      </c>
      <c r="F10" s="122">
        <v>6</v>
      </c>
      <c r="G10" s="122">
        <v>106</v>
      </c>
      <c r="H10" s="65">
        <v>9</v>
      </c>
      <c r="I10" s="128">
        <v>45915</v>
      </c>
      <c r="J10" s="130">
        <v>0.83</v>
      </c>
      <c r="K10" s="133">
        <v>0.152</v>
      </c>
      <c r="L10" s="133">
        <v>5.2999999999999999E-2</v>
      </c>
      <c r="M10" s="133">
        <v>3.9E-2</v>
      </c>
      <c r="N10" s="133">
        <v>3.5000000000000003E-2</v>
      </c>
      <c r="O10" s="129">
        <f t="shared" si="0"/>
        <v>0.84799999999999998</v>
      </c>
      <c r="P10" s="129">
        <f t="shared" si="25"/>
        <v>0.94699999999999995</v>
      </c>
      <c r="Q10" s="129">
        <f t="shared" si="2"/>
        <v>0.96099999999999997</v>
      </c>
      <c r="R10" s="129">
        <f t="shared" si="3"/>
        <v>0.96499999999999997</v>
      </c>
      <c r="S10" s="65">
        <v>50.2</v>
      </c>
      <c r="T10" s="65">
        <v>37</v>
      </c>
      <c r="U10" s="65">
        <v>40.299999999999997</v>
      </c>
      <c r="V10" s="65">
        <v>44.1</v>
      </c>
      <c r="W10" s="65">
        <v>51</v>
      </c>
      <c r="X10" s="65">
        <v>52.2</v>
      </c>
      <c r="Y10" s="65">
        <v>41.7</v>
      </c>
      <c r="Z10" s="65">
        <v>52.8</v>
      </c>
      <c r="AA10" s="65">
        <v>51.2</v>
      </c>
      <c r="AB10" s="65">
        <v>56.9</v>
      </c>
      <c r="AC10" s="65">
        <v>56.6</v>
      </c>
      <c r="AD10" s="65">
        <v>52.6</v>
      </c>
      <c r="AE10" s="65">
        <v>54.2</v>
      </c>
      <c r="AF10" s="65">
        <v>56.1</v>
      </c>
      <c r="AG10" s="65">
        <v>54.2</v>
      </c>
      <c r="AH10" s="65">
        <v>50.9</v>
      </c>
      <c r="AI10" s="65">
        <v>47.1</v>
      </c>
      <c r="AJ10" s="65">
        <v>53.9</v>
      </c>
      <c r="AK10" s="65">
        <v>52.6</v>
      </c>
      <c r="AL10" s="65">
        <v>48.3</v>
      </c>
      <c r="AM10" s="65">
        <v>65</v>
      </c>
      <c r="AN10" s="130">
        <v>0.5</v>
      </c>
      <c r="AO10" s="65">
        <v>1743</v>
      </c>
      <c r="AP10" s="65">
        <f t="shared" si="4"/>
        <v>3486</v>
      </c>
      <c r="AQ10" s="65">
        <v>172.1</v>
      </c>
      <c r="AR10" s="65">
        <v>20</v>
      </c>
      <c r="AS10" s="65">
        <v>20</v>
      </c>
      <c r="AT10" s="65">
        <v>112.3</v>
      </c>
      <c r="AU10" s="130">
        <v>26.95</v>
      </c>
      <c r="AV10" s="131">
        <f t="shared" si="5"/>
        <v>76.001780943900272</v>
      </c>
      <c r="AW10" s="65">
        <v>13.34</v>
      </c>
      <c r="AX10" s="130">
        <v>3.21</v>
      </c>
      <c r="AY10" s="130">
        <v>24.58</v>
      </c>
      <c r="AZ10" s="130">
        <v>1.69</v>
      </c>
      <c r="BA10" s="131">
        <f t="shared" si="6"/>
        <v>42.819999999999993</v>
      </c>
      <c r="BB10" s="131">
        <f t="shared" si="7"/>
        <v>2.1409999999999996</v>
      </c>
      <c r="BC10" s="131">
        <f t="shared" si="8"/>
        <v>8.6050000000000004</v>
      </c>
      <c r="BD10" s="134">
        <f t="shared" si="9"/>
        <v>0.23998219056099732</v>
      </c>
      <c r="BE10" s="135">
        <f t="shared" si="10"/>
        <v>418.28895814781833</v>
      </c>
      <c r="BF10" s="135">
        <f t="shared" si="11"/>
        <v>836.57791629563667</v>
      </c>
      <c r="BG10" s="134">
        <f t="shared" si="12"/>
        <v>0.31153666510976186</v>
      </c>
      <c r="BH10" s="134">
        <f t="shared" si="13"/>
        <v>7.4964969640354984E-2</v>
      </c>
      <c r="BI10" s="134">
        <f t="shared" si="14"/>
        <v>0.57403082671648764</v>
      </c>
      <c r="BJ10" s="134">
        <f t="shared" si="15"/>
        <v>3.9467538533395616E-2</v>
      </c>
      <c r="BK10" s="135">
        <f t="shared" si="16"/>
        <v>260.62469414721613</v>
      </c>
      <c r="BL10" s="135">
        <f t="shared" si="17"/>
        <v>62.714038096893837</v>
      </c>
      <c r="BM10" s="135">
        <f t="shared" si="18"/>
        <v>480.22151290394089</v>
      </c>
      <c r="BN10" s="135">
        <f t="shared" si="19"/>
        <v>33.017671147585851</v>
      </c>
      <c r="BO10" s="136">
        <f t="shared" si="20"/>
        <v>42.9</v>
      </c>
      <c r="BP10" s="136">
        <f t="shared" si="21"/>
        <v>49.424999999999997</v>
      </c>
      <c r="BQ10" s="136">
        <f t="shared" si="22"/>
        <v>54.324999999999996</v>
      </c>
      <c r="BR10" s="136">
        <f t="shared" si="23"/>
        <v>53.85</v>
      </c>
      <c r="BS10" s="136">
        <f t="shared" si="24"/>
        <v>50.474999999999994</v>
      </c>
      <c r="BT10" s="136"/>
      <c r="BU10" s="91" t="s">
        <v>30</v>
      </c>
      <c r="BV10" s="104">
        <v>79.472141322771577</v>
      </c>
      <c r="BW10"/>
      <c r="BX10"/>
      <c r="BY10" s="91" t="s">
        <v>30</v>
      </c>
      <c r="BZ10" s="104">
        <v>1.1583999009986834</v>
      </c>
      <c r="CA10" s="35">
        <f t="shared" si="26"/>
        <v>0.5791999504993417</v>
      </c>
    </row>
    <row r="11" spans="1:79" s="65" customFormat="1" x14ac:dyDescent="0.35">
      <c r="A11" s="122" t="s">
        <v>28</v>
      </c>
      <c r="B11" s="122" t="s">
        <v>28</v>
      </c>
      <c r="C11" s="122" t="s">
        <v>32</v>
      </c>
      <c r="D11" s="122">
        <v>2</v>
      </c>
      <c r="E11" s="122">
        <v>2</v>
      </c>
      <c r="F11" s="122">
        <v>6</v>
      </c>
      <c r="G11" s="122">
        <v>206</v>
      </c>
      <c r="H11" s="65">
        <v>10</v>
      </c>
      <c r="I11" s="128">
        <v>45930</v>
      </c>
      <c r="J11" s="130">
        <v>0.82</v>
      </c>
      <c r="K11" s="132">
        <v>0.58850000000000002</v>
      </c>
      <c r="L11" s="132">
        <v>0.159</v>
      </c>
      <c r="M11" s="132">
        <v>7.9000000000000001E-2</v>
      </c>
      <c r="N11" s="132">
        <v>6.25E-2</v>
      </c>
      <c r="O11" s="129">
        <f t="shared" si="0"/>
        <v>0.41149999999999998</v>
      </c>
      <c r="P11" s="129">
        <f t="shared" si="25"/>
        <v>0.84099999999999997</v>
      </c>
      <c r="Q11" s="129">
        <f t="shared" si="2"/>
        <v>0.92100000000000004</v>
      </c>
      <c r="R11" s="129">
        <f t="shared" si="3"/>
        <v>0.9375</v>
      </c>
      <c r="S11" s="65">
        <v>40.5</v>
      </c>
      <c r="T11" s="65">
        <v>14.1</v>
      </c>
      <c r="U11" s="65">
        <v>47.1</v>
      </c>
      <c r="V11" s="65">
        <v>52.9</v>
      </c>
      <c r="W11" s="65">
        <v>53.4</v>
      </c>
      <c r="X11" s="65">
        <v>36.4</v>
      </c>
      <c r="Y11" s="65">
        <v>56.2</v>
      </c>
      <c r="Z11" s="65">
        <v>58.3</v>
      </c>
      <c r="AA11" s="65">
        <v>56</v>
      </c>
      <c r="AB11" s="65">
        <v>63.7</v>
      </c>
      <c r="AC11" s="65">
        <v>63.2</v>
      </c>
      <c r="AD11" s="65">
        <v>57.1</v>
      </c>
      <c r="AE11" s="65">
        <v>57.1</v>
      </c>
      <c r="AF11" s="65">
        <v>55.7</v>
      </c>
      <c r="AG11" s="65">
        <v>54.3</v>
      </c>
      <c r="AH11" s="65">
        <v>48.5</v>
      </c>
      <c r="AI11" s="65">
        <v>52.9</v>
      </c>
      <c r="AJ11" s="65">
        <v>57.2</v>
      </c>
      <c r="AK11" s="65">
        <v>51.5</v>
      </c>
      <c r="AL11" s="65">
        <v>48.7</v>
      </c>
      <c r="AM11" s="65">
        <v>62</v>
      </c>
      <c r="AN11" s="130">
        <v>0.5</v>
      </c>
      <c r="AO11" s="65">
        <v>1703</v>
      </c>
      <c r="AP11" s="65">
        <f t="shared" si="4"/>
        <v>3406</v>
      </c>
      <c r="AQ11" s="65">
        <v>94.8</v>
      </c>
      <c r="AR11" s="65">
        <v>20</v>
      </c>
      <c r="AS11" s="65">
        <v>20</v>
      </c>
      <c r="AT11" s="65">
        <v>69.5</v>
      </c>
      <c r="AU11" s="130">
        <v>20.399999999999999</v>
      </c>
      <c r="AV11" s="131">
        <f t="shared" si="5"/>
        <v>70.647482014388487</v>
      </c>
      <c r="AW11" s="65">
        <v>7.7</v>
      </c>
      <c r="AX11" s="130">
        <v>1.35</v>
      </c>
      <c r="AY11" s="130">
        <v>15.82</v>
      </c>
      <c r="AZ11" s="130">
        <v>1.35</v>
      </c>
      <c r="BA11" s="131">
        <f t="shared" si="6"/>
        <v>26.220000000000002</v>
      </c>
      <c r="BB11" s="131">
        <f t="shared" si="7"/>
        <v>1.3110000000000002</v>
      </c>
      <c r="BC11" s="131">
        <f t="shared" si="8"/>
        <v>4.74</v>
      </c>
      <c r="BD11" s="134">
        <f t="shared" si="9"/>
        <v>0.29352517985611509</v>
      </c>
      <c r="BE11" s="135">
        <f t="shared" si="10"/>
        <v>499.87338129496402</v>
      </c>
      <c r="BF11" s="135">
        <f t="shared" si="11"/>
        <v>999.74676258992804</v>
      </c>
      <c r="BG11" s="134">
        <f t="shared" si="12"/>
        <v>0.29366895499618612</v>
      </c>
      <c r="BH11" s="134">
        <f t="shared" si="13"/>
        <v>5.1487414187643021E-2</v>
      </c>
      <c r="BI11" s="134">
        <f t="shared" si="14"/>
        <v>0.60335621662852779</v>
      </c>
      <c r="BJ11" s="134">
        <f t="shared" si="15"/>
        <v>5.1487414187643021E-2</v>
      </c>
      <c r="BK11" s="135">
        <f t="shared" si="16"/>
        <v>293.59458703060432</v>
      </c>
      <c r="BL11" s="135">
        <f t="shared" si="17"/>
        <v>51.474375648222839</v>
      </c>
      <c r="BM11" s="135">
        <f t="shared" si="18"/>
        <v>603.203424262878</v>
      </c>
      <c r="BN11" s="135">
        <f t="shared" si="19"/>
        <v>51.474375648222839</v>
      </c>
      <c r="BO11" s="136">
        <f t="shared" si="20"/>
        <v>38.65</v>
      </c>
      <c r="BP11" s="136">
        <f t="shared" si="21"/>
        <v>51.075000000000003</v>
      </c>
      <c r="BQ11" s="136">
        <f t="shared" si="22"/>
        <v>60</v>
      </c>
      <c r="BR11" s="136">
        <f t="shared" si="23"/>
        <v>53.900000000000006</v>
      </c>
      <c r="BS11" s="136">
        <f t="shared" si="24"/>
        <v>52.575000000000003</v>
      </c>
      <c r="BT11" s="136"/>
      <c r="BU11" s="32" t="s">
        <v>33</v>
      </c>
      <c r="BV11" s="104">
        <v>77.105501537844859</v>
      </c>
      <c r="BW11"/>
      <c r="BX11"/>
      <c r="BY11" s="32" t="s">
        <v>33</v>
      </c>
      <c r="BZ11" s="104">
        <v>1.6631894815941355</v>
      </c>
      <c r="CA11" s="35">
        <f t="shared" si="26"/>
        <v>0.83159474079706774</v>
      </c>
    </row>
    <row r="12" spans="1:79" s="65" customFormat="1" x14ac:dyDescent="0.35">
      <c r="A12" s="122" t="s">
        <v>28</v>
      </c>
      <c r="B12" s="122" t="s">
        <v>28</v>
      </c>
      <c r="C12" s="122" t="s">
        <v>30</v>
      </c>
      <c r="D12" s="122">
        <v>2</v>
      </c>
      <c r="E12" s="122">
        <v>3</v>
      </c>
      <c r="F12" s="122">
        <v>6</v>
      </c>
      <c r="G12" s="122">
        <v>306</v>
      </c>
      <c r="H12" s="65">
        <v>11</v>
      </c>
      <c r="I12" s="128">
        <v>45912</v>
      </c>
      <c r="J12" s="130">
        <v>0.6</v>
      </c>
      <c r="K12" s="133">
        <v>0.51300000000000001</v>
      </c>
      <c r="L12" s="133">
        <v>0.29499999999999998</v>
      </c>
      <c r="M12" s="133">
        <v>0.182</v>
      </c>
      <c r="N12" s="133">
        <v>0.17699999999999999</v>
      </c>
      <c r="O12" s="129">
        <f t="shared" si="0"/>
        <v>0.48699999999999999</v>
      </c>
      <c r="P12" s="129">
        <f t="shared" si="25"/>
        <v>0.70500000000000007</v>
      </c>
      <c r="Q12" s="129">
        <f t="shared" si="2"/>
        <v>0.81800000000000006</v>
      </c>
      <c r="R12" s="129">
        <f t="shared" si="3"/>
        <v>0.82299999999999995</v>
      </c>
      <c r="S12" s="65">
        <v>44</v>
      </c>
      <c r="T12" s="65">
        <v>38.200000000000003</v>
      </c>
      <c r="U12" s="65">
        <v>44.2</v>
      </c>
      <c r="V12" s="65">
        <v>42.9</v>
      </c>
      <c r="W12" s="65">
        <v>48.8</v>
      </c>
      <c r="X12" s="65">
        <v>38.4</v>
      </c>
      <c r="Y12" s="65">
        <v>44.6</v>
      </c>
      <c r="Z12" s="65">
        <v>44.9</v>
      </c>
      <c r="AA12" s="65">
        <v>50.4</v>
      </c>
      <c r="AB12" s="65">
        <v>47.2</v>
      </c>
      <c r="AC12" s="65">
        <v>55.3</v>
      </c>
      <c r="AD12" s="65">
        <v>40.799999999999997</v>
      </c>
      <c r="AE12" s="65">
        <v>53.4</v>
      </c>
      <c r="AF12" s="65">
        <v>44.3</v>
      </c>
      <c r="AG12" s="65">
        <v>46.2</v>
      </c>
      <c r="AH12" s="65">
        <v>48.2</v>
      </c>
      <c r="AI12" s="65">
        <v>49.8</v>
      </c>
      <c r="AJ12" s="65">
        <v>49.8</v>
      </c>
      <c r="AK12" s="65">
        <v>51.7</v>
      </c>
      <c r="AL12" s="65">
        <v>44.8</v>
      </c>
      <c r="AM12" s="65">
        <v>59</v>
      </c>
      <c r="AN12" s="130">
        <v>0.5</v>
      </c>
      <c r="AO12" s="65">
        <v>1135</v>
      </c>
      <c r="AP12" s="65">
        <f t="shared" si="4"/>
        <v>2270</v>
      </c>
      <c r="AQ12" s="65">
        <v>108.4</v>
      </c>
      <c r="AR12" s="65">
        <v>20</v>
      </c>
      <c r="AS12" s="65">
        <v>18</v>
      </c>
      <c r="AT12" s="65">
        <v>98.4</v>
      </c>
      <c r="AU12" s="130">
        <v>20.04</v>
      </c>
      <c r="AV12" s="131">
        <f t="shared" si="5"/>
        <v>79.634146341463435</v>
      </c>
      <c r="AW12" s="65">
        <v>8.31</v>
      </c>
      <c r="AX12" s="130">
        <v>0.48</v>
      </c>
      <c r="AY12" s="130">
        <v>13.27</v>
      </c>
      <c r="AZ12" s="130">
        <v>0.27</v>
      </c>
      <c r="BA12" s="131">
        <f t="shared" si="6"/>
        <v>22.330000000000002</v>
      </c>
      <c r="BB12" s="131">
        <f t="shared" si="7"/>
        <v>1.2405555555555556</v>
      </c>
      <c r="BC12" s="131">
        <f t="shared" si="8"/>
        <v>6.0222222222222221</v>
      </c>
      <c r="BD12" s="134">
        <f t="shared" si="9"/>
        <v>0.20365853658536584</v>
      </c>
      <c r="BE12" s="135">
        <f t="shared" si="10"/>
        <v>231.15243902439022</v>
      </c>
      <c r="BF12" s="135">
        <f t="shared" si="11"/>
        <v>462.30487804878044</v>
      </c>
      <c r="BG12" s="134">
        <f t="shared" si="12"/>
        <v>0.37214509628302733</v>
      </c>
      <c r="BH12" s="134">
        <f t="shared" si="13"/>
        <v>2.1495745633676667E-2</v>
      </c>
      <c r="BI12" s="134">
        <f t="shared" si="14"/>
        <v>0.59426780116435285</v>
      </c>
      <c r="BJ12" s="134">
        <f t="shared" si="15"/>
        <v>1.2091356918943126E-2</v>
      </c>
      <c r="BK12" s="135">
        <f t="shared" si="16"/>
        <v>172.0444933535766</v>
      </c>
      <c r="BL12" s="135">
        <f t="shared" si="17"/>
        <v>9.9375880637444958</v>
      </c>
      <c r="BM12" s="135">
        <f t="shared" si="18"/>
        <v>274.73290334560306</v>
      </c>
      <c r="BN12" s="135">
        <f t="shared" si="19"/>
        <v>5.5898932858562791</v>
      </c>
      <c r="BO12" s="136">
        <f t="shared" si="20"/>
        <v>42.325000000000003</v>
      </c>
      <c r="BP12" s="136">
        <f t="shared" si="21"/>
        <v>44.174999999999997</v>
      </c>
      <c r="BQ12" s="136">
        <f t="shared" si="22"/>
        <v>48.424999999999997</v>
      </c>
      <c r="BR12" s="136">
        <f t="shared" si="23"/>
        <v>48.024999999999991</v>
      </c>
      <c r="BS12" s="136">
        <f t="shared" si="24"/>
        <v>49.025000000000006</v>
      </c>
      <c r="BT12" s="136"/>
      <c r="BU12" s="91" t="s">
        <v>35</v>
      </c>
      <c r="BV12" s="104">
        <v>75.705203570523182</v>
      </c>
      <c r="BW12"/>
      <c r="BX12"/>
      <c r="BY12" s="91" t="s">
        <v>35</v>
      </c>
      <c r="BZ12" s="104">
        <v>0.96655352146262052</v>
      </c>
      <c r="CA12" s="35">
        <f t="shared" si="26"/>
        <v>0.48327676073131026</v>
      </c>
    </row>
    <row r="13" spans="1:79" s="65" customFormat="1" x14ac:dyDescent="0.35">
      <c r="A13" s="122" t="s">
        <v>28</v>
      </c>
      <c r="B13" s="122" t="s">
        <v>28</v>
      </c>
      <c r="C13" s="122" t="s">
        <v>29</v>
      </c>
      <c r="D13" s="122">
        <v>2</v>
      </c>
      <c r="E13" s="122">
        <v>4</v>
      </c>
      <c r="F13" s="122">
        <v>6</v>
      </c>
      <c r="G13" s="122">
        <v>406</v>
      </c>
      <c r="H13" s="65">
        <v>12</v>
      </c>
      <c r="I13" s="128">
        <v>45909</v>
      </c>
      <c r="J13" s="130">
        <v>0.78</v>
      </c>
      <c r="K13" s="133">
        <v>0.45100000000000001</v>
      </c>
      <c r="L13" s="133">
        <v>0.22</v>
      </c>
      <c r="M13" s="133">
        <v>9.9000000000000005E-2</v>
      </c>
      <c r="N13" s="133">
        <v>2.7E-2</v>
      </c>
      <c r="O13" s="129">
        <f t="shared" si="0"/>
        <v>0.54899999999999993</v>
      </c>
      <c r="P13" s="129">
        <f t="shared" si="25"/>
        <v>0.78</v>
      </c>
      <c r="Q13" s="129">
        <f t="shared" si="2"/>
        <v>0.90100000000000002</v>
      </c>
      <c r="R13" s="129">
        <f t="shared" si="3"/>
        <v>0.97299999999999998</v>
      </c>
      <c r="S13" s="65">
        <v>43.6</v>
      </c>
      <c r="T13" s="65">
        <v>39.799999999999997</v>
      </c>
      <c r="U13" s="65">
        <v>46.4</v>
      </c>
      <c r="V13" s="65">
        <v>48.8</v>
      </c>
      <c r="W13" s="65">
        <v>47.1</v>
      </c>
      <c r="X13" s="65">
        <v>50.3</v>
      </c>
      <c r="Y13" s="65">
        <v>53.7</v>
      </c>
      <c r="Z13" s="65">
        <v>50.6</v>
      </c>
      <c r="AA13" s="65">
        <v>48.3</v>
      </c>
      <c r="AB13" s="65">
        <v>48.3</v>
      </c>
      <c r="AC13" s="65">
        <v>53.7</v>
      </c>
      <c r="AD13" s="65">
        <v>50.1</v>
      </c>
      <c r="AE13" s="65">
        <v>51.9</v>
      </c>
      <c r="AF13" s="65">
        <v>42.1</v>
      </c>
      <c r="AG13" s="65">
        <v>40.9</v>
      </c>
      <c r="AH13" s="65">
        <v>48.9</v>
      </c>
      <c r="AI13" s="65">
        <v>50.4</v>
      </c>
      <c r="AJ13" s="65">
        <v>47.5</v>
      </c>
      <c r="AK13" s="65">
        <v>47.5</v>
      </c>
      <c r="AL13" s="65">
        <v>49.1</v>
      </c>
      <c r="AM13" s="65">
        <v>54</v>
      </c>
      <c r="AN13" s="130">
        <v>0.5</v>
      </c>
      <c r="AO13" s="65">
        <v>1526</v>
      </c>
      <c r="AP13" s="65">
        <f t="shared" si="4"/>
        <v>3052</v>
      </c>
      <c r="AQ13" s="65">
        <v>106.8</v>
      </c>
      <c r="AR13" s="65">
        <v>20</v>
      </c>
      <c r="AS13" s="65">
        <v>18</v>
      </c>
      <c r="AT13" s="65">
        <v>114.1</v>
      </c>
      <c r="AU13" s="130">
        <v>26.97</v>
      </c>
      <c r="AV13" s="131">
        <f t="shared" si="5"/>
        <v>76.362839614373357</v>
      </c>
      <c r="AW13" s="65">
        <v>9.94</v>
      </c>
      <c r="AX13" s="130">
        <v>1.35</v>
      </c>
      <c r="AY13" s="130">
        <v>13.76</v>
      </c>
      <c r="AZ13" s="130">
        <v>0.89</v>
      </c>
      <c r="BA13" s="131">
        <f t="shared" si="6"/>
        <v>25.939999999999998</v>
      </c>
      <c r="BB13" s="131">
        <f t="shared" si="7"/>
        <v>1.441111111111111</v>
      </c>
      <c r="BC13" s="131">
        <f t="shared" si="8"/>
        <v>5.9333333333333336</v>
      </c>
      <c r="BD13" s="134">
        <f t="shared" si="9"/>
        <v>0.23637160385626643</v>
      </c>
      <c r="BE13" s="135">
        <f t="shared" si="10"/>
        <v>360.7030674846626</v>
      </c>
      <c r="BF13" s="135">
        <f t="shared" si="11"/>
        <v>721.40613496932519</v>
      </c>
      <c r="BG13" s="134">
        <f t="shared" si="12"/>
        <v>0.38319198149575945</v>
      </c>
      <c r="BH13" s="134">
        <f t="shared" si="13"/>
        <v>5.2043176561295305E-2</v>
      </c>
      <c r="BI13" s="134">
        <f t="shared" si="14"/>
        <v>0.53045489591364692</v>
      </c>
      <c r="BJ13" s="134">
        <f t="shared" si="15"/>
        <v>3.4309946029298384E-2</v>
      </c>
      <c r="BK13" s="135">
        <f t="shared" si="16"/>
        <v>276.43704632209301</v>
      </c>
      <c r="BL13" s="135">
        <f t="shared" si="17"/>
        <v>37.544266854610221</v>
      </c>
      <c r="BM13" s="135">
        <f t="shared" si="18"/>
        <v>382.67341623661974</v>
      </c>
      <c r="BN13" s="135">
        <f t="shared" si="19"/>
        <v>24.751405556002293</v>
      </c>
      <c r="BO13" s="136">
        <f t="shared" si="20"/>
        <v>44.650000000000006</v>
      </c>
      <c r="BP13" s="136">
        <f t="shared" si="21"/>
        <v>50.425000000000004</v>
      </c>
      <c r="BQ13" s="136">
        <f t="shared" si="22"/>
        <v>50.1</v>
      </c>
      <c r="BR13" s="136">
        <f t="shared" si="23"/>
        <v>45.95</v>
      </c>
      <c r="BS13" s="136">
        <f t="shared" si="24"/>
        <v>48.625</v>
      </c>
      <c r="BT13" s="136"/>
      <c r="BU13" s="91" t="s">
        <v>34</v>
      </c>
      <c r="BV13" s="104">
        <v>77.021715474806911</v>
      </c>
      <c r="BW13"/>
      <c r="BX13"/>
      <c r="BY13" s="91" t="s">
        <v>34</v>
      </c>
      <c r="BZ13" s="104">
        <v>1.6241695052282716</v>
      </c>
      <c r="CA13" s="35">
        <f t="shared" si="26"/>
        <v>0.81208475261413582</v>
      </c>
    </row>
    <row r="14" spans="1:79" s="65" customFormat="1" x14ac:dyDescent="0.35">
      <c r="A14" s="122" t="s">
        <v>33</v>
      </c>
      <c r="B14" s="122" t="s">
        <v>33</v>
      </c>
      <c r="C14" s="122" t="s">
        <v>34</v>
      </c>
      <c r="D14" s="122">
        <v>2</v>
      </c>
      <c r="E14" s="122">
        <v>4</v>
      </c>
      <c r="F14" s="122">
        <v>8</v>
      </c>
      <c r="G14" s="122">
        <v>408</v>
      </c>
      <c r="H14" s="65">
        <v>13</v>
      </c>
      <c r="I14" s="128">
        <v>45922</v>
      </c>
      <c r="J14" s="130">
        <v>0.84</v>
      </c>
      <c r="K14" s="133">
        <v>0.35399999999999998</v>
      </c>
      <c r="L14" s="133">
        <v>0.157</v>
      </c>
      <c r="M14" s="133">
        <v>0.14899999999999999</v>
      </c>
      <c r="N14" s="133">
        <v>0.1</v>
      </c>
      <c r="O14" s="129">
        <f t="shared" si="0"/>
        <v>0.64600000000000002</v>
      </c>
      <c r="P14" s="129">
        <f t="shared" si="25"/>
        <v>0.84299999999999997</v>
      </c>
      <c r="Q14" s="129">
        <f t="shared" si="2"/>
        <v>0.85099999999999998</v>
      </c>
      <c r="R14" s="129">
        <f t="shared" si="3"/>
        <v>0.9</v>
      </c>
      <c r="S14" s="65">
        <v>35.5</v>
      </c>
      <c r="T14" s="65">
        <v>33.9</v>
      </c>
      <c r="U14" s="65">
        <v>43.2</v>
      </c>
      <c r="V14" s="65">
        <v>50.5</v>
      </c>
      <c r="W14" s="65">
        <v>43.1</v>
      </c>
      <c r="X14" s="65">
        <v>39.6</v>
      </c>
      <c r="Y14" s="65">
        <v>50.3</v>
      </c>
      <c r="Z14" s="65">
        <v>56.8</v>
      </c>
      <c r="AA14" s="65">
        <v>54.3</v>
      </c>
      <c r="AB14" s="65">
        <v>45.7</v>
      </c>
      <c r="AC14" s="65">
        <v>52.6</v>
      </c>
      <c r="AD14" s="65">
        <v>55.4</v>
      </c>
      <c r="AE14" s="65">
        <v>50.3</v>
      </c>
      <c r="AF14" s="65">
        <v>49.5</v>
      </c>
      <c r="AG14" s="65">
        <v>58</v>
      </c>
      <c r="AH14" s="65">
        <v>62.4</v>
      </c>
      <c r="AI14" s="65">
        <v>48.5</v>
      </c>
      <c r="AJ14" s="65">
        <v>47.5</v>
      </c>
      <c r="AK14" s="65">
        <v>46.4</v>
      </c>
      <c r="AL14" s="65">
        <v>53.3</v>
      </c>
      <c r="AM14" s="65">
        <v>64</v>
      </c>
      <c r="AN14" s="130">
        <v>0.5</v>
      </c>
      <c r="AO14" s="65">
        <v>1757</v>
      </c>
      <c r="AP14" s="65">
        <f t="shared" si="4"/>
        <v>3514</v>
      </c>
      <c r="AQ14" s="65">
        <v>147.1</v>
      </c>
      <c r="AR14" s="65">
        <v>20</v>
      </c>
      <c r="AS14" s="65">
        <v>18</v>
      </c>
      <c r="AT14" s="65">
        <v>78.099999999999994</v>
      </c>
      <c r="AU14" s="130">
        <v>18.05</v>
      </c>
      <c r="AV14" s="131">
        <f t="shared" si="5"/>
        <v>76.888604353393092</v>
      </c>
      <c r="AW14" s="65">
        <v>11.2</v>
      </c>
      <c r="AX14" s="130">
        <v>0.14000000000000001</v>
      </c>
      <c r="AY14" s="130">
        <v>19.03</v>
      </c>
      <c r="AZ14" s="130">
        <v>1.5</v>
      </c>
      <c r="BA14" s="131">
        <f t="shared" si="6"/>
        <v>31.87</v>
      </c>
      <c r="BB14" s="131">
        <f t="shared" si="7"/>
        <v>1.7705555555555557</v>
      </c>
      <c r="BC14" s="131">
        <f t="shared" si="8"/>
        <v>8.1722222222222225</v>
      </c>
      <c r="BD14" s="134">
        <f t="shared" si="9"/>
        <v>0.23111395646606916</v>
      </c>
      <c r="BE14" s="135">
        <f t="shared" si="10"/>
        <v>406.06722151088354</v>
      </c>
      <c r="BF14" s="135">
        <f t="shared" si="11"/>
        <v>812.13444302176708</v>
      </c>
      <c r="BG14" s="134">
        <f t="shared" si="12"/>
        <v>0.35142767492940064</v>
      </c>
      <c r="BH14" s="134">
        <f t="shared" si="13"/>
        <v>4.3928459366175086E-3</v>
      </c>
      <c r="BI14" s="134">
        <f t="shared" si="14"/>
        <v>0.59711327267022285</v>
      </c>
      <c r="BJ14" s="134">
        <f t="shared" si="15"/>
        <v>4.7066206463759017E-2</v>
      </c>
      <c r="BK14" s="135">
        <f t="shared" si="16"/>
        <v>285.40651904122342</v>
      </c>
      <c r="BL14" s="135">
        <f t="shared" si="17"/>
        <v>3.5675814880152932</v>
      </c>
      <c r="BM14" s="135">
        <f t="shared" si="18"/>
        <v>484.93625512093598</v>
      </c>
      <c r="BN14" s="135">
        <f t="shared" si="19"/>
        <v>38.224087371592425</v>
      </c>
      <c r="BO14" s="136">
        <f t="shared" si="20"/>
        <v>40.775000000000006</v>
      </c>
      <c r="BP14" s="136">
        <f t="shared" si="21"/>
        <v>47.45</v>
      </c>
      <c r="BQ14" s="136">
        <f t="shared" si="22"/>
        <v>52</v>
      </c>
      <c r="BR14" s="136">
        <f t="shared" si="23"/>
        <v>55.050000000000004</v>
      </c>
      <c r="BS14" s="136">
        <f t="shared" si="24"/>
        <v>48.924999999999997</v>
      </c>
      <c r="BT14" s="136"/>
      <c r="BU14" s="91" t="s">
        <v>29</v>
      </c>
      <c r="BV14" s="104">
        <v>77.301066090645435</v>
      </c>
      <c r="BW14"/>
      <c r="BX14"/>
      <c r="BY14" s="91" t="s">
        <v>29</v>
      </c>
      <c r="BZ14" s="104">
        <v>2.1494572953556146</v>
      </c>
      <c r="CA14" s="35">
        <f t="shared" si="26"/>
        <v>1.0747286476778073</v>
      </c>
    </row>
    <row r="15" spans="1:79" s="65" customFormat="1" x14ac:dyDescent="0.35">
      <c r="A15" s="122" t="s">
        <v>33</v>
      </c>
      <c r="B15" s="122" t="s">
        <v>33</v>
      </c>
      <c r="C15" s="122" t="s">
        <v>30</v>
      </c>
      <c r="D15" s="122">
        <v>2</v>
      </c>
      <c r="E15" s="122">
        <v>3</v>
      </c>
      <c r="F15" s="122">
        <v>8</v>
      </c>
      <c r="G15" s="122">
        <v>308</v>
      </c>
      <c r="H15" s="65">
        <v>14</v>
      </c>
      <c r="I15" s="128">
        <v>45922</v>
      </c>
      <c r="J15" s="130">
        <v>0.67</v>
      </c>
      <c r="K15" s="133">
        <v>0.43099999999999999</v>
      </c>
      <c r="L15" s="133">
        <v>0.374</v>
      </c>
      <c r="M15" s="133">
        <v>0.22800000000000001</v>
      </c>
      <c r="N15" s="133">
        <v>0.20599999999999999</v>
      </c>
      <c r="O15" s="129">
        <f t="shared" si="0"/>
        <v>0.56899999999999995</v>
      </c>
      <c r="P15" s="129">
        <f t="shared" si="25"/>
        <v>0.626</v>
      </c>
      <c r="Q15" s="129">
        <f t="shared" si="2"/>
        <v>0.77200000000000002</v>
      </c>
      <c r="R15" s="129">
        <f t="shared" si="3"/>
        <v>0.79400000000000004</v>
      </c>
      <c r="S15" s="65">
        <v>46.7</v>
      </c>
      <c r="T15" s="65">
        <v>37.9</v>
      </c>
      <c r="U15" s="65">
        <v>45.2</v>
      </c>
      <c r="V15" s="65">
        <v>41.8</v>
      </c>
      <c r="W15" s="65">
        <v>48.1</v>
      </c>
      <c r="X15" s="65">
        <v>42.4</v>
      </c>
      <c r="Y15" s="65">
        <v>53.9</v>
      </c>
      <c r="Z15" s="65">
        <v>46.3</v>
      </c>
      <c r="AA15" s="65">
        <v>50.9</v>
      </c>
      <c r="AB15" s="65">
        <v>50.5</v>
      </c>
      <c r="AC15" s="65">
        <v>52.4</v>
      </c>
      <c r="AD15" s="65">
        <v>54.3</v>
      </c>
      <c r="AE15" s="65">
        <v>52.1</v>
      </c>
      <c r="AF15" s="65">
        <v>51.2</v>
      </c>
      <c r="AG15" s="65">
        <v>53.5</v>
      </c>
      <c r="AH15" s="65">
        <v>49.7</v>
      </c>
      <c r="AI15" s="65">
        <v>48.1</v>
      </c>
      <c r="AJ15" s="65">
        <v>55.3</v>
      </c>
      <c r="AK15" s="65">
        <v>53.8</v>
      </c>
      <c r="AL15" s="65">
        <v>48.1</v>
      </c>
      <c r="AM15" s="65">
        <v>50</v>
      </c>
      <c r="AN15" s="130">
        <v>0.5</v>
      </c>
      <c r="AO15" s="65">
        <v>1106</v>
      </c>
      <c r="AP15" s="65">
        <f t="shared" si="4"/>
        <v>2212</v>
      </c>
      <c r="AQ15" s="65">
        <v>130</v>
      </c>
      <c r="AR15" s="65">
        <v>20</v>
      </c>
      <c r="AS15" s="65">
        <v>17</v>
      </c>
      <c r="AT15" s="65">
        <v>73.900000000000006</v>
      </c>
      <c r="AU15" s="130">
        <v>16.57</v>
      </c>
      <c r="AV15" s="131">
        <f t="shared" si="5"/>
        <v>77.577807848443854</v>
      </c>
      <c r="AW15" s="65">
        <v>9.31</v>
      </c>
      <c r="AX15" s="130">
        <v>0.77</v>
      </c>
      <c r="AY15" s="130">
        <v>17.899999999999999</v>
      </c>
      <c r="AZ15" s="130">
        <v>1.1200000000000001</v>
      </c>
      <c r="BA15" s="131">
        <f t="shared" si="6"/>
        <v>29.099999999999998</v>
      </c>
      <c r="BB15" s="131">
        <f t="shared" si="7"/>
        <v>1.7117647058823529</v>
      </c>
      <c r="BC15" s="131">
        <f t="shared" si="8"/>
        <v>7.6470588235294121</v>
      </c>
      <c r="BD15" s="134">
        <f t="shared" si="9"/>
        <v>0.22422192151556156</v>
      </c>
      <c r="BE15" s="135">
        <f t="shared" si="10"/>
        <v>247.98944519621108</v>
      </c>
      <c r="BF15" s="135">
        <f t="shared" si="11"/>
        <v>495.97889039242216</v>
      </c>
      <c r="BG15" s="134">
        <f t="shared" si="12"/>
        <v>0.31993127147766326</v>
      </c>
      <c r="BH15" s="134">
        <f t="shared" si="13"/>
        <v>2.6460481099656361E-2</v>
      </c>
      <c r="BI15" s="134">
        <f t="shared" si="14"/>
        <v>0.61512027491408938</v>
      </c>
      <c r="BJ15" s="134">
        <f t="shared" si="15"/>
        <v>3.8487972508591074E-2</v>
      </c>
      <c r="BK15" s="135">
        <f t="shared" si="16"/>
        <v>158.67915702932819</v>
      </c>
      <c r="BL15" s="135">
        <f t="shared" si="17"/>
        <v>13.123840055057221</v>
      </c>
      <c r="BM15" s="135">
        <f t="shared" si="18"/>
        <v>305.08667140977172</v>
      </c>
      <c r="BN15" s="135">
        <f t="shared" si="19"/>
        <v>19.089221898265048</v>
      </c>
      <c r="BO15" s="136">
        <f t="shared" si="20"/>
        <v>42.900000000000006</v>
      </c>
      <c r="BP15" s="136">
        <f t="shared" si="21"/>
        <v>47.674999999999997</v>
      </c>
      <c r="BQ15" s="136">
        <f t="shared" si="22"/>
        <v>52.025000000000006</v>
      </c>
      <c r="BR15" s="136">
        <f t="shared" si="23"/>
        <v>51.625</v>
      </c>
      <c r="BS15" s="136">
        <f t="shared" si="24"/>
        <v>51.324999999999996</v>
      </c>
      <c r="BT15" s="136"/>
      <c r="BU15" s="91" t="s">
        <v>30</v>
      </c>
      <c r="BV15" s="104">
        <v>78.394021015404007</v>
      </c>
      <c r="BW15"/>
      <c r="BX15"/>
      <c r="BY15" s="91" t="s">
        <v>30</v>
      </c>
      <c r="BZ15" s="104">
        <v>0.866122036593164</v>
      </c>
      <c r="CA15" s="35">
        <f t="shared" si="26"/>
        <v>0.433061018296582</v>
      </c>
    </row>
    <row r="16" spans="1:79" s="65" customFormat="1" x14ac:dyDescent="0.35">
      <c r="A16" s="122" t="s">
        <v>33</v>
      </c>
      <c r="B16" s="122" t="s">
        <v>33</v>
      </c>
      <c r="C16" s="122" t="s">
        <v>29</v>
      </c>
      <c r="D16" s="122">
        <v>2</v>
      </c>
      <c r="E16" s="122">
        <v>2</v>
      </c>
      <c r="F16" s="122">
        <v>8</v>
      </c>
      <c r="G16" s="122">
        <v>208</v>
      </c>
      <c r="H16" s="65">
        <v>15</v>
      </c>
      <c r="I16" s="128">
        <v>45922</v>
      </c>
      <c r="J16" s="130">
        <v>0.77</v>
      </c>
      <c r="K16" s="133">
        <v>0.48899999999999999</v>
      </c>
      <c r="L16" s="133">
        <v>0.22800000000000001</v>
      </c>
      <c r="M16" s="133">
        <v>0.189</v>
      </c>
      <c r="N16" s="133">
        <v>0.114</v>
      </c>
      <c r="O16" s="129">
        <f t="shared" si="0"/>
        <v>0.51100000000000001</v>
      </c>
      <c r="P16" s="129">
        <f t="shared" si="25"/>
        <v>0.77200000000000002</v>
      </c>
      <c r="Q16" s="129">
        <f t="shared" si="2"/>
        <v>0.81099999999999994</v>
      </c>
      <c r="R16" s="129">
        <f t="shared" si="3"/>
        <v>0.88600000000000001</v>
      </c>
      <c r="S16" s="65">
        <v>36</v>
      </c>
      <c r="T16" s="65">
        <v>41</v>
      </c>
      <c r="U16" s="65">
        <v>27</v>
      </c>
      <c r="V16" s="65">
        <v>46.1</v>
      </c>
      <c r="W16" s="65">
        <v>46.8</v>
      </c>
      <c r="X16" s="65">
        <v>47.6</v>
      </c>
      <c r="Y16" s="65">
        <v>50</v>
      </c>
      <c r="Z16" s="65">
        <v>52.1</v>
      </c>
      <c r="AA16" s="65">
        <v>52</v>
      </c>
      <c r="AB16" s="65">
        <v>47.6</v>
      </c>
      <c r="AC16" s="65">
        <v>49.7</v>
      </c>
      <c r="AD16" s="65">
        <v>50.5</v>
      </c>
      <c r="AE16" s="65">
        <v>50.6</v>
      </c>
      <c r="AF16" s="65">
        <v>53.1</v>
      </c>
      <c r="AG16" s="65">
        <v>52.5</v>
      </c>
      <c r="AH16" s="65">
        <v>51.3</v>
      </c>
      <c r="AI16" s="65">
        <v>51</v>
      </c>
      <c r="AJ16" s="65">
        <v>47.9</v>
      </c>
      <c r="AK16" s="65">
        <v>48.6</v>
      </c>
      <c r="AL16" s="65">
        <v>51.6</v>
      </c>
      <c r="AM16" s="65">
        <v>52</v>
      </c>
      <c r="AN16" s="130">
        <v>0.5</v>
      </c>
      <c r="AO16" s="65">
        <v>1479</v>
      </c>
      <c r="AP16" s="65">
        <f t="shared" si="4"/>
        <v>2958</v>
      </c>
      <c r="AQ16" s="65">
        <v>125.3</v>
      </c>
      <c r="AR16" s="65">
        <v>20</v>
      </c>
      <c r="AS16" s="65">
        <v>20</v>
      </c>
      <c r="AT16" s="65">
        <v>79.2</v>
      </c>
      <c r="AU16" s="130">
        <v>18.5</v>
      </c>
      <c r="AV16" s="131">
        <f t="shared" si="5"/>
        <v>76.641414141414145</v>
      </c>
      <c r="AW16" s="65">
        <v>9.76</v>
      </c>
      <c r="AX16" s="130">
        <v>0.7</v>
      </c>
      <c r="AY16" s="130">
        <v>15.07</v>
      </c>
      <c r="AZ16" s="130">
        <v>2.82</v>
      </c>
      <c r="BA16" s="131">
        <f t="shared" si="6"/>
        <v>28.35</v>
      </c>
      <c r="BB16" s="131">
        <f t="shared" si="7"/>
        <v>1.4175</v>
      </c>
      <c r="BC16" s="131">
        <f t="shared" si="8"/>
        <v>6.2649999999999997</v>
      </c>
      <c r="BD16" s="134">
        <f t="shared" si="9"/>
        <v>0.23358585858585859</v>
      </c>
      <c r="BE16" s="135">
        <f t="shared" si="10"/>
        <v>345.47348484848487</v>
      </c>
      <c r="BF16" s="135">
        <f t="shared" si="11"/>
        <v>690.94696969696975</v>
      </c>
      <c r="BG16" s="134">
        <f t="shared" si="12"/>
        <v>0.34426807760141093</v>
      </c>
      <c r="BH16" s="134">
        <f t="shared" si="13"/>
        <v>2.4691358024691357E-2</v>
      </c>
      <c r="BI16" s="134">
        <f t="shared" si="14"/>
        <v>0.53156966490299817</v>
      </c>
      <c r="BJ16" s="134">
        <f t="shared" si="15"/>
        <v>9.947089947089946E-2</v>
      </c>
      <c r="BK16" s="135">
        <f t="shared" si="16"/>
        <v>237.8709849820961</v>
      </c>
      <c r="BL16" s="135">
        <f t="shared" si="17"/>
        <v>17.060419004863448</v>
      </c>
      <c r="BM16" s="135">
        <f t="shared" si="18"/>
        <v>367.28644914756023</v>
      </c>
      <c r="BN16" s="135">
        <f t="shared" si="19"/>
        <v>68.729116562449889</v>
      </c>
      <c r="BO16" s="136">
        <f t="shared" si="20"/>
        <v>37.524999999999999</v>
      </c>
      <c r="BP16" s="136">
        <f t="shared" si="21"/>
        <v>49.125</v>
      </c>
      <c r="BQ16" s="136">
        <f t="shared" si="22"/>
        <v>49.95</v>
      </c>
      <c r="BR16" s="136">
        <f t="shared" si="23"/>
        <v>51.875</v>
      </c>
      <c r="BS16" s="136">
        <f t="shared" si="24"/>
        <v>49.774999999999999</v>
      </c>
      <c r="BT16" s="136"/>
      <c r="BU16" s="32" t="s">
        <v>434</v>
      </c>
      <c r="BV16" s="104"/>
      <c r="BW16"/>
      <c r="BX16"/>
      <c r="BY16" s="32" t="s">
        <v>434</v>
      </c>
      <c r="BZ16" s="104"/>
      <c r="CA16"/>
    </row>
    <row r="17" spans="1:79" s="65" customFormat="1" x14ac:dyDescent="0.35">
      <c r="A17" s="122" t="s">
        <v>33</v>
      </c>
      <c r="B17" s="122" t="s">
        <v>33</v>
      </c>
      <c r="C17" s="122" t="s">
        <v>35</v>
      </c>
      <c r="D17" s="122">
        <v>2</v>
      </c>
      <c r="E17" s="122">
        <v>1</v>
      </c>
      <c r="F17" s="122">
        <v>8</v>
      </c>
      <c r="G17" s="122">
        <v>108</v>
      </c>
      <c r="H17" s="65">
        <v>16</v>
      </c>
      <c r="I17" s="128">
        <v>45925</v>
      </c>
      <c r="J17" s="130">
        <v>0.72</v>
      </c>
      <c r="K17" s="132">
        <v>0.68700000000000006</v>
      </c>
      <c r="L17" s="132">
        <v>0.436</v>
      </c>
      <c r="M17" s="132">
        <v>0.22799999999999998</v>
      </c>
      <c r="N17" s="132">
        <v>0.14549999999999999</v>
      </c>
      <c r="O17" s="129">
        <f t="shared" si="0"/>
        <v>0.31299999999999994</v>
      </c>
      <c r="P17" s="129">
        <f t="shared" si="25"/>
        <v>0.56400000000000006</v>
      </c>
      <c r="Q17" s="129">
        <f t="shared" si="2"/>
        <v>0.77200000000000002</v>
      </c>
      <c r="R17" s="129">
        <f t="shared" si="3"/>
        <v>0.85450000000000004</v>
      </c>
      <c r="S17" s="65">
        <v>52.7</v>
      </c>
      <c r="T17" s="65">
        <v>33.200000000000003</v>
      </c>
      <c r="U17" s="65">
        <v>48.5</v>
      </c>
      <c r="V17" s="65">
        <v>56.6</v>
      </c>
      <c r="W17" s="65">
        <v>57.9</v>
      </c>
      <c r="X17" s="65">
        <v>44.2</v>
      </c>
      <c r="Y17" s="65">
        <v>42.6</v>
      </c>
      <c r="Z17" s="65">
        <v>54.6</v>
      </c>
      <c r="AA17" s="65">
        <v>52.9</v>
      </c>
      <c r="AB17" s="65">
        <v>43.2</v>
      </c>
      <c r="AC17" s="65">
        <v>50.7</v>
      </c>
      <c r="AD17" s="65">
        <v>54.3</v>
      </c>
      <c r="AE17" s="65">
        <v>51.3</v>
      </c>
      <c r="AF17" s="65">
        <v>50.3</v>
      </c>
      <c r="AG17" s="65">
        <v>50.1</v>
      </c>
      <c r="AH17" s="65">
        <v>49.6</v>
      </c>
      <c r="AI17" s="65">
        <v>45</v>
      </c>
      <c r="AJ17" s="65">
        <v>44.1</v>
      </c>
      <c r="AK17" s="65">
        <v>50.7</v>
      </c>
      <c r="AL17" s="65">
        <v>43.2</v>
      </c>
      <c r="AM17" s="65">
        <v>61</v>
      </c>
      <c r="AN17" s="130">
        <v>0.5</v>
      </c>
      <c r="AO17" s="65">
        <v>1213</v>
      </c>
      <c r="AP17" s="65">
        <f t="shared" si="4"/>
        <v>2426</v>
      </c>
      <c r="AQ17" s="65">
        <v>135.9</v>
      </c>
      <c r="AR17" s="65">
        <v>20</v>
      </c>
      <c r="AS17" s="65">
        <v>19</v>
      </c>
      <c r="AT17" s="65">
        <v>98.7</v>
      </c>
      <c r="AU17" s="130">
        <v>24.75</v>
      </c>
      <c r="AV17" s="131">
        <f t="shared" si="5"/>
        <v>74.924012158054708</v>
      </c>
      <c r="AW17" s="65">
        <v>11.34</v>
      </c>
      <c r="AX17" s="130">
        <v>0</v>
      </c>
      <c r="AY17" s="130">
        <v>18.13</v>
      </c>
      <c r="AZ17" s="130">
        <v>0.84</v>
      </c>
      <c r="BA17" s="131">
        <f t="shared" si="6"/>
        <v>30.31</v>
      </c>
      <c r="BB17" s="131">
        <f t="shared" si="7"/>
        <v>1.5952631578947367</v>
      </c>
      <c r="BC17" s="131">
        <f t="shared" si="8"/>
        <v>7.1526315789473687</v>
      </c>
      <c r="BD17" s="134">
        <f t="shared" si="9"/>
        <v>0.25075987841945285</v>
      </c>
      <c r="BE17" s="135">
        <f t="shared" si="10"/>
        <v>304.17173252279633</v>
      </c>
      <c r="BF17" s="135">
        <f t="shared" si="11"/>
        <v>608.34346504559267</v>
      </c>
      <c r="BG17" s="134">
        <f t="shared" si="12"/>
        <v>0.37413394919168591</v>
      </c>
      <c r="BH17" s="134">
        <f t="shared" si="13"/>
        <v>0</v>
      </c>
      <c r="BI17" s="134">
        <f t="shared" si="14"/>
        <v>0.59815242494226328</v>
      </c>
      <c r="BJ17" s="134">
        <f t="shared" si="15"/>
        <v>2.771362586605081E-2</v>
      </c>
      <c r="BK17" s="135">
        <f t="shared" si="16"/>
        <v>227.60194304246193</v>
      </c>
      <c r="BL17" s="135">
        <f t="shared" si="17"/>
        <v>0</v>
      </c>
      <c r="BM17" s="135">
        <f t="shared" si="18"/>
        <v>363.88211881480021</v>
      </c>
      <c r="BN17" s="135">
        <f t="shared" si="19"/>
        <v>16.859403188330514</v>
      </c>
      <c r="BO17" s="136">
        <f t="shared" si="20"/>
        <v>47.75</v>
      </c>
      <c r="BP17" s="136">
        <f t="shared" si="21"/>
        <v>49.824999999999996</v>
      </c>
      <c r="BQ17" s="136">
        <f t="shared" si="22"/>
        <v>50.275000000000006</v>
      </c>
      <c r="BR17" s="136">
        <f t="shared" si="23"/>
        <v>50.324999999999996</v>
      </c>
      <c r="BS17" s="136">
        <f t="shared" si="24"/>
        <v>45.75</v>
      </c>
      <c r="BT17" s="136"/>
      <c r="BU17" s="91" t="s">
        <v>434</v>
      </c>
      <c r="BV17" s="104"/>
      <c r="BW17"/>
      <c r="BX17"/>
      <c r="BY17" s="91" t="s">
        <v>434</v>
      </c>
      <c r="BZ17" s="104"/>
      <c r="CA17"/>
    </row>
    <row r="18" spans="1:79" s="65" customFormat="1" x14ac:dyDescent="0.35">
      <c r="A18" s="122" t="s">
        <v>28</v>
      </c>
      <c r="B18" s="122" t="s">
        <v>28</v>
      </c>
      <c r="C18" s="122" t="s">
        <v>32</v>
      </c>
      <c r="D18" s="122">
        <v>3</v>
      </c>
      <c r="E18" s="122">
        <v>1</v>
      </c>
      <c r="F18" s="122">
        <v>10</v>
      </c>
      <c r="G18" s="122">
        <v>110</v>
      </c>
      <c r="H18" s="65">
        <v>17</v>
      </c>
      <c r="I18" s="128">
        <v>45930</v>
      </c>
      <c r="J18" s="130">
        <v>0.77</v>
      </c>
      <c r="K18" s="132">
        <v>0.67799999999999994</v>
      </c>
      <c r="L18" s="132">
        <v>0.28349999999999997</v>
      </c>
      <c r="M18" s="132">
        <v>0.14400000000000002</v>
      </c>
      <c r="N18" s="132">
        <v>8.5499999999999993E-2</v>
      </c>
      <c r="O18" s="129">
        <f t="shared" si="0"/>
        <v>0.32200000000000006</v>
      </c>
      <c r="P18" s="129">
        <f t="shared" si="25"/>
        <v>0.71650000000000003</v>
      </c>
      <c r="Q18" s="129">
        <f t="shared" si="2"/>
        <v>0.85599999999999998</v>
      </c>
      <c r="R18" s="129">
        <f t="shared" si="3"/>
        <v>0.91449999999999998</v>
      </c>
      <c r="S18" s="65">
        <v>56.4</v>
      </c>
      <c r="T18" s="65">
        <v>47.5</v>
      </c>
      <c r="U18" s="65">
        <v>27.2</v>
      </c>
      <c r="V18" s="65">
        <v>54.3</v>
      </c>
      <c r="W18" s="65">
        <v>56.1</v>
      </c>
      <c r="X18" s="65">
        <v>52.1</v>
      </c>
      <c r="Y18" s="65">
        <v>49.6</v>
      </c>
      <c r="Z18" s="65">
        <v>60</v>
      </c>
      <c r="AA18" s="65">
        <v>53.7</v>
      </c>
      <c r="AB18" s="65">
        <v>57</v>
      </c>
      <c r="AC18" s="65">
        <v>56.2</v>
      </c>
      <c r="AD18" s="65">
        <v>55.4</v>
      </c>
      <c r="AE18" s="65">
        <v>56</v>
      </c>
      <c r="AF18" s="65">
        <v>52</v>
      </c>
      <c r="AG18" s="65">
        <v>59.4</v>
      </c>
      <c r="AH18" s="65">
        <v>57.4</v>
      </c>
      <c r="AI18" s="65">
        <v>52.5</v>
      </c>
      <c r="AJ18" s="65">
        <v>49.8</v>
      </c>
      <c r="AK18" s="65">
        <v>52.3</v>
      </c>
      <c r="AL18" s="65">
        <v>52.5</v>
      </c>
      <c r="AM18" s="65">
        <v>68</v>
      </c>
      <c r="AN18" s="130">
        <v>0.5</v>
      </c>
      <c r="AO18" s="65">
        <v>1791</v>
      </c>
      <c r="AP18" s="65">
        <f t="shared" si="4"/>
        <v>3582</v>
      </c>
      <c r="AQ18" s="65">
        <v>144.5</v>
      </c>
      <c r="AR18" s="65">
        <v>20</v>
      </c>
      <c r="AS18" s="65">
        <v>20</v>
      </c>
      <c r="AT18" s="65">
        <v>83.1</v>
      </c>
      <c r="AU18" s="130">
        <v>20.48</v>
      </c>
      <c r="AV18" s="131">
        <f t="shared" si="5"/>
        <v>75.354993983152823</v>
      </c>
      <c r="AW18" s="65">
        <v>9.0399999999999991</v>
      </c>
      <c r="AX18" s="130">
        <v>0.72</v>
      </c>
      <c r="AY18" s="130">
        <v>21.62</v>
      </c>
      <c r="AZ18" s="130">
        <v>2.56</v>
      </c>
      <c r="BA18" s="131">
        <f t="shared" si="6"/>
        <v>33.940000000000005</v>
      </c>
      <c r="BB18" s="131">
        <f t="shared" si="7"/>
        <v>1.6970000000000003</v>
      </c>
      <c r="BC18" s="131">
        <f t="shared" si="8"/>
        <v>7.2249999999999996</v>
      </c>
      <c r="BD18" s="134">
        <f t="shared" si="9"/>
        <v>0.24645006016847174</v>
      </c>
      <c r="BE18" s="135">
        <f t="shared" si="10"/>
        <v>441.39205776173287</v>
      </c>
      <c r="BF18" s="135">
        <f t="shared" si="11"/>
        <v>882.78411552346574</v>
      </c>
      <c r="BG18" s="134">
        <f t="shared" si="12"/>
        <v>0.26635238656452559</v>
      </c>
      <c r="BH18" s="134">
        <f t="shared" si="13"/>
        <v>2.1213906894519737E-2</v>
      </c>
      <c r="BI18" s="134">
        <f t="shared" si="14"/>
        <v>0.63700648202710664</v>
      </c>
      <c r="BJ18" s="134">
        <f t="shared" si="15"/>
        <v>7.5427224513847951E-2</v>
      </c>
      <c r="BK18" s="135">
        <f t="shared" si="16"/>
        <v>235.13165599092898</v>
      </c>
      <c r="BL18" s="135">
        <f t="shared" si="17"/>
        <v>18.727300034675757</v>
      </c>
      <c r="BM18" s="135">
        <f t="shared" si="18"/>
        <v>562.33920381901385</v>
      </c>
      <c r="BN18" s="135">
        <f t="shared" si="19"/>
        <v>66.585955678847142</v>
      </c>
      <c r="BO18" s="136">
        <f t="shared" si="20"/>
        <v>46.349999999999994</v>
      </c>
      <c r="BP18" s="136">
        <f t="shared" si="21"/>
        <v>54.45</v>
      </c>
      <c r="BQ18" s="136">
        <f t="shared" si="22"/>
        <v>55.575000000000003</v>
      </c>
      <c r="BR18" s="136">
        <f t="shared" si="23"/>
        <v>56.2</v>
      </c>
      <c r="BS18" s="136">
        <f t="shared" si="24"/>
        <v>51.774999999999999</v>
      </c>
      <c r="BT18" s="136"/>
      <c r="BU18" s="32" t="s">
        <v>418</v>
      </c>
      <c r="BV18" s="104">
        <v>76.834299595314775</v>
      </c>
      <c r="BW18"/>
      <c r="BX18"/>
      <c r="BY18" s="32" t="s">
        <v>418</v>
      </c>
      <c r="BZ18" s="104">
        <v>2.1389442768075342</v>
      </c>
      <c r="CA18"/>
    </row>
    <row r="19" spans="1:79" s="65" customFormat="1" x14ac:dyDescent="0.35">
      <c r="A19" s="122" t="s">
        <v>28</v>
      </c>
      <c r="B19" s="122" t="s">
        <v>28</v>
      </c>
      <c r="C19" s="122" t="s">
        <v>31</v>
      </c>
      <c r="D19" s="122">
        <v>3</v>
      </c>
      <c r="E19" s="122">
        <v>2</v>
      </c>
      <c r="F19" s="122">
        <v>10</v>
      </c>
      <c r="G19" s="122">
        <v>210</v>
      </c>
      <c r="H19" s="65">
        <v>18</v>
      </c>
      <c r="I19" s="128">
        <v>45915</v>
      </c>
      <c r="J19" s="130">
        <v>0.86</v>
      </c>
      <c r="K19" s="133">
        <v>0.16900000000000001</v>
      </c>
      <c r="L19" s="133">
        <v>8.7999999999999995E-2</v>
      </c>
      <c r="M19" s="133">
        <v>4.4999999999999998E-2</v>
      </c>
      <c r="N19" s="133">
        <v>1.0999999999999999E-2</v>
      </c>
      <c r="O19" s="129">
        <f t="shared" si="0"/>
        <v>0.83099999999999996</v>
      </c>
      <c r="P19" s="129">
        <f t="shared" si="25"/>
        <v>0.91200000000000003</v>
      </c>
      <c r="Q19" s="129">
        <f t="shared" si="2"/>
        <v>0.95499999999999996</v>
      </c>
      <c r="R19" s="129">
        <f t="shared" si="3"/>
        <v>0.98899999999999999</v>
      </c>
      <c r="S19" s="65">
        <v>26.1</v>
      </c>
      <c r="T19" s="65">
        <v>43.4</v>
      </c>
      <c r="U19" s="65">
        <v>11.3</v>
      </c>
      <c r="V19" s="65">
        <v>44.1</v>
      </c>
      <c r="W19" s="65">
        <v>52.2</v>
      </c>
      <c r="X19" s="65">
        <v>53.4</v>
      </c>
      <c r="Y19" s="65">
        <v>40.4</v>
      </c>
      <c r="Z19" s="65">
        <v>48.1</v>
      </c>
      <c r="AA19" s="65">
        <v>47.1</v>
      </c>
      <c r="AB19" s="65">
        <v>49.8</v>
      </c>
      <c r="AC19" s="65">
        <v>56.2</v>
      </c>
      <c r="AD19" s="65">
        <v>52.8</v>
      </c>
      <c r="AE19" s="65">
        <v>53.4</v>
      </c>
      <c r="AF19" s="65">
        <v>51</v>
      </c>
      <c r="AG19" s="65">
        <v>49.1</v>
      </c>
      <c r="AH19" s="65">
        <v>51.7</v>
      </c>
      <c r="AI19" s="65">
        <v>48.5</v>
      </c>
      <c r="AJ19" s="65">
        <v>48.5</v>
      </c>
      <c r="AK19" s="65">
        <v>46.6</v>
      </c>
      <c r="AL19" s="65">
        <v>47.6</v>
      </c>
      <c r="AM19" s="65">
        <v>63</v>
      </c>
      <c r="AN19" s="130">
        <v>0.5</v>
      </c>
      <c r="AO19" s="65">
        <v>1811</v>
      </c>
      <c r="AP19" s="65">
        <f t="shared" si="4"/>
        <v>3622</v>
      </c>
      <c r="AQ19" s="65">
        <v>138.80000000000001</v>
      </c>
      <c r="AR19" s="65">
        <v>20</v>
      </c>
      <c r="AS19" s="65">
        <v>20</v>
      </c>
      <c r="AT19" s="65">
        <v>106.1</v>
      </c>
      <c r="AU19" s="130">
        <v>23.81</v>
      </c>
      <c r="AV19" s="131">
        <f t="shared" si="5"/>
        <v>77.558906691800189</v>
      </c>
      <c r="AW19" s="65">
        <v>11.41</v>
      </c>
      <c r="AX19" s="130">
        <v>1.98</v>
      </c>
      <c r="AY19" s="130">
        <v>18.91</v>
      </c>
      <c r="AZ19" s="130">
        <v>1.1399999999999999</v>
      </c>
      <c r="BA19" s="131">
        <f t="shared" si="6"/>
        <v>33.44</v>
      </c>
      <c r="BB19" s="131">
        <f t="shared" si="7"/>
        <v>1.6719999999999999</v>
      </c>
      <c r="BC19" s="131">
        <f t="shared" si="8"/>
        <v>6.94</v>
      </c>
      <c r="BD19" s="134">
        <f t="shared" si="9"/>
        <v>0.22441093308199811</v>
      </c>
      <c r="BE19" s="135">
        <f t="shared" si="10"/>
        <v>406.40819981149855</v>
      </c>
      <c r="BF19" s="135">
        <f t="shared" si="11"/>
        <v>812.8163996229971</v>
      </c>
      <c r="BG19" s="134">
        <f t="shared" si="12"/>
        <v>0.3412081339712919</v>
      </c>
      <c r="BH19" s="134">
        <f t="shared" si="13"/>
        <v>5.9210526315789477E-2</v>
      </c>
      <c r="BI19" s="134">
        <f t="shared" si="14"/>
        <v>0.56549043062200965</v>
      </c>
      <c r="BJ19" s="134">
        <f t="shared" si="15"/>
        <v>3.4090909090909088E-2</v>
      </c>
      <c r="BK19" s="135">
        <f t="shared" si="16"/>
        <v>277.33956697662671</v>
      </c>
      <c r="BL19" s="135">
        <f t="shared" si="17"/>
        <v>48.127286819782725</v>
      </c>
      <c r="BM19" s="135">
        <f t="shared" si="18"/>
        <v>459.6398958394401</v>
      </c>
      <c r="BN19" s="135">
        <f t="shared" si="19"/>
        <v>27.709649987147625</v>
      </c>
      <c r="BO19" s="136">
        <f t="shared" si="20"/>
        <v>31.225000000000001</v>
      </c>
      <c r="BP19" s="136">
        <f t="shared" si="21"/>
        <v>48.524999999999999</v>
      </c>
      <c r="BQ19" s="136">
        <f t="shared" si="22"/>
        <v>51.475000000000009</v>
      </c>
      <c r="BR19" s="136">
        <f t="shared" si="23"/>
        <v>51.3</v>
      </c>
      <c r="BS19" s="136">
        <f t="shared" si="24"/>
        <v>47.8</v>
      </c>
      <c r="BT19" s="136"/>
      <c r="BU19"/>
      <c r="BV19"/>
      <c r="BW19"/>
      <c r="BX19"/>
      <c r="BY19"/>
      <c r="BZ19"/>
      <c r="CA19"/>
    </row>
    <row r="20" spans="1:79" s="65" customFormat="1" x14ac:dyDescent="0.35">
      <c r="A20" s="122" t="s">
        <v>28</v>
      </c>
      <c r="B20" s="122" t="s">
        <v>28</v>
      </c>
      <c r="C20" s="122" t="s">
        <v>29</v>
      </c>
      <c r="D20" s="122">
        <v>3</v>
      </c>
      <c r="E20" s="122">
        <v>3</v>
      </c>
      <c r="F20" s="122">
        <v>10</v>
      </c>
      <c r="G20" s="122">
        <v>310</v>
      </c>
      <c r="H20" s="65">
        <v>19</v>
      </c>
      <c r="I20" s="128">
        <v>45909</v>
      </c>
      <c r="J20" s="130">
        <v>0.69</v>
      </c>
      <c r="K20" s="133">
        <v>0.41199999999999998</v>
      </c>
      <c r="L20" s="133">
        <v>0.28899999999999998</v>
      </c>
      <c r="M20" s="133">
        <v>0.183</v>
      </c>
      <c r="N20" s="133">
        <v>0.107</v>
      </c>
      <c r="O20" s="129">
        <f t="shared" si="0"/>
        <v>0.58800000000000008</v>
      </c>
      <c r="P20" s="129">
        <f t="shared" si="25"/>
        <v>0.71100000000000008</v>
      </c>
      <c r="Q20" s="129">
        <f t="shared" si="2"/>
        <v>0.81699999999999995</v>
      </c>
      <c r="R20" s="129">
        <f t="shared" si="3"/>
        <v>0.89300000000000002</v>
      </c>
      <c r="S20" s="65">
        <v>43.8</v>
      </c>
      <c r="T20" s="65">
        <v>48.2</v>
      </c>
      <c r="U20" s="65">
        <v>40.700000000000003</v>
      </c>
      <c r="V20" s="65">
        <v>44</v>
      </c>
      <c r="W20" s="65">
        <v>48</v>
      </c>
      <c r="X20" s="65">
        <v>45.2</v>
      </c>
      <c r="Y20" s="65">
        <v>49.9</v>
      </c>
      <c r="Z20" s="65">
        <v>51.5</v>
      </c>
      <c r="AA20" s="65">
        <v>52.5</v>
      </c>
      <c r="AB20" s="65">
        <v>50.7</v>
      </c>
      <c r="AC20" s="65">
        <v>50</v>
      </c>
      <c r="AD20" s="65">
        <v>51.9</v>
      </c>
      <c r="AE20" s="65">
        <v>51.5</v>
      </c>
      <c r="AF20" s="65">
        <v>47.3</v>
      </c>
      <c r="AG20" s="65">
        <v>45.3</v>
      </c>
      <c r="AH20" s="65">
        <v>55.3</v>
      </c>
      <c r="AI20" s="65">
        <v>48</v>
      </c>
      <c r="AJ20" s="65">
        <v>44.1</v>
      </c>
      <c r="AK20" s="65">
        <v>44.2</v>
      </c>
      <c r="AL20" s="65">
        <v>49.9</v>
      </c>
      <c r="AM20" s="65">
        <v>52</v>
      </c>
      <c r="AN20" s="130">
        <v>0.5</v>
      </c>
      <c r="AO20" s="65">
        <v>1224</v>
      </c>
      <c r="AP20" s="65">
        <f t="shared" si="4"/>
        <v>2448</v>
      </c>
      <c r="AQ20" s="65">
        <v>100.6</v>
      </c>
      <c r="AR20" s="65">
        <v>20</v>
      </c>
      <c r="AS20" s="65">
        <v>19</v>
      </c>
      <c r="AT20" s="65">
        <v>128.19999999999999</v>
      </c>
      <c r="AU20" s="130">
        <v>29.43</v>
      </c>
      <c r="AV20" s="131">
        <f t="shared" si="5"/>
        <v>77.043681747269886</v>
      </c>
      <c r="AW20" s="65">
        <v>9</v>
      </c>
      <c r="AX20" s="130">
        <v>0.83</v>
      </c>
      <c r="AY20" s="130">
        <v>13.49</v>
      </c>
      <c r="AZ20" s="130">
        <v>0.4</v>
      </c>
      <c r="BA20" s="131">
        <f t="shared" si="6"/>
        <v>23.72</v>
      </c>
      <c r="BB20" s="131">
        <f t="shared" si="7"/>
        <v>1.2484210526315789</v>
      </c>
      <c r="BC20" s="131">
        <f t="shared" si="8"/>
        <v>5.2947368421052632</v>
      </c>
      <c r="BD20" s="134">
        <f t="shared" si="9"/>
        <v>0.22956318252730112</v>
      </c>
      <c r="BE20" s="135">
        <f t="shared" si="10"/>
        <v>280.98533541341658</v>
      </c>
      <c r="BF20" s="135">
        <f t="shared" si="11"/>
        <v>561.97067082683316</v>
      </c>
      <c r="BG20" s="134">
        <f t="shared" si="12"/>
        <v>0.37942664418212479</v>
      </c>
      <c r="BH20" s="134">
        <f t="shared" si="13"/>
        <v>3.499156829679595E-2</v>
      </c>
      <c r="BI20" s="134">
        <f t="shared" si="14"/>
        <v>0.56871838111298489</v>
      </c>
      <c r="BJ20" s="134">
        <f t="shared" si="15"/>
        <v>1.6863406408094438E-2</v>
      </c>
      <c r="BK20" s="135">
        <f t="shared" si="16"/>
        <v>213.22664576060279</v>
      </c>
      <c r="BL20" s="135">
        <f t="shared" si="17"/>
        <v>19.664235109033367</v>
      </c>
      <c r="BM20" s="135">
        <f t="shared" si="18"/>
        <v>319.6030501456147</v>
      </c>
      <c r="BN20" s="135">
        <f t="shared" si="19"/>
        <v>9.4767398115823482</v>
      </c>
      <c r="BO20" s="136">
        <f t="shared" si="20"/>
        <v>44.174999999999997</v>
      </c>
      <c r="BP20" s="136">
        <f t="shared" si="21"/>
        <v>48.65</v>
      </c>
      <c r="BQ20" s="136">
        <f t="shared" si="22"/>
        <v>51.274999999999999</v>
      </c>
      <c r="BR20" s="136">
        <f t="shared" si="23"/>
        <v>49.849999999999994</v>
      </c>
      <c r="BS20" s="136">
        <f t="shared" si="24"/>
        <v>46.550000000000004</v>
      </c>
      <c r="BT20" s="136"/>
      <c r="BU20" s="136"/>
    </row>
    <row r="21" spans="1:79" s="65" customFormat="1" x14ac:dyDescent="0.35">
      <c r="A21" s="122" t="s">
        <v>28</v>
      </c>
      <c r="B21" s="122" t="s">
        <v>28</v>
      </c>
      <c r="C21" s="122" t="s">
        <v>30</v>
      </c>
      <c r="D21" s="122">
        <v>3</v>
      </c>
      <c r="E21" s="122">
        <v>4</v>
      </c>
      <c r="F21" s="122">
        <v>10</v>
      </c>
      <c r="G21" s="122">
        <v>410</v>
      </c>
      <c r="H21" s="65">
        <v>20</v>
      </c>
      <c r="I21" s="128">
        <v>45912</v>
      </c>
      <c r="J21" s="130">
        <v>0.74</v>
      </c>
      <c r="K21" s="133">
        <v>0.41199999999999998</v>
      </c>
      <c r="L21" s="133">
        <v>0.22900000000000001</v>
      </c>
      <c r="M21" s="133">
        <v>0.124</v>
      </c>
      <c r="N21" s="133">
        <v>6.5000000000000002E-2</v>
      </c>
      <c r="O21" s="129">
        <f t="shared" si="0"/>
        <v>0.58800000000000008</v>
      </c>
      <c r="P21" s="129">
        <f t="shared" si="25"/>
        <v>0.77100000000000002</v>
      </c>
      <c r="Q21" s="129">
        <f t="shared" si="2"/>
        <v>0.876</v>
      </c>
      <c r="R21" s="129">
        <f t="shared" si="3"/>
        <v>0.93500000000000005</v>
      </c>
      <c r="S21" s="65">
        <v>48.7</v>
      </c>
      <c r="T21" s="65">
        <v>43.4</v>
      </c>
      <c r="U21" s="65">
        <v>47.9</v>
      </c>
      <c r="V21" s="65">
        <v>46.2</v>
      </c>
      <c r="W21" s="65">
        <v>42.3</v>
      </c>
      <c r="X21" s="65">
        <v>46.3</v>
      </c>
      <c r="Y21" s="65">
        <v>50</v>
      </c>
      <c r="Z21" s="65">
        <v>53.9</v>
      </c>
      <c r="AA21" s="65">
        <v>52.3</v>
      </c>
      <c r="AB21" s="65">
        <v>47.9</v>
      </c>
      <c r="AC21" s="65">
        <v>52.3</v>
      </c>
      <c r="AD21" s="65">
        <v>51.7</v>
      </c>
      <c r="AE21" s="65">
        <v>51.4</v>
      </c>
      <c r="AF21" s="65">
        <v>53.8</v>
      </c>
      <c r="AG21" s="65">
        <v>59.3</v>
      </c>
      <c r="AH21" s="65">
        <v>55.3</v>
      </c>
      <c r="AI21" s="65">
        <v>49.5</v>
      </c>
      <c r="AJ21" s="65">
        <v>42.9</v>
      </c>
      <c r="AK21" s="65">
        <v>50.5</v>
      </c>
      <c r="AL21" s="65">
        <v>51.2</v>
      </c>
      <c r="AM21" s="65">
        <v>67</v>
      </c>
      <c r="AN21" s="130">
        <v>0.5</v>
      </c>
      <c r="AO21" s="65">
        <v>1527</v>
      </c>
      <c r="AP21" s="65">
        <f t="shared" si="4"/>
        <v>3054</v>
      </c>
      <c r="AQ21" s="65">
        <v>127.4</v>
      </c>
      <c r="AR21" s="65">
        <v>20</v>
      </c>
      <c r="AS21" s="65">
        <v>19</v>
      </c>
      <c r="AT21" s="65">
        <v>101.2</v>
      </c>
      <c r="AU21" s="130">
        <v>20.329999999999998</v>
      </c>
      <c r="AV21" s="131">
        <f t="shared" si="5"/>
        <v>79.911067193675891</v>
      </c>
      <c r="AW21" s="65">
        <v>9.69</v>
      </c>
      <c r="AX21" s="130">
        <v>1.0900000000000001</v>
      </c>
      <c r="AY21" s="130">
        <v>17.97</v>
      </c>
      <c r="AZ21" s="130">
        <v>0.84</v>
      </c>
      <c r="BA21" s="131">
        <f t="shared" si="6"/>
        <v>29.59</v>
      </c>
      <c r="BB21" s="131">
        <f t="shared" si="7"/>
        <v>1.5573684210526315</v>
      </c>
      <c r="BC21" s="131">
        <f t="shared" si="8"/>
        <v>6.7052631578947368</v>
      </c>
      <c r="BD21" s="134">
        <f t="shared" si="9"/>
        <v>0.20088932806324108</v>
      </c>
      <c r="BE21" s="135">
        <f t="shared" si="10"/>
        <v>306.75800395256914</v>
      </c>
      <c r="BF21" s="135">
        <f t="shared" si="11"/>
        <v>613.51600790513828</v>
      </c>
      <c r="BG21" s="134">
        <f t="shared" si="12"/>
        <v>0.32747549847921592</v>
      </c>
      <c r="BH21" s="134">
        <f t="shared" si="13"/>
        <v>3.6836769178776617E-2</v>
      </c>
      <c r="BI21" s="134">
        <f t="shared" si="14"/>
        <v>0.60729976343359238</v>
      </c>
      <c r="BJ21" s="134">
        <f t="shared" si="15"/>
        <v>2.8387968908415002E-2</v>
      </c>
      <c r="BK21" s="135">
        <f t="shared" si="16"/>
        <v>200.91146051371373</v>
      </c>
      <c r="BL21" s="135">
        <f t="shared" si="17"/>
        <v>22.599947570686069</v>
      </c>
      <c r="BM21" s="135">
        <f t="shared" si="18"/>
        <v>372.58812646351248</v>
      </c>
      <c r="BN21" s="135">
        <f t="shared" si="19"/>
        <v>17.416473357225957</v>
      </c>
      <c r="BO21" s="136">
        <f t="shared" si="20"/>
        <v>46.55</v>
      </c>
      <c r="BP21" s="136">
        <f t="shared" si="21"/>
        <v>48.125</v>
      </c>
      <c r="BQ21" s="136">
        <f t="shared" si="22"/>
        <v>51.05</v>
      </c>
      <c r="BR21" s="136">
        <f t="shared" si="23"/>
        <v>54.95</v>
      </c>
      <c r="BS21" s="136">
        <f t="shared" si="24"/>
        <v>48.525000000000006</v>
      </c>
      <c r="BT21" s="136"/>
      <c r="BU21" s="136"/>
    </row>
    <row r="22" spans="1:79" s="65" customFormat="1" x14ac:dyDescent="0.35">
      <c r="A22" s="122" t="s">
        <v>33</v>
      </c>
      <c r="B22" s="122" t="s">
        <v>33</v>
      </c>
      <c r="C22" s="122" t="s">
        <v>30</v>
      </c>
      <c r="D22" s="122">
        <v>3</v>
      </c>
      <c r="E22" s="122">
        <v>4</v>
      </c>
      <c r="F22" s="122">
        <v>12</v>
      </c>
      <c r="G22" s="122">
        <v>412</v>
      </c>
      <c r="H22" s="65">
        <v>21</v>
      </c>
      <c r="I22" s="128">
        <v>45922</v>
      </c>
      <c r="J22" s="130">
        <v>0.66</v>
      </c>
      <c r="K22" s="133">
        <v>0.36299999999999999</v>
      </c>
      <c r="L22" s="133">
        <v>0.32200000000000001</v>
      </c>
      <c r="M22" s="133">
        <v>0.19400000000000001</v>
      </c>
      <c r="N22" s="133">
        <v>0.14199999999999999</v>
      </c>
      <c r="O22" s="129">
        <f t="shared" si="0"/>
        <v>0.63700000000000001</v>
      </c>
      <c r="P22" s="129">
        <f t="shared" si="25"/>
        <v>0.67799999999999994</v>
      </c>
      <c r="Q22" s="129">
        <f t="shared" si="2"/>
        <v>0.80600000000000005</v>
      </c>
      <c r="R22" s="129">
        <f t="shared" si="3"/>
        <v>0.85799999999999998</v>
      </c>
      <c r="S22" s="65">
        <v>1.4</v>
      </c>
      <c r="T22" s="65">
        <v>38.200000000000003</v>
      </c>
      <c r="U22" s="65">
        <v>19.3</v>
      </c>
      <c r="V22" s="65">
        <v>44.9</v>
      </c>
      <c r="W22" s="65">
        <v>48.4</v>
      </c>
      <c r="X22" s="65">
        <v>48.1</v>
      </c>
      <c r="Y22" s="65">
        <v>50.6</v>
      </c>
      <c r="Z22" s="65">
        <v>54.7</v>
      </c>
      <c r="AA22" s="65">
        <v>53</v>
      </c>
      <c r="AB22" s="65">
        <v>53.4</v>
      </c>
      <c r="AC22" s="65">
        <v>57</v>
      </c>
      <c r="AD22" s="65">
        <v>52.5</v>
      </c>
      <c r="AE22" s="65">
        <v>56.6</v>
      </c>
      <c r="AF22" s="65">
        <v>53.3</v>
      </c>
      <c r="AG22" s="65">
        <v>56.3</v>
      </c>
      <c r="AH22" s="65">
        <v>52.2</v>
      </c>
      <c r="AI22" s="65">
        <v>48.1</v>
      </c>
      <c r="AJ22" s="65">
        <v>50.1</v>
      </c>
      <c r="AK22" s="65">
        <v>52.7</v>
      </c>
      <c r="AL22" s="65">
        <v>51.4</v>
      </c>
      <c r="AM22" s="65">
        <v>55</v>
      </c>
      <c r="AN22" s="130">
        <v>0.5</v>
      </c>
      <c r="AO22" s="65">
        <v>1536</v>
      </c>
      <c r="AP22" s="65">
        <f t="shared" si="4"/>
        <v>3072</v>
      </c>
      <c r="AQ22" s="65">
        <v>102.3</v>
      </c>
      <c r="AR22" s="65">
        <v>20</v>
      </c>
      <c r="AS22" s="65">
        <v>18</v>
      </c>
      <c r="AT22" s="65">
        <v>65.099999999999994</v>
      </c>
      <c r="AU22" s="130">
        <v>13.89</v>
      </c>
      <c r="AV22" s="131">
        <f t="shared" si="5"/>
        <v>78.663594470046078</v>
      </c>
      <c r="AW22" s="65">
        <v>7.39</v>
      </c>
      <c r="AX22" s="130">
        <v>0.61</v>
      </c>
      <c r="AY22" s="130">
        <v>13.2</v>
      </c>
      <c r="AZ22" s="130">
        <v>0.87</v>
      </c>
      <c r="BA22" s="131">
        <f t="shared" si="6"/>
        <v>22.07</v>
      </c>
      <c r="BB22" s="131">
        <f t="shared" si="7"/>
        <v>1.2261111111111112</v>
      </c>
      <c r="BC22" s="131">
        <f t="shared" si="8"/>
        <v>5.6833333333333336</v>
      </c>
      <c r="BD22" s="134">
        <f t="shared" si="9"/>
        <v>0.2133640552995392</v>
      </c>
      <c r="BE22" s="135">
        <f t="shared" si="10"/>
        <v>327.72718894009222</v>
      </c>
      <c r="BF22" s="135">
        <f t="shared" si="11"/>
        <v>655.45437788018444</v>
      </c>
      <c r="BG22" s="134">
        <f t="shared" si="12"/>
        <v>0.33484367920253738</v>
      </c>
      <c r="BH22" s="134">
        <f t="shared" si="13"/>
        <v>2.7639329406434071E-2</v>
      </c>
      <c r="BI22" s="134">
        <f t="shared" si="14"/>
        <v>0.59809696420480285</v>
      </c>
      <c r="BJ22" s="134">
        <f t="shared" si="15"/>
        <v>3.9420027186225642E-2</v>
      </c>
      <c r="BK22" s="135">
        <f t="shared" si="16"/>
        <v>219.4747554388112</v>
      </c>
      <c r="BL22" s="135">
        <f t="shared" si="17"/>
        <v>18.11631946111973</v>
      </c>
      <c r="BM22" s="135">
        <f t="shared" si="18"/>
        <v>392.02527358488601</v>
      </c>
      <c r="BN22" s="135">
        <f t="shared" si="19"/>
        <v>25.838029395367485</v>
      </c>
      <c r="BO22" s="136">
        <f t="shared" si="20"/>
        <v>25.950000000000003</v>
      </c>
      <c r="BP22" s="136">
        <f t="shared" si="21"/>
        <v>50.45</v>
      </c>
      <c r="BQ22" s="136">
        <f t="shared" si="22"/>
        <v>53.975000000000001</v>
      </c>
      <c r="BR22" s="136">
        <f t="shared" si="23"/>
        <v>54.599999999999994</v>
      </c>
      <c r="BS22" s="136">
        <f t="shared" si="24"/>
        <v>50.575000000000003</v>
      </c>
      <c r="BT22" s="136"/>
      <c r="BU22" s="136"/>
    </row>
    <row r="23" spans="1:79" s="65" customFormat="1" x14ac:dyDescent="0.35">
      <c r="A23" s="122" t="s">
        <v>33</v>
      </c>
      <c r="B23" s="122" t="s">
        <v>33</v>
      </c>
      <c r="C23" s="122" t="s">
        <v>34</v>
      </c>
      <c r="D23" s="122">
        <v>3</v>
      </c>
      <c r="E23" s="122">
        <v>3</v>
      </c>
      <c r="F23" s="122">
        <v>12</v>
      </c>
      <c r="G23" s="122">
        <v>312</v>
      </c>
      <c r="H23" s="65">
        <v>22</v>
      </c>
      <c r="I23" s="128">
        <v>45922</v>
      </c>
      <c r="J23" s="130">
        <v>0.79</v>
      </c>
      <c r="K23" s="133">
        <v>0.48699999999999999</v>
      </c>
      <c r="L23" s="133">
        <v>0.24099999999999999</v>
      </c>
      <c r="M23" s="133">
        <v>0.15</v>
      </c>
      <c r="N23" s="133">
        <v>0.122</v>
      </c>
      <c r="O23" s="129">
        <f t="shared" si="0"/>
        <v>0.51300000000000001</v>
      </c>
      <c r="P23" s="129">
        <f t="shared" si="25"/>
        <v>0.75900000000000001</v>
      </c>
      <c r="Q23" s="129">
        <f t="shared" si="2"/>
        <v>0.85</v>
      </c>
      <c r="R23" s="129">
        <f t="shared" si="3"/>
        <v>0.878</v>
      </c>
      <c r="S23" s="65">
        <v>21.7</v>
      </c>
      <c r="T23" s="65">
        <v>24.8</v>
      </c>
      <c r="U23" s="65">
        <v>46.2</v>
      </c>
      <c r="V23" s="65">
        <v>39.1</v>
      </c>
      <c r="W23" s="65">
        <v>53.2</v>
      </c>
      <c r="X23" s="65">
        <v>52.2</v>
      </c>
      <c r="Y23" s="65">
        <v>54.5</v>
      </c>
      <c r="Z23" s="65">
        <v>42.5</v>
      </c>
      <c r="AA23" s="65">
        <v>55.8</v>
      </c>
      <c r="AB23" s="65">
        <v>49.7</v>
      </c>
      <c r="AC23" s="65">
        <v>51.8</v>
      </c>
      <c r="AD23" s="65">
        <v>49.8</v>
      </c>
      <c r="AE23" s="65">
        <v>51.9</v>
      </c>
      <c r="AF23" s="65">
        <v>51</v>
      </c>
      <c r="AG23" s="65">
        <v>55.1</v>
      </c>
      <c r="AH23" s="65">
        <v>54</v>
      </c>
      <c r="AI23" s="65">
        <v>45.5</v>
      </c>
      <c r="AJ23" s="65">
        <v>47.2</v>
      </c>
      <c r="AK23" s="65">
        <v>53.7</v>
      </c>
      <c r="AL23" s="65">
        <v>52.6</v>
      </c>
      <c r="AM23" s="65">
        <v>65</v>
      </c>
      <c r="AN23" s="130">
        <v>0.5</v>
      </c>
      <c r="AO23" s="65">
        <v>1647</v>
      </c>
      <c r="AP23" s="65">
        <f t="shared" si="4"/>
        <v>3294</v>
      </c>
      <c r="AQ23" s="65">
        <v>162.6</v>
      </c>
      <c r="AR23" s="65">
        <v>20</v>
      </c>
      <c r="AS23" s="65">
        <v>20</v>
      </c>
      <c r="AT23" s="65">
        <v>83.2</v>
      </c>
      <c r="AU23" s="130">
        <v>18.7</v>
      </c>
      <c r="AV23" s="131">
        <f t="shared" si="5"/>
        <v>77.524038461538453</v>
      </c>
      <c r="AW23" s="65">
        <v>11.65</v>
      </c>
      <c r="AX23" s="130">
        <v>0.72</v>
      </c>
      <c r="AY23" s="130">
        <v>26.74</v>
      </c>
      <c r="AZ23" s="130">
        <v>2.61</v>
      </c>
      <c r="BA23" s="131">
        <f t="shared" si="6"/>
        <v>41.72</v>
      </c>
      <c r="BB23" s="131">
        <f t="shared" si="7"/>
        <v>2.0859999999999999</v>
      </c>
      <c r="BC23" s="131">
        <f t="shared" si="8"/>
        <v>8.129999999999999</v>
      </c>
      <c r="BD23" s="134">
        <f t="shared" si="9"/>
        <v>0.22475961538461536</v>
      </c>
      <c r="BE23" s="135">
        <f t="shared" si="10"/>
        <v>370.17908653846149</v>
      </c>
      <c r="BF23" s="135">
        <f t="shared" si="11"/>
        <v>740.35817307692298</v>
      </c>
      <c r="BG23" s="134">
        <f t="shared" si="12"/>
        <v>0.27924256951102588</v>
      </c>
      <c r="BH23" s="134">
        <f t="shared" si="13"/>
        <v>1.725790987535954E-2</v>
      </c>
      <c r="BI23" s="134">
        <f t="shared" si="14"/>
        <v>0.64093959731543626</v>
      </c>
      <c r="BJ23" s="134">
        <f t="shared" si="15"/>
        <v>6.2559923298178333E-2</v>
      </c>
      <c r="BK23" s="135">
        <f t="shared" si="16"/>
        <v>206.73951860848879</v>
      </c>
      <c r="BL23" s="135">
        <f t="shared" si="17"/>
        <v>12.777034626447376</v>
      </c>
      <c r="BM23" s="135">
        <f t="shared" si="18"/>
        <v>474.52486932111509</v>
      </c>
      <c r="BN23" s="135">
        <f t="shared" si="19"/>
        <v>46.316750520871743</v>
      </c>
      <c r="BO23" s="136">
        <f t="shared" si="20"/>
        <v>32.950000000000003</v>
      </c>
      <c r="BP23" s="136">
        <f t="shared" si="21"/>
        <v>50.6</v>
      </c>
      <c r="BQ23" s="136">
        <f t="shared" si="22"/>
        <v>51.775000000000006</v>
      </c>
      <c r="BR23" s="136">
        <f t="shared" si="23"/>
        <v>53</v>
      </c>
      <c r="BS23" s="136">
        <f t="shared" si="24"/>
        <v>49.75</v>
      </c>
      <c r="BT23" s="136"/>
      <c r="BU23" s="136"/>
    </row>
    <row r="24" spans="1:79" s="65" customFormat="1" x14ac:dyDescent="0.35">
      <c r="A24" s="122" t="s">
        <v>33</v>
      </c>
      <c r="B24" s="122" t="s">
        <v>33</v>
      </c>
      <c r="C24" s="122" t="s">
        <v>35</v>
      </c>
      <c r="D24" s="122">
        <v>3</v>
      </c>
      <c r="E24" s="122">
        <v>2</v>
      </c>
      <c r="F24" s="122">
        <v>12</v>
      </c>
      <c r="G24" s="122">
        <v>212</v>
      </c>
      <c r="H24" s="65">
        <v>23</v>
      </c>
      <c r="I24" s="128">
        <v>45925</v>
      </c>
      <c r="J24" s="130">
        <v>0.83</v>
      </c>
      <c r="K24" s="132">
        <v>0.3765</v>
      </c>
      <c r="L24" s="132">
        <v>0.1895</v>
      </c>
      <c r="M24" s="132">
        <v>6.7500000000000004E-2</v>
      </c>
      <c r="N24" s="132">
        <v>4.2999999999999997E-2</v>
      </c>
      <c r="O24" s="129">
        <f t="shared" si="0"/>
        <v>0.62349999999999994</v>
      </c>
      <c r="P24" s="129">
        <f t="shared" si="25"/>
        <v>0.8105</v>
      </c>
      <c r="Q24" s="129">
        <f t="shared" si="2"/>
        <v>0.9325</v>
      </c>
      <c r="R24" s="129">
        <f t="shared" si="3"/>
        <v>0.95699999999999996</v>
      </c>
      <c r="S24" s="65">
        <v>52.2</v>
      </c>
      <c r="T24" s="65">
        <v>39.700000000000003</v>
      </c>
      <c r="U24" s="65">
        <v>29.8</v>
      </c>
      <c r="V24" s="65">
        <v>41.9</v>
      </c>
      <c r="W24" s="65">
        <v>52.7</v>
      </c>
      <c r="X24" s="65">
        <v>47.3</v>
      </c>
      <c r="Y24" s="65">
        <v>45.9</v>
      </c>
      <c r="Z24" s="65">
        <v>46.4</v>
      </c>
      <c r="AA24" s="65">
        <v>50.3</v>
      </c>
      <c r="AB24" s="65">
        <v>50.5</v>
      </c>
      <c r="AC24" s="65">
        <v>52.6</v>
      </c>
      <c r="AD24" s="65">
        <v>49.8</v>
      </c>
      <c r="AE24" s="65">
        <v>54.1</v>
      </c>
      <c r="AF24" s="65">
        <v>54.5</v>
      </c>
      <c r="AG24" s="65">
        <v>55.5</v>
      </c>
      <c r="AH24" s="65">
        <v>54.8</v>
      </c>
      <c r="AI24" s="65">
        <v>48</v>
      </c>
      <c r="AJ24" s="65">
        <v>51.1</v>
      </c>
      <c r="AK24" s="65">
        <v>49.8</v>
      </c>
      <c r="AL24" s="65">
        <v>47.9</v>
      </c>
      <c r="AM24" s="65">
        <v>68</v>
      </c>
      <c r="AN24" s="130">
        <v>0.5</v>
      </c>
      <c r="AO24" s="65">
        <v>1778</v>
      </c>
      <c r="AP24" s="65">
        <f t="shared" si="4"/>
        <v>3556</v>
      </c>
      <c r="AQ24" s="65">
        <v>137.4</v>
      </c>
      <c r="AR24" s="65">
        <v>20</v>
      </c>
      <c r="AS24" s="65">
        <v>20</v>
      </c>
      <c r="AT24" s="65">
        <v>82.4</v>
      </c>
      <c r="AU24" s="130">
        <v>19.21</v>
      </c>
      <c r="AV24" s="131">
        <f t="shared" si="5"/>
        <v>76.6868932038835</v>
      </c>
      <c r="AW24" s="65">
        <v>10.97</v>
      </c>
      <c r="AX24" s="130">
        <v>0.12</v>
      </c>
      <c r="AY24" s="130">
        <v>17.87</v>
      </c>
      <c r="AZ24" s="130">
        <v>1.43</v>
      </c>
      <c r="BA24" s="131">
        <f t="shared" si="6"/>
        <v>30.39</v>
      </c>
      <c r="BB24" s="131">
        <f t="shared" si="7"/>
        <v>1.5195000000000001</v>
      </c>
      <c r="BC24" s="131">
        <f t="shared" si="8"/>
        <v>6.87</v>
      </c>
      <c r="BD24" s="134">
        <f t="shared" si="9"/>
        <v>0.23313106796116503</v>
      </c>
      <c r="BE24" s="135">
        <f t="shared" si="10"/>
        <v>414.5070388349514</v>
      </c>
      <c r="BF24" s="135">
        <f t="shared" si="11"/>
        <v>829.0140776699028</v>
      </c>
      <c r="BG24" s="134">
        <f t="shared" si="12"/>
        <v>0.36097400460677859</v>
      </c>
      <c r="BH24" s="134">
        <f t="shared" si="13"/>
        <v>3.9486673247778872E-3</v>
      </c>
      <c r="BI24" s="134">
        <f t="shared" si="14"/>
        <v>0.58802237578150707</v>
      </c>
      <c r="BJ24" s="134">
        <f t="shared" si="15"/>
        <v>4.7054952286936493E-2</v>
      </c>
      <c r="BK24" s="135">
        <f t="shared" si="16"/>
        <v>299.25253149189979</v>
      </c>
      <c r="BL24" s="135">
        <f t="shared" si="17"/>
        <v>3.2735008002760226</v>
      </c>
      <c r="BM24" s="135">
        <f t="shared" si="18"/>
        <v>487.47882750777109</v>
      </c>
      <c r="BN24" s="135">
        <f t="shared" si="19"/>
        <v>39.00921786995594</v>
      </c>
      <c r="BO24" s="136">
        <f t="shared" si="20"/>
        <v>40.9</v>
      </c>
      <c r="BP24" s="136">
        <f t="shared" si="21"/>
        <v>48.075000000000003</v>
      </c>
      <c r="BQ24" s="136">
        <f t="shared" si="22"/>
        <v>50.8</v>
      </c>
      <c r="BR24" s="136">
        <f t="shared" si="23"/>
        <v>54.724999999999994</v>
      </c>
      <c r="BS24" s="136">
        <f t="shared" si="24"/>
        <v>49.199999999999996</v>
      </c>
      <c r="BT24" s="136"/>
      <c r="BU24" s="136"/>
    </row>
    <row r="25" spans="1:79" s="65" customFormat="1" x14ac:dyDescent="0.35">
      <c r="A25" s="122" t="s">
        <v>33</v>
      </c>
      <c r="B25" s="122" t="s">
        <v>33</v>
      </c>
      <c r="C25" s="122" t="s">
        <v>29</v>
      </c>
      <c r="D25" s="122">
        <v>3</v>
      </c>
      <c r="E25" s="122">
        <v>1</v>
      </c>
      <c r="F25" s="122">
        <v>12</v>
      </c>
      <c r="G25" s="122">
        <v>112</v>
      </c>
      <c r="H25" s="65">
        <v>24</v>
      </c>
      <c r="I25" s="128">
        <v>45922</v>
      </c>
      <c r="J25" s="130">
        <v>0.75</v>
      </c>
      <c r="K25" s="133">
        <v>0.438</v>
      </c>
      <c r="L25" s="133">
        <v>0.35599999999999998</v>
      </c>
      <c r="M25" s="133">
        <v>0.184</v>
      </c>
      <c r="N25" s="133">
        <v>0.14099999999999999</v>
      </c>
      <c r="O25" s="129">
        <f t="shared" si="0"/>
        <v>0.56200000000000006</v>
      </c>
      <c r="P25" s="129">
        <f t="shared" si="25"/>
        <v>0.64400000000000002</v>
      </c>
      <c r="Q25" s="129">
        <f t="shared" si="2"/>
        <v>0.81600000000000006</v>
      </c>
      <c r="R25" s="129">
        <f t="shared" si="3"/>
        <v>0.85899999999999999</v>
      </c>
      <c r="S25" s="65">
        <v>36.1</v>
      </c>
      <c r="T25" s="65">
        <v>7.9</v>
      </c>
      <c r="U25" s="65">
        <v>37.6</v>
      </c>
      <c r="V25" s="65">
        <v>54.1</v>
      </c>
      <c r="W25" s="65">
        <v>53.8</v>
      </c>
      <c r="X25" s="65">
        <v>52.6</v>
      </c>
      <c r="Y25" s="65">
        <v>49.7</v>
      </c>
      <c r="Z25" s="65">
        <v>52.2</v>
      </c>
      <c r="AA25" s="65">
        <v>55.4</v>
      </c>
      <c r="AB25" s="65">
        <v>51.6</v>
      </c>
      <c r="AC25" s="65">
        <v>51.5</v>
      </c>
      <c r="AD25" s="65">
        <v>48.9</v>
      </c>
      <c r="AE25" s="65">
        <v>53.9</v>
      </c>
      <c r="AF25" s="65">
        <v>53.8</v>
      </c>
      <c r="AG25" s="65">
        <v>55.1</v>
      </c>
      <c r="AH25" s="65">
        <v>53</v>
      </c>
      <c r="AI25" s="65">
        <v>51</v>
      </c>
      <c r="AJ25" s="65">
        <v>53.7</v>
      </c>
      <c r="AK25" s="65">
        <v>50.9</v>
      </c>
      <c r="AL25" s="65">
        <v>46.3</v>
      </c>
      <c r="AM25" s="65">
        <v>49</v>
      </c>
      <c r="AN25" s="130">
        <v>0.5</v>
      </c>
      <c r="AO25" s="65">
        <v>1019</v>
      </c>
      <c r="AP25" s="65">
        <f t="shared" si="4"/>
        <v>2038</v>
      </c>
      <c r="AQ25" s="65">
        <v>96.9</v>
      </c>
      <c r="AR25" s="65">
        <v>20</v>
      </c>
      <c r="AS25" s="65">
        <v>17</v>
      </c>
      <c r="AT25" s="65">
        <v>77.099999999999994</v>
      </c>
      <c r="AU25" s="130">
        <v>18.61</v>
      </c>
      <c r="AV25" s="131">
        <f t="shared" si="5"/>
        <v>75.862516212710759</v>
      </c>
      <c r="AW25" s="65">
        <v>9.01</v>
      </c>
      <c r="AX25" s="130">
        <v>0.21</v>
      </c>
      <c r="AY25" s="130">
        <v>12.21</v>
      </c>
      <c r="AZ25" s="130">
        <v>1.19</v>
      </c>
      <c r="BA25" s="131">
        <f t="shared" si="6"/>
        <v>22.62</v>
      </c>
      <c r="BB25" s="131">
        <f t="shared" si="7"/>
        <v>1.3305882352941176</v>
      </c>
      <c r="BC25" s="131">
        <f t="shared" si="8"/>
        <v>5.7</v>
      </c>
      <c r="BD25" s="134">
        <f t="shared" si="9"/>
        <v>0.24137483787289235</v>
      </c>
      <c r="BE25" s="135">
        <f t="shared" si="10"/>
        <v>245.9609597924773</v>
      </c>
      <c r="BF25" s="135">
        <f t="shared" si="11"/>
        <v>491.92191958495459</v>
      </c>
      <c r="BG25" s="134">
        <f t="shared" si="12"/>
        <v>0.39832007073386383</v>
      </c>
      <c r="BH25" s="134">
        <f t="shared" si="13"/>
        <v>9.2838196286472146E-3</v>
      </c>
      <c r="BI25" s="134">
        <f t="shared" si="14"/>
        <v>0.53978779840848812</v>
      </c>
      <c r="BJ25" s="134">
        <f t="shared" si="15"/>
        <v>5.2608311229000879E-2</v>
      </c>
      <c r="BK25" s="135">
        <f t="shared" si="16"/>
        <v>195.94237380461718</v>
      </c>
      <c r="BL25" s="135">
        <f t="shared" si="17"/>
        <v>4.566914372804618</v>
      </c>
      <c r="BM25" s="135">
        <f t="shared" si="18"/>
        <v>265.53344996163997</v>
      </c>
      <c r="BN25" s="135">
        <f t="shared" si="19"/>
        <v>25.879181445892833</v>
      </c>
      <c r="BO25" s="136">
        <f t="shared" si="20"/>
        <v>33.924999999999997</v>
      </c>
      <c r="BP25" s="136">
        <f t="shared" si="21"/>
        <v>52.075000000000003</v>
      </c>
      <c r="BQ25" s="136">
        <f t="shared" si="22"/>
        <v>51.85</v>
      </c>
      <c r="BR25" s="136">
        <f t="shared" si="23"/>
        <v>53.949999999999996</v>
      </c>
      <c r="BS25" s="136">
        <f t="shared" si="24"/>
        <v>50.474999999999994</v>
      </c>
      <c r="BT25" s="136"/>
      <c r="BU25" s="136"/>
    </row>
    <row r="26" spans="1:79" s="65" customFormat="1" x14ac:dyDescent="0.35">
      <c r="A26" s="122" t="s">
        <v>28</v>
      </c>
      <c r="B26" s="122" t="s">
        <v>28</v>
      </c>
      <c r="C26" s="122" t="s">
        <v>30</v>
      </c>
      <c r="D26" s="122">
        <v>4</v>
      </c>
      <c r="E26" s="122">
        <v>1</v>
      </c>
      <c r="F26" s="122">
        <v>14</v>
      </c>
      <c r="G26" s="122">
        <v>114</v>
      </c>
      <c r="H26" s="65">
        <v>25</v>
      </c>
      <c r="I26" s="128">
        <v>45912</v>
      </c>
      <c r="J26" s="130">
        <v>0.76</v>
      </c>
      <c r="K26" s="133">
        <v>0.311</v>
      </c>
      <c r="L26" s="133">
        <v>0.22500000000000001</v>
      </c>
      <c r="M26" s="133">
        <v>6.6000000000000003E-2</v>
      </c>
      <c r="N26" s="133">
        <v>2.5000000000000001E-2</v>
      </c>
      <c r="O26" s="129">
        <f t="shared" si="0"/>
        <v>0.68900000000000006</v>
      </c>
      <c r="P26" s="129">
        <f t="shared" si="25"/>
        <v>0.77500000000000002</v>
      </c>
      <c r="Q26" s="129">
        <f t="shared" si="2"/>
        <v>0.93399999999999994</v>
      </c>
      <c r="R26" s="129">
        <f t="shared" si="3"/>
        <v>0.97499999999999998</v>
      </c>
      <c r="S26" s="65">
        <v>41.8</v>
      </c>
      <c r="T26" s="65">
        <v>47.8</v>
      </c>
      <c r="U26" s="65">
        <v>48.6</v>
      </c>
      <c r="V26" s="65">
        <v>44.8</v>
      </c>
      <c r="W26" s="65">
        <v>51.8</v>
      </c>
      <c r="X26" s="65">
        <v>56.5</v>
      </c>
      <c r="Y26" s="65">
        <v>54.3</v>
      </c>
      <c r="Z26" s="65">
        <v>53.5</v>
      </c>
      <c r="AA26" s="65">
        <v>55.1</v>
      </c>
      <c r="AB26" s="65">
        <v>54.7</v>
      </c>
      <c r="AC26" s="65">
        <v>51.9</v>
      </c>
      <c r="AD26" s="65">
        <v>48.8</v>
      </c>
      <c r="AE26" s="65">
        <v>51.4</v>
      </c>
      <c r="AF26" s="65">
        <v>56.5</v>
      </c>
      <c r="AG26" s="65">
        <v>50.4</v>
      </c>
      <c r="AH26" s="65">
        <v>53</v>
      </c>
      <c r="AI26" s="65">
        <v>51.7</v>
      </c>
      <c r="AJ26" s="65">
        <v>53</v>
      </c>
      <c r="AK26" s="65">
        <v>51.9</v>
      </c>
      <c r="AL26" s="65">
        <v>51.5</v>
      </c>
      <c r="AM26" s="65">
        <v>69</v>
      </c>
      <c r="AN26" s="130">
        <v>0.5</v>
      </c>
      <c r="AO26" s="65">
        <v>1773</v>
      </c>
      <c r="AP26" s="65">
        <f t="shared" si="4"/>
        <v>3546</v>
      </c>
      <c r="AQ26" s="65">
        <v>143.6</v>
      </c>
      <c r="AR26" s="65">
        <v>20</v>
      </c>
      <c r="AS26" s="65">
        <v>19</v>
      </c>
      <c r="AT26" s="65">
        <v>93.8</v>
      </c>
      <c r="AU26" s="130">
        <v>20.8</v>
      </c>
      <c r="AV26" s="131">
        <f t="shared" si="5"/>
        <v>77.82515991471216</v>
      </c>
      <c r="AW26" s="65">
        <v>10.52</v>
      </c>
      <c r="AX26" s="130">
        <v>1.34</v>
      </c>
      <c r="AY26" s="130">
        <v>18.48</v>
      </c>
      <c r="AZ26" s="130">
        <v>0.88</v>
      </c>
      <c r="BA26" s="131">
        <f t="shared" si="6"/>
        <v>31.22</v>
      </c>
      <c r="BB26" s="131">
        <f t="shared" si="7"/>
        <v>1.6431578947368422</v>
      </c>
      <c r="BC26" s="131">
        <f t="shared" si="8"/>
        <v>7.5578947368421048</v>
      </c>
      <c r="BD26" s="134">
        <f t="shared" si="9"/>
        <v>0.22174840085287847</v>
      </c>
      <c r="BE26" s="135">
        <f t="shared" si="10"/>
        <v>393.15991471215352</v>
      </c>
      <c r="BF26" s="135">
        <f t="shared" si="11"/>
        <v>786.31982942430704</v>
      </c>
      <c r="BG26" s="134">
        <f t="shared" si="12"/>
        <v>0.33696348494554773</v>
      </c>
      <c r="BH26" s="134">
        <f t="shared" si="13"/>
        <v>4.2921204356181936E-2</v>
      </c>
      <c r="BI26" s="134">
        <f t="shared" si="14"/>
        <v>0.59192825112107628</v>
      </c>
      <c r="BJ26" s="134">
        <f t="shared" si="15"/>
        <v>2.8187059577194109E-2</v>
      </c>
      <c r="BK26" s="135">
        <f t="shared" si="16"/>
        <v>264.96107000460313</v>
      </c>
      <c r="BL26" s="135">
        <f t="shared" si="17"/>
        <v>33.749794088038804</v>
      </c>
      <c r="BM26" s="135">
        <f t="shared" si="18"/>
        <v>465.44492145295311</v>
      </c>
      <c r="BN26" s="135">
        <f t="shared" si="19"/>
        <v>22.164043878712054</v>
      </c>
      <c r="BO26" s="136">
        <f t="shared" si="20"/>
        <v>45.75</v>
      </c>
      <c r="BP26" s="136">
        <f t="shared" si="21"/>
        <v>54.024999999999999</v>
      </c>
      <c r="BQ26" s="136">
        <f t="shared" si="22"/>
        <v>52.625</v>
      </c>
      <c r="BR26" s="136">
        <f t="shared" si="23"/>
        <v>52.825000000000003</v>
      </c>
      <c r="BS26" s="136">
        <f t="shared" si="24"/>
        <v>52.024999999999999</v>
      </c>
      <c r="BT26" s="136"/>
      <c r="BU26" s="136"/>
    </row>
    <row r="27" spans="1:79" s="65" customFormat="1" x14ac:dyDescent="0.35">
      <c r="A27" s="122" t="s">
        <v>28</v>
      </c>
      <c r="B27" s="122" t="s">
        <v>28</v>
      </c>
      <c r="C27" s="122" t="s">
        <v>29</v>
      </c>
      <c r="D27" s="122">
        <v>4</v>
      </c>
      <c r="E27" s="122">
        <v>2</v>
      </c>
      <c r="F27" s="122">
        <v>14</v>
      </c>
      <c r="G27" s="122">
        <v>214</v>
      </c>
      <c r="H27" s="65">
        <v>26</v>
      </c>
      <c r="I27" s="128">
        <v>45909</v>
      </c>
      <c r="J27" s="130">
        <v>0.8</v>
      </c>
      <c r="K27" s="133">
        <v>0.34499999999999997</v>
      </c>
      <c r="L27" s="133">
        <v>0.2</v>
      </c>
      <c r="M27" s="133">
        <v>0.10199999999999999</v>
      </c>
      <c r="N27" s="133">
        <v>3.2000000000000001E-2</v>
      </c>
      <c r="O27" s="129">
        <f t="shared" si="0"/>
        <v>0.65500000000000003</v>
      </c>
      <c r="P27" s="129">
        <f t="shared" si="25"/>
        <v>0.8</v>
      </c>
      <c r="Q27" s="129">
        <f t="shared" si="2"/>
        <v>0.89800000000000002</v>
      </c>
      <c r="R27" s="129">
        <f t="shared" si="3"/>
        <v>0.96799999999999997</v>
      </c>
      <c r="S27" s="65">
        <v>25.5</v>
      </c>
      <c r="T27" s="65">
        <v>41.9</v>
      </c>
      <c r="U27" s="65">
        <v>15.3</v>
      </c>
      <c r="V27" s="65">
        <v>29.7</v>
      </c>
      <c r="W27" s="65">
        <v>50</v>
      </c>
      <c r="X27" s="65">
        <v>46</v>
      </c>
      <c r="Y27" s="65">
        <v>48.2</v>
      </c>
      <c r="Z27" s="65">
        <v>48.7</v>
      </c>
      <c r="AA27" s="65">
        <v>52.1</v>
      </c>
      <c r="AB27" s="65">
        <v>49.5</v>
      </c>
      <c r="AC27" s="65">
        <v>49.4</v>
      </c>
      <c r="AD27" s="65">
        <v>53</v>
      </c>
      <c r="AE27" s="65">
        <v>40.5</v>
      </c>
      <c r="AF27" s="65">
        <v>50.5</v>
      </c>
      <c r="AG27" s="65">
        <v>48.3</v>
      </c>
      <c r="AH27" s="65">
        <v>51.1</v>
      </c>
      <c r="AI27" s="65">
        <v>52.5</v>
      </c>
      <c r="AJ27" s="65">
        <v>50.5</v>
      </c>
      <c r="AK27" s="65">
        <v>39.200000000000003</v>
      </c>
      <c r="AL27" s="65">
        <v>45.6</v>
      </c>
      <c r="AM27" s="65">
        <v>54</v>
      </c>
      <c r="AN27" s="130">
        <v>0.5</v>
      </c>
      <c r="AO27" s="65">
        <v>1583</v>
      </c>
      <c r="AP27" s="65">
        <f t="shared" si="4"/>
        <v>3166</v>
      </c>
      <c r="AQ27" s="65">
        <v>110.9</v>
      </c>
      <c r="AR27" s="65">
        <v>20</v>
      </c>
      <c r="AS27" s="65">
        <v>20</v>
      </c>
      <c r="AT27" s="65">
        <v>129.5</v>
      </c>
      <c r="AU27" s="130">
        <v>28.48</v>
      </c>
      <c r="AV27" s="131">
        <f t="shared" si="5"/>
        <v>78.007722007722009</v>
      </c>
      <c r="AW27" s="65">
        <v>10.43</v>
      </c>
      <c r="AX27" s="130">
        <v>1.32</v>
      </c>
      <c r="AY27" s="130">
        <v>12.35</v>
      </c>
      <c r="AZ27" s="130">
        <v>1.08</v>
      </c>
      <c r="BA27" s="131">
        <f t="shared" si="6"/>
        <v>25.18</v>
      </c>
      <c r="BB27" s="131">
        <f t="shared" si="7"/>
        <v>1.2589999999999999</v>
      </c>
      <c r="BC27" s="131">
        <f t="shared" si="8"/>
        <v>5.5449999999999999</v>
      </c>
      <c r="BD27" s="134">
        <f t="shared" si="9"/>
        <v>0.21992277992277992</v>
      </c>
      <c r="BE27" s="135">
        <f t="shared" si="10"/>
        <v>348.13776061776059</v>
      </c>
      <c r="BF27" s="135">
        <f t="shared" si="11"/>
        <v>696.27552123552118</v>
      </c>
      <c r="BG27" s="134">
        <f t="shared" si="12"/>
        <v>0.41421763304209691</v>
      </c>
      <c r="BH27" s="134">
        <f t="shared" si="13"/>
        <v>5.2422557585385228E-2</v>
      </c>
      <c r="BI27" s="134">
        <f t="shared" si="14"/>
        <v>0.49046862589356632</v>
      </c>
      <c r="BJ27" s="134">
        <f t="shared" si="15"/>
        <v>4.2891183478951551E-2</v>
      </c>
      <c r="BK27" s="135">
        <f t="shared" si="16"/>
        <v>288.40959835132986</v>
      </c>
      <c r="BL27" s="135">
        <f t="shared" si="17"/>
        <v>36.500543607263225</v>
      </c>
      <c r="BM27" s="135">
        <f t="shared" si="18"/>
        <v>341.50129814371275</v>
      </c>
      <c r="BN27" s="135">
        <f t="shared" si="19"/>
        <v>29.864081133215365</v>
      </c>
      <c r="BO27" s="136">
        <f t="shared" si="20"/>
        <v>28.1</v>
      </c>
      <c r="BP27" s="136">
        <f t="shared" si="21"/>
        <v>48.224999999999994</v>
      </c>
      <c r="BQ27" s="136">
        <f t="shared" si="22"/>
        <v>51</v>
      </c>
      <c r="BR27" s="136">
        <f t="shared" si="23"/>
        <v>47.6</v>
      </c>
      <c r="BS27" s="136">
        <f t="shared" si="24"/>
        <v>46.949999999999996</v>
      </c>
      <c r="BT27" s="136"/>
      <c r="BU27" s="136"/>
    </row>
    <row r="28" spans="1:79" s="65" customFormat="1" x14ac:dyDescent="0.35">
      <c r="A28" s="122" t="s">
        <v>28</v>
      </c>
      <c r="B28" s="122" t="s">
        <v>28</v>
      </c>
      <c r="C28" s="122" t="s">
        <v>32</v>
      </c>
      <c r="D28" s="122">
        <v>4</v>
      </c>
      <c r="E28" s="122">
        <v>3</v>
      </c>
      <c r="F28" s="122">
        <v>14</v>
      </c>
      <c r="G28" s="122">
        <v>314</v>
      </c>
      <c r="H28" s="65">
        <v>27</v>
      </c>
      <c r="I28" s="128">
        <v>45930</v>
      </c>
      <c r="J28" s="130">
        <v>0.71</v>
      </c>
      <c r="K28" s="132">
        <v>0.6915</v>
      </c>
      <c r="L28" s="132">
        <v>0.33050000000000002</v>
      </c>
      <c r="M28" s="132">
        <v>0.14549999999999999</v>
      </c>
      <c r="N28" s="132">
        <v>0.1135</v>
      </c>
      <c r="O28" s="129">
        <f t="shared" si="0"/>
        <v>0.3085</v>
      </c>
      <c r="P28" s="129">
        <f t="shared" si="25"/>
        <v>0.66949999999999998</v>
      </c>
      <c r="Q28" s="129">
        <f t="shared" si="2"/>
        <v>0.85450000000000004</v>
      </c>
      <c r="R28" s="129">
        <f t="shared" si="3"/>
        <v>0.88649999999999995</v>
      </c>
      <c r="S28" s="65">
        <v>2.2000000000000002</v>
      </c>
      <c r="T28" s="65">
        <v>47.5</v>
      </c>
      <c r="U28" s="65">
        <v>37.200000000000003</v>
      </c>
      <c r="V28" s="65">
        <v>38.1</v>
      </c>
      <c r="W28" s="65">
        <v>52.5</v>
      </c>
      <c r="X28" s="65">
        <v>49.3</v>
      </c>
      <c r="Y28" s="65">
        <v>52.5</v>
      </c>
      <c r="Z28" s="65">
        <v>52.3</v>
      </c>
      <c r="AA28" s="65">
        <v>59.9</v>
      </c>
      <c r="AB28" s="65">
        <v>50.5</v>
      </c>
      <c r="AC28" s="65">
        <v>56.5</v>
      </c>
      <c r="AD28" s="65">
        <v>52.9</v>
      </c>
      <c r="AE28" s="65">
        <v>56.4</v>
      </c>
      <c r="AF28" s="65">
        <v>53.8</v>
      </c>
      <c r="AG28" s="65">
        <v>55</v>
      </c>
      <c r="AH28" s="65">
        <v>51.9</v>
      </c>
      <c r="AI28" s="65">
        <v>47.5</v>
      </c>
      <c r="AJ28" s="65">
        <v>47.5</v>
      </c>
      <c r="AK28" s="65">
        <v>52.4</v>
      </c>
      <c r="AL28" s="65">
        <v>56.6</v>
      </c>
      <c r="AM28" s="65">
        <v>60</v>
      </c>
      <c r="AN28" s="130">
        <v>0.5</v>
      </c>
      <c r="AO28" s="65">
        <v>1633</v>
      </c>
      <c r="AP28" s="65">
        <f t="shared" si="4"/>
        <v>3266</v>
      </c>
      <c r="AQ28" s="65">
        <v>124.5</v>
      </c>
      <c r="AR28" s="65">
        <v>20</v>
      </c>
      <c r="AS28" s="65">
        <v>20</v>
      </c>
      <c r="AT28" s="65">
        <v>68.5</v>
      </c>
      <c r="AU28" s="130">
        <v>17.89</v>
      </c>
      <c r="AV28" s="131">
        <f t="shared" si="5"/>
        <v>73.883211678832112</v>
      </c>
      <c r="AW28" s="65">
        <v>8.33</v>
      </c>
      <c r="AX28" s="130">
        <v>1.04</v>
      </c>
      <c r="AY28" s="130">
        <v>22.71</v>
      </c>
      <c r="AZ28" s="130">
        <v>2.23</v>
      </c>
      <c r="BA28" s="131">
        <f t="shared" si="6"/>
        <v>34.309999999999995</v>
      </c>
      <c r="BB28" s="131">
        <f t="shared" si="7"/>
        <v>1.7154999999999998</v>
      </c>
      <c r="BC28" s="131">
        <f t="shared" si="8"/>
        <v>6.2249999999999996</v>
      </c>
      <c r="BD28" s="134">
        <f t="shared" si="9"/>
        <v>0.26116788321167883</v>
      </c>
      <c r="BE28" s="135">
        <f t="shared" si="10"/>
        <v>426.48715328467154</v>
      </c>
      <c r="BF28" s="135">
        <f t="shared" si="11"/>
        <v>852.97430656934307</v>
      </c>
      <c r="BG28" s="134">
        <f t="shared" si="12"/>
        <v>0.24278635966190618</v>
      </c>
      <c r="BH28" s="134">
        <f t="shared" si="13"/>
        <v>3.0311862430778203E-2</v>
      </c>
      <c r="BI28" s="134">
        <f t="shared" si="14"/>
        <v>0.66190614981055096</v>
      </c>
      <c r="BJ28" s="134">
        <f t="shared" si="15"/>
        <v>6.4995628096764804E-2</v>
      </c>
      <c r="BK28" s="135">
        <f t="shared" si="16"/>
        <v>207.09052677710955</v>
      </c>
      <c r="BL28" s="135">
        <f t="shared" si="17"/>
        <v>25.855239837718361</v>
      </c>
      <c r="BM28" s="135">
        <f t="shared" si="18"/>
        <v>564.58893914863836</v>
      </c>
      <c r="BN28" s="135">
        <f t="shared" si="19"/>
        <v>55.439600805876871</v>
      </c>
      <c r="BO28" s="136">
        <f t="shared" si="20"/>
        <v>31.25</v>
      </c>
      <c r="BP28" s="136">
        <f t="shared" si="21"/>
        <v>51.650000000000006</v>
      </c>
      <c r="BQ28" s="136">
        <f t="shared" si="22"/>
        <v>54.95</v>
      </c>
      <c r="BR28" s="136">
        <f t="shared" si="23"/>
        <v>54.274999999999999</v>
      </c>
      <c r="BS28" s="136">
        <f t="shared" si="24"/>
        <v>51</v>
      </c>
      <c r="BT28" s="136"/>
      <c r="BU28" s="136"/>
    </row>
    <row r="29" spans="1:79" s="65" customFormat="1" x14ac:dyDescent="0.35">
      <c r="A29" s="122" t="s">
        <v>28</v>
      </c>
      <c r="B29" s="122" t="s">
        <v>28</v>
      </c>
      <c r="C29" s="122" t="s">
        <v>31</v>
      </c>
      <c r="D29" s="122">
        <v>4</v>
      </c>
      <c r="E29" s="122">
        <v>4</v>
      </c>
      <c r="F29" s="122">
        <v>14</v>
      </c>
      <c r="G29" s="122">
        <v>414</v>
      </c>
      <c r="H29" s="65">
        <v>28</v>
      </c>
      <c r="I29" s="128">
        <v>45915</v>
      </c>
      <c r="J29" s="130">
        <v>0.82</v>
      </c>
      <c r="K29" s="133">
        <v>0.15</v>
      </c>
      <c r="L29" s="133">
        <v>7.6999999999999999E-2</v>
      </c>
      <c r="M29" s="133">
        <v>4.9000000000000002E-2</v>
      </c>
      <c r="N29" s="133">
        <v>2.5999999999999999E-2</v>
      </c>
      <c r="O29" s="129">
        <f t="shared" si="0"/>
        <v>0.85</v>
      </c>
      <c r="P29" s="129">
        <f t="shared" si="25"/>
        <v>0.92300000000000004</v>
      </c>
      <c r="Q29" s="129">
        <f t="shared" si="2"/>
        <v>0.95099999999999996</v>
      </c>
      <c r="R29" s="129">
        <f t="shared" si="3"/>
        <v>0.97399999999999998</v>
      </c>
      <c r="S29" s="65">
        <v>51.6</v>
      </c>
      <c r="T29" s="65">
        <v>46.2</v>
      </c>
      <c r="U29" s="65">
        <v>45.2</v>
      </c>
      <c r="V29" s="65">
        <v>42.8</v>
      </c>
      <c r="W29" s="65">
        <v>57</v>
      </c>
      <c r="X29" s="65">
        <v>39.799999999999997</v>
      </c>
      <c r="Y29" s="65">
        <v>47.8</v>
      </c>
      <c r="Z29" s="65">
        <v>43.6</v>
      </c>
      <c r="AA29" s="65">
        <v>59.2</v>
      </c>
      <c r="AB29" s="65">
        <v>49.1</v>
      </c>
      <c r="AC29" s="65">
        <v>47.8</v>
      </c>
      <c r="AD29" s="65">
        <v>49.4</v>
      </c>
      <c r="AE29" s="65">
        <v>56.6</v>
      </c>
      <c r="AF29" s="65">
        <v>54.8</v>
      </c>
      <c r="AG29" s="65">
        <v>46.7</v>
      </c>
      <c r="AH29" s="65">
        <v>46.2</v>
      </c>
      <c r="AI29" s="65">
        <v>53.2</v>
      </c>
      <c r="AJ29" s="65">
        <v>49.3</v>
      </c>
      <c r="AK29" s="65">
        <v>44.1</v>
      </c>
      <c r="AL29" s="65">
        <v>46.6</v>
      </c>
      <c r="AM29" s="65">
        <v>56</v>
      </c>
      <c r="AN29" s="130">
        <v>0.5</v>
      </c>
      <c r="AO29" s="65">
        <v>1490</v>
      </c>
      <c r="AP29" s="65">
        <f t="shared" si="4"/>
        <v>2980</v>
      </c>
      <c r="AQ29" s="65">
        <v>149.9</v>
      </c>
      <c r="AR29" s="65">
        <v>20</v>
      </c>
      <c r="AS29" s="65">
        <v>19</v>
      </c>
      <c r="AT29" s="65">
        <v>106.2</v>
      </c>
      <c r="AU29" s="130">
        <v>25.01</v>
      </c>
      <c r="AV29" s="131">
        <f t="shared" si="5"/>
        <v>76.45009416195856</v>
      </c>
      <c r="AW29" s="65">
        <v>11.38</v>
      </c>
      <c r="AX29" s="130">
        <v>1.22</v>
      </c>
      <c r="AY29" s="130">
        <v>22.02</v>
      </c>
      <c r="AZ29" s="130">
        <v>0.93</v>
      </c>
      <c r="BA29" s="131">
        <f t="shared" si="6"/>
        <v>35.550000000000004</v>
      </c>
      <c r="BB29" s="131">
        <f t="shared" si="7"/>
        <v>1.8710526315789475</v>
      </c>
      <c r="BC29" s="131">
        <f t="shared" si="8"/>
        <v>7.8894736842105262</v>
      </c>
      <c r="BD29" s="134">
        <f t="shared" si="9"/>
        <v>0.23549905838041432</v>
      </c>
      <c r="BE29" s="135">
        <f t="shared" si="10"/>
        <v>350.89359698681733</v>
      </c>
      <c r="BF29" s="135">
        <f t="shared" si="11"/>
        <v>701.78719397363466</v>
      </c>
      <c r="BG29" s="134">
        <f t="shared" si="12"/>
        <v>0.320112517580872</v>
      </c>
      <c r="BH29" s="134">
        <f t="shared" si="13"/>
        <v>3.4317862165963428E-2</v>
      </c>
      <c r="BI29" s="134">
        <f t="shared" si="14"/>
        <v>0.61940928270042184</v>
      </c>
      <c r="BJ29" s="134">
        <f t="shared" si="15"/>
        <v>2.6160337552742614E-2</v>
      </c>
      <c r="BK29" s="135">
        <f t="shared" si="16"/>
        <v>224.65086546891595</v>
      </c>
      <c r="BL29" s="135">
        <f t="shared" si="17"/>
        <v>24.083836192625434</v>
      </c>
      <c r="BM29" s="135">
        <f t="shared" si="18"/>
        <v>434.69350242755087</v>
      </c>
      <c r="BN29" s="135">
        <f t="shared" si="19"/>
        <v>18.358989884542339</v>
      </c>
      <c r="BO29" s="136">
        <f t="shared" si="20"/>
        <v>46.45</v>
      </c>
      <c r="BP29" s="136">
        <f t="shared" si="21"/>
        <v>47.05</v>
      </c>
      <c r="BQ29" s="136">
        <f t="shared" si="22"/>
        <v>51.375000000000007</v>
      </c>
      <c r="BR29" s="136">
        <f t="shared" si="23"/>
        <v>51.075000000000003</v>
      </c>
      <c r="BS29" s="136">
        <f t="shared" si="24"/>
        <v>48.3</v>
      </c>
      <c r="BT29" s="136"/>
      <c r="BU29" s="136"/>
    </row>
    <row r="30" spans="1:79" s="65" customFormat="1" x14ac:dyDescent="0.35">
      <c r="A30" s="122" t="s">
        <v>33</v>
      </c>
      <c r="B30" s="122" t="s">
        <v>33</v>
      </c>
      <c r="C30" s="122" t="s">
        <v>35</v>
      </c>
      <c r="D30" s="122">
        <v>4</v>
      </c>
      <c r="E30" s="122">
        <v>4</v>
      </c>
      <c r="F30" s="122">
        <v>16</v>
      </c>
      <c r="G30" s="122">
        <v>416</v>
      </c>
      <c r="H30" s="65">
        <v>29</v>
      </c>
      <c r="I30" s="128">
        <v>45925</v>
      </c>
      <c r="J30" s="130">
        <v>0.82</v>
      </c>
      <c r="K30" s="132">
        <v>0.42000000000000004</v>
      </c>
      <c r="L30" s="132">
        <v>0.16199999999999998</v>
      </c>
      <c r="M30" s="132">
        <v>7.5499999999999998E-2</v>
      </c>
      <c r="N30" s="132">
        <v>5.7500000000000002E-2</v>
      </c>
      <c r="O30" s="129">
        <f t="shared" si="0"/>
        <v>0.57999999999999996</v>
      </c>
      <c r="P30" s="129">
        <f t="shared" si="25"/>
        <v>0.83800000000000008</v>
      </c>
      <c r="Q30" s="129">
        <f t="shared" si="2"/>
        <v>0.92449999999999999</v>
      </c>
      <c r="R30" s="129">
        <f t="shared" si="3"/>
        <v>0.9425</v>
      </c>
      <c r="S30" s="65">
        <v>49.7</v>
      </c>
      <c r="T30" s="65">
        <v>15.7</v>
      </c>
      <c r="U30" s="65">
        <v>27.3</v>
      </c>
      <c r="V30" s="65">
        <v>20.100000000000001</v>
      </c>
      <c r="W30" s="65">
        <v>53.3</v>
      </c>
      <c r="X30" s="65">
        <v>50</v>
      </c>
      <c r="Y30" s="65">
        <v>53.3</v>
      </c>
      <c r="Z30" s="65">
        <v>39.200000000000003</v>
      </c>
      <c r="AA30" s="65">
        <v>56.5</v>
      </c>
      <c r="AB30" s="65">
        <v>53</v>
      </c>
      <c r="AC30" s="65">
        <v>50.9</v>
      </c>
      <c r="AD30" s="65">
        <v>47.3</v>
      </c>
      <c r="AE30" s="65">
        <v>54.1</v>
      </c>
      <c r="AF30" s="65">
        <v>52.3</v>
      </c>
      <c r="AG30" s="65">
        <v>49.9</v>
      </c>
      <c r="AH30" s="65">
        <v>52.7</v>
      </c>
      <c r="AI30" s="65">
        <v>45.7</v>
      </c>
      <c r="AJ30" s="65">
        <v>50.9</v>
      </c>
      <c r="AK30" s="65">
        <v>52.3</v>
      </c>
      <c r="AL30" s="65">
        <v>52.2</v>
      </c>
      <c r="AM30" s="65">
        <v>65</v>
      </c>
      <c r="AN30" s="130">
        <v>0.5</v>
      </c>
      <c r="AO30" s="65">
        <v>1879</v>
      </c>
      <c r="AP30" s="65">
        <f t="shared" si="4"/>
        <v>3758</v>
      </c>
      <c r="AQ30" s="65">
        <v>149.30000000000001</v>
      </c>
      <c r="AR30" s="65">
        <v>20</v>
      </c>
      <c r="AS30" s="65">
        <v>19</v>
      </c>
      <c r="AT30" s="65">
        <v>97.3</v>
      </c>
      <c r="AU30" s="130">
        <v>22.98</v>
      </c>
      <c r="AV30" s="131">
        <f t="shared" si="5"/>
        <v>76.382322713257963</v>
      </c>
      <c r="AW30" s="65">
        <v>12.58</v>
      </c>
      <c r="AX30" s="130">
        <v>0.18</v>
      </c>
      <c r="AY30" s="130">
        <v>19.57</v>
      </c>
      <c r="AZ30" s="130">
        <v>2.08</v>
      </c>
      <c r="BA30" s="131">
        <f t="shared" si="6"/>
        <v>34.409999999999997</v>
      </c>
      <c r="BB30" s="131">
        <f t="shared" si="7"/>
        <v>1.8110526315789472</v>
      </c>
      <c r="BC30" s="131">
        <f t="shared" si="8"/>
        <v>7.8578947368421055</v>
      </c>
      <c r="BD30" s="134">
        <f t="shared" si="9"/>
        <v>0.23617677286742036</v>
      </c>
      <c r="BE30" s="135">
        <f t="shared" si="10"/>
        <v>443.77615621788289</v>
      </c>
      <c r="BF30" s="135">
        <f t="shared" si="11"/>
        <v>887.55231243576577</v>
      </c>
      <c r="BG30" s="134">
        <f t="shared" si="12"/>
        <v>0.36559139784946243</v>
      </c>
      <c r="BH30" s="134">
        <f t="shared" si="13"/>
        <v>5.2310374891020054E-3</v>
      </c>
      <c r="BI30" s="134">
        <f t="shared" si="14"/>
        <v>0.56873002034292364</v>
      </c>
      <c r="BJ30" s="134">
        <f t="shared" si="15"/>
        <v>6.044754431851207E-2</v>
      </c>
      <c r="BK30" s="135">
        <f t="shared" si="16"/>
        <v>324.48149056791442</v>
      </c>
      <c r="BL30" s="135">
        <f t="shared" si="17"/>
        <v>4.6428194198906665</v>
      </c>
      <c r="BM30" s="135">
        <f t="shared" si="18"/>
        <v>504.77764470700197</v>
      </c>
      <c r="BN30" s="135">
        <f t="shared" si="19"/>
        <v>53.650357740958825</v>
      </c>
      <c r="BO30" s="136">
        <f t="shared" si="20"/>
        <v>28.200000000000003</v>
      </c>
      <c r="BP30" s="136">
        <f t="shared" si="21"/>
        <v>48.95</v>
      </c>
      <c r="BQ30" s="136">
        <f t="shared" si="22"/>
        <v>51.924999999999997</v>
      </c>
      <c r="BR30" s="136">
        <f t="shared" si="23"/>
        <v>52.25</v>
      </c>
      <c r="BS30" s="136">
        <f t="shared" si="24"/>
        <v>50.274999999999991</v>
      </c>
      <c r="BT30" s="136"/>
      <c r="BU30" s="136"/>
    </row>
    <row r="31" spans="1:79" s="65" customFormat="1" x14ac:dyDescent="0.35">
      <c r="A31" s="122" t="s">
        <v>33</v>
      </c>
      <c r="B31" s="122" t="s">
        <v>33</v>
      </c>
      <c r="C31" s="122" t="s">
        <v>29</v>
      </c>
      <c r="D31" s="122">
        <v>4</v>
      </c>
      <c r="E31" s="122">
        <v>3</v>
      </c>
      <c r="F31" s="122">
        <v>16</v>
      </c>
      <c r="G31" s="122">
        <v>316</v>
      </c>
      <c r="H31" s="65">
        <v>30</v>
      </c>
      <c r="I31" s="128">
        <v>45922</v>
      </c>
      <c r="J31" s="130">
        <v>0.77</v>
      </c>
      <c r="K31" s="133">
        <v>0.48699999999999999</v>
      </c>
      <c r="L31" s="133">
        <v>0.36499999999999999</v>
      </c>
      <c r="M31" s="133">
        <v>0.216</v>
      </c>
      <c r="N31" s="133">
        <v>0.14499999999999999</v>
      </c>
      <c r="O31" s="129">
        <f t="shared" si="0"/>
        <v>0.51300000000000001</v>
      </c>
      <c r="P31" s="129">
        <f t="shared" si="25"/>
        <v>0.63500000000000001</v>
      </c>
      <c r="Q31" s="129">
        <f t="shared" si="2"/>
        <v>0.78400000000000003</v>
      </c>
      <c r="R31" s="129">
        <f t="shared" si="3"/>
        <v>0.85499999999999998</v>
      </c>
      <c r="S31" s="65">
        <v>39.299999999999997</v>
      </c>
      <c r="T31" s="65">
        <v>5.5</v>
      </c>
      <c r="U31" s="65">
        <v>40.700000000000003</v>
      </c>
      <c r="V31" s="65">
        <v>14.8</v>
      </c>
      <c r="W31" s="65">
        <v>54.8</v>
      </c>
      <c r="X31" s="65">
        <v>52.3</v>
      </c>
      <c r="Y31" s="65">
        <v>44.8</v>
      </c>
      <c r="Z31" s="65">
        <v>41.3</v>
      </c>
      <c r="AA31" s="65">
        <v>50.1</v>
      </c>
      <c r="AB31" s="65">
        <v>48.9</v>
      </c>
      <c r="AC31" s="65">
        <v>49.2</v>
      </c>
      <c r="AD31" s="65">
        <v>49.7</v>
      </c>
      <c r="AE31" s="65">
        <v>53.2</v>
      </c>
      <c r="AF31" s="65">
        <v>52.3</v>
      </c>
      <c r="AG31" s="65">
        <v>51</v>
      </c>
      <c r="AH31" s="65">
        <v>52.3</v>
      </c>
      <c r="AI31" s="65">
        <v>47.6</v>
      </c>
      <c r="AJ31" s="65">
        <v>48.6</v>
      </c>
      <c r="AK31" s="65">
        <v>46.6</v>
      </c>
      <c r="AL31" s="65">
        <v>50.8</v>
      </c>
      <c r="AM31" s="65">
        <v>48</v>
      </c>
      <c r="AN31" s="130">
        <v>0.5</v>
      </c>
      <c r="AO31" s="65">
        <v>1459</v>
      </c>
      <c r="AP31" s="65">
        <f t="shared" si="4"/>
        <v>2918</v>
      </c>
      <c r="AQ31" s="65">
        <v>127.4</v>
      </c>
      <c r="AR31" s="65">
        <v>20</v>
      </c>
      <c r="AS31" s="65">
        <v>20</v>
      </c>
      <c r="AT31" s="65">
        <v>53.1</v>
      </c>
      <c r="AU31" s="130">
        <v>10.36</v>
      </c>
      <c r="AV31" s="131">
        <f t="shared" si="5"/>
        <v>80.489642184557439</v>
      </c>
      <c r="AW31" s="65">
        <v>10.28</v>
      </c>
      <c r="AX31" s="130">
        <v>0.42</v>
      </c>
      <c r="AY31" s="130">
        <v>14.1</v>
      </c>
      <c r="AZ31" s="130">
        <v>2.23</v>
      </c>
      <c r="BA31" s="131">
        <f t="shared" si="6"/>
        <v>27.029999999999998</v>
      </c>
      <c r="BB31" s="131">
        <f t="shared" si="7"/>
        <v>1.3514999999999999</v>
      </c>
      <c r="BC31" s="131">
        <f t="shared" si="8"/>
        <v>6.37</v>
      </c>
      <c r="BD31" s="134">
        <f t="shared" si="9"/>
        <v>0.19510357815442558</v>
      </c>
      <c r="BE31" s="135">
        <f t="shared" si="10"/>
        <v>284.65612052730694</v>
      </c>
      <c r="BF31" s="135">
        <f t="shared" si="11"/>
        <v>569.31224105461388</v>
      </c>
      <c r="BG31" s="134">
        <f t="shared" si="12"/>
        <v>0.38031816500184978</v>
      </c>
      <c r="BH31" s="134">
        <f t="shared" si="13"/>
        <v>1.5538290788013319E-2</v>
      </c>
      <c r="BI31" s="134">
        <f t="shared" si="14"/>
        <v>0.52164261931187572</v>
      </c>
      <c r="BJ31" s="134">
        <f t="shared" si="15"/>
        <v>8.2500924898261205E-2</v>
      </c>
      <c r="BK31" s="135">
        <f t="shared" si="16"/>
        <v>216.51978683098153</v>
      </c>
      <c r="BL31" s="135">
        <f t="shared" si="17"/>
        <v>8.8461391506821254</v>
      </c>
      <c r="BM31" s="135">
        <f t="shared" si="18"/>
        <v>296.9775286300428</v>
      </c>
      <c r="BN31" s="135">
        <f t="shared" si="19"/>
        <v>46.968786442907479</v>
      </c>
      <c r="BO31" s="136">
        <f t="shared" si="20"/>
        <v>25.074999999999999</v>
      </c>
      <c r="BP31" s="136">
        <f t="shared" si="21"/>
        <v>48.3</v>
      </c>
      <c r="BQ31" s="136">
        <f t="shared" si="22"/>
        <v>49.474999999999994</v>
      </c>
      <c r="BR31" s="136">
        <f t="shared" si="23"/>
        <v>52.2</v>
      </c>
      <c r="BS31" s="136">
        <f t="shared" si="24"/>
        <v>48.400000000000006</v>
      </c>
      <c r="BT31" s="136"/>
      <c r="BU31" s="136"/>
    </row>
    <row r="32" spans="1:79" s="65" customFormat="1" x14ac:dyDescent="0.35">
      <c r="A32" s="122" t="s">
        <v>33</v>
      </c>
      <c r="B32" s="122" t="s">
        <v>33</v>
      </c>
      <c r="C32" s="122" t="s">
        <v>34</v>
      </c>
      <c r="D32" s="122">
        <v>4</v>
      </c>
      <c r="E32" s="122">
        <v>2</v>
      </c>
      <c r="F32" s="122">
        <v>16</v>
      </c>
      <c r="G32" s="122">
        <v>216</v>
      </c>
      <c r="H32" s="65">
        <v>31</v>
      </c>
      <c r="I32" s="128">
        <v>45922</v>
      </c>
      <c r="J32" s="130">
        <v>0.78</v>
      </c>
      <c r="K32" s="133">
        <v>0.47</v>
      </c>
      <c r="L32" s="133">
        <v>0.29299999999999998</v>
      </c>
      <c r="M32" s="133">
        <v>0.219</v>
      </c>
      <c r="N32" s="133">
        <v>0.105</v>
      </c>
      <c r="O32" s="129">
        <f t="shared" si="0"/>
        <v>0.53</v>
      </c>
      <c r="P32" s="129">
        <f t="shared" si="25"/>
        <v>0.70700000000000007</v>
      </c>
      <c r="Q32" s="129">
        <f t="shared" si="2"/>
        <v>0.78100000000000003</v>
      </c>
      <c r="R32" s="129">
        <f t="shared" si="3"/>
        <v>0.89500000000000002</v>
      </c>
      <c r="S32" s="65">
        <v>1.3</v>
      </c>
      <c r="T32" s="65">
        <v>41.5</v>
      </c>
      <c r="U32" s="65">
        <v>37</v>
      </c>
      <c r="V32" s="65">
        <v>43.4</v>
      </c>
      <c r="W32" s="65">
        <v>39.5</v>
      </c>
      <c r="X32" s="65">
        <v>44.4</v>
      </c>
      <c r="Y32" s="65">
        <v>43.1</v>
      </c>
      <c r="Z32" s="65">
        <v>53.5</v>
      </c>
      <c r="AA32" s="65">
        <v>52.6</v>
      </c>
      <c r="AB32" s="65">
        <v>51.6</v>
      </c>
      <c r="AC32" s="65">
        <v>47.6</v>
      </c>
      <c r="AD32" s="65">
        <v>51.9</v>
      </c>
      <c r="AE32" s="65">
        <v>51.3</v>
      </c>
      <c r="AF32" s="65">
        <v>52.4</v>
      </c>
      <c r="AG32" s="65">
        <v>49.6</v>
      </c>
      <c r="AH32" s="65">
        <v>55.7</v>
      </c>
      <c r="AI32" s="65">
        <v>52.7</v>
      </c>
      <c r="AJ32" s="65">
        <v>40.4</v>
      </c>
      <c r="AK32" s="65">
        <v>47.6</v>
      </c>
      <c r="AL32" s="65">
        <v>48.5</v>
      </c>
      <c r="AM32" s="65">
        <v>57</v>
      </c>
      <c r="AN32" s="130">
        <v>0.5</v>
      </c>
      <c r="AO32" s="65">
        <v>1325</v>
      </c>
      <c r="AP32" s="65">
        <f t="shared" si="4"/>
        <v>2650</v>
      </c>
      <c r="AQ32" s="65">
        <v>125.3</v>
      </c>
      <c r="AR32" s="65">
        <v>20</v>
      </c>
      <c r="AS32" s="65">
        <v>18</v>
      </c>
      <c r="AT32" s="65">
        <v>60</v>
      </c>
      <c r="AU32" s="130">
        <v>12.73</v>
      </c>
      <c r="AV32" s="131">
        <f t="shared" si="5"/>
        <v>78.783333333333331</v>
      </c>
      <c r="AW32" s="65">
        <v>9.73</v>
      </c>
      <c r="AX32" s="130">
        <v>0</v>
      </c>
      <c r="AY32" s="130">
        <v>16.63</v>
      </c>
      <c r="AZ32" s="130">
        <v>0.8</v>
      </c>
      <c r="BA32" s="131">
        <f t="shared" si="6"/>
        <v>27.16</v>
      </c>
      <c r="BB32" s="131">
        <f t="shared" si="7"/>
        <v>1.5088888888888889</v>
      </c>
      <c r="BC32" s="131">
        <f t="shared" si="8"/>
        <v>6.9611111111111112</v>
      </c>
      <c r="BD32" s="134">
        <f t="shared" si="9"/>
        <v>0.21216666666666667</v>
      </c>
      <c r="BE32" s="135">
        <f t="shared" si="10"/>
        <v>281.12083333333334</v>
      </c>
      <c r="BF32" s="135">
        <f t="shared" si="11"/>
        <v>562.24166666666667</v>
      </c>
      <c r="BG32" s="134">
        <f t="shared" si="12"/>
        <v>0.35824742268041238</v>
      </c>
      <c r="BH32" s="134">
        <f t="shared" si="13"/>
        <v>0</v>
      </c>
      <c r="BI32" s="134">
        <f t="shared" si="14"/>
        <v>0.61229749631811481</v>
      </c>
      <c r="BJ32" s="134">
        <f t="shared" si="15"/>
        <v>2.9455081001472757E-2</v>
      </c>
      <c r="BK32" s="135">
        <f t="shared" si="16"/>
        <v>201.42162800687285</v>
      </c>
      <c r="BL32" s="135">
        <f t="shared" si="17"/>
        <v>0</v>
      </c>
      <c r="BM32" s="135">
        <f t="shared" si="18"/>
        <v>344.2591648257241</v>
      </c>
      <c r="BN32" s="135">
        <f t="shared" si="19"/>
        <v>16.560873834069714</v>
      </c>
      <c r="BO32" s="136">
        <f t="shared" si="20"/>
        <v>30.799999999999997</v>
      </c>
      <c r="BP32" s="136">
        <f t="shared" si="21"/>
        <v>45.125</v>
      </c>
      <c r="BQ32" s="136">
        <f t="shared" si="22"/>
        <v>50.925000000000004</v>
      </c>
      <c r="BR32" s="136">
        <f t="shared" si="23"/>
        <v>52.25</v>
      </c>
      <c r="BS32" s="136">
        <f t="shared" si="24"/>
        <v>47.3</v>
      </c>
      <c r="BT32" s="136"/>
      <c r="BU32" s="136"/>
    </row>
    <row r="33" spans="1:73" s="65" customFormat="1" x14ac:dyDescent="0.35">
      <c r="A33" s="122" t="s">
        <v>33</v>
      </c>
      <c r="B33" s="122" t="s">
        <v>33</v>
      </c>
      <c r="C33" s="122" t="s">
        <v>30</v>
      </c>
      <c r="D33" s="122">
        <v>4</v>
      </c>
      <c r="E33" s="122">
        <v>1</v>
      </c>
      <c r="F33" s="122">
        <v>16</v>
      </c>
      <c r="G33" s="122">
        <v>116</v>
      </c>
      <c r="H33" s="65">
        <v>32</v>
      </c>
      <c r="I33" s="128">
        <v>45922</v>
      </c>
      <c r="J33" s="130">
        <v>0.79</v>
      </c>
      <c r="K33" s="133">
        <v>0.48599999999999999</v>
      </c>
      <c r="L33" s="133">
        <v>0.314</v>
      </c>
      <c r="M33" s="133">
        <v>0.24</v>
      </c>
      <c r="N33" s="133">
        <v>0.186</v>
      </c>
      <c r="O33" s="129">
        <f t="shared" si="0"/>
        <v>0.51400000000000001</v>
      </c>
      <c r="P33" s="129">
        <f t="shared" si="25"/>
        <v>0.68599999999999994</v>
      </c>
      <c r="Q33" s="129">
        <f t="shared" si="2"/>
        <v>0.76</v>
      </c>
      <c r="R33" s="129">
        <f t="shared" si="3"/>
        <v>0.81400000000000006</v>
      </c>
      <c r="S33" s="65">
        <v>42.2</v>
      </c>
      <c r="T33" s="65">
        <v>27.2</v>
      </c>
      <c r="U33" s="65">
        <v>50.2</v>
      </c>
      <c r="V33" s="65">
        <v>43.9</v>
      </c>
      <c r="W33" s="65">
        <v>43.3</v>
      </c>
      <c r="X33" s="65">
        <v>54.4</v>
      </c>
      <c r="Y33" s="65">
        <v>49.2</v>
      </c>
      <c r="Z33" s="65">
        <v>46</v>
      </c>
      <c r="AA33" s="65">
        <v>45.5</v>
      </c>
      <c r="AB33" s="65">
        <v>56.1</v>
      </c>
      <c r="AC33" s="65">
        <v>52.7</v>
      </c>
      <c r="AD33" s="65">
        <v>54.9</v>
      </c>
      <c r="AE33" s="65">
        <v>46</v>
      </c>
      <c r="AF33" s="65">
        <v>54.9</v>
      </c>
      <c r="AG33" s="65">
        <v>55.3</v>
      </c>
      <c r="AH33" s="65">
        <v>53.2</v>
      </c>
      <c r="AI33" s="65">
        <v>45.4</v>
      </c>
      <c r="AJ33" s="65">
        <v>52.1</v>
      </c>
      <c r="AK33" s="65">
        <v>49.7</v>
      </c>
      <c r="AL33" s="65">
        <v>52</v>
      </c>
      <c r="AM33" s="65">
        <v>56</v>
      </c>
      <c r="AN33" s="130">
        <v>0.5</v>
      </c>
      <c r="AO33" s="65">
        <v>1372</v>
      </c>
      <c r="AP33" s="65">
        <f t="shared" si="4"/>
        <v>2744</v>
      </c>
      <c r="AQ33" s="65">
        <v>135.9</v>
      </c>
      <c r="AR33" s="65">
        <v>20</v>
      </c>
      <c r="AS33" s="65">
        <v>20</v>
      </c>
      <c r="AT33" s="65">
        <v>61.1</v>
      </c>
      <c r="AU33" s="130">
        <v>12.53</v>
      </c>
      <c r="AV33" s="131">
        <f t="shared" si="5"/>
        <v>79.492635024549912</v>
      </c>
      <c r="AW33" s="65">
        <v>10.3</v>
      </c>
      <c r="AX33" s="130">
        <v>7.0000000000000007E-2</v>
      </c>
      <c r="AY33" s="130">
        <v>15.78</v>
      </c>
      <c r="AZ33" s="130">
        <v>1.1200000000000001</v>
      </c>
      <c r="BA33" s="131">
        <f t="shared" si="6"/>
        <v>27.27</v>
      </c>
      <c r="BB33" s="131">
        <f t="shared" si="7"/>
        <v>1.3634999999999999</v>
      </c>
      <c r="BC33" s="131">
        <f t="shared" si="8"/>
        <v>6.7949999999999999</v>
      </c>
      <c r="BD33" s="134">
        <f t="shared" si="9"/>
        <v>0.20507364975450079</v>
      </c>
      <c r="BE33" s="135">
        <f t="shared" si="10"/>
        <v>281.36104746317511</v>
      </c>
      <c r="BF33" s="135">
        <f t="shared" si="11"/>
        <v>562.72209492635022</v>
      </c>
      <c r="BG33" s="134">
        <f t="shared" si="12"/>
        <v>0.37770443711037771</v>
      </c>
      <c r="BH33" s="134">
        <f t="shared" si="13"/>
        <v>2.5669233590025673E-3</v>
      </c>
      <c r="BI33" s="134">
        <f t="shared" si="14"/>
        <v>0.57865786578657863</v>
      </c>
      <c r="BJ33" s="134">
        <f t="shared" si="15"/>
        <v>4.1070773744041077E-2</v>
      </c>
      <c r="BK33" s="135">
        <f t="shared" si="16"/>
        <v>212.54263211372964</v>
      </c>
      <c r="BL33" s="135">
        <f t="shared" si="17"/>
        <v>1.4444644900933084</v>
      </c>
      <c r="BM33" s="135">
        <f t="shared" si="18"/>
        <v>325.62356648103435</v>
      </c>
      <c r="BN33" s="135">
        <f t="shared" si="19"/>
        <v>23.111431841492934</v>
      </c>
      <c r="BO33" s="136">
        <f t="shared" si="20"/>
        <v>40.875</v>
      </c>
      <c r="BP33" s="136">
        <f t="shared" si="21"/>
        <v>48.224999999999994</v>
      </c>
      <c r="BQ33" s="136">
        <f t="shared" si="22"/>
        <v>52.300000000000004</v>
      </c>
      <c r="BR33" s="136">
        <f t="shared" si="23"/>
        <v>52.349999999999994</v>
      </c>
      <c r="BS33" s="136">
        <f t="shared" si="24"/>
        <v>49.8</v>
      </c>
      <c r="BT33" s="136"/>
      <c r="BU33" s="136"/>
    </row>
    <row r="34" spans="1:73" s="37" customFormat="1" x14ac:dyDescent="0.35">
      <c r="A34" s="62"/>
      <c r="B34" s="62"/>
      <c r="C34" s="122"/>
      <c r="D34" s="122"/>
      <c r="E34" s="122"/>
      <c r="F34" s="122"/>
      <c r="G34" s="122"/>
      <c r="H34" s="122"/>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5"/>
      <c r="AN34" s="4"/>
      <c r="AO34"/>
      <c r="AP34"/>
      <c r="AQ34"/>
      <c r="AR34"/>
      <c r="AS34"/>
      <c r="AT34"/>
      <c r="AU34" s="4"/>
      <c r="AV34" s="4"/>
      <c r="AW34" s="36"/>
      <c r="AX34" s="36"/>
      <c r="AY34" s="36"/>
      <c r="AZ34" s="36"/>
      <c r="BA34" s="36"/>
      <c r="BB34" s="39"/>
      <c r="BC34" s="39"/>
      <c r="BD34" s="40"/>
      <c r="BE34" s="41"/>
      <c r="BF34" s="41"/>
      <c r="BG34" s="40"/>
      <c r="BH34" s="40"/>
      <c r="BI34" s="40"/>
      <c r="BJ34" s="40"/>
      <c r="BK34" s="36"/>
      <c r="BL34" s="36"/>
      <c r="BM34" s="36"/>
      <c r="BN34" s="36"/>
    </row>
    <row r="36" spans="1:73" x14ac:dyDescent="0.35">
      <c r="Z36" s="29" t="s">
        <v>520</v>
      </c>
      <c r="AA36"/>
      <c r="AB36" s="29" t="s">
        <v>23</v>
      </c>
      <c r="AC36"/>
      <c r="AD36"/>
      <c r="AE36"/>
      <c r="AF36"/>
      <c r="AG36"/>
    </row>
    <row r="37" spans="1:73" x14ac:dyDescent="0.35">
      <c r="Z37" s="29" t="s">
        <v>20</v>
      </c>
      <c r="AA37" s="29" t="s">
        <v>21</v>
      </c>
      <c r="AB37">
        <v>1</v>
      </c>
      <c r="AC37">
        <v>2</v>
      </c>
      <c r="AD37">
        <v>3</v>
      </c>
      <c r="AE37">
        <v>4</v>
      </c>
      <c r="AF37" t="s">
        <v>434</v>
      </c>
      <c r="AG37" t="s">
        <v>418</v>
      </c>
    </row>
    <row r="38" spans="1:73" x14ac:dyDescent="0.35">
      <c r="Z38" t="s">
        <v>28</v>
      </c>
      <c r="AA38" t="s">
        <v>32</v>
      </c>
      <c r="AB38" s="104">
        <v>604.44251631241434</v>
      </c>
      <c r="AC38" s="104">
        <v>633.07076129447364</v>
      </c>
      <c r="AD38" s="104">
        <v>543.92025436108952</v>
      </c>
      <c r="AE38" s="104">
        <v>512.37775631193495</v>
      </c>
      <c r="AF38" s="104"/>
      <c r="AG38" s="104">
        <v>573.45282206997808</v>
      </c>
    </row>
    <row r="39" spans="1:73" x14ac:dyDescent="0.35">
      <c r="Z39"/>
      <c r="AA39" t="s">
        <v>31</v>
      </c>
      <c r="AB39" s="104">
        <v>440.58981574502684</v>
      </c>
      <c r="AC39" s="104">
        <v>477.43021440157389</v>
      </c>
      <c r="AD39" s="104">
        <v>392.84074675021913</v>
      </c>
      <c r="AE39" s="104">
        <v>339.37320915639248</v>
      </c>
      <c r="AF39" s="104"/>
      <c r="AG39" s="104">
        <v>412.55849651330306</v>
      </c>
    </row>
    <row r="40" spans="1:73" x14ac:dyDescent="0.35">
      <c r="Z40"/>
      <c r="AA40" t="s">
        <v>29</v>
      </c>
      <c r="AB40" s="104">
        <v>392.74481756361519</v>
      </c>
      <c r="AC40" s="104">
        <v>400.16893388869192</v>
      </c>
      <c r="AD40" s="104">
        <v>414.76130589387833</v>
      </c>
      <c r="AE40" s="104">
        <v>464.88662838463557</v>
      </c>
      <c r="AF40" s="104"/>
      <c r="AG40" s="104">
        <v>418.14042143270524</v>
      </c>
    </row>
    <row r="41" spans="1:73" x14ac:dyDescent="0.35">
      <c r="Z41"/>
      <c r="AA41" t="s">
        <v>30</v>
      </c>
      <c r="AB41" s="104">
        <v>450.0303038910979</v>
      </c>
      <c r="AC41" s="104">
        <v>420.2906525451022</v>
      </c>
      <c r="AD41" s="104">
        <v>473.98766592434987</v>
      </c>
      <c r="AE41" s="104">
        <v>489.39966026133715</v>
      </c>
      <c r="AF41" s="104"/>
      <c r="AG41" s="104">
        <v>458.42707065547177</v>
      </c>
    </row>
    <row r="42" spans="1:73" x14ac:dyDescent="0.35">
      <c r="Z42" t="s">
        <v>33</v>
      </c>
      <c r="AA42" t="s">
        <v>35</v>
      </c>
      <c r="AB42" s="104">
        <v>352.5471671744416</v>
      </c>
      <c r="AC42" s="104">
        <v>468.10009256364134</v>
      </c>
      <c r="AD42" s="104">
        <v>458.40702366573015</v>
      </c>
      <c r="AE42" s="104">
        <v>401.57967960719111</v>
      </c>
      <c r="AF42" s="104"/>
      <c r="AG42" s="104">
        <v>420.15849075275105</v>
      </c>
    </row>
    <row r="43" spans="1:73" x14ac:dyDescent="0.35">
      <c r="Z43"/>
      <c r="AA43" t="s">
        <v>34</v>
      </c>
      <c r="AB43" s="104">
        <v>354.46809671934051</v>
      </c>
      <c r="AC43" s="104">
        <v>402.96727171109501</v>
      </c>
      <c r="AD43" s="104">
        <v>389.28073195754695</v>
      </c>
      <c r="AE43" s="104">
        <v>534.79090362190107</v>
      </c>
      <c r="AF43" s="104"/>
      <c r="AG43" s="104">
        <v>420.37675100247088</v>
      </c>
    </row>
    <row r="44" spans="1:73" x14ac:dyDescent="0.35">
      <c r="Z44"/>
      <c r="AA44" t="s">
        <v>29</v>
      </c>
      <c r="AB44" s="104">
        <v>504.49217949033414</v>
      </c>
      <c r="AC44" s="104">
        <v>445.38605757265719</v>
      </c>
      <c r="AD44" s="104">
        <v>486.16849594504288</v>
      </c>
      <c r="AE44" s="104">
        <v>471.13217736203023</v>
      </c>
      <c r="AF44" s="104"/>
      <c r="AG44" s="104">
        <v>476.7947275925161</v>
      </c>
    </row>
    <row r="45" spans="1:73" x14ac:dyDescent="0.35">
      <c r="Z45"/>
      <c r="AA45" t="s">
        <v>30</v>
      </c>
      <c r="AB45" s="104">
        <v>498.83099182218496</v>
      </c>
      <c r="AC45" s="104">
        <v>482.59137747878196</v>
      </c>
      <c r="AD45" s="104">
        <v>413.98662879991201</v>
      </c>
      <c r="AE45" s="104">
        <v>468.94302496855346</v>
      </c>
      <c r="AF45" s="104"/>
      <c r="AG45" s="104">
        <v>466.08800576735814</v>
      </c>
    </row>
    <row r="46" spans="1:73" x14ac:dyDescent="0.35">
      <c r="Z46" t="s">
        <v>434</v>
      </c>
      <c r="AA46" t="s">
        <v>434</v>
      </c>
      <c r="AB46" s="104"/>
      <c r="AC46" s="104"/>
      <c r="AD46" s="104"/>
      <c r="AE46" s="104"/>
      <c r="AF46" s="104"/>
      <c r="AG46" s="104"/>
    </row>
  </sheetData>
  <autoFilter ref="A1:BN33" xr:uid="{DFEC1D64-6F11-4ABD-B799-01598608E985}">
    <sortState xmlns:xlrd2="http://schemas.microsoft.com/office/spreadsheetml/2017/richdata2" ref="A2:BN33">
      <sortCondition ref="E1:E33"/>
    </sortState>
  </autoFilter>
  <conditionalFormatting pivot="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4"/>
  <legacy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935F-2035-4DCA-9CB6-4C2E29EA0CD5}">
  <dimension ref="A1:O449"/>
  <sheetViews>
    <sheetView workbookViewId="0">
      <selection activeCell="T15" sqref="T15"/>
    </sheetView>
  </sheetViews>
  <sheetFormatPr defaultRowHeight="14.5" x14ac:dyDescent="0.35"/>
  <cols>
    <col min="1" max="1" width="13.81640625" style="105" customWidth="1"/>
    <col min="2" max="2" width="16.453125" style="105" customWidth="1"/>
    <col min="3" max="3" width="13.54296875" style="105" customWidth="1"/>
    <col min="4" max="7" width="8.81640625" style="105"/>
    <col min="8" max="8" width="13.26953125" style="105" customWidth="1"/>
    <col min="9" max="9" width="14.453125" style="37" customWidth="1"/>
    <col min="10" max="10" width="14.453125" customWidth="1"/>
    <col min="11" max="11" width="12.54296875" customWidth="1"/>
  </cols>
  <sheetData>
    <row r="1" spans="1:13" ht="87" x14ac:dyDescent="0.35">
      <c r="A1" s="80" t="s">
        <v>20</v>
      </c>
      <c r="B1" s="80" t="s">
        <v>21</v>
      </c>
      <c r="C1" s="80" t="s">
        <v>22</v>
      </c>
      <c r="D1" s="80" t="s">
        <v>23</v>
      </c>
      <c r="E1" s="80" t="s">
        <v>24</v>
      </c>
      <c r="F1" s="80" t="s">
        <v>25</v>
      </c>
      <c r="G1" s="10" t="s">
        <v>26</v>
      </c>
      <c r="H1" s="80" t="s">
        <v>412</v>
      </c>
      <c r="I1" s="80" t="s">
        <v>413</v>
      </c>
      <c r="J1" s="8" t="s">
        <v>521</v>
      </c>
      <c r="K1" s="8" t="s">
        <v>522</v>
      </c>
      <c r="L1" s="8" t="s">
        <v>523</v>
      </c>
      <c r="M1" s="10"/>
    </row>
    <row r="2" spans="1:13" x14ac:dyDescent="0.35">
      <c r="A2" s="105" t="s">
        <v>28</v>
      </c>
      <c r="B2" s="105" t="s">
        <v>29</v>
      </c>
      <c r="C2" s="105">
        <v>1</v>
      </c>
      <c r="D2" s="105">
        <v>1</v>
      </c>
      <c r="E2" s="105">
        <v>2</v>
      </c>
      <c r="F2" s="105">
        <v>102</v>
      </c>
      <c r="G2" s="37">
        <v>1</v>
      </c>
      <c r="H2" s="105">
        <v>1</v>
      </c>
      <c r="I2" s="43">
        <v>45894</v>
      </c>
      <c r="J2" s="96">
        <v>37</v>
      </c>
      <c r="K2" s="37">
        <v>0</v>
      </c>
    </row>
    <row r="3" spans="1:13" x14ac:dyDescent="0.35">
      <c r="A3" s="105" t="s">
        <v>28</v>
      </c>
      <c r="B3" s="105" t="s">
        <v>30</v>
      </c>
      <c r="C3" s="105">
        <v>1</v>
      </c>
      <c r="D3" s="105">
        <v>2</v>
      </c>
      <c r="E3" s="105">
        <v>2</v>
      </c>
      <c r="F3" s="105">
        <v>202</v>
      </c>
      <c r="G3" s="37">
        <v>2</v>
      </c>
      <c r="H3" s="105">
        <v>1</v>
      </c>
      <c r="I3" s="43">
        <v>45894</v>
      </c>
      <c r="J3" s="96">
        <v>39</v>
      </c>
      <c r="K3" s="37">
        <v>0</v>
      </c>
    </row>
    <row r="4" spans="1:13" x14ac:dyDescent="0.35">
      <c r="A4" s="105" t="s">
        <v>28</v>
      </c>
      <c r="B4" s="105" t="s">
        <v>31</v>
      </c>
      <c r="C4" s="105">
        <v>1</v>
      </c>
      <c r="D4" s="105">
        <v>3</v>
      </c>
      <c r="E4" s="105">
        <v>2</v>
      </c>
      <c r="F4" s="105">
        <v>302</v>
      </c>
      <c r="G4" s="37">
        <v>3</v>
      </c>
      <c r="H4" s="105">
        <v>1</v>
      </c>
      <c r="J4" s="37"/>
      <c r="K4" s="37"/>
    </row>
    <row r="5" spans="1:13" x14ac:dyDescent="0.35">
      <c r="A5" s="105" t="s">
        <v>28</v>
      </c>
      <c r="B5" s="105" t="s">
        <v>32</v>
      </c>
      <c r="C5" s="105">
        <v>1</v>
      </c>
      <c r="D5" s="105">
        <v>4</v>
      </c>
      <c r="E5" s="105">
        <v>2</v>
      </c>
      <c r="F5" s="105">
        <v>402</v>
      </c>
      <c r="G5" s="37">
        <v>4</v>
      </c>
      <c r="H5" s="105">
        <v>1</v>
      </c>
      <c r="J5" s="37"/>
      <c r="K5" s="37"/>
    </row>
    <row r="6" spans="1:13" x14ac:dyDescent="0.35">
      <c r="A6" s="105" t="s">
        <v>33</v>
      </c>
      <c r="B6" s="105" t="s">
        <v>29</v>
      </c>
      <c r="C6" s="105">
        <v>1</v>
      </c>
      <c r="D6" s="105">
        <v>4</v>
      </c>
      <c r="E6" s="105">
        <v>4</v>
      </c>
      <c r="F6" s="105">
        <v>404</v>
      </c>
      <c r="G6" s="37">
        <v>5</v>
      </c>
      <c r="H6" s="105">
        <v>1</v>
      </c>
      <c r="J6" s="33"/>
      <c r="K6" s="33"/>
    </row>
    <row r="7" spans="1:13" x14ac:dyDescent="0.35">
      <c r="A7" s="105" t="s">
        <v>33</v>
      </c>
      <c r="B7" s="105" t="s">
        <v>35</v>
      </c>
      <c r="C7" s="105">
        <v>1</v>
      </c>
      <c r="D7" s="105">
        <v>3</v>
      </c>
      <c r="E7" s="105">
        <v>4</v>
      </c>
      <c r="F7" s="105">
        <v>304</v>
      </c>
      <c r="G7" s="37">
        <v>6</v>
      </c>
      <c r="H7" s="105">
        <v>1</v>
      </c>
      <c r="J7" s="33"/>
      <c r="K7" s="33"/>
    </row>
    <row r="8" spans="1:13" x14ac:dyDescent="0.35">
      <c r="A8" s="105" t="s">
        <v>33</v>
      </c>
      <c r="B8" s="105" t="s">
        <v>30</v>
      </c>
      <c r="C8" s="105">
        <v>1</v>
      </c>
      <c r="D8" s="105">
        <v>2</v>
      </c>
      <c r="E8" s="105">
        <v>4</v>
      </c>
      <c r="F8" s="105">
        <v>204</v>
      </c>
      <c r="G8" s="37">
        <v>7</v>
      </c>
      <c r="H8" s="105">
        <v>1</v>
      </c>
      <c r="J8" s="33"/>
      <c r="K8" s="33"/>
    </row>
    <row r="9" spans="1:13" x14ac:dyDescent="0.35">
      <c r="A9" s="105" t="s">
        <v>33</v>
      </c>
      <c r="B9" s="105" t="s">
        <v>34</v>
      </c>
      <c r="C9" s="105">
        <v>1</v>
      </c>
      <c r="D9" s="105">
        <v>1</v>
      </c>
      <c r="E9" s="105">
        <v>4</v>
      </c>
      <c r="F9" s="105">
        <v>104</v>
      </c>
      <c r="G9" s="37">
        <v>8</v>
      </c>
      <c r="H9" s="105">
        <v>1</v>
      </c>
      <c r="J9" s="33"/>
      <c r="K9" s="33"/>
    </row>
    <row r="10" spans="1:13" x14ac:dyDescent="0.35">
      <c r="A10" s="105" t="s">
        <v>28</v>
      </c>
      <c r="B10" s="105" t="s">
        <v>31</v>
      </c>
      <c r="C10" s="105">
        <v>2</v>
      </c>
      <c r="D10" s="105">
        <v>1</v>
      </c>
      <c r="E10" s="105">
        <v>6</v>
      </c>
      <c r="F10" s="105">
        <v>106</v>
      </c>
      <c r="G10" s="37">
        <v>9</v>
      </c>
      <c r="H10" s="105">
        <v>1</v>
      </c>
      <c r="J10" s="37"/>
      <c r="K10" s="37"/>
    </row>
    <row r="11" spans="1:13" x14ac:dyDescent="0.35">
      <c r="A11" s="105" t="s">
        <v>28</v>
      </c>
      <c r="B11" s="105" t="s">
        <v>32</v>
      </c>
      <c r="C11" s="105">
        <v>2</v>
      </c>
      <c r="D11" s="105">
        <v>2</v>
      </c>
      <c r="E11" s="105">
        <v>6</v>
      </c>
      <c r="F11" s="105">
        <v>206</v>
      </c>
      <c r="G11" s="37">
        <v>10</v>
      </c>
      <c r="H11" s="105">
        <v>1</v>
      </c>
      <c r="J11" s="37"/>
      <c r="K11" s="37"/>
    </row>
    <row r="12" spans="1:13" x14ac:dyDescent="0.35">
      <c r="A12" s="105" t="s">
        <v>28</v>
      </c>
      <c r="B12" s="105" t="s">
        <v>30</v>
      </c>
      <c r="C12" s="105">
        <v>2</v>
      </c>
      <c r="D12" s="105">
        <v>3</v>
      </c>
      <c r="E12" s="105">
        <v>6</v>
      </c>
      <c r="F12" s="105">
        <v>306</v>
      </c>
      <c r="G12" s="37">
        <v>11</v>
      </c>
      <c r="H12" s="105">
        <v>1</v>
      </c>
      <c r="I12" s="43">
        <v>45894</v>
      </c>
      <c r="J12" s="96">
        <v>21</v>
      </c>
      <c r="K12" s="37">
        <v>0</v>
      </c>
    </row>
    <row r="13" spans="1:13" x14ac:dyDescent="0.35">
      <c r="A13" s="105" t="s">
        <v>28</v>
      </c>
      <c r="B13" s="105" t="s">
        <v>29</v>
      </c>
      <c r="C13" s="105">
        <v>2</v>
      </c>
      <c r="D13" s="105">
        <v>4</v>
      </c>
      <c r="E13" s="105">
        <v>6</v>
      </c>
      <c r="F13" s="105">
        <v>406</v>
      </c>
      <c r="G13" s="37">
        <v>12</v>
      </c>
      <c r="H13" s="105">
        <v>1</v>
      </c>
      <c r="I13" s="43">
        <v>45894</v>
      </c>
      <c r="J13" s="96">
        <v>49</v>
      </c>
      <c r="K13" s="37">
        <v>0</v>
      </c>
    </row>
    <row r="14" spans="1:13" x14ac:dyDescent="0.35">
      <c r="A14" s="105" t="s">
        <v>33</v>
      </c>
      <c r="B14" s="105" t="s">
        <v>34</v>
      </c>
      <c r="C14" s="105">
        <v>2</v>
      </c>
      <c r="D14" s="105">
        <v>4</v>
      </c>
      <c r="E14" s="105">
        <v>8</v>
      </c>
      <c r="F14" s="105">
        <v>408</v>
      </c>
      <c r="G14" s="37">
        <v>13</v>
      </c>
      <c r="H14" s="105">
        <v>1</v>
      </c>
      <c r="J14" s="33"/>
      <c r="K14" s="33"/>
    </row>
    <row r="15" spans="1:13" x14ac:dyDescent="0.35">
      <c r="A15" s="105" t="s">
        <v>33</v>
      </c>
      <c r="B15" s="105" t="s">
        <v>30</v>
      </c>
      <c r="C15" s="105">
        <v>2</v>
      </c>
      <c r="D15" s="105">
        <v>3</v>
      </c>
      <c r="E15" s="105">
        <v>8</v>
      </c>
      <c r="F15" s="105">
        <v>308</v>
      </c>
      <c r="G15" s="37">
        <v>14</v>
      </c>
      <c r="H15" s="105">
        <v>1</v>
      </c>
      <c r="J15" s="33"/>
      <c r="K15" s="33"/>
    </row>
    <row r="16" spans="1:13" x14ac:dyDescent="0.35">
      <c r="A16" s="105" t="s">
        <v>33</v>
      </c>
      <c r="B16" s="105" t="s">
        <v>29</v>
      </c>
      <c r="C16" s="105">
        <v>2</v>
      </c>
      <c r="D16" s="105">
        <v>2</v>
      </c>
      <c r="E16" s="105">
        <v>8</v>
      </c>
      <c r="F16" s="105">
        <v>208</v>
      </c>
      <c r="G16" s="37">
        <v>15</v>
      </c>
      <c r="H16" s="105">
        <v>1</v>
      </c>
      <c r="J16" s="33"/>
      <c r="K16" s="33"/>
    </row>
    <row r="17" spans="1:15" x14ac:dyDescent="0.35">
      <c r="A17" s="105" t="s">
        <v>33</v>
      </c>
      <c r="B17" s="105" t="s">
        <v>35</v>
      </c>
      <c r="C17" s="105">
        <v>2</v>
      </c>
      <c r="D17" s="105">
        <v>1</v>
      </c>
      <c r="E17" s="105">
        <v>8</v>
      </c>
      <c r="F17" s="105">
        <v>108</v>
      </c>
      <c r="G17" s="37">
        <v>16</v>
      </c>
      <c r="H17" s="105">
        <v>1</v>
      </c>
      <c r="J17" s="33"/>
      <c r="K17" s="33"/>
    </row>
    <row r="18" spans="1:15" x14ac:dyDescent="0.35">
      <c r="A18" s="105" t="s">
        <v>28</v>
      </c>
      <c r="B18" s="105" t="s">
        <v>32</v>
      </c>
      <c r="C18" s="105">
        <v>3</v>
      </c>
      <c r="D18" s="105">
        <v>1</v>
      </c>
      <c r="E18" s="105">
        <v>10</v>
      </c>
      <c r="F18" s="105">
        <v>110</v>
      </c>
      <c r="G18" s="37">
        <v>17</v>
      </c>
      <c r="H18" s="105">
        <v>1</v>
      </c>
      <c r="J18" s="37"/>
      <c r="K18" s="37"/>
    </row>
    <row r="19" spans="1:15" x14ac:dyDescent="0.35">
      <c r="A19" s="105" t="s">
        <v>28</v>
      </c>
      <c r="B19" s="105" t="s">
        <v>31</v>
      </c>
      <c r="C19" s="105">
        <v>3</v>
      </c>
      <c r="D19" s="105">
        <v>2</v>
      </c>
      <c r="E19" s="105">
        <v>10</v>
      </c>
      <c r="F19" s="105">
        <v>210</v>
      </c>
      <c r="G19" s="37">
        <v>18</v>
      </c>
      <c r="H19" s="105">
        <v>1</v>
      </c>
      <c r="J19" s="37"/>
      <c r="K19" s="37"/>
    </row>
    <row r="20" spans="1:15" x14ac:dyDescent="0.35">
      <c r="A20" s="105" t="s">
        <v>28</v>
      </c>
      <c r="B20" s="105" t="s">
        <v>29</v>
      </c>
      <c r="C20" s="105">
        <v>3</v>
      </c>
      <c r="D20" s="105">
        <v>3</v>
      </c>
      <c r="E20" s="105">
        <v>10</v>
      </c>
      <c r="F20" s="105">
        <v>310</v>
      </c>
      <c r="G20" s="37">
        <v>19</v>
      </c>
      <c r="H20" s="105">
        <v>1</v>
      </c>
      <c r="I20" s="43">
        <v>45894</v>
      </c>
      <c r="J20" s="96">
        <v>23</v>
      </c>
      <c r="K20" s="37">
        <v>0</v>
      </c>
      <c r="O20" s="1"/>
    </row>
    <row r="21" spans="1:15" x14ac:dyDescent="0.35">
      <c r="A21" s="105" t="s">
        <v>28</v>
      </c>
      <c r="B21" s="105" t="s">
        <v>30</v>
      </c>
      <c r="C21" s="105">
        <v>3</v>
      </c>
      <c r="D21" s="105">
        <v>4</v>
      </c>
      <c r="E21" s="105">
        <v>10</v>
      </c>
      <c r="F21" s="105">
        <v>410</v>
      </c>
      <c r="G21" s="37">
        <v>20</v>
      </c>
      <c r="H21" s="105">
        <v>1</v>
      </c>
      <c r="I21" s="43">
        <v>45894</v>
      </c>
      <c r="J21" s="96">
        <v>44</v>
      </c>
      <c r="K21" s="37">
        <v>0</v>
      </c>
    </row>
    <row r="22" spans="1:15" x14ac:dyDescent="0.35">
      <c r="A22" s="105" t="s">
        <v>33</v>
      </c>
      <c r="B22" s="105" t="s">
        <v>30</v>
      </c>
      <c r="C22" s="105">
        <v>3</v>
      </c>
      <c r="D22" s="105">
        <v>4</v>
      </c>
      <c r="E22" s="105">
        <v>12</v>
      </c>
      <c r="F22" s="105">
        <v>412</v>
      </c>
      <c r="G22" s="37">
        <v>21</v>
      </c>
      <c r="H22" s="105">
        <v>1</v>
      </c>
      <c r="J22" s="33"/>
      <c r="K22" s="33"/>
    </row>
    <row r="23" spans="1:15" x14ac:dyDescent="0.35">
      <c r="A23" s="105" t="s">
        <v>33</v>
      </c>
      <c r="B23" s="105" t="s">
        <v>34</v>
      </c>
      <c r="C23" s="105">
        <v>3</v>
      </c>
      <c r="D23" s="105">
        <v>3</v>
      </c>
      <c r="E23" s="105">
        <v>12</v>
      </c>
      <c r="F23" s="105">
        <v>312</v>
      </c>
      <c r="G23" s="37">
        <v>22</v>
      </c>
      <c r="H23" s="105">
        <v>1</v>
      </c>
      <c r="J23" s="33"/>
      <c r="K23" s="33"/>
    </row>
    <row r="24" spans="1:15" x14ac:dyDescent="0.35">
      <c r="A24" s="105" t="s">
        <v>33</v>
      </c>
      <c r="B24" s="105" t="s">
        <v>35</v>
      </c>
      <c r="C24" s="105">
        <v>3</v>
      </c>
      <c r="D24" s="105">
        <v>2</v>
      </c>
      <c r="E24" s="105">
        <v>12</v>
      </c>
      <c r="F24" s="105">
        <v>212</v>
      </c>
      <c r="G24" s="37">
        <v>23</v>
      </c>
      <c r="H24" s="105">
        <v>1</v>
      </c>
      <c r="J24" s="33"/>
      <c r="K24" s="33"/>
    </row>
    <row r="25" spans="1:15" x14ac:dyDescent="0.35">
      <c r="A25" s="105" t="s">
        <v>33</v>
      </c>
      <c r="B25" s="105" t="s">
        <v>29</v>
      </c>
      <c r="C25" s="105">
        <v>3</v>
      </c>
      <c r="D25" s="105">
        <v>1</v>
      </c>
      <c r="E25" s="105">
        <v>12</v>
      </c>
      <c r="F25" s="105">
        <v>112</v>
      </c>
      <c r="G25" s="37">
        <v>24</v>
      </c>
      <c r="H25" s="105">
        <v>1</v>
      </c>
      <c r="J25" s="33"/>
      <c r="K25" s="33"/>
      <c r="O25" s="1"/>
    </row>
    <row r="26" spans="1:15" x14ac:dyDescent="0.35">
      <c r="A26" s="105" t="s">
        <v>28</v>
      </c>
      <c r="B26" s="105" t="s">
        <v>30</v>
      </c>
      <c r="C26" s="105">
        <v>4</v>
      </c>
      <c r="D26" s="105">
        <v>1</v>
      </c>
      <c r="E26" s="105">
        <v>14</v>
      </c>
      <c r="F26" s="105">
        <v>114</v>
      </c>
      <c r="G26" s="37">
        <v>25</v>
      </c>
      <c r="H26" s="105">
        <v>1</v>
      </c>
      <c r="I26" s="43">
        <v>45894</v>
      </c>
      <c r="J26" s="96">
        <v>48</v>
      </c>
      <c r="K26" s="37">
        <v>0</v>
      </c>
    </row>
    <row r="27" spans="1:15" x14ac:dyDescent="0.35">
      <c r="A27" s="105" t="s">
        <v>28</v>
      </c>
      <c r="B27" s="105" t="s">
        <v>29</v>
      </c>
      <c r="C27" s="105">
        <v>4</v>
      </c>
      <c r="D27" s="105">
        <v>2</v>
      </c>
      <c r="E27" s="105">
        <v>14</v>
      </c>
      <c r="F27" s="105">
        <v>214</v>
      </c>
      <c r="G27" s="37">
        <v>26</v>
      </c>
      <c r="H27" s="105">
        <v>1</v>
      </c>
      <c r="I27" s="43">
        <v>45894</v>
      </c>
      <c r="J27" s="96">
        <v>47</v>
      </c>
      <c r="K27" s="37">
        <v>0</v>
      </c>
    </row>
    <row r="28" spans="1:15" x14ac:dyDescent="0.35">
      <c r="A28" s="105" t="s">
        <v>28</v>
      </c>
      <c r="B28" s="105" t="s">
        <v>32</v>
      </c>
      <c r="C28" s="105">
        <v>4</v>
      </c>
      <c r="D28" s="105">
        <v>3</v>
      </c>
      <c r="E28" s="105">
        <v>14</v>
      </c>
      <c r="F28" s="105">
        <v>314</v>
      </c>
      <c r="G28" s="37">
        <v>27</v>
      </c>
      <c r="H28" s="105">
        <v>1</v>
      </c>
      <c r="J28" s="37"/>
      <c r="K28" s="37"/>
    </row>
    <row r="29" spans="1:15" x14ac:dyDescent="0.35">
      <c r="A29" s="105" t="s">
        <v>28</v>
      </c>
      <c r="B29" s="105" t="s">
        <v>31</v>
      </c>
      <c r="C29" s="105">
        <v>4</v>
      </c>
      <c r="D29" s="105">
        <v>4</v>
      </c>
      <c r="E29" s="105">
        <v>14</v>
      </c>
      <c r="F29" s="105">
        <v>414</v>
      </c>
      <c r="G29" s="37">
        <v>28</v>
      </c>
      <c r="H29" s="105">
        <v>1</v>
      </c>
      <c r="J29" s="37"/>
      <c r="K29" s="37"/>
    </row>
    <row r="30" spans="1:15" x14ac:dyDescent="0.35">
      <c r="A30" s="105" t="s">
        <v>33</v>
      </c>
      <c r="B30" s="105" t="s">
        <v>35</v>
      </c>
      <c r="C30" s="105">
        <v>4</v>
      </c>
      <c r="D30" s="105">
        <v>4</v>
      </c>
      <c r="E30" s="105">
        <v>16</v>
      </c>
      <c r="F30" s="105">
        <v>416</v>
      </c>
      <c r="G30" s="37">
        <v>29</v>
      </c>
      <c r="H30" s="105">
        <v>1</v>
      </c>
      <c r="J30" s="33"/>
      <c r="K30" s="33"/>
      <c r="O30" s="1"/>
    </row>
    <row r="31" spans="1:15" x14ac:dyDescent="0.35">
      <c r="A31" s="105" t="s">
        <v>33</v>
      </c>
      <c r="B31" s="105" t="s">
        <v>29</v>
      </c>
      <c r="C31" s="105">
        <v>4</v>
      </c>
      <c r="D31" s="105">
        <v>3</v>
      </c>
      <c r="E31" s="105">
        <v>16</v>
      </c>
      <c r="F31" s="105">
        <v>316</v>
      </c>
      <c r="G31" s="37">
        <v>30</v>
      </c>
      <c r="H31" s="105">
        <v>1</v>
      </c>
      <c r="J31" s="33"/>
      <c r="K31" s="33"/>
    </row>
    <row r="32" spans="1:15" x14ac:dyDescent="0.35">
      <c r="A32" s="105" t="s">
        <v>33</v>
      </c>
      <c r="B32" s="105" t="s">
        <v>34</v>
      </c>
      <c r="C32" s="105">
        <v>4</v>
      </c>
      <c r="D32" s="105">
        <v>2</v>
      </c>
      <c r="E32" s="105">
        <v>16</v>
      </c>
      <c r="F32" s="105">
        <v>216</v>
      </c>
      <c r="G32" s="37">
        <v>31</v>
      </c>
      <c r="H32" s="105">
        <v>1</v>
      </c>
      <c r="J32" s="33"/>
      <c r="K32" s="33"/>
    </row>
    <row r="33" spans="1:15" x14ac:dyDescent="0.35">
      <c r="A33" s="105" t="s">
        <v>33</v>
      </c>
      <c r="B33" s="105" t="s">
        <v>30</v>
      </c>
      <c r="C33" s="105">
        <v>4</v>
      </c>
      <c r="D33" s="105">
        <v>1</v>
      </c>
      <c r="E33" s="105">
        <v>16</v>
      </c>
      <c r="F33" s="105">
        <v>116</v>
      </c>
      <c r="G33" s="37">
        <v>32</v>
      </c>
      <c r="H33" s="105">
        <v>1</v>
      </c>
      <c r="J33" s="33"/>
      <c r="K33" s="33"/>
    </row>
    <row r="34" spans="1:15" x14ac:dyDescent="0.35">
      <c r="A34" s="105" t="s">
        <v>28</v>
      </c>
      <c r="B34" s="105" t="s">
        <v>29</v>
      </c>
      <c r="C34" s="105">
        <v>1</v>
      </c>
      <c r="D34" s="105">
        <v>1</v>
      </c>
      <c r="E34" s="105">
        <v>2</v>
      </c>
      <c r="F34" s="105">
        <v>102</v>
      </c>
      <c r="G34" s="37">
        <v>1</v>
      </c>
      <c r="H34" s="105">
        <v>2</v>
      </c>
      <c r="I34" s="43">
        <v>45896</v>
      </c>
      <c r="J34" s="96">
        <v>37</v>
      </c>
      <c r="K34">
        <v>0</v>
      </c>
    </row>
    <row r="35" spans="1:15" x14ac:dyDescent="0.35">
      <c r="A35" s="105" t="s">
        <v>28</v>
      </c>
      <c r="B35" s="105" t="s">
        <v>30</v>
      </c>
      <c r="C35" s="105">
        <v>1</v>
      </c>
      <c r="D35" s="105">
        <v>2</v>
      </c>
      <c r="E35" s="105">
        <v>2</v>
      </c>
      <c r="F35" s="105">
        <v>202</v>
      </c>
      <c r="G35" s="37">
        <v>2</v>
      </c>
      <c r="H35" s="105">
        <v>2</v>
      </c>
      <c r="I35" s="43">
        <v>45896</v>
      </c>
      <c r="J35" s="96">
        <v>39</v>
      </c>
      <c r="K35">
        <v>0</v>
      </c>
      <c r="O35" s="1"/>
    </row>
    <row r="36" spans="1:15" x14ac:dyDescent="0.35">
      <c r="A36" s="105" t="s">
        <v>28</v>
      </c>
      <c r="B36" s="105" t="s">
        <v>31</v>
      </c>
      <c r="C36" s="105">
        <v>1</v>
      </c>
      <c r="D36" s="105">
        <v>3</v>
      </c>
      <c r="E36" s="105">
        <v>2</v>
      </c>
      <c r="F36" s="105">
        <v>302</v>
      </c>
      <c r="G36" s="37">
        <v>3</v>
      </c>
      <c r="H36" s="105">
        <v>2</v>
      </c>
    </row>
    <row r="37" spans="1:15" x14ac:dyDescent="0.35">
      <c r="A37" s="105" t="s">
        <v>28</v>
      </c>
      <c r="B37" s="105" t="s">
        <v>32</v>
      </c>
      <c r="C37" s="105">
        <v>1</v>
      </c>
      <c r="D37" s="105">
        <v>4</v>
      </c>
      <c r="E37" s="105">
        <v>2</v>
      </c>
      <c r="F37" s="105">
        <v>402</v>
      </c>
      <c r="G37" s="37">
        <v>4</v>
      </c>
      <c r="H37" s="105">
        <v>2</v>
      </c>
    </row>
    <row r="38" spans="1:15" x14ac:dyDescent="0.35">
      <c r="A38" s="105" t="s">
        <v>33</v>
      </c>
      <c r="B38" s="105" t="s">
        <v>29</v>
      </c>
      <c r="C38" s="105">
        <v>1</v>
      </c>
      <c r="D38" s="105">
        <v>4</v>
      </c>
      <c r="E38" s="105">
        <v>4</v>
      </c>
      <c r="F38" s="105">
        <v>404</v>
      </c>
      <c r="G38" s="37">
        <v>5</v>
      </c>
      <c r="H38" s="105">
        <v>2</v>
      </c>
    </row>
    <row r="39" spans="1:15" x14ac:dyDescent="0.35">
      <c r="A39" s="105" t="s">
        <v>33</v>
      </c>
      <c r="B39" s="105" t="s">
        <v>35</v>
      </c>
      <c r="C39" s="105">
        <v>1</v>
      </c>
      <c r="D39" s="105">
        <v>3</v>
      </c>
      <c r="E39" s="105">
        <v>4</v>
      </c>
      <c r="F39" s="105">
        <v>304</v>
      </c>
      <c r="G39" s="37">
        <v>6</v>
      </c>
      <c r="H39" s="105">
        <v>2</v>
      </c>
    </row>
    <row r="40" spans="1:15" x14ac:dyDescent="0.35">
      <c r="A40" s="105" t="s">
        <v>33</v>
      </c>
      <c r="B40" s="105" t="s">
        <v>30</v>
      </c>
      <c r="C40" s="105">
        <v>1</v>
      </c>
      <c r="D40" s="105">
        <v>2</v>
      </c>
      <c r="E40" s="105">
        <v>4</v>
      </c>
      <c r="F40" s="105">
        <v>204</v>
      </c>
      <c r="G40" s="37">
        <v>7</v>
      </c>
      <c r="H40" s="105">
        <v>2</v>
      </c>
      <c r="O40" s="1"/>
    </row>
    <row r="41" spans="1:15" x14ac:dyDescent="0.35">
      <c r="A41" s="105" t="s">
        <v>33</v>
      </c>
      <c r="B41" s="105" t="s">
        <v>34</v>
      </c>
      <c r="C41" s="105">
        <v>1</v>
      </c>
      <c r="D41" s="105">
        <v>1</v>
      </c>
      <c r="E41" s="105">
        <v>4</v>
      </c>
      <c r="F41" s="105">
        <v>104</v>
      </c>
      <c r="G41" s="37">
        <v>8</v>
      </c>
      <c r="H41" s="105">
        <v>2</v>
      </c>
    </row>
    <row r="42" spans="1:15" x14ac:dyDescent="0.35">
      <c r="A42" s="105" t="s">
        <v>28</v>
      </c>
      <c r="B42" s="105" t="s">
        <v>31</v>
      </c>
      <c r="C42" s="105">
        <v>2</v>
      </c>
      <c r="D42" s="105">
        <v>1</v>
      </c>
      <c r="E42" s="105">
        <v>6</v>
      </c>
      <c r="F42" s="105">
        <v>106</v>
      </c>
      <c r="G42" s="37">
        <v>9</v>
      </c>
      <c r="H42" s="105">
        <v>2</v>
      </c>
    </row>
    <row r="43" spans="1:15" x14ac:dyDescent="0.35">
      <c r="A43" s="105" t="s">
        <v>28</v>
      </c>
      <c r="B43" s="105" t="s">
        <v>32</v>
      </c>
      <c r="C43" s="105">
        <v>2</v>
      </c>
      <c r="D43" s="105">
        <v>2</v>
      </c>
      <c r="E43" s="105">
        <v>6</v>
      </c>
      <c r="F43" s="105">
        <v>206</v>
      </c>
      <c r="G43" s="37">
        <v>10</v>
      </c>
      <c r="H43" s="105">
        <v>2</v>
      </c>
    </row>
    <row r="44" spans="1:15" x14ac:dyDescent="0.35">
      <c r="A44" s="105" t="s">
        <v>28</v>
      </c>
      <c r="B44" s="105" t="s">
        <v>30</v>
      </c>
      <c r="C44" s="105">
        <v>2</v>
      </c>
      <c r="D44" s="105">
        <v>3</v>
      </c>
      <c r="E44" s="105">
        <v>6</v>
      </c>
      <c r="F44" s="105">
        <v>306</v>
      </c>
      <c r="G44" s="37">
        <v>11</v>
      </c>
      <c r="H44" s="105">
        <v>2</v>
      </c>
      <c r="I44" s="43">
        <v>45896</v>
      </c>
      <c r="J44" s="96">
        <v>21</v>
      </c>
      <c r="K44">
        <v>0</v>
      </c>
    </row>
    <row r="45" spans="1:15" x14ac:dyDescent="0.35">
      <c r="A45" s="105" t="s">
        <v>28</v>
      </c>
      <c r="B45" s="105" t="s">
        <v>29</v>
      </c>
      <c r="C45" s="105">
        <v>2</v>
      </c>
      <c r="D45" s="105">
        <v>4</v>
      </c>
      <c r="E45" s="105">
        <v>6</v>
      </c>
      <c r="F45" s="105">
        <v>406</v>
      </c>
      <c r="G45" s="37">
        <v>12</v>
      </c>
      <c r="H45" s="105">
        <v>2</v>
      </c>
      <c r="I45" s="43">
        <v>45896</v>
      </c>
      <c r="J45" s="96">
        <v>49</v>
      </c>
      <c r="O45" s="1"/>
    </row>
    <row r="46" spans="1:15" x14ac:dyDescent="0.35">
      <c r="A46" s="105" t="s">
        <v>33</v>
      </c>
      <c r="B46" s="105" t="s">
        <v>34</v>
      </c>
      <c r="C46" s="105">
        <v>2</v>
      </c>
      <c r="D46" s="105">
        <v>4</v>
      </c>
      <c r="E46" s="105">
        <v>8</v>
      </c>
      <c r="F46" s="105">
        <v>408</v>
      </c>
      <c r="G46" s="37">
        <v>13</v>
      </c>
      <c r="H46" s="105">
        <v>2</v>
      </c>
    </row>
    <row r="47" spans="1:15" x14ac:dyDescent="0.35">
      <c r="A47" s="105" t="s">
        <v>33</v>
      </c>
      <c r="B47" s="105" t="s">
        <v>30</v>
      </c>
      <c r="C47" s="105">
        <v>2</v>
      </c>
      <c r="D47" s="105">
        <v>3</v>
      </c>
      <c r="E47" s="105">
        <v>8</v>
      </c>
      <c r="F47" s="105">
        <v>308</v>
      </c>
      <c r="G47" s="37">
        <v>14</v>
      </c>
      <c r="H47" s="105">
        <v>2</v>
      </c>
    </row>
    <row r="48" spans="1:15" x14ac:dyDescent="0.35">
      <c r="A48" s="105" t="s">
        <v>33</v>
      </c>
      <c r="B48" s="105" t="s">
        <v>29</v>
      </c>
      <c r="C48" s="105">
        <v>2</v>
      </c>
      <c r="D48" s="105">
        <v>2</v>
      </c>
      <c r="E48" s="105">
        <v>8</v>
      </c>
      <c r="F48" s="105">
        <v>208</v>
      </c>
      <c r="G48" s="37">
        <v>15</v>
      </c>
      <c r="H48" s="105">
        <v>2</v>
      </c>
    </row>
    <row r="49" spans="1:15" x14ac:dyDescent="0.35">
      <c r="A49" s="105" t="s">
        <v>33</v>
      </c>
      <c r="B49" s="105" t="s">
        <v>35</v>
      </c>
      <c r="C49" s="105">
        <v>2</v>
      </c>
      <c r="D49" s="105">
        <v>1</v>
      </c>
      <c r="E49" s="105">
        <v>8</v>
      </c>
      <c r="F49" s="105">
        <v>108</v>
      </c>
      <c r="G49" s="37">
        <v>16</v>
      </c>
      <c r="H49" s="105">
        <v>2</v>
      </c>
    </row>
    <row r="50" spans="1:15" x14ac:dyDescent="0.35">
      <c r="A50" s="105" t="s">
        <v>28</v>
      </c>
      <c r="B50" s="105" t="s">
        <v>32</v>
      </c>
      <c r="C50" s="105">
        <v>3</v>
      </c>
      <c r="D50" s="105">
        <v>1</v>
      </c>
      <c r="E50" s="105">
        <v>10</v>
      </c>
      <c r="F50" s="105">
        <v>110</v>
      </c>
      <c r="G50" s="37">
        <v>17</v>
      </c>
      <c r="H50" s="105">
        <v>2</v>
      </c>
      <c r="O50" s="1"/>
    </row>
    <row r="51" spans="1:15" x14ac:dyDescent="0.35">
      <c r="A51" s="105" t="s">
        <v>28</v>
      </c>
      <c r="B51" s="105" t="s">
        <v>31</v>
      </c>
      <c r="C51" s="105">
        <v>3</v>
      </c>
      <c r="D51" s="105">
        <v>2</v>
      </c>
      <c r="E51" s="105">
        <v>10</v>
      </c>
      <c r="F51" s="105">
        <v>210</v>
      </c>
      <c r="G51" s="37">
        <v>18</v>
      </c>
      <c r="H51" s="105">
        <v>2</v>
      </c>
    </row>
    <row r="52" spans="1:15" x14ac:dyDescent="0.35">
      <c r="A52" s="105" t="s">
        <v>28</v>
      </c>
      <c r="B52" s="105" t="s">
        <v>29</v>
      </c>
      <c r="C52" s="105">
        <v>3</v>
      </c>
      <c r="D52" s="105">
        <v>3</v>
      </c>
      <c r="E52" s="105">
        <v>10</v>
      </c>
      <c r="F52" s="105">
        <v>310</v>
      </c>
      <c r="G52" s="37">
        <v>19</v>
      </c>
      <c r="H52" s="105">
        <v>2</v>
      </c>
      <c r="I52" s="43">
        <v>45896</v>
      </c>
      <c r="J52" s="96">
        <v>23</v>
      </c>
      <c r="K52">
        <v>0</v>
      </c>
    </row>
    <row r="53" spans="1:15" x14ac:dyDescent="0.35">
      <c r="A53" s="105" t="s">
        <v>28</v>
      </c>
      <c r="B53" s="105" t="s">
        <v>30</v>
      </c>
      <c r="C53" s="105">
        <v>3</v>
      </c>
      <c r="D53" s="105">
        <v>4</v>
      </c>
      <c r="E53" s="105">
        <v>10</v>
      </c>
      <c r="F53" s="105">
        <v>410</v>
      </c>
      <c r="G53" s="37">
        <v>20</v>
      </c>
      <c r="H53" s="105">
        <v>2</v>
      </c>
      <c r="I53" s="43">
        <v>45896</v>
      </c>
      <c r="J53" s="96">
        <v>44</v>
      </c>
      <c r="K53">
        <v>0</v>
      </c>
    </row>
    <row r="54" spans="1:15" x14ac:dyDescent="0.35">
      <c r="A54" s="105" t="s">
        <v>33</v>
      </c>
      <c r="B54" s="105" t="s">
        <v>30</v>
      </c>
      <c r="C54" s="105">
        <v>3</v>
      </c>
      <c r="D54" s="105">
        <v>4</v>
      </c>
      <c r="E54" s="105">
        <v>12</v>
      </c>
      <c r="F54" s="105">
        <v>412</v>
      </c>
      <c r="G54" s="37">
        <v>21</v>
      </c>
      <c r="H54" s="105">
        <v>2</v>
      </c>
    </row>
    <row r="55" spans="1:15" x14ac:dyDescent="0.35">
      <c r="A55" s="105" t="s">
        <v>33</v>
      </c>
      <c r="B55" s="105" t="s">
        <v>34</v>
      </c>
      <c r="C55" s="105">
        <v>3</v>
      </c>
      <c r="D55" s="105">
        <v>3</v>
      </c>
      <c r="E55" s="105">
        <v>12</v>
      </c>
      <c r="F55" s="105">
        <v>312</v>
      </c>
      <c r="G55" s="37">
        <v>22</v>
      </c>
      <c r="H55" s="105">
        <v>2</v>
      </c>
    </row>
    <row r="56" spans="1:15" x14ac:dyDescent="0.35">
      <c r="A56" s="105" t="s">
        <v>33</v>
      </c>
      <c r="B56" s="105" t="s">
        <v>35</v>
      </c>
      <c r="C56" s="105">
        <v>3</v>
      </c>
      <c r="D56" s="105">
        <v>2</v>
      </c>
      <c r="E56" s="105">
        <v>12</v>
      </c>
      <c r="F56" s="105">
        <v>212</v>
      </c>
      <c r="G56" s="37">
        <v>23</v>
      </c>
      <c r="H56" s="105">
        <v>2</v>
      </c>
    </row>
    <row r="57" spans="1:15" x14ac:dyDescent="0.35">
      <c r="A57" s="105" t="s">
        <v>33</v>
      </c>
      <c r="B57" s="105" t="s">
        <v>29</v>
      </c>
      <c r="C57" s="105">
        <v>3</v>
      </c>
      <c r="D57" s="105">
        <v>1</v>
      </c>
      <c r="E57" s="105">
        <v>12</v>
      </c>
      <c r="F57" s="105">
        <v>112</v>
      </c>
      <c r="G57" s="37">
        <v>24</v>
      </c>
      <c r="H57" s="105">
        <v>2</v>
      </c>
    </row>
    <row r="58" spans="1:15" x14ac:dyDescent="0.35">
      <c r="A58" s="105" t="s">
        <v>28</v>
      </c>
      <c r="B58" s="105" t="s">
        <v>30</v>
      </c>
      <c r="C58" s="105">
        <v>4</v>
      </c>
      <c r="D58" s="105">
        <v>1</v>
      </c>
      <c r="E58" s="105">
        <v>14</v>
      </c>
      <c r="F58" s="105">
        <v>114</v>
      </c>
      <c r="G58" s="37">
        <v>25</v>
      </c>
      <c r="H58" s="105">
        <v>2</v>
      </c>
      <c r="I58" s="43">
        <v>45896</v>
      </c>
      <c r="J58" s="96">
        <v>48</v>
      </c>
      <c r="K58">
        <v>0</v>
      </c>
    </row>
    <row r="59" spans="1:15" x14ac:dyDescent="0.35">
      <c r="A59" s="105" t="s">
        <v>28</v>
      </c>
      <c r="B59" s="105" t="s">
        <v>29</v>
      </c>
      <c r="C59" s="105">
        <v>4</v>
      </c>
      <c r="D59" s="105">
        <v>2</v>
      </c>
      <c r="E59" s="105">
        <v>14</v>
      </c>
      <c r="F59" s="105">
        <v>214</v>
      </c>
      <c r="G59" s="37">
        <v>26</v>
      </c>
      <c r="H59" s="105">
        <v>2</v>
      </c>
      <c r="I59" s="43">
        <v>45896</v>
      </c>
      <c r="J59" s="96">
        <v>47</v>
      </c>
      <c r="K59">
        <v>0</v>
      </c>
    </row>
    <row r="60" spans="1:15" x14ac:dyDescent="0.35">
      <c r="A60" s="105" t="s">
        <v>28</v>
      </c>
      <c r="B60" s="105" t="s">
        <v>32</v>
      </c>
      <c r="C60" s="105">
        <v>4</v>
      </c>
      <c r="D60" s="105">
        <v>3</v>
      </c>
      <c r="E60" s="105">
        <v>14</v>
      </c>
      <c r="F60" s="105">
        <v>314</v>
      </c>
      <c r="G60" s="37">
        <v>27</v>
      </c>
      <c r="H60" s="105">
        <v>2</v>
      </c>
    </row>
    <row r="61" spans="1:15" x14ac:dyDescent="0.35">
      <c r="A61" s="105" t="s">
        <v>28</v>
      </c>
      <c r="B61" s="105" t="s">
        <v>31</v>
      </c>
      <c r="C61" s="105">
        <v>4</v>
      </c>
      <c r="D61" s="105">
        <v>4</v>
      </c>
      <c r="E61" s="105">
        <v>14</v>
      </c>
      <c r="F61" s="105">
        <v>414</v>
      </c>
      <c r="G61" s="37">
        <v>28</v>
      </c>
      <c r="H61" s="105">
        <v>2</v>
      </c>
    </row>
    <row r="62" spans="1:15" x14ac:dyDescent="0.35">
      <c r="A62" s="105" t="s">
        <v>33</v>
      </c>
      <c r="B62" s="105" t="s">
        <v>35</v>
      </c>
      <c r="C62" s="105">
        <v>4</v>
      </c>
      <c r="D62" s="105">
        <v>4</v>
      </c>
      <c r="E62" s="105">
        <v>16</v>
      </c>
      <c r="F62" s="105">
        <v>416</v>
      </c>
      <c r="G62" s="37">
        <v>29</v>
      </c>
      <c r="H62" s="105">
        <v>2</v>
      </c>
    </row>
    <row r="63" spans="1:15" x14ac:dyDescent="0.35">
      <c r="A63" s="105" t="s">
        <v>33</v>
      </c>
      <c r="B63" s="105" t="s">
        <v>29</v>
      </c>
      <c r="C63" s="105">
        <v>4</v>
      </c>
      <c r="D63" s="105">
        <v>3</v>
      </c>
      <c r="E63" s="105">
        <v>16</v>
      </c>
      <c r="F63" s="105">
        <v>316</v>
      </c>
      <c r="G63" s="37">
        <v>30</v>
      </c>
      <c r="H63" s="105">
        <v>2</v>
      </c>
    </row>
    <row r="64" spans="1:15" x14ac:dyDescent="0.35">
      <c r="A64" s="105" t="s">
        <v>33</v>
      </c>
      <c r="B64" s="105" t="s">
        <v>34</v>
      </c>
      <c r="C64" s="105">
        <v>4</v>
      </c>
      <c r="D64" s="105">
        <v>2</v>
      </c>
      <c r="E64" s="105">
        <v>16</v>
      </c>
      <c r="F64" s="105">
        <v>216</v>
      </c>
      <c r="G64" s="37">
        <v>31</v>
      </c>
      <c r="H64" s="105">
        <v>2</v>
      </c>
    </row>
    <row r="65" spans="1:11" x14ac:dyDescent="0.35">
      <c r="A65" s="105" t="s">
        <v>33</v>
      </c>
      <c r="B65" s="105" t="s">
        <v>30</v>
      </c>
      <c r="C65" s="105">
        <v>4</v>
      </c>
      <c r="D65" s="105">
        <v>1</v>
      </c>
      <c r="E65" s="105">
        <v>16</v>
      </c>
      <c r="F65" s="105">
        <v>116</v>
      </c>
      <c r="G65" s="37">
        <v>32</v>
      </c>
      <c r="H65" s="105">
        <v>2</v>
      </c>
    </row>
    <row r="66" spans="1:11" x14ac:dyDescent="0.35">
      <c r="A66" s="105" t="s">
        <v>28</v>
      </c>
      <c r="B66" s="105" t="s">
        <v>29</v>
      </c>
      <c r="C66" s="105">
        <v>1</v>
      </c>
      <c r="D66" s="105">
        <v>1</v>
      </c>
      <c r="E66" s="105">
        <v>2</v>
      </c>
      <c r="F66" s="105">
        <v>102</v>
      </c>
      <c r="G66" s="37">
        <v>1</v>
      </c>
      <c r="H66" s="105">
        <v>3</v>
      </c>
      <c r="I66" s="43">
        <v>45899</v>
      </c>
      <c r="J66" s="96">
        <v>37</v>
      </c>
      <c r="K66">
        <v>0</v>
      </c>
    </row>
    <row r="67" spans="1:11" x14ac:dyDescent="0.35">
      <c r="A67" s="105" t="s">
        <v>28</v>
      </c>
      <c r="B67" s="105" t="s">
        <v>30</v>
      </c>
      <c r="C67" s="105">
        <v>1</v>
      </c>
      <c r="D67" s="105">
        <v>2</v>
      </c>
      <c r="E67" s="105">
        <v>2</v>
      </c>
      <c r="F67" s="105">
        <v>202</v>
      </c>
      <c r="G67" s="37">
        <v>2</v>
      </c>
      <c r="H67" s="105">
        <v>3</v>
      </c>
      <c r="I67" s="43">
        <v>45899</v>
      </c>
      <c r="J67" s="96">
        <v>39</v>
      </c>
      <c r="K67">
        <v>0</v>
      </c>
    </row>
    <row r="68" spans="1:11" x14ac:dyDescent="0.35">
      <c r="A68" s="105" t="s">
        <v>28</v>
      </c>
      <c r="B68" s="105" t="s">
        <v>31</v>
      </c>
      <c r="C68" s="105">
        <v>1</v>
      </c>
      <c r="D68" s="105">
        <v>3</v>
      </c>
      <c r="E68" s="105">
        <v>2</v>
      </c>
      <c r="F68" s="105">
        <v>302</v>
      </c>
      <c r="G68" s="37">
        <v>3</v>
      </c>
      <c r="H68" s="105">
        <v>3</v>
      </c>
    </row>
    <row r="69" spans="1:11" x14ac:dyDescent="0.35">
      <c r="A69" s="105" t="s">
        <v>28</v>
      </c>
      <c r="B69" s="105" t="s">
        <v>32</v>
      </c>
      <c r="C69" s="105">
        <v>1</v>
      </c>
      <c r="D69" s="105">
        <v>4</v>
      </c>
      <c r="E69" s="105">
        <v>2</v>
      </c>
      <c r="F69" s="105">
        <v>402</v>
      </c>
      <c r="G69" s="37">
        <v>4</v>
      </c>
      <c r="H69" s="105">
        <v>3</v>
      </c>
    </row>
    <row r="70" spans="1:11" x14ac:dyDescent="0.35">
      <c r="A70" s="105" t="s">
        <v>33</v>
      </c>
      <c r="B70" s="105" t="s">
        <v>29</v>
      </c>
      <c r="C70" s="105">
        <v>1</v>
      </c>
      <c r="D70" s="105">
        <v>4</v>
      </c>
      <c r="E70" s="105">
        <v>4</v>
      </c>
      <c r="F70" s="105">
        <v>404</v>
      </c>
      <c r="G70" s="37">
        <v>5</v>
      </c>
      <c r="H70" s="105">
        <v>3</v>
      </c>
    </row>
    <row r="71" spans="1:11" x14ac:dyDescent="0.35">
      <c r="A71" s="105" t="s">
        <v>33</v>
      </c>
      <c r="B71" s="105" t="s">
        <v>35</v>
      </c>
      <c r="C71" s="105">
        <v>1</v>
      </c>
      <c r="D71" s="105">
        <v>3</v>
      </c>
      <c r="E71" s="105">
        <v>4</v>
      </c>
      <c r="F71" s="105">
        <v>304</v>
      </c>
      <c r="G71" s="37">
        <v>6</v>
      </c>
      <c r="H71" s="105">
        <v>3</v>
      </c>
    </row>
    <row r="72" spans="1:11" x14ac:dyDescent="0.35">
      <c r="A72" s="105" t="s">
        <v>33</v>
      </c>
      <c r="B72" s="105" t="s">
        <v>30</v>
      </c>
      <c r="C72" s="105">
        <v>1</v>
      </c>
      <c r="D72" s="105">
        <v>2</v>
      </c>
      <c r="E72" s="105">
        <v>4</v>
      </c>
      <c r="F72" s="105">
        <v>204</v>
      </c>
      <c r="G72" s="37">
        <v>7</v>
      </c>
      <c r="H72" s="105">
        <v>3</v>
      </c>
    </row>
    <row r="73" spans="1:11" x14ac:dyDescent="0.35">
      <c r="A73" s="105" t="s">
        <v>33</v>
      </c>
      <c r="B73" s="105" t="s">
        <v>34</v>
      </c>
      <c r="C73" s="105">
        <v>1</v>
      </c>
      <c r="D73" s="105">
        <v>1</v>
      </c>
      <c r="E73" s="105">
        <v>4</v>
      </c>
      <c r="F73" s="105">
        <v>104</v>
      </c>
      <c r="G73" s="37">
        <v>8</v>
      </c>
      <c r="H73" s="105">
        <v>3</v>
      </c>
    </row>
    <row r="74" spans="1:11" x14ac:dyDescent="0.35">
      <c r="A74" s="105" t="s">
        <v>28</v>
      </c>
      <c r="B74" s="105" t="s">
        <v>31</v>
      </c>
      <c r="C74" s="105">
        <v>2</v>
      </c>
      <c r="D74" s="105">
        <v>1</v>
      </c>
      <c r="E74" s="105">
        <v>6</v>
      </c>
      <c r="F74" s="105">
        <v>106</v>
      </c>
      <c r="G74" s="37">
        <v>9</v>
      </c>
      <c r="H74" s="105">
        <v>3</v>
      </c>
    </row>
    <row r="75" spans="1:11" x14ac:dyDescent="0.35">
      <c r="A75" s="105" t="s">
        <v>28</v>
      </c>
      <c r="B75" s="105" t="s">
        <v>32</v>
      </c>
      <c r="C75" s="105">
        <v>2</v>
      </c>
      <c r="D75" s="105">
        <v>2</v>
      </c>
      <c r="E75" s="105">
        <v>6</v>
      </c>
      <c r="F75" s="105">
        <v>206</v>
      </c>
      <c r="G75" s="37">
        <v>10</v>
      </c>
      <c r="H75" s="105">
        <v>3</v>
      </c>
    </row>
    <row r="76" spans="1:11" x14ac:dyDescent="0.35">
      <c r="A76" s="105" t="s">
        <v>28</v>
      </c>
      <c r="B76" s="105" t="s">
        <v>30</v>
      </c>
      <c r="C76" s="105">
        <v>2</v>
      </c>
      <c r="D76" s="105">
        <v>3</v>
      </c>
      <c r="E76" s="105">
        <v>6</v>
      </c>
      <c r="F76" s="105">
        <v>306</v>
      </c>
      <c r="G76" s="37">
        <v>11</v>
      </c>
      <c r="H76" s="105">
        <v>3</v>
      </c>
      <c r="I76" s="43">
        <v>45899</v>
      </c>
      <c r="J76" s="96">
        <v>21</v>
      </c>
      <c r="K76">
        <v>0</v>
      </c>
    </row>
    <row r="77" spans="1:11" x14ac:dyDescent="0.35">
      <c r="A77" s="105" t="s">
        <v>28</v>
      </c>
      <c r="B77" s="105" t="s">
        <v>29</v>
      </c>
      <c r="C77" s="105">
        <v>2</v>
      </c>
      <c r="D77" s="105">
        <v>4</v>
      </c>
      <c r="E77" s="105">
        <v>6</v>
      </c>
      <c r="F77" s="105">
        <v>406</v>
      </c>
      <c r="G77" s="37">
        <v>12</v>
      </c>
      <c r="H77" s="105">
        <v>3</v>
      </c>
      <c r="I77" s="43">
        <v>45899</v>
      </c>
      <c r="J77" s="96">
        <v>49</v>
      </c>
      <c r="K77">
        <v>0</v>
      </c>
    </row>
    <row r="78" spans="1:11" x14ac:dyDescent="0.35">
      <c r="A78" s="105" t="s">
        <v>33</v>
      </c>
      <c r="B78" s="105" t="s">
        <v>34</v>
      </c>
      <c r="C78" s="105">
        <v>2</v>
      </c>
      <c r="D78" s="105">
        <v>4</v>
      </c>
      <c r="E78" s="105">
        <v>8</v>
      </c>
      <c r="F78" s="105">
        <v>408</v>
      </c>
      <c r="G78" s="37">
        <v>13</v>
      </c>
      <c r="H78" s="105">
        <v>3</v>
      </c>
    </row>
    <row r="79" spans="1:11" x14ac:dyDescent="0.35">
      <c r="A79" s="105" t="s">
        <v>33</v>
      </c>
      <c r="B79" s="105" t="s">
        <v>30</v>
      </c>
      <c r="C79" s="105">
        <v>2</v>
      </c>
      <c r="D79" s="105">
        <v>3</v>
      </c>
      <c r="E79" s="105">
        <v>8</v>
      </c>
      <c r="F79" s="105">
        <v>308</v>
      </c>
      <c r="G79" s="37">
        <v>14</v>
      </c>
      <c r="H79" s="105">
        <v>3</v>
      </c>
    </row>
    <row r="80" spans="1:11" x14ac:dyDescent="0.35">
      <c r="A80" s="105" t="s">
        <v>33</v>
      </c>
      <c r="B80" s="105" t="s">
        <v>29</v>
      </c>
      <c r="C80" s="105">
        <v>2</v>
      </c>
      <c r="D80" s="105">
        <v>2</v>
      </c>
      <c r="E80" s="105">
        <v>8</v>
      </c>
      <c r="F80" s="105">
        <v>208</v>
      </c>
      <c r="G80" s="37">
        <v>15</v>
      </c>
      <c r="H80" s="105">
        <v>3</v>
      </c>
    </row>
    <row r="81" spans="1:11" x14ac:dyDescent="0.35">
      <c r="A81" s="105" t="s">
        <v>33</v>
      </c>
      <c r="B81" s="105" t="s">
        <v>35</v>
      </c>
      <c r="C81" s="105">
        <v>2</v>
      </c>
      <c r="D81" s="105">
        <v>1</v>
      </c>
      <c r="E81" s="105">
        <v>8</v>
      </c>
      <c r="F81" s="105">
        <v>108</v>
      </c>
      <c r="G81" s="37">
        <v>16</v>
      </c>
      <c r="H81" s="105">
        <v>3</v>
      </c>
    </row>
    <row r="82" spans="1:11" x14ac:dyDescent="0.35">
      <c r="A82" s="105" t="s">
        <v>28</v>
      </c>
      <c r="B82" s="105" t="s">
        <v>32</v>
      </c>
      <c r="C82" s="105">
        <v>3</v>
      </c>
      <c r="D82" s="105">
        <v>1</v>
      </c>
      <c r="E82" s="105">
        <v>10</v>
      </c>
      <c r="F82" s="105">
        <v>110</v>
      </c>
      <c r="G82" s="37">
        <v>17</v>
      </c>
      <c r="H82" s="105">
        <v>3</v>
      </c>
    </row>
    <row r="83" spans="1:11" x14ac:dyDescent="0.35">
      <c r="A83" s="105" t="s">
        <v>28</v>
      </c>
      <c r="B83" s="105" t="s">
        <v>31</v>
      </c>
      <c r="C83" s="105">
        <v>3</v>
      </c>
      <c r="D83" s="105">
        <v>2</v>
      </c>
      <c r="E83" s="105">
        <v>10</v>
      </c>
      <c r="F83" s="105">
        <v>210</v>
      </c>
      <c r="G83" s="37">
        <v>18</v>
      </c>
      <c r="H83" s="105">
        <v>3</v>
      </c>
    </row>
    <row r="84" spans="1:11" x14ac:dyDescent="0.35">
      <c r="A84" s="105" t="s">
        <v>28</v>
      </c>
      <c r="B84" s="105" t="s">
        <v>29</v>
      </c>
      <c r="C84" s="105">
        <v>3</v>
      </c>
      <c r="D84" s="105">
        <v>3</v>
      </c>
      <c r="E84" s="105">
        <v>10</v>
      </c>
      <c r="F84" s="105">
        <v>310</v>
      </c>
      <c r="G84" s="37">
        <v>19</v>
      </c>
      <c r="H84" s="105">
        <v>3</v>
      </c>
      <c r="I84" s="43">
        <v>45899</v>
      </c>
      <c r="J84" s="96">
        <v>23</v>
      </c>
      <c r="K84">
        <v>0</v>
      </c>
    </row>
    <row r="85" spans="1:11" x14ac:dyDescent="0.35">
      <c r="A85" s="105" t="s">
        <v>28</v>
      </c>
      <c r="B85" s="105" t="s">
        <v>30</v>
      </c>
      <c r="C85" s="105">
        <v>3</v>
      </c>
      <c r="D85" s="105">
        <v>4</v>
      </c>
      <c r="E85" s="105">
        <v>10</v>
      </c>
      <c r="F85" s="105">
        <v>410</v>
      </c>
      <c r="G85" s="37">
        <v>20</v>
      </c>
      <c r="H85" s="105">
        <v>3</v>
      </c>
      <c r="I85" s="43">
        <v>45899</v>
      </c>
      <c r="J85" s="96">
        <v>44</v>
      </c>
      <c r="K85">
        <v>0</v>
      </c>
    </row>
    <row r="86" spans="1:11" x14ac:dyDescent="0.35">
      <c r="A86" s="105" t="s">
        <v>33</v>
      </c>
      <c r="B86" s="105" t="s">
        <v>30</v>
      </c>
      <c r="C86" s="105">
        <v>3</v>
      </c>
      <c r="D86" s="105">
        <v>4</v>
      </c>
      <c r="E86" s="105">
        <v>12</v>
      </c>
      <c r="F86" s="105">
        <v>412</v>
      </c>
      <c r="G86" s="37">
        <v>21</v>
      </c>
      <c r="H86" s="105">
        <v>3</v>
      </c>
    </row>
    <row r="87" spans="1:11" x14ac:dyDescent="0.35">
      <c r="A87" s="105" t="s">
        <v>33</v>
      </c>
      <c r="B87" s="105" t="s">
        <v>34</v>
      </c>
      <c r="C87" s="105">
        <v>3</v>
      </c>
      <c r="D87" s="105">
        <v>3</v>
      </c>
      <c r="E87" s="105">
        <v>12</v>
      </c>
      <c r="F87" s="105">
        <v>312</v>
      </c>
      <c r="G87" s="37">
        <v>22</v>
      </c>
      <c r="H87" s="105">
        <v>3</v>
      </c>
    </row>
    <row r="88" spans="1:11" x14ac:dyDescent="0.35">
      <c r="A88" s="105" t="s">
        <v>33</v>
      </c>
      <c r="B88" s="105" t="s">
        <v>35</v>
      </c>
      <c r="C88" s="105">
        <v>3</v>
      </c>
      <c r="D88" s="105">
        <v>2</v>
      </c>
      <c r="E88" s="105">
        <v>12</v>
      </c>
      <c r="F88" s="105">
        <v>212</v>
      </c>
      <c r="G88" s="37">
        <v>23</v>
      </c>
      <c r="H88" s="105">
        <v>3</v>
      </c>
    </row>
    <row r="89" spans="1:11" x14ac:dyDescent="0.35">
      <c r="A89" s="105" t="s">
        <v>33</v>
      </c>
      <c r="B89" s="105" t="s">
        <v>29</v>
      </c>
      <c r="C89" s="105">
        <v>3</v>
      </c>
      <c r="D89" s="105">
        <v>1</v>
      </c>
      <c r="E89" s="105">
        <v>12</v>
      </c>
      <c r="F89" s="105">
        <v>112</v>
      </c>
      <c r="G89" s="37">
        <v>24</v>
      </c>
      <c r="H89" s="105">
        <v>3</v>
      </c>
    </row>
    <row r="90" spans="1:11" x14ac:dyDescent="0.35">
      <c r="A90" s="105" t="s">
        <v>28</v>
      </c>
      <c r="B90" s="105" t="s">
        <v>30</v>
      </c>
      <c r="C90" s="105">
        <v>4</v>
      </c>
      <c r="D90" s="105">
        <v>1</v>
      </c>
      <c r="E90" s="105">
        <v>14</v>
      </c>
      <c r="F90" s="105">
        <v>114</v>
      </c>
      <c r="G90" s="37">
        <v>25</v>
      </c>
      <c r="H90" s="105">
        <v>3</v>
      </c>
      <c r="I90" s="43">
        <v>45899</v>
      </c>
      <c r="J90" s="96">
        <v>48</v>
      </c>
      <c r="K90">
        <v>0</v>
      </c>
    </row>
    <row r="91" spans="1:11" x14ac:dyDescent="0.35">
      <c r="A91" s="105" t="s">
        <v>28</v>
      </c>
      <c r="B91" s="105" t="s">
        <v>29</v>
      </c>
      <c r="C91" s="105">
        <v>4</v>
      </c>
      <c r="D91" s="105">
        <v>2</v>
      </c>
      <c r="E91" s="105">
        <v>14</v>
      </c>
      <c r="F91" s="105">
        <v>214</v>
      </c>
      <c r="G91" s="37">
        <v>26</v>
      </c>
      <c r="H91" s="105">
        <v>3</v>
      </c>
      <c r="I91" s="43">
        <v>45899</v>
      </c>
      <c r="J91" s="96">
        <v>47</v>
      </c>
      <c r="K91">
        <v>0</v>
      </c>
    </row>
    <row r="92" spans="1:11" x14ac:dyDescent="0.35">
      <c r="A92" s="105" t="s">
        <v>28</v>
      </c>
      <c r="B92" s="105" t="s">
        <v>32</v>
      </c>
      <c r="C92" s="105">
        <v>4</v>
      </c>
      <c r="D92" s="105">
        <v>3</v>
      </c>
      <c r="E92" s="105">
        <v>14</v>
      </c>
      <c r="F92" s="105">
        <v>314</v>
      </c>
      <c r="G92" s="37">
        <v>27</v>
      </c>
      <c r="H92" s="105">
        <v>3</v>
      </c>
    </row>
    <row r="93" spans="1:11" x14ac:dyDescent="0.35">
      <c r="A93" s="105" t="s">
        <v>28</v>
      </c>
      <c r="B93" s="105" t="s">
        <v>31</v>
      </c>
      <c r="C93" s="105">
        <v>4</v>
      </c>
      <c r="D93" s="105">
        <v>4</v>
      </c>
      <c r="E93" s="105">
        <v>14</v>
      </c>
      <c r="F93" s="105">
        <v>414</v>
      </c>
      <c r="G93" s="37">
        <v>28</v>
      </c>
      <c r="H93" s="105">
        <v>3</v>
      </c>
    </row>
    <row r="94" spans="1:11" x14ac:dyDescent="0.35">
      <c r="A94" s="105" t="s">
        <v>33</v>
      </c>
      <c r="B94" s="105" t="s">
        <v>35</v>
      </c>
      <c r="C94" s="105">
        <v>4</v>
      </c>
      <c r="D94" s="105">
        <v>4</v>
      </c>
      <c r="E94" s="105">
        <v>16</v>
      </c>
      <c r="F94" s="105">
        <v>416</v>
      </c>
      <c r="G94" s="37">
        <v>29</v>
      </c>
      <c r="H94" s="105">
        <v>3</v>
      </c>
    </row>
    <row r="95" spans="1:11" x14ac:dyDescent="0.35">
      <c r="A95" s="105" t="s">
        <v>33</v>
      </c>
      <c r="B95" s="105" t="s">
        <v>29</v>
      </c>
      <c r="C95" s="105">
        <v>4</v>
      </c>
      <c r="D95" s="105">
        <v>3</v>
      </c>
      <c r="E95" s="105">
        <v>16</v>
      </c>
      <c r="F95" s="105">
        <v>316</v>
      </c>
      <c r="G95" s="37">
        <v>30</v>
      </c>
      <c r="H95" s="105">
        <v>3</v>
      </c>
    </row>
    <row r="96" spans="1:11" x14ac:dyDescent="0.35">
      <c r="A96" s="105" t="s">
        <v>33</v>
      </c>
      <c r="B96" s="105" t="s">
        <v>34</v>
      </c>
      <c r="C96" s="105">
        <v>4</v>
      </c>
      <c r="D96" s="105">
        <v>2</v>
      </c>
      <c r="E96" s="105">
        <v>16</v>
      </c>
      <c r="F96" s="105">
        <v>216</v>
      </c>
      <c r="G96" s="37">
        <v>31</v>
      </c>
      <c r="H96" s="105">
        <v>3</v>
      </c>
    </row>
    <row r="97" spans="1:11" x14ac:dyDescent="0.35">
      <c r="A97" s="105" t="s">
        <v>33</v>
      </c>
      <c r="B97" s="105" t="s">
        <v>30</v>
      </c>
      <c r="C97" s="105">
        <v>4</v>
      </c>
      <c r="D97" s="105">
        <v>1</v>
      </c>
      <c r="E97" s="105">
        <v>16</v>
      </c>
      <c r="F97" s="105">
        <v>116</v>
      </c>
      <c r="G97" s="37">
        <v>32</v>
      </c>
      <c r="H97" s="105">
        <v>3</v>
      </c>
    </row>
    <row r="98" spans="1:11" x14ac:dyDescent="0.35">
      <c r="A98" s="105" t="s">
        <v>28</v>
      </c>
      <c r="B98" s="105" t="s">
        <v>29</v>
      </c>
      <c r="C98" s="105">
        <v>1</v>
      </c>
      <c r="D98" s="105">
        <v>1</v>
      </c>
      <c r="E98" s="105">
        <v>2</v>
      </c>
      <c r="F98" s="105">
        <v>102</v>
      </c>
      <c r="G98" s="37">
        <v>1</v>
      </c>
      <c r="H98" s="105">
        <v>4</v>
      </c>
      <c r="I98" s="43">
        <v>45904</v>
      </c>
      <c r="J98" s="96">
        <v>37</v>
      </c>
      <c r="K98" s="96">
        <v>4</v>
      </c>
    </row>
    <row r="99" spans="1:11" x14ac:dyDescent="0.35">
      <c r="A99" s="105" t="s">
        <v>28</v>
      </c>
      <c r="B99" s="105" t="s">
        <v>30</v>
      </c>
      <c r="C99" s="105">
        <v>1</v>
      </c>
      <c r="D99" s="105">
        <v>2</v>
      </c>
      <c r="E99" s="105">
        <v>2</v>
      </c>
      <c r="F99" s="105">
        <v>202</v>
      </c>
      <c r="G99" s="37">
        <v>2</v>
      </c>
      <c r="H99" s="105">
        <v>4</v>
      </c>
      <c r="I99" s="43">
        <v>45904</v>
      </c>
      <c r="J99" s="96">
        <v>39</v>
      </c>
      <c r="K99" s="96">
        <v>1</v>
      </c>
    </row>
    <row r="100" spans="1:11" x14ac:dyDescent="0.35">
      <c r="A100" s="105" t="s">
        <v>28</v>
      </c>
      <c r="B100" s="105" t="s">
        <v>31</v>
      </c>
      <c r="C100" s="105">
        <v>1</v>
      </c>
      <c r="D100" s="105">
        <v>3</v>
      </c>
      <c r="E100" s="105">
        <v>2</v>
      </c>
      <c r="F100" s="105">
        <v>302</v>
      </c>
      <c r="G100" s="37">
        <v>3</v>
      </c>
      <c r="H100" s="105">
        <v>4</v>
      </c>
    </row>
    <row r="101" spans="1:11" x14ac:dyDescent="0.35">
      <c r="A101" s="105" t="s">
        <v>28</v>
      </c>
      <c r="B101" s="105" t="s">
        <v>32</v>
      </c>
      <c r="C101" s="105">
        <v>1</v>
      </c>
      <c r="D101" s="105">
        <v>4</v>
      </c>
      <c r="E101" s="105">
        <v>2</v>
      </c>
      <c r="F101" s="105">
        <v>402</v>
      </c>
      <c r="G101" s="37">
        <v>4</v>
      </c>
      <c r="H101" s="105">
        <v>4</v>
      </c>
    </row>
    <row r="102" spans="1:11" x14ac:dyDescent="0.35">
      <c r="A102" s="105" t="s">
        <v>33</v>
      </c>
      <c r="B102" s="105" t="s">
        <v>29</v>
      </c>
      <c r="C102" s="105">
        <v>1</v>
      </c>
      <c r="D102" s="105">
        <v>4</v>
      </c>
      <c r="E102" s="105">
        <v>4</v>
      </c>
      <c r="F102" s="105">
        <v>404</v>
      </c>
      <c r="G102" s="37">
        <v>5</v>
      </c>
      <c r="H102" s="105">
        <v>4</v>
      </c>
    </row>
    <row r="103" spans="1:11" x14ac:dyDescent="0.35">
      <c r="A103" s="105" t="s">
        <v>33</v>
      </c>
      <c r="B103" s="105" t="s">
        <v>35</v>
      </c>
      <c r="C103" s="105">
        <v>1</v>
      </c>
      <c r="D103" s="105">
        <v>3</v>
      </c>
      <c r="E103" s="105">
        <v>4</v>
      </c>
      <c r="F103" s="105">
        <v>304</v>
      </c>
      <c r="G103" s="37">
        <v>6</v>
      </c>
      <c r="H103" s="105">
        <v>4</v>
      </c>
    </row>
    <row r="104" spans="1:11" x14ac:dyDescent="0.35">
      <c r="A104" s="105" t="s">
        <v>33</v>
      </c>
      <c r="B104" s="105" t="s">
        <v>30</v>
      </c>
      <c r="C104" s="105">
        <v>1</v>
      </c>
      <c r="D104" s="105">
        <v>2</v>
      </c>
      <c r="E104" s="105">
        <v>4</v>
      </c>
      <c r="F104" s="105">
        <v>204</v>
      </c>
      <c r="G104" s="37">
        <v>7</v>
      </c>
      <c r="H104" s="105">
        <v>4</v>
      </c>
    </row>
    <row r="105" spans="1:11" x14ac:dyDescent="0.35">
      <c r="A105" s="105" t="s">
        <v>33</v>
      </c>
      <c r="B105" s="105" t="s">
        <v>34</v>
      </c>
      <c r="C105" s="105">
        <v>1</v>
      </c>
      <c r="D105" s="105">
        <v>1</v>
      </c>
      <c r="E105" s="105">
        <v>4</v>
      </c>
      <c r="F105" s="105">
        <v>104</v>
      </c>
      <c r="G105" s="37">
        <v>8</v>
      </c>
      <c r="H105" s="105">
        <v>4</v>
      </c>
    </row>
    <row r="106" spans="1:11" x14ac:dyDescent="0.35">
      <c r="A106" s="105" t="s">
        <v>28</v>
      </c>
      <c r="B106" s="105" t="s">
        <v>31</v>
      </c>
      <c r="C106" s="105">
        <v>2</v>
      </c>
      <c r="D106" s="105">
        <v>1</v>
      </c>
      <c r="E106" s="105">
        <v>6</v>
      </c>
      <c r="F106" s="105">
        <v>106</v>
      </c>
      <c r="G106" s="37">
        <v>9</v>
      </c>
      <c r="H106" s="105">
        <v>4</v>
      </c>
    </row>
    <row r="107" spans="1:11" x14ac:dyDescent="0.35">
      <c r="A107" s="105" t="s">
        <v>28</v>
      </c>
      <c r="B107" s="105" t="s">
        <v>32</v>
      </c>
      <c r="C107" s="105">
        <v>2</v>
      </c>
      <c r="D107" s="105">
        <v>2</v>
      </c>
      <c r="E107" s="105">
        <v>6</v>
      </c>
      <c r="F107" s="105">
        <v>206</v>
      </c>
      <c r="G107" s="37">
        <v>10</v>
      </c>
      <c r="H107" s="105">
        <v>4</v>
      </c>
    </row>
    <row r="108" spans="1:11" x14ac:dyDescent="0.35">
      <c r="A108" s="105" t="s">
        <v>28</v>
      </c>
      <c r="B108" s="105" t="s">
        <v>30</v>
      </c>
      <c r="C108" s="105">
        <v>2</v>
      </c>
      <c r="D108" s="105">
        <v>3</v>
      </c>
      <c r="E108" s="105">
        <v>6</v>
      </c>
      <c r="F108" s="105">
        <v>306</v>
      </c>
      <c r="G108" s="37">
        <v>11</v>
      </c>
      <c r="H108" s="105">
        <v>4</v>
      </c>
      <c r="I108" s="43"/>
      <c r="K108" s="96"/>
    </row>
    <row r="109" spans="1:11" x14ac:dyDescent="0.35">
      <c r="A109" s="105" t="s">
        <v>28</v>
      </c>
      <c r="B109" s="105" t="s">
        <v>29</v>
      </c>
      <c r="C109" s="105">
        <v>2</v>
      </c>
      <c r="D109" s="105">
        <v>4</v>
      </c>
      <c r="E109" s="105">
        <v>6</v>
      </c>
      <c r="F109" s="105">
        <v>406</v>
      </c>
      <c r="G109" s="37">
        <v>12</v>
      </c>
      <c r="H109" s="105">
        <v>4</v>
      </c>
      <c r="I109" s="43">
        <v>45904</v>
      </c>
      <c r="J109" s="96">
        <v>49</v>
      </c>
      <c r="K109" s="96">
        <v>10</v>
      </c>
    </row>
    <row r="110" spans="1:11" x14ac:dyDescent="0.35">
      <c r="A110" s="105" t="s">
        <v>33</v>
      </c>
      <c r="B110" s="105" t="s">
        <v>34</v>
      </c>
      <c r="C110" s="105">
        <v>2</v>
      </c>
      <c r="D110" s="105">
        <v>4</v>
      </c>
      <c r="E110" s="105">
        <v>8</v>
      </c>
      <c r="F110" s="105">
        <v>408</v>
      </c>
      <c r="G110" s="37">
        <v>13</v>
      </c>
      <c r="H110" s="105">
        <v>4</v>
      </c>
    </row>
    <row r="111" spans="1:11" x14ac:dyDescent="0.35">
      <c r="A111" s="105" t="s">
        <v>33</v>
      </c>
      <c r="B111" s="105" t="s">
        <v>30</v>
      </c>
      <c r="C111" s="105">
        <v>2</v>
      </c>
      <c r="D111" s="105">
        <v>3</v>
      </c>
      <c r="E111" s="105">
        <v>8</v>
      </c>
      <c r="F111" s="105">
        <v>308</v>
      </c>
      <c r="G111" s="37">
        <v>14</v>
      </c>
      <c r="H111" s="105">
        <v>4</v>
      </c>
    </row>
    <row r="112" spans="1:11" x14ac:dyDescent="0.35">
      <c r="A112" s="105" t="s">
        <v>33</v>
      </c>
      <c r="B112" s="105" t="s">
        <v>29</v>
      </c>
      <c r="C112" s="105">
        <v>2</v>
      </c>
      <c r="D112" s="105">
        <v>2</v>
      </c>
      <c r="E112" s="105">
        <v>8</v>
      </c>
      <c r="F112" s="105">
        <v>208</v>
      </c>
      <c r="G112" s="37">
        <v>15</v>
      </c>
      <c r="H112" s="105">
        <v>4</v>
      </c>
    </row>
    <row r="113" spans="1:11" x14ac:dyDescent="0.35">
      <c r="A113" s="105" t="s">
        <v>33</v>
      </c>
      <c r="B113" s="105" t="s">
        <v>35</v>
      </c>
      <c r="C113" s="105">
        <v>2</v>
      </c>
      <c r="D113" s="105">
        <v>1</v>
      </c>
      <c r="E113" s="105">
        <v>8</v>
      </c>
      <c r="F113" s="105">
        <v>108</v>
      </c>
      <c r="G113" s="37">
        <v>16</v>
      </c>
      <c r="H113" s="105">
        <v>4</v>
      </c>
    </row>
    <row r="114" spans="1:11" x14ac:dyDescent="0.35">
      <c r="A114" s="105" t="s">
        <v>28</v>
      </c>
      <c r="B114" s="105" t="s">
        <v>32</v>
      </c>
      <c r="C114" s="105">
        <v>3</v>
      </c>
      <c r="D114" s="105">
        <v>1</v>
      </c>
      <c r="E114" s="105">
        <v>10</v>
      </c>
      <c r="F114" s="105">
        <v>110</v>
      </c>
      <c r="G114" s="37">
        <v>17</v>
      </c>
      <c r="H114" s="105">
        <v>4</v>
      </c>
    </row>
    <row r="115" spans="1:11" x14ac:dyDescent="0.35">
      <c r="A115" s="105" t="s">
        <v>28</v>
      </c>
      <c r="B115" s="105" t="s">
        <v>31</v>
      </c>
      <c r="C115" s="105">
        <v>3</v>
      </c>
      <c r="D115" s="105">
        <v>2</v>
      </c>
      <c r="E115" s="105">
        <v>10</v>
      </c>
      <c r="F115" s="105">
        <v>210</v>
      </c>
      <c r="G115" s="37">
        <v>18</v>
      </c>
      <c r="H115" s="105">
        <v>4</v>
      </c>
    </row>
    <row r="116" spans="1:11" x14ac:dyDescent="0.35">
      <c r="A116" s="105" t="s">
        <v>28</v>
      </c>
      <c r="B116" s="105" t="s">
        <v>29</v>
      </c>
      <c r="C116" s="105">
        <v>3</v>
      </c>
      <c r="D116" s="105">
        <v>3</v>
      </c>
      <c r="E116" s="105">
        <v>10</v>
      </c>
      <c r="F116" s="105">
        <v>310</v>
      </c>
      <c r="G116" s="37">
        <v>19</v>
      </c>
      <c r="H116" s="105">
        <v>4</v>
      </c>
    </row>
    <row r="117" spans="1:11" x14ac:dyDescent="0.35">
      <c r="A117" s="105" t="s">
        <v>28</v>
      </c>
      <c r="B117" s="105" t="s">
        <v>30</v>
      </c>
      <c r="C117" s="105">
        <v>3</v>
      </c>
      <c r="D117" s="105">
        <v>4</v>
      </c>
      <c r="E117" s="105">
        <v>10</v>
      </c>
      <c r="F117" s="105">
        <v>410</v>
      </c>
      <c r="G117" s="37">
        <v>20</v>
      </c>
      <c r="H117" s="105">
        <v>4</v>
      </c>
    </row>
    <row r="118" spans="1:11" x14ac:dyDescent="0.35">
      <c r="A118" s="105" t="s">
        <v>33</v>
      </c>
      <c r="B118" s="105" t="s">
        <v>30</v>
      </c>
      <c r="C118" s="105">
        <v>3</v>
      </c>
      <c r="D118" s="105">
        <v>4</v>
      </c>
      <c r="E118" s="105">
        <v>12</v>
      </c>
      <c r="F118" s="105">
        <v>412</v>
      </c>
      <c r="G118" s="37">
        <v>21</v>
      </c>
      <c r="H118" s="105">
        <v>4</v>
      </c>
    </row>
    <row r="119" spans="1:11" x14ac:dyDescent="0.35">
      <c r="A119" s="105" t="s">
        <v>33</v>
      </c>
      <c r="B119" s="105" t="s">
        <v>34</v>
      </c>
      <c r="C119" s="105">
        <v>3</v>
      </c>
      <c r="D119" s="105">
        <v>3</v>
      </c>
      <c r="E119" s="105">
        <v>12</v>
      </c>
      <c r="F119" s="105">
        <v>312</v>
      </c>
      <c r="G119" s="37">
        <v>22</v>
      </c>
      <c r="H119" s="105">
        <v>4</v>
      </c>
    </row>
    <row r="120" spans="1:11" x14ac:dyDescent="0.35">
      <c r="A120" s="105" t="s">
        <v>33</v>
      </c>
      <c r="B120" s="105" t="s">
        <v>35</v>
      </c>
      <c r="C120" s="105">
        <v>3</v>
      </c>
      <c r="D120" s="105">
        <v>2</v>
      </c>
      <c r="E120" s="105">
        <v>12</v>
      </c>
      <c r="F120" s="105">
        <v>212</v>
      </c>
      <c r="G120" s="37">
        <v>23</v>
      </c>
      <c r="H120" s="105">
        <v>4</v>
      </c>
    </row>
    <row r="121" spans="1:11" x14ac:dyDescent="0.35">
      <c r="A121" s="105" t="s">
        <v>33</v>
      </c>
      <c r="B121" s="105" t="s">
        <v>29</v>
      </c>
      <c r="C121" s="105">
        <v>3</v>
      </c>
      <c r="D121" s="105">
        <v>1</v>
      </c>
      <c r="E121" s="105">
        <v>12</v>
      </c>
      <c r="F121" s="105">
        <v>112</v>
      </c>
      <c r="G121" s="37">
        <v>24</v>
      </c>
      <c r="H121" s="105">
        <v>4</v>
      </c>
    </row>
    <row r="122" spans="1:11" x14ac:dyDescent="0.35">
      <c r="A122" s="105" t="s">
        <v>28</v>
      </c>
      <c r="B122" s="105" t="s">
        <v>30</v>
      </c>
      <c r="C122" s="105">
        <v>4</v>
      </c>
      <c r="D122" s="105">
        <v>1</v>
      </c>
      <c r="E122" s="105">
        <v>14</v>
      </c>
      <c r="F122" s="105">
        <v>114</v>
      </c>
      <c r="G122" s="37">
        <v>25</v>
      </c>
      <c r="H122" s="105">
        <v>4</v>
      </c>
    </row>
    <row r="123" spans="1:11" x14ac:dyDescent="0.35">
      <c r="A123" s="105" t="s">
        <v>28</v>
      </c>
      <c r="B123" s="105" t="s">
        <v>29</v>
      </c>
      <c r="C123" s="105">
        <v>4</v>
      </c>
      <c r="D123" s="105">
        <v>2</v>
      </c>
      <c r="E123" s="105">
        <v>14</v>
      </c>
      <c r="F123" s="105">
        <v>214</v>
      </c>
      <c r="G123" s="37">
        <v>26</v>
      </c>
      <c r="H123" s="105">
        <v>4</v>
      </c>
      <c r="I123" s="43">
        <v>45904</v>
      </c>
      <c r="J123" s="96">
        <v>47</v>
      </c>
      <c r="K123" s="96">
        <v>2</v>
      </c>
    </row>
    <row r="124" spans="1:11" x14ac:dyDescent="0.35">
      <c r="A124" s="105" t="s">
        <v>28</v>
      </c>
      <c r="B124" s="105" t="s">
        <v>32</v>
      </c>
      <c r="C124" s="105">
        <v>4</v>
      </c>
      <c r="D124" s="105">
        <v>3</v>
      </c>
      <c r="E124" s="105">
        <v>14</v>
      </c>
      <c r="F124" s="105">
        <v>314</v>
      </c>
      <c r="G124" s="37">
        <v>27</v>
      </c>
      <c r="H124" s="105">
        <v>4</v>
      </c>
    </row>
    <row r="125" spans="1:11" x14ac:dyDescent="0.35">
      <c r="A125" s="105" t="s">
        <v>28</v>
      </c>
      <c r="B125" s="105" t="s">
        <v>31</v>
      </c>
      <c r="C125" s="105">
        <v>4</v>
      </c>
      <c r="D125" s="105">
        <v>4</v>
      </c>
      <c r="E125" s="105">
        <v>14</v>
      </c>
      <c r="F125" s="105">
        <v>414</v>
      </c>
      <c r="G125" s="37">
        <v>28</v>
      </c>
      <c r="H125" s="105">
        <v>4</v>
      </c>
    </row>
    <row r="126" spans="1:11" x14ac:dyDescent="0.35">
      <c r="A126" s="105" t="s">
        <v>33</v>
      </c>
      <c r="B126" s="105" t="s">
        <v>35</v>
      </c>
      <c r="C126" s="105">
        <v>4</v>
      </c>
      <c r="D126" s="105">
        <v>4</v>
      </c>
      <c r="E126" s="105">
        <v>16</v>
      </c>
      <c r="F126" s="105">
        <v>416</v>
      </c>
      <c r="G126" s="37">
        <v>29</v>
      </c>
      <c r="H126" s="105">
        <v>4</v>
      </c>
    </row>
    <row r="127" spans="1:11" x14ac:dyDescent="0.35">
      <c r="A127" s="105" t="s">
        <v>33</v>
      </c>
      <c r="B127" s="105" t="s">
        <v>29</v>
      </c>
      <c r="C127" s="105">
        <v>4</v>
      </c>
      <c r="D127" s="105">
        <v>3</v>
      </c>
      <c r="E127" s="105">
        <v>16</v>
      </c>
      <c r="F127" s="105">
        <v>316</v>
      </c>
      <c r="G127" s="37">
        <v>30</v>
      </c>
      <c r="H127" s="105">
        <v>4</v>
      </c>
    </row>
    <row r="128" spans="1:11" x14ac:dyDescent="0.35">
      <c r="A128" s="105" t="s">
        <v>33</v>
      </c>
      <c r="B128" s="105" t="s">
        <v>34</v>
      </c>
      <c r="C128" s="105">
        <v>4</v>
      </c>
      <c r="D128" s="105">
        <v>2</v>
      </c>
      <c r="E128" s="105">
        <v>16</v>
      </c>
      <c r="F128" s="105">
        <v>216</v>
      </c>
      <c r="G128" s="37">
        <v>31</v>
      </c>
      <c r="H128" s="105">
        <v>4</v>
      </c>
    </row>
    <row r="129" spans="1:11" x14ac:dyDescent="0.35">
      <c r="A129" s="105" t="s">
        <v>33</v>
      </c>
      <c r="B129" s="105" t="s">
        <v>30</v>
      </c>
      <c r="C129" s="105">
        <v>4</v>
      </c>
      <c r="D129" s="105">
        <v>1</v>
      </c>
      <c r="E129" s="105">
        <v>16</v>
      </c>
      <c r="F129" s="105">
        <v>116</v>
      </c>
      <c r="G129" s="37">
        <v>32</v>
      </c>
      <c r="H129" s="105">
        <v>4</v>
      </c>
    </row>
    <row r="130" spans="1:11" x14ac:dyDescent="0.35">
      <c r="A130" s="105" t="s">
        <v>28</v>
      </c>
      <c r="B130" s="105" t="s">
        <v>29</v>
      </c>
      <c r="C130" s="105">
        <v>1</v>
      </c>
      <c r="D130" s="105">
        <v>1</v>
      </c>
      <c r="E130" s="105">
        <v>2</v>
      </c>
      <c r="F130" s="105">
        <v>102</v>
      </c>
      <c r="G130" s="37">
        <v>1</v>
      </c>
      <c r="H130" s="105">
        <v>5</v>
      </c>
      <c r="I130" s="43">
        <v>45908</v>
      </c>
      <c r="J130" s="96">
        <v>37</v>
      </c>
      <c r="K130" s="96">
        <v>20</v>
      </c>
    </row>
    <row r="131" spans="1:11" x14ac:dyDescent="0.35">
      <c r="A131" s="105" t="s">
        <v>28</v>
      </c>
      <c r="B131" s="105" t="s">
        <v>30</v>
      </c>
      <c r="C131" s="105">
        <v>1</v>
      </c>
      <c r="D131" s="105">
        <v>2</v>
      </c>
      <c r="E131" s="105">
        <v>2</v>
      </c>
      <c r="F131" s="105">
        <v>202</v>
      </c>
      <c r="G131" s="37">
        <v>2</v>
      </c>
      <c r="H131" s="105">
        <v>5</v>
      </c>
      <c r="I131" s="43">
        <v>45908</v>
      </c>
      <c r="J131" s="96">
        <v>39</v>
      </c>
      <c r="K131" s="96">
        <v>9</v>
      </c>
    </row>
    <row r="132" spans="1:11" x14ac:dyDescent="0.35">
      <c r="A132" s="105" t="s">
        <v>28</v>
      </c>
      <c r="B132" s="105" t="s">
        <v>31</v>
      </c>
      <c r="C132" s="105">
        <v>1</v>
      </c>
      <c r="D132" s="105">
        <v>3</v>
      </c>
      <c r="E132" s="105">
        <v>2</v>
      </c>
      <c r="F132" s="105">
        <v>302</v>
      </c>
      <c r="G132" s="37">
        <v>3</v>
      </c>
      <c r="H132" s="105">
        <v>5</v>
      </c>
    </row>
    <row r="133" spans="1:11" x14ac:dyDescent="0.35">
      <c r="A133" s="105" t="s">
        <v>28</v>
      </c>
      <c r="B133" s="105" t="s">
        <v>32</v>
      </c>
      <c r="C133" s="105">
        <v>1</v>
      </c>
      <c r="D133" s="105">
        <v>4</v>
      </c>
      <c r="E133" s="105">
        <v>2</v>
      </c>
      <c r="F133" s="105">
        <v>402</v>
      </c>
      <c r="G133" s="37">
        <v>4</v>
      </c>
      <c r="H133" s="105">
        <v>5</v>
      </c>
    </row>
    <row r="134" spans="1:11" x14ac:dyDescent="0.35">
      <c r="A134" s="105" t="s">
        <v>33</v>
      </c>
      <c r="B134" s="105" t="s">
        <v>29</v>
      </c>
      <c r="C134" s="105">
        <v>1</v>
      </c>
      <c r="D134" s="105">
        <v>4</v>
      </c>
      <c r="E134" s="105">
        <v>4</v>
      </c>
      <c r="F134" s="105">
        <v>404</v>
      </c>
      <c r="G134" s="37">
        <v>5</v>
      </c>
      <c r="H134" s="105">
        <v>5</v>
      </c>
    </row>
    <row r="135" spans="1:11" x14ac:dyDescent="0.35">
      <c r="A135" s="105" t="s">
        <v>33</v>
      </c>
      <c r="B135" s="105" t="s">
        <v>35</v>
      </c>
      <c r="C135" s="105">
        <v>1</v>
      </c>
      <c r="D135" s="105">
        <v>3</v>
      </c>
      <c r="E135" s="105">
        <v>4</v>
      </c>
      <c r="F135" s="105">
        <v>304</v>
      </c>
      <c r="G135" s="37">
        <v>6</v>
      </c>
      <c r="H135" s="105">
        <v>5</v>
      </c>
    </row>
    <row r="136" spans="1:11" x14ac:dyDescent="0.35">
      <c r="A136" s="105" t="s">
        <v>33</v>
      </c>
      <c r="B136" s="105" t="s">
        <v>30</v>
      </c>
      <c r="C136" s="105">
        <v>1</v>
      </c>
      <c r="D136" s="105">
        <v>2</v>
      </c>
      <c r="E136" s="105">
        <v>4</v>
      </c>
      <c r="F136" s="105">
        <v>204</v>
      </c>
      <c r="G136" s="37">
        <v>7</v>
      </c>
      <c r="H136" s="105">
        <v>5</v>
      </c>
    </row>
    <row r="137" spans="1:11" x14ac:dyDescent="0.35">
      <c r="A137" s="105" t="s">
        <v>33</v>
      </c>
      <c r="B137" s="105" t="s">
        <v>34</v>
      </c>
      <c r="C137" s="105">
        <v>1</v>
      </c>
      <c r="D137" s="105">
        <v>1</v>
      </c>
      <c r="E137" s="105">
        <v>4</v>
      </c>
      <c r="F137" s="105">
        <v>104</v>
      </c>
      <c r="G137" s="37">
        <v>8</v>
      </c>
      <c r="H137" s="105">
        <v>5</v>
      </c>
    </row>
    <row r="138" spans="1:11" x14ac:dyDescent="0.35">
      <c r="A138" s="105" t="s">
        <v>28</v>
      </c>
      <c r="B138" s="105" t="s">
        <v>31</v>
      </c>
      <c r="C138" s="105">
        <v>2</v>
      </c>
      <c r="D138" s="105">
        <v>1</v>
      </c>
      <c r="E138" s="105">
        <v>6</v>
      </c>
      <c r="F138" s="105">
        <v>106</v>
      </c>
      <c r="G138" s="37">
        <v>9</v>
      </c>
      <c r="H138" s="105">
        <v>5</v>
      </c>
    </row>
    <row r="139" spans="1:11" x14ac:dyDescent="0.35">
      <c r="A139" s="105" t="s">
        <v>28</v>
      </c>
      <c r="B139" s="105" t="s">
        <v>32</v>
      </c>
      <c r="C139" s="105">
        <v>2</v>
      </c>
      <c r="D139" s="105">
        <v>2</v>
      </c>
      <c r="E139" s="105">
        <v>6</v>
      </c>
      <c r="F139" s="105">
        <v>206</v>
      </c>
      <c r="G139" s="37">
        <v>10</v>
      </c>
      <c r="H139" s="105">
        <v>5</v>
      </c>
    </row>
    <row r="140" spans="1:11" x14ac:dyDescent="0.35">
      <c r="A140" s="105" t="s">
        <v>28</v>
      </c>
      <c r="B140" s="105" t="s">
        <v>30</v>
      </c>
      <c r="C140" s="105">
        <v>2</v>
      </c>
      <c r="D140" s="105">
        <v>3</v>
      </c>
      <c r="E140" s="105">
        <v>6</v>
      </c>
      <c r="F140" s="105">
        <v>306</v>
      </c>
      <c r="G140" s="37">
        <v>11</v>
      </c>
      <c r="H140" s="105">
        <v>5</v>
      </c>
    </row>
    <row r="141" spans="1:11" x14ac:dyDescent="0.35">
      <c r="A141" s="105" t="s">
        <v>28</v>
      </c>
      <c r="B141" s="105" t="s">
        <v>29</v>
      </c>
      <c r="C141" s="105">
        <v>2</v>
      </c>
      <c r="D141" s="105">
        <v>4</v>
      </c>
      <c r="E141" s="105">
        <v>6</v>
      </c>
      <c r="F141" s="105">
        <v>406</v>
      </c>
      <c r="G141" s="37">
        <v>12</v>
      </c>
      <c r="H141" s="105">
        <v>5</v>
      </c>
      <c r="I141" s="43">
        <v>45908</v>
      </c>
      <c r="J141" s="96">
        <v>49</v>
      </c>
      <c r="K141" s="96">
        <v>27</v>
      </c>
    </row>
    <row r="142" spans="1:11" x14ac:dyDescent="0.35">
      <c r="A142" s="105" t="s">
        <v>33</v>
      </c>
      <c r="B142" s="105" t="s">
        <v>34</v>
      </c>
      <c r="C142" s="105">
        <v>2</v>
      </c>
      <c r="D142" s="105">
        <v>4</v>
      </c>
      <c r="E142" s="105">
        <v>8</v>
      </c>
      <c r="F142" s="105">
        <v>408</v>
      </c>
      <c r="G142" s="37">
        <v>13</v>
      </c>
      <c r="H142" s="105">
        <v>5</v>
      </c>
    </row>
    <row r="143" spans="1:11" x14ac:dyDescent="0.35">
      <c r="A143" s="105" t="s">
        <v>33</v>
      </c>
      <c r="B143" s="105" t="s">
        <v>30</v>
      </c>
      <c r="C143" s="105">
        <v>2</v>
      </c>
      <c r="D143" s="105">
        <v>3</v>
      </c>
      <c r="E143" s="105">
        <v>8</v>
      </c>
      <c r="F143" s="105">
        <v>308</v>
      </c>
      <c r="G143" s="37">
        <v>14</v>
      </c>
      <c r="H143" s="105">
        <v>5</v>
      </c>
    </row>
    <row r="144" spans="1:11" x14ac:dyDescent="0.35">
      <c r="A144" s="105" t="s">
        <v>33</v>
      </c>
      <c r="B144" s="105" t="s">
        <v>29</v>
      </c>
      <c r="C144" s="105">
        <v>2</v>
      </c>
      <c r="D144" s="105">
        <v>2</v>
      </c>
      <c r="E144" s="105">
        <v>8</v>
      </c>
      <c r="F144" s="105">
        <v>208</v>
      </c>
      <c r="G144" s="37">
        <v>15</v>
      </c>
      <c r="H144" s="105">
        <v>5</v>
      </c>
    </row>
    <row r="145" spans="1:11" x14ac:dyDescent="0.35">
      <c r="A145" s="105" t="s">
        <v>33</v>
      </c>
      <c r="B145" s="105" t="s">
        <v>35</v>
      </c>
      <c r="C145" s="105">
        <v>2</v>
      </c>
      <c r="D145" s="105">
        <v>1</v>
      </c>
      <c r="E145" s="105">
        <v>8</v>
      </c>
      <c r="F145" s="105">
        <v>108</v>
      </c>
      <c r="G145" s="37">
        <v>16</v>
      </c>
      <c r="H145" s="105">
        <v>5</v>
      </c>
    </row>
    <row r="146" spans="1:11" x14ac:dyDescent="0.35">
      <c r="A146" s="105" t="s">
        <v>28</v>
      </c>
      <c r="B146" s="105" t="s">
        <v>32</v>
      </c>
      <c r="C146" s="105">
        <v>3</v>
      </c>
      <c r="D146" s="105">
        <v>1</v>
      </c>
      <c r="E146" s="105">
        <v>10</v>
      </c>
      <c r="F146" s="105">
        <v>110</v>
      </c>
      <c r="G146" s="37">
        <v>17</v>
      </c>
      <c r="H146" s="105">
        <v>5</v>
      </c>
    </row>
    <row r="147" spans="1:11" x14ac:dyDescent="0.35">
      <c r="A147" s="105" t="s">
        <v>28</v>
      </c>
      <c r="B147" s="105" t="s">
        <v>31</v>
      </c>
      <c r="C147" s="105">
        <v>3</v>
      </c>
      <c r="D147" s="105">
        <v>2</v>
      </c>
      <c r="E147" s="105">
        <v>10</v>
      </c>
      <c r="F147" s="105">
        <v>210</v>
      </c>
      <c r="G147" s="37">
        <v>18</v>
      </c>
      <c r="H147" s="105">
        <v>5</v>
      </c>
    </row>
    <row r="148" spans="1:11" x14ac:dyDescent="0.35">
      <c r="A148" s="105" t="s">
        <v>28</v>
      </c>
      <c r="B148" s="105" t="s">
        <v>29</v>
      </c>
      <c r="C148" s="105">
        <v>3</v>
      </c>
      <c r="D148" s="105">
        <v>3</v>
      </c>
      <c r="E148" s="105">
        <v>10</v>
      </c>
      <c r="F148" s="105">
        <v>310</v>
      </c>
      <c r="G148" s="37">
        <v>19</v>
      </c>
      <c r="H148" s="105">
        <v>5</v>
      </c>
      <c r="I148" s="43">
        <v>45908</v>
      </c>
      <c r="J148" s="96">
        <v>23</v>
      </c>
      <c r="K148" s="96">
        <v>5</v>
      </c>
    </row>
    <row r="149" spans="1:11" x14ac:dyDescent="0.35">
      <c r="A149" s="105" t="s">
        <v>28</v>
      </c>
      <c r="B149" s="105" t="s">
        <v>30</v>
      </c>
      <c r="C149" s="105">
        <v>3</v>
      </c>
      <c r="D149" s="105">
        <v>4</v>
      </c>
      <c r="E149" s="105">
        <v>10</v>
      </c>
      <c r="F149" s="105">
        <v>410</v>
      </c>
      <c r="G149" s="37">
        <v>20</v>
      </c>
      <c r="H149" s="105">
        <v>5</v>
      </c>
      <c r="I149" s="43">
        <v>45908</v>
      </c>
      <c r="J149" s="96">
        <v>44</v>
      </c>
      <c r="K149" s="96">
        <v>4</v>
      </c>
    </row>
    <row r="150" spans="1:11" x14ac:dyDescent="0.35">
      <c r="A150" s="105" t="s">
        <v>33</v>
      </c>
      <c r="B150" s="105" t="s">
        <v>30</v>
      </c>
      <c r="C150" s="105">
        <v>3</v>
      </c>
      <c r="D150" s="105">
        <v>4</v>
      </c>
      <c r="E150" s="105">
        <v>12</v>
      </c>
      <c r="F150" s="105">
        <v>412</v>
      </c>
      <c r="G150" s="37">
        <v>21</v>
      </c>
      <c r="H150" s="105">
        <v>5</v>
      </c>
    </row>
    <row r="151" spans="1:11" x14ac:dyDescent="0.35">
      <c r="A151" s="105" t="s">
        <v>33</v>
      </c>
      <c r="B151" s="105" t="s">
        <v>34</v>
      </c>
      <c r="C151" s="105">
        <v>3</v>
      </c>
      <c r="D151" s="105">
        <v>3</v>
      </c>
      <c r="E151" s="105">
        <v>12</v>
      </c>
      <c r="F151" s="105">
        <v>312</v>
      </c>
      <c r="G151" s="37">
        <v>22</v>
      </c>
      <c r="H151" s="105">
        <v>5</v>
      </c>
    </row>
    <row r="152" spans="1:11" x14ac:dyDescent="0.35">
      <c r="A152" s="105" t="s">
        <v>33</v>
      </c>
      <c r="B152" s="105" t="s">
        <v>35</v>
      </c>
      <c r="C152" s="105">
        <v>3</v>
      </c>
      <c r="D152" s="105">
        <v>2</v>
      </c>
      <c r="E152" s="105">
        <v>12</v>
      </c>
      <c r="F152" s="105">
        <v>212</v>
      </c>
      <c r="G152" s="37">
        <v>23</v>
      </c>
      <c r="H152" s="105">
        <v>5</v>
      </c>
    </row>
    <row r="153" spans="1:11" x14ac:dyDescent="0.35">
      <c r="A153" s="105" t="s">
        <v>33</v>
      </c>
      <c r="B153" s="105" t="s">
        <v>29</v>
      </c>
      <c r="C153" s="105">
        <v>3</v>
      </c>
      <c r="D153" s="105">
        <v>1</v>
      </c>
      <c r="E153" s="105">
        <v>12</v>
      </c>
      <c r="F153" s="105">
        <v>112</v>
      </c>
      <c r="G153" s="37">
        <v>24</v>
      </c>
      <c r="H153" s="105">
        <v>5</v>
      </c>
    </row>
    <row r="154" spans="1:11" x14ac:dyDescent="0.35">
      <c r="A154" s="105" t="s">
        <v>28</v>
      </c>
      <c r="B154" s="105" t="s">
        <v>30</v>
      </c>
      <c r="C154" s="105">
        <v>4</v>
      </c>
      <c r="D154" s="105">
        <v>1</v>
      </c>
      <c r="E154" s="105">
        <v>14</v>
      </c>
      <c r="F154" s="105">
        <v>114</v>
      </c>
      <c r="G154" s="37">
        <v>25</v>
      </c>
      <c r="H154" s="105">
        <v>5</v>
      </c>
      <c r="I154" s="43">
        <v>45908</v>
      </c>
      <c r="J154" s="96">
        <v>48</v>
      </c>
      <c r="K154" s="96">
        <v>2</v>
      </c>
    </row>
    <row r="155" spans="1:11" x14ac:dyDescent="0.35">
      <c r="A155" s="105" t="s">
        <v>28</v>
      </c>
      <c r="B155" s="105" t="s">
        <v>29</v>
      </c>
      <c r="C155" s="105">
        <v>4</v>
      </c>
      <c r="D155" s="105">
        <v>2</v>
      </c>
      <c r="E155" s="105">
        <v>14</v>
      </c>
      <c r="F155" s="105">
        <v>214</v>
      </c>
      <c r="G155" s="37">
        <v>26</v>
      </c>
      <c r="H155" s="105">
        <v>5</v>
      </c>
      <c r="I155" s="43">
        <v>45908</v>
      </c>
      <c r="J155" s="96">
        <v>47</v>
      </c>
      <c r="K155" s="96">
        <v>17</v>
      </c>
    </row>
    <row r="156" spans="1:11" x14ac:dyDescent="0.35">
      <c r="A156" s="105" t="s">
        <v>28</v>
      </c>
      <c r="B156" s="105" t="s">
        <v>32</v>
      </c>
      <c r="C156" s="105">
        <v>4</v>
      </c>
      <c r="D156" s="105">
        <v>3</v>
      </c>
      <c r="E156" s="105">
        <v>14</v>
      </c>
      <c r="F156" s="105">
        <v>314</v>
      </c>
      <c r="G156" s="37">
        <v>27</v>
      </c>
      <c r="H156" s="105">
        <v>5</v>
      </c>
    </row>
    <row r="157" spans="1:11" x14ac:dyDescent="0.35">
      <c r="A157" s="105" t="s">
        <v>28</v>
      </c>
      <c r="B157" s="105" t="s">
        <v>31</v>
      </c>
      <c r="C157" s="105">
        <v>4</v>
      </c>
      <c r="D157" s="105">
        <v>4</v>
      </c>
      <c r="E157" s="105">
        <v>14</v>
      </c>
      <c r="F157" s="105">
        <v>414</v>
      </c>
      <c r="G157" s="37">
        <v>28</v>
      </c>
      <c r="H157" s="105">
        <v>5</v>
      </c>
    </row>
    <row r="158" spans="1:11" x14ac:dyDescent="0.35">
      <c r="A158" s="105" t="s">
        <v>33</v>
      </c>
      <c r="B158" s="105" t="s">
        <v>35</v>
      </c>
      <c r="C158" s="105">
        <v>4</v>
      </c>
      <c r="D158" s="105">
        <v>4</v>
      </c>
      <c r="E158" s="105">
        <v>16</v>
      </c>
      <c r="F158" s="105">
        <v>416</v>
      </c>
      <c r="G158" s="37">
        <v>29</v>
      </c>
      <c r="H158" s="105">
        <v>5</v>
      </c>
    </row>
    <row r="159" spans="1:11" x14ac:dyDescent="0.35">
      <c r="A159" s="105" t="s">
        <v>33</v>
      </c>
      <c r="B159" s="105" t="s">
        <v>29</v>
      </c>
      <c r="C159" s="105">
        <v>4</v>
      </c>
      <c r="D159" s="105">
        <v>3</v>
      </c>
      <c r="E159" s="105">
        <v>16</v>
      </c>
      <c r="F159" s="105">
        <v>316</v>
      </c>
      <c r="G159" s="37">
        <v>30</v>
      </c>
      <c r="H159" s="105">
        <v>5</v>
      </c>
    </row>
    <row r="160" spans="1:11" x14ac:dyDescent="0.35">
      <c r="A160" s="105" t="s">
        <v>33</v>
      </c>
      <c r="B160" s="105" t="s">
        <v>34</v>
      </c>
      <c r="C160" s="105">
        <v>4</v>
      </c>
      <c r="D160" s="105">
        <v>2</v>
      </c>
      <c r="E160" s="105">
        <v>16</v>
      </c>
      <c r="F160" s="105">
        <v>216</v>
      </c>
      <c r="G160" s="37">
        <v>31</v>
      </c>
      <c r="H160" s="105">
        <v>5</v>
      </c>
    </row>
    <row r="161" spans="1:11" x14ac:dyDescent="0.35">
      <c r="A161" s="105" t="s">
        <v>33</v>
      </c>
      <c r="B161" s="105" t="s">
        <v>30</v>
      </c>
      <c r="C161" s="105">
        <v>4</v>
      </c>
      <c r="D161" s="105">
        <v>1</v>
      </c>
      <c r="E161" s="105">
        <v>16</v>
      </c>
      <c r="F161" s="105">
        <v>116</v>
      </c>
      <c r="G161" s="37">
        <v>32</v>
      </c>
      <c r="H161" s="105">
        <v>5</v>
      </c>
    </row>
    <row r="162" spans="1:11" x14ac:dyDescent="0.35">
      <c r="A162" s="105" t="s">
        <v>28</v>
      </c>
      <c r="B162" s="105" t="s">
        <v>29</v>
      </c>
      <c r="C162" s="105">
        <v>1</v>
      </c>
      <c r="D162" s="105">
        <v>1</v>
      </c>
      <c r="E162" s="105">
        <v>2</v>
      </c>
      <c r="F162" s="105">
        <v>102</v>
      </c>
      <c r="G162" s="37">
        <v>1</v>
      </c>
      <c r="H162" s="105">
        <v>6</v>
      </c>
    </row>
    <row r="163" spans="1:11" x14ac:dyDescent="0.35">
      <c r="A163" s="105" t="s">
        <v>28</v>
      </c>
      <c r="B163" s="105" t="s">
        <v>30</v>
      </c>
      <c r="C163" s="105">
        <v>1</v>
      </c>
      <c r="D163" s="105">
        <v>2</v>
      </c>
      <c r="E163" s="105">
        <v>2</v>
      </c>
      <c r="F163" s="105">
        <v>202</v>
      </c>
      <c r="G163" s="37">
        <v>2</v>
      </c>
      <c r="H163" s="105">
        <v>6</v>
      </c>
      <c r="I163" s="43">
        <v>45909</v>
      </c>
      <c r="J163" s="96">
        <v>39</v>
      </c>
      <c r="K163" s="96">
        <v>16</v>
      </c>
    </row>
    <row r="164" spans="1:11" x14ac:dyDescent="0.35">
      <c r="A164" s="105" t="s">
        <v>28</v>
      </c>
      <c r="B164" s="105" t="s">
        <v>31</v>
      </c>
      <c r="C164" s="105">
        <v>1</v>
      </c>
      <c r="D164" s="105">
        <v>3</v>
      </c>
      <c r="E164" s="105">
        <v>2</v>
      </c>
      <c r="F164" s="105">
        <v>302</v>
      </c>
      <c r="G164" s="37">
        <v>3</v>
      </c>
      <c r="H164" s="105">
        <v>6</v>
      </c>
    </row>
    <row r="165" spans="1:11" x14ac:dyDescent="0.35">
      <c r="A165" s="105" t="s">
        <v>28</v>
      </c>
      <c r="B165" s="105" t="s">
        <v>32</v>
      </c>
      <c r="C165" s="105">
        <v>1</v>
      </c>
      <c r="D165" s="105">
        <v>4</v>
      </c>
      <c r="E165" s="105">
        <v>2</v>
      </c>
      <c r="F165" s="105">
        <v>402</v>
      </c>
      <c r="G165" s="37">
        <v>4</v>
      </c>
      <c r="H165" s="105">
        <v>6</v>
      </c>
    </row>
    <row r="166" spans="1:11" x14ac:dyDescent="0.35">
      <c r="A166" s="105" t="s">
        <v>33</v>
      </c>
      <c r="B166" s="105" t="s">
        <v>29</v>
      </c>
      <c r="C166" s="105">
        <v>1</v>
      </c>
      <c r="D166" s="105">
        <v>4</v>
      </c>
      <c r="E166" s="105">
        <v>4</v>
      </c>
      <c r="F166" s="105">
        <v>404</v>
      </c>
      <c r="G166" s="37">
        <v>5</v>
      </c>
      <c r="H166" s="105">
        <v>6</v>
      </c>
    </row>
    <row r="167" spans="1:11" x14ac:dyDescent="0.35">
      <c r="A167" s="105" t="s">
        <v>33</v>
      </c>
      <c r="B167" s="105" t="s">
        <v>35</v>
      </c>
      <c r="C167" s="105">
        <v>1</v>
      </c>
      <c r="D167" s="105">
        <v>3</v>
      </c>
      <c r="E167" s="105">
        <v>4</v>
      </c>
      <c r="F167" s="105">
        <v>304</v>
      </c>
      <c r="G167" s="37">
        <v>6</v>
      </c>
      <c r="H167" s="105">
        <v>6</v>
      </c>
    </row>
    <row r="168" spans="1:11" x14ac:dyDescent="0.35">
      <c r="A168" s="105" t="s">
        <v>33</v>
      </c>
      <c r="B168" s="105" t="s">
        <v>30</v>
      </c>
      <c r="C168" s="105">
        <v>1</v>
      </c>
      <c r="D168" s="105">
        <v>2</v>
      </c>
      <c r="E168" s="105">
        <v>4</v>
      </c>
      <c r="F168" s="105">
        <v>204</v>
      </c>
      <c r="G168" s="37">
        <v>7</v>
      </c>
      <c r="H168" s="105">
        <v>6</v>
      </c>
    </row>
    <row r="169" spans="1:11" x14ac:dyDescent="0.35">
      <c r="A169" s="105" t="s">
        <v>33</v>
      </c>
      <c r="B169" s="105" t="s">
        <v>34</v>
      </c>
      <c r="C169" s="105">
        <v>1</v>
      </c>
      <c r="D169" s="105">
        <v>1</v>
      </c>
      <c r="E169" s="105">
        <v>4</v>
      </c>
      <c r="F169" s="105">
        <v>104</v>
      </c>
      <c r="G169" s="37">
        <v>8</v>
      </c>
      <c r="H169" s="105">
        <v>6</v>
      </c>
    </row>
    <row r="170" spans="1:11" x14ac:dyDescent="0.35">
      <c r="A170" s="105" t="s">
        <v>28</v>
      </c>
      <c r="B170" s="105" t="s">
        <v>31</v>
      </c>
      <c r="C170" s="105">
        <v>2</v>
      </c>
      <c r="D170" s="105">
        <v>1</v>
      </c>
      <c r="E170" s="105">
        <v>6</v>
      </c>
      <c r="F170" s="105">
        <v>106</v>
      </c>
      <c r="G170" s="37">
        <v>9</v>
      </c>
      <c r="H170" s="105">
        <v>6</v>
      </c>
    </row>
    <row r="171" spans="1:11" x14ac:dyDescent="0.35">
      <c r="A171" s="105" t="s">
        <v>28</v>
      </c>
      <c r="B171" s="105" t="s">
        <v>32</v>
      </c>
      <c r="C171" s="105">
        <v>2</v>
      </c>
      <c r="D171" s="105">
        <v>2</v>
      </c>
      <c r="E171" s="105">
        <v>6</v>
      </c>
      <c r="F171" s="105">
        <v>206</v>
      </c>
      <c r="G171" s="37">
        <v>10</v>
      </c>
      <c r="H171" s="105">
        <v>6</v>
      </c>
    </row>
    <row r="172" spans="1:11" x14ac:dyDescent="0.35">
      <c r="A172" s="105" t="s">
        <v>28</v>
      </c>
      <c r="B172" s="105" t="s">
        <v>30</v>
      </c>
      <c r="C172" s="105">
        <v>2</v>
      </c>
      <c r="D172" s="105">
        <v>3</v>
      </c>
      <c r="E172" s="105">
        <v>6</v>
      </c>
      <c r="F172" s="105">
        <v>306</v>
      </c>
      <c r="G172" s="37">
        <v>11</v>
      </c>
      <c r="H172" s="105">
        <v>6</v>
      </c>
    </row>
    <row r="173" spans="1:11" x14ac:dyDescent="0.35">
      <c r="A173" s="105" t="s">
        <v>28</v>
      </c>
      <c r="B173" s="105" t="s">
        <v>29</v>
      </c>
      <c r="C173" s="105">
        <v>2</v>
      </c>
      <c r="D173" s="105">
        <v>4</v>
      </c>
      <c r="E173" s="105">
        <v>6</v>
      </c>
      <c r="F173" s="105">
        <v>406</v>
      </c>
      <c r="G173" s="37">
        <v>12</v>
      </c>
      <c r="H173" s="105">
        <v>6</v>
      </c>
    </row>
    <row r="174" spans="1:11" x14ac:dyDescent="0.35">
      <c r="A174" s="105" t="s">
        <v>33</v>
      </c>
      <c r="B174" s="105" t="s">
        <v>34</v>
      </c>
      <c r="C174" s="105">
        <v>2</v>
      </c>
      <c r="D174" s="105">
        <v>4</v>
      </c>
      <c r="E174" s="105">
        <v>8</v>
      </c>
      <c r="F174" s="105">
        <v>408</v>
      </c>
      <c r="G174" s="37">
        <v>13</v>
      </c>
      <c r="H174" s="105">
        <v>6</v>
      </c>
    </row>
    <row r="175" spans="1:11" x14ac:dyDescent="0.35">
      <c r="A175" s="105" t="s">
        <v>33</v>
      </c>
      <c r="B175" s="105" t="s">
        <v>30</v>
      </c>
      <c r="C175" s="105">
        <v>2</v>
      </c>
      <c r="D175" s="105">
        <v>3</v>
      </c>
      <c r="E175" s="105">
        <v>8</v>
      </c>
      <c r="F175" s="105">
        <v>308</v>
      </c>
      <c r="G175" s="37">
        <v>14</v>
      </c>
      <c r="H175" s="105">
        <v>6</v>
      </c>
    </row>
    <row r="176" spans="1:11" x14ac:dyDescent="0.35">
      <c r="A176" s="105" t="s">
        <v>33</v>
      </c>
      <c r="B176" s="105" t="s">
        <v>29</v>
      </c>
      <c r="C176" s="105">
        <v>2</v>
      </c>
      <c r="D176" s="105">
        <v>2</v>
      </c>
      <c r="E176" s="105">
        <v>8</v>
      </c>
      <c r="F176" s="105">
        <v>208</v>
      </c>
      <c r="G176" s="37">
        <v>15</v>
      </c>
      <c r="H176" s="105">
        <v>6</v>
      </c>
    </row>
    <row r="177" spans="1:11" x14ac:dyDescent="0.35">
      <c r="A177" s="105" t="s">
        <v>33</v>
      </c>
      <c r="B177" s="105" t="s">
        <v>35</v>
      </c>
      <c r="C177" s="105">
        <v>2</v>
      </c>
      <c r="D177" s="105">
        <v>1</v>
      </c>
      <c r="E177" s="105">
        <v>8</v>
      </c>
      <c r="F177" s="105">
        <v>108</v>
      </c>
      <c r="G177" s="37">
        <v>16</v>
      </c>
      <c r="H177" s="105">
        <v>6</v>
      </c>
    </row>
    <row r="178" spans="1:11" x14ac:dyDescent="0.35">
      <c r="A178" s="105" t="s">
        <v>28</v>
      </c>
      <c r="B178" s="105" t="s">
        <v>32</v>
      </c>
      <c r="C178" s="105">
        <v>3</v>
      </c>
      <c r="D178" s="105">
        <v>1</v>
      </c>
      <c r="E178" s="105">
        <v>10</v>
      </c>
      <c r="F178" s="105">
        <v>110</v>
      </c>
      <c r="G178" s="37">
        <v>17</v>
      </c>
      <c r="H178" s="105">
        <v>6</v>
      </c>
    </row>
    <row r="179" spans="1:11" x14ac:dyDescent="0.35">
      <c r="A179" s="105" t="s">
        <v>28</v>
      </c>
      <c r="B179" s="105" t="s">
        <v>31</v>
      </c>
      <c r="C179" s="105">
        <v>3</v>
      </c>
      <c r="D179" s="105">
        <v>2</v>
      </c>
      <c r="E179" s="105">
        <v>10</v>
      </c>
      <c r="F179" s="105">
        <v>210</v>
      </c>
      <c r="G179" s="37">
        <v>18</v>
      </c>
      <c r="H179" s="105">
        <v>6</v>
      </c>
    </row>
    <row r="180" spans="1:11" x14ac:dyDescent="0.35">
      <c r="A180" s="105" t="s">
        <v>28</v>
      </c>
      <c r="B180" s="105" t="s">
        <v>29</v>
      </c>
      <c r="C180" s="105">
        <v>3</v>
      </c>
      <c r="D180" s="105">
        <v>3</v>
      </c>
      <c r="E180" s="105">
        <v>10</v>
      </c>
      <c r="F180" s="105">
        <v>310</v>
      </c>
      <c r="G180" s="37">
        <v>19</v>
      </c>
      <c r="H180" s="105">
        <v>6</v>
      </c>
    </row>
    <row r="181" spans="1:11" x14ac:dyDescent="0.35">
      <c r="A181" s="105" t="s">
        <v>28</v>
      </c>
      <c r="B181" s="105" t="s">
        <v>30</v>
      </c>
      <c r="C181" s="105">
        <v>3</v>
      </c>
      <c r="D181" s="105">
        <v>4</v>
      </c>
      <c r="E181" s="105">
        <v>10</v>
      </c>
      <c r="F181" s="105">
        <v>410</v>
      </c>
      <c r="G181" s="37">
        <v>20</v>
      </c>
      <c r="H181" s="105">
        <v>6</v>
      </c>
      <c r="I181" s="43">
        <v>45909</v>
      </c>
      <c r="J181" s="96">
        <v>44</v>
      </c>
      <c r="K181" s="96">
        <v>10</v>
      </c>
    </row>
    <row r="182" spans="1:11" x14ac:dyDescent="0.35">
      <c r="A182" s="105" t="s">
        <v>33</v>
      </c>
      <c r="B182" s="105" t="s">
        <v>30</v>
      </c>
      <c r="C182" s="105">
        <v>3</v>
      </c>
      <c r="D182" s="105">
        <v>4</v>
      </c>
      <c r="E182" s="105">
        <v>12</v>
      </c>
      <c r="F182" s="105">
        <v>412</v>
      </c>
      <c r="G182" s="37">
        <v>21</v>
      </c>
      <c r="H182" s="105">
        <v>6</v>
      </c>
    </row>
    <row r="183" spans="1:11" x14ac:dyDescent="0.35">
      <c r="A183" s="105" t="s">
        <v>33</v>
      </c>
      <c r="B183" s="105" t="s">
        <v>34</v>
      </c>
      <c r="C183" s="105">
        <v>3</v>
      </c>
      <c r="D183" s="105">
        <v>3</v>
      </c>
      <c r="E183" s="105">
        <v>12</v>
      </c>
      <c r="F183" s="105">
        <v>312</v>
      </c>
      <c r="G183" s="37">
        <v>22</v>
      </c>
      <c r="H183" s="105">
        <v>6</v>
      </c>
    </row>
    <row r="184" spans="1:11" x14ac:dyDescent="0.35">
      <c r="A184" s="105" t="s">
        <v>33</v>
      </c>
      <c r="B184" s="105" t="s">
        <v>35</v>
      </c>
      <c r="C184" s="105">
        <v>3</v>
      </c>
      <c r="D184" s="105">
        <v>2</v>
      </c>
      <c r="E184" s="105">
        <v>12</v>
      </c>
      <c r="F184" s="105">
        <v>212</v>
      </c>
      <c r="G184" s="37">
        <v>23</v>
      </c>
      <c r="H184" s="105">
        <v>6</v>
      </c>
    </row>
    <row r="185" spans="1:11" x14ac:dyDescent="0.35">
      <c r="A185" s="105" t="s">
        <v>33</v>
      </c>
      <c r="B185" s="105" t="s">
        <v>29</v>
      </c>
      <c r="C185" s="105">
        <v>3</v>
      </c>
      <c r="D185" s="105">
        <v>1</v>
      </c>
      <c r="E185" s="105">
        <v>12</v>
      </c>
      <c r="F185" s="105">
        <v>112</v>
      </c>
      <c r="G185" s="37">
        <v>24</v>
      </c>
      <c r="H185" s="105">
        <v>6</v>
      </c>
    </row>
    <row r="186" spans="1:11" x14ac:dyDescent="0.35">
      <c r="A186" s="105" t="s">
        <v>28</v>
      </c>
      <c r="B186" s="105" t="s">
        <v>30</v>
      </c>
      <c r="C186" s="105">
        <v>4</v>
      </c>
      <c r="D186" s="105">
        <v>1</v>
      </c>
      <c r="E186" s="105">
        <v>14</v>
      </c>
      <c r="F186" s="105">
        <v>114</v>
      </c>
      <c r="G186" s="37">
        <v>25</v>
      </c>
      <c r="H186" s="105">
        <v>6</v>
      </c>
      <c r="I186" s="43">
        <v>45909</v>
      </c>
      <c r="J186" s="96">
        <v>48</v>
      </c>
      <c r="K186" s="96">
        <v>3</v>
      </c>
    </row>
    <row r="187" spans="1:11" x14ac:dyDescent="0.35">
      <c r="A187" s="105" t="s">
        <v>28</v>
      </c>
      <c r="B187" s="105" t="s">
        <v>29</v>
      </c>
      <c r="C187" s="105">
        <v>4</v>
      </c>
      <c r="D187" s="105">
        <v>2</v>
      </c>
      <c r="E187" s="105">
        <v>14</v>
      </c>
      <c r="F187" s="105">
        <v>214</v>
      </c>
      <c r="G187" s="37">
        <v>26</v>
      </c>
      <c r="H187" s="105">
        <v>6</v>
      </c>
    </row>
    <row r="188" spans="1:11" x14ac:dyDescent="0.35">
      <c r="A188" s="105" t="s">
        <v>28</v>
      </c>
      <c r="B188" s="105" t="s">
        <v>32</v>
      </c>
      <c r="C188" s="105">
        <v>4</v>
      </c>
      <c r="D188" s="105">
        <v>3</v>
      </c>
      <c r="E188" s="105">
        <v>14</v>
      </c>
      <c r="F188" s="105">
        <v>314</v>
      </c>
      <c r="G188" s="37">
        <v>27</v>
      </c>
      <c r="H188" s="105">
        <v>6</v>
      </c>
    </row>
    <row r="189" spans="1:11" x14ac:dyDescent="0.35">
      <c r="A189" s="105" t="s">
        <v>28</v>
      </c>
      <c r="B189" s="105" t="s">
        <v>31</v>
      </c>
      <c r="C189" s="105">
        <v>4</v>
      </c>
      <c r="D189" s="105">
        <v>4</v>
      </c>
      <c r="E189" s="105">
        <v>14</v>
      </c>
      <c r="F189" s="105">
        <v>414</v>
      </c>
      <c r="G189" s="37">
        <v>28</v>
      </c>
      <c r="H189" s="105">
        <v>6</v>
      </c>
    </row>
    <row r="190" spans="1:11" x14ac:dyDescent="0.35">
      <c r="A190" s="105" t="s">
        <v>33</v>
      </c>
      <c r="B190" s="105" t="s">
        <v>35</v>
      </c>
      <c r="C190" s="105">
        <v>4</v>
      </c>
      <c r="D190" s="105">
        <v>4</v>
      </c>
      <c r="E190" s="105">
        <v>16</v>
      </c>
      <c r="F190" s="105">
        <v>416</v>
      </c>
      <c r="G190" s="37">
        <v>29</v>
      </c>
      <c r="H190" s="105">
        <v>6</v>
      </c>
    </row>
    <row r="191" spans="1:11" x14ac:dyDescent="0.35">
      <c r="A191" s="105" t="s">
        <v>33</v>
      </c>
      <c r="B191" s="105" t="s">
        <v>29</v>
      </c>
      <c r="C191" s="105">
        <v>4</v>
      </c>
      <c r="D191" s="105">
        <v>3</v>
      </c>
      <c r="E191" s="105">
        <v>16</v>
      </c>
      <c r="F191" s="105">
        <v>316</v>
      </c>
      <c r="G191" s="37">
        <v>30</v>
      </c>
      <c r="H191" s="105">
        <v>6</v>
      </c>
    </row>
    <row r="192" spans="1:11" x14ac:dyDescent="0.35">
      <c r="A192" s="105" t="s">
        <v>33</v>
      </c>
      <c r="B192" s="105" t="s">
        <v>34</v>
      </c>
      <c r="C192" s="105">
        <v>4</v>
      </c>
      <c r="D192" s="105">
        <v>2</v>
      </c>
      <c r="E192" s="105">
        <v>16</v>
      </c>
      <c r="F192" s="105">
        <v>216</v>
      </c>
      <c r="G192" s="37">
        <v>31</v>
      </c>
      <c r="H192" s="105">
        <v>6</v>
      </c>
    </row>
    <row r="193" spans="1:11" x14ac:dyDescent="0.35">
      <c r="A193" s="105" t="s">
        <v>33</v>
      </c>
      <c r="B193" s="105" t="s">
        <v>30</v>
      </c>
      <c r="C193" s="105">
        <v>4</v>
      </c>
      <c r="D193" s="105">
        <v>1</v>
      </c>
      <c r="E193" s="105">
        <v>16</v>
      </c>
      <c r="F193" s="105">
        <v>116</v>
      </c>
      <c r="G193" s="37">
        <v>32</v>
      </c>
      <c r="H193" s="105">
        <v>6</v>
      </c>
    </row>
    <row r="194" spans="1:11" x14ac:dyDescent="0.35">
      <c r="A194" s="105" t="s">
        <v>28</v>
      </c>
      <c r="B194" s="105" t="s">
        <v>29</v>
      </c>
      <c r="C194" s="105">
        <v>1</v>
      </c>
      <c r="D194" s="105">
        <v>1</v>
      </c>
      <c r="E194" s="105">
        <v>2</v>
      </c>
      <c r="F194" s="105">
        <v>102</v>
      </c>
      <c r="G194" s="37">
        <v>1</v>
      </c>
      <c r="H194" s="105">
        <v>7</v>
      </c>
    </row>
    <row r="195" spans="1:11" x14ac:dyDescent="0.35">
      <c r="A195" s="105" t="s">
        <v>28</v>
      </c>
      <c r="B195" s="105" t="s">
        <v>30</v>
      </c>
      <c r="C195" s="105">
        <v>1</v>
      </c>
      <c r="D195" s="105">
        <v>2</v>
      </c>
      <c r="E195" s="105">
        <v>2</v>
      </c>
      <c r="F195" s="105">
        <v>202</v>
      </c>
      <c r="G195" s="37">
        <v>2</v>
      </c>
      <c r="H195" s="105">
        <v>7</v>
      </c>
    </row>
    <row r="196" spans="1:11" x14ac:dyDescent="0.35">
      <c r="A196" s="105" t="s">
        <v>28</v>
      </c>
      <c r="B196" s="105" t="s">
        <v>31</v>
      </c>
      <c r="C196" s="105">
        <v>1</v>
      </c>
      <c r="D196" s="105">
        <v>3</v>
      </c>
      <c r="E196" s="105">
        <v>2</v>
      </c>
      <c r="F196" s="105">
        <v>302</v>
      </c>
      <c r="G196" s="37">
        <v>3</v>
      </c>
      <c r="H196" s="105">
        <v>7</v>
      </c>
      <c r="I196" s="43">
        <v>45910</v>
      </c>
      <c r="J196" s="96">
        <v>29</v>
      </c>
      <c r="K196">
        <v>0</v>
      </c>
    </row>
    <row r="197" spans="1:11" x14ac:dyDescent="0.35">
      <c r="A197" s="105" t="s">
        <v>28</v>
      </c>
      <c r="B197" s="105" t="s">
        <v>32</v>
      </c>
      <c r="C197" s="105">
        <v>1</v>
      </c>
      <c r="D197" s="105">
        <v>4</v>
      </c>
      <c r="E197" s="105">
        <v>2</v>
      </c>
      <c r="F197" s="105">
        <v>402</v>
      </c>
      <c r="G197" s="37">
        <v>4</v>
      </c>
      <c r="H197" s="105">
        <v>7</v>
      </c>
    </row>
    <row r="198" spans="1:11" x14ac:dyDescent="0.35">
      <c r="A198" s="105" t="s">
        <v>33</v>
      </c>
      <c r="B198" s="105" t="s">
        <v>29</v>
      </c>
      <c r="C198" s="105">
        <v>1</v>
      </c>
      <c r="D198" s="105">
        <v>4</v>
      </c>
      <c r="E198" s="105">
        <v>4</v>
      </c>
      <c r="F198" s="105">
        <v>404</v>
      </c>
      <c r="G198" s="37">
        <v>5</v>
      </c>
      <c r="H198" s="105">
        <v>7</v>
      </c>
    </row>
    <row r="199" spans="1:11" x14ac:dyDescent="0.35">
      <c r="A199" s="105" t="s">
        <v>33</v>
      </c>
      <c r="B199" s="105" t="s">
        <v>35</v>
      </c>
      <c r="C199" s="105">
        <v>1</v>
      </c>
      <c r="D199" s="105">
        <v>3</v>
      </c>
      <c r="E199" s="105">
        <v>4</v>
      </c>
      <c r="F199" s="105">
        <v>304</v>
      </c>
      <c r="G199" s="37">
        <v>6</v>
      </c>
      <c r="H199" s="105">
        <v>7</v>
      </c>
    </row>
    <row r="200" spans="1:11" x14ac:dyDescent="0.35">
      <c r="A200" s="105" t="s">
        <v>33</v>
      </c>
      <c r="B200" s="105" t="s">
        <v>30</v>
      </c>
      <c r="C200" s="105">
        <v>1</v>
      </c>
      <c r="D200" s="105">
        <v>2</v>
      </c>
      <c r="E200" s="105">
        <v>4</v>
      </c>
      <c r="F200" s="105">
        <v>204</v>
      </c>
      <c r="G200" s="37">
        <v>7</v>
      </c>
      <c r="H200" s="105">
        <v>7</v>
      </c>
    </row>
    <row r="201" spans="1:11" x14ac:dyDescent="0.35">
      <c r="A201" s="105" t="s">
        <v>33</v>
      </c>
      <c r="B201" s="105" t="s">
        <v>34</v>
      </c>
      <c r="C201" s="105">
        <v>1</v>
      </c>
      <c r="D201" s="105">
        <v>1</v>
      </c>
      <c r="E201" s="105">
        <v>4</v>
      </c>
      <c r="F201" s="105">
        <v>104</v>
      </c>
      <c r="G201" s="37">
        <v>8</v>
      </c>
      <c r="H201" s="105">
        <v>7</v>
      </c>
    </row>
    <row r="202" spans="1:11" x14ac:dyDescent="0.35">
      <c r="A202" s="105" t="s">
        <v>28</v>
      </c>
      <c r="B202" s="105" t="s">
        <v>31</v>
      </c>
      <c r="C202" s="105">
        <v>2</v>
      </c>
      <c r="D202" s="105">
        <v>1</v>
      </c>
      <c r="E202" s="105">
        <v>6</v>
      </c>
      <c r="F202" s="105">
        <v>106</v>
      </c>
      <c r="G202" s="37">
        <v>9</v>
      </c>
      <c r="H202" s="105">
        <v>7</v>
      </c>
    </row>
    <row r="203" spans="1:11" x14ac:dyDescent="0.35">
      <c r="A203" s="105" t="s">
        <v>28</v>
      </c>
      <c r="B203" s="105" t="s">
        <v>32</v>
      </c>
      <c r="C203" s="105">
        <v>2</v>
      </c>
      <c r="D203" s="105">
        <v>2</v>
      </c>
      <c r="E203" s="105">
        <v>6</v>
      </c>
      <c r="F203" s="105">
        <v>206</v>
      </c>
      <c r="G203" s="37">
        <v>10</v>
      </c>
      <c r="H203" s="105">
        <v>7</v>
      </c>
    </row>
    <row r="204" spans="1:11" x14ac:dyDescent="0.35">
      <c r="A204" s="105" t="s">
        <v>28</v>
      </c>
      <c r="B204" s="105" t="s">
        <v>30</v>
      </c>
      <c r="C204" s="105">
        <v>2</v>
      </c>
      <c r="D204" s="105">
        <v>3</v>
      </c>
      <c r="E204" s="105">
        <v>6</v>
      </c>
      <c r="F204" s="105">
        <v>306</v>
      </c>
      <c r="G204" s="37">
        <v>11</v>
      </c>
      <c r="H204" s="105">
        <v>7</v>
      </c>
    </row>
    <row r="205" spans="1:11" x14ac:dyDescent="0.35">
      <c r="A205" s="105" t="s">
        <v>28</v>
      </c>
      <c r="B205" s="105" t="s">
        <v>29</v>
      </c>
      <c r="C205" s="105">
        <v>2</v>
      </c>
      <c r="D205" s="105">
        <v>4</v>
      </c>
      <c r="E205" s="105">
        <v>6</v>
      </c>
      <c r="F205" s="105">
        <v>406</v>
      </c>
      <c r="G205" s="37">
        <v>12</v>
      </c>
      <c r="H205" s="105">
        <v>7</v>
      </c>
    </row>
    <row r="206" spans="1:11" x14ac:dyDescent="0.35">
      <c r="A206" s="105" t="s">
        <v>33</v>
      </c>
      <c r="B206" s="105" t="s">
        <v>34</v>
      </c>
      <c r="C206" s="105">
        <v>2</v>
      </c>
      <c r="D206" s="105">
        <v>4</v>
      </c>
      <c r="E206" s="105">
        <v>8</v>
      </c>
      <c r="F206" s="105">
        <v>408</v>
      </c>
      <c r="G206" s="37">
        <v>13</v>
      </c>
      <c r="H206" s="105">
        <v>7</v>
      </c>
    </row>
    <row r="207" spans="1:11" x14ac:dyDescent="0.35">
      <c r="A207" s="105" t="s">
        <v>33</v>
      </c>
      <c r="B207" s="105" t="s">
        <v>30</v>
      </c>
      <c r="C207" s="105">
        <v>2</v>
      </c>
      <c r="D207" s="105">
        <v>3</v>
      </c>
      <c r="E207" s="105">
        <v>8</v>
      </c>
      <c r="F207" s="105">
        <v>308</v>
      </c>
      <c r="G207" s="37">
        <v>14</v>
      </c>
      <c r="H207" s="105">
        <v>7</v>
      </c>
    </row>
    <row r="208" spans="1:11" x14ac:dyDescent="0.35">
      <c r="A208" s="105" t="s">
        <v>33</v>
      </c>
      <c r="B208" s="105" t="s">
        <v>29</v>
      </c>
      <c r="C208" s="105">
        <v>2</v>
      </c>
      <c r="D208" s="105">
        <v>2</v>
      </c>
      <c r="E208" s="105">
        <v>8</v>
      </c>
      <c r="F208" s="105">
        <v>208</v>
      </c>
      <c r="G208" s="37">
        <v>15</v>
      </c>
      <c r="H208" s="105">
        <v>7</v>
      </c>
    </row>
    <row r="209" spans="1:8" x14ac:dyDescent="0.35">
      <c r="A209" s="105" t="s">
        <v>33</v>
      </c>
      <c r="B209" s="105" t="s">
        <v>35</v>
      </c>
      <c r="C209" s="105">
        <v>2</v>
      </c>
      <c r="D209" s="105">
        <v>1</v>
      </c>
      <c r="E209" s="105">
        <v>8</v>
      </c>
      <c r="F209" s="105">
        <v>108</v>
      </c>
      <c r="G209" s="37">
        <v>16</v>
      </c>
      <c r="H209" s="105">
        <v>7</v>
      </c>
    </row>
    <row r="210" spans="1:8" x14ac:dyDescent="0.35">
      <c r="A210" s="105" t="s">
        <v>28</v>
      </c>
      <c r="B210" s="105" t="s">
        <v>32</v>
      </c>
      <c r="C210" s="105">
        <v>3</v>
      </c>
      <c r="D210" s="105">
        <v>1</v>
      </c>
      <c r="E210" s="105">
        <v>10</v>
      </c>
      <c r="F210" s="105">
        <v>110</v>
      </c>
      <c r="G210" s="37">
        <v>17</v>
      </c>
      <c r="H210" s="105">
        <v>7</v>
      </c>
    </row>
    <row r="211" spans="1:8" x14ac:dyDescent="0.35">
      <c r="A211" s="105" t="s">
        <v>28</v>
      </c>
      <c r="B211" s="105" t="s">
        <v>31</v>
      </c>
      <c r="C211" s="105">
        <v>3</v>
      </c>
      <c r="D211" s="105">
        <v>2</v>
      </c>
      <c r="E211" s="105">
        <v>10</v>
      </c>
      <c r="F211" s="105">
        <v>210</v>
      </c>
      <c r="G211" s="37">
        <v>18</v>
      </c>
      <c r="H211" s="105">
        <v>7</v>
      </c>
    </row>
    <row r="212" spans="1:8" x14ac:dyDescent="0.35">
      <c r="A212" s="105" t="s">
        <v>28</v>
      </c>
      <c r="B212" s="105" t="s">
        <v>29</v>
      </c>
      <c r="C212" s="105">
        <v>3</v>
      </c>
      <c r="D212" s="105">
        <v>3</v>
      </c>
      <c r="E212" s="105">
        <v>10</v>
      </c>
      <c r="F212" s="105">
        <v>310</v>
      </c>
      <c r="G212" s="37">
        <v>19</v>
      </c>
      <c r="H212" s="105">
        <v>7</v>
      </c>
    </row>
    <row r="213" spans="1:8" x14ac:dyDescent="0.35">
      <c r="A213" s="105" t="s">
        <v>28</v>
      </c>
      <c r="B213" s="105" t="s">
        <v>30</v>
      </c>
      <c r="C213" s="105">
        <v>3</v>
      </c>
      <c r="D213" s="105">
        <v>4</v>
      </c>
      <c r="E213" s="105">
        <v>10</v>
      </c>
      <c r="F213" s="105">
        <v>410</v>
      </c>
      <c r="G213" s="37">
        <v>20</v>
      </c>
      <c r="H213" s="105">
        <v>7</v>
      </c>
    </row>
    <row r="214" spans="1:8" x14ac:dyDescent="0.35">
      <c r="A214" s="105" t="s">
        <v>33</v>
      </c>
      <c r="B214" s="105" t="s">
        <v>30</v>
      </c>
      <c r="C214" s="105">
        <v>3</v>
      </c>
      <c r="D214" s="105">
        <v>4</v>
      </c>
      <c r="E214" s="105">
        <v>12</v>
      </c>
      <c r="F214" s="105">
        <v>412</v>
      </c>
      <c r="G214" s="37">
        <v>21</v>
      </c>
      <c r="H214" s="105">
        <v>7</v>
      </c>
    </row>
    <row r="215" spans="1:8" x14ac:dyDescent="0.35">
      <c r="A215" s="105" t="s">
        <v>33</v>
      </c>
      <c r="B215" s="105" t="s">
        <v>34</v>
      </c>
      <c r="C215" s="105">
        <v>3</v>
      </c>
      <c r="D215" s="105">
        <v>3</v>
      </c>
      <c r="E215" s="105">
        <v>12</v>
      </c>
      <c r="F215" s="105">
        <v>312</v>
      </c>
      <c r="G215" s="37">
        <v>22</v>
      </c>
      <c r="H215" s="105">
        <v>7</v>
      </c>
    </row>
    <row r="216" spans="1:8" x14ac:dyDescent="0.35">
      <c r="A216" s="105" t="s">
        <v>33</v>
      </c>
      <c r="B216" s="105" t="s">
        <v>35</v>
      </c>
      <c r="C216" s="105">
        <v>3</v>
      </c>
      <c r="D216" s="105">
        <v>2</v>
      </c>
      <c r="E216" s="105">
        <v>12</v>
      </c>
      <c r="F216" s="105">
        <v>212</v>
      </c>
      <c r="G216" s="37">
        <v>23</v>
      </c>
      <c r="H216" s="105">
        <v>7</v>
      </c>
    </row>
    <row r="217" spans="1:8" x14ac:dyDescent="0.35">
      <c r="A217" s="105" t="s">
        <v>33</v>
      </c>
      <c r="B217" s="105" t="s">
        <v>29</v>
      </c>
      <c r="C217" s="105">
        <v>3</v>
      </c>
      <c r="D217" s="105">
        <v>1</v>
      </c>
      <c r="E217" s="105">
        <v>12</v>
      </c>
      <c r="F217" s="105">
        <v>112</v>
      </c>
      <c r="G217" s="37">
        <v>24</v>
      </c>
      <c r="H217" s="105">
        <v>7</v>
      </c>
    </row>
    <row r="218" spans="1:8" x14ac:dyDescent="0.35">
      <c r="A218" s="105" t="s">
        <v>28</v>
      </c>
      <c r="B218" s="105" t="s">
        <v>30</v>
      </c>
      <c r="C218" s="105">
        <v>4</v>
      </c>
      <c r="D218" s="105">
        <v>1</v>
      </c>
      <c r="E218" s="105">
        <v>14</v>
      </c>
      <c r="F218" s="105">
        <v>114</v>
      </c>
      <c r="G218" s="37">
        <v>25</v>
      </c>
      <c r="H218" s="105">
        <v>7</v>
      </c>
    </row>
    <row r="219" spans="1:8" x14ac:dyDescent="0.35">
      <c r="A219" s="105" t="s">
        <v>28</v>
      </c>
      <c r="B219" s="105" t="s">
        <v>29</v>
      </c>
      <c r="C219" s="105">
        <v>4</v>
      </c>
      <c r="D219" s="105">
        <v>2</v>
      </c>
      <c r="E219" s="105">
        <v>14</v>
      </c>
      <c r="F219" s="105">
        <v>214</v>
      </c>
      <c r="G219" s="37">
        <v>26</v>
      </c>
      <c r="H219" s="105">
        <v>7</v>
      </c>
    </row>
    <row r="220" spans="1:8" x14ac:dyDescent="0.35">
      <c r="A220" s="105" t="s">
        <v>28</v>
      </c>
      <c r="B220" s="105" t="s">
        <v>32</v>
      </c>
      <c r="C220" s="105">
        <v>4</v>
      </c>
      <c r="D220" s="105">
        <v>3</v>
      </c>
      <c r="E220" s="105">
        <v>14</v>
      </c>
      <c r="F220" s="105">
        <v>314</v>
      </c>
      <c r="G220" s="37">
        <v>27</v>
      </c>
      <c r="H220" s="105">
        <v>7</v>
      </c>
    </row>
    <row r="221" spans="1:8" x14ac:dyDescent="0.35">
      <c r="A221" s="105" t="s">
        <v>28</v>
      </c>
      <c r="B221" s="105" t="s">
        <v>31</v>
      </c>
      <c r="C221" s="105">
        <v>4</v>
      </c>
      <c r="D221" s="105">
        <v>4</v>
      </c>
      <c r="E221" s="105">
        <v>14</v>
      </c>
      <c r="F221" s="105">
        <v>414</v>
      </c>
      <c r="G221" s="37">
        <v>28</v>
      </c>
      <c r="H221" s="105">
        <v>7</v>
      </c>
    </row>
    <row r="222" spans="1:8" x14ac:dyDescent="0.35">
      <c r="A222" s="105" t="s">
        <v>33</v>
      </c>
      <c r="B222" s="105" t="s">
        <v>35</v>
      </c>
      <c r="C222" s="105">
        <v>4</v>
      </c>
      <c r="D222" s="105">
        <v>4</v>
      </c>
      <c r="E222" s="105">
        <v>16</v>
      </c>
      <c r="F222" s="105">
        <v>416</v>
      </c>
      <c r="G222" s="37">
        <v>29</v>
      </c>
      <c r="H222" s="105">
        <v>7</v>
      </c>
    </row>
    <row r="223" spans="1:8" x14ac:dyDescent="0.35">
      <c r="A223" s="105" t="s">
        <v>33</v>
      </c>
      <c r="B223" s="105" t="s">
        <v>29</v>
      </c>
      <c r="C223" s="105">
        <v>4</v>
      </c>
      <c r="D223" s="105">
        <v>3</v>
      </c>
      <c r="E223" s="105">
        <v>16</v>
      </c>
      <c r="F223" s="105">
        <v>316</v>
      </c>
      <c r="G223" s="37">
        <v>30</v>
      </c>
      <c r="H223" s="105">
        <v>7</v>
      </c>
    </row>
    <row r="224" spans="1:8" x14ac:dyDescent="0.35">
      <c r="A224" s="105" t="s">
        <v>33</v>
      </c>
      <c r="B224" s="105" t="s">
        <v>34</v>
      </c>
      <c r="C224" s="105">
        <v>4</v>
      </c>
      <c r="D224" s="105">
        <v>2</v>
      </c>
      <c r="E224" s="105">
        <v>16</v>
      </c>
      <c r="F224" s="105">
        <v>216</v>
      </c>
      <c r="G224" s="37">
        <v>31</v>
      </c>
      <c r="H224" s="105">
        <v>7</v>
      </c>
    </row>
    <row r="225" spans="1:11" x14ac:dyDescent="0.35">
      <c r="A225" s="105" t="s">
        <v>33</v>
      </c>
      <c r="B225" s="105" t="s">
        <v>30</v>
      </c>
      <c r="C225" s="105">
        <v>4</v>
      </c>
      <c r="D225" s="105">
        <v>1</v>
      </c>
      <c r="E225" s="105">
        <v>16</v>
      </c>
      <c r="F225" s="105">
        <v>116</v>
      </c>
      <c r="G225" s="37">
        <v>32</v>
      </c>
      <c r="H225" s="105">
        <v>7</v>
      </c>
    </row>
    <row r="226" spans="1:11" x14ac:dyDescent="0.35">
      <c r="A226" s="105" t="s">
        <v>28</v>
      </c>
      <c r="B226" s="105" t="s">
        <v>29</v>
      </c>
      <c r="C226" s="105">
        <v>1</v>
      </c>
      <c r="D226" s="105">
        <v>1</v>
      </c>
      <c r="E226" s="105">
        <v>2</v>
      </c>
      <c r="F226" s="105">
        <v>102</v>
      </c>
      <c r="G226" s="37">
        <v>1</v>
      </c>
      <c r="H226" s="105">
        <v>8</v>
      </c>
    </row>
    <row r="227" spans="1:11" x14ac:dyDescent="0.35">
      <c r="A227" s="105" t="s">
        <v>28</v>
      </c>
      <c r="B227" s="105" t="s">
        <v>30</v>
      </c>
      <c r="C227" s="105">
        <v>1</v>
      </c>
      <c r="D227" s="105">
        <v>2</v>
      </c>
      <c r="E227" s="105">
        <v>2</v>
      </c>
      <c r="F227" s="105">
        <v>202</v>
      </c>
      <c r="G227" s="37">
        <v>2</v>
      </c>
      <c r="H227" s="105">
        <v>8</v>
      </c>
      <c r="I227" s="43">
        <v>45913</v>
      </c>
      <c r="J227" s="96">
        <v>39</v>
      </c>
      <c r="K227" s="96">
        <v>30</v>
      </c>
    </row>
    <row r="228" spans="1:11" x14ac:dyDescent="0.35">
      <c r="A228" s="105" t="s">
        <v>28</v>
      </c>
      <c r="B228" s="105" t="s">
        <v>31</v>
      </c>
      <c r="C228" s="105">
        <v>1</v>
      </c>
      <c r="D228" s="105">
        <v>3</v>
      </c>
      <c r="E228" s="105">
        <v>2</v>
      </c>
      <c r="F228" s="105">
        <v>302</v>
      </c>
      <c r="G228" s="37">
        <v>3</v>
      </c>
      <c r="H228" s="105">
        <v>8</v>
      </c>
    </row>
    <row r="229" spans="1:11" x14ac:dyDescent="0.35">
      <c r="A229" s="105" t="s">
        <v>28</v>
      </c>
      <c r="B229" s="105" t="s">
        <v>32</v>
      </c>
      <c r="C229" s="105">
        <v>1</v>
      </c>
      <c r="D229" s="105">
        <v>4</v>
      </c>
      <c r="E229" s="105">
        <v>2</v>
      </c>
      <c r="F229" s="105">
        <v>402</v>
      </c>
      <c r="G229" s="37">
        <v>4</v>
      </c>
      <c r="H229" s="105">
        <v>8</v>
      </c>
    </row>
    <row r="230" spans="1:11" x14ac:dyDescent="0.35">
      <c r="A230" s="105" t="s">
        <v>33</v>
      </c>
      <c r="B230" s="105" t="s">
        <v>29</v>
      </c>
      <c r="C230" s="105">
        <v>1</v>
      </c>
      <c r="D230" s="105">
        <v>4</v>
      </c>
      <c r="E230" s="105">
        <v>4</v>
      </c>
      <c r="F230" s="105">
        <v>404</v>
      </c>
      <c r="G230" s="37">
        <v>5</v>
      </c>
      <c r="H230" s="105">
        <v>8</v>
      </c>
    </row>
    <row r="231" spans="1:11" x14ac:dyDescent="0.35">
      <c r="A231" s="105" t="s">
        <v>33</v>
      </c>
      <c r="B231" s="105" t="s">
        <v>35</v>
      </c>
      <c r="C231" s="105">
        <v>1</v>
      </c>
      <c r="D231" s="105">
        <v>3</v>
      </c>
      <c r="E231" s="105">
        <v>4</v>
      </c>
      <c r="F231" s="105">
        <v>304</v>
      </c>
      <c r="G231" s="37">
        <v>6</v>
      </c>
      <c r="H231" s="105">
        <v>8</v>
      </c>
    </row>
    <row r="232" spans="1:11" x14ac:dyDescent="0.35">
      <c r="A232" s="105" t="s">
        <v>33</v>
      </c>
      <c r="B232" s="105" t="s">
        <v>30</v>
      </c>
      <c r="C232" s="105">
        <v>1</v>
      </c>
      <c r="D232" s="105">
        <v>2</v>
      </c>
      <c r="E232" s="105">
        <v>4</v>
      </c>
      <c r="F232" s="105">
        <v>204</v>
      </c>
      <c r="G232" s="37">
        <v>7</v>
      </c>
      <c r="H232" s="105">
        <v>8</v>
      </c>
    </row>
    <row r="233" spans="1:11" x14ac:dyDescent="0.35">
      <c r="A233" s="105" t="s">
        <v>33</v>
      </c>
      <c r="B233" s="105" t="s">
        <v>34</v>
      </c>
      <c r="C233" s="105">
        <v>1</v>
      </c>
      <c r="D233" s="105">
        <v>1</v>
      </c>
      <c r="E233" s="105">
        <v>4</v>
      </c>
      <c r="F233" s="105">
        <v>104</v>
      </c>
      <c r="G233" s="37">
        <v>8</v>
      </c>
      <c r="H233" s="105">
        <v>8</v>
      </c>
    </row>
    <row r="234" spans="1:11" x14ac:dyDescent="0.35">
      <c r="A234" s="105" t="s">
        <v>28</v>
      </c>
      <c r="B234" s="105" t="s">
        <v>31</v>
      </c>
      <c r="C234" s="105">
        <v>2</v>
      </c>
      <c r="D234" s="105">
        <v>1</v>
      </c>
      <c r="E234" s="105">
        <v>6</v>
      </c>
      <c r="F234" s="105">
        <v>106</v>
      </c>
      <c r="G234" s="37">
        <v>9</v>
      </c>
      <c r="H234" s="105">
        <v>8</v>
      </c>
    </row>
    <row r="235" spans="1:11" x14ac:dyDescent="0.35">
      <c r="A235" s="105" t="s">
        <v>28</v>
      </c>
      <c r="B235" s="105" t="s">
        <v>32</v>
      </c>
      <c r="C235" s="105">
        <v>2</v>
      </c>
      <c r="D235" s="105">
        <v>2</v>
      </c>
      <c r="E235" s="105">
        <v>6</v>
      </c>
      <c r="F235" s="105">
        <v>206</v>
      </c>
      <c r="G235" s="37">
        <v>10</v>
      </c>
      <c r="H235" s="105">
        <v>8</v>
      </c>
    </row>
    <row r="236" spans="1:11" x14ac:dyDescent="0.35">
      <c r="A236" s="105" t="s">
        <v>28</v>
      </c>
      <c r="B236" s="105" t="s">
        <v>30</v>
      </c>
      <c r="C236" s="105">
        <v>2</v>
      </c>
      <c r="D236" s="105">
        <v>3</v>
      </c>
      <c r="E236" s="105">
        <v>6</v>
      </c>
      <c r="F236" s="105">
        <v>306</v>
      </c>
      <c r="G236" s="37">
        <v>11</v>
      </c>
      <c r="H236" s="105">
        <v>8</v>
      </c>
      <c r="I236" s="43">
        <v>45913</v>
      </c>
      <c r="J236" s="96">
        <v>21</v>
      </c>
      <c r="K236" s="96">
        <v>6</v>
      </c>
    </row>
    <row r="237" spans="1:11" x14ac:dyDescent="0.35">
      <c r="A237" s="105" t="s">
        <v>28</v>
      </c>
      <c r="B237" s="105" t="s">
        <v>29</v>
      </c>
      <c r="C237" s="105">
        <v>2</v>
      </c>
      <c r="D237" s="105">
        <v>4</v>
      </c>
      <c r="E237" s="105">
        <v>6</v>
      </c>
      <c r="F237" s="105">
        <v>406</v>
      </c>
      <c r="G237" s="37">
        <v>12</v>
      </c>
      <c r="H237" s="105">
        <v>8</v>
      </c>
    </row>
    <row r="238" spans="1:11" x14ac:dyDescent="0.35">
      <c r="A238" s="105" t="s">
        <v>33</v>
      </c>
      <c r="B238" s="105" t="s">
        <v>34</v>
      </c>
      <c r="C238" s="105">
        <v>2</v>
      </c>
      <c r="D238" s="105">
        <v>4</v>
      </c>
      <c r="E238" s="105">
        <v>8</v>
      </c>
      <c r="F238" s="105">
        <v>408</v>
      </c>
      <c r="G238" s="37">
        <v>13</v>
      </c>
      <c r="H238" s="105">
        <v>8</v>
      </c>
    </row>
    <row r="239" spans="1:11" x14ac:dyDescent="0.35">
      <c r="A239" s="105" t="s">
        <v>33</v>
      </c>
      <c r="B239" s="105" t="s">
        <v>30</v>
      </c>
      <c r="C239" s="105">
        <v>2</v>
      </c>
      <c r="D239" s="105">
        <v>3</v>
      </c>
      <c r="E239" s="105">
        <v>8</v>
      </c>
      <c r="F239" s="105">
        <v>308</v>
      </c>
      <c r="G239" s="37">
        <v>14</v>
      </c>
      <c r="H239" s="105">
        <v>8</v>
      </c>
    </row>
    <row r="240" spans="1:11" x14ac:dyDescent="0.35">
      <c r="A240" s="105" t="s">
        <v>33</v>
      </c>
      <c r="B240" s="105" t="s">
        <v>29</v>
      </c>
      <c r="C240" s="105">
        <v>2</v>
      </c>
      <c r="D240" s="105">
        <v>2</v>
      </c>
      <c r="E240" s="105">
        <v>8</v>
      </c>
      <c r="F240" s="105">
        <v>208</v>
      </c>
      <c r="G240" s="37">
        <v>15</v>
      </c>
      <c r="H240" s="105">
        <v>8</v>
      </c>
    </row>
    <row r="241" spans="1:11" x14ac:dyDescent="0.35">
      <c r="A241" s="105" t="s">
        <v>33</v>
      </c>
      <c r="B241" s="105" t="s">
        <v>35</v>
      </c>
      <c r="C241" s="105">
        <v>2</v>
      </c>
      <c r="D241" s="105">
        <v>1</v>
      </c>
      <c r="E241" s="105">
        <v>8</v>
      </c>
      <c r="F241" s="105">
        <v>108</v>
      </c>
      <c r="G241" s="37">
        <v>16</v>
      </c>
      <c r="H241" s="105">
        <v>8</v>
      </c>
    </row>
    <row r="242" spans="1:11" x14ac:dyDescent="0.35">
      <c r="A242" s="105" t="s">
        <v>28</v>
      </c>
      <c r="B242" s="105" t="s">
        <v>32</v>
      </c>
      <c r="C242" s="105">
        <v>3</v>
      </c>
      <c r="D242" s="105">
        <v>1</v>
      </c>
      <c r="E242" s="105">
        <v>10</v>
      </c>
      <c r="F242" s="105">
        <v>110</v>
      </c>
      <c r="G242" s="37">
        <v>17</v>
      </c>
      <c r="H242" s="105">
        <v>8</v>
      </c>
    </row>
    <row r="243" spans="1:11" x14ac:dyDescent="0.35">
      <c r="A243" s="105" t="s">
        <v>28</v>
      </c>
      <c r="B243" s="105" t="s">
        <v>31</v>
      </c>
      <c r="C243" s="105">
        <v>3</v>
      </c>
      <c r="D243" s="105">
        <v>2</v>
      </c>
      <c r="E243" s="105">
        <v>10</v>
      </c>
      <c r="F243" s="105">
        <v>210</v>
      </c>
      <c r="G243" s="37">
        <v>18</v>
      </c>
      <c r="H243" s="105">
        <v>8</v>
      </c>
    </row>
    <row r="244" spans="1:11" x14ac:dyDescent="0.35">
      <c r="A244" s="105" t="s">
        <v>28</v>
      </c>
      <c r="B244" s="105" t="s">
        <v>29</v>
      </c>
      <c r="C244" s="105">
        <v>3</v>
      </c>
      <c r="D244" s="105">
        <v>3</v>
      </c>
      <c r="E244" s="105">
        <v>10</v>
      </c>
      <c r="F244" s="105">
        <v>310</v>
      </c>
      <c r="G244" s="37">
        <v>19</v>
      </c>
      <c r="H244" s="105">
        <v>8</v>
      </c>
    </row>
    <row r="245" spans="1:11" x14ac:dyDescent="0.35">
      <c r="A245" s="105" t="s">
        <v>28</v>
      </c>
      <c r="B245" s="105" t="s">
        <v>30</v>
      </c>
      <c r="C245" s="105">
        <v>3</v>
      </c>
      <c r="D245" s="105">
        <v>4</v>
      </c>
      <c r="E245" s="105">
        <v>10</v>
      </c>
      <c r="F245" s="105">
        <v>410</v>
      </c>
      <c r="G245" s="37">
        <v>20</v>
      </c>
      <c r="H245" s="105">
        <v>8</v>
      </c>
      <c r="I245" s="43">
        <v>45913</v>
      </c>
      <c r="J245" s="96">
        <v>44</v>
      </c>
      <c r="K245" s="96">
        <v>30</v>
      </c>
    </row>
    <row r="246" spans="1:11" x14ac:dyDescent="0.35">
      <c r="A246" s="105" t="s">
        <v>33</v>
      </c>
      <c r="B246" s="105" t="s">
        <v>30</v>
      </c>
      <c r="C246" s="105">
        <v>3</v>
      </c>
      <c r="D246" s="105">
        <v>4</v>
      </c>
      <c r="E246" s="105">
        <v>12</v>
      </c>
      <c r="F246" s="105">
        <v>412</v>
      </c>
      <c r="G246" s="37">
        <v>21</v>
      </c>
      <c r="H246" s="105">
        <v>8</v>
      </c>
    </row>
    <row r="247" spans="1:11" x14ac:dyDescent="0.35">
      <c r="A247" s="105" t="s">
        <v>33</v>
      </c>
      <c r="B247" s="105" t="s">
        <v>34</v>
      </c>
      <c r="C247" s="105">
        <v>3</v>
      </c>
      <c r="D247" s="105">
        <v>3</v>
      </c>
      <c r="E247" s="105">
        <v>12</v>
      </c>
      <c r="F247" s="105">
        <v>312</v>
      </c>
      <c r="G247" s="37">
        <v>22</v>
      </c>
      <c r="H247" s="105">
        <v>8</v>
      </c>
    </row>
    <row r="248" spans="1:11" x14ac:dyDescent="0.35">
      <c r="A248" s="105" t="s">
        <v>33</v>
      </c>
      <c r="B248" s="105" t="s">
        <v>35</v>
      </c>
      <c r="C248" s="105">
        <v>3</v>
      </c>
      <c r="D248" s="105">
        <v>2</v>
      </c>
      <c r="E248" s="105">
        <v>12</v>
      </c>
      <c r="F248" s="105">
        <v>212</v>
      </c>
      <c r="G248" s="37">
        <v>23</v>
      </c>
      <c r="H248" s="105">
        <v>8</v>
      </c>
    </row>
    <row r="249" spans="1:11" x14ac:dyDescent="0.35">
      <c r="A249" s="105" t="s">
        <v>33</v>
      </c>
      <c r="B249" s="105" t="s">
        <v>29</v>
      </c>
      <c r="C249" s="105">
        <v>3</v>
      </c>
      <c r="D249" s="105">
        <v>1</v>
      </c>
      <c r="E249" s="105">
        <v>12</v>
      </c>
      <c r="F249" s="105">
        <v>112</v>
      </c>
      <c r="G249" s="37">
        <v>24</v>
      </c>
      <c r="H249" s="105">
        <v>8</v>
      </c>
    </row>
    <row r="250" spans="1:11" x14ac:dyDescent="0.35">
      <c r="A250" s="105" t="s">
        <v>28</v>
      </c>
      <c r="B250" s="105" t="s">
        <v>30</v>
      </c>
      <c r="C250" s="105">
        <v>4</v>
      </c>
      <c r="D250" s="105">
        <v>1</v>
      </c>
      <c r="E250" s="105">
        <v>14</v>
      </c>
      <c r="F250" s="105">
        <v>114</v>
      </c>
      <c r="G250" s="37">
        <v>25</v>
      </c>
      <c r="H250" s="105">
        <v>8</v>
      </c>
      <c r="I250" s="43">
        <v>45913</v>
      </c>
      <c r="J250" s="96">
        <v>48</v>
      </c>
      <c r="K250" s="96">
        <v>17</v>
      </c>
    </row>
    <row r="251" spans="1:11" x14ac:dyDescent="0.35">
      <c r="A251" s="105" t="s">
        <v>28</v>
      </c>
      <c r="B251" s="105" t="s">
        <v>29</v>
      </c>
      <c r="C251" s="105">
        <v>4</v>
      </c>
      <c r="D251" s="105">
        <v>2</v>
      </c>
      <c r="E251" s="105">
        <v>14</v>
      </c>
      <c r="F251" s="105">
        <v>214</v>
      </c>
      <c r="G251" s="37">
        <v>26</v>
      </c>
      <c r="H251" s="105">
        <v>8</v>
      </c>
    </row>
    <row r="252" spans="1:11" x14ac:dyDescent="0.35">
      <c r="A252" s="105" t="s">
        <v>28</v>
      </c>
      <c r="B252" s="105" t="s">
        <v>32</v>
      </c>
      <c r="C252" s="105">
        <v>4</v>
      </c>
      <c r="D252" s="105">
        <v>3</v>
      </c>
      <c r="E252" s="105">
        <v>14</v>
      </c>
      <c r="F252" s="105">
        <v>314</v>
      </c>
      <c r="G252" s="37">
        <v>27</v>
      </c>
      <c r="H252" s="105">
        <v>8</v>
      </c>
    </row>
    <row r="253" spans="1:11" x14ac:dyDescent="0.35">
      <c r="A253" s="105" t="s">
        <v>28</v>
      </c>
      <c r="B253" s="105" t="s">
        <v>31</v>
      </c>
      <c r="C253" s="105">
        <v>4</v>
      </c>
      <c r="D253" s="105">
        <v>4</v>
      </c>
      <c r="E253" s="105">
        <v>14</v>
      </c>
      <c r="F253" s="105">
        <v>414</v>
      </c>
      <c r="G253" s="37">
        <v>28</v>
      </c>
      <c r="H253" s="105">
        <v>8</v>
      </c>
    </row>
    <row r="254" spans="1:11" x14ac:dyDescent="0.35">
      <c r="A254" s="105" t="s">
        <v>33</v>
      </c>
      <c r="B254" s="105" t="s">
        <v>35</v>
      </c>
      <c r="C254" s="105">
        <v>4</v>
      </c>
      <c r="D254" s="105">
        <v>4</v>
      </c>
      <c r="E254" s="105">
        <v>16</v>
      </c>
      <c r="F254" s="105">
        <v>416</v>
      </c>
      <c r="G254" s="37">
        <v>29</v>
      </c>
      <c r="H254" s="105">
        <v>8</v>
      </c>
    </row>
    <row r="255" spans="1:11" x14ac:dyDescent="0.35">
      <c r="A255" s="105" t="s">
        <v>33</v>
      </c>
      <c r="B255" s="105" t="s">
        <v>29</v>
      </c>
      <c r="C255" s="105">
        <v>4</v>
      </c>
      <c r="D255" s="105">
        <v>3</v>
      </c>
      <c r="E255" s="105">
        <v>16</v>
      </c>
      <c r="F255" s="105">
        <v>316</v>
      </c>
      <c r="G255" s="37">
        <v>30</v>
      </c>
      <c r="H255" s="105">
        <v>8</v>
      </c>
    </row>
    <row r="256" spans="1:11" x14ac:dyDescent="0.35">
      <c r="A256" s="105" t="s">
        <v>33</v>
      </c>
      <c r="B256" s="105" t="s">
        <v>34</v>
      </c>
      <c r="C256" s="105">
        <v>4</v>
      </c>
      <c r="D256" s="105">
        <v>2</v>
      </c>
      <c r="E256" s="105">
        <v>16</v>
      </c>
      <c r="F256" s="105">
        <v>216</v>
      </c>
      <c r="G256" s="37">
        <v>31</v>
      </c>
      <c r="H256" s="105">
        <v>8</v>
      </c>
    </row>
    <row r="257" spans="1:11" x14ac:dyDescent="0.35">
      <c r="A257" s="105" t="s">
        <v>33</v>
      </c>
      <c r="B257" s="105" t="s">
        <v>30</v>
      </c>
      <c r="C257" s="105">
        <v>4</v>
      </c>
      <c r="D257" s="105">
        <v>1</v>
      </c>
      <c r="E257" s="105">
        <v>16</v>
      </c>
      <c r="F257" s="105">
        <v>116</v>
      </c>
      <c r="G257" s="37">
        <v>32</v>
      </c>
      <c r="H257" s="105">
        <v>8</v>
      </c>
    </row>
    <row r="258" spans="1:11" x14ac:dyDescent="0.35">
      <c r="A258" s="105" t="s">
        <v>28</v>
      </c>
      <c r="B258" s="105" t="s">
        <v>29</v>
      </c>
      <c r="C258" s="105">
        <v>1</v>
      </c>
      <c r="D258" s="105">
        <v>1</v>
      </c>
      <c r="E258" s="105">
        <v>2</v>
      </c>
      <c r="F258" s="105">
        <v>102</v>
      </c>
      <c r="G258" s="37">
        <v>1</v>
      </c>
      <c r="H258" s="105">
        <v>9</v>
      </c>
    </row>
    <row r="259" spans="1:11" x14ac:dyDescent="0.35">
      <c r="A259" s="105" t="s">
        <v>28</v>
      </c>
      <c r="B259" s="105" t="s">
        <v>30</v>
      </c>
      <c r="C259" s="105">
        <v>1</v>
      </c>
      <c r="D259" s="105">
        <v>2</v>
      </c>
      <c r="E259" s="105">
        <v>2</v>
      </c>
      <c r="F259" s="105">
        <v>202</v>
      </c>
      <c r="G259" s="37">
        <v>2</v>
      </c>
      <c r="H259" s="105">
        <v>9</v>
      </c>
    </row>
    <row r="260" spans="1:11" x14ac:dyDescent="0.35">
      <c r="A260" s="105" t="s">
        <v>28</v>
      </c>
      <c r="B260" s="105" t="s">
        <v>31</v>
      </c>
      <c r="C260" s="105">
        <v>1</v>
      </c>
      <c r="D260" s="105">
        <v>3</v>
      </c>
      <c r="E260" s="105">
        <v>2</v>
      </c>
      <c r="F260" s="105">
        <v>302</v>
      </c>
      <c r="G260" s="37">
        <v>3</v>
      </c>
      <c r="H260" s="105">
        <v>9</v>
      </c>
      <c r="I260" s="43">
        <v>45915</v>
      </c>
      <c r="J260" s="96">
        <v>29</v>
      </c>
      <c r="K260" s="96">
        <v>27</v>
      </c>
    </row>
    <row r="261" spans="1:11" x14ac:dyDescent="0.35">
      <c r="A261" s="105" t="s">
        <v>28</v>
      </c>
      <c r="B261" s="105" t="s">
        <v>32</v>
      </c>
      <c r="C261" s="105">
        <v>1</v>
      </c>
      <c r="D261" s="105">
        <v>4</v>
      </c>
      <c r="E261" s="105">
        <v>2</v>
      </c>
      <c r="F261" s="105">
        <v>402</v>
      </c>
      <c r="G261" s="37">
        <v>4</v>
      </c>
      <c r="H261" s="105">
        <v>9</v>
      </c>
      <c r="K261" s="96"/>
    </row>
    <row r="262" spans="1:11" x14ac:dyDescent="0.35">
      <c r="A262" s="105" t="s">
        <v>33</v>
      </c>
      <c r="B262" s="105" t="s">
        <v>29</v>
      </c>
      <c r="C262" s="105">
        <v>1</v>
      </c>
      <c r="D262" s="105">
        <v>4</v>
      </c>
      <c r="E262" s="105">
        <v>4</v>
      </c>
      <c r="F262" s="105">
        <v>404</v>
      </c>
      <c r="G262" s="37">
        <v>5</v>
      </c>
      <c r="H262" s="105">
        <v>9</v>
      </c>
      <c r="K262" s="96"/>
    </row>
    <row r="263" spans="1:11" x14ac:dyDescent="0.35">
      <c r="A263" s="105" t="s">
        <v>33</v>
      </c>
      <c r="B263" s="105" t="s">
        <v>35</v>
      </c>
      <c r="C263" s="105">
        <v>1</v>
      </c>
      <c r="D263" s="105">
        <v>3</v>
      </c>
      <c r="E263" s="105">
        <v>4</v>
      </c>
      <c r="F263" s="105">
        <v>304</v>
      </c>
      <c r="G263" s="37">
        <v>6</v>
      </c>
      <c r="H263" s="105">
        <v>9</v>
      </c>
      <c r="K263" s="96"/>
    </row>
    <row r="264" spans="1:11" x14ac:dyDescent="0.35">
      <c r="A264" s="105" t="s">
        <v>33</v>
      </c>
      <c r="B264" s="105" t="s">
        <v>30</v>
      </c>
      <c r="C264" s="105">
        <v>1</v>
      </c>
      <c r="D264" s="105">
        <v>2</v>
      </c>
      <c r="E264" s="105">
        <v>4</v>
      </c>
      <c r="F264" s="105">
        <v>204</v>
      </c>
      <c r="G264" s="37">
        <v>7</v>
      </c>
      <c r="H264" s="105">
        <v>9</v>
      </c>
      <c r="K264" s="96"/>
    </row>
    <row r="265" spans="1:11" x14ac:dyDescent="0.35">
      <c r="A265" s="105" t="s">
        <v>33</v>
      </c>
      <c r="B265" s="105" t="s">
        <v>34</v>
      </c>
      <c r="C265" s="105">
        <v>1</v>
      </c>
      <c r="D265" s="105">
        <v>1</v>
      </c>
      <c r="E265" s="105">
        <v>4</v>
      </c>
      <c r="F265" s="105">
        <v>104</v>
      </c>
      <c r="G265" s="37">
        <v>8</v>
      </c>
      <c r="H265" s="105">
        <v>9</v>
      </c>
      <c r="K265" s="96"/>
    </row>
    <row r="266" spans="1:11" x14ac:dyDescent="0.35">
      <c r="A266" s="105" t="s">
        <v>28</v>
      </c>
      <c r="B266" s="105" t="s">
        <v>31</v>
      </c>
      <c r="C266" s="105">
        <v>2</v>
      </c>
      <c r="D266" s="105">
        <v>1</v>
      </c>
      <c r="E266" s="105">
        <v>6</v>
      </c>
      <c r="F266" s="105">
        <v>106</v>
      </c>
      <c r="G266" s="37">
        <v>9</v>
      </c>
      <c r="H266" s="105">
        <v>9</v>
      </c>
      <c r="I266" s="43">
        <v>45915</v>
      </c>
      <c r="J266">
        <v>25</v>
      </c>
      <c r="K266" s="96">
        <v>25</v>
      </c>
    </row>
    <row r="267" spans="1:11" x14ac:dyDescent="0.35">
      <c r="A267" s="105" t="s">
        <v>28</v>
      </c>
      <c r="B267" s="105" t="s">
        <v>32</v>
      </c>
      <c r="C267" s="105">
        <v>2</v>
      </c>
      <c r="D267" s="105">
        <v>2</v>
      </c>
      <c r="E267" s="105">
        <v>6</v>
      </c>
      <c r="F267" s="105">
        <v>206</v>
      </c>
      <c r="G267" s="37">
        <v>10</v>
      </c>
      <c r="H267" s="105">
        <v>9</v>
      </c>
      <c r="K267" s="96"/>
    </row>
    <row r="268" spans="1:11" x14ac:dyDescent="0.35">
      <c r="A268" s="105" t="s">
        <v>28</v>
      </c>
      <c r="B268" s="105" t="s">
        <v>30</v>
      </c>
      <c r="C268" s="105">
        <v>2</v>
      </c>
      <c r="D268" s="105">
        <v>3</v>
      </c>
      <c r="E268" s="105">
        <v>6</v>
      </c>
      <c r="F268" s="105">
        <v>306</v>
      </c>
      <c r="G268" s="37">
        <v>11</v>
      </c>
      <c r="H268" s="105">
        <v>9</v>
      </c>
      <c r="K268" s="96"/>
    </row>
    <row r="269" spans="1:11" x14ac:dyDescent="0.35">
      <c r="A269" s="105" t="s">
        <v>28</v>
      </c>
      <c r="B269" s="105" t="s">
        <v>29</v>
      </c>
      <c r="C269" s="105">
        <v>2</v>
      </c>
      <c r="D269" s="105">
        <v>4</v>
      </c>
      <c r="E269" s="105">
        <v>6</v>
      </c>
      <c r="F269" s="105">
        <v>406</v>
      </c>
      <c r="G269" s="37">
        <v>12</v>
      </c>
      <c r="H269" s="105">
        <v>9</v>
      </c>
      <c r="K269" s="96"/>
    </row>
    <row r="270" spans="1:11" x14ac:dyDescent="0.35">
      <c r="A270" s="105" t="s">
        <v>33</v>
      </c>
      <c r="B270" s="105" t="s">
        <v>34</v>
      </c>
      <c r="C270" s="105">
        <v>2</v>
      </c>
      <c r="D270" s="105">
        <v>4</v>
      </c>
      <c r="E270" s="105">
        <v>8</v>
      </c>
      <c r="F270" s="105">
        <v>408</v>
      </c>
      <c r="G270" s="37">
        <v>13</v>
      </c>
      <c r="H270" s="105">
        <v>9</v>
      </c>
      <c r="K270" s="96"/>
    </row>
    <row r="271" spans="1:11" x14ac:dyDescent="0.35">
      <c r="A271" s="105" t="s">
        <v>33</v>
      </c>
      <c r="B271" s="105" t="s">
        <v>30</v>
      </c>
      <c r="C271" s="105">
        <v>2</v>
      </c>
      <c r="D271" s="105">
        <v>3</v>
      </c>
      <c r="E271" s="105">
        <v>8</v>
      </c>
      <c r="F271" s="105">
        <v>308</v>
      </c>
      <c r="G271" s="37">
        <v>14</v>
      </c>
      <c r="H271" s="105">
        <v>9</v>
      </c>
      <c r="K271" s="96"/>
    </row>
    <row r="272" spans="1:11" x14ac:dyDescent="0.35">
      <c r="A272" s="105" t="s">
        <v>33</v>
      </c>
      <c r="B272" s="105" t="s">
        <v>29</v>
      </c>
      <c r="C272" s="105">
        <v>2</v>
      </c>
      <c r="D272" s="105">
        <v>2</v>
      </c>
      <c r="E272" s="105">
        <v>8</v>
      </c>
      <c r="F272" s="105">
        <v>208</v>
      </c>
      <c r="G272" s="37">
        <v>15</v>
      </c>
      <c r="H272" s="105">
        <v>9</v>
      </c>
      <c r="K272" s="96"/>
    </row>
    <row r="273" spans="1:11" x14ac:dyDescent="0.35">
      <c r="A273" s="105" t="s">
        <v>33</v>
      </c>
      <c r="B273" s="105" t="s">
        <v>35</v>
      </c>
      <c r="C273" s="105">
        <v>2</v>
      </c>
      <c r="D273" s="105">
        <v>1</v>
      </c>
      <c r="E273" s="105">
        <v>8</v>
      </c>
      <c r="F273" s="105">
        <v>108</v>
      </c>
      <c r="G273" s="37">
        <v>16</v>
      </c>
      <c r="H273" s="105">
        <v>9</v>
      </c>
      <c r="K273" s="96"/>
    </row>
    <row r="274" spans="1:11" x14ac:dyDescent="0.35">
      <c r="A274" s="105" t="s">
        <v>28</v>
      </c>
      <c r="B274" s="105" t="s">
        <v>32</v>
      </c>
      <c r="C274" s="105">
        <v>3</v>
      </c>
      <c r="D274" s="105">
        <v>1</v>
      </c>
      <c r="E274" s="105">
        <v>10</v>
      </c>
      <c r="F274" s="105">
        <v>110</v>
      </c>
      <c r="G274" s="37">
        <v>17</v>
      </c>
      <c r="H274" s="105">
        <v>9</v>
      </c>
      <c r="K274" s="96"/>
    </row>
    <row r="275" spans="1:11" x14ac:dyDescent="0.35">
      <c r="A275" s="105" t="s">
        <v>28</v>
      </c>
      <c r="B275" s="105" t="s">
        <v>31</v>
      </c>
      <c r="C275" s="105">
        <v>3</v>
      </c>
      <c r="D275" s="105">
        <v>2</v>
      </c>
      <c r="E275" s="105">
        <v>10</v>
      </c>
      <c r="F275" s="105">
        <v>210</v>
      </c>
      <c r="G275" s="37">
        <v>18</v>
      </c>
      <c r="H275" s="105">
        <v>9</v>
      </c>
      <c r="I275" s="43">
        <v>45915</v>
      </c>
      <c r="J275">
        <v>40</v>
      </c>
      <c r="K275" s="96">
        <v>32</v>
      </c>
    </row>
    <row r="276" spans="1:11" x14ac:dyDescent="0.35">
      <c r="A276" s="105" t="s">
        <v>28</v>
      </c>
      <c r="B276" s="105" t="s">
        <v>29</v>
      </c>
      <c r="C276" s="105">
        <v>3</v>
      </c>
      <c r="D276" s="105">
        <v>3</v>
      </c>
      <c r="E276" s="105">
        <v>10</v>
      </c>
      <c r="F276" s="105">
        <v>310</v>
      </c>
      <c r="G276" s="37">
        <v>19</v>
      </c>
      <c r="H276" s="105">
        <v>9</v>
      </c>
      <c r="K276" s="96"/>
    </row>
    <row r="277" spans="1:11" x14ac:dyDescent="0.35">
      <c r="A277" s="105" t="s">
        <v>28</v>
      </c>
      <c r="B277" s="105" t="s">
        <v>30</v>
      </c>
      <c r="C277" s="105">
        <v>3</v>
      </c>
      <c r="D277" s="105">
        <v>4</v>
      </c>
      <c r="E277" s="105">
        <v>10</v>
      </c>
      <c r="F277" s="105">
        <v>410</v>
      </c>
      <c r="G277" s="37">
        <v>20</v>
      </c>
      <c r="H277" s="105">
        <v>9</v>
      </c>
      <c r="K277" s="96"/>
    </row>
    <row r="278" spans="1:11" x14ac:dyDescent="0.35">
      <c r="A278" s="105" t="s">
        <v>33</v>
      </c>
      <c r="B278" s="105" t="s">
        <v>30</v>
      </c>
      <c r="C278" s="105">
        <v>3</v>
      </c>
      <c r="D278" s="105">
        <v>4</v>
      </c>
      <c r="E278" s="105">
        <v>12</v>
      </c>
      <c r="F278" s="105">
        <v>412</v>
      </c>
      <c r="G278" s="37">
        <v>21</v>
      </c>
      <c r="H278" s="105">
        <v>9</v>
      </c>
      <c r="K278" s="96"/>
    </row>
    <row r="279" spans="1:11" x14ac:dyDescent="0.35">
      <c r="A279" s="105" t="s">
        <v>33</v>
      </c>
      <c r="B279" s="105" t="s">
        <v>34</v>
      </c>
      <c r="C279" s="105">
        <v>3</v>
      </c>
      <c r="D279" s="105">
        <v>3</v>
      </c>
      <c r="E279" s="105">
        <v>12</v>
      </c>
      <c r="F279" s="105">
        <v>312</v>
      </c>
      <c r="G279" s="37">
        <v>22</v>
      </c>
      <c r="H279" s="105">
        <v>9</v>
      </c>
      <c r="K279" s="96"/>
    </row>
    <row r="280" spans="1:11" x14ac:dyDescent="0.35">
      <c r="A280" s="105" t="s">
        <v>33</v>
      </c>
      <c r="B280" s="105" t="s">
        <v>35</v>
      </c>
      <c r="C280" s="105">
        <v>3</v>
      </c>
      <c r="D280" s="105">
        <v>2</v>
      </c>
      <c r="E280" s="105">
        <v>12</v>
      </c>
      <c r="F280" s="105">
        <v>212</v>
      </c>
      <c r="G280" s="37">
        <v>23</v>
      </c>
      <c r="H280" s="105">
        <v>9</v>
      </c>
      <c r="K280" s="96"/>
    </row>
    <row r="281" spans="1:11" x14ac:dyDescent="0.35">
      <c r="A281" s="105" t="s">
        <v>33</v>
      </c>
      <c r="B281" s="105" t="s">
        <v>29</v>
      </c>
      <c r="C281" s="105">
        <v>3</v>
      </c>
      <c r="D281" s="105">
        <v>1</v>
      </c>
      <c r="E281" s="105">
        <v>12</v>
      </c>
      <c r="F281" s="105">
        <v>112</v>
      </c>
      <c r="G281" s="37">
        <v>24</v>
      </c>
      <c r="H281" s="105">
        <v>9</v>
      </c>
      <c r="K281" s="96"/>
    </row>
    <row r="282" spans="1:11" x14ac:dyDescent="0.35">
      <c r="A282" s="105" t="s">
        <v>28</v>
      </c>
      <c r="B282" s="105" t="s">
        <v>30</v>
      </c>
      <c r="C282" s="105">
        <v>4</v>
      </c>
      <c r="D282" s="105">
        <v>1</v>
      </c>
      <c r="E282" s="105">
        <v>14</v>
      </c>
      <c r="F282" s="105">
        <v>114</v>
      </c>
      <c r="G282" s="37">
        <v>25</v>
      </c>
      <c r="H282" s="105">
        <v>9</v>
      </c>
      <c r="K282" s="96"/>
    </row>
    <row r="283" spans="1:11" x14ac:dyDescent="0.35">
      <c r="A283" s="105" t="s">
        <v>28</v>
      </c>
      <c r="B283" s="105" t="s">
        <v>29</v>
      </c>
      <c r="C283" s="105">
        <v>4</v>
      </c>
      <c r="D283" s="105">
        <v>2</v>
      </c>
      <c r="E283" s="105">
        <v>14</v>
      </c>
      <c r="F283" s="105">
        <v>214</v>
      </c>
      <c r="G283" s="37">
        <v>26</v>
      </c>
      <c r="H283" s="105">
        <v>9</v>
      </c>
      <c r="K283" s="96"/>
    </row>
    <row r="284" spans="1:11" x14ac:dyDescent="0.35">
      <c r="A284" s="105" t="s">
        <v>28</v>
      </c>
      <c r="B284" s="105" t="s">
        <v>32</v>
      </c>
      <c r="C284" s="105">
        <v>4</v>
      </c>
      <c r="D284" s="105">
        <v>3</v>
      </c>
      <c r="E284" s="105">
        <v>14</v>
      </c>
      <c r="F284" s="105">
        <v>314</v>
      </c>
      <c r="G284" s="37">
        <v>27</v>
      </c>
      <c r="H284" s="105">
        <v>9</v>
      </c>
      <c r="K284" s="96"/>
    </row>
    <row r="285" spans="1:11" x14ac:dyDescent="0.35">
      <c r="A285" s="105" t="s">
        <v>28</v>
      </c>
      <c r="B285" s="105" t="s">
        <v>31</v>
      </c>
      <c r="C285" s="105">
        <v>4</v>
      </c>
      <c r="D285" s="105">
        <v>4</v>
      </c>
      <c r="E285" s="105">
        <v>14</v>
      </c>
      <c r="F285" s="105">
        <v>414</v>
      </c>
      <c r="G285" s="37">
        <v>28</v>
      </c>
      <c r="H285" s="105">
        <v>9</v>
      </c>
      <c r="I285" s="43">
        <v>45915</v>
      </c>
      <c r="J285">
        <v>28</v>
      </c>
      <c r="K285" s="96">
        <v>25</v>
      </c>
    </row>
    <row r="286" spans="1:11" x14ac:dyDescent="0.35">
      <c r="A286" s="105" t="s">
        <v>33</v>
      </c>
      <c r="B286" s="105" t="s">
        <v>35</v>
      </c>
      <c r="C286" s="105">
        <v>4</v>
      </c>
      <c r="D286" s="105">
        <v>4</v>
      </c>
      <c r="E286" s="105">
        <v>16</v>
      </c>
      <c r="F286" s="105">
        <v>416</v>
      </c>
      <c r="G286" s="37">
        <v>29</v>
      </c>
      <c r="H286" s="105">
        <v>9</v>
      </c>
    </row>
    <row r="287" spans="1:11" x14ac:dyDescent="0.35">
      <c r="A287" s="105" t="s">
        <v>33</v>
      </c>
      <c r="B287" s="105" t="s">
        <v>29</v>
      </c>
      <c r="C287" s="105">
        <v>4</v>
      </c>
      <c r="D287" s="105">
        <v>3</v>
      </c>
      <c r="E287" s="105">
        <v>16</v>
      </c>
      <c r="F287" s="105">
        <v>316</v>
      </c>
      <c r="G287" s="37">
        <v>30</v>
      </c>
      <c r="H287" s="105">
        <v>9</v>
      </c>
    </row>
    <row r="288" spans="1:11" x14ac:dyDescent="0.35">
      <c r="A288" s="105" t="s">
        <v>33</v>
      </c>
      <c r="B288" s="105" t="s">
        <v>34</v>
      </c>
      <c r="C288" s="105">
        <v>4</v>
      </c>
      <c r="D288" s="105">
        <v>2</v>
      </c>
      <c r="E288" s="105">
        <v>16</v>
      </c>
      <c r="F288" s="105">
        <v>216</v>
      </c>
      <c r="G288" s="37">
        <v>31</v>
      </c>
      <c r="H288" s="105">
        <v>9</v>
      </c>
    </row>
    <row r="289" spans="1:13" x14ac:dyDescent="0.35">
      <c r="A289" s="105" t="s">
        <v>33</v>
      </c>
      <c r="B289" s="105" t="s">
        <v>30</v>
      </c>
      <c r="C289" s="105">
        <v>4</v>
      </c>
      <c r="D289" s="105">
        <v>1</v>
      </c>
      <c r="E289" s="105">
        <v>16</v>
      </c>
      <c r="F289" s="105">
        <v>116</v>
      </c>
      <c r="G289" s="37">
        <v>32</v>
      </c>
      <c r="H289" s="105">
        <v>9</v>
      </c>
    </row>
    <row r="290" spans="1:13" x14ac:dyDescent="0.35">
      <c r="A290" s="105" t="s">
        <v>28</v>
      </c>
      <c r="B290" s="105" t="s">
        <v>29</v>
      </c>
      <c r="C290" s="105">
        <v>1</v>
      </c>
      <c r="D290" s="105">
        <v>1</v>
      </c>
      <c r="E290" s="105">
        <v>2</v>
      </c>
      <c r="F290" s="105">
        <v>102</v>
      </c>
      <c r="G290" s="37">
        <v>1</v>
      </c>
      <c r="H290" s="105">
        <v>10</v>
      </c>
      <c r="M290" s="65"/>
    </row>
    <row r="291" spans="1:13" x14ac:dyDescent="0.35">
      <c r="A291" s="105" t="s">
        <v>28</v>
      </c>
      <c r="B291" s="105" t="s">
        <v>30</v>
      </c>
      <c r="C291" s="105">
        <v>1</v>
      </c>
      <c r="D291" s="105">
        <v>2</v>
      </c>
      <c r="E291" s="105">
        <v>2</v>
      </c>
      <c r="F291" s="105">
        <v>202</v>
      </c>
      <c r="G291" s="37">
        <v>2</v>
      </c>
      <c r="H291" s="105">
        <v>10</v>
      </c>
      <c r="M291" s="65"/>
    </row>
    <row r="292" spans="1:13" x14ac:dyDescent="0.35">
      <c r="A292" s="105" t="s">
        <v>28</v>
      </c>
      <c r="B292" s="105" t="s">
        <v>31</v>
      </c>
      <c r="C292" s="105">
        <v>1</v>
      </c>
      <c r="D292" s="105">
        <v>3</v>
      </c>
      <c r="E292" s="105">
        <v>2</v>
      </c>
      <c r="F292" s="105">
        <v>302</v>
      </c>
      <c r="G292" s="37">
        <v>3</v>
      </c>
      <c r="H292" s="105">
        <v>10</v>
      </c>
      <c r="M292" s="65"/>
    </row>
    <row r="293" spans="1:13" x14ac:dyDescent="0.35">
      <c r="A293" s="105" t="s">
        <v>28</v>
      </c>
      <c r="B293" s="105" t="s">
        <v>32</v>
      </c>
      <c r="C293" s="105">
        <v>1</v>
      </c>
      <c r="D293" s="105">
        <v>4</v>
      </c>
      <c r="E293" s="105">
        <v>2</v>
      </c>
      <c r="F293" s="105">
        <v>402</v>
      </c>
      <c r="G293" s="37">
        <v>4</v>
      </c>
      <c r="H293" s="105">
        <v>10</v>
      </c>
      <c r="I293" s="43">
        <v>45919</v>
      </c>
      <c r="J293" s="96">
        <v>57</v>
      </c>
      <c r="K293" s="96">
        <v>0</v>
      </c>
      <c r="M293" s="44"/>
    </row>
    <row r="294" spans="1:13" x14ac:dyDescent="0.35">
      <c r="A294" s="105" t="s">
        <v>33</v>
      </c>
      <c r="B294" s="105" t="s">
        <v>29</v>
      </c>
      <c r="C294" s="105">
        <v>1</v>
      </c>
      <c r="D294" s="105">
        <v>4</v>
      </c>
      <c r="E294" s="105">
        <v>4</v>
      </c>
      <c r="F294" s="105">
        <v>404</v>
      </c>
      <c r="G294" s="37">
        <v>5</v>
      </c>
      <c r="H294" s="105">
        <v>10</v>
      </c>
      <c r="I294" s="43">
        <v>45919</v>
      </c>
      <c r="J294" s="96">
        <v>32</v>
      </c>
      <c r="K294" s="96">
        <v>7</v>
      </c>
      <c r="M294" s="65"/>
    </row>
    <row r="295" spans="1:13" x14ac:dyDescent="0.35">
      <c r="A295" s="105" t="s">
        <v>33</v>
      </c>
      <c r="B295" s="105" t="s">
        <v>35</v>
      </c>
      <c r="C295" s="105">
        <v>1</v>
      </c>
      <c r="D295" s="105">
        <v>3</v>
      </c>
      <c r="E295" s="105">
        <v>4</v>
      </c>
      <c r="F295" s="105">
        <v>304</v>
      </c>
      <c r="G295" s="37">
        <v>6</v>
      </c>
      <c r="H295" s="105">
        <v>10</v>
      </c>
      <c r="I295" s="43">
        <v>45919</v>
      </c>
      <c r="J295" s="96">
        <v>23</v>
      </c>
      <c r="K295" s="96">
        <v>0</v>
      </c>
      <c r="M295" s="44"/>
    </row>
    <row r="296" spans="1:13" x14ac:dyDescent="0.35">
      <c r="A296" s="105" t="s">
        <v>33</v>
      </c>
      <c r="B296" s="105" t="s">
        <v>30</v>
      </c>
      <c r="C296" s="105">
        <v>1</v>
      </c>
      <c r="D296" s="105">
        <v>2</v>
      </c>
      <c r="E296" s="105">
        <v>4</v>
      </c>
      <c r="F296" s="105">
        <v>204</v>
      </c>
      <c r="G296" s="37">
        <v>7</v>
      </c>
      <c r="H296" s="105">
        <v>10</v>
      </c>
      <c r="I296" s="43">
        <v>45919</v>
      </c>
      <c r="J296" s="96">
        <v>35</v>
      </c>
      <c r="K296" s="96">
        <v>11</v>
      </c>
      <c r="M296" s="65"/>
    </row>
    <row r="297" spans="1:13" x14ac:dyDescent="0.35">
      <c r="A297" s="105" t="s">
        <v>33</v>
      </c>
      <c r="B297" s="105" t="s">
        <v>34</v>
      </c>
      <c r="C297" s="105">
        <v>1</v>
      </c>
      <c r="D297" s="105">
        <v>1</v>
      </c>
      <c r="E297" s="105">
        <v>4</v>
      </c>
      <c r="F297" s="105">
        <v>104</v>
      </c>
      <c r="G297" s="37">
        <v>8</v>
      </c>
      <c r="H297" s="105">
        <v>10</v>
      </c>
      <c r="I297" s="43">
        <v>45919</v>
      </c>
      <c r="J297" s="96">
        <v>19</v>
      </c>
      <c r="K297" s="96">
        <v>9</v>
      </c>
      <c r="M297" s="65"/>
    </row>
    <row r="298" spans="1:13" x14ac:dyDescent="0.35">
      <c r="A298" s="105" t="s">
        <v>28</v>
      </c>
      <c r="B298" s="105" t="s">
        <v>31</v>
      </c>
      <c r="C298" s="105">
        <v>2</v>
      </c>
      <c r="D298" s="105">
        <v>1</v>
      </c>
      <c r="E298" s="105">
        <v>6</v>
      </c>
      <c r="F298" s="105">
        <v>106</v>
      </c>
      <c r="G298" s="37">
        <v>9</v>
      </c>
      <c r="H298" s="105">
        <v>10</v>
      </c>
      <c r="J298" s="96"/>
      <c r="K298" s="96"/>
      <c r="M298" s="65"/>
    </row>
    <row r="299" spans="1:13" x14ac:dyDescent="0.35">
      <c r="A299" s="105" t="s">
        <v>28</v>
      </c>
      <c r="B299" s="105" t="s">
        <v>32</v>
      </c>
      <c r="C299" s="105">
        <v>2</v>
      </c>
      <c r="D299" s="105">
        <v>2</v>
      </c>
      <c r="E299" s="105">
        <v>6</v>
      </c>
      <c r="F299" s="105">
        <v>206</v>
      </c>
      <c r="G299" s="37">
        <v>10</v>
      </c>
      <c r="H299" s="105">
        <v>10</v>
      </c>
      <c r="I299" s="43">
        <v>45919</v>
      </c>
      <c r="J299" s="96">
        <v>38</v>
      </c>
      <c r="K299" s="96">
        <v>0</v>
      </c>
      <c r="M299" s="44"/>
    </row>
    <row r="300" spans="1:13" x14ac:dyDescent="0.35">
      <c r="A300" s="105" t="s">
        <v>28</v>
      </c>
      <c r="B300" s="105" t="s">
        <v>30</v>
      </c>
      <c r="C300" s="105">
        <v>2</v>
      </c>
      <c r="D300" s="105">
        <v>3</v>
      </c>
      <c r="E300" s="105">
        <v>6</v>
      </c>
      <c r="F300" s="105">
        <v>306</v>
      </c>
      <c r="G300" s="37">
        <v>11</v>
      </c>
      <c r="H300" s="105">
        <v>10</v>
      </c>
      <c r="J300" s="96"/>
      <c r="K300" s="96"/>
      <c r="M300" s="65"/>
    </row>
    <row r="301" spans="1:13" x14ac:dyDescent="0.35">
      <c r="A301" s="105" t="s">
        <v>28</v>
      </c>
      <c r="B301" s="105" t="s">
        <v>29</v>
      </c>
      <c r="C301" s="105">
        <v>2</v>
      </c>
      <c r="D301" s="105">
        <v>4</v>
      </c>
      <c r="E301" s="105">
        <v>6</v>
      </c>
      <c r="F301" s="105">
        <v>406</v>
      </c>
      <c r="G301" s="37">
        <v>12</v>
      </c>
      <c r="H301" s="105">
        <v>10</v>
      </c>
      <c r="J301" s="96"/>
      <c r="K301" s="96"/>
      <c r="M301" s="65"/>
    </row>
    <row r="302" spans="1:13" x14ac:dyDescent="0.35">
      <c r="A302" s="105" t="s">
        <v>33</v>
      </c>
      <c r="B302" s="105" t="s">
        <v>34</v>
      </c>
      <c r="C302" s="105">
        <v>2</v>
      </c>
      <c r="D302" s="105">
        <v>4</v>
      </c>
      <c r="E302" s="105">
        <v>8</v>
      </c>
      <c r="F302" s="105">
        <v>408</v>
      </c>
      <c r="G302" s="37">
        <v>13</v>
      </c>
      <c r="H302" s="105">
        <v>10</v>
      </c>
      <c r="I302" s="43">
        <v>45919</v>
      </c>
      <c r="J302" s="96">
        <v>37</v>
      </c>
      <c r="K302" s="96">
        <v>13</v>
      </c>
      <c r="M302" s="65"/>
    </row>
    <row r="303" spans="1:13" x14ac:dyDescent="0.35">
      <c r="A303" s="105" t="s">
        <v>33</v>
      </c>
      <c r="B303" s="105" t="s">
        <v>30</v>
      </c>
      <c r="C303" s="105">
        <v>2</v>
      </c>
      <c r="D303" s="105">
        <v>3</v>
      </c>
      <c r="E303" s="105">
        <v>8</v>
      </c>
      <c r="F303" s="105">
        <v>308</v>
      </c>
      <c r="G303" s="37">
        <v>14</v>
      </c>
      <c r="H303" s="105">
        <v>10</v>
      </c>
      <c r="I303" s="43">
        <v>45919</v>
      </c>
      <c r="J303" s="96">
        <v>33</v>
      </c>
      <c r="K303" s="96">
        <v>7</v>
      </c>
      <c r="M303" s="65"/>
    </row>
    <row r="304" spans="1:13" x14ac:dyDescent="0.35">
      <c r="A304" s="105" t="s">
        <v>33</v>
      </c>
      <c r="B304" s="105" t="s">
        <v>29</v>
      </c>
      <c r="C304" s="105">
        <v>2</v>
      </c>
      <c r="D304" s="105">
        <v>2</v>
      </c>
      <c r="E304" s="105">
        <v>8</v>
      </c>
      <c r="F304" s="105">
        <v>208</v>
      </c>
      <c r="G304" s="37">
        <v>15</v>
      </c>
      <c r="H304" s="105">
        <v>10</v>
      </c>
      <c r="I304" s="43">
        <v>45919</v>
      </c>
      <c r="J304" s="96">
        <v>36</v>
      </c>
      <c r="K304" s="96">
        <v>14</v>
      </c>
      <c r="M304" s="65"/>
    </row>
    <row r="305" spans="1:13" x14ac:dyDescent="0.35">
      <c r="A305" s="105" t="s">
        <v>33</v>
      </c>
      <c r="B305" s="105" t="s">
        <v>35</v>
      </c>
      <c r="C305" s="105">
        <v>2</v>
      </c>
      <c r="D305" s="105">
        <v>1</v>
      </c>
      <c r="E305" s="105">
        <v>8</v>
      </c>
      <c r="F305" s="105">
        <v>108</v>
      </c>
      <c r="G305" s="37">
        <v>16</v>
      </c>
      <c r="H305" s="105">
        <v>10</v>
      </c>
      <c r="I305" s="43">
        <v>45919</v>
      </c>
      <c r="J305" s="96">
        <v>34</v>
      </c>
      <c r="K305" s="96">
        <v>2</v>
      </c>
      <c r="M305" s="44"/>
    </row>
    <row r="306" spans="1:13" x14ac:dyDescent="0.35">
      <c r="A306" s="105" t="s">
        <v>28</v>
      </c>
      <c r="B306" s="105" t="s">
        <v>32</v>
      </c>
      <c r="C306" s="105">
        <v>3</v>
      </c>
      <c r="D306" s="105">
        <v>1</v>
      </c>
      <c r="E306" s="105">
        <v>10</v>
      </c>
      <c r="F306" s="105">
        <v>110</v>
      </c>
      <c r="G306" s="37">
        <v>17</v>
      </c>
      <c r="H306" s="105">
        <v>10</v>
      </c>
      <c r="I306" s="43">
        <v>45919</v>
      </c>
      <c r="J306" s="96">
        <v>47</v>
      </c>
      <c r="K306" s="96">
        <v>0</v>
      </c>
      <c r="M306" s="44"/>
    </row>
    <row r="307" spans="1:13" x14ac:dyDescent="0.35">
      <c r="A307" s="105" t="s">
        <v>28</v>
      </c>
      <c r="B307" s="105" t="s">
        <v>31</v>
      </c>
      <c r="C307" s="105">
        <v>3</v>
      </c>
      <c r="D307" s="105">
        <v>2</v>
      </c>
      <c r="E307" s="105">
        <v>10</v>
      </c>
      <c r="F307" s="105">
        <v>210</v>
      </c>
      <c r="G307" s="37">
        <v>18</v>
      </c>
      <c r="H307" s="105">
        <v>10</v>
      </c>
      <c r="J307" s="96"/>
      <c r="K307" s="96"/>
      <c r="M307" s="65"/>
    </row>
    <row r="308" spans="1:13" x14ac:dyDescent="0.35">
      <c r="A308" s="105" t="s">
        <v>28</v>
      </c>
      <c r="B308" s="105" t="s">
        <v>29</v>
      </c>
      <c r="C308" s="105">
        <v>3</v>
      </c>
      <c r="D308" s="105">
        <v>3</v>
      </c>
      <c r="E308" s="105">
        <v>10</v>
      </c>
      <c r="F308" s="105">
        <v>310</v>
      </c>
      <c r="G308" s="37">
        <v>19</v>
      </c>
      <c r="H308" s="105">
        <v>10</v>
      </c>
      <c r="J308" s="96"/>
      <c r="K308" s="96"/>
      <c r="M308" s="65"/>
    </row>
    <row r="309" spans="1:13" x14ac:dyDescent="0.35">
      <c r="A309" s="105" t="s">
        <v>28</v>
      </c>
      <c r="B309" s="105" t="s">
        <v>30</v>
      </c>
      <c r="C309" s="105">
        <v>3</v>
      </c>
      <c r="D309" s="105">
        <v>4</v>
      </c>
      <c r="E309" s="105">
        <v>10</v>
      </c>
      <c r="F309" s="105">
        <v>410</v>
      </c>
      <c r="G309" s="37">
        <v>20</v>
      </c>
      <c r="H309" s="105">
        <v>10</v>
      </c>
      <c r="J309" s="96"/>
      <c r="K309" s="96"/>
      <c r="M309" s="65"/>
    </row>
    <row r="310" spans="1:13" x14ac:dyDescent="0.35">
      <c r="A310" s="105" t="s">
        <v>33</v>
      </c>
      <c r="B310" s="105" t="s">
        <v>30</v>
      </c>
      <c r="C310" s="105">
        <v>3</v>
      </c>
      <c r="D310" s="105">
        <v>4</v>
      </c>
      <c r="E310" s="105">
        <v>12</v>
      </c>
      <c r="F310" s="105">
        <v>412</v>
      </c>
      <c r="G310" s="37">
        <v>21</v>
      </c>
      <c r="H310" s="105">
        <v>10</v>
      </c>
      <c r="I310" s="43">
        <v>45919</v>
      </c>
      <c r="J310" s="96">
        <v>41</v>
      </c>
      <c r="K310" s="96">
        <v>3</v>
      </c>
      <c r="M310" s="65"/>
    </row>
    <row r="311" spans="1:13" x14ac:dyDescent="0.35">
      <c r="A311" s="105" t="s">
        <v>33</v>
      </c>
      <c r="B311" s="105" t="s">
        <v>34</v>
      </c>
      <c r="C311" s="105">
        <v>3</v>
      </c>
      <c r="D311" s="105">
        <v>3</v>
      </c>
      <c r="E311" s="105">
        <v>12</v>
      </c>
      <c r="F311" s="105">
        <v>312</v>
      </c>
      <c r="G311" s="37">
        <v>22</v>
      </c>
      <c r="H311" s="105">
        <v>10</v>
      </c>
      <c r="I311" s="43">
        <v>45919</v>
      </c>
      <c r="J311" s="96">
        <v>15</v>
      </c>
      <c r="K311" s="96">
        <v>7</v>
      </c>
      <c r="M311" s="65"/>
    </row>
    <row r="312" spans="1:13" x14ac:dyDescent="0.35">
      <c r="A312" s="105" t="s">
        <v>33</v>
      </c>
      <c r="B312" s="105" t="s">
        <v>35</v>
      </c>
      <c r="C312" s="105">
        <v>3</v>
      </c>
      <c r="D312" s="105">
        <v>2</v>
      </c>
      <c r="E312" s="105">
        <v>12</v>
      </c>
      <c r="F312" s="105">
        <v>212</v>
      </c>
      <c r="G312" s="37">
        <v>23</v>
      </c>
      <c r="H312" s="105">
        <v>10</v>
      </c>
      <c r="I312" s="43">
        <v>45919</v>
      </c>
      <c r="J312" s="96">
        <v>33</v>
      </c>
      <c r="K312" s="96">
        <v>0</v>
      </c>
      <c r="M312" s="44"/>
    </row>
    <row r="313" spans="1:13" x14ac:dyDescent="0.35">
      <c r="A313" s="105" t="s">
        <v>33</v>
      </c>
      <c r="B313" s="105" t="s">
        <v>29</v>
      </c>
      <c r="C313" s="105">
        <v>3</v>
      </c>
      <c r="D313" s="105">
        <v>1</v>
      </c>
      <c r="E313" s="105">
        <v>12</v>
      </c>
      <c r="F313" s="105">
        <v>112</v>
      </c>
      <c r="G313" s="37">
        <v>24</v>
      </c>
      <c r="H313" s="105">
        <v>10</v>
      </c>
      <c r="I313" s="43">
        <v>45919</v>
      </c>
      <c r="J313" s="96">
        <v>25</v>
      </c>
      <c r="K313" s="96">
        <v>10</v>
      </c>
      <c r="M313" s="65"/>
    </row>
    <row r="314" spans="1:13" x14ac:dyDescent="0.35">
      <c r="A314" s="105" t="s">
        <v>28</v>
      </c>
      <c r="B314" s="105" t="s">
        <v>30</v>
      </c>
      <c r="C314" s="105">
        <v>4</v>
      </c>
      <c r="D314" s="105">
        <v>1</v>
      </c>
      <c r="E314" s="105">
        <v>14</v>
      </c>
      <c r="F314" s="105">
        <v>114</v>
      </c>
      <c r="G314" s="37">
        <v>25</v>
      </c>
      <c r="H314" s="105">
        <v>10</v>
      </c>
      <c r="J314" s="96"/>
      <c r="K314" s="96"/>
      <c r="M314" s="65"/>
    </row>
    <row r="315" spans="1:13" x14ac:dyDescent="0.35">
      <c r="A315" s="105" t="s">
        <v>28</v>
      </c>
      <c r="B315" s="105" t="s">
        <v>29</v>
      </c>
      <c r="C315" s="105">
        <v>4</v>
      </c>
      <c r="D315" s="105">
        <v>2</v>
      </c>
      <c r="E315" s="105">
        <v>14</v>
      </c>
      <c r="F315" s="105">
        <v>214</v>
      </c>
      <c r="G315" s="37">
        <v>26</v>
      </c>
      <c r="H315" s="105">
        <v>10</v>
      </c>
      <c r="J315" s="96"/>
      <c r="K315" s="96"/>
      <c r="M315" s="65"/>
    </row>
    <row r="316" spans="1:13" x14ac:dyDescent="0.35">
      <c r="A316" s="105" t="s">
        <v>28</v>
      </c>
      <c r="B316" s="105" t="s">
        <v>32</v>
      </c>
      <c r="C316" s="105">
        <v>4</v>
      </c>
      <c r="D316" s="105">
        <v>3</v>
      </c>
      <c r="E316" s="105">
        <v>14</v>
      </c>
      <c r="F316" s="105">
        <v>314</v>
      </c>
      <c r="G316" s="37">
        <v>27</v>
      </c>
      <c r="H316" s="105">
        <v>10</v>
      </c>
      <c r="I316" s="43">
        <v>45919</v>
      </c>
      <c r="J316" s="96">
        <v>28</v>
      </c>
      <c r="K316" s="96"/>
      <c r="M316" s="44"/>
    </row>
    <row r="317" spans="1:13" x14ac:dyDescent="0.35">
      <c r="A317" s="105" t="s">
        <v>28</v>
      </c>
      <c r="B317" s="105" t="s">
        <v>31</v>
      </c>
      <c r="C317" s="105">
        <v>4</v>
      </c>
      <c r="D317" s="105">
        <v>4</v>
      </c>
      <c r="E317" s="105">
        <v>14</v>
      </c>
      <c r="F317" s="105">
        <v>414</v>
      </c>
      <c r="G317" s="37">
        <v>28</v>
      </c>
      <c r="H317" s="105">
        <v>10</v>
      </c>
      <c r="J317" s="96"/>
      <c r="K317" s="96"/>
      <c r="M317" s="65"/>
    </row>
    <row r="318" spans="1:13" x14ac:dyDescent="0.35">
      <c r="A318" s="105" t="s">
        <v>33</v>
      </c>
      <c r="B318" s="105" t="s">
        <v>35</v>
      </c>
      <c r="C318" s="105">
        <v>4</v>
      </c>
      <c r="D318" s="105">
        <v>4</v>
      </c>
      <c r="E318" s="105">
        <v>16</v>
      </c>
      <c r="F318" s="105">
        <v>416</v>
      </c>
      <c r="G318" s="37">
        <v>29</v>
      </c>
      <c r="H318" s="105">
        <v>10</v>
      </c>
      <c r="I318" s="43">
        <v>45919</v>
      </c>
      <c r="J318" s="96">
        <v>46</v>
      </c>
      <c r="K318" s="96">
        <v>0</v>
      </c>
      <c r="M318" s="44"/>
    </row>
    <row r="319" spans="1:13" x14ac:dyDescent="0.35">
      <c r="A319" s="105" t="s">
        <v>33</v>
      </c>
      <c r="B319" s="105" t="s">
        <v>29</v>
      </c>
      <c r="C319" s="105">
        <v>4</v>
      </c>
      <c r="D319" s="105">
        <v>3</v>
      </c>
      <c r="E319" s="105">
        <v>16</v>
      </c>
      <c r="F319" s="105">
        <v>316</v>
      </c>
      <c r="G319" s="37">
        <v>30</v>
      </c>
      <c r="H319" s="105">
        <v>10</v>
      </c>
      <c r="I319" s="43">
        <v>45919</v>
      </c>
      <c r="J319" s="96">
        <v>45</v>
      </c>
      <c r="K319" s="96">
        <v>2</v>
      </c>
      <c r="M319" s="65"/>
    </row>
    <row r="320" spans="1:13" x14ac:dyDescent="0.35">
      <c r="A320" s="105" t="s">
        <v>33</v>
      </c>
      <c r="B320" s="105" t="s">
        <v>34</v>
      </c>
      <c r="C320" s="105">
        <v>4</v>
      </c>
      <c r="D320" s="105">
        <v>2</v>
      </c>
      <c r="E320" s="105">
        <v>16</v>
      </c>
      <c r="F320" s="105">
        <v>216</v>
      </c>
      <c r="G320" s="37">
        <v>31</v>
      </c>
      <c r="H320" s="105">
        <v>10</v>
      </c>
      <c r="I320" s="43">
        <v>45919</v>
      </c>
      <c r="J320" s="96">
        <v>27</v>
      </c>
      <c r="K320" s="96">
        <v>12</v>
      </c>
      <c r="M320" s="65"/>
    </row>
    <row r="321" spans="1:13" x14ac:dyDescent="0.35">
      <c r="A321" s="105" t="s">
        <v>33</v>
      </c>
      <c r="B321" s="105" t="s">
        <v>30</v>
      </c>
      <c r="C321" s="105">
        <v>4</v>
      </c>
      <c r="D321" s="105">
        <v>1</v>
      </c>
      <c r="E321" s="105">
        <v>16</v>
      </c>
      <c r="F321" s="105">
        <v>116</v>
      </c>
      <c r="G321" s="37">
        <v>32</v>
      </c>
      <c r="H321" s="105">
        <v>10</v>
      </c>
      <c r="I321" s="43">
        <v>45919</v>
      </c>
      <c r="J321" s="96">
        <v>38</v>
      </c>
      <c r="K321" s="96">
        <v>14</v>
      </c>
      <c r="M321" s="65"/>
    </row>
    <row r="322" spans="1:13" x14ac:dyDescent="0.35">
      <c r="A322" s="105" t="s">
        <v>28</v>
      </c>
      <c r="B322" s="105" t="s">
        <v>29</v>
      </c>
      <c r="C322" s="105">
        <v>1</v>
      </c>
      <c r="D322" s="105">
        <v>1</v>
      </c>
      <c r="E322" s="105">
        <v>2</v>
      </c>
      <c r="F322" s="105">
        <v>102</v>
      </c>
      <c r="G322" s="37">
        <v>1</v>
      </c>
      <c r="H322" s="105">
        <v>11</v>
      </c>
    </row>
    <row r="323" spans="1:13" x14ac:dyDescent="0.35">
      <c r="A323" s="105" t="s">
        <v>28</v>
      </c>
      <c r="B323" s="105" t="s">
        <v>30</v>
      </c>
      <c r="C323" s="105">
        <v>1</v>
      </c>
      <c r="D323" s="105">
        <v>2</v>
      </c>
      <c r="E323" s="105">
        <v>2</v>
      </c>
      <c r="F323" s="105">
        <v>202</v>
      </c>
      <c r="G323" s="37">
        <v>2</v>
      </c>
      <c r="H323" s="105">
        <v>11</v>
      </c>
    </row>
    <row r="324" spans="1:13" x14ac:dyDescent="0.35">
      <c r="A324" s="105" t="s">
        <v>28</v>
      </c>
      <c r="B324" s="105" t="s">
        <v>31</v>
      </c>
      <c r="C324" s="105">
        <v>1</v>
      </c>
      <c r="D324" s="105">
        <v>3</v>
      </c>
      <c r="E324" s="105">
        <v>2</v>
      </c>
      <c r="F324" s="105">
        <v>302</v>
      </c>
      <c r="G324" s="37">
        <v>3</v>
      </c>
      <c r="H324" s="105">
        <v>11</v>
      </c>
    </row>
    <row r="325" spans="1:13" x14ac:dyDescent="0.35">
      <c r="A325" s="105" t="s">
        <v>28</v>
      </c>
      <c r="B325" s="105" t="s">
        <v>32</v>
      </c>
      <c r="C325" s="105">
        <v>1</v>
      </c>
      <c r="D325" s="105">
        <v>4</v>
      </c>
      <c r="E325" s="105">
        <v>2</v>
      </c>
      <c r="F325" s="105">
        <v>402</v>
      </c>
      <c r="G325" s="37">
        <v>4</v>
      </c>
      <c r="H325" s="105">
        <v>11</v>
      </c>
    </row>
    <row r="326" spans="1:13" x14ac:dyDescent="0.35">
      <c r="A326" s="105" t="s">
        <v>33</v>
      </c>
      <c r="B326" s="105" t="s">
        <v>29</v>
      </c>
      <c r="C326" s="105">
        <v>1</v>
      </c>
      <c r="D326" s="105">
        <v>4</v>
      </c>
      <c r="E326" s="105">
        <v>4</v>
      </c>
      <c r="F326" s="105">
        <v>404</v>
      </c>
      <c r="G326" s="37">
        <v>5</v>
      </c>
      <c r="H326" s="105">
        <v>11</v>
      </c>
      <c r="I326" s="43">
        <v>45922</v>
      </c>
      <c r="J326" s="96">
        <v>32</v>
      </c>
      <c r="K326" s="96">
        <v>20</v>
      </c>
    </row>
    <row r="327" spans="1:13" x14ac:dyDescent="0.35">
      <c r="A327" s="105" t="s">
        <v>33</v>
      </c>
      <c r="B327" s="105" t="s">
        <v>35</v>
      </c>
      <c r="C327" s="105">
        <v>1</v>
      </c>
      <c r="D327" s="105">
        <v>3</v>
      </c>
      <c r="E327" s="105">
        <v>4</v>
      </c>
      <c r="F327" s="105">
        <v>304</v>
      </c>
      <c r="G327" s="37">
        <v>6</v>
      </c>
      <c r="H327" s="105">
        <v>11</v>
      </c>
      <c r="K327" s="96"/>
    </row>
    <row r="328" spans="1:13" x14ac:dyDescent="0.35">
      <c r="A328" s="105" t="s">
        <v>33</v>
      </c>
      <c r="B328" s="105" t="s">
        <v>30</v>
      </c>
      <c r="C328" s="105">
        <v>1</v>
      </c>
      <c r="D328" s="105">
        <v>2</v>
      </c>
      <c r="E328" s="105">
        <v>4</v>
      </c>
      <c r="F328" s="105">
        <v>204</v>
      </c>
      <c r="G328" s="37">
        <v>7</v>
      </c>
      <c r="H328" s="105">
        <v>11</v>
      </c>
      <c r="I328" s="43">
        <v>45922</v>
      </c>
      <c r="J328" s="96">
        <v>35</v>
      </c>
      <c r="K328" s="96">
        <v>21</v>
      </c>
    </row>
    <row r="329" spans="1:13" x14ac:dyDescent="0.35">
      <c r="A329" s="105" t="s">
        <v>33</v>
      </c>
      <c r="B329" s="105" t="s">
        <v>34</v>
      </c>
      <c r="C329" s="105">
        <v>1</v>
      </c>
      <c r="D329" s="105">
        <v>1</v>
      </c>
      <c r="E329" s="105">
        <v>4</v>
      </c>
      <c r="F329" s="105">
        <v>104</v>
      </c>
      <c r="G329" s="37">
        <v>8</v>
      </c>
      <c r="H329" s="105">
        <v>11</v>
      </c>
      <c r="I329" s="43">
        <v>45922</v>
      </c>
      <c r="J329" s="96">
        <v>19</v>
      </c>
      <c r="K329" s="96">
        <v>12</v>
      </c>
    </row>
    <row r="330" spans="1:13" x14ac:dyDescent="0.35">
      <c r="A330" s="105" t="s">
        <v>28</v>
      </c>
      <c r="B330" s="105" t="s">
        <v>31</v>
      </c>
      <c r="C330" s="105">
        <v>2</v>
      </c>
      <c r="D330" s="105">
        <v>1</v>
      </c>
      <c r="E330" s="105">
        <v>6</v>
      </c>
      <c r="F330" s="105">
        <v>106</v>
      </c>
      <c r="G330" s="37">
        <v>9</v>
      </c>
      <c r="H330" s="105">
        <v>11</v>
      </c>
      <c r="K330" s="96"/>
    </row>
    <row r="331" spans="1:13" x14ac:dyDescent="0.35">
      <c r="A331" s="105" t="s">
        <v>28</v>
      </c>
      <c r="B331" s="105" t="s">
        <v>32</v>
      </c>
      <c r="C331" s="105">
        <v>2</v>
      </c>
      <c r="D331" s="105">
        <v>2</v>
      </c>
      <c r="E331" s="105">
        <v>6</v>
      </c>
      <c r="F331" s="105">
        <v>206</v>
      </c>
      <c r="G331" s="37">
        <v>10</v>
      </c>
      <c r="H331" s="105">
        <v>11</v>
      </c>
      <c r="K331" s="96"/>
    </row>
    <row r="332" spans="1:13" x14ac:dyDescent="0.35">
      <c r="A332" s="105" t="s">
        <v>28</v>
      </c>
      <c r="B332" s="105" t="s">
        <v>30</v>
      </c>
      <c r="C332" s="105">
        <v>2</v>
      </c>
      <c r="D332" s="105">
        <v>3</v>
      </c>
      <c r="E332" s="105">
        <v>6</v>
      </c>
      <c r="F332" s="105">
        <v>306</v>
      </c>
      <c r="G332" s="37">
        <v>11</v>
      </c>
      <c r="H332" s="105">
        <v>11</v>
      </c>
      <c r="K332" s="96"/>
    </row>
    <row r="333" spans="1:13" x14ac:dyDescent="0.35">
      <c r="A333" s="105" t="s">
        <v>28</v>
      </c>
      <c r="B333" s="105" t="s">
        <v>29</v>
      </c>
      <c r="C333" s="105">
        <v>2</v>
      </c>
      <c r="D333" s="105">
        <v>4</v>
      </c>
      <c r="E333" s="105">
        <v>6</v>
      </c>
      <c r="F333" s="105">
        <v>406</v>
      </c>
      <c r="G333" s="37">
        <v>12</v>
      </c>
      <c r="H333" s="105">
        <v>11</v>
      </c>
      <c r="K333" s="96"/>
    </row>
    <row r="334" spans="1:13" x14ac:dyDescent="0.35">
      <c r="A334" s="105" t="s">
        <v>33</v>
      </c>
      <c r="B334" s="105" t="s">
        <v>34</v>
      </c>
      <c r="C334" s="105">
        <v>2</v>
      </c>
      <c r="D334" s="105">
        <v>4</v>
      </c>
      <c r="E334" s="105">
        <v>8</v>
      </c>
      <c r="F334" s="105">
        <v>408</v>
      </c>
      <c r="G334" s="37">
        <v>13</v>
      </c>
      <c r="H334" s="105">
        <v>11</v>
      </c>
      <c r="I334" s="43">
        <v>45922</v>
      </c>
      <c r="J334" s="96">
        <v>37</v>
      </c>
      <c r="K334" s="96">
        <v>20</v>
      </c>
    </row>
    <row r="335" spans="1:13" x14ac:dyDescent="0.35">
      <c r="A335" s="105" t="s">
        <v>33</v>
      </c>
      <c r="B335" s="105" t="s">
        <v>30</v>
      </c>
      <c r="C335" s="105">
        <v>2</v>
      </c>
      <c r="D335" s="105">
        <v>3</v>
      </c>
      <c r="E335" s="105">
        <v>8</v>
      </c>
      <c r="F335" s="105">
        <v>308</v>
      </c>
      <c r="G335" s="37">
        <v>14</v>
      </c>
      <c r="H335" s="105">
        <v>11</v>
      </c>
      <c r="I335" s="43">
        <v>45922</v>
      </c>
      <c r="J335" s="96">
        <v>33</v>
      </c>
      <c r="K335" s="96">
        <v>16</v>
      </c>
    </row>
    <row r="336" spans="1:13" x14ac:dyDescent="0.35">
      <c r="A336" s="105" t="s">
        <v>33</v>
      </c>
      <c r="B336" s="105" t="s">
        <v>29</v>
      </c>
      <c r="C336" s="105">
        <v>2</v>
      </c>
      <c r="D336" s="105">
        <v>2</v>
      </c>
      <c r="E336" s="105">
        <v>8</v>
      </c>
      <c r="F336" s="105">
        <v>208</v>
      </c>
      <c r="G336" s="37">
        <v>15</v>
      </c>
      <c r="H336" s="105">
        <v>11</v>
      </c>
      <c r="I336" s="43">
        <v>45922</v>
      </c>
      <c r="J336" s="96">
        <v>36</v>
      </c>
      <c r="K336" s="96">
        <v>31</v>
      </c>
    </row>
    <row r="337" spans="1:11" x14ac:dyDescent="0.35">
      <c r="A337" s="105" t="s">
        <v>33</v>
      </c>
      <c r="B337" s="105" t="s">
        <v>35</v>
      </c>
      <c r="C337" s="105">
        <v>2</v>
      </c>
      <c r="D337" s="105">
        <v>1</v>
      </c>
      <c r="E337" s="105">
        <v>8</v>
      </c>
      <c r="F337" s="105">
        <v>108</v>
      </c>
      <c r="G337" s="37">
        <v>16</v>
      </c>
      <c r="H337" s="105">
        <v>11</v>
      </c>
      <c r="K337" s="96"/>
    </row>
    <row r="338" spans="1:11" x14ac:dyDescent="0.35">
      <c r="A338" s="105" t="s">
        <v>28</v>
      </c>
      <c r="B338" s="105" t="s">
        <v>32</v>
      </c>
      <c r="C338" s="105">
        <v>3</v>
      </c>
      <c r="D338" s="105">
        <v>1</v>
      </c>
      <c r="E338" s="105">
        <v>10</v>
      </c>
      <c r="F338" s="105">
        <v>110</v>
      </c>
      <c r="G338" s="37">
        <v>17</v>
      </c>
      <c r="H338" s="105">
        <v>11</v>
      </c>
      <c r="K338" s="96"/>
    </row>
    <row r="339" spans="1:11" x14ac:dyDescent="0.35">
      <c r="A339" s="105" t="s">
        <v>28</v>
      </c>
      <c r="B339" s="105" t="s">
        <v>31</v>
      </c>
      <c r="C339" s="105">
        <v>3</v>
      </c>
      <c r="D339" s="105">
        <v>2</v>
      </c>
      <c r="E339" s="105">
        <v>10</v>
      </c>
      <c r="F339" s="105">
        <v>210</v>
      </c>
      <c r="G339" s="37">
        <v>18</v>
      </c>
      <c r="H339" s="105">
        <v>11</v>
      </c>
      <c r="K339" s="96"/>
    </row>
    <row r="340" spans="1:11" x14ac:dyDescent="0.35">
      <c r="A340" s="105" t="s">
        <v>28</v>
      </c>
      <c r="B340" s="105" t="s">
        <v>29</v>
      </c>
      <c r="C340" s="105">
        <v>3</v>
      </c>
      <c r="D340" s="105">
        <v>3</v>
      </c>
      <c r="E340" s="105">
        <v>10</v>
      </c>
      <c r="F340" s="105">
        <v>310</v>
      </c>
      <c r="G340" s="37">
        <v>19</v>
      </c>
      <c r="H340" s="105">
        <v>11</v>
      </c>
      <c r="K340" s="96"/>
    </row>
    <row r="341" spans="1:11" x14ac:dyDescent="0.35">
      <c r="A341" s="105" t="s">
        <v>28</v>
      </c>
      <c r="B341" s="105" t="s">
        <v>30</v>
      </c>
      <c r="C341" s="105">
        <v>3</v>
      </c>
      <c r="D341" s="105">
        <v>4</v>
      </c>
      <c r="E341" s="105">
        <v>10</v>
      </c>
      <c r="F341" s="105">
        <v>410</v>
      </c>
      <c r="G341" s="37">
        <v>20</v>
      </c>
      <c r="H341" s="105">
        <v>11</v>
      </c>
      <c r="K341" s="96"/>
    </row>
    <row r="342" spans="1:11" x14ac:dyDescent="0.35">
      <c r="A342" s="105" t="s">
        <v>33</v>
      </c>
      <c r="B342" s="105" t="s">
        <v>30</v>
      </c>
      <c r="C342" s="105">
        <v>3</v>
      </c>
      <c r="D342" s="105">
        <v>4</v>
      </c>
      <c r="E342" s="105">
        <v>12</v>
      </c>
      <c r="F342" s="105">
        <v>412</v>
      </c>
      <c r="G342" s="37">
        <v>21</v>
      </c>
      <c r="H342" s="105">
        <v>11</v>
      </c>
      <c r="I342" s="43">
        <v>45922</v>
      </c>
      <c r="J342" s="96">
        <v>41</v>
      </c>
      <c r="K342" s="96">
        <v>15</v>
      </c>
    </row>
    <row r="343" spans="1:11" x14ac:dyDescent="0.35">
      <c r="A343" s="105" t="s">
        <v>33</v>
      </c>
      <c r="B343" s="105" t="s">
        <v>34</v>
      </c>
      <c r="C343" s="105">
        <v>3</v>
      </c>
      <c r="D343" s="105">
        <v>3</v>
      </c>
      <c r="E343" s="105">
        <v>12</v>
      </c>
      <c r="F343" s="105">
        <v>312</v>
      </c>
      <c r="G343" s="37">
        <v>22</v>
      </c>
      <c r="H343" s="105">
        <v>11</v>
      </c>
      <c r="I343" s="43">
        <v>45922</v>
      </c>
      <c r="J343" s="96">
        <v>15</v>
      </c>
      <c r="K343" s="96">
        <v>11</v>
      </c>
    </row>
    <row r="344" spans="1:11" x14ac:dyDescent="0.35">
      <c r="A344" s="105" t="s">
        <v>33</v>
      </c>
      <c r="B344" s="105" t="s">
        <v>35</v>
      </c>
      <c r="C344" s="105">
        <v>3</v>
      </c>
      <c r="D344" s="105">
        <v>2</v>
      </c>
      <c r="E344" s="105">
        <v>12</v>
      </c>
      <c r="F344" s="105">
        <v>212</v>
      </c>
      <c r="G344" s="37">
        <v>23</v>
      </c>
      <c r="H344" s="105">
        <v>11</v>
      </c>
      <c r="K344" s="96"/>
    </row>
    <row r="345" spans="1:11" x14ac:dyDescent="0.35">
      <c r="A345" s="105" t="s">
        <v>33</v>
      </c>
      <c r="B345" s="105" t="s">
        <v>29</v>
      </c>
      <c r="C345" s="105">
        <v>3</v>
      </c>
      <c r="D345" s="105">
        <v>1</v>
      </c>
      <c r="E345" s="105">
        <v>12</v>
      </c>
      <c r="F345" s="105">
        <v>112</v>
      </c>
      <c r="G345" s="37">
        <v>24</v>
      </c>
      <c r="H345" s="105">
        <v>11</v>
      </c>
      <c r="I345" s="43">
        <v>45922</v>
      </c>
      <c r="J345" s="96">
        <v>25</v>
      </c>
      <c r="K345" s="96">
        <v>18</v>
      </c>
    </row>
    <row r="346" spans="1:11" x14ac:dyDescent="0.35">
      <c r="A346" s="105" t="s">
        <v>28</v>
      </c>
      <c r="B346" s="105" t="s">
        <v>30</v>
      </c>
      <c r="C346" s="105">
        <v>4</v>
      </c>
      <c r="D346" s="105">
        <v>1</v>
      </c>
      <c r="E346" s="105">
        <v>14</v>
      </c>
      <c r="F346" s="105">
        <v>114</v>
      </c>
      <c r="G346" s="37">
        <v>25</v>
      </c>
      <c r="H346" s="105">
        <v>11</v>
      </c>
      <c r="K346" s="96"/>
    </row>
    <row r="347" spans="1:11" x14ac:dyDescent="0.35">
      <c r="A347" s="105" t="s">
        <v>28</v>
      </c>
      <c r="B347" s="105" t="s">
        <v>29</v>
      </c>
      <c r="C347" s="105">
        <v>4</v>
      </c>
      <c r="D347" s="105">
        <v>2</v>
      </c>
      <c r="E347" s="105">
        <v>14</v>
      </c>
      <c r="F347" s="105">
        <v>214</v>
      </c>
      <c r="G347" s="37">
        <v>26</v>
      </c>
      <c r="H347" s="105">
        <v>11</v>
      </c>
      <c r="K347" s="96"/>
    </row>
    <row r="348" spans="1:11" x14ac:dyDescent="0.35">
      <c r="A348" s="105" t="s">
        <v>28</v>
      </c>
      <c r="B348" s="105" t="s">
        <v>32</v>
      </c>
      <c r="C348" s="105">
        <v>4</v>
      </c>
      <c r="D348" s="105">
        <v>3</v>
      </c>
      <c r="E348" s="105">
        <v>14</v>
      </c>
      <c r="F348" s="105">
        <v>314</v>
      </c>
      <c r="G348" s="37">
        <v>27</v>
      </c>
      <c r="H348" s="105">
        <v>11</v>
      </c>
      <c r="K348" s="96"/>
    </row>
    <row r="349" spans="1:11" x14ac:dyDescent="0.35">
      <c r="A349" s="105" t="s">
        <v>28</v>
      </c>
      <c r="B349" s="105" t="s">
        <v>31</v>
      </c>
      <c r="C349" s="105">
        <v>4</v>
      </c>
      <c r="D349" s="105">
        <v>4</v>
      </c>
      <c r="E349" s="105">
        <v>14</v>
      </c>
      <c r="F349" s="105">
        <v>414</v>
      </c>
      <c r="G349" s="37">
        <v>28</v>
      </c>
      <c r="H349" s="105">
        <v>11</v>
      </c>
      <c r="K349" s="96"/>
    </row>
    <row r="350" spans="1:11" x14ac:dyDescent="0.35">
      <c r="A350" s="105" t="s">
        <v>33</v>
      </c>
      <c r="B350" s="105" t="s">
        <v>35</v>
      </c>
      <c r="C350" s="105">
        <v>4</v>
      </c>
      <c r="D350" s="105">
        <v>4</v>
      </c>
      <c r="E350" s="105">
        <v>16</v>
      </c>
      <c r="F350" s="105">
        <v>416</v>
      </c>
      <c r="G350" s="37">
        <v>29</v>
      </c>
      <c r="H350" s="105">
        <v>11</v>
      </c>
      <c r="K350" s="96"/>
    </row>
    <row r="351" spans="1:11" x14ac:dyDescent="0.35">
      <c r="A351" s="105" t="s">
        <v>33</v>
      </c>
      <c r="B351" s="105" t="s">
        <v>29</v>
      </c>
      <c r="C351" s="105">
        <v>4</v>
      </c>
      <c r="D351" s="105">
        <v>3</v>
      </c>
      <c r="E351" s="105">
        <v>16</v>
      </c>
      <c r="F351" s="105">
        <v>316</v>
      </c>
      <c r="G351" s="37">
        <v>30</v>
      </c>
      <c r="H351" s="105">
        <v>11</v>
      </c>
      <c r="I351" s="43">
        <v>45922</v>
      </c>
      <c r="J351" s="96">
        <v>45</v>
      </c>
      <c r="K351" s="96">
        <v>11</v>
      </c>
    </row>
    <row r="352" spans="1:11" x14ac:dyDescent="0.35">
      <c r="A352" s="105" t="s">
        <v>33</v>
      </c>
      <c r="B352" s="105" t="s">
        <v>34</v>
      </c>
      <c r="C352" s="105">
        <v>4</v>
      </c>
      <c r="D352" s="105">
        <v>2</v>
      </c>
      <c r="E352" s="105">
        <v>16</v>
      </c>
      <c r="F352" s="105">
        <v>216</v>
      </c>
      <c r="G352" s="37">
        <v>31</v>
      </c>
      <c r="H352" s="105">
        <v>11</v>
      </c>
      <c r="I352" s="43">
        <v>45922</v>
      </c>
      <c r="J352" s="96">
        <v>27</v>
      </c>
      <c r="K352" s="96">
        <v>20</v>
      </c>
    </row>
    <row r="353" spans="1:11" x14ac:dyDescent="0.35">
      <c r="A353" s="105" t="s">
        <v>33</v>
      </c>
      <c r="B353" s="105" t="s">
        <v>30</v>
      </c>
      <c r="C353" s="105">
        <v>4</v>
      </c>
      <c r="D353" s="105">
        <v>1</v>
      </c>
      <c r="E353" s="105">
        <v>16</v>
      </c>
      <c r="F353" s="105">
        <v>116</v>
      </c>
      <c r="G353" s="37">
        <v>32</v>
      </c>
      <c r="H353" s="105">
        <v>11</v>
      </c>
      <c r="I353" s="43">
        <v>45922</v>
      </c>
      <c r="J353" s="96">
        <v>38</v>
      </c>
      <c r="K353" s="96">
        <v>28</v>
      </c>
    </row>
    <row r="354" spans="1:11" x14ac:dyDescent="0.35">
      <c r="A354" s="105" t="s">
        <v>28</v>
      </c>
      <c r="B354" s="105" t="s">
        <v>29</v>
      </c>
      <c r="C354" s="105">
        <v>1</v>
      </c>
      <c r="D354" s="105">
        <v>1</v>
      </c>
      <c r="E354" s="105">
        <v>2</v>
      </c>
      <c r="F354" s="105">
        <v>102</v>
      </c>
      <c r="G354" s="37">
        <v>1</v>
      </c>
      <c r="H354" s="105">
        <v>12</v>
      </c>
    </row>
    <row r="355" spans="1:11" x14ac:dyDescent="0.35">
      <c r="A355" s="105" t="s">
        <v>28</v>
      </c>
      <c r="B355" s="105" t="s">
        <v>30</v>
      </c>
      <c r="C355" s="105">
        <v>1</v>
      </c>
      <c r="D355" s="105">
        <v>2</v>
      </c>
      <c r="E355" s="105">
        <v>2</v>
      </c>
      <c r="F355" s="105">
        <v>202</v>
      </c>
      <c r="G355" s="37">
        <v>2</v>
      </c>
      <c r="H355" s="105">
        <v>12</v>
      </c>
    </row>
    <row r="356" spans="1:11" x14ac:dyDescent="0.35">
      <c r="A356" s="105" t="s">
        <v>28</v>
      </c>
      <c r="B356" s="105" t="s">
        <v>31</v>
      </c>
      <c r="C356" s="105">
        <v>1</v>
      </c>
      <c r="D356" s="105">
        <v>3</v>
      </c>
      <c r="E356" s="105">
        <v>2</v>
      </c>
      <c r="F356" s="105">
        <v>302</v>
      </c>
      <c r="G356" s="37">
        <v>3</v>
      </c>
      <c r="H356" s="105">
        <v>12</v>
      </c>
    </row>
    <row r="357" spans="1:11" x14ac:dyDescent="0.35">
      <c r="A357" s="105" t="s">
        <v>28</v>
      </c>
      <c r="B357" s="105" t="s">
        <v>32</v>
      </c>
      <c r="C357" s="105">
        <v>1</v>
      </c>
      <c r="D357" s="105">
        <v>4</v>
      </c>
      <c r="E357" s="105">
        <v>2</v>
      </c>
      <c r="F357" s="105">
        <v>402</v>
      </c>
      <c r="G357" s="37">
        <v>4</v>
      </c>
      <c r="H357" s="105">
        <v>12</v>
      </c>
      <c r="I357" s="43">
        <v>45923</v>
      </c>
      <c r="J357" s="96">
        <v>57</v>
      </c>
      <c r="K357" s="96">
        <v>3</v>
      </c>
    </row>
    <row r="358" spans="1:11" x14ac:dyDescent="0.35">
      <c r="A358" s="105" t="s">
        <v>33</v>
      </c>
      <c r="B358" s="105" t="s">
        <v>29</v>
      </c>
      <c r="C358" s="105">
        <v>1</v>
      </c>
      <c r="D358" s="105">
        <v>4</v>
      </c>
      <c r="E358" s="105">
        <v>4</v>
      </c>
      <c r="F358" s="105">
        <v>404</v>
      </c>
      <c r="G358" s="37">
        <v>5</v>
      </c>
      <c r="H358" s="105">
        <v>12</v>
      </c>
      <c r="K358" s="96"/>
    </row>
    <row r="359" spans="1:11" x14ac:dyDescent="0.35">
      <c r="A359" s="105" t="s">
        <v>33</v>
      </c>
      <c r="B359" s="105" t="s">
        <v>35</v>
      </c>
      <c r="C359" s="105">
        <v>1</v>
      </c>
      <c r="D359" s="105">
        <v>3</v>
      </c>
      <c r="E359" s="105">
        <v>4</v>
      </c>
      <c r="F359" s="105">
        <v>304</v>
      </c>
      <c r="G359" s="37">
        <v>6</v>
      </c>
      <c r="H359" s="105">
        <v>12</v>
      </c>
      <c r="I359" s="43">
        <v>45923</v>
      </c>
      <c r="J359" s="96">
        <v>23</v>
      </c>
      <c r="K359" s="96">
        <v>3</v>
      </c>
    </row>
    <row r="360" spans="1:11" x14ac:dyDescent="0.35">
      <c r="A360" s="105" t="s">
        <v>33</v>
      </c>
      <c r="B360" s="105" t="s">
        <v>30</v>
      </c>
      <c r="C360" s="105">
        <v>1</v>
      </c>
      <c r="D360" s="105">
        <v>2</v>
      </c>
      <c r="E360" s="105">
        <v>4</v>
      </c>
      <c r="F360" s="105">
        <v>204</v>
      </c>
      <c r="G360" s="37">
        <v>7</v>
      </c>
      <c r="H360" s="105">
        <v>12</v>
      </c>
      <c r="K360" s="96"/>
    </row>
    <row r="361" spans="1:11" x14ac:dyDescent="0.35">
      <c r="A361" s="105" t="s">
        <v>33</v>
      </c>
      <c r="B361" s="105" t="s">
        <v>34</v>
      </c>
      <c r="C361" s="105">
        <v>1</v>
      </c>
      <c r="D361" s="105">
        <v>1</v>
      </c>
      <c r="E361" s="105">
        <v>4</v>
      </c>
      <c r="F361" s="105">
        <v>104</v>
      </c>
      <c r="G361" s="37">
        <v>8</v>
      </c>
      <c r="H361" s="105">
        <v>12</v>
      </c>
      <c r="K361" s="96"/>
    </row>
    <row r="362" spans="1:11" x14ac:dyDescent="0.35">
      <c r="A362" s="105" t="s">
        <v>28</v>
      </c>
      <c r="B362" s="105" t="s">
        <v>31</v>
      </c>
      <c r="C362" s="105">
        <v>2</v>
      </c>
      <c r="D362" s="105">
        <v>1</v>
      </c>
      <c r="E362" s="105">
        <v>6</v>
      </c>
      <c r="F362" s="105">
        <v>106</v>
      </c>
      <c r="G362" s="37">
        <v>9</v>
      </c>
      <c r="H362" s="105">
        <v>12</v>
      </c>
      <c r="K362" s="96"/>
    </row>
    <row r="363" spans="1:11" x14ac:dyDescent="0.35">
      <c r="A363" s="105" t="s">
        <v>28</v>
      </c>
      <c r="B363" s="105" t="s">
        <v>32</v>
      </c>
      <c r="C363" s="105">
        <v>2</v>
      </c>
      <c r="D363" s="105">
        <v>2</v>
      </c>
      <c r="E363" s="105">
        <v>6</v>
      </c>
      <c r="F363" s="105">
        <v>206</v>
      </c>
      <c r="G363" s="37">
        <v>10</v>
      </c>
      <c r="H363" s="105">
        <v>12</v>
      </c>
      <c r="I363" s="43">
        <v>45923</v>
      </c>
      <c r="J363" s="96">
        <v>38</v>
      </c>
      <c r="K363" s="96">
        <v>0</v>
      </c>
    </row>
    <row r="364" spans="1:11" x14ac:dyDescent="0.35">
      <c r="A364" s="105" t="s">
        <v>28</v>
      </c>
      <c r="B364" s="105" t="s">
        <v>30</v>
      </c>
      <c r="C364" s="105">
        <v>2</v>
      </c>
      <c r="D364" s="105">
        <v>3</v>
      </c>
      <c r="E364" s="105">
        <v>6</v>
      </c>
      <c r="F364" s="105">
        <v>306</v>
      </c>
      <c r="G364" s="37">
        <v>11</v>
      </c>
      <c r="H364" s="105">
        <v>12</v>
      </c>
      <c r="K364" s="96"/>
    </row>
    <row r="365" spans="1:11" x14ac:dyDescent="0.35">
      <c r="A365" s="105" t="s">
        <v>28</v>
      </c>
      <c r="B365" s="105" t="s">
        <v>29</v>
      </c>
      <c r="C365" s="105">
        <v>2</v>
      </c>
      <c r="D365" s="105">
        <v>4</v>
      </c>
      <c r="E365" s="105">
        <v>6</v>
      </c>
      <c r="F365" s="105">
        <v>406</v>
      </c>
      <c r="G365" s="37">
        <v>12</v>
      </c>
      <c r="H365" s="105">
        <v>12</v>
      </c>
      <c r="K365" s="96"/>
    </row>
    <row r="366" spans="1:11" x14ac:dyDescent="0.35">
      <c r="A366" s="105" t="s">
        <v>33</v>
      </c>
      <c r="B366" s="105" t="s">
        <v>34</v>
      </c>
      <c r="C366" s="105">
        <v>2</v>
      </c>
      <c r="D366" s="105">
        <v>4</v>
      </c>
      <c r="E366" s="105">
        <v>8</v>
      </c>
      <c r="F366" s="105">
        <v>408</v>
      </c>
      <c r="G366" s="37">
        <v>13</v>
      </c>
      <c r="H366" s="105">
        <v>12</v>
      </c>
      <c r="K366" s="96"/>
    </row>
    <row r="367" spans="1:11" x14ac:dyDescent="0.35">
      <c r="A367" s="105" t="s">
        <v>33</v>
      </c>
      <c r="B367" s="105" t="s">
        <v>30</v>
      </c>
      <c r="C367" s="105">
        <v>2</v>
      </c>
      <c r="D367" s="105">
        <v>3</v>
      </c>
      <c r="E367" s="105">
        <v>8</v>
      </c>
      <c r="F367" s="105">
        <v>308</v>
      </c>
      <c r="G367" s="37">
        <v>14</v>
      </c>
      <c r="H367" s="105">
        <v>12</v>
      </c>
      <c r="K367" s="96"/>
    </row>
    <row r="368" spans="1:11" x14ac:dyDescent="0.35">
      <c r="A368" s="105" t="s">
        <v>33</v>
      </c>
      <c r="B368" s="105" t="s">
        <v>29</v>
      </c>
      <c r="C368" s="105">
        <v>2</v>
      </c>
      <c r="D368" s="105">
        <v>2</v>
      </c>
      <c r="E368" s="105">
        <v>8</v>
      </c>
      <c r="F368" s="105">
        <v>208</v>
      </c>
      <c r="G368" s="37">
        <v>15</v>
      </c>
      <c r="H368" s="105">
        <v>12</v>
      </c>
      <c r="K368" s="96"/>
    </row>
    <row r="369" spans="1:11" x14ac:dyDescent="0.35">
      <c r="A369" s="105" t="s">
        <v>33</v>
      </c>
      <c r="B369" s="105" t="s">
        <v>35</v>
      </c>
      <c r="C369" s="105">
        <v>2</v>
      </c>
      <c r="D369" s="105">
        <v>1</v>
      </c>
      <c r="E369" s="105">
        <v>8</v>
      </c>
      <c r="F369" s="105">
        <v>108</v>
      </c>
      <c r="G369" s="37">
        <v>16</v>
      </c>
      <c r="H369" s="105">
        <v>12</v>
      </c>
      <c r="I369" s="43">
        <v>45923</v>
      </c>
      <c r="J369" s="96">
        <v>34</v>
      </c>
      <c r="K369" s="96">
        <v>12</v>
      </c>
    </row>
    <row r="370" spans="1:11" x14ac:dyDescent="0.35">
      <c r="A370" s="105" t="s">
        <v>28</v>
      </c>
      <c r="B370" s="105" t="s">
        <v>32</v>
      </c>
      <c r="C370" s="105">
        <v>3</v>
      </c>
      <c r="D370" s="105">
        <v>1</v>
      </c>
      <c r="E370" s="105">
        <v>10</v>
      </c>
      <c r="F370" s="105">
        <v>110</v>
      </c>
      <c r="G370" s="37">
        <v>17</v>
      </c>
      <c r="H370" s="105">
        <v>12</v>
      </c>
      <c r="I370" s="43">
        <v>45923</v>
      </c>
      <c r="J370" s="96">
        <v>47</v>
      </c>
      <c r="K370" s="96">
        <v>0</v>
      </c>
    </row>
    <row r="371" spans="1:11" x14ac:dyDescent="0.35">
      <c r="A371" s="105" t="s">
        <v>28</v>
      </c>
      <c r="B371" s="105" t="s">
        <v>31</v>
      </c>
      <c r="C371" s="105">
        <v>3</v>
      </c>
      <c r="D371" s="105">
        <v>2</v>
      </c>
      <c r="E371" s="105">
        <v>10</v>
      </c>
      <c r="F371" s="105">
        <v>210</v>
      </c>
      <c r="G371" s="37">
        <v>18</v>
      </c>
      <c r="H371" s="105">
        <v>12</v>
      </c>
      <c r="K371" s="96"/>
    </row>
    <row r="372" spans="1:11" x14ac:dyDescent="0.35">
      <c r="A372" s="105" t="s">
        <v>28</v>
      </c>
      <c r="B372" s="105" t="s">
        <v>29</v>
      </c>
      <c r="C372" s="105">
        <v>3</v>
      </c>
      <c r="D372" s="105">
        <v>3</v>
      </c>
      <c r="E372" s="105">
        <v>10</v>
      </c>
      <c r="F372" s="105">
        <v>310</v>
      </c>
      <c r="G372" s="37">
        <v>19</v>
      </c>
      <c r="H372" s="105">
        <v>12</v>
      </c>
      <c r="K372" s="96"/>
    </row>
    <row r="373" spans="1:11" x14ac:dyDescent="0.35">
      <c r="A373" s="105" t="s">
        <v>28</v>
      </c>
      <c r="B373" s="105" t="s">
        <v>30</v>
      </c>
      <c r="C373" s="105">
        <v>3</v>
      </c>
      <c r="D373" s="105">
        <v>4</v>
      </c>
      <c r="E373" s="105">
        <v>10</v>
      </c>
      <c r="F373" s="105">
        <v>410</v>
      </c>
      <c r="G373" s="37">
        <v>20</v>
      </c>
      <c r="H373" s="105">
        <v>12</v>
      </c>
      <c r="K373" s="96"/>
    </row>
    <row r="374" spans="1:11" x14ac:dyDescent="0.35">
      <c r="A374" s="105" t="s">
        <v>33</v>
      </c>
      <c r="B374" s="105" t="s">
        <v>30</v>
      </c>
      <c r="C374" s="105">
        <v>3</v>
      </c>
      <c r="D374" s="105">
        <v>4</v>
      </c>
      <c r="E374" s="105">
        <v>12</v>
      </c>
      <c r="F374" s="105">
        <v>412</v>
      </c>
      <c r="G374" s="37">
        <v>21</v>
      </c>
      <c r="H374" s="105">
        <v>12</v>
      </c>
      <c r="K374" s="96"/>
    </row>
    <row r="375" spans="1:11" x14ac:dyDescent="0.35">
      <c r="A375" s="105" t="s">
        <v>33</v>
      </c>
      <c r="B375" s="105" t="s">
        <v>34</v>
      </c>
      <c r="C375" s="105">
        <v>3</v>
      </c>
      <c r="D375" s="105">
        <v>3</v>
      </c>
      <c r="E375" s="105">
        <v>12</v>
      </c>
      <c r="F375" s="105">
        <v>312</v>
      </c>
      <c r="G375" s="37">
        <v>22</v>
      </c>
      <c r="H375" s="105">
        <v>12</v>
      </c>
      <c r="K375" s="96"/>
    </row>
    <row r="376" spans="1:11" x14ac:dyDescent="0.35">
      <c r="A376" s="105" t="s">
        <v>33</v>
      </c>
      <c r="B376" s="105" t="s">
        <v>35</v>
      </c>
      <c r="C376" s="105">
        <v>3</v>
      </c>
      <c r="D376" s="105">
        <v>2</v>
      </c>
      <c r="E376" s="105">
        <v>12</v>
      </c>
      <c r="F376" s="105">
        <v>212</v>
      </c>
      <c r="G376" s="37">
        <v>23</v>
      </c>
      <c r="H376" s="105">
        <v>12</v>
      </c>
      <c r="I376" s="43">
        <v>45923</v>
      </c>
      <c r="J376" s="96">
        <v>33</v>
      </c>
      <c r="K376" s="96">
        <v>4</v>
      </c>
    </row>
    <row r="377" spans="1:11" x14ac:dyDescent="0.35">
      <c r="A377" s="105" t="s">
        <v>33</v>
      </c>
      <c r="B377" s="105" t="s">
        <v>29</v>
      </c>
      <c r="C377" s="105">
        <v>3</v>
      </c>
      <c r="D377" s="105">
        <v>1</v>
      </c>
      <c r="E377" s="105">
        <v>12</v>
      </c>
      <c r="F377" s="105">
        <v>112</v>
      </c>
      <c r="G377" s="37">
        <v>24</v>
      </c>
      <c r="H377" s="105">
        <v>12</v>
      </c>
      <c r="K377" s="96"/>
    </row>
    <row r="378" spans="1:11" x14ac:dyDescent="0.35">
      <c r="A378" s="105" t="s">
        <v>28</v>
      </c>
      <c r="B378" s="105" t="s">
        <v>30</v>
      </c>
      <c r="C378" s="105">
        <v>4</v>
      </c>
      <c r="D378" s="105">
        <v>1</v>
      </c>
      <c r="E378" s="105">
        <v>14</v>
      </c>
      <c r="F378" s="105">
        <v>114</v>
      </c>
      <c r="G378" s="37">
        <v>25</v>
      </c>
      <c r="H378" s="105">
        <v>12</v>
      </c>
      <c r="K378" s="96"/>
    </row>
    <row r="379" spans="1:11" x14ac:dyDescent="0.35">
      <c r="A379" s="105" t="s">
        <v>28</v>
      </c>
      <c r="B379" s="105" t="s">
        <v>29</v>
      </c>
      <c r="C379" s="105">
        <v>4</v>
      </c>
      <c r="D379" s="105">
        <v>2</v>
      </c>
      <c r="E379" s="105">
        <v>14</v>
      </c>
      <c r="F379" s="105">
        <v>214</v>
      </c>
      <c r="G379" s="37">
        <v>26</v>
      </c>
      <c r="H379" s="105">
        <v>12</v>
      </c>
      <c r="K379" s="96"/>
    </row>
    <row r="380" spans="1:11" x14ac:dyDescent="0.35">
      <c r="A380" s="105" t="s">
        <v>28</v>
      </c>
      <c r="B380" s="105" t="s">
        <v>32</v>
      </c>
      <c r="C380" s="105">
        <v>4</v>
      </c>
      <c r="D380" s="105">
        <v>3</v>
      </c>
      <c r="E380" s="105">
        <v>14</v>
      </c>
      <c r="F380" s="105">
        <v>314</v>
      </c>
      <c r="G380" s="37">
        <v>27</v>
      </c>
      <c r="H380" s="105">
        <v>12</v>
      </c>
      <c r="I380" s="43">
        <v>45923</v>
      </c>
      <c r="J380" s="96">
        <v>28</v>
      </c>
      <c r="K380" s="96">
        <v>0</v>
      </c>
    </row>
    <row r="381" spans="1:11" x14ac:dyDescent="0.35">
      <c r="A381" s="105" t="s">
        <v>28</v>
      </c>
      <c r="B381" s="105" t="s">
        <v>31</v>
      </c>
      <c r="C381" s="105">
        <v>4</v>
      </c>
      <c r="D381" s="105">
        <v>4</v>
      </c>
      <c r="E381" s="105">
        <v>14</v>
      </c>
      <c r="F381" s="105">
        <v>414</v>
      </c>
      <c r="G381" s="37">
        <v>28</v>
      </c>
      <c r="H381" s="105">
        <v>12</v>
      </c>
      <c r="K381" s="96"/>
    </row>
    <row r="382" spans="1:11" x14ac:dyDescent="0.35">
      <c r="A382" s="105" t="s">
        <v>33</v>
      </c>
      <c r="B382" s="105" t="s">
        <v>35</v>
      </c>
      <c r="C382" s="105">
        <v>4</v>
      </c>
      <c r="D382" s="105">
        <v>4</v>
      </c>
      <c r="E382" s="105">
        <v>16</v>
      </c>
      <c r="F382" s="105">
        <v>416</v>
      </c>
      <c r="G382" s="37">
        <v>29</v>
      </c>
      <c r="H382" s="105">
        <v>12</v>
      </c>
      <c r="I382" s="43">
        <v>45923</v>
      </c>
      <c r="J382" s="96">
        <v>46</v>
      </c>
      <c r="K382" s="96">
        <v>12</v>
      </c>
    </row>
    <row r="383" spans="1:11" x14ac:dyDescent="0.35">
      <c r="A383" s="105" t="s">
        <v>33</v>
      </c>
      <c r="B383" s="105" t="s">
        <v>29</v>
      </c>
      <c r="C383" s="105">
        <v>4</v>
      </c>
      <c r="D383" s="105">
        <v>3</v>
      </c>
      <c r="E383" s="105">
        <v>16</v>
      </c>
      <c r="F383" s="105">
        <v>316</v>
      </c>
      <c r="G383" s="37">
        <v>30</v>
      </c>
      <c r="H383" s="105">
        <v>12</v>
      </c>
    </row>
    <row r="384" spans="1:11" x14ac:dyDescent="0.35">
      <c r="A384" s="105" t="s">
        <v>33</v>
      </c>
      <c r="B384" s="105" t="s">
        <v>34</v>
      </c>
      <c r="C384" s="105">
        <v>4</v>
      </c>
      <c r="D384" s="105">
        <v>2</v>
      </c>
      <c r="E384" s="105">
        <v>16</v>
      </c>
      <c r="F384" s="105">
        <v>216</v>
      </c>
      <c r="G384" s="37">
        <v>31</v>
      </c>
      <c r="H384" s="105">
        <v>12</v>
      </c>
    </row>
    <row r="385" spans="1:11" x14ac:dyDescent="0.35">
      <c r="A385" s="105" t="s">
        <v>33</v>
      </c>
      <c r="B385" s="105" t="s">
        <v>30</v>
      </c>
      <c r="C385" s="105">
        <v>4</v>
      </c>
      <c r="D385" s="105">
        <v>1</v>
      </c>
      <c r="E385" s="105">
        <v>16</v>
      </c>
      <c r="F385" s="105">
        <v>116</v>
      </c>
      <c r="G385" s="37">
        <v>32</v>
      </c>
      <c r="H385" s="105">
        <v>12</v>
      </c>
    </row>
    <row r="386" spans="1:11" x14ac:dyDescent="0.35">
      <c r="A386" s="105" t="s">
        <v>28</v>
      </c>
      <c r="B386" s="105" t="s">
        <v>29</v>
      </c>
      <c r="C386" s="105">
        <v>1</v>
      </c>
      <c r="D386" s="105">
        <v>1</v>
      </c>
      <c r="E386" s="105">
        <v>2</v>
      </c>
      <c r="F386" s="105">
        <v>102</v>
      </c>
      <c r="G386" s="37">
        <v>1</v>
      </c>
      <c r="H386" s="105">
        <v>13</v>
      </c>
    </row>
    <row r="387" spans="1:11" x14ac:dyDescent="0.35">
      <c r="A387" s="105" t="s">
        <v>28</v>
      </c>
      <c r="B387" s="105" t="s">
        <v>30</v>
      </c>
      <c r="C387" s="105">
        <v>1</v>
      </c>
      <c r="D387" s="105">
        <v>2</v>
      </c>
      <c r="E387" s="105">
        <v>2</v>
      </c>
      <c r="F387" s="105">
        <v>202</v>
      </c>
      <c r="G387" s="37">
        <v>2</v>
      </c>
      <c r="H387" s="105">
        <v>13</v>
      </c>
    </row>
    <row r="388" spans="1:11" x14ac:dyDescent="0.35">
      <c r="A388" s="105" t="s">
        <v>28</v>
      </c>
      <c r="B388" s="105" t="s">
        <v>31</v>
      </c>
      <c r="C388" s="105">
        <v>1</v>
      </c>
      <c r="D388" s="105">
        <v>3</v>
      </c>
      <c r="E388" s="105">
        <v>2</v>
      </c>
      <c r="F388" s="105">
        <v>302</v>
      </c>
      <c r="G388" s="37">
        <v>3</v>
      </c>
      <c r="H388" s="105">
        <v>13</v>
      </c>
    </row>
    <row r="389" spans="1:11" x14ac:dyDescent="0.35">
      <c r="A389" s="105" t="s">
        <v>28</v>
      </c>
      <c r="B389" s="105" t="s">
        <v>32</v>
      </c>
      <c r="C389" s="105">
        <v>1</v>
      </c>
      <c r="D389" s="105">
        <v>4</v>
      </c>
      <c r="E389" s="105">
        <v>2</v>
      </c>
      <c r="F389" s="105">
        <v>402</v>
      </c>
      <c r="G389" s="37">
        <v>4</v>
      </c>
      <c r="H389" s="105">
        <v>13</v>
      </c>
      <c r="I389" s="43">
        <v>45925</v>
      </c>
      <c r="J389" s="96">
        <v>57</v>
      </c>
      <c r="K389" s="96">
        <v>10</v>
      </c>
    </row>
    <row r="390" spans="1:11" x14ac:dyDescent="0.35">
      <c r="A390" s="105" t="s">
        <v>33</v>
      </c>
      <c r="B390" s="105" t="s">
        <v>29</v>
      </c>
      <c r="C390" s="105">
        <v>1</v>
      </c>
      <c r="D390" s="105">
        <v>4</v>
      </c>
      <c r="E390" s="105">
        <v>4</v>
      </c>
      <c r="F390" s="105">
        <v>404</v>
      </c>
      <c r="G390" s="37">
        <v>5</v>
      </c>
      <c r="H390" s="105">
        <v>13</v>
      </c>
      <c r="K390" s="96"/>
    </row>
    <row r="391" spans="1:11" x14ac:dyDescent="0.35">
      <c r="A391" s="105" t="s">
        <v>33</v>
      </c>
      <c r="B391" s="105" t="s">
        <v>35</v>
      </c>
      <c r="C391" s="105">
        <v>1</v>
      </c>
      <c r="D391" s="105">
        <v>3</v>
      </c>
      <c r="E391" s="105">
        <v>4</v>
      </c>
      <c r="F391" s="105">
        <v>304</v>
      </c>
      <c r="G391" s="37">
        <v>6</v>
      </c>
      <c r="H391" s="105">
        <v>13</v>
      </c>
      <c r="I391" s="43">
        <v>45925</v>
      </c>
      <c r="J391" s="96">
        <v>23</v>
      </c>
      <c r="K391" s="96">
        <v>12</v>
      </c>
    </row>
    <row r="392" spans="1:11" x14ac:dyDescent="0.35">
      <c r="A392" s="105" t="s">
        <v>33</v>
      </c>
      <c r="B392" s="105" t="s">
        <v>30</v>
      </c>
      <c r="C392" s="105">
        <v>1</v>
      </c>
      <c r="D392" s="105">
        <v>2</v>
      </c>
      <c r="E392" s="105">
        <v>4</v>
      </c>
      <c r="F392" s="105">
        <v>204</v>
      </c>
      <c r="G392" s="37">
        <v>7</v>
      </c>
      <c r="H392" s="105">
        <v>13</v>
      </c>
      <c r="K392" s="96"/>
    </row>
    <row r="393" spans="1:11" x14ac:dyDescent="0.35">
      <c r="A393" s="105" t="s">
        <v>33</v>
      </c>
      <c r="B393" s="105" t="s">
        <v>34</v>
      </c>
      <c r="C393" s="105">
        <v>1</v>
      </c>
      <c r="D393" s="105">
        <v>1</v>
      </c>
      <c r="E393" s="105">
        <v>4</v>
      </c>
      <c r="F393" s="105">
        <v>104</v>
      </c>
      <c r="G393" s="37">
        <v>8</v>
      </c>
      <c r="H393" s="105">
        <v>13</v>
      </c>
      <c r="K393" s="96"/>
    </row>
    <row r="394" spans="1:11" x14ac:dyDescent="0.35">
      <c r="A394" s="105" t="s">
        <v>28</v>
      </c>
      <c r="B394" s="105" t="s">
        <v>31</v>
      </c>
      <c r="C394" s="105">
        <v>2</v>
      </c>
      <c r="D394" s="105">
        <v>1</v>
      </c>
      <c r="E394" s="105">
        <v>6</v>
      </c>
      <c r="F394" s="105">
        <v>106</v>
      </c>
      <c r="G394" s="37">
        <v>9</v>
      </c>
      <c r="H394" s="105">
        <v>13</v>
      </c>
      <c r="K394" s="96"/>
    </row>
    <row r="395" spans="1:11" x14ac:dyDescent="0.35">
      <c r="A395" s="105" t="s">
        <v>28</v>
      </c>
      <c r="B395" s="105" t="s">
        <v>32</v>
      </c>
      <c r="C395" s="105">
        <v>2</v>
      </c>
      <c r="D395" s="105">
        <v>2</v>
      </c>
      <c r="E395" s="105">
        <v>6</v>
      </c>
      <c r="F395" s="105">
        <v>206</v>
      </c>
      <c r="G395" s="37">
        <v>10</v>
      </c>
      <c r="H395" s="105">
        <v>13</v>
      </c>
      <c r="I395" s="43">
        <v>45925</v>
      </c>
      <c r="J395" s="96">
        <v>38</v>
      </c>
      <c r="K395" s="96">
        <v>7</v>
      </c>
    </row>
    <row r="396" spans="1:11" x14ac:dyDescent="0.35">
      <c r="A396" s="105" t="s">
        <v>28</v>
      </c>
      <c r="B396" s="105" t="s">
        <v>30</v>
      </c>
      <c r="C396" s="105">
        <v>2</v>
      </c>
      <c r="D396" s="105">
        <v>3</v>
      </c>
      <c r="E396" s="105">
        <v>6</v>
      </c>
      <c r="F396" s="105">
        <v>306</v>
      </c>
      <c r="G396" s="37">
        <v>11</v>
      </c>
      <c r="H396" s="105">
        <v>13</v>
      </c>
      <c r="K396" s="96"/>
    </row>
    <row r="397" spans="1:11" x14ac:dyDescent="0.35">
      <c r="A397" s="105" t="s">
        <v>28</v>
      </c>
      <c r="B397" s="105" t="s">
        <v>29</v>
      </c>
      <c r="C397" s="105">
        <v>2</v>
      </c>
      <c r="D397" s="105">
        <v>4</v>
      </c>
      <c r="E397" s="105">
        <v>6</v>
      </c>
      <c r="F397" s="105">
        <v>406</v>
      </c>
      <c r="G397" s="37">
        <v>12</v>
      </c>
      <c r="H397" s="105">
        <v>13</v>
      </c>
      <c r="K397" s="96"/>
    </row>
    <row r="398" spans="1:11" x14ac:dyDescent="0.35">
      <c r="A398" s="105" t="s">
        <v>33</v>
      </c>
      <c r="B398" s="105" t="s">
        <v>34</v>
      </c>
      <c r="C398" s="105">
        <v>2</v>
      </c>
      <c r="D398" s="105">
        <v>4</v>
      </c>
      <c r="E398" s="105">
        <v>8</v>
      </c>
      <c r="F398" s="105">
        <v>408</v>
      </c>
      <c r="G398" s="37">
        <v>13</v>
      </c>
      <c r="H398" s="105">
        <v>13</v>
      </c>
      <c r="K398" s="96"/>
    </row>
    <row r="399" spans="1:11" x14ac:dyDescent="0.35">
      <c r="A399" s="105" t="s">
        <v>33</v>
      </c>
      <c r="B399" s="105" t="s">
        <v>30</v>
      </c>
      <c r="C399" s="105">
        <v>2</v>
      </c>
      <c r="D399" s="105">
        <v>3</v>
      </c>
      <c r="E399" s="105">
        <v>8</v>
      </c>
      <c r="F399" s="105">
        <v>308</v>
      </c>
      <c r="G399" s="37">
        <v>14</v>
      </c>
      <c r="H399" s="105">
        <v>13</v>
      </c>
      <c r="K399" s="96"/>
    </row>
    <row r="400" spans="1:11" x14ac:dyDescent="0.35">
      <c r="A400" s="105" t="s">
        <v>33</v>
      </c>
      <c r="B400" s="105" t="s">
        <v>29</v>
      </c>
      <c r="C400" s="105">
        <v>2</v>
      </c>
      <c r="D400" s="105">
        <v>2</v>
      </c>
      <c r="E400" s="105">
        <v>8</v>
      </c>
      <c r="F400" s="105">
        <v>208</v>
      </c>
      <c r="G400" s="37">
        <v>15</v>
      </c>
      <c r="H400" s="105">
        <v>13</v>
      </c>
      <c r="K400" s="96"/>
    </row>
    <row r="401" spans="1:11" x14ac:dyDescent="0.35">
      <c r="A401" s="105" t="s">
        <v>33</v>
      </c>
      <c r="B401" s="105" t="s">
        <v>35</v>
      </c>
      <c r="C401" s="105">
        <v>2</v>
      </c>
      <c r="D401" s="105">
        <v>1</v>
      </c>
      <c r="E401" s="105">
        <v>8</v>
      </c>
      <c r="F401" s="105">
        <v>108</v>
      </c>
      <c r="G401" s="37">
        <v>16</v>
      </c>
      <c r="H401" s="105">
        <v>13</v>
      </c>
      <c r="I401" s="43">
        <v>45925</v>
      </c>
      <c r="J401" s="96">
        <v>34</v>
      </c>
      <c r="K401" s="96">
        <v>15</v>
      </c>
    </row>
    <row r="402" spans="1:11" x14ac:dyDescent="0.35">
      <c r="A402" s="105" t="s">
        <v>28</v>
      </c>
      <c r="B402" s="105" t="s">
        <v>32</v>
      </c>
      <c r="C402" s="105">
        <v>3</v>
      </c>
      <c r="D402" s="105">
        <v>1</v>
      </c>
      <c r="E402" s="105">
        <v>10</v>
      </c>
      <c r="F402" s="105">
        <v>110</v>
      </c>
      <c r="G402" s="37">
        <v>17</v>
      </c>
      <c r="H402" s="105">
        <v>13</v>
      </c>
      <c r="I402" s="43">
        <v>45925</v>
      </c>
      <c r="J402" s="96">
        <v>47</v>
      </c>
      <c r="K402" s="96">
        <v>2</v>
      </c>
    </row>
    <row r="403" spans="1:11" x14ac:dyDescent="0.35">
      <c r="A403" s="105" t="s">
        <v>28</v>
      </c>
      <c r="B403" s="105" t="s">
        <v>31</v>
      </c>
      <c r="C403" s="105">
        <v>3</v>
      </c>
      <c r="D403" s="105">
        <v>2</v>
      </c>
      <c r="E403" s="105">
        <v>10</v>
      </c>
      <c r="F403" s="105">
        <v>210</v>
      </c>
      <c r="G403" s="37">
        <v>18</v>
      </c>
      <c r="H403" s="105">
        <v>13</v>
      </c>
      <c r="K403" s="96"/>
    </row>
    <row r="404" spans="1:11" x14ac:dyDescent="0.35">
      <c r="A404" s="105" t="s">
        <v>28</v>
      </c>
      <c r="B404" s="105" t="s">
        <v>29</v>
      </c>
      <c r="C404" s="105">
        <v>3</v>
      </c>
      <c r="D404" s="105">
        <v>3</v>
      </c>
      <c r="E404" s="105">
        <v>10</v>
      </c>
      <c r="F404" s="105">
        <v>310</v>
      </c>
      <c r="G404" s="37">
        <v>19</v>
      </c>
      <c r="H404" s="105">
        <v>13</v>
      </c>
      <c r="K404" s="96"/>
    </row>
    <row r="405" spans="1:11" x14ac:dyDescent="0.35">
      <c r="A405" s="105" t="s">
        <v>28</v>
      </c>
      <c r="B405" s="105" t="s">
        <v>30</v>
      </c>
      <c r="C405" s="105">
        <v>3</v>
      </c>
      <c r="D405" s="105">
        <v>4</v>
      </c>
      <c r="E405" s="105">
        <v>10</v>
      </c>
      <c r="F405" s="105">
        <v>410</v>
      </c>
      <c r="G405" s="37">
        <v>20</v>
      </c>
      <c r="H405" s="105">
        <v>13</v>
      </c>
      <c r="K405" s="96"/>
    </row>
    <row r="406" spans="1:11" x14ac:dyDescent="0.35">
      <c r="A406" s="105" t="s">
        <v>33</v>
      </c>
      <c r="B406" s="105" t="s">
        <v>30</v>
      </c>
      <c r="C406" s="105">
        <v>3</v>
      </c>
      <c r="D406" s="105">
        <v>4</v>
      </c>
      <c r="E406" s="105">
        <v>12</v>
      </c>
      <c r="F406" s="105">
        <v>412</v>
      </c>
      <c r="G406" s="37">
        <v>21</v>
      </c>
      <c r="H406" s="105">
        <v>13</v>
      </c>
      <c r="K406" s="96"/>
    </row>
    <row r="407" spans="1:11" x14ac:dyDescent="0.35">
      <c r="A407" s="105" t="s">
        <v>33</v>
      </c>
      <c r="B407" s="105" t="s">
        <v>34</v>
      </c>
      <c r="C407" s="105">
        <v>3</v>
      </c>
      <c r="D407" s="105">
        <v>3</v>
      </c>
      <c r="E407" s="105">
        <v>12</v>
      </c>
      <c r="F407" s="105">
        <v>312</v>
      </c>
      <c r="G407" s="37">
        <v>22</v>
      </c>
      <c r="H407" s="105">
        <v>13</v>
      </c>
      <c r="K407" s="96"/>
    </row>
    <row r="408" spans="1:11" x14ac:dyDescent="0.35">
      <c r="A408" s="105" t="s">
        <v>33</v>
      </c>
      <c r="B408" s="105" t="s">
        <v>35</v>
      </c>
      <c r="C408" s="105">
        <v>3</v>
      </c>
      <c r="D408" s="105">
        <v>2</v>
      </c>
      <c r="E408" s="105">
        <v>12</v>
      </c>
      <c r="F408" s="105">
        <v>212</v>
      </c>
      <c r="G408" s="37">
        <v>23</v>
      </c>
      <c r="H408" s="105">
        <v>13</v>
      </c>
      <c r="I408" s="43">
        <v>45925</v>
      </c>
      <c r="J408" s="96">
        <v>33</v>
      </c>
      <c r="K408" s="96">
        <v>11</v>
      </c>
    </row>
    <row r="409" spans="1:11" x14ac:dyDescent="0.35">
      <c r="A409" s="105" t="s">
        <v>33</v>
      </c>
      <c r="B409" s="105" t="s">
        <v>29</v>
      </c>
      <c r="C409" s="105">
        <v>3</v>
      </c>
      <c r="D409" s="105">
        <v>1</v>
      </c>
      <c r="E409" s="105">
        <v>12</v>
      </c>
      <c r="F409" s="105">
        <v>112</v>
      </c>
      <c r="G409" s="37">
        <v>24</v>
      </c>
      <c r="H409" s="105">
        <v>13</v>
      </c>
      <c r="K409" s="96"/>
    </row>
    <row r="410" spans="1:11" x14ac:dyDescent="0.35">
      <c r="A410" s="105" t="s">
        <v>28</v>
      </c>
      <c r="B410" s="105" t="s">
        <v>30</v>
      </c>
      <c r="C410" s="105">
        <v>4</v>
      </c>
      <c r="D410" s="105">
        <v>1</v>
      </c>
      <c r="E410" s="105">
        <v>14</v>
      </c>
      <c r="F410" s="105">
        <v>114</v>
      </c>
      <c r="G410" s="37">
        <v>25</v>
      </c>
      <c r="H410" s="105">
        <v>13</v>
      </c>
      <c r="K410" s="96"/>
    </row>
    <row r="411" spans="1:11" x14ac:dyDescent="0.35">
      <c r="A411" s="105" t="s">
        <v>28</v>
      </c>
      <c r="B411" s="105" t="s">
        <v>29</v>
      </c>
      <c r="C411" s="105">
        <v>4</v>
      </c>
      <c r="D411" s="105">
        <v>2</v>
      </c>
      <c r="E411" s="105">
        <v>14</v>
      </c>
      <c r="F411" s="105">
        <v>214</v>
      </c>
      <c r="G411" s="37">
        <v>26</v>
      </c>
      <c r="H411" s="105">
        <v>13</v>
      </c>
      <c r="K411" s="96"/>
    </row>
    <row r="412" spans="1:11" x14ac:dyDescent="0.35">
      <c r="A412" s="105" t="s">
        <v>28</v>
      </c>
      <c r="B412" s="105" t="s">
        <v>32</v>
      </c>
      <c r="C412" s="105">
        <v>4</v>
      </c>
      <c r="D412" s="105">
        <v>3</v>
      </c>
      <c r="E412" s="105">
        <v>14</v>
      </c>
      <c r="F412" s="105">
        <v>314</v>
      </c>
      <c r="G412" s="37">
        <v>27</v>
      </c>
      <c r="H412" s="105">
        <v>13</v>
      </c>
      <c r="I412" s="43">
        <v>45925</v>
      </c>
      <c r="J412" s="96">
        <v>28</v>
      </c>
      <c r="K412" s="96">
        <v>0</v>
      </c>
    </row>
    <row r="413" spans="1:11" x14ac:dyDescent="0.35">
      <c r="A413" s="105" t="s">
        <v>28</v>
      </c>
      <c r="B413" s="105" t="s">
        <v>31</v>
      </c>
      <c r="C413" s="105">
        <v>4</v>
      </c>
      <c r="D413" s="105">
        <v>4</v>
      </c>
      <c r="E413" s="105">
        <v>14</v>
      </c>
      <c r="F413" s="105">
        <v>414</v>
      </c>
      <c r="G413" s="37">
        <v>28</v>
      </c>
      <c r="H413" s="105">
        <v>13</v>
      </c>
      <c r="K413" s="96"/>
    </row>
    <row r="414" spans="1:11" x14ac:dyDescent="0.35">
      <c r="A414" s="105" t="s">
        <v>33</v>
      </c>
      <c r="B414" s="105" t="s">
        <v>35</v>
      </c>
      <c r="C414" s="105">
        <v>4</v>
      </c>
      <c r="D414" s="105">
        <v>4</v>
      </c>
      <c r="E414" s="105">
        <v>16</v>
      </c>
      <c r="F414" s="105">
        <v>416</v>
      </c>
      <c r="G414" s="37">
        <v>29</v>
      </c>
      <c r="H414" s="105">
        <v>13</v>
      </c>
      <c r="I414" s="43">
        <v>45925</v>
      </c>
      <c r="J414" s="96">
        <v>46</v>
      </c>
      <c r="K414" s="96">
        <v>25</v>
      </c>
    </row>
    <row r="415" spans="1:11" x14ac:dyDescent="0.35">
      <c r="A415" s="105" t="s">
        <v>33</v>
      </c>
      <c r="B415" s="105" t="s">
        <v>29</v>
      </c>
      <c r="C415" s="105">
        <v>4</v>
      </c>
      <c r="D415" s="105">
        <v>3</v>
      </c>
      <c r="E415" s="105">
        <v>16</v>
      </c>
      <c r="F415" s="105">
        <v>316</v>
      </c>
      <c r="G415" s="37">
        <v>30</v>
      </c>
      <c r="H415" s="105">
        <v>13</v>
      </c>
    </row>
    <row r="416" spans="1:11" x14ac:dyDescent="0.35">
      <c r="A416" s="105" t="s">
        <v>33</v>
      </c>
      <c r="B416" s="105" t="s">
        <v>34</v>
      </c>
      <c r="C416" s="105">
        <v>4</v>
      </c>
      <c r="D416" s="105">
        <v>2</v>
      </c>
      <c r="E416" s="105">
        <v>16</v>
      </c>
      <c r="F416" s="105">
        <v>216</v>
      </c>
      <c r="G416" s="37">
        <v>31</v>
      </c>
      <c r="H416" s="105">
        <v>13</v>
      </c>
    </row>
    <row r="417" spans="1:11" x14ac:dyDescent="0.35">
      <c r="A417" s="105" t="s">
        <v>33</v>
      </c>
      <c r="B417" s="105" t="s">
        <v>30</v>
      </c>
      <c r="C417" s="105">
        <v>4</v>
      </c>
      <c r="D417" s="105">
        <v>1</v>
      </c>
      <c r="E417" s="105">
        <v>16</v>
      </c>
      <c r="F417" s="105">
        <v>116</v>
      </c>
      <c r="G417" s="37">
        <v>32</v>
      </c>
      <c r="H417" s="105">
        <v>13</v>
      </c>
    </row>
    <row r="418" spans="1:11" x14ac:dyDescent="0.35">
      <c r="A418" s="105" t="s">
        <v>28</v>
      </c>
      <c r="B418" s="105" t="s">
        <v>29</v>
      </c>
      <c r="C418" s="105">
        <v>1</v>
      </c>
      <c r="D418" s="105">
        <v>1</v>
      </c>
      <c r="E418" s="105">
        <v>2</v>
      </c>
      <c r="F418" s="105">
        <v>102</v>
      </c>
      <c r="G418" s="37">
        <v>1</v>
      </c>
      <c r="H418" s="105">
        <v>14</v>
      </c>
    </row>
    <row r="419" spans="1:11" x14ac:dyDescent="0.35">
      <c r="A419" s="105" t="s">
        <v>28</v>
      </c>
      <c r="B419" s="105" t="s">
        <v>30</v>
      </c>
      <c r="C419" s="105">
        <v>1</v>
      </c>
      <c r="D419" s="105">
        <v>2</v>
      </c>
      <c r="E419" s="105">
        <v>2</v>
      </c>
      <c r="F419" s="105">
        <v>202</v>
      </c>
      <c r="G419" s="37">
        <v>2</v>
      </c>
      <c r="H419" s="105">
        <v>14</v>
      </c>
    </row>
    <row r="420" spans="1:11" x14ac:dyDescent="0.35">
      <c r="A420" s="105" t="s">
        <v>28</v>
      </c>
      <c r="B420" s="105" t="s">
        <v>31</v>
      </c>
      <c r="C420" s="105">
        <v>1</v>
      </c>
      <c r="D420" s="105">
        <v>3</v>
      </c>
      <c r="E420" s="105">
        <v>2</v>
      </c>
      <c r="F420" s="105">
        <v>302</v>
      </c>
      <c r="G420" s="37">
        <v>3</v>
      </c>
      <c r="H420" s="105">
        <v>14</v>
      </c>
    </row>
    <row r="421" spans="1:11" x14ac:dyDescent="0.35">
      <c r="A421" s="105" t="s">
        <v>28</v>
      </c>
      <c r="B421" s="105" t="s">
        <v>32</v>
      </c>
      <c r="C421" s="105">
        <v>1</v>
      </c>
      <c r="D421" s="105">
        <v>4</v>
      </c>
      <c r="E421" s="105">
        <v>2</v>
      </c>
      <c r="F421" s="105">
        <v>402</v>
      </c>
      <c r="G421" s="37">
        <v>4</v>
      </c>
      <c r="H421" s="105">
        <v>14</v>
      </c>
      <c r="I421" s="43">
        <v>45929</v>
      </c>
      <c r="J421" s="96">
        <v>57</v>
      </c>
      <c r="K421" s="96">
        <v>25</v>
      </c>
    </row>
    <row r="422" spans="1:11" x14ac:dyDescent="0.35">
      <c r="A422" s="105" t="s">
        <v>33</v>
      </c>
      <c r="B422" s="105" t="s">
        <v>29</v>
      </c>
      <c r="C422" s="105">
        <v>1</v>
      </c>
      <c r="D422" s="105">
        <v>4</v>
      </c>
      <c r="E422" s="105">
        <v>4</v>
      </c>
      <c r="F422" s="105">
        <v>404</v>
      </c>
      <c r="G422" s="37">
        <v>5</v>
      </c>
      <c r="H422" s="105">
        <v>14</v>
      </c>
      <c r="K422" s="96"/>
    </row>
    <row r="423" spans="1:11" x14ac:dyDescent="0.35">
      <c r="A423" s="105" t="s">
        <v>33</v>
      </c>
      <c r="B423" s="105" t="s">
        <v>35</v>
      </c>
      <c r="C423" s="105">
        <v>1</v>
      </c>
      <c r="D423" s="105">
        <v>3</v>
      </c>
      <c r="E423" s="105">
        <v>4</v>
      </c>
      <c r="F423" s="105">
        <v>304</v>
      </c>
      <c r="G423" s="37">
        <v>6</v>
      </c>
      <c r="H423" s="105">
        <v>14</v>
      </c>
      <c r="K423" s="96"/>
    </row>
    <row r="424" spans="1:11" x14ac:dyDescent="0.35">
      <c r="A424" s="105" t="s">
        <v>33</v>
      </c>
      <c r="B424" s="105" t="s">
        <v>30</v>
      </c>
      <c r="C424" s="105">
        <v>1</v>
      </c>
      <c r="D424" s="105">
        <v>2</v>
      </c>
      <c r="E424" s="105">
        <v>4</v>
      </c>
      <c r="F424" s="105">
        <v>204</v>
      </c>
      <c r="G424" s="37">
        <v>7</v>
      </c>
      <c r="H424" s="105">
        <v>14</v>
      </c>
      <c r="K424" s="96"/>
    </row>
    <row r="425" spans="1:11" x14ac:dyDescent="0.35">
      <c r="A425" s="105" t="s">
        <v>33</v>
      </c>
      <c r="B425" s="105" t="s">
        <v>34</v>
      </c>
      <c r="C425" s="105">
        <v>1</v>
      </c>
      <c r="D425" s="105">
        <v>1</v>
      </c>
      <c r="E425" s="105">
        <v>4</v>
      </c>
      <c r="F425" s="105">
        <v>104</v>
      </c>
      <c r="G425" s="37">
        <v>8</v>
      </c>
      <c r="H425" s="105">
        <v>14</v>
      </c>
      <c r="K425" s="96"/>
    </row>
    <row r="426" spans="1:11" x14ac:dyDescent="0.35">
      <c r="A426" s="105" t="s">
        <v>28</v>
      </c>
      <c r="B426" s="105" t="s">
        <v>31</v>
      </c>
      <c r="C426" s="105">
        <v>2</v>
      </c>
      <c r="D426" s="105">
        <v>1</v>
      </c>
      <c r="E426" s="105">
        <v>6</v>
      </c>
      <c r="F426" s="105">
        <v>106</v>
      </c>
      <c r="G426" s="37">
        <v>9</v>
      </c>
      <c r="H426" s="105">
        <v>14</v>
      </c>
      <c r="K426" s="96"/>
    </row>
    <row r="427" spans="1:11" x14ac:dyDescent="0.35">
      <c r="A427" s="105" t="s">
        <v>28</v>
      </c>
      <c r="B427" s="105" t="s">
        <v>32</v>
      </c>
      <c r="C427" s="105">
        <v>2</v>
      </c>
      <c r="D427" s="105">
        <v>2</v>
      </c>
      <c r="E427" s="105">
        <v>6</v>
      </c>
      <c r="F427" s="105">
        <v>206</v>
      </c>
      <c r="G427" s="37">
        <v>10</v>
      </c>
      <c r="H427" s="105">
        <v>14</v>
      </c>
      <c r="I427" s="43">
        <v>45929</v>
      </c>
      <c r="J427" s="96">
        <v>38</v>
      </c>
      <c r="K427" s="96">
        <v>21</v>
      </c>
    </row>
    <row r="428" spans="1:11" x14ac:dyDescent="0.35">
      <c r="A428" s="105" t="s">
        <v>28</v>
      </c>
      <c r="B428" s="105" t="s">
        <v>30</v>
      </c>
      <c r="C428" s="105">
        <v>2</v>
      </c>
      <c r="D428" s="105">
        <v>3</v>
      </c>
      <c r="E428" s="105">
        <v>6</v>
      </c>
      <c r="F428" s="105">
        <v>306</v>
      </c>
      <c r="G428" s="37">
        <v>11</v>
      </c>
      <c r="H428" s="105">
        <v>14</v>
      </c>
      <c r="K428" s="96"/>
    </row>
    <row r="429" spans="1:11" x14ac:dyDescent="0.35">
      <c r="A429" s="105" t="s">
        <v>28</v>
      </c>
      <c r="B429" s="105" t="s">
        <v>29</v>
      </c>
      <c r="C429" s="105">
        <v>2</v>
      </c>
      <c r="D429" s="105">
        <v>4</v>
      </c>
      <c r="E429" s="105">
        <v>6</v>
      </c>
      <c r="F429" s="105">
        <v>406</v>
      </c>
      <c r="G429" s="37">
        <v>12</v>
      </c>
      <c r="H429" s="105">
        <v>14</v>
      </c>
      <c r="K429" s="96"/>
    </row>
    <row r="430" spans="1:11" x14ac:dyDescent="0.35">
      <c r="A430" s="105" t="s">
        <v>33</v>
      </c>
      <c r="B430" s="105" t="s">
        <v>34</v>
      </c>
      <c r="C430" s="105">
        <v>2</v>
      </c>
      <c r="D430" s="105">
        <v>4</v>
      </c>
      <c r="E430" s="105">
        <v>8</v>
      </c>
      <c r="F430" s="105">
        <v>408</v>
      </c>
      <c r="G430" s="37">
        <v>13</v>
      </c>
      <c r="H430" s="105">
        <v>14</v>
      </c>
      <c r="K430" s="96"/>
    </row>
    <row r="431" spans="1:11" x14ac:dyDescent="0.35">
      <c r="A431" s="105" t="s">
        <v>33</v>
      </c>
      <c r="B431" s="105" t="s">
        <v>30</v>
      </c>
      <c r="C431" s="105">
        <v>2</v>
      </c>
      <c r="D431" s="105">
        <v>3</v>
      </c>
      <c r="E431" s="105">
        <v>8</v>
      </c>
      <c r="F431" s="105">
        <v>308</v>
      </c>
      <c r="G431" s="37">
        <v>14</v>
      </c>
      <c r="H431" s="105">
        <v>14</v>
      </c>
      <c r="K431" s="96"/>
    </row>
    <row r="432" spans="1:11" x14ac:dyDescent="0.35">
      <c r="A432" s="105" t="s">
        <v>33</v>
      </c>
      <c r="B432" s="105" t="s">
        <v>29</v>
      </c>
      <c r="C432" s="105">
        <v>2</v>
      </c>
      <c r="D432" s="105">
        <v>2</v>
      </c>
      <c r="E432" s="105">
        <v>8</v>
      </c>
      <c r="F432" s="105">
        <v>208</v>
      </c>
      <c r="G432" s="37">
        <v>15</v>
      </c>
      <c r="H432" s="105">
        <v>14</v>
      </c>
      <c r="K432" s="96"/>
    </row>
    <row r="433" spans="1:11" x14ac:dyDescent="0.35">
      <c r="A433" s="105" t="s">
        <v>33</v>
      </c>
      <c r="B433" s="105" t="s">
        <v>35</v>
      </c>
      <c r="C433" s="105">
        <v>2</v>
      </c>
      <c r="D433" s="105">
        <v>1</v>
      </c>
      <c r="E433" s="105">
        <v>8</v>
      </c>
      <c r="F433" s="105">
        <v>108</v>
      </c>
      <c r="G433" s="37">
        <v>16</v>
      </c>
      <c r="H433" s="105">
        <v>14</v>
      </c>
      <c r="K433" s="96"/>
    </row>
    <row r="434" spans="1:11" x14ac:dyDescent="0.35">
      <c r="A434" s="105" t="s">
        <v>28</v>
      </c>
      <c r="B434" s="105" t="s">
        <v>32</v>
      </c>
      <c r="C434" s="105">
        <v>3</v>
      </c>
      <c r="D434" s="105">
        <v>1</v>
      </c>
      <c r="E434" s="105">
        <v>10</v>
      </c>
      <c r="F434" s="105">
        <v>110</v>
      </c>
      <c r="G434" s="37">
        <v>17</v>
      </c>
      <c r="H434" s="105">
        <v>14</v>
      </c>
      <c r="I434" s="43">
        <v>45929</v>
      </c>
      <c r="J434" s="96">
        <v>47</v>
      </c>
      <c r="K434" s="96">
        <v>20</v>
      </c>
    </row>
    <row r="435" spans="1:11" x14ac:dyDescent="0.35">
      <c r="A435" s="105" t="s">
        <v>28</v>
      </c>
      <c r="B435" s="105" t="s">
        <v>31</v>
      </c>
      <c r="C435" s="105">
        <v>3</v>
      </c>
      <c r="D435" s="105">
        <v>2</v>
      </c>
      <c r="E435" s="105">
        <v>10</v>
      </c>
      <c r="F435" s="105">
        <v>210</v>
      </c>
      <c r="G435" s="37">
        <v>18</v>
      </c>
      <c r="H435" s="105">
        <v>14</v>
      </c>
      <c r="K435" s="96"/>
    </row>
    <row r="436" spans="1:11" x14ac:dyDescent="0.35">
      <c r="A436" s="105" t="s">
        <v>28</v>
      </c>
      <c r="B436" s="105" t="s">
        <v>29</v>
      </c>
      <c r="C436" s="105">
        <v>3</v>
      </c>
      <c r="D436" s="105">
        <v>3</v>
      </c>
      <c r="E436" s="105">
        <v>10</v>
      </c>
      <c r="F436" s="105">
        <v>310</v>
      </c>
      <c r="G436" s="37">
        <v>19</v>
      </c>
      <c r="H436" s="105">
        <v>14</v>
      </c>
      <c r="K436" s="96"/>
    </row>
    <row r="437" spans="1:11" x14ac:dyDescent="0.35">
      <c r="A437" s="105" t="s">
        <v>28</v>
      </c>
      <c r="B437" s="105" t="s">
        <v>30</v>
      </c>
      <c r="C437" s="105">
        <v>3</v>
      </c>
      <c r="D437" s="105">
        <v>4</v>
      </c>
      <c r="E437" s="105">
        <v>10</v>
      </c>
      <c r="F437" s="105">
        <v>410</v>
      </c>
      <c r="G437" s="37">
        <v>20</v>
      </c>
      <c r="H437" s="105">
        <v>14</v>
      </c>
      <c r="K437" s="96"/>
    </row>
    <row r="438" spans="1:11" x14ac:dyDescent="0.35">
      <c r="A438" s="105" t="s">
        <v>33</v>
      </c>
      <c r="B438" s="105" t="s">
        <v>30</v>
      </c>
      <c r="C438" s="105">
        <v>3</v>
      </c>
      <c r="D438" s="105">
        <v>4</v>
      </c>
      <c r="E438" s="105">
        <v>12</v>
      </c>
      <c r="F438" s="105">
        <v>412</v>
      </c>
      <c r="G438" s="37">
        <v>21</v>
      </c>
      <c r="H438" s="105">
        <v>14</v>
      </c>
      <c r="K438" s="96"/>
    </row>
    <row r="439" spans="1:11" x14ac:dyDescent="0.35">
      <c r="A439" s="105" t="s">
        <v>33</v>
      </c>
      <c r="B439" s="105" t="s">
        <v>34</v>
      </c>
      <c r="C439" s="105">
        <v>3</v>
      </c>
      <c r="D439" s="105">
        <v>3</v>
      </c>
      <c r="E439" s="105">
        <v>12</v>
      </c>
      <c r="F439" s="105">
        <v>312</v>
      </c>
      <c r="G439" s="37">
        <v>22</v>
      </c>
      <c r="H439" s="105">
        <v>14</v>
      </c>
      <c r="K439" s="96"/>
    </row>
    <row r="440" spans="1:11" x14ac:dyDescent="0.35">
      <c r="A440" s="105" t="s">
        <v>33</v>
      </c>
      <c r="B440" s="105" t="s">
        <v>35</v>
      </c>
      <c r="C440" s="105">
        <v>3</v>
      </c>
      <c r="D440" s="105">
        <v>2</v>
      </c>
      <c r="E440" s="105">
        <v>12</v>
      </c>
      <c r="F440" s="105">
        <v>212</v>
      </c>
      <c r="G440" s="37">
        <v>23</v>
      </c>
      <c r="H440" s="105">
        <v>14</v>
      </c>
      <c r="K440" s="96"/>
    </row>
    <row r="441" spans="1:11" x14ac:dyDescent="0.35">
      <c r="A441" s="105" t="s">
        <v>33</v>
      </c>
      <c r="B441" s="105" t="s">
        <v>29</v>
      </c>
      <c r="C441" s="105">
        <v>3</v>
      </c>
      <c r="D441" s="105">
        <v>1</v>
      </c>
      <c r="E441" s="105">
        <v>12</v>
      </c>
      <c r="F441" s="105">
        <v>112</v>
      </c>
      <c r="G441" s="37">
        <v>24</v>
      </c>
      <c r="H441" s="105">
        <v>14</v>
      </c>
      <c r="K441" s="96"/>
    </row>
    <row r="442" spans="1:11" x14ac:dyDescent="0.35">
      <c r="A442" s="105" t="s">
        <v>28</v>
      </c>
      <c r="B442" s="105" t="s">
        <v>30</v>
      </c>
      <c r="C442" s="105">
        <v>4</v>
      </c>
      <c r="D442" s="105">
        <v>1</v>
      </c>
      <c r="E442" s="105">
        <v>14</v>
      </c>
      <c r="F442" s="105">
        <v>114</v>
      </c>
      <c r="G442" s="37">
        <v>25</v>
      </c>
      <c r="H442" s="105">
        <v>14</v>
      </c>
      <c r="K442" s="96"/>
    </row>
    <row r="443" spans="1:11" x14ac:dyDescent="0.35">
      <c r="A443" s="105" t="s">
        <v>28</v>
      </c>
      <c r="B443" s="105" t="s">
        <v>29</v>
      </c>
      <c r="C443" s="105">
        <v>4</v>
      </c>
      <c r="D443" s="105">
        <v>2</v>
      </c>
      <c r="E443" s="105">
        <v>14</v>
      </c>
      <c r="F443" s="105">
        <v>214</v>
      </c>
      <c r="G443" s="37">
        <v>26</v>
      </c>
      <c r="H443" s="105">
        <v>14</v>
      </c>
      <c r="K443" s="96"/>
    </row>
    <row r="444" spans="1:11" x14ac:dyDescent="0.35">
      <c r="A444" s="105" t="s">
        <v>28</v>
      </c>
      <c r="B444" s="105" t="s">
        <v>32</v>
      </c>
      <c r="C444" s="105">
        <v>4</v>
      </c>
      <c r="D444" s="105">
        <v>3</v>
      </c>
      <c r="E444" s="105">
        <v>14</v>
      </c>
      <c r="F444" s="105">
        <v>314</v>
      </c>
      <c r="G444" s="37">
        <v>27</v>
      </c>
      <c r="H444" s="105">
        <v>14</v>
      </c>
      <c r="I444" s="43">
        <v>45929</v>
      </c>
      <c r="J444" s="96">
        <v>28</v>
      </c>
      <c r="K444" s="96">
        <v>19</v>
      </c>
    </row>
    <row r="445" spans="1:11" x14ac:dyDescent="0.35">
      <c r="A445" s="105" t="s">
        <v>28</v>
      </c>
      <c r="B445" s="105" t="s">
        <v>31</v>
      </c>
      <c r="C445" s="105">
        <v>4</v>
      </c>
      <c r="D445" s="105">
        <v>4</v>
      </c>
      <c r="E445" s="105">
        <v>14</v>
      </c>
      <c r="F445" s="105">
        <v>414</v>
      </c>
      <c r="G445" s="37">
        <v>28</v>
      </c>
      <c r="H445" s="105">
        <v>14</v>
      </c>
    </row>
    <row r="446" spans="1:11" x14ac:dyDescent="0.35">
      <c r="A446" s="105" t="s">
        <v>33</v>
      </c>
      <c r="B446" s="105" t="s">
        <v>35</v>
      </c>
      <c r="C446" s="105">
        <v>4</v>
      </c>
      <c r="D446" s="105">
        <v>4</v>
      </c>
      <c r="E446" s="105">
        <v>16</v>
      </c>
      <c r="F446" s="105">
        <v>416</v>
      </c>
      <c r="G446" s="37">
        <v>29</v>
      </c>
      <c r="H446" s="105">
        <v>14</v>
      </c>
    </row>
    <row r="447" spans="1:11" x14ac:dyDescent="0.35">
      <c r="A447" s="105" t="s">
        <v>33</v>
      </c>
      <c r="B447" s="105" t="s">
        <v>29</v>
      </c>
      <c r="C447" s="105">
        <v>4</v>
      </c>
      <c r="D447" s="105">
        <v>3</v>
      </c>
      <c r="E447" s="105">
        <v>16</v>
      </c>
      <c r="F447" s="105">
        <v>316</v>
      </c>
      <c r="G447" s="37">
        <v>30</v>
      </c>
      <c r="H447" s="105">
        <v>14</v>
      </c>
    </row>
    <row r="448" spans="1:11" x14ac:dyDescent="0.35">
      <c r="A448" s="105" t="s">
        <v>33</v>
      </c>
      <c r="B448" s="105" t="s">
        <v>34</v>
      </c>
      <c r="C448" s="105">
        <v>4</v>
      </c>
      <c r="D448" s="105">
        <v>2</v>
      </c>
      <c r="E448" s="105">
        <v>16</v>
      </c>
      <c r="F448" s="105">
        <v>216</v>
      </c>
      <c r="G448" s="37">
        <v>31</v>
      </c>
      <c r="H448" s="105">
        <v>14</v>
      </c>
    </row>
    <row r="449" spans="1:8" x14ac:dyDescent="0.35">
      <c r="A449" s="105" t="s">
        <v>33</v>
      </c>
      <c r="B449" s="105" t="s">
        <v>30</v>
      </c>
      <c r="C449" s="105">
        <v>4</v>
      </c>
      <c r="D449" s="105">
        <v>1</v>
      </c>
      <c r="E449" s="105">
        <v>16</v>
      </c>
      <c r="F449" s="105">
        <v>116</v>
      </c>
      <c r="G449" s="37">
        <v>32</v>
      </c>
      <c r="H449" s="105">
        <v>14</v>
      </c>
    </row>
  </sheetData>
  <sortState xmlns:xlrd2="http://schemas.microsoft.com/office/spreadsheetml/2017/richdata2" ref="A2:L33">
    <sortCondition ref="E2:E33"/>
  </sortState>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50E2-2A25-4ED5-BF44-84ACC076E308}">
  <dimension ref="A1:L258"/>
  <sheetViews>
    <sheetView topLeftCell="A216" workbookViewId="0">
      <selection activeCell="N12" sqref="N12"/>
    </sheetView>
  </sheetViews>
  <sheetFormatPr defaultRowHeight="14.5" x14ac:dyDescent="0.35"/>
  <cols>
    <col min="1" max="1" width="13.81640625" style="105" customWidth="1"/>
    <col min="2" max="2" width="16.453125" style="105" customWidth="1"/>
    <col min="3" max="3" width="13.54296875" style="105" customWidth="1"/>
    <col min="4" max="7" width="8.81640625" style="105"/>
    <col min="8" max="8" width="13.26953125" style="105" customWidth="1"/>
    <col min="9" max="9" width="14.453125" style="37" customWidth="1"/>
    <col min="10" max="10" width="14.453125" customWidth="1"/>
    <col min="11" max="11" width="19.54296875" customWidth="1"/>
  </cols>
  <sheetData>
    <row r="1" spans="1:12" ht="63" customHeight="1" x14ac:dyDescent="0.35">
      <c r="A1" s="80" t="s">
        <v>20</v>
      </c>
      <c r="B1" s="80" t="s">
        <v>21</v>
      </c>
      <c r="C1" s="80" t="s">
        <v>22</v>
      </c>
      <c r="D1" s="80" t="s">
        <v>23</v>
      </c>
      <c r="E1" s="80" t="s">
        <v>24</v>
      </c>
      <c r="F1" s="80" t="s">
        <v>25</v>
      </c>
      <c r="G1" s="10" t="s">
        <v>26</v>
      </c>
      <c r="H1" s="80" t="s">
        <v>412</v>
      </c>
      <c r="I1" s="10" t="s">
        <v>524</v>
      </c>
      <c r="J1" s="8" t="s">
        <v>521</v>
      </c>
      <c r="K1" s="10" t="s">
        <v>525</v>
      </c>
      <c r="L1" s="9" t="s">
        <v>526</v>
      </c>
    </row>
    <row r="2" spans="1:12" x14ac:dyDescent="0.35">
      <c r="A2" s="105" t="s">
        <v>28</v>
      </c>
      <c r="B2" s="105" t="s">
        <v>29</v>
      </c>
      <c r="C2" s="105">
        <v>1</v>
      </c>
      <c r="D2" s="105">
        <v>1</v>
      </c>
      <c r="E2" s="105">
        <v>2</v>
      </c>
      <c r="F2" s="105">
        <v>102</v>
      </c>
      <c r="G2" s="37">
        <v>1</v>
      </c>
      <c r="H2" s="105">
        <v>1</v>
      </c>
      <c r="I2" s="43">
        <v>45929</v>
      </c>
      <c r="J2" s="96">
        <v>37</v>
      </c>
      <c r="K2" s="96">
        <v>11</v>
      </c>
    </row>
    <row r="3" spans="1:12" x14ac:dyDescent="0.35">
      <c r="A3" s="105" t="s">
        <v>28</v>
      </c>
      <c r="B3" s="105" t="s">
        <v>30</v>
      </c>
      <c r="C3" s="105">
        <v>1</v>
      </c>
      <c r="D3" s="105">
        <v>2</v>
      </c>
      <c r="E3" s="105">
        <v>2</v>
      </c>
      <c r="F3" s="105">
        <v>202</v>
      </c>
      <c r="G3" s="37">
        <v>2</v>
      </c>
      <c r="H3" s="105">
        <v>1</v>
      </c>
      <c r="J3" s="96">
        <v>39</v>
      </c>
      <c r="K3" s="96"/>
    </row>
    <row r="4" spans="1:12" x14ac:dyDescent="0.35">
      <c r="A4" s="105" t="s">
        <v>28</v>
      </c>
      <c r="B4" s="105" t="s">
        <v>31</v>
      </c>
      <c r="C4" s="105">
        <v>1</v>
      </c>
      <c r="D4" s="105">
        <v>3</v>
      </c>
      <c r="E4" s="105">
        <v>2</v>
      </c>
      <c r="F4" s="105">
        <v>302</v>
      </c>
      <c r="G4" s="37">
        <v>3</v>
      </c>
      <c r="H4" s="105">
        <v>1</v>
      </c>
      <c r="J4" s="96">
        <v>29</v>
      </c>
      <c r="K4" s="96"/>
    </row>
    <row r="5" spans="1:12" x14ac:dyDescent="0.35">
      <c r="A5" s="105" t="s">
        <v>28</v>
      </c>
      <c r="B5" s="105" t="s">
        <v>32</v>
      </c>
      <c r="C5" s="105">
        <v>1</v>
      </c>
      <c r="D5" s="105">
        <v>4</v>
      </c>
      <c r="E5" s="105">
        <v>2</v>
      </c>
      <c r="F5" s="105">
        <v>402</v>
      </c>
      <c r="G5" s="37">
        <v>4</v>
      </c>
      <c r="H5" s="105">
        <v>1</v>
      </c>
      <c r="J5" s="96">
        <v>57</v>
      </c>
      <c r="K5" s="96"/>
    </row>
    <row r="6" spans="1:12" x14ac:dyDescent="0.35">
      <c r="A6" s="105" t="s">
        <v>33</v>
      </c>
      <c r="B6" s="105" t="s">
        <v>29</v>
      </c>
      <c r="C6" s="105">
        <v>1</v>
      </c>
      <c r="D6" s="105">
        <v>4</v>
      </c>
      <c r="E6" s="105">
        <v>4</v>
      </c>
      <c r="F6" s="105">
        <v>404</v>
      </c>
      <c r="G6" s="37">
        <v>5</v>
      </c>
      <c r="H6" s="105">
        <v>1</v>
      </c>
      <c r="J6" s="96">
        <v>32</v>
      </c>
      <c r="K6" s="96"/>
    </row>
    <row r="7" spans="1:12" x14ac:dyDescent="0.35">
      <c r="A7" s="105" t="s">
        <v>33</v>
      </c>
      <c r="B7" s="105" t="s">
        <v>35</v>
      </c>
      <c r="C7" s="105">
        <v>1</v>
      </c>
      <c r="D7" s="105">
        <v>3</v>
      </c>
      <c r="E7" s="105">
        <v>4</v>
      </c>
      <c r="F7" s="105">
        <v>304</v>
      </c>
      <c r="G7" s="37">
        <v>6</v>
      </c>
      <c r="H7" s="105">
        <v>1</v>
      </c>
      <c r="J7" s="96">
        <v>23</v>
      </c>
      <c r="K7" s="96"/>
    </row>
    <row r="8" spans="1:12" x14ac:dyDescent="0.35">
      <c r="A8" s="105" t="s">
        <v>33</v>
      </c>
      <c r="B8" s="105" t="s">
        <v>30</v>
      </c>
      <c r="C8" s="105">
        <v>1</v>
      </c>
      <c r="D8" s="105">
        <v>2</v>
      </c>
      <c r="E8" s="105">
        <v>4</v>
      </c>
      <c r="F8" s="105">
        <v>204</v>
      </c>
      <c r="G8" s="37">
        <v>7</v>
      </c>
      <c r="H8" s="105">
        <v>1</v>
      </c>
      <c r="J8" s="96">
        <v>35</v>
      </c>
      <c r="K8" s="96"/>
    </row>
    <row r="9" spans="1:12" x14ac:dyDescent="0.35">
      <c r="A9" s="105" t="s">
        <v>33</v>
      </c>
      <c r="B9" s="105" t="s">
        <v>34</v>
      </c>
      <c r="C9" s="105">
        <v>1</v>
      </c>
      <c r="D9" s="105">
        <v>1</v>
      </c>
      <c r="E9" s="105">
        <v>4</v>
      </c>
      <c r="F9" s="105">
        <v>104</v>
      </c>
      <c r="G9" s="37">
        <v>8</v>
      </c>
      <c r="H9" s="105">
        <v>1</v>
      </c>
      <c r="J9" s="96">
        <v>19</v>
      </c>
      <c r="K9" s="96"/>
    </row>
    <row r="10" spans="1:12" x14ac:dyDescent="0.35">
      <c r="A10" s="105" t="s">
        <v>28</v>
      </c>
      <c r="B10" s="105" t="s">
        <v>31</v>
      </c>
      <c r="C10" s="105">
        <v>2</v>
      </c>
      <c r="D10" s="105">
        <v>1</v>
      </c>
      <c r="E10" s="105">
        <v>6</v>
      </c>
      <c r="F10" s="105">
        <v>106</v>
      </c>
      <c r="G10" s="37">
        <v>9</v>
      </c>
      <c r="H10" s="105">
        <v>1</v>
      </c>
      <c r="J10">
        <v>25</v>
      </c>
      <c r="K10" s="96"/>
    </row>
    <row r="11" spans="1:12" x14ac:dyDescent="0.35">
      <c r="A11" s="105" t="s">
        <v>28</v>
      </c>
      <c r="B11" s="105" t="s">
        <v>32</v>
      </c>
      <c r="C11" s="105">
        <v>2</v>
      </c>
      <c r="D11" s="105">
        <v>2</v>
      </c>
      <c r="E11" s="105">
        <v>6</v>
      </c>
      <c r="F11" s="105">
        <v>206</v>
      </c>
      <c r="G11" s="37">
        <v>10</v>
      </c>
      <c r="H11" s="105">
        <v>1</v>
      </c>
      <c r="J11" s="96">
        <v>38</v>
      </c>
      <c r="K11" s="96"/>
    </row>
    <row r="12" spans="1:12" x14ac:dyDescent="0.35">
      <c r="A12" s="105" t="s">
        <v>28</v>
      </c>
      <c r="B12" s="105" t="s">
        <v>30</v>
      </c>
      <c r="C12" s="105">
        <v>2</v>
      </c>
      <c r="D12" s="105">
        <v>3</v>
      </c>
      <c r="E12" s="105">
        <v>6</v>
      </c>
      <c r="F12" s="105">
        <v>306</v>
      </c>
      <c r="G12" s="37">
        <v>11</v>
      </c>
      <c r="H12" s="105">
        <v>1</v>
      </c>
      <c r="J12" s="96">
        <v>21</v>
      </c>
      <c r="K12" s="96"/>
    </row>
    <row r="13" spans="1:12" x14ac:dyDescent="0.35">
      <c r="A13" s="105" t="s">
        <v>28</v>
      </c>
      <c r="B13" s="105" t="s">
        <v>29</v>
      </c>
      <c r="C13" s="105">
        <v>2</v>
      </c>
      <c r="D13" s="105">
        <v>4</v>
      </c>
      <c r="E13" s="105">
        <v>6</v>
      </c>
      <c r="F13" s="105">
        <v>406</v>
      </c>
      <c r="G13" s="37">
        <v>12</v>
      </c>
      <c r="H13" s="105">
        <v>1</v>
      </c>
      <c r="I13" s="43">
        <v>45929</v>
      </c>
      <c r="J13" s="96">
        <v>49</v>
      </c>
      <c r="K13" s="96">
        <v>18</v>
      </c>
    </row>
    <row r="14" spans="1:12" x14ac:dyDescent="0.35">
      <c r="A14" s="105" t="s">
        <v>33</v>
      </c>
      <c r="B14" s="105" t="s">
        <v>34</v>
      </c>
      <c r="C14" s="105">
        <v>2</v>
      </c>
      <c r="D14" s="105">
        <v>4</v>
      </c>
      <c r="E14" s="105">
        <v>8</v>
      </c>
      <c r="F14" s="105">
        <v>408</v>
      </c>
      <c r="G14" s="37">
        <v>13</v>
      </c>
      <c r="H14" s="105">
        <v>1</v>
      </c>
      <c r="J14" s="96">
        <v>37</v>
      </c>
      <c r="K14" s="96"/>
    </row>
    <row r="15" spans="1:12" x14ac:dyDescent="0.35">
      <c r="A15" s="105" t="s">
        <v>33</v>
      </c>
      <c r="B15" s="105" t="s">
        <v>30</v>
      </c>
      <c r="C15" s="105">
        <v>2</v>
      </c>
      <c r="D15" s="105">
        <v>3</v>
      </c>
      <c r="E15" s="105">
        <v>8</v>
      </c>
      <c r="F15" s="105">
        <v>308</v>
      </c>
      <c r="G15" s="37">
        <v>14</v>
      </c>
      <c r="H15" s="105">
        <v>1</v>
      </c>
      <c r="J15" s="96">
        <v>33</v>
      </c>
      <c r="K15" s="96"/>
    </row>
    <row r="16" spans="1:12" x14ac:dyDescent="0.35">
      <c r="A16" s="105" t="s">
        <v>33</v>
      </c>
      <c r="B16" s="105" t="s">
        <v>29</v>
      </c>
      <c r="C16" s="105">
        <v>2</v>
      </c>
      <c r="D16" s="105">
        <v>2</v>
      </c>
      <c r="E16" s="105">
        <v>8</v>
      </c>
      <c r="F16" s="105">
        <v>208</v>
      </c>
      <c r="G16" s="37">
        <v>15</v>
      </c>
      <c r="H16" s="105">
        <v>1</v>
      </c>
      <c r="J16" s="96">
        <v>36</v>
      </c>
      <c r="K16" s="96"/>
    </row>
    <row r="17" spans="1:11" x14ac:dyDescent="0.35">
      <c r="A17" s="105" t="s">
        <v>33</v>
      </c>
      <c r="B17" s="105" t="s">
        <v>35</v>
      </c>
      <c r="C17" s="105">
        <v>2</v>
      </c>
      <c r="D17" s="105">
        <v>1</v>
      </c>
      <c r="E17" s="105">
        <v>8</v>
      </c>
      <c r="F17" s="105">
        <v>108</v>
      </c>
      <c r="G17" s="37">
        <v>16</v>
      </c>
      <c r="H17" s="105">
        <v>1</v>
      </c>
      <c r="J17" s="96">
        <v>34</v>
      </c>
      <c r="K17" s="96"/>
    </row>
    <row r="18" spans="1:11" x14ac:dyDescent="0.35">
      <c r="A18" s="105" t="s">
        <v>28</v>
      </c>
      <c r="B18" s="105" t="s">
        <v>32</v>
      </c>
      <c r="C18" s="105">
        <v>3</v>
      </c>
      <c r="D18" s="105">
        <v>1</v>
      </c>
      <c r="E18" s="105">
        <v>10</v>
      </c>
      <c r="F18" s="105">
        <v>110</v>
      </c>
      <c r="G18" s="37">
        <v>17</v>
      </c>
      <c r="H18" s="105">
        <v>1</v>
      </c>
      <c r="J18" s="96">
        <v>47</v>
      </c>
      <c r="K18" s="96"/>
    </row>
    <row r="19" spans="1:11" x14ac:dyDescent="0.35">
      <c r="A19" s="105" t="s">
        <v>28</v>
      </c>
      <c r="B19" s="105" t="s">
        <v>31</v>
      </c>
      <c r="C19" s="105">
        <v>3</v>
      </c>
      <c r="D19" s="105">
        <v>2</v>
      </c>
      <c r="E19" s="105">
        <v>10</v>
      </c>
      <c r="F19" s="105">
        <v>210</v>
      </c>
      <c r="G19" s="37">
        <v>18</v>
      </c>
      <c r="H19" s="105">
        <v>1</v>
      </c>
      <c r="J19">
        <v>40</v>
      </c>
      <c r="K19" s="96"/>
    </row>
    <row r="20" spans="1:11" x14ac:dyDescent="0.35">
      <c r="A20" s="105" t="s">
        <v>28</v>
      </c>
      <c r="B20" s="105" t="s">
        <v>29</v>
      </c>
      <c r="C20" s="105">
        <v>3</v>
      </c>
      <c r="D20" s="105">
        <v>3</v>
      </c>
      <c r="E20" s="105">
        <v>10</v>
      </c>
      <c r="F20" s="105">
        <v>310</v>
      </c>
      <c r="G20" s="37">
        <v>19</v>
      </c>
      <c r="H20" s="105">
        <v>1</v>
      </c>
      <c r="I20" s="43">
        <v>45929</v>
      </c>
      <c r="J20" s="96">
        <v>23</v>
      </c>
      <c r="K20" s="96">
        <v>1</v>
      </c>
    </row>
    <row r="21" spans="1:11" x14ac:dyDescent="0.35">
      <c r="A21" s="105" t="s">
        <v>28</v>
      </c>
      <c r="B21" s="105" t="s">
        <v>30</v>
      </c>
      <c r="C21" s="105">
        <v>3</v>
      </c>
      <c r="D21" s="105">
        <v>4</v>
      </c>
      <c r="E21" s="105">
        <v>10</v>
      </c>
      <c r="F21" s="105">
        <v>410</v>
      </c>
      <c r="G21" s="37">
        <v>20</v>
      </c>
      <c r="H21" s="105">
        <v>1</v>
      </c>
      <c r="J21" s="96">
        <v>44</v>
      </c>
      <c r="K21" s="96"/>
    </row>
    <row r="22" spans="1:11" x14ac:dyDescent="0.35">
      <c r="A22" s="105" t="s">
        <v>33</v>
      </c>
      <c r="B22" s="105" t="s">
        <v>30</v>
      </c>
      <c r="C22" s="105">
        <v>3</v>
      </c>
      <c r="D22" s="105">
        <v>4</v>
      </c>
      <c r="E22" s="105">
        <v>12</v>
      </c>
      <c r="F22" s="105">
        <v>412</v>
      </c>
      <c r="G22" s="37">
        <v>21</v>
      </c>
      <c r="H22" s="105">
        <v>1</v>
      </c>
      <c r="J22" s="96">
        <v>41</v>
      </c>
      <c r="K22" s="96"/>
    </row>
    <row r="23" spans="1:11" x14ac:dyDescent="0.35">
      <c r="A23" s="105" t="s">
        <v>33</v>
      </c>
      <c r="B23" s="105" t="s">
        <v>34</v>
      </c>
      <c r="C23" s="105">
        <v>3</v>
      </c>
      <c r="D23" s="105">
        <v>3</v>
      </c>
      <c r="E23" s="105">
        <v>12</v>
      </c>
      <c r="F23" s="105">
        <v>312</v>
      </c>
      <c r="G23" s="37">
        <v>22</v>
      </c>
      <c r="H23" s="105">
        <v>1</v>
      </c>
      <c r="J23" s="96">
        <v>15</v>
      </c>
      <c r="K23" s="96"/>
    </row>
    <row r="24" spans="1:11" x14ac:dyDescent="0.35">
      <c r="A24" s="105" t="s">
        <v>33</v>
      </c>
      <c r="B24" s="105" t="s">
        <v>35</v>
      </c>
      <c r="C24" s="105">
        <v>3</v>
      </c>
      <c r="D24" s="105">
        <v>2</v>
      </c>
      <c r="E24" s="105">
        <v>12</v>
      </c>
      <c r="F24" s="105">
        <v>212</v>
      </c>
      <c r="G24" s="37">
        <v>23</v>
      </c>
      <c r="H24" s="105">
        <v>1</v>
      </c>
      <c r="J24" s="96">
        <v>33</v>
      </c>
      <c r="K24" s="96"/>
    </row>
    <row r="25" spans="1:11" x14ac:dyDescent="0.35">
      <c r="A25" s="105" t="s">
        <v>33</v>
      </c>
      <c r="B25" s="105" t="s">
        <v>29</v>
      </c>
      <c r="C25" s="105">
        <v>3</v>
      </c>
      <c r="D25" s="105">
        <v>1</v>
      </c>
      <c r="E25" s="105">
        <v>12</v>
      </c>
      <c r="F25" s="105">
        <v>112</v>
      </c>
      <c r="G25" s="37">
        <v>24</v>
      </c>
      <c r="H25" s="105">
        <v>1</v>
      </c>
      <c r="J25" s="96">
        <v>25</v>
      </c>
      <c r="K25" s="96"/>
    </row>
    <row r="26" spans="1:11" x14ac:dyDescent="0.35">
      <c r="A26" s="105" t="s">
        <v>28</v>
      </c>
      <c r="B26" s="105" t="s">
        <v>30</v>
      </c>
      <c r="C26" s="105">
        <v>4</v>
      </c>
      <c r="D26" s="105">
        <v>1</v>
      </c>
      <c r="E26" s="105">
        <v>14</v>
      </c>
      <c r="F26" s="105">
        <v>114</v>
      </c>
      <c r="G26" s="37">
        <v>25</v>
      </c>
      <c r="H26" s="105">
        <v>1</v>
      </c>
      <c r="J26" s="96">
        <v>48</v>
      </c>
      <c r="K26" s="96"/>
    </row>
    <row r="27" spans="1:11" x14ac:dyDescent="0.35">
      <c r="A27" s="105" t="s">
        <v>28</v>
      </c>
      <c r="B27" s="105" t="s">
        <v>29</v>
      </c>
      <c r="C27" s="105">
        <v>4</v>
      </c>
      <c r="D27" s="105">
        <v>2</v>
      </c>
      <c r="E27" s="105">
        <v>14</v>
      </c>
      <c r="F27" s="105">
        <v>214</v>
      </c>
      <c r="G27" s="37">
        <v>26</v>
      </c>
      <c r="H27" s="105">
        <v>1</v>
      </c>
      <c r="I27" s="43">
        <v>45929</v>
      </c>
      <c r="J27" s="96">
        <v>47</v>
      </c>
      <c r="K27" s="96">
        <v>2</v>
      </c>
    </row>
    <row r="28" spans="1:11" x14ac:dyDescent="0.35">
      <c r="A28" s="105" t="s">
        <v>28</v>
      </c>
      <c r="B28" s="105" t="s">
        <v>32</v>
      </c>
      <c r="C28" s="105">
        <v>4</v>
      </c>
      <c r="D28" s="105">
        <v>3</v>
      </c>
      <c r="E28" s="105">
        <v>14</v>
      </c>
      <c r="F28" s="105">
        <v>314</v>
      </c>
      <c r="G28" s="37">
        <v>27</v>
      </c>
      <c r="H28" s="105">
        <v>1</v>
      </c>
      <c r="J28" s="96">
        <v>28</v>
      </c>
      <c r="K28" s="37"/>
    </row>
    <row r="29" spans="1:11" x14ac:dyDescent="0.35">
      <c r="A29" s="105" t="s">
        <v>28</v>
      </c>
      <c r="B29" s="105" t="s">
        <v>31</v>
      </c>
      <c r="C29" s="105">
        <v>4</v>
      </c>
      <c r="D29" s="105">
        <v>4</v>
      </c>
      <c r="E29" s="105">
        <v>14</v>
      </c>
      <c r="F29" s="105">
        <v>414</v>
      </c>
      <c r="G29" s="37">
        <v>28</v>
      </c>
      <c r="H29" s="105">
        <v>1</v>
      </c>
      <c r="J29">
        <v>28</v>
      </c>
      <c r="K29" s="37"/>
    </row>
    <row r="30" spans="1:11" x14ac:dyDescent="0.35">
      <c r="A30" s="105" t="s">
        <v>33</v>
      </c>
      <c r="B30" s="105" t="s">
        <v>35</v>
      </c>
      <c r="C30" s="105">
        <v>4</v>
      </c>
      <c r="D30" s="105">
        <v>4</v>
      </c>
      <c r="E30" s="105">
        <v>16</v>
      </c>
      <c r="F30" s="105">
        <v>416</v>
      </c>
      <c r="G30" s="37">
        <v>29</v>
      </c>
      <c r="H30" s="105">
        <v>1</v>
      </c>
      <c r="J30" s="96">
        <v>46</v>
      </c>
      <c r="K30" s="33"/>
    </row>
    <row r="31" spans="1:11" x14ac:dyDescent="0.35">
      <c r="A31" s="105" t="s">
        <v>33</v>
      </c>
      <c r="B31" s="105" t="s">
        <v>29</v>
      </c>
      <c r="C31" s="105">
        <v>4</v>
      </c>
      <c r="D31" s="105">
        <v>3</v>
      </c>
      <c r="E31" s="105">
        <v>16</v>
      </c>
      <c r="F31" s="105">
        <v>316</v>
      </c>
      <c r="G31" s="37">
        <v>30</v>
      </c>
      <c r="H31" s="105">
        <v>1</v>
      </c>
      <c r="J31" s="96">
        <v>45</v>
      </c>
      <c r="K31" s="33"/>
    </row>
    <row r="32" spans="1:11" x14ac:dyDescent="0.35">
      <c r="A32" s="105" t="s">
        <v>33</v>
      </c>
      <c r="B32" s="105" t="s">
        <v>34</v>
      </c>
      <c r="C32" s="105">
        <v>4</v>
      </c>
      <c r="D32" s="105">
        <v>2</v>
      </c>
      <c r="E32" s="105">
        <v>16</v>
      </c>
      <c r="F32" s="105">
        <v>216</v>
      </c>
      <c r="G32" s="37">
        <v>31</v>
      </c>
      <c r="H32" s="105">
        <v>1</v>
      </c>
      <c r="J32" s="96">
        <v>27</v>
      </c>
      <c r="K32" s="33"/>
    </row>
    <row r="33" spans="1:11" x14ac:dyDescent="0.35">
      <c r="A33" s="105" t="s">
        <v>33</v>
      </c>
      <c r="B33" s="105" t="s">
        <v>30</v>
      </c>
      <c r="C33" s="105">
        <v>4</v>
      </c>
      <c r="D33" s="105">
        <v>1</v>
      </c>
      <c r="E33" s="105">
        <v>16</v>
      </c>
      <c r="F33" s="105">
        <v>116</v>
      </c>
      <c r="G33" s="37">
        <v>32</v>
      </c>
      <c r="H33" s="105">
        <v>1</v>
      </c>
      <c r="J33" s="96">
        <v>38</v>
      </c>
      <c r="K33" s="33"/>
    </row>
    <row r="34" spans="1:11" x14ac:dyDescent="0.35">
      <c r="A34" s="105" t="s">
        <v>28</v>
      </c>
      <c r="B34" s="105" t="s">
        <v>29</v>
      </c>
      <c r="C34" s="105">
        <v>1</v>
      </c>
      <c r="D34" s="105">
        <v>1</v>
      </c>
      <c r="E34" s="105">
        <v>2</v>
      </c>
      <c r="F34" s="105">
        <v>102</v>
      </c>
      <c r="G34" s="37">
        <v>1</v>
      </c>
      <c r="H34" s="105">
        <v>2</v>
      </c>
      <c r="I34" s="43">
        <v>45931</v>
      </c>
      <c r="J34" s="96">
        <v>37</v>
      </c>
      <c r="K34" s="96">
        <v>29</v>
      </c>
    </row>
    <row r="35" spans="1:11" x14ac:dyDescent="0.35">
      <c r="A35" s="105" t="s">
        <v>28</v>
      </c>
      <c r="B35" s="105" t="s">
        <v>30</v>
      </c>
      <c r="C35" s="105">
        <v>1</v>
      </c>
      <c r="D35" s="105">
        <v>2</v>
      </c>
      <c r="E35" s="105">
        <v>2</v>
      </c>
      <c r="F35" s="105">
        <v>202</v>
      </c>
      <c r="G35" s="37">
        <v>2</v>
      </c>
      <c r="H35" s="105">
        <v>2</v>
      </c>
      <c r="I35" s="43">
        <v>45931</v>
      </c>
      <c r="J35" s="96">
        <v>39</v>
      </c>
      <c r="K35" s="96">
        <v>12</v>
      </c>
    </row>
    <row r="36" spans="1:11" x14ac:dyDescent="0.35">
      <c r="A36" s="105" t="s">
        <v>28</v>
      </c>
      <c r="B36" s="105" t="s">
        <v>31</v>
      </c>
      <c r="C36" s="105">
        <v>1</v>
      </c>
      <c r="D36" s="105">
        <v>3</v>
      </c>
      <c r="E36" s="105">
        <v>2</v>
      </c>
      <c r="F36" s="105">
        <v>302</v>
      </c>
      <c r="G36" s="37">
        <v>3</v>
      </c>
      <c r="H36" s="105">
        <v>2</v>
      </c>
      <c r="I36" s="43">
        <v>45931</v>
      </c>
      <c r="J36" s="96">
        <v>29</v>
      </c>
      <c r="K36" s="96">
        <v>5</v>
      </c>
    </row>
    <row r="37" spans="1:11" x14ac:dyDescent="0.35">
      <c r="A37" s="105" t="s">
        <v>28</v>
      </c>
      <c r="B37" s="105" t="s">
        <v>32</v>
      </c>
      <c r="C37" s="105">
        <v>1</v>
      </c>
      <c r="D37" s="105">
        <v>4</v>
      </c>
      <c r="E37" s="105">
        <v>2</v>
      </c>
      <c r="F37" s="105">
        <v>402</v>
      </c>
      <c r="G37" s="37">
        <v>4</v>
      </c>
      <c r="H37" s="105">
        <v>2</v>
      </c>
      <c r="J37" s="96">
        <v>57</v>
      </c>
      <c r="K37" s="96"/>
    </row>
    <row r="38" spans="1:11" x14ac:dyDescent="0.35">
      <c r="A38" s="105" t="s">
        <v>33</v>
      </c>
      <c r="B38" s="105" t="s">
        <v>29</v>
      </c>
      <c r="C38" s="105">
        <v>1</v>
      </c>
      <c r="D38" s="105">
        <v>4</v>
      </c>
      <c r="E38" s="105">
        <v>4</v>
      </c>
      <c r="F38" s="105">
        <v>404</v>
      </c>
      <c r="G38" s="37">
        <v>5</v>
      </c>
      <c r="H38" s="105">
        <v>2</v>
      </c>
      <c r="J38" s="96">
        <v>32</v>
      </c>
      <c r="K38" s="96"/>
    </row>
    <row r="39" spans="1:11" x14ac:dyDescent="0.35">
      <c r="A39" s="105" t="s">
        <v>33</v>
      </c>
      <c r="B39" s="105" t="s">
        <v>35</v>
      </c>
      <c r="C39" s="105">
        <v>1</v>
      </c>
      <c r="D39" s="105">
        <v>3</v>
      </c>
      <c r="E39" s="105">
        <v>4</v>
      </c>
      <c r="F39" s="105">
        <v>304</v>
      </c>
      <c r="G39" s="37">
        <v>6</v>
      </c>
      <c r="H39" s="105">
        <v>2</v>
      </c>
      <c r="J39" s="96">
        <v>23</v>
      </c>
      <c r="K39" s="96"/>
    </row>
    <row r="40" spans="1:11" x14ac:dyDescent="0.35">
      <c r="A40" s="105" t="s">
        <v>33</v>
      </c>
      <c r="B40" s="105" t="s">
        <v>30</v>
      </c>
      <c r="C40" s="105">
        <v>1</v>
      </c>
      <c r="D40" s="105">
        <v>2</v>
      </c>
      <c r="E40" s="105">
        <v>4</v>
      </c>
      <c r="F40" s="105">
        <v>204</v>
      </c>
      <c r="G40" s="37">
        <v>7</v>
      </c>
      <c r="H40" s="105">
        <v>2</v>
      </c>
      <c r="J40" s="96">
        <v>35</v>
      </c>
      <c r="K40" s="96"/>
    </row>
    <row r="41" spans="1:11" x14ac:dyDescent="0.35">
      <c r="A41" s="105" t="s">
        <v>33</v>
      </c>
      <c r="B41" s="105" t="s">
        <v>34</v>
      </c>
      <c r="C41" s="105">
        <v>1</v>
      </c>
      <c r="D41" s="105">
        <v>1</v>
      </c>
      <c r="E41" s="105">
        <v>4</v>
      </c>
      <c r="F41" s="105">
        <v>104</v>
      </c>
      <c r="G41" s="37">
        <v>8</v>
      </c>
      <c r="H41" s="105">
        <v>2</v>
      </c>
      <c r="J41" s="96">
        <v>19</v>
      </c>
      <c r="K41" s="96"/>
    </row>
    <row r="42" spans="1:11" x14ac:dyDescent="0.35">
      <c r="A42" s="105" t="s">
        <v>28</v>
      </c>
      <c r="B42" s="105" t="s">
        <v>31</v>
      </c>
      <c r="C42" s="105">
        <v>2</v>
      </c>
      <c r="D42" s="105">
        <v>1</v>
      </c>
      <c r="E42" s="105">
        <v>6</v>
      </c>
      <c r="F42" s="105">
        <v>106</v>
      </c>
      <c r="G42" s="37">
        <v>9</v>
      </c>
      <c r="H42" s="105">
        <v>2</v>
      </c>
      <c r="I42" s="43">
        <v>45931</v>
      </c>
      <c r="J42">
        <v>25</v>
      </c>
      <c r="K42" s="96">
        <v>1</v>
      </c>
    </row>
    <row r="43" spans="1:11" x14ac:dyDescent="0.35">
      <c r="A43" s="105" t="s">
        <v>28</v>
      </c>
      <c r="B43" s="105" t="s">
        <v>32</v>
      </c>
      <c r="C43" s="105">
        <v>2</v>
      </c>
      <c r="D43" s="105">
        <v>2</v>
      </c>
      <c r="E43" s="105">
        <v>6</v>
      </c>
      <c r="F43" s="105">
        <v>206</v>
      </c>
      <c r="G43" s="37">
        <v>10</v>
      </c>
      <c r="H43" s="105">
        <v>2</v>
      </c>
      <c r="J43" s="96">
        <v>38</v>
      </c>
      <c r="K43" s="96"/>
    </row>
    <row r="44" spans="1:11" x14ac:dyDescent="0.35">
      <c r="A44" s="105" t="s">
        <v>28</v>
      </c>
      <c r="B44" s="105" t="s">
        <v>30</v>
      </c>
      <c r="C44" s="105">
        <v>2</v>
      </c>
      <c r="D44" s="105">
        <v>3</v>
      </c>
      <c r="E44" s="105">
        <v>6</v>
      </c>
      <c r="F44" s="105">
        <v>306</v>
      </c>
      <c r="G44" s="37">
        <v>11</v>
      </c>
      <c r="H44" s="105">
        <v>2</v>
      </c>
      <c r="I44" s="43">
        <v>45931</v>
      </c>
      <c r="J44" s="96">
        <v>21</v>
      </c>
      <c r="K44" s="96">
        <v>1</v>
      </c>
    </row>
    <row r="45" spans="1:11" x14ac:dyDescent="0.35">
      <c r="A45" s="105" t="s">
        <v>28</v>
      </c>
      <c r="B45" s="105" t="s">
        <v>29</v>
      </c>
      <c r="C45" s="105">
        <v>2</v>
      </c>
      <c r="D45" s="105">
        <v>4</v>
      </c>
      <c r="E45" s="105">
        <v>6</v>
      </c>
      <c r="F45" s="105">
        <v>406</v>
      </c>
      <c r="G45" s="37">
        <v>12</v>
      </c>
      <c r="H45" s="105">
        <v>2</v>
      </c>
      <c r="I45" s="43">
        <v>45931</v>
      </c>
      <c r="J45" s="96">
        <v>49</v>
      </c>
      <c r="K45" s="96">
        <v>40</v>
      </c>
    </row>
    <row r="46" spans="1:11" x14ac:dyDescent="0.35">
      <c r="A46" s="105" t="s">
        <v>33</v>
      </c>
      <c r="B46" s="105" t="s">
        <v>34</v>
      </c>
      <c r="C46" s="105">
        <v>2</v>
      </c>
      <c r="D46" s="105">
        <v>4</v>
      </c>
      <c r="E46" s="105">
        <v>8</v>
      </c>
      <c r="F46" s="105">
        <v>408</v>
      </c>
      <c r="G46" s="37">
        <v>13</v>
      </c>
      <c r="H46" s="105">
        <v>2</v>
      </c>
      <c r="J46" s="96">
        <v>37</v>
      </c>
      <c r="K46" s="96"/>
    </row>
    <row r="47" spans="1:11" x14ac:dyDescent="0.35">
      <c r="A47" s="105" t="s">
        <v>33</v>
      </c>
      <c r="B47" s="105" t="s">
        <v>30</v>
      </c>
      <c r="C47" s="105">
        <v>2</v>
      </c>
      <c r="D47" s="105">
        <v>3</v>
      </c>
      <c r="E47" s="105">
        <v>8</v>
      </c>
      <c r="F47" s="105">
        <v>308</v>
      </c>
      <c r="G47" s="37">
        <v>14</v>
      </c>
      <c r="H47" s="105">
        <v>2</v>
      </c>
      <c r="J47" s="96">
        <v>33</v>
      </c>
      <c r="K47" s="96"/>
    </row>
    <row r="48" spans="1:11" x14ac:dyDescent="0.35">
      <c r="A48" s="105" t="s">
        <v>33</v>
      </c>
      <c r="B48" s="105" t="s">
        <v>29</v>
      </c>
      <c r="C48" s="105">
        <v>2</v>
      </c>
      <c r="D48" s="105">
        <v>2</v>
      </c>
      <c r="E48" s="105">
        <v>8</v>
      </c>
      <c r="F48" s="105">
        <v>208</v>
      </c>
      <c r="G48" s="37">
        <v>15</v>
      </c>
      <c r="H48" s="105">
        <v>2</v>
      </c>
      <c r="J48" s="96">
        <v>36</v>
      </c>
      <c r="K48" s="96"/>
    </row>
    <row r="49" spans="1:11" x14ac:dyDescent="0.35">
      <c r="A49" s="105" t="s">
        <v>33</v>
      </c>
      <c r="B49" s="105" t="s">
        <v>35</v>
      </c>
      <c r="C49" s="105">
        <v>2</v>
      </c>
      <c r="D49" s="105">
        <v>1</v>
      </c>
      <c r="E49" s="105">
        <v>8</v>
      </c>
      <c r="F49" s="105">
        <v>108</v>
      </c>
      <c r="G49" s="37">
        <v>16</v>
      </c>
      <c r="H49" s="105">
        <v>2</v>
      </c>
      <c r="J49" s="96">
        <v>34</v>
      </c>
      <c r="K49" s="96"/>
    </row>
    <row r="50" spans="1:11" x14ac:dyDescent="0.35">
      <c r="A50" s="105" t="s">
        <v>28</v>
      </c>
      <c r="B50" s="105" t="s">
        <v>32</v>
      </c>
      <c r="C50" s="105">
        <v>3</v>
      </c>
      <c r="D50" s="105">
        <v>1</v>
      </c>
      <c r="E50" s="105">
        <v>10</v>
      </c>
      <c r="F50" s="105">
        <v>110</v>
      </c>
      <c r="G50" s="37">
        <v>17</v>
      </c>
      <c r="H50" s="105">
        <v>2</v>
      </c>
      <c r="J50" s="96">
        <v>47</v>
      </c>
      <c r="K50" s="96"/>
    </row>
    <row r="51" spans="1:11" x14ac:dyDescent="0.35">
      <c r="A51" s="105" t="s">
        <v>28</v>
      </c>
      <c r="B51" s="105" t="s">
        <v>31</v>
      </c>
      <c r="C51" s="105">
        <v>3</v>
      </c>
      <c r="D51" s="105">
        <v>2</v>
      </c>
      <c r="E51" s="105">
        <v>10</v>
      </c>
      <c r="F51" s="105">
        <v>210</v>
      </c>
      <c r="G51" s="37">
        <v>18</v>
      </c>
      <c r="H51" s="105">
        <v>2</v>
      </c>
      <c r="J51">
        <v>40</v>
      </c>
      <c r="K51" s="96"/>
    </row>
    <row r="52" spans="1:11" x14ac:dyDescent="0.35">
      <c r="A52" s="105" t="s">
        <v>28</v>
      </c>
      <c r="B52" s="105" t="s">
        <v>29</v>
      </c>
      <c r="C52" s="105">
        <v>3</v>
      </c>
      <c r="D52" s="105">
        <v>3</v>
      </c>
      <c r="E52" s="105">
        <v>10</v>
      </c>
      <c r="F52" s="105">
        <v>310</v>
      </c>
      <c r="G52" s="37">
        <v>19</v>
      </c>
      <c r="H52" s="105">
        <v>2</v>
      </c>
      <c r="I52" s="43">
        <v>45931</v>
      </c>
      <c r="J52" s="96">
        <v>23</v>
      </c>
      <c r="K52" s="96">
        <v>8</v>
      </c>
    </row>
    <row r="53" spans="1:11" x14ac:dyDescent="0.35">
      <c r="A53" s="105" t="s">
        <v>28</v>
      </c>
      <c r="B53" s="105" t="s">
        <v>30</v>
      </c>
      <c r="C53" s="105">
        <v>3</v>
      </c>
      <c r="D53" s="105">
        <v>4</v>
      </c>
      <c r="E53" s="105">
        <v>10</v>
      </c>
      <c r="F53" s="105">
        <v>410</v>
      </c>
      <c r="G53" s="37">
        <v>20</v>
      </c>
      <c r="H53" s="105">
        <v>2</v>
      </c>
      <c r="I53" s="43">
        <v>45931</v>
      </c>
      <c r="J53" s="96">
        <v>44</v>
      </c>
      <c r="K53" s="96">
        <v>4</v>
      </c>
    </row>
    <row r="54" spans="1:11" x14ac:dyDescent="0.35">
      <c r="A54" s="105" t="s">
        <v>33</v>
      </c>
      <c r="B54" s="105" t="s">
        <v>30</v>
      </c>
      <c r="C54" s="105">
        <v>3</v>
      </c>
      <c r="D54" s="105">
        <v>4</v>
      </c>
      <c r="E54" s="105">
        <v>12</v>
      </c>
      <c r="F54" s="105">
        <v>412</v>
      </c>
      <c r="G54" s="37">
        <v>21</v>
      </c>
      <c r="H54" s="105">
        <v>2</v>
      </c>
      <c r="J54" s="96">
        <v>41</v>
      </c>
      <c r="K54" s="96"/>
    </row>
    <row r="55" spans="1:11" x14ac:dyDescent="0.35">
      <c r="A55" s="105" t="s">
        <v>33</v>
      </c>
      <c r="B55" s="105" t="s">
        <v>34</v>
      </c>
      <c r="C55" s="105">
        <v>3</v>
      </c>
      <c r="D55" s="105">
        <v>3</v>
      </c>
      <c r="E55" s="105">
        <v>12</v>
      </c>
      <c r="F55" s="105">
        <v>312</v>
      </c>
      <c r="G55" s="37">
        <v>22</v>
      </c>
      <c r="H55" s="105">
        <v>2</v>
      </c>
      <c r="J55" s="96">
        <v>15</v>
      </c>
      <c r="K55" s="96"/>
    </row>
    <row r="56" spans="1:11" x14ac:dyDescent="0.35">
      <c r="A56" s="105" t="s">
        <v>33</v>
      </c>
      <c r="B56" s="105" t="s">
        <v>35</v>
      </c>
      <c r="C56" s="105">
        <v>3</v>
      </c>
      <c r="D56" s="105">
        <v>2</v>
      </c>
      <c r="E56" s="105">
        <v>12</v>
      </c>
      <c r="F56" s="105">
        <v>212</v>
      </c>
      <c r="G56" s="37">
        <v>23</v>
      </c>
      <c r="H56" s="105">
        <v>2</v>
      </c>
      <c r="J56" s="96">
        <v>33</v>
      </c>
      <c r="K56" s="96"/>
    </row>
    <row r="57" spans="1:11" x14ac:dyDescent="0.35">
      <c r="A57" s="105" t="s">
        <v>33</v>
      </c>
      <c r="B57" s="105" t="s">
        <v>29</v>
      </c>
      <c r="C57" s="105">
        <v>3</v>
      </c>
      <c r="D57" s="105">
        <v>1</v>
      </c>
      <c r="E57" s="105">
        <v>12</v>
      </c>
      <c r="F57" s="105">
        <v>112</v>
      </c>
      <c r="G57" s="37">
        <v>24</v>
      </c>
      <c r="H57" s="105">
        <v>2</v>
      </c>
      <c r="J57" s="96">
        <v>25</v>
      </c>
      <c r="K57" s="96"/>
    </row>
    <row r="58" spans="1:11" x14ac:dyDescent="0.35">
      <c r="A58" s="105" t="s">
        <v>28</v>
      </c>
      <c r="B58" s="105" t="s">
        <v>30</v>
      </c>
      <c r="C58" s="105">
        <v>4</v>
      </c>
      <c r="D58" s="105">
        <v>1</v>
      </c>
      <c r="E58" s="105">
        <v>14</v>
      </c>
      <c r="F58" s="105">
        <v>114</v>
      </c>
      <c r="G58" s="37">
        <v>25</v>
      </c>
      <c r="H58" s="105">
        <v>2</v>
      </c>
      <c r="I58" s="43">
        <v>45931</v>
      </c>
      <c r="J58" s="96">
        <v>48</v>
      </c>
      <c r="K58" s="96">
        <v>3</v>
      </c>
    </row>
    <row r="59" spans="1:11" x14ac:dyDescent="0.35">
      <c r="A59" s="105" t="s">
        <v>28</v>
      </c>
      <c r="B59" s="105" t="s">
        <v>29</v>
      </c>
      <c r="C59" s="105">
        <v>4</v>
      </c>
      <c r="D59" s="105">
        <v>2</v>
      </c>
      <c r="E59" s="105">
        <v>14</v>
      </c>
      <c r="F59" s="105">
        <v>214</v>
      </c>
      <c r="G59" s="37">
        <v>26</v>
      </c>
      <c r="H59" s="105">
        <v>2</v>
      </c>
      <c r="I59" s="43">
        <v>45931</v>
      </c>
      <c r="J59" s="96">
        <v>47</v>
      </c>
      <c r="K59" s="96">
        <v>21</v>
      </c>
    </row>
    <row r="60" spans="1:11" x14ac:dyDescent="0.35">
      <c r="A60" s="105" t="s">
        <v>28</v>
      </c>
      <c r="B60" s="105" t="s">
        <v>32</v>
      </c>
      <c r="C60" s="105">
        <v>4</v>
      </c>
      <c r="D60" s="105">
        <v>3</v>
      </c>
      <c r="E60" s="105">
        <v>14</v>
      </c>
      <c r="F60" s="105">
        <v>314</v>
      </c>
      <c r="G60" s="37">
        <v>27</v>
      </c>
      <c r="H60" s="105">
        <v>2</v>
      </c>
      <c r="J60" s="96">
        <v>28</v>
      </c>
      <c r="K60" s="96"/>
    </row>
    <row r="61" spans="1:11" x14ac:dyDescent="0.35">
      <c r="A61" s="105" t="s">
        <v>28</v>
      </c>
      <c r="B61" s="105" t="s">
        <v>31</v>
      </c>
      <c r="C61" s="105">
        <v>4</v>
      </c>
      <c r="D61" s="105">
        <v>4</v>
      </c>
      <c r="E61" s="105">
        <v>14</v>
      </c>
      <c r="F61" s="105">
        <v>414</v>
      </c>
      <c r="G61" s="37">
        <v>28</v>
      </c>
      <c r="H61" s="105">
        <v>2</v>
      </c>
      <c r="J61">
        <v>28</v>
      </c>
      <c r="K61" s="96"/>
    </row>
    <row r="62" spans="1:11" x14ac:dyDescent="0.35">
      <c r="A62" s="105" t="s">
        <v>33</v>
      </c>
      <c r="B62" s="105" t="s">
        <v>35</v>
      </c>
      <c r="C62" s="105">
        <v>4</v>
      </c>
      <c r="D62" s="105">
        <v>4</v>
      </c>
      <c r="E62" s="105">
        <v>16</v>
      </c>
      <c r="F62" s="105">
        <v>416</v>
      </c>
      <c r="G62" s="37">
        <v>29</v>
      </c>
      <c r="H62" s="105">
        <v>2</v>
      </c>
      <c r="J62" s="96">
        <v>46</v>
      </c>
    </row>
    <row r="63" spans="1:11" x14ac:dyDescent="0.35">
      <c r="A63" s="105" t="s">
        <v>33</v>
      </c>
      <c r="B63" s="105" t="s">
        <v>29</v>
      </c>
      <c r="C63" s="105">
        <v>4</v>
      </c>
      <c r="D63" s="105">
        <v>3</v>
      </c>
      <c r="E63" s="105">
        <v>16</v>
      </c>
      <c r="F63" s="105">
        <v>316</v>
      </c>
      <c r="G63" s="37">
        <v>30</v>
      </c>
      <c r="H63" s="105">
        <v>2</v>
      </c>
      <c r="J63" s="96">
        <v>45</v>
      </c>
    </row>
    <row r="64" spans="1:11" x14ac:dyDescent="0.35">
      <c r="A64" s="105" t="s">
        <v>33</v>
      </c>
      <c r="B64" s="105" t="s">
        <v>34</v>
      </c>
      <c r="C64" s="105">
        <v>4</v>
      </c>
      <c r="D64" s="105">
        <v>2</v>
      </c>
      <c r="E64" s="105">
        <v>16</v>
      </c>
      <c r="F64" s="105">
        <v>216</v>
      </c>
      <c r="G64" s="37">
        <v>31</v>
      </c>
      <c r="H64" s="105">
        <v>2</v>
      </c>
      <c r="J64" s="96">
        <v>27</v>
      </c>
    </row>
    <row r="65" spans="1:11" x14ac:dyDescent="0.35">
      <c r="A65" s="105" t="s">
        <v>33</v>
      </c>
      <c r="B65" s="105" t="s">
        <v>30</v>
      </c>
      <c r="C65" s="105">
        <v>4</v>
      </c>
      <c r="D65" s="105">
        <v>1</v>
      </c>
      <c r="E65" s="105">
        <v>16</v>
      </c>
      <c r="F65" s="105">
        <v>116</v>
      </c>
      <c r="G65" s="37">
        <v>32</v>
      </c>
      <c r="H65" s="105">
        <v>2</v>
      </c>
      <c r="J65" s="96">
        <v>38</v>
      </c>
    </row>
    <row r="66" spans="1:11" x14ac:dyDescent="0.35">
      <c r="A66" s="105" t="s">
        <v>28</v>
      </c>
      <c r="B66" s="105" t="s">
        <v>29</v>
      </c>
      <c r="C66" s="105">
        <v>1</v>
      </c>
      <c r="D66" s="105">
        <v>1</v>
      </c>
      <c r="E66" s="105">
        <v>2</v>
      </c>
      <c r="F66" s="105">
        <v>102</v>
      </c>
      <c r="G66" s="37">
        <v>1</v>
      </c>
      <c r="H66" s="105">
        <v>3</v>
      </c>
      <c r="J66" s="96">
        <v>37</v>
      </c>
      <c r="K66" s="96"/>
    </row>
    <row r="67" spans="1:11" x14ac:dyDescent="0.35">
      <c r="A67" s="105" t="s">
        <v>28</v>
      </c>
      <c r="B67" s="105" t="s">
        <v>30</v>
      </c>
      <c r="C67" s="105">
        <v>1</v>
      </c>
      <c r="D67" s="105">
        <v>2</v>
      </c>
      <c r="E67" s="105">
        <v>2</v>
      </c>
      <c r="F67" s="105">
        <v>202</v>
      </c>
      <c r="G67" s="37">
        <v>2</v>
      </c>
      <c r="H67" s="105">
        <v>3</v>
      </c>
      <c r="I67" s="43">
        <v>45933</v>
      </c>
      <c r="J67" s="96">
        <v>39</v>
      </c>
      <c r="K67" s="96">
        <v>25</v>
      </c>
    </row>
    <row r="68" spans="1:11" x14ac:dyDescent="0.35">
      <c r="A68" s="105" t="s">
        <v>28</v>
      </c>
      <c r="B68" s="105" t="s">
        <v>31</v>
      </c>
      <c r="C68" s="105">
        <v>1</v>
      </c>
      <c r="D68" s="105">
        <v>3</v>
      </c>
      <c r="E68" s="105">
        <v>2</v>
      </c>
      <c r="F68" s="105">
        <v>302</v>
      </c>
      <c r="G68" s="37">
        <v>3</v>
      </c>
      <c r="H68" s="105">
        <v>3</v>
      </c>
      <c r="I68" s="43">
        <v>45933</v>
      </c>
      <c r="J68" s="96">
        <v>29</v>
      </c>
      <c r="K68" s="96">
        <v>8</v>
      </c>
    </row>
    <row r="69" spans="1:11" x14ac:dyDescent="0.35">
      <c r="A69" s="105" t="s">
        <v>28</v>
      </c>
      <c r="B69" s="105" t="s">
        <v>32</v>
      </c>
      <c r="C69" s="105">
        <v>1</v>
      </c>
      <c r="D69" s="105">
        <v>4</v>
      </c>
      <c r="E69" s="105">
        <v>2</v>
      </c>
      <c r="F69" s="105">
        <v>402</v>
      </c>
      <c r="G69" s="37">
        <v>4</v>
      </c>
      <c r="H69" s="105">
        <v>3</v>
      </c>
      <c r="J69" s="96">
        <v>57</v>
      </c>
      <c r="K69" s="96"/>
    </row>
    <row r="70" spans="1:11" x14ac:dyDescent="0.35">
      <c r="A70" s="105" t="s">
        <v>33</v>
      </c>
      <c r="B70" s="105" t="s">
        <v>29</v>
      </c>
      <c r="C70" s="105">
        <v>1</v>
      </c>
      <c r="D70" s="105">
        <v>4</v>
      </c>
      <c r="E70" s="105">
        <v>4</v>
      </c>
      <c r="F70" s="105">
        <v>404</v>
      </c>
      <c r="G70" s="37">
        <v>5</v>
      </c>
      <c r="H70" s="105">
        <v>3</v>
      </c>
      <c r="J70" s="96">
        <v>32</v>
      </c>
      <c r="K70" s="96"/>
    </row>
    <row r="71" spans="1:11" x14ac:dyDescent="0.35">
      <c r="A71" s="105" t="s">
        <v>33</v>
      </c>
      <c r="B71" s="105" t="s">
        <v>35</v>
      </c>
      <c r="C71" s="105">
        <v>1</v>
      </c>
      <c r="D71" s="105">
        <v>3</v>
      </c>
      <c r="E71" s="105">
        <v>4</v>
      </c>
      <c r="F71" s="105">
        <v>304</v>
      </c>
      <c r="G71" s="37">
        <v>6</v>
      </c>
      <c r="H71" s="105">
        <v>3</v>
      </c>
      <c r="J71" s="96">
        <v>23</v>
      </c>
      <c r="K71" s="96"/>
    </row>
    <row r="72" spans="1:11" x14ac:dyDescent="0.35">
      <c r="A72" s="105" t="s">
        <v>33</v>
      </c>
      <c r="B72" s="105" t="s">
        <v>30</v>
      </c>
      <c r="C72" s="105">
        <v>1</v>
      </c>
      <c r="D72" s="105">
        <v>2</v>
      </c>
      <c r="E72" s="105">
        <v>4</v>
      </c>
      <c r="F72" s="105">
        <v>204</v>
      </c>
      <c r="G72" s="37">
        <v>7</v>
      </c>
      <c r="H72" s="105">
        <v>3</v>
      </c>
      <c r="J72" s="96">
        <v>35</v>
      </c>
      <c r="K72" s="96"/>
    </row>
    <row r="73" spans="1:11" x14ac:dyDescent="0.35">
      <c r="A73" s="105" t="s">
        <v>33</v>
      </c>
      <c r="B73" s="105" t="s">
        <v>34</v>
      </c>
      <c r="C73" s="105">
        <v>1</v>
      </c>
      <c r="D73" s="105">
        <v>1</v>
      </c>
      <c r="E73" s="105">
        <v>4</v>
      </c>
      <c r="F73" s="105">
        <v>104</v>
      </c>
      <c r="G73" s="37">
        <v>8</v>
      </c>
      <c r="H73" s="105">
        <v>3</v>
      </c>
      <c r="J73" s="96">
        <v>19</v>
      </c>
      <c r="K73" s="96"/>
    </row>
    <row r="74" spans="1:11" x14ac:dyDescent="0.35">
      <c r="A74" s="105" t="s">
        <v>28</v>
      </c>
      <c r="B74" s="105" t="s">
        <v>31</v>
      </c>
      <c r="C74" s="105">
        <v>2</v>
      </c>
      <c r="D74" s="105">
        <v>1</v>
      </c>
      <c r="E74" s="105">
        <v>6</v>
      </c>
      <c r="F74" s="105">
        <v>106</v>
      </c>
      <c r="G74" s="37">
        <v>9</v>
      </c>
      <c r="H74" s="105">
        <v>3</v>
      </c>
      <c r="I74" s="43">
        <v>45933</v>
      </c>
      <c r="J74">
        <v>25</v>
      </c>
      <c r="K74" s="96">
        <v>4</v>
      </c>
    </row>
    <row r="75" spans="1:11" x14ac:dyDescent="0.35">
      <c r="A75" s="105" t="s">
        <v>28</v>
      </c>
      <c r="B75" s="105" t="s">
        <v>32</v>
      </c>
      <c r="C75" s="105">
        <v>2</v>
      </c>
      <c r="D75" s="105">
        <v>2</v>
      </c>
      <c r="E75" s="105">
        <v>6</v>
      </c>
      <c r="F75" s="105">
        <v>206</v>
      </c>
      <c r="G75" s="37">
        <v>10</v>
      </c>
      <c r="H75" s="105">
        <v>3</v>
      </c>
      <c r="J75" s="96">
        <v>38</v>
      </c>
      <c r="K75" s="96"/>
    </row>
    <row r="76" spans="1:11" x14ac:dyDescent="0.35">
      <c r="A76" s="105" t="s">
        <v>28</v>
      </c>
      <c r="B76" s="105" t="s">
        <v>30</v>
      </c>
      <c r="C76" s="105">
        <v>2</v>
      </c>
      <c r="D76" s="105">
        <v>3</v>
      </c>
      <c r="E76" s="105">
        <v>6</v>
      </c>
      <c r="F76" s="105">
        <v>306</v>
      </c>
      <c r="G76" s="37">
        <v>11</v>
      </c>
      <c r="H76" s="105">
        <v>3</v>
      </c>
      <c r="J76" s="96">
        <v>21</v>
      </c>
      <c r="K76" s="96"/>
    </row>
    <row r="77" spans="1:11" x14ac:dyDescent="0.35">
      <c r="A77" s="105" t="s">
        <v>28</v>
      </c>
      <c r="B77" s="105" t="s">
        <v>29</v>
      </c>
      <c r="C77" s="105">
        <v>2</v>
      </c>
      <c r="D77" s="105">
        <v>4</v>
      </c>
      <c r="E77" s="105">
        <v>6</v>
      </c>
      <c r="F77" s="105">
        <v>406</v>
      </c>
      <c r="G77" s="37">
        <v>12</v>
      </c>
      <c r="H77" s="105">
        <v>3</v>
      </c>
      <c r="J77" s="96">
        <v>49</v>
      </c>
      <c r="K77" s="96"/>
    </row>
    <row r="78" spans="1:11" x14ac:dyDescent="0.35">
      <c r="A78" s="105" t="s">
        <v>33</v>
      </c>
      <c r="B78" s="105" t="s">
        <v>34</v>
      </c>
      <c r="C78" s="105">
        <v>2</v>
      </c>
      <c r="D78" s="105">
        <v>4</v>
      </c>
      <c r="E78" s="105">
        <v>8</v>
      </c>
      <c r="F78" s="105">
        <v>408</v>
      </c>
      <c r="G78" s="37">
        <v>13</v>
      </c>
      <c r="H78" s="105">
        <v>3</v>
      </c>
      <c r="J78" s="96">
        <v>37</v>
      </c>
      <c r="K78" s="96"/>
    </row>
    <row r="79" spans="1:11" x14ac:dyDescent="0.35">
      <c r="A79" s="105" t="s">
        <v>33</v>
      </c>
      <c r="B79" s="105" t="s">
        <v>30</v>
      </c>
      <c r="C79" s="105">
        <v>2</v>
      </c>
      <c r="D79" s="105">
        <v>3</v>
      </c>
      <c r="E79" s="105">
        <v>8</v>
      </c>
      <c r="F79" s="105">
        <v>308</v>
      </c>
      <c r="G79" s="37">
        <v>14</v>
      </c>
      <c r="H79" s="105">
        <v>3</v>
      </c>
      <c r="J79" s="96">
        <v>33</v>
      </c>
      <c r="K79" s="96"/>
    </row>
    <row r="80" spans="1:11" x14ac:dyDescent="0.35">
      <c r="A80" s="105" t="s">
        <v>33</v>
      </c>
      <c r="B80" s="105" t="s">
        <v>29</v>
      </c>
      <c r="C80" s="105">
        <v>2</v>
      </c>
      <c r="D80" s="105">
        <v>2</v>
      </c>
      <c r="E80" s="105">
        <v>8</v>
      </c>
      <c r="F80" s="105">
        <v>208</v>
      </c>
      <c r="G80" s="37">
        <v>15</v>
      </c>
      <c r="H80" s="105">
        <v>3</v>
      </c>
      <c r="J80" s="96">
        <v>36</v>
      </c>
      <c r="K80" s="96"/>
    </row>
    <row r="81" spans="1:11" x14ac:dyDescent="0.35">
      <c r="A81" s="105" t="s">
        <v>33</v>
      </c>
      <c r="B81" s="105" t="s">
        <v>35</v>
      </c>
      <c r="C81" s="105">
        <v>2</v>
      </c>
      <c r="D81" s="105">
        <v>1</v>
      </c>
      <c r="E81" s="105">
        <v>8</v>
      </c>
      <c r="F81" s="105">
        <v>108</v>
      </c>
      <c r="G81" s="37">
        <v>16</v>
      </c>
      <c r="H81" s="105">
        <v>3</v>
      </c>
      <c r="J81" s="96">
        <v>34</v>
      </c>
      <c r="K81" s="96"/>
    </row>
    <row r="82" spans="1:11" x14ac:dyDescent="0.35">
      <c r="A82" s="105" t="s">
        <v>28</v>
      </c>
      <c r="B82" s="105" t="s">
        <v>32</v>
      </c>
      <c r="C82" s="105">
        <v>3</v>
      </c>
      <c r="D82" s="105">
        <v>1</v>
      </c>
      <c r="E82" s="105">
        <v>10</v>
      </c>
      <c r="F82" s="105">
        <v>110</v>
      </c>
      <c r="G82" s="37">
        <v>17</v>
      </c>
      <c r="H82" s="105">
        <v>3</v>
      </c>
      <c r="J82" s="96">
        <v>47</v>
      </c>
      <c r="K82" s="96"/>
    </row>
    <row r="83" spans="1:11" x14ac:dyDescent="0.35">
      <c r="A83" s="105" t="s">
        <v>28</v>
      </c>
      <c r="B83" s="105" t="s">
        <v>31</v>
      </c>
      <c r="C83" s="105">
        <v>3</v>
      </c>
      <c r="D83" s="105">
        <v>2</v>
      </c>
      <c r="E83" s="105">
        <v>10</v>
      </c>
      <c r="F83" s="105">
        <v>210</v>
      </c>
      <c r="G83" s="37">
        <v>18</v>
      </c>
      <c r="H83" s="105">
        <v>3</v>
      </c>
      <c r="J83">
        <v>40</v>
      </c>
      <c r="K83" s="96"/>
    </row>
    <row r="84" spans="1:11" x14ac:dyDescent="0.35">
      <c r="A84" s="105" t="s">
        <v>28</v>
      </c>
      <c r="B84" s="105" t="s">
        <v>29</v>
      </c>
      <c r="C84" s="105">
        <v>3</v>
      </c>
      <c r="D84" s="105">
        <v>3</v>
      </c>
      <c r="E84" s="105">
        <v>10</v>
      </c>
      <c r="F84" s="105">
        <v>310</v>
      </c>
      <c r="G84" s="37">
        <v>19</v>
      </c>
      <c r="H84" s="105">
        <v>3</v>
      </c>
      <c r="J84" s="96">
        <v>23</v>
      </c>
      <c r="K84" s="96"/>
    </row>
    <row r="85" spans="1:11" x14ac:dyDescent="0.35">
      <c r="A85" s="105" t="s">
        <v>28</v>
      </c>
      <c r="B85" s="105" t="s">
        <v>30</v>
      </c>
      <c r="C85" s="105">
        <v>3</v>
      </c>
      <c r="D85" s="105">
        <v>4</v>
      </c>
      <c r="E85" s="105">
        <v>10</v>
      </c>
      <c r="F85" s="105">
        <v>410</v>
      </c>
      <c r="G85" s="37">
        <v>20</v>
      </c>
      <c r="H85" s="105">
        <v>3</v>
      </c>
      <c r="I85" s="43">
        <v>45933</v>
      </c>
      <c r="J85" s="96">
        <v>44</v>
      </c>
      <c r="K85" s="96">
        <v>18</v>
      </c>
    </row>
    <row r="86" spans="1:11" x14ac:dyDescent="0.35">
      <c r="A86" s="105" t="s">
        <v>33</v>
      </c>
      <c r="B86" s="105" t="s">
        <v>30</v>
      </c>
      <c r="C86" s="105">
        <v>3</v>
      </c>
      <c r="D86" s="105">
        <v>4</v>
      </c>
      <c r="E86" s="105">
        <v>12</v>
      </c>
      <c r="F86" s="105">
        <v>412</v>
      </c>
      <c r="G86" s="37">
        <v>21</v>
      </c>
      <c r="H86" s="105">
        <v>3</v>
      </c>
      <c r="J86" s="96">
        <v>41</v>
      </c>
      <c r="K86" s="96"/>
    </row>
    <row r="87" spans="1:11" x14ac:dyDescent="0.35">
      <c r="A87" s="105" t="s">
        <v>33</v>
      </c>
      <c r="B87" s="105" t="s">
        <v>34</v>
      </c>
      <c r="C87" s="105">
        <v>3</v>
      </c>
      <c r="D87" s="105">
        <v>3</v>
      </c>
      <c r="E87" s="105">
        <v>12</v>
      </c>
      <c r="F87" s="105">
        <v>312</v>
      </c>
      <c r="G87" s="37">
        <v>22</v>
      </c>
      <c r="H87" s="105">
        <v>3</v>
      </c>
      <c r="J87" s="96">
        <v>15</v>
      </c>
      <c r="K87" s="96"/>
    </row>
    <row r="88" spans="1:11" x14ac:dyDescent="0.35">
      <c r="A88" s="105" t="s">
        <v>33</v>
      </c>
      <c r="B88" s="105" t="s">
        <v>35</v>
      </c>
      <c r="C88" s="105">
        <v>3</v>
      </c>
      <c r="D88" s="105">
        <v>2</v>
      </c>
      <c r="E88" s="105">
        <v>12</v>
      </c>
      <c r="F88" s="105">
        <v>212</v>
      </c>
      <c r="G88" s="37">
        <v>23</v>
      </c>
      <c r="H88" s="105">
        <v>3</v>
      </c>
      <c r="J88" s="96">
        <v>33</v>
      </c>
      <c r="K88" s="96"/>
    </row>
    <row r="89" spans="1:11" x14ac:dyDescent="0.35">
      <c r="A89" s="105" t="s">
        <v>33</v>
      </c>
      <c r="B89" s="105" t="s">
        <v>29</v>
      </c>
      <c r="C89" s="105">
        <v>3</v>
      </c>
      <c r="D89" s="105">
        <v>1</v>
      </c>
      <c r="E89" s="105">
        <v>12</v>
      </c>
      <c r="F89" s="105">
        <v>112</v>
      </c>
      <c r="G89" s="37">
        <v>24</v>
      </c>
      <c r="H89" s="105">
        <v>3</v>
      </c>
      <c r="J89" s="96">
        <v>25</v>
      </c>
      <c r="K89" s="96"/>
    </row>
    <row r="90" spans="1:11" x14ac:dyDescent="0.35">
      <c r="A90" s="105" t="s">
        <v>28</v>
      </c>
      <c r="B90" s="105" t="s">
        <v>30</v>
      </c>
      <c r="C90" s="105">
        <v>4</v>
      </c>
      <c r="D90" s="105">
        <v>1</v>
      </c>
      <c r="E90" s="105">
        <v>14</v>
      </c>
      <c r="F90" s="105">
        <v>114</v>
      </c>
      <c r="G90" s="37">
        <v>25</v>
      </c>
      <c r="H90" s="105">
        <v>3</v>
      </c>
      <c r="I90" s="43">
        <v>45933</v>
      </c>
      <c r="J90" s="96">
        <v>48</v>
      </c>
      <c r="K90" s="96">
        <v>10</v>
      </c>
    </row>
    <row r="91" spans="1:11" x14ac:dyDescent="0.35">
      <c r="A91" s="105" t="s">
        <v>28</v>
      </c>
      <c r="B91" s="105" t="s">
        <v>29</v>
      </c>
      <c r="C91" s="105">
        <v>4</v>
      </c>
      <c r="D91" s="105">
        <v>2</v>
      </c>
      <c r="E91" s="105">
        <v>14</v>
      </c>
      <c r="F91" s="105">
        <v>214</v>
      </c>
      <c r="G91" s="37">
        <v>26</v>
      </c>
      <c r="H91" s="105">
        <v>3</v>
      </c>
      <c r="J91" s="96">
        <v>47</v>
      </c>
      <c r="K91" s="96"/>
    </row>
    <row r="92" spans="1:11" x14ac:dyDescent="0.35">
      <c r="A92" s="105" t="s">
        <v>28</v>
      </c>
      <c r="B92" s="105" t="s">
        <v>32</v>
      </c>
      <c r="C92" s="105">
        <v>4</v>
      </c>
      <c r="D92" s="105">
        <v>3</v>
      </c>
      <c r="E92" s="105">
        <v>14</v>
      </c>
      <c r="F92" s="105">
        <v>314</v>
      </c>
      <c r="G92" s="37">
        <v>27</v>
      </c>
      <c r="H92" s="105">
        <v>3</v>
      </c>
      <c r="J92" s="96">
        <v>28</v>
      </c>
      <c r="K92" s="96"/>
    </row>
    <row r="93" spans="1:11" x14ac:dyDescent="0.35">
      <c r="A93" s="105" t="s">
        <v>28</v>
      </c>
      <c r="B93" s="105" t="s">
        <v>31</v>
      </c>
      <c r="C93" s="105">
        <v>4</v>
      </c>
      <c r="D93" s="105">
        <v>4</v>
      </c>
      <c r="E93" s="105">
        <v>14</v>
      </c>
      <c r="F93" s="105">
        <v>414</v>
      </c>
      <c r="G93" s="37">
        <v>28</v>
      </c>
      <c r="H93" s="105">
        <v>3</v>
      </c>
      <c r="I93" s="43">
        <v>45933</v>
      </c>
      <c r="J93">
        <v>28</v>
      </c>
      <c r="K93" s="96">
        <v>1</v>
      </c>
    </row>
    <row r="94" spans="1:11" x14ac:dyDescent="0.35">
      <c r="A94" s="105" t="s">
        <v>33</v>
      </c>
      <c r="B94" s="105" t="s">
        <v>35</v>
      </c>
      <c r="C94" s="105">
        <v>4</v>
      </c>
      <c r="D94" s="105">
        <v>4</v>
      </c>
      <c r="E94" s="105">
        <v>16</v>
      </c>
      <c r="F94" s="105">
        <v>416</v>
      </c>
      <c r="G94" s="37">
        <v>29</v>
      </c>
      <c r="H94" s="105">
        <v>3</v>
      </c>
      <c r="J94" s="96">
        <v>46</v>
      </c>
      <c r="K94" s="96"/>
    </row>
    <row r="95" spans="1:11" x14ac:dyDescent="0.35">
      <c r="A95" s="105" t="s">
        <v>33</v>
      </c>
      <c r="B95" s="105" t="s">
        <v>29</v>
      </c>
      <c r="C95" s="105">
        <v>4</v>
      </c>
      <c r="D95" s="105">
        <v>3</v>
      </c>
      <c r="E95" s="105">
        <v>16</v>
      </c>
      <c r="F95" s="105">
        <v>316</v>
      </c>
      <c r="G95" s="37">
        <v>30</v>
      </c>
      <c r="H95" s="105">
        <v>3</v>
      </c>
      <c r="J95" s="96">
        <v>45</v>
      </c>
      <c r="K95" s="96"/>
    </row>
    <row r="96" spans="1:11" x14ac:dyDescent="0.35">
      <c r="A96" s="105" t="s">
        <v>33</v>
      </c>
      <c r="B96" s="105" t="s">
        <v>34</v>
      </c>
      <c r="C96" s="105">
        <v>4</v>
      </c>
      <c r="D96" s="105">
        <v>2</v>
      </c>
      <c r="E96" s="105">
        <v>16</v>
      </c>
      <c r="F96" s="105">
        <v>216</v>
      </c>
      <c r="G96" s="37">
        <v>31</v>
      </c>
      <c r="H96" s="105">
        <v>3</v>
      </c>
      <c r="J96" s="96">
        <v>27</v>
      </c>
      <c r="K96" s="96"/>
    </row>
    <row r="97" spans="1:11" x14ac:dyDescent="0.35">
      <c r="A97" s="105" t="s">
        <v>33</v>
      </c>
      <c r="B97" s="105" t="s">
        <v>30</v>
      </c>
      <c r="C97" s="105">
        <v>4</v>
      </c>
      <c r="D97" s="105">
        <v>1</v>
      </c>
      <c r="E97" s="105">
        <v>16</v>
      </c>
      <c r="F97" s="105">
        <v>116</v>
      </c>
      <c r="G97" s="37">
        <v>32</v>
      </c>
      <c r="H97" s="105">
        <v>3</v>
      </c>
      <c r="J97" s="96">
        <v>38</v>
      </c>
      <c r="K97" s="96"/>
    </row>
    <row r="98" spans="1:11" x14ac:dyDescent="0.35">
      <c r="A98" s="105" t="s">
        <v>28</v>
      </c>
      <c r="B98" s="105" t="s">
        <v>29</v>
      </c>
      <c r="C98" s="105">
        <v>1</v>
      </c>
      <c r="D98" s="105">
        <v>1</v>
      </c>
      <c r="E98" s="105">
        <v>2</v>
      </c>
      <c r="F98" s="105">
        <v>102</v>
      </c>
      <c r="G98" s="37">
        <v>1</v>
      </c>
      <c r="H98" s="105">
        <v>4</v>
      </c>
      <c r="J98" s="96">
        <v>37</v>
      </c>
      <c r="K98" s="96"/>
    </row>
    <row r="99" spans="1:11" x14ac:dyDescent="0.35">
      <c r="A99" s="105" t="s">
        <v>28</v>
      </c>
      <c r="B99" s="105" t="s">
        <v>30</v>
      </c>
      <c r="C99" s="105">
        <v>1</v>
      </c>
      <c r="D99" s="105">
        <v>2</v>
      </c>
      <c r="E99" s="105">
        <v>2</v>
      </c>
      <c r="F99" s="105">
        <v>202</v>
      </c>
      <c r="G99" s="37">
        <v>2</v>
      </c>
      <c r="H99" s="105">
        <v>4</v>
      </c>
      <c r="I99" s="43">
        <v>45936</v>
      </c>
      <c r="J99" s="96">
        <v>39</v>
      </c>
      <c r="K99" s="96">
        <v>37</v>
      </c>
    </row>
    <row r="100" spans="1:11" x14ac:dyDescent="0.35">
      <c r="A100" s="105" t="s">
        <v>28</v>
      </c>
      <c r="B100" s="105" t="s">
        <v>31</v>
      </c>
      <c r="C100" s="105">
        <v>1</v>
      </c>
      <c r="D100" s="105">
        <v>3</v>
      </c>
      <c r="E100" s="105">
        <v>2</v>
      </c>
      <c r="F100" s="105">
        <v>302</v>
      </c>
      <c r="G100" s="37">
        <v>3</v>
      </c>
      <c r="H100" s="105">
        <v>4</v>
      </c>
      <c r="I100" s="43">
        <v>45936</v>
      </c>
      <c r="J100" s="96">
        <v>29</v>
      </c>
      <c r="K100" s="96">
        <v>26</v>
      </c>
    </row>
    <row r="101" spans="1:11" x14ac:dyDescent="0.35">
      <c r="A101" s="105" t="s">
        <v>28</v>
      </c>
      <c r="B101" s="105" t="s">
        <v>32</v>
      </c>
      <c r="C101" s="105">
        <v>1</v>
      </c>
      <c r="D101" s="105">
        <v>4</v>
      </c>
      <c r="E101" s="105">
        <v>2</v>
      </c>
      <c r="F101" s="105">
        <v>402</v>
      </c>
      <c r="G101" s="37">
        <v>4</v>
      </c>
      <c r="H101" s="105">
        <v>4</v>
      </c>
      <c r="J101" s="96">
        <v>57</v>
      </c>
      <c r="K101" s="96"/>
    </row>
    <row r="102" spans="1:11" x14ac:dyDescent="0.35">
      <c r="A102" s="105" t="s">
        <v>33</v>
      </c>
      <c r="B102" s="105" t="s">
        <v>29</v>
      </c>
      <c r="C102" s="105">
        <v>1</v>
      </c>
      <c r="D102" s="105">
        <v>4</v>
      </c>
      <c r="E102" s="105">
        <v>4</v>
      </c>
      <c r="F102" s="105">
        <v>404</v>
      </c>
      <c r="G102" s="37">
        <v>5</v>
      </c>
      <c r="H102" s="105">
        <v>4</v>
      </c>
      <c r="I102" s="43">
        <v>45936</v>
      </c>
      <c r="J102" s="96">
        <v>32</v>
      </c>
      <c r="K102" s="96">
        <v>2</v>
      </c>
    </row>
    <row r="103" spans="1:11" x14ac:dyDescent="0.35">
      <c r="A103" s="105" t="s">
        <v>33</v>
      </c>
      <c r="B103" s="105" t="s">
        <v>35</v>
      </c>
      <c r="C103" s="105">
        <v>1</v>
      </c>
      <c r="D103" s="105">
        <v>3</v>
      </c>
      <c r="E103" s="105">
        <v>4</v>
      </c>
      <c r="F103" s="105">
        <v>304</v>
      </c>
      <c r="G103" s="37">
        <v>6</v>
      </c>
      <c r="H103" s="105">
        <v>4</v>
      </c>
      <c r="J103" s="96">
        <v>23</v>
      </c>
      <c r="K103" s="96"/>
    </row>
    <row r="104" spans="1:11" x14ac:dyDescent="0.35">
      <c r="A104" s="105" t="s">
        <v>33</v>
      </c>
      <c r="B104" s="105" t="s">
        <v>30</v>
      </c>
      <c r="C104" s="105">
        <v>1</v>
      </c>
      <c r="D104" s="105">
        <v>2</v>
      </c>
      <c r="E104" s="105">
        <v>4</v>
      </c>
      <c r="F104" s="105">
        <v>204</v>
      </c>
      <c r="G104" s="37">
        <v>7</v>
      </c>
      <c r="H104" s="105">
        <v>4</v>
      </c>
      <c r="I104" s="43">
        <v>45936</v>
      </c>
      <c r="J104" s="96">
        <v>35</v>
      </c>
      <c r="K104" s="96">
        <v>10</v>
      </c>
    </row>
    <row r="105" spans="1:11" x14ac:dyDescent="0.35">
      <c r="A105" s="105" t="s">
        <v>33</v>
      </c>
      <c r="B105" s="105" t="s">
        <v>34</v>
      </c>
      <c r="C105" s="105">
        <v>1</v>
      </c>
      <c r="D105" s="105">
        <v>1</v>
      </c>
      <c r="E105" s="105">
        <v>4</v>
      </c>
      <c r="F105" s="105">
        <v>104</v>
      </c>
      <c r="G105" s="37">
        <v>8</v>
      </c>
      <c r="H105" s="105">
        <v>4</v>
      </c>
      <c r="J105" s="96">
        <v>19</v>
      </c>
      <c r="K105" s="96"/>
    </row>
    <row r="106" spans="1:11" x14ac:dyDescent="0.35">
      <c r="A106" s="105" t="s">
        <v>28</v>
      </c>
      <c r="B106" s="105" t="s">
        <v>31</v>
      </c>
      <c r="C106" s="105">
        <v>2</v>
      </c>
      <c r="D106" s="105">
        <v>1</v>
      </c>
      <c r="E106" s="105">
        <v>6</v>
      </c>
      <c r="F106" s="105">
        <v>106</v>
      </c>
      <c r="G106" s="37">
        <v>9</v>
      </c>
      <c r="H106" s="105">
        <v>4</v>
      </c>
      <c r="I106" s="43">
        <v>45936</v>
      </c>
      <c r="J106">
        <v>25</v>
      </c>
      <c r="K106" s="96">
        <v>21</v>
      </c>
    </row>
    <row r="107" spans="1:11" x14ac:dyDescent="0.35">
      <c r="A107" s="105" t="s">
        <v>28</v>
      </c>
      <c r="B107" s="105" t="s">
        <v>32</v>
      </c>
      <c r="C107" s="105">
        <v>2</v>
      </c>
      <c r="D107" s="105">
        <v>2</v>
      </c>
      <c r="E107" s="105">
        <v>6</v>
      </c>
      <c r="F107" s="105">
        <v>206</v>
      </c>
      <c r="G107" s="37">
        <v>10</v>
      </c>
      <c r="H107" s="105">
        <v>4</v>
      </c>
      <c r="J107" s="96">
        <v>38</v>
      </c>
      <c r="K107" s="96"/>
    </row>
    <row r="108" spans="1:11" x14ac:dyDescent="0.35">
      <c r="A108" s="105" t="s">
        <v>28</v>
      </c>
      <c r="B108" s="105" t="s">
        <v>30</v>
      </c>
      <c r="C108" s="105">
        <v>2</v>
      </c>
      <c r="D108" s="105">
        <v>3</v>
      </c>
      <c r="E108" s="105">
        <v>6</v>
      </c>
      <c r="F108" s="105">
        <v>306</v>
      </c>
      <c r="G108" s="37">
        <v>11</v>
      </c>
      <c r="H108" s="105">
        <v>4</v>
      </c>
      <c r="I108" s="43">
        <v>45936</v>
      </c>
      <c r="J108" s="96">
        <v>21</v>
      </c>
      <c r="K108" s="96">
        <v>14</v>
      </c>
    </row>
    <row r="109" spans="1:11" x14ac:dyDescent="0.35">
      <c r="A109" s="105" t="s">
        <v>28</v>
      </c>
      <c r="B109" s="105" t="s">
        <v>29</v>
      </c>
      <c r="C109" s="105">
        <v>2</v>
      </c>
      <c r="D109" s="105">
        <v>4</v>
      </c>
      <c r="E109" s="105">
        <v>6</v>
      </c>
      <c r="F109" s="105">
        <v>406</v>
      </c>
      <c r="G109" s="37">
        <v>12</v>
      </c>
      <c r="H109" s="105">
        <v>4</v>
      </c>
      <c r="J109" s="96">
        <v>49</v>
      </c>
      <c r="K109" s="96"/>
    </row>
    <row r="110" spans="1:11" x14ac:dyDescent="0.35">
      <c r="A110" s="105" t="s">
        <v>33</v>
      </c>
      <c r="B110" s="105" t="s">
        <v>34</v>
      </c>
      <c r="C110" s="105">
        <v>2</v>
      </c>
      <c r="D110" s="105">
        <v>4</v>
      </c>
      <c r="E110" s="105">
        <v>8</v>
      </c>
      <c r="F110" s="105">
        <v>408</v>
      </c>
      <c r="G110" s="37">
        <v>13</v>
      </c>
      <c r="H110" s="105">
        <v>4</v>
      </c>
      <c r="I110" s="43">
        <v>45936</v>
      </c>
      <c r="J110" s="96">
        <v>37</v>
      </c>
      <c r="K110" s="96">
        <v>1</v>
      </c>
    </row>
    <row r="111" spans="1:11" x14ac:dyDescent="0.35">
      <c r="A111" s="105" t="s">
        <v>33</v>
      </c>
      <c r="B111" s="105" t="s">
        <v>30</v>
      </c>
      <c r="C111" s="105">
        <v>2</v>
      </c>
      <c r="D111" s="105">
        <v>3</v>
      </c>
      <c r="E111" s="105">
        <v>8</v>
      </c>
      <c r="F111" s="105">
        <v>308</v>
      </c>
      <c r="G111" s="37">
        <v>14</v>
      </c>
      <c r="H111" s="105">
        <v>4</v>
      </c>
      <c r="J111" s="96">
        <v>33</v>
      </c>
      <c r="K111" s="96"/>
    </row>
    <row r="112" spans="1:11" x14ac:dyDescent="0.35">
      <c r="A112" s="105" t="s">
        <v>33</v>
      </c>
      <c r="B112" s="105" t="s">
        <v>29</v>
      </c>
      <c r="C112" s="105">
        <v>2</v>
      </c>
      <c r="D112" s="105">
        <v>2</v>
      </c>
      <c r="E112" s="105">
        <v>8</v>
      </c>
      <c r="F112" s="105">
        <v>208</v>
      </c>
      <c r="G112" s="37">
        <v>15</v>
      </c>
      <c r="H112" s="105">
        <v>4</v>
      </c>
      <c r="I112" s="43">
        <v>45936</v>
      </c>
      <c r="J112" s="96">
        <v>36</v>
      </c>
      <c r="K112" s="96">
        <v>2</v>
      </c>
    </row>
    <row r="113" spans="1:11" x14ac:dyDescent="0.35">
      <c r="A113" s="105" t="s">
        <v>33</v>
      </c>
      <c r="B113" s="105" t="s">
        <v>35</v>
      </c>
      <c r="C113" s="105">
        <v>2</v>
      </c>
      <c r="D113" s="105">
        <v>1</v>
      </c>
      <c r="E113" s="105">
        <v>8</v>
      </c>
      <c r="F113" s="105">
        <v>108</v>
      </c>
      <c r="G113" s="37">
        <v>16</v>
      </c>
      <c r="H113" s="105">
        <v>4</v>
      </c>
      <c r="J113" s="96">
        <v>34</v>
      </c>
      <c r="K113" s="96"/>
    </row>
    <row r="114" spans="1:11" x14ac:dyDescent="0.35">
      <c r="A114" s="105" t="s">
        <v>28</v>
      </c>
      <c r="B114" s="105" t="s">
        <v>32</v>
      </c>
      <c r="C114" s="105">
        <v>3</v>
      </c>
      <c r="D114" s="105">
        <v>1</v>
      </c>
      <c r="E114" s="105">
        <v>10</v>
      </c>
      <c r="F114" s="105">
        <v>110</v>
      </c>
      <c r="G114" s="37">
        <v>17</v>
      </c>
      <c r="H114" s="105">
        <v>4</v>
      </c>
      <c r="J114" s="96">
        <v>47</v>
      </c>
      <c r="K114" s="96"/>
    </row>
    <row r="115" spans="1:11" x14ac:dyDescent="0.35">
      <c r="A115" s="105" t="s">
        <v>28</v>
      </c>
      <c r="B115" s="105" t="s">
        <v>31</v>
      </c>
      <c r="C115" s="105">
        <v>3</v>
      </c>
      <c r="D115" s="105">
        <v>2</v>
      </c>
      <c r="E115" s="105">
        <v>10</v>
      </c>
      <c r="F115" s="105">
        <v>210</v>
      </c>
      <c r="G115" s="37">
        <v>18</v>
      </c>
      <c r="H115" s="105">
        <v>4</v>
      </c>
      <c r="I115" s="43">
        <v>45936</v>
      </c>
      <c r="J115">
        <v>40</v>
      </c>
      <c r="K115" s="96">
        <v>33</v>
      </c>
    </row>
    <row r="116" spans="1:11" x14ac:dyDescent="0.35">
      <c r="A116" s="105" t="s">
        <v>28</v>
      </c>
      <c r="B116" s="105" t="s">
        <v>29</v>
      </c>
      <c r="C116" s="105">
        <v>3</v>
      </c>
      <c r="D116" s="105">
        <v>3</v>
      </c>
      <c r="E116" s="105">
        <v>10</v>
      </c>
      <c r="F116" s="105">
        <v>310</v>
      </c>
      <c r="G116" s="37">
        <v>19</v>
      </c>
      <c r="H116" s="105">
        <v>4</v>
      </c>
      <c r="J116" s="96">
        <v>23</v>
      </c>
      <c r="K116" s="96"/>
    </row>
    <row r="117" spans="1:11" x14ac:dyDescent="0.35">
      <c r="A117" s="105" t="s">
        <v>28</v>
      </c>
      <c r="B117" s="105" t="s">
        <v>30</v>
      </c>
      <c r="C117" s="105">
        <v>3</v>
      </c>
      <c r="D117" s="105">
        <v>4</v>
      </c>
      <c r="E117" s="105">
        <v>10</v>
      </c>
      <c r="F117" s="105">
        <v>410</v>
      </c>
      <c r="G117" s="37">
        <v>20</v>
      </c>
      <c r="H117" s="105">
        <v>4</v>
      </c>
      <c r="I117" s="43">
        <v>45936</v>
      </c>
      <c r="J117" s="96">
        <v>44</v>
      </c>
      <c r="K117" s="96">
        <v>37</v>
      </c>
    </row>
    <row r="118" spans="1:11" x14ac:dyDescent="0.35">
      <c r="A118" s="105" t="s">
        <v>33</v>
      </c>
      <c r="B118" s="105" t="s">
        <v>30</v>
      </c>
      <c r="C118" s="105">
        <v>3</v>
      </c>
      <c r="D118" s="105">
        <v>4</v>
      </c>
      <c r="E118" s="105">
        <v>12</v>
      </c>
      <c r="F118" s="105">
        <v>412</v>
      </c>
      <c r="G118" s="37">
        <v>21</v>
      </c>
      <c r="H118" s="105">
        <v>4</v>
      </c>
      <c r="J118" s="96">
        <v>41</v>
      </c>
      <c r="K118" s="96"/>
    </row>
    <row r="119" spans="1:11" x14ac:dyDescent="0.35">
      <c r="A119" s="105" t="s">
        <v>33</v>
      </c>
      <c r="B119" s="105" t="s">
        <v>34</v>
      </c>
      <c r="C119" s="105">
        <v>3</v>
      </c>
      <c r="D119" s="105">
        <v>3</v>
      </c>
      <c r="E119" s="105">
        <v>12</v>
      </c>
      <c r="F119" s="105">
        <v>312</v>
      </c>
      <c r="G119" s="37">
        <v>22</v>
      </c>
      <c r="H119" s="105">
        <v>4</v>
      </c>
      <c r="I119" s="43">
        <v>45936</v>
      </c>
      <c r="J119" s="96">
        <v>15</v>
      </c>
      <c r="K119" s="96">
        <v>3</v>
      </c>
    </row>
    <row r="120" spans="1:11" x14ac:dyDescent="0.35">
      <c r="A120" s="105" t="s">
        <v>33</v>
      </c>
      <c r="B120" s="105" t="s">
        <v>35</v>
      </c>
      <c r="C120" s="105">
        <v>3</v>
      </c>
      <c r="D120" s="105">
        <v>2</v>
      </c>
      <c r="E120" s="105">
        <v>12</v>
      </c>
      <c r="F120" s="105">
        <v>212</v>
      </c>
      <c r="G120" s="37">
        <v>23</v>
      </c>
      <c r="H120" s="105">
        <v>4</v>
      </c>
      <c r="J120" s="96">
        <v>33</v>
      </c>
      <c r="K120" s="96"/>
    </row>
    <row r="121" spans="1:11" x14ac:dyDescent="0.35">
      <c r="A121" s="105" t="s">
        <v>33</v>
      </c>
      <c r="B121" s="105" t="s">
        <v>29</v>
      </c>
      <c r="C121" s="105">
        <v>3</v>
      </c>
      <c r="D121" s="105">
        <v>1</v>
      </c>
      <c r="E121" s="105">
        <v>12</v>
      </c>
      <c r="F121" s="105">
        <v>112</v>
      </c>
      <c r="G121" s="37">
        <v>24</v>
      </c>
      <c r="H121" s="105">
        <v>4</v>
      </c>
      <c r="I121" s="43">
        <v>45936</v>
      </c>
      <c r="J121" s="96">
        <v>25</v>
      </c>
      <c r="K121" s="96">
        <v>2</v>
      </c>
    </row>
    <row r="122" spans="1:11" x14ac:dyDescent="0.35">
      <c r="A122" s="105" t="s">
        <v>28</v>
      </c>
      <c r="B122" s="105" t="s">
        <v>30</v>
      </c>
      <c r="C122" s="105">
        <v>4</v>
      </c>
      <c r="D122" s="105">
        <v>1</v>
      </c>
      <c r="E122" s="105">
        <v>14</v>
      </c>
      <c r="F122" s="105">
        <v>114</v>
      </c>
      <c r="G122" s="37">
        <v>25</v>
      </c>
      <c r="H122" s="105">
        <v>4</v>
      </c>
      <c r="I122" s="43">
        <v>45936</v>
      </c>
      <c r="J122" s="96">
        <v>48</v>
      </c>
      <c r="K122" s="96">
        <v>32</v>
      </c>
    </row>
    <row r="123" spans="1:11" x14ac:dyDescent="0.35">
      <c r="A123" s="105" t="s">
        <v>28</v>
      </c>
      <c r="B123" s="105" t="s">
        <v>29</v>
      </c>
      <c r="C123" s="105">
        <v>4</v>
      </c>
      <c r="D123" s="105">
        <v>2</v>
      </c>
      <c r="E123" s="105">
        <v>14</v>
      </c>
      <c r="F123" s="105">
        <v>214</v>
      </c>
      <c r="G123" s="37">
        <v>26</v>
      </c>
      <c r="H123" s="105">
        <v>4</v>
      </c>
      <c r="J123" s="96">
        <v>47</v>
      </c>
      <c r="K123" s="96"/>
    </row>
    <row r="124" spans="1:11" x14ac:dyDescent="0.35">
      <c r="A124" s="105" t="s">
        <v>28</v>
      </c>
      <c r="B124" s="105" t="s">
        <v>32</v>
      </c>
      <c r="C124" s="105">
        <v>4</v>
      </c>
      <c r="D124" s="105">
        <v>3</v>
      </c>
      <c r="E124" s="105">
        <v>14</v>
      </c>
      <c r="F124" s="105">
        <v>314</v>
      </c>
      <c r="G124" s="37">
        <v>27</v>
      </c>
      <c r="H124" s="105">
        <v>4</v>
      </c>
      <c r="J124" s="96">
        <v>28</v>
      </c>
      <c r="K124" s="96"/>
    </row>
    <row r="125" spans="1:11" x14ac:dyDescent="0.35">
      <c r="A125" s="105" t="s">
        <v>28</v>
      </c>
      <c r="B125" s="105" t="s">
        <v>31</v>
      </c>
      <c r="C125" s="105">
        <v>4</v>
      </c>
      <c r="D125" s="105">
        <v>4</v>
      </c>
      <c r="E125" s="105">
        <v>14</v>
      </c>
      <c r="F125" s="105">
        <v>414</v>
      </c>
      <c r="G125" s="37">
        <v>28</v>
      </c>
      <c r="H125" s="105">
        <v>4</v>
      </c>
      <c r="I125" s="43">
        <v>45936</v>
      </c>
      <c r="J125">
        <v>28</v>
      </c>
      <c r="K125" s="96">
        <v>23</v>
      </c>
    </row>
    <row r="126" spans="1:11" x14ac:dyDescent="0.35">
      <c r="A126" s="105" t="s">
        <v>33</v>
      </c>
      <c r="B126" s="105" t="s">
        <v>35</v>
      </c>
      <c r="C126" s="105">
        <v>4</v>
      </c>
      <c r="D126" s="105">
        <v>4</v>
      </c>
      <c r="E126" s="105">
        <v>16</v>
      </c>
      <c r="F126" s="105">
        <v>416</v>
      </c>
      <c r="G126" s="37">
        <v>29</v>
      </c>
      <c r="H126" s="105">
        <v>4</v>
      </c>
      <c r="J126" s="96">
        <v>46</v>
      </c>
      <c r="K126" s="96"/>
    </row>
    <row r="127" spans="1:11" x14ac:dyDescent="0.35">
      <c r="A127" s="105" t="s">
        <v>33</v>
      </c>
      <c r="B127" s="105" t="s">
        <v>29</v>
      </c>
      <c r="C127" s="105">
        <v>4</v>
      </c>
      <c r="D127" s="105">
        <v>3</v>
      </c>
      <c r="E127" s="105">
        <v>16</v>
      </c>
      <c r="F127" s="105">
        <v>316</v>
      </c>
      <c r="G127" s="37">
        <v>30</v>
      </c>
      <c r="H127" s="105">
        <v>4</v>
      </c>
      <c r="J127" s="96">
        <v>45</v>
      </c>
      <c r="K127" s="96"/>
    </row>
    <row r="128" spans="1:11" x14ac:dyDescent="0.35">
      <c r="A128" s="105" t="s">
        <v>33</v>
      </c>
      <c r="B128" s="105" t="s">
        <v>34</v>
      </c>
      <c r="C128" s="105">
        <v>4</v>
      </c>
      <c r="D128" s="105">
        <v>2</v>
      </c>
      <c r="E128" s="105">
        <v>16</v>
      </c>
      <c r="F128" s="105">
        <v>216</v>
      </c>
      <c r="G128" s="37">
        <v>31</v>
      </c>
      <c r="H128" s="105">
        <v>4</v>
      </c>
      <c r="J128" s="96">
        <v>27</v>
      </c>
      <c r="K128" s="96"/>
    </row>
    <row r="129" spans="1:11" x14ac:dyDescent="0.35">
      <c r="A129" s="105" t="s">
        <v>33</v>
      </c>
      <c r="B129" s="105" t="s">
        <v>30</v>
      </c>
      <c r="C129" s="105">
        <v>4</v>
      </c>
      <c r="D129" s="105">
        <v>1</v>
      </c>
      <c r="E129" s="105">
        <v>16</v>
      </c>
      <c r="F129" s="105">
        <v>116</v>
      </c>
      <c r="G129" s="37">
        <v>32</v>
      </c>
      <c r="H129" s="105">
        <v>4</v>
      </c>
      <c r="I129" s="43">
        <v>45936</v>
      </c>
      <c r="J129" s="96">
        <v>38</v>
      </c>
      <c r="K129" s="96">
        <v>5</v>
      </c>
    </row>
    <row r="130" spans="1:11" x14ac:dyDescent="0.35">
      <c r="A130" s="105" t="s">
        <v>28</v>
      </c>
      <c r="B130" s="105" t="s">
        <v>29</v>
      </c>
      <c r="C130" s="105">
        <v>1</v>
      </c>
      <c r="D130" s="105">
        <v>1</v>
      </c>
      <c r="E130" s="105">
        <v>2</v>
      </c>
      <c r="F130" s="105">
        <v>102</v>
      </c>
      <c r="G130" s="37">
        <v>1</v>
      </c>
      <c r="H130" s="105">
        <v>5</v>
      </c>
      <c r="J130" s="96">
        <v>37</v>
      </c>
      <c r="K130" s="96"/>
    </row>
    <row r="131" spans="1:11" x14ac:dyDescent="0.35">
      <c r="A131" s="105" t="s">
        <v>28</v>
      </c>
      <c r="B131" s="105" t="s">
        <v>30</v>
      </c>
      <c r="C131" s="105">
        <v>1</v>
      </c>
      <c r="D131" s="105">
        <v>2</v>
      </c>
      <c r="E131" s="105">
        <v>2</v>
      </c>
      <c r="F131" s="105">
        <v>202</v>
      </c>
      <c r="G131" s="37">
        <v>2</v>
      </c>
      <c r="H131" s="105">
        <v>5</v>
      </c>
      <c r="J131" s="96">
        <v>39</v>
      </c>
      <c r="K131" s="96"/>
    </row>
    <row r="132" spans="1:11" x14ac:dyDescent="0.35">
      <c r="A132" s="105" t="s">
        <v>28</v>
      </c>
      <c r="B132" s="105" t="s">
        <v>31</v>
      </c>
      <c r="C132" s="105">
        <v>1</v>
      </c>
      <c r="D132" s="105">
        <v>3</v>
      </c>
      <c r="E132" s="105">
        <v>2</v>
      </c>
      <c r="F132" s="105">
        <v>302</v>
      </c>
      <c r="G132" s="37">
        <v>3</v>
      </c>
      <c r="H132" s="105">
        <v>5</v>
      </c>
      <c r="J132" s="96">
        <v>29</v>
      </c>
      <c r="K132" s="96"/>
    </row>
    <row r="133" spans="1:11" x14ac:dyDescent="0.35">
      <c r="A133" s="105" t="s">
        <v>28</v>
      </c>
      <c r="B133" s="105" t="s">
        <v>32</v>
      </c>
      <c r="C133" s="105">
        <v>1</v>
      </c>
      <c r="D133" s="105">
        <v>4</v>
      </c>
      <c r="E133" s="105">
        <v>2</v>
      </c>
      <c r="F133" s="105">
        <v>402</v>
      </c>
      <c r="G133" s="37">
        <v>4</v>
      </c>
      <c r="H133" s="105">
        <v>5</v>
      </c>
      <c r="J133" s="96">
        <v>57</v>
      </c>
      <c r="K133" s="96"/>
    </row>
    <row r="134" spans="1:11" x14ac:dyDescent="0.35">
      <c r="A134" s="105" t="s">
        <v>33</v>
      </c>
      <c r="B134" s="105" t="s">
        <v>29</v>
      </c>
      <c r="C134" s="105">
        <v>1</v>
      </c>
      <c r="D134" s="105">
        <v>4</v>
      </c>
      <c r="E134" s="105">
        <v>4</v>
      </c>
      <c r="F134" s="105">
        <v>404</v>
      </c>
      <c r="G134" s="37">
        <v>5</v>
      </c>
      <c r="H134" s="105">
        <v>5</v>
      </c>
      <c r="I134" s="43">
        <v>45938</v>
      </c>
      <c r="J134" s="96">
        <v>32</v>
      </c>
      <c r="K134" s="96">
        <v>17</v>
      </c>
    </row>
    <row r="135" spans="1:11" x14ac:dyDescent="0.35">
      <c r="A135" s="105" t="s">
        <v>33</v>
      </c>
      <c r="B135" s="105" t="s">
        <v>35</v>
      </c>
      <c r="C135" s="105">
        <v>1</v>
      </c>
      <c r="D135" s="105">
        <v>3</v>
      </c>
      <c r="E135" s="105">
        <v>4</v>
      </c>
      <c r="F135" s="105">
        <v>304</v>
      </c>
      <c r="G135" s="37">
        <v>6</v>
      </c>
      <c r="H135" s="105">
        <v>5</v>
      </c>
      <c r="I135" s="43">
        <v>45938</v>
      </c>
      <c r="J135" s="96">
        <v>23</v>
      </c>
      <c r="K135" s="96">
        <v>1</v>
      </c>
    </row>
    <row r="136" spans="1:11" x14ac:dyDescent="0.35">
      <c r="A136" s="105" t="s">
        <v>33</v>
      </c>
      <c r="B136" s="105" t="s">
        <v>30</v>
      </c>
      <c r="C136" s="105">
        <v>1</v>
      </c>
      <c r="D136" s="105">
        <v>2</v>
      </c>
      <c r="E136" s="105">
        <v>4</v>
      </c>
      <c r="F136" s="105">
        <v>204</v>
      </c>
      <c r="G136" s="37">
        <v>7</v>
      </c>
      <c r="H136" s="105">
        <v>5</v>
      </c>
      <c r="I136" s="43">
        <v>45938</v>
      </c>
      <c r="J136" s="96">
        <v>35</v>
      </c>
      <c r="K136" s="96">
        <v>24</v>
      </c>
    </row>
    <row r="137" spans="1:11" x14ac:dyDescent="0.35">
      <c r="A137" s="105" t="s">
        <v>33</v>
      </c>
      <c r="B137" s="105" t="s">
        <v>34</v>
      </c>
      <c r="C137" s="105">
        <v>1</v>
      </c>
      <c r="D137" s="105">
        <v>1</v>
      </c>
      <c r="E137" s="105">
        <v>4</v>
      </c>
      <c r="F137" s="105">
        <v>104</v>
      </c>
      <c r="G137" s="37">
        <v>8</v>
      </c>
      <c r="H137" s="105">
        <v>5</v>
      </c>
      <c r="I137" s="43">
        <v>45938</v>
      </c>
      <c r="J137" s="96">
        <v>19</v>
      </c>
      <c r="K137" s="96">
        <v>2</v>
      </c>
    </row>
    <row r="138" spans="1:11" x14ac:dyDescent="0.35">
      <c r="A138" s="105" t="s">
        <v>28</v>
      </c>
      <c r="B138" s="105" t="s">
        <v>31</v>
      </c>
      <c r="C138" s="105">
        <v>2</v>
      </c>
      <c r="D138" s="105">
        <v>1</v>
      </c>
      <c r="E138" s="105">
        <v>6</v>
      </c>
      <c r="F138" s="105">
        <v>106</v>
      </c>
      <c r="G138" s="37">
        <v>9</v>
      </c>
      <c r="H138" s="105">
        <v>5</v>
      </c>
      <c r="J138">
        <v>25</v>
      </c>
      <c r="K138" s="96"/>
    </row>
    <row r="139" spans="1:11" x14ac:dyDescent="0.35">
      <c r="A139" s="105" t="s">
        <v>28</v>
      </c>
      <c r="B139" s="105" t="s">
        <v>32</v>
      </c>
      <c r="C139" s="105">
        <v>2</v>
      </c>
      <c r="D139" s="105">
        <v>2</v>
      </c>
      <c r="E139" s="105">
        <v>6</v>
      </c>
      <c r="F139" s="105">
        <v>206</v>
      </c>
      <c r="G139" s="37">
        <v>10</v>
      </c>
      <c r="H139" s="105">
        <v>5</v>
      </c>
      <c r="J139" s="96">
        <v>38</v>
      </c>
      <c r="K139" s="96"/>
    </row>
    <row r="140" spans="1:11" x14ac:dyDescent="0.35">
      <c r="A140" s="105" t="s">
        <v>28</v>
      </c>
      <c r="B140" s="105" t="s">
        <v>30</v>
      </c>
      <c r="C140" s="105">
        <v>2</v>
      </c>
      <c r="D140" s="105">
        <v>3</v>
      </c>
      <c r="E140" s="105">
        <v>6</v>
      </c>
      <c r="F140" s="105">
        <v>306</v>
      </c>
      <c r="G140" s="37">
        <v>11</v>
      </c>
      <c r="H140" s="105">
        <v>5</v>
      </c>
      <c r="J140" s="96">
        <v>21</v>
      </c>
      <c r="K140" s="96"/>
    </row>
    <row r="141" spans="1:11" x14ac:dyDescent="0.35">
      <c r="A141" s="105" t="s">
        <v>28</v>
      </c>
      <c r="B141" s="105" t="s">
        <v>29</v>
      </c>
      <c r="C141" s="105">
        <v>2</v>
      </c>
      <c r="D141" s="105">
        <v>4</v>
      </c>
      <c r="E141" s="105">
        <v>6</v>
      </c>
      <c r="F141" s="105">
        <v>406</v>
      </c>
      <c r="G141" s="37">
        <v>12</v>
      </c>
      <c r="H141" s="105">
        <v>5</v>
      </c>
      <c r="J141" s="96">
        <v>49</v>
      </c>
      <c r="K141" s="96"/>
    </row>
    <row r="142" spans="1:11" x14ac:dyDescent="0.35">
      <c r="A142" s="105" t="s">
        <v>33</v>
      </c>
      <c r="B142" s="105" t="s">
        <v>34</v>
      </c>
      <c r="C142" s="105">
        <v>2</v>
      </c>
      <c r="D142" s="105">
        <v>4</v>
      </c>
      <c r="E142" s="105">
        <v>8</v>
      </c>
      <c r="F142" s="105">
        <v>408</v>
      </c>
      <c r="G142" s="37">
        <v>13</v>
      </c>
      <c r="H142" s="105">
        <v>5</v>
      </c>
      <c r="I142" s="43">
        <v>45938</v>
      </c>
      <c r="J142" s="96">
        <v>37</v>
      </c>
      <c r="K142" s="96">
        <v>10</v>
      </c>
    </row>
    <row r="143" spans="1:11" x14ac:dyDescent="0.35">
      <c r="A143" s="105" t="s">
        <v>33</v>
      </c>
      <c r="B143" s="105" t="s">
        <v>30</v>
      </c>
      <c r="C143" s="105">
        <v>2</v>
      </c>
      <c r="D143" s="105">
        <v>3</v>
      </c>
      <c r="E143" s="105">
        <v>8</v>
      </c>
      <c r="F143" s="105">
        <v>308</v>
      </c>
      <c r="G143" s="37">
        <v>14</v>
      </c>
      <c r="H143" s="105">
        <v>5</v>
      </c>
      <c r="I143" s="43">
        <v>45938</v>
      </c>
      <c r="J143" s="96">
        <v>33</v>
      </c>
      <c r="K143" s="96">
        <v>8</v>
      </c>
    </row>
    <row r="144" spans="1:11" x14ac:dyDescent="0.35">
      <c r="A144" s="105" t="s">
        <v>33</v>
      </c>
      <c r="B144" s="105" t="s">
        <v>29</v>
      </c>
      <c r="C144" s="105">
        <v>2</v>
      </c>
      <c r="D144" s="105">
        <v>2</v>
      </c>
      <c r="E144" s="105">
        <v>8</v>
      </c>
      <c r="F144" s="105">
        <v>208</v>
      </c>
      <c r="G144" s="37">
        <v>15</v>
      </c>
      <c r="H144" s="105">
        <v>5</v>
      </c>
      <c r="I144" s="43">
        <v>45938</v>
      </c>
      <c r="J144" s="96">
        <v>36</v>
      </c>
      <c r="K144" s="96">
        <v>24</v>
      </c>
    </row>
    <row r="145" spans="1:11" x14ac:dyDescent="0.35">
      <c r="A145" s="105" t="s">
        <v>33</v>
      </c>
      <c r="B145" s="105" t="s">
        <v>35</v>
      </c>
      <c r="C145" s="105">
        <v>2</v>
      </c>
      <c r="D145" s="105">
        <v>1</v>
      </c>
      <c r="E145" s="105">
        <v>8</v>
      </c>
      <c r="F145" s="105">
        <v>108</v>
      </c>
      <c r="G145" s="37">
        <v>16</v>
      </c>
      <c r="H145" s="105">
        <v>5</v>
      </c>
      <c r="J145" s="96">
        <v>34</v>
      </c>
      <c r="K145" s="96"/>
    </row>
    <row r="146" spans="1:11" x14ac:dyDescent="0.35">
      <c r="A146" s="105" t="s">
        <v>28</v>
      </c>
      <c r="B146" s="105" t="s">
        <v>32</v>
      </c>
      <c r="C146" s="105">
        <v>3</v>
      </c>
      <c r="D146" s="105">
        <v>1</v>
      </c>
      <c r="E146" s="105">
        <v>10</v>
      </c>
      <c r="F146" s="105">
        <v>110</v>
      </c>
      <c r="G146" s="37">
        <v>17</v>
      </c>
      <c r="H146" s="105">
        <v>5</v>
      </c>
      <c r="J146" s="96">
        <v>47</v>
      </c>
      <c r="K146" s="96"/>
    </row>
    <row r="147" spans="1:11" x14ac:dyDescent="0.35">
      <c r="A147" s="105" t="s">
        <v>28</v>
      </c>
      <c r="B147" s="105" t="s">
        <v>31</v>
      </c>
      <c r="C147" s="105">
        <v>3</v>
      </c>
      <c r="D147" s="105">
        <v>2</v>
      </c>
      <c r="E147" s="105">
        <v>10</v>
      </c>
      <c r="F147" s="105">
        <v>210</v>
      </c>
      <c r="G147" s="37">
        <v>18</v>
      </c>
      <c r="H147" s="105">
        <v>5</v>
      </c>
      <c r="J147">
        <v>40</v>
      </c>
      <c r="K147" s="96"/>
    </row>
    <row r="148" spans="1:11" x14ac:dyDescent="0.35">
      <c r="A148" s="105" t="s">
        <v>28</v>
      </c>
      <c r="B148" s="105" t="s">
        <v>29</v>
      </c>
      <c r="C148" s="105">
        <v>3</v>
      </c>
      <c r="D148" s="105">
        <v>3</v>
      </c>
      <c r="E148" s="105">
        <v>10</v>
      </c>
      <c r="F148" s="105">
        <v>310</v>
      </c>
      <c r="G148" s="37">
        <v>19</v>
      </c>
      <c r="H148" s="105">
        <v>5</v>
      </c>
      <c r="J148" s="96">
        <v>23</v>
      </c>
      <c r="K148" s="96"/>
    </row>
    <row r="149" spans="1:11" x14ac:dyDescent="0.35">
      <c r="A149" s="105" t="s">
        <v>28</v>
      </c>
      <c r="B149" s="105" t="s">
        <v>30</v>
      </c>
      <c r="C149" s="105">
        <v>3</v>
      </c>
      <c r="D149" s="105">
        <v>4</v>
      </c>
      <c r="E149" s="105">
        <v>10</v>
      </c>
      <c r="F149" s="105">
        <v>410</v>
      </c>
      <c r="G149" s="37">
        <v>20</v>
      </c>
      <c r="H149" s="105">
        <v>5</v>
      </c>
      <c r="J149" s="96">
        <v>44</v>
      </c>
      <c r="K149" s="96"/>
    </row>
    <row r="150" spans="1:11" x14ac:dyDescent="0.35">
      <c r="A150" s="105" t="s">
        <v>33</v>
      </c>
      <c r="B150" s="105" t="s">
        <v>30</v>
      </c>
      <c r="C150" s="105">
        <v>3</v>
      </c>
      <c r="D150" s="105">
        <v>4</v>
      </c>
      <c r="E150" s="105">
        <v>12</v>
      </c>
      <c r="F150" s="105">
        <v>412</v>
      </c>
      <c r="G150" s="37">
        <v>21</v>
      </c>
      <c r="H150" s="105">
        <v>5</v>
      </c>
      <c r="I150" s="43">
        <v>45938</v>
      </c>
      <c r="J150" s="96">
        <v>41</v>
      </c>
      <c r="K150" s="96">
        <v>2</v>
      </c>
    </row>
    <row r="151" spans="1:11" x14ac:dyDescent="0.35">
      <c r="A151" s="105" t="s">
        <v>33</v>
      </c>
      <c r="B151" s="105" t="s">
        <v>34</v>
      </c>
      <c r="C151" s="105">
        <v>3</v>
      </c>
      <c r="D151" s="105">
        <v>3</v>
      </c>
      <c r="E151" s="105">
        <v>12</v>
      </c>
      <c r="F151" s="105">
        <v>312</v>
      </c>
      <c r="G151" s="37">
        <v>22</v>
      </c>
      <c r="H151" s="105">
        <v>5</v>
      </c>
      <c r="I151" s="43">
        <v>45938</v>
      </c>
      <c r="J151" s="96">
        <v>15</v>
      </c>
      <c r="K151" s="96">
        <v>5</v>
      </c>
    </row>
    <row r="152" spans="1:11" x14ac:dyDescent="0.35">
      <c r="A152" s="105" t="s">
        <v>33</v>
      </c>
      <c r="B152" s="105" t="s">
        <v>35</v>
      </c>
      <c r="C152" s="105">
        <v>3</v>
      </c>
      <c r="D152" s="105">
        <v>2</v>
      </c>
      <c r="E152" s="105">
        <v>12</v>
      </c>
      <c r="F152" s="105">
        <v>212</v>
      </c>
      <c r="G152" s="37">
        <v>23</v>
      </c>
      <c r="H152" s="105">
        <v>5</v>
      </c>
      <c r="J152" s="96">
        <v>33</v>
      </c>
      <c r="K152" s="96"/>
    </row>
    <row r="153" spans="1:11" x14ac:dyDescent="0.35">
      <c r="A153" s="105" t="s">
        <v>33</v>
      </c>
      <c r="B153" s="105" t="s">
        <v>29</v>
      </c>
      <c r="C153" s="105">
        <v>3</v>
      </c>
      <c r="D153" s="105">
        <v>1</v>
      </c>
      <c r="E153" s="105">
        <v>12</v>
      </c>
      <c r="F153" s="105">
        <v>112</v>
      </c>
      <c r="G153" s="37">
        <v>24</v>
      </c>
      <c r="H153" s="105">
        <v>5</v>
      </c>
      <c r="I153" s="43">
        <v>45938</v>
      </c>
      <c r="J153" s="96">
        <v>25</v>
      </c>
      <c r="K153" s="96">
        <v>10</v>
      </c>
    </row>
    <row r="154" spans="1:11" x14ac:dyDescent="0.35">
      <c r="A154" s="105" t="s">
        <v>28</v>
      </c>
      <c r="B154" s="105" t="s">
        <v>30</v>
      </c>
      <c r="C154" s="105">
        <v>4</v>
      </c>
      <c r="D154" s="105">
        <v>1</v>
      </c>
      <c r="E154" s="105">
        <v>14</v>
      </c>
      <c r="F154" s="105">
        <v>114</v>
      </c>
      <c r="G154" s="37">
        <v>25</v>
      </c>
      <c r="H154" s="105">
        <v>5</v>
      </c>
      <c r="J154" s="96">
        <v>48</v>
      </c>
      <c r="K154" s="96"/>
    </row>
    <row r="155" spans="1:11" x14ac:dyDescent="0.35">
      <c r="A155" s="105" t="s">
        <v>28</v>
      </c>
      <c r="B155" s="105" t="s">
        <v>29</v>
      </c>
      <c r="C155" s="105">
        <v>4</v>
      </c>
      <c r="D155" s="105">
        <v>2</v>
      </c>
      <c r="E155" s="105">
        <v>14</v>
      </c>
      <c r="F155" s="105">
        <v>214</v>
      </c>
      <c r="G155" s="37">
        <v>26</v>
      </c>
      <c r="H155" s="105">
        <v>5</v>
      </c>
      <c r="J155" s="96">
        <v>47</v>
      </c>
      <c r="K155" s="96"/>
    </row>
    <row r="156" spans="1:11" x14ac:dyDescent="0.35">
      <c r="A156" s="105" t="s">
        <v>28</v>
      </c>
      <c r="B156" s="105" t="s">
        <v>32</v>
      </c>
      <c r="C156" s="105">
        <v>4</v>
      </c>
      <c r="D156" s="105">
        <v>3</v>
      </c>
      <c r="E156" s="105">
        <v>14</v>
      </c>
      <c r="F156" s="105">
        <v>314</v>
      </c>
      <c r="G156" s="37">
        <v>27</v>
      </c>
      <c r="H156" s="105">
        <v>5</v>
      </c>
      <c r="J156" s="96">
        <v>28</v>
      </c>
      <c r="K156" s="96"/>
    </row>
    <row r="157" spans="1:11" x14ac:dyDescent="0.35">
      <c r="A157" s="105" t="s">
        <v>28</v>
      </c>
      <c r="B157" s="105" t="s">
        <v>31</v>
      </c>
      <c r="C157" s="105">
        <v>4</v>
      </c>
      <c r="D157" s="105">
        <v>4</v>
      </c>
      <c r="E157" s="105">
        <v>14</v>
      </c>
      <c r="F157" s="105">
        <v>414</v>
      </c>
      <c r="G157" s="37">
        <v>28</v>
      </c>
      <c r="H157" s="105">
        <v>5</v>
      </c>
      <c r="J157">
        <v>28</v>
      </c>
      <c r="K157" s="96"/>
    </row>
    <row r="158" spans="1:11" x14ac:dyDescent="0.35">
      <c r="A158" s="105" t="s">
        <v>33</v>
      </c>
      <c r="B158" s="105" t="s">
        <v>35</v>
      </c>
      <c r="C158" s="105">
        <v>4</v>
      </c>
      <c r="D158" s="105">
        <v>4</v>
      </c>
      <c r="E158" s="105">
        <v>16</v>
      </c>
      <c r="F158" s="105">
        <v>416</v>
      </c>
      <c r="G158" s="37">
        <v>29</v>
      </c>
      <c r="H158" s="105">
        <v>5</v>
      </c>
      <c r="J158" s="96">
        <v>46</v>
      </c>
      <c r="K158" s="96"/>
    </row>
    <row r="159" spans="1:11" x14ac:dyDescent="0.35">
      <c r="A159" s="105" t="s">
        <v>33</v>
      </c>
      <c r="B159" s="105" t="s">
        <v>29</v>
      </c>
      <c r="C159" s="105">
        <v>4</v>
      </c>
      <c r="D159" s="105">
        <v>3</v>
      </c>
      <c r="E159" s="105">
        <v>16</v>
      </c>
      <c r="F159" s="105">
        <v>316</v>
      </c>
      <c r="G159" s="37">
        <v>30</v>
      </c>
      <c r="H159" s="105">
        <v>5</v>
      </c>
      <c r="I159" s="43">
        <v>45938</v>
      </c>
      <c r="J159" s="96">
        <v>45</v>
      </c>
      <c r="K159" s="96">
        <v>4</v>
      </c>
    </row>
    <row r="160" spans="1:11" x14ac:dyDescent="0.35">
      <c r="A160" s="105" t="s">
        <v>33</v>
      </c>
      <c r="B160" s="105" t="s">
        <v>34</v>
      </c>
      <c r="C160" s="105">
        <v>4</v>
      </c>
      <c r="D160" s="105">
        <v>2</v>
      </c>
      <c r="E160" s="105">
        <v>16</v>
      </c>
      <c r="F160" s="105">
        <v>216</v>
      </c>
      <c r="G160" s="37">
        <v>31</v>
      </c>
      <c r="H160" s="105">
        <v>5</v>
      </c>
      <c r="I160" s="43">
        <v>45938</v>
      </c>
      <c r="J160" s="96">
        <v>27</v>
      </c>
      <c r="K160" s="96">
        <v>10</v>
      </c>
    </row>
    <row r="161" spans="1:11" x14ac:dyDescent="0.35">
      <c r="A161" s="105" t="s">
        <v>33</v>
      </c>
      <c r="B161" s="105" t="s">
        <v>30</v>
      </c>
      <c r="C161" s="105">
        <v>4</v>
      </c>
      <c r="D161" s="105">
        <v>1</v>
      </c>
      <c r="E161" s="105">
        <v>16</v>
      </c>
      <c r="F161" s="105">
        <v>116</v>
      </c>
      <c r="G161" s="37">
        <v>32</v>
      </c>
      <c r="H161" s="105">
        <v>5</v>
      </c>
      <c r="I161" s="43">
        <v>45938</v>
      </c>
      <c r="J161" s="96">
        <v>38</v>
      </c>
      <c r="K161" s="96">
        <v>19</v>
      </c>
    </row>
    <row r="162" spans="1:11" x14ac:dyDescent="0.35">
      <c r="A162" s="105" t="s">
        <v>28</v>
      </c>
      <c r="B162" s="105" t="s">
        <v>29</v>
      </c>
      <c r="C162" s="105">
        <v>1</v>
      </c>
      <c r="D162" s="105">
        <v>1</v>
      </c>
      <c r="E162" s="105">
        <v>2</v>
      </c>
      <c r="F162" s="105">
        <v>102</v>
      </c>
      <c r="G162" s="37">
        <v>1</v>
      </c>
      <c r="H162" s="105">
        <v>6</v>
      </c>
      <c r="J162" s="96">
        <v>37</v>
      </c>
      <c r="K162" s="96"/>
    </row>
    <row r="163" spans="1:11" x14ac:dyDescent="0.35">
      <c r="A163" s="105" t="s">
        <v>28</v>
      </c>
      <c r="B163" s="105" t="s">
        <v>30</v>
      </c>
      <c r="C163" s="105">
        <v>1</v>
      </c>
      <c r="D163" s="105">
        <v>2</v>
      </c>
      <c r="E163" s="105">
        <v>2</v>
      </c>
      <c r="F163" s="105">
        <v>202</v>
      </c>
      <c r="G163" s="37">
        <v>2</v>
      </c>
      <c r="H163" s="105">
        <v>6</v>
      </c>
      <c r="J163" s="96">
        <v>39</v>
      </c>
      <c r="K163" s="96"/>
    </row>
    <row r="164" spans="1:11" x14ac:dyDescent="0.35">
      <c r="A164" s="105" t="s">
        <v>28</v>
      </c>
      <c r="B164" s="105" t="s">
        <v>31</v>
      </c>
      <c r="C164" s="105">
        <v>1</v>
      </c>
      <c r="D164" s="105">
        <v>3</v>
      </c>
      <c r="E164" s="105">
        <v>2</v>
      </c>
      <c r="F164" s="105">
        <v>302</v>
      </c>
      <c r="G164" s="37">
        <v>3</v>
      </c>
      <c r="H164" s="105">
        <v>6</v>
      </c>
      <c r="J164" s="96">
        <v>29</v>
      </c>
      <c r="K164" s="96"/>
    </row>
    <row r="165" spans="1:11" x14ac:dyDescent="0.35">
      <c r="A165" s="105" t="s">
        <v>28</v>
      </c>
      <c r="B165" s="105" t="s">
        <v>32</v>
      </c>
      <c r="C165" s="105">
        <v>1</v>
      </c>
      <c r="D165" s="105">
        <v>4</v>
      </c>
      <c r="E165" s="105">
        <v>2</v>
      </c>
      <c r="F165" s="105">
        <v>402</v>
      </c>
      <c r="G165" s="37">
        <v>4</v>
      </c>
      <c r="H165" s="105">
        <v>6</v>
      </c>
      <c r="I165" s="43">
        <v>45940</v>
      </c>
      <c r="J165" s="96">
        <v>57</v>
      </c>
      <c r="K165" s="96">
        <v>6</v>
      </c>
    </row>
    <row r="166" spans="1:11" x14ac:dyDescent="0.35">
      <c r="A166" s="105" t="s">
        <v>33</v>
      </c>
      <c r="B166" s="105" t="s">
        <v>29</v>
      </c>
      <c r="C166" s="105">
        <v>1</v>
      </c>
      <c r="D166" s="105">
        <v>4</v>
      </c>
      <c r="E166" s="105">
        <v>4</v>
      </c>
      <c r="F166" s="105">
        <v>404</v>
      </c>
      <c r="G166" s="37">
        <v>5</v>
      </c>
      <c r="H166" s="105">
        <v>6</v>
      </c>
      <c r="J166" s="96">
        <v>32</v>
      </c>
      <c r="K166" s="96"/>
    </row>
    <row r="167" spans="1:11" x14ac:dyDescent="0.35">
      <c r="A167" s="105" t="s">
        <v>33</v>
      </c>
      <c r="B167" s="105" t="s">
        <v>35</v>
      </c>
      <c r="C167" s="105">
        <v>1</v>
      </c>
      <c r="D167" s="105">
        <v>3</v>
      </c>
      <c r="E167" s="105">
        <v>4</v>
      </c>
      <c r="F167" s="105">
        <v>304</v>
      </c>
      <c r="G167" s="37">
        <v>6</v>
      </c>
      <c r="H167" s="105">
        <v>6</v>
      </c>
      <c r="I167" s="43">
        <v>45940</v>
      </c>
      <c r="J167" s="96">
        <v>23</v>
      </c>
      <c r="K167" s="96">
        <v>7</v>
      </c>
    </row>
    <row r="168" spans="1:11" x14ac:dyDescent="0.35">
      <c r="A168" s="105" t="s">
        <v>33</v>
      </c>
      <c r="B168" s="105" t="s">
        <v>30</v>
      </c>
      <c r="C168" s="105">
        <v>1</v>
      </c>
      <c r="D168" s="105">
        <v>2</v>
      </c>
      <c r="E168" s="105">
        <v>4</v>
      </c>
      <c r="F168" s="105">
        <v>204</v>
      </c>
      <c r="G168" s="37">
        <v>7</v>
      </c>
      <c r="H168" s="105">
        <v>6</v>
      </c>
      <c r="J168" s="96">
        <v>35</v>
      </c>
      <c r="K168" s="96"/>
    </row>
    <row r="169" spans="1:11" x14ac:dyDescent="0.35">
      <c r="A169" s="105" t="s">
        <v>33</v>
      </c>
      <c r="B169" s="105" t="s">
        <v>34</v>
      </c>
      <c r="C169" s="105">
        <v>1</v>
      </c>
      <c r="D169" s="105">
        <v>1</v>
      </c>
      <c r="E169" s="105">
        <v>4</v>
      </c>
      <c r="F169" s="105">
        <v>104</v>
      </c>
      <c r="G169" s="37">
        <v>8</v>
      </c>
      <c r="H169" s="105">
        <v>6</v>
      </c>
      <c r="I169" s="43">
        <v>45940</v>
      </c>
      <c r="J169" s="96">
        <v>19</v>
      </c>
      <c r="K169" s="96">
        <v>9</v>
      </c>
    </row>
    <row r="170" spans="1:11" x14ac:dyDescent="0.35">
      <c r="A170" s="105" t="s">
        <v>28</v>
      </c>
      <c r="B170" s="105" t="s">
        <v>31</v>
      </c>
      <c r="C170" s="105">
        <v>2</v>
      </c>
      <c r="D170" s="105">
        <v>1</v>
      </c>
      <c r="E170" s="105">
        <v>6</v>
      </c>
      <c r="F170" s="105">
        <v>106</v>
      </c>
      <c r="G170" s="37">
        <v>9</v>
      </c>
      <c r="H170" s="105">
        <v>6</v>
      </c>
      <c r="J170">
        <v>25</v>
      </c>
      <c r="K170" s="96"/>
    </row>
    <row r="171" spans="1:11" x14ac:dyDescent="0.35">
      <c r="A171" s="105" t="s">
        <v>28</v>
      </c>
      <c r="B171" s="105" t="s">
        <v>32</v>
      </c>
      <c r="C171" s="105">
        <v>2</v>
      </c>
      <c r="D171" s="105">
        <v>2</v>
      </c>
      <c r="E171" s="105">
        <v>6</v>
      </c>
      <c r="F171" s="105">
        <v>206</v>
      </c>
      <c r="G171" s="37">
        <v>10</v>
      </c>
      <c r="H171" s="105">
        <v>6</v>
      </c>
      <c r="J171" s="96">
        <v>38</v>
      </c>
      <c r="K171" s="96"/>
    </row>
    <row r="172" spans="1:11" x14ac:dyDescent="0.35">
      <c r="A172" s="105" t="s">
        <v>28</v>
      </c>
      <c r="B172" s="105" t="s">
        <v>30</v>
      </c>
      <c r="C172" s="105">
        <v>2</v>
      </c>
      <c r="D172" s="105">
        <v>3</v>
      </c>
      <c r="E172" s="105">
        <v>6</v>
      </c>
      <c r="F172" s="105">
        <v>306</v>
      </c>
      <c r="G172" s="37">
        <v>11</v>
      </c>
      <c r="H172" s="105">
        <v>6</v>
      </c>
      <c r="J172" s="96">
        <v>21</v>
      </c>
      <c r="K172" s="96"/>
    </row>
    <row r="173" spans="1:11" x14ac:dyDescent="0.35">
      <c r="A173" s="105" t="s">
        <v>28</v>
      </c>
      <c r="B173" s="105" t="s">
        <v>29</v>
      </c>
      <c r="C173" s="105">
        <v>2</v>
      </c>
      <c r="D173" s="105">
        <v>4</v>
      </c>
      <c r="E173" s="105">
        <v>6</v>
      </c>
      <c r="F173" s="105">
        <v>406</v>
      </c>
      <c r="G173" s="37">
        <v>12</v>
      </c>
      <c r="H173" s="105">
        <v>6</v>
      </c>
      <c r="J173" s="96">
        <v>49</v>
      </c>
      <c r="K173" s="96"/>
    </row>
    <row r="174" spans="1:11" x14ac:dyDescent="0.35">
      <c r="A174" s="105" t="s">
        <v>33</v>
      </c>
      <c r="B174" s="105" t="s">
        <v>34</v>
      </c>
      <c r="C174" s="105">
        <v>2</v>
      </c>
      <c r="D174" s="105">
        <v>4</v>
      </c>
      <c r="E174" s="105">
        <v>8</v>
      </c>
      <c r="F174" s="105">
        <v>408</v>
      </c>
      <c r="G174" s="37">
        <v>13</v>
      </c>
      <c r="H174" s="105">
        <v>6</v>
      </c>
      <c r="I174" s="43">
        <v>45940</v>
      </c>
      <c r="J174" s="96">
        <v>37</v>
      </c>
      <c r="K174" s="96">
        <v>24</v>
      </c>
    </row>
    <row r="175" spans="1:11" x14ac:dyDescent="0.35">
      <c r="A175" s="105" t="s">
        <v>33</v>
      </c>
      <c r="B175" s="105" t="s">
        <v>30</v>
      </c>
      <c r="C175" s="105">
        <v>2</v>
      </c>
      <c r="D175" s="105">
        <v>3</v>
      </c>
      <c r="E175" s="105">
        <v>8</v>
      </c>
      <c r="F175" s="105">
        <v>308</v>
      </c>
      <c r="G175" s="37">
        <v>14</v>
      </c>
      <c r="H175" s="105">
        <v>6</v>
      </c>
      <c r="J175" s="96">
        <v>33</v>
      </c>
      <c r="K175" s="96"/>
    </row>
    <row r="176" spans="1:11" x14ac:dyDescent="0.35">
      <c r="A176" s="105" t="s">
        <v>33</v>
      </c>
      <c r="B176" s="105" t="s">
        <v>29</v>
      </c>
      <c r="C176" s="105">
        <v>2</v>
      </c>
      <c r="D176" s="105">
        <v>2</v>
      </c>
      <c r="E176" s="105">
        <v>8</v>
      </c>
      <c r="F176" s="105">
        <v>208</v>
      </c>
      <c r="G176" s="37">
        <v>15</v>
      </c>
      <c r="H176" s="105">
        <v>6</v>
      </c>
      <c r="J176" s="96">
        <v>36</v>
      </c>
      <c r="K176" s="96"/>
    </row>
    <row r="177" spans="1:11" x14ac:dyDescent="0.35">
      <c r="A177" s="105" t="s">
        <v>33</v>
      </c>
      <c r="B177" s="105" t="s">
        <v>35</v>
      </c>
      <c r="C177" s="105">
        <v>2</v>
      </c>
      <c r="D177" s="105">
        <v>1</v>
      </c>
      <c r="E177" s="105">
        <v>8</v>
      </c>
      <c r="F177" s="105">
        <v>108</v>
      </c>
      <c r="G177" s="37">
        <v>16</v>
      </c>
      <c r="H177" s="105">
        <v>6</v>
      </c>
      <c r="I177" s="43">
        <v>45940</v>
      </c>
      <c r="J177" s="96">
        <v>34</v>
      </c>
      <c r="K177" s="96">
        <v>4</v>
      </c>
    </row>
    <row r="178" spans="1:11" x14ac:dyDescent="0.35">
      <c r="A178" s="105" t="s">
        <v>28</v>
      </c>
      <c r="B178" s="105" t="s">
        <v>32</v>
      </c>
      <c r="C178" s="105">
        <v>3</v>
      </c>
      <c r="D178" s="105">
        <v>1</v>
      </c>
      <c r="E178" s="105">
        <v>10</v>
      </c>
      <c r="F178" s="105">
        <v>110</v>
      </c>
      <c r="G178" s="37">
        <v>17</v>
      </c>
      <c r="H178" s="105">
        <v>6</v>
      </c>
      <c r="J178" s="96">
        <v>47</v>
      </c>
      <c r="K178" s="96"/>
    </row>
    <row r="179" spans="1:11" x14ac:dyDescent="0.35">
      <c r="A179" s="105" t="s">
        <v>28</v>
      </c>
      <c r="B179" s="105" t="s">
        <v>31</v>
      </c>
      <c r="C179" s="105">
        <v>3</v>
      </c>
      <c r="D179" s="105">
        <v>2</v>
      </c>
      <c r="E179" s="105">
        <v>10</v>
      </c>
      <c r="F179" s="105">
        <v>210</v>
      </c>
      <c r="G179" s="37">
        <v>18</v>
      </c>
      <c r="H179" s="105">
        <v>6</v>
      </c>
      <c r="J179">
        <v>40</v>
      </c>
      <c r="K179" s="96"/>
    </row>
    <row r="180" spans="1:11" x14ac:dyDescent="0.35">
      <c r="A180" s="105" t="s">
        <v>28</v>
      </c>
      <c r="B180" s="105" t="s">
        <v>29</v>
      </c>
      <c r="C180" s="105">
        <v>3</v>
      </c>
      <c r="D180" s="105">
        <v>3</v>
      </c>
      <c r="E180" s="105">
        <v>10</v>
      </c>
      <c r="F180" s="105">
        <v>310</v>
      </c>
      <c r="G180" s="37">
        <v>19</v>
      </c>
      <c r="H180" s="105">
        <v>6</v>
      </c>
      <c r="J180" s="96">
        <v>23</v>
      </c>
      <c r="K180" s="96"/>
    </row>
    <row r="181" spans="1:11" x14ac:dyDescent="0.35">
      <c r="A181" s="105" t="s">
        <v>28</v>
      </c>
      <c r="B181" s="105" t="s">
        <v>30</v>
      </c>
      <c r="C181" s="105">
        <v>3</v>
      </c>
      <c r="D181" s="105">
        <v>4</v>
      </c>
      <c r="E181" s="105">
        <v>10</v>
      </c>
      <c r="F181" s="105">
        <v>410</v>
      </c>
      <c r="G181" s="37">
        <v>20</v>
      </c>
      <c r="H181" s="105">
        <v>6</v>
      </c>
      <c r="J181" s="96">
        <v>44</v>
      </c>
      <c r="K181" s="96"/>
    </row>
    <row r="182" spans="1:11" x14ac:dyDescent="0.35">
      <c r="A182" s="105" t="s">
        <v>33</v>
      </c>
      <c r="B182" s="105" t="s">
        <v>30</v>
      </c>
      <c r="C182" s="105">
        <v>3</v>
      </c>
      <c r="D182" s="105">
        <v>4</v>
      </c>
      <c r="E182" s="105">
        <v>12</v>
      </c>
      <c r="F182" s="105">
        <v>412</v>
      </c>
      <c r="G182" s="37">
        <v>21</v>
      </c>
      <c r="H182" s="105">
        <v>6</v>
      </c>
      <c r="J182" s="96">
        <v>41</v>
      </c>
      <c r="K182" s="96"/>
    </row>
    <row r="183" spans="1:11" x14ac:dyDescent="0.35">
      <c r="A183" s="105" t="s">
        <v>33</v>
      </c>
      <c r="B183" s="105" t="s">
        <v>34</v>
      </c>
      <c r="C183" s="105">
        <v>3</v>
      </c>
      <c r="D183" s="105">
        <v>3</v>
      </c>
      <c r="E183" s="105">
        <v>12</v>
      </c>
      <c r="F183" s="105">
        <v>312</v>
      </c>
      <c r="G183" s="37">
        <v>22</v>
      </c>
      <c r="H183" s="105">
        <v>6</v>
      </c>
      <c r="I183" s="43">
        <v>45940</v>
      </c>
      <c r="J183" s="96">
        <v>15</v>
      </c>
      <c r="K183" s="96">
        <v>11</v>
      </c>
    </row>
    <row r="184" spans="1:11" x14ac:dyDescent="0.35">
      <c r="A184" s="105" t="s">
        <v>33</v>
      </c>
      <c r="B184" s="105" t="s">
        <v>35</v>
      </c>
      <c r="C184" s="105">
        <v>3</v>
      </c>
      <c r="D184" s="105">
        <v>2</v>
      </c>
      <c r="E184" s="105">
        <v>12</v>
      </c>
      <c r="F184" s="105">
        <v>212</v>
      </c>
      <c r="G184" s="37">
        <v>23</v>
      </c>
      <c r="H184" s="105">
        <v>6</v>
      </c>
      <c r="I184" s="43">
        <v>45940</v>
      </c>
      <c r="J184" s="96">
        <v>33</v>
      </c>
      <c r="K184" s="96">
        <v>3</v>
      </c>
    </row>
    <row r="185" spans="1:11" x14ac:dyDescent="0.35">
      <c r="A185" s="105" t="s">
        <v>33</v>
      </c>
      <c r="B185" s="105" t="s">
        <v>29</v>
      </c>
      <c r="C185" s="105">
        <v>3</v>
      </c>
      <c r="D185" s="105">
        <v>1</v>
      </c>
      <c r="E185" s="105">
        <v>12</v>
      </c>
      <c r="F185" s="105">
        <v>112</v>
      </c>
      <c r="G185" s="37">
        <v>24</v>
      </c>
      <c r="H185" s="105">
        <v>6</v>
      </c>
      <c r="J185" s="96">
        <v>25</v>
      </c>
      <c r="K185" s="96"/>
    </row>
    <row r="186" spans="1:11" x14ac:dyDescent="0.35">
      <c r="A186" s="105" t="s">
        <v>28</v>
      </c>
      <c r="B186" s="105" t="s">
        <v>30</v>
      </c>
      <c r="C186" s="105">
        <v>4</v>
      </c>
      <c r="D186" s="105">
        <v>1</v>
      </c>
      <c r="E186" s="105">
        <v>14</v>
      </c>
      <c r="F186" s="105">
        <v>114</v>
      </c>
      <c r="G186" s="37">
        <v>25</v>
      </c>
      <c r="H186" s="105">
        <v>6</v>
      </c>
      <c r="J186" s="96">
        <v>48</v>
      </c>
      <c r="K186" s="96"/>
    </row>
    <row r="187" spans="1:11" x14ac:dyDescent="0.35">
      <c r="A187" s="105" t="s">
        <v>28</v>
      </c>
      <c r="B187" s="105" t="s">
        <v>29</v>
      </c>
      <c r="C187" s="105">
        <v>4</v>
      </c>
      <c r="D187" s="105">
        <v>2</v>
      </c>
      <c r="E187" s="105">
        <v>14</v>
      </c>
      <c r="F187" s="105">
        <v>214</v>
      </c>
      <c r="G187" s="37">
        <v>26</v>
      </c>
      <c r="H187" s="105">
        <v>6</v>
      </c>
      <c r="J187" s="96">
        <v>47</v>
      </c>
      <c r="K187" s="96"/>
    </row>
    <row r="188" spans="1:11" x14ac:dyDescent="0.35">
      <c r="A188" s="105" t="s">
        <v>28</v>
      </c>
      <c r="B188" s="105" t="s">
        <v>32</v>
      </c>
      <c r="C188" s="105">
        <v>4</v>
      </c>
      <c r="D188" s="105">
        <v>3</v>
      </c>
      <c r="E188" s="105">
        <v>14</v>
      </c>
      <c r="F188" s="105">
        <v>314</v>
      </c>
      <c r="G188" s="37">
        <v>27</v>
      </c>
      <c r="H188" s="105">
        <v>6</v>
      </c>
      <c r="J188" s="96">
        <v>28</v>
      </c>
      <c r="K188" s="96"/>
    </row>
    <row r="189" spans="1:11" x14ac:dyDescent="0.35">
      <c r="A189" s="105" t="s">
        <v>28</v>
      </c>
      <c r="B189" s="105" t="s">
        <v>31</v>
      </c>
      <c r="C189" s="105">
        <v>4</v>
      </c>
      <c r="D189" s="105">
        <v>4</v>
      </c>
      <c r="E189" s="105">
        <v>14</v>
      </c>
      <c r="F189" s="105">
        <v>414</v>
      </c>
      <c r="G189" s="37">
        <v>28</v>
      </c>
      <c r="H189" s="105">
        <v>6</v>
      </c>
      <c r="J189">
        <v>28</v>
      </c>
      <c r="K189" s="96"/>
    </row>
    <row r="190" spans="1:11" x14ac:dyDescent="0.35">
      <c r="A190" s="105" t="s">
        <v>33</v>
      </c>
      <c r="B190" s="105" t="s">
        <v>35</v>
      </c>
      <c r="C190" s="105">
        <v>4</v>
      </c>
      <c r="D190" s="105">
        <v>4</v>
      </c>
      <c r="E190" s="105">
        <v>16</v>
      </c>
      <c r="F190" s="105">
        <v>416</v>
      </c>
      <c r="G190" s="37">
        <v>29</v>
      </c>
      <c r="H190" s="105">
        <v>6</v>
      </c>
      <c r="I190" s="43">
        <v>45940</v>
      </c>
      <c r="J190" s="96">
        <v>46</v>
      </c>
      <c r="K190" s="96">
        <v>3</v>
      </c>
    </row>
    <row r="191" spans="1:11" x14ac:dyDescent="0.35">
      <c r="A191" s="105" t="s">
        <v>33</v>
      </c>
      <c r="B191" s="105" t="s">
        <v>29</v>
      </c>
      <c r="C191" s="105">
        <v>4</v>
      </c>
      <c r="D191" s="105">
        <v>3</v>
      </c>
      <c r="E191" s="105">
        <v>16</v>
      </c>
      <c r="F191" s="105">
        <v>316</v>
      </c>
      <c r="G191" s="37">
        <v>30</v>
      </c>
      <c r="H191" s="105">
        <v>6</v>
      </c>
      <c r="J191" s="96">
        <v>45</v>
      </c>
      <c r="K191" s="96"/>
    </row>
    <row r="192" spans="1:11" x14ac:dyDescent="0.35">
      <c r="A192" s="105" t="s">
        <v>33</v>
      </c>
      <c r="B192" s="105" t="s">
        <v>34</v>
      </c>
      <c r="C192" s="105">
        <v>4</v>
      </c>
      <c r="D192" s="105">
        <v>2</v>
      </c>
      <c r="E192" s="105">
        <v>16</v>
      </c>
      <c r="F192" s="105">
        <v>216</v>
      </c>
      <c r="G192" s="37">
        <v>31</v>
      </c>
      <c r="H192" s="105">
        <v>6</v>
      </c>
      <c r="I192" s="43">
        <v>45940</v>
      </c>
      <c r="J192" s="96">
        <v>27</v>
      </c>
      <c r="K192" s="96">
        <v>18</v>
      </c>
    </row>
    <row r="193" spans="1:11" x14ac:dyDescent="0.35">
      <c r="A193" s="105" t="s">
        <v>33</v>
      </c>
      <c r="B193" s="105" t="s">
        <v>30</v>
      </c>
      <c r="C193" s="105">
        <v>4</v>
      </c>
      <c r="D193" s="105">
        <v>1</v>
      </c>
      <c r="E193" s="105">
        <v>16</v>
      </c>
      <c r="F193" s="105">
        <v>116</v>
      </c>
      <c r="G193" s="37">
        <v>32</v>
      </c>
      <c r="H193" s="105">
        <v>6</v>
      </c>
      <c r="J193" s="96">
        <v>38</v>
      </c>
      <c r="K193" s="96"/>
    </row>
    <row r="194" spans="1:11" x14ac:dyDescent="0.35">
      <c r="A194" s="105" t="s">
        <v>28</v>
      </c>
      <c r="B194" s="105" t="s">
        <v>29</v>
      </c>
      <c r="C194" s="105">
        <v>1</v>
      </c>
      <c r="D194" s="105">
        <v>1</v>
      </c>
      <c r="E194" s="105">
        <v>2</v>
      </c>
      <c r="F194" s="105">
        <v>102</v>
      </c>
      <c r="G194" s="37">
        <v>1</v>
      </c>
      <c r="H194" s="105">
        <v>7</v>
      </c>
      <c r="J194" s="96">
        <v>37</v>
      </c>
      <c r="K194" s="96"/>
    </row>
    <row r="195" spans="1:11" x14ac:dyDescent="0.35">
      <c r="A195" s="105" t="s">
        <v>28</v>
      </c>
      <c r="B195" s="105" t="s">
        <v>30</v>
      </c>
      <c r="C195" s="105">
        <v>1</v>
      </c>
      <c r="D195" s="105">
        <v>2</v>
      </c>
      <c r="E195" s="105">
        <v>2</v>
      </c>
      <c r="F195" s="105">
        <v>202</v>
      </c>
      <c r="G195" s="37">
        <v>2</v>
      </c>
      <c r="H195" s="105">
        <v>7</v>
      </c>
      <c r="J195" s="96">
        <v>39</v>
      </c>
      <c r="K195" s="96"/>
    </row>
    <row r="196" spans="1:11" x14ac:dyDescent="0.35">
      <c r="A196" s="105" t="s">
        <v>28</v>
      </c>
      <c r="B196" s="105" t="s">
        <v>31</v>
      </c>
      <c r="C196" s="105">
        <v>1</v>
      </c>
      <c r="D196" s="105">
        <v>3</v>
      </c>
      <c r="E196" s="105">
        <v>2</v>
      </c>
      <c r="F196" s="105">
        <v>302</v>
      </c>
      <c r="G196" s="37">
        <v>3</v>
      </c>
      <c r="H196" s="105">
        <v>7</v>
      </c>
      <c r="J196" s="96">
        <v>29</v>
      </c>
      <c r="K196" s="96"/>
    </row>
    <row r="197" spans="1:11" x14ac:dyDescent="0.35">
      <c r="A197" s="105" t="s">
        <v>28</v>
      </c>
      <c r="B197" s="105" t="s">
        <v>32</v>
      </c>
      <c r="C197" s="105">
        <v>1</v>
      </c>
      <c r="D197" s="105">
        <v>4</v>
      </c>
      <c r="E197" s="105">
        <v>2</v>
      </c>
      <c r="F197" s="105">
        <v>402</v>
      </c>
      <c r="G197" s="37">
        <v>4</v>
      </c>
      <c r="H197" s="105">
        <v>7</v>
      </c>
      <c r="I197" s="43">
        <v>45943</v>
      </c>
      <c r="J197" s="96">
        <v>57</v>
      </c>
      <c r="K197" s="96">
        <v>26</v>
      </c>
    </row>
    <row r="198" spans="1:11" x14ac:dyDescent="0.35">
      <c r="A198" s="105" t="s">
        <v>33</v>
      </c>
      <c r="B198" s="105" t="s">
        <v>29</v>
      </c>
      <c r="C198" s="105">
        <v>1</v>
      </c>
      <c r="D198" s="105">
        <v>4</v>
      </c>
      <c r="E198" s="105">
        <v>4</v>
      </c>
      <c r="F198" s="105">
        <v>404</v>
      </c>
      <c r="G198" s="37">
        <v>5</v>
      </c>
      <c r="H198" s="105">
        <v>7</v>
      </c>
      <c r="J198" s="96">
        <v>32</v>
      </c>
      <c r="K198" s="96"/>
    </row>
    <row r="199" spans="1:11" x14ac:dyDescent="0.35">
      <c r="A199" s="105" t="s">
        <v>33</v>
      </c>
      <c r="B199" s="105" t="s">
        <v>35</v>
      </c>
      <c r="C199" s="105">
        <v>1</v>
      </c>
      <c r="D199" s="105">
        <v>3</v>
      </c>
      <c r="E199" s="105">
        <v>4</v>
      </c>
      <c r="F199" s="105">
        <v>304</v>
      </c>
      <c r="G199" s="37">
        <v>6</v>
      </c>
      <c r="H199" s="105">
        <v>7</v>
      </c>
      <c r="I199" s="43">
        <v>45943</v>
      </c>
      <c r="J199" s="96">
        <v>23</v>
      </c>
      <c r="K199" s="96">
        <v>13</v>
      </c>
    </row>
    <row r="200" spans="1:11" x14ac:dyDescent="0.35">
      <c r="A200" s="105" t="s">
        <v>33</v>
      </c>
      <c r="B200" s="105" t="s">
        <v>30</v>
      </c>
      <c r="C200" s="105">
        <v>1</v>
      </c>
      <c r="D200" s="105">
        <v>2</v>
      </c>
      <c r="E200" s="105">
        <v>4</v>
      </c>
      <c r="F200" s="105">
        <v>204</v>
      </c>
      <c r="G200" s="37">
        <v>7</v>
      </c>
      <c r="H200" s="105">
        <v>7</v>
      </c>
      <c r="J200" s="96">
        <v>35</v>
      </c>
      <c r="K200" s="96"/>
    </row>
    <row r="201" spans="1:11" x14ac:dyDescent="0.35">
      <c r="A201" s="105" t="s">
        <v>33</v>
      </c>
      <c r="B201" s="105" t="s">
        <v>34</v>
      </c>
      <c r="C201" s="105">
        <v>1</v>
      </c>
      <c r="D201" s="105">
        <v>1</v>
      </c>
      <c r="E201" s="105">
        <v>4</v>
      </c>
      <c r="F201" s="105">
        <v>104</v>
      </c>
      <c r="G201" s="37">
        <v>8</v>
      </c>
      <c r="H201" s="105">
        <v>7</v>
      </c>
      <c r="J201" s="96">
        <v>19</v>
      </c>
      <c r="K201" s="96"/>
    </row>
    <row r="202" spans="1:11" x14ac:dyDescent="0.35">
      <c r="A202" s="105" t="s">
        <v>28</v>
      </c>
      <c r="B202" s="105" t="s">
        <v>31</v>
      </c>
      <c r="C202" s="105">
        <v>2</v>
      </c>
      <c r="D202" s="105">
        <v>1</v>
      </c>
      <c r="E202" s="105">
        <v>6</v>
      </c>
      <c r="F202" s="105">
        <v>106</v>
      </c>
      <c r="G202" s="37">
        <v>9</v>
      </c>
      <c r="H202" s="105">
        <v>7</v>
      </c>
      <c r="J202">
        <v>25</v>
      </c>
      <c r="K202" s="96"/>
    </row>
    <row r="203" spans="1:11" x14ac:dyDescent="0.35">
      <c r="A203" s="105" t="s">
        <v>28</v>
      </c>
      <c r="B203" s="105" t="s">
        <v>32</v>
      </c>
      <c r="C203" s="105">
        <v>2</v>
      </c>
      <c r="D203" s="105">
        <v>2</v>
      </c>
      <c r="E203" s="105">
        <v>6</v>
      </c>
      <c r="F203" s="105">
        <v>206</v>
      </c>
      <c r="G203" s="37">
        <v>10</v>
      </c>
      <c r="H203" s="105">
        <v>7</v>
      </c>
      <c r="I203" s="43">
        <v>45943</v>
      </c>
      <c r="J203" s="96">
        <v>38</v>
      </c>
      <c r="K203" s="96">
        <v>13</v>
      </c>
    </row>
    <row r="204" spans="1:11" x14ac:dyDescent="0.35">
      <c r="A204" s="105" t="s">
        <v>28</v>
      </c>
      <c r="B204" s="105" t="s">
        <v>30</v>
      </c>
      <c r="C204" s="105">
        <v>2</v>
      </c>
      <c r="D204" s="105">
        <v>3</v>
      </c>
      <c r="E204" s="105">
        <v>6</v>
      </c>
      <c r="F204" s="105">
        <v>306</v>
      </c>
      <c r="G204" s="37">
        <v>11</v>
      </c>
      <c r="H204" s="105">
        <v>7</v>
      </c>
      <c r="J204" s="96">
        <v>21</v>
      </c>
      <c r="K204" s="96"/>
    </row>
    <row r="205" spans="1:11" x14ac:dyDescent="0.35">
      <c r="A205" s="105" t="s">
        <v>28</v>
      </c>
      <c r="B205" s="105" t="s">
        <v>29</v>
      </c>
      <c r="C205" s="105">
        <v>2</v>
      </c>
      <c r="D205" s="105">
        <v>4</v>
      </c>
      <c r="E205" s="105">
        <v>6</v>
      </c>
      <c r="F205" s="105">
        <v>406</v>
      </c>
      <c r="G205" s="37">
        <v>12</v>
      </c>
      <c r="H205" s="105">
        <v>7</v>
      </c>
      <c r="J205" s="96">
        <v>49</v>
      </c>
      <c r="K205" s="96"/>
    </row>
    <row r="206" spans="1:11" x14ac:dyDescent="0.35">
      <c r="A206" s="105" t="s">
        <v>33</v>
      </c>
      <c r="B206" s="105" t="s">
        <v>34</v>
      </c>
      <c r="C206" s="105">
        <v>2</v>
      </c>
      <c r="D206" s="105">
        <v>4</v>
      </c>
      <c r="E206" s="105">
        <v>8</v>
      </c>
      <c r="F206" s="105">
        <v>408</v>
      </c>
      <c r="G206" s="37">
        <v>13</v>
      </c>
      <c r="H206" s="105">
        <v>7</v>
      </c>
      <c r="J206" s="96">
        <v>37</v>
      </c>
      <c r="K206" s="96"/>
    </row>
    <row r="207" spans="1:11" x14ac:dyDescent="0.35">
      <c r="A207" s="105" t="s">
        <v>33</v>
      </c>
      <c r="B207" s="105" t="s">
        <v>30</v>
      </c>
      <c r="C207" s="105">
        <v>2</v>
      </c>
      <c r="D207" s="105">
        <v>3</v>
      </c>
      <c r="E207" s="105">
        <v>8</v>
      </c>
      <c r="F207" s="105">
        <v>308</v>
      </c>
      <c r="G207" s="37">
        <v>14</v>
      </c>
      <c r="H207" s="105">
        <v>7</v>
      </c>
      <c r="J207" s="96">
        <v>33</v>
      </c>
      <c r="K207" s="96"/>
    </row>
    <row r="208" spans="1:11" x14ac:dyDescent="0.35">
      <c r="A208" s="105" t="s">
        <v>33</v>
      </c>
      <c r="B208" s="105" t="s">
        <v>29</v>
      </c>
      <c r="C208" s="105">
        <v>2</v>
      </c>
      <c r="D208" s="105">
        <v>2</v>
      </c>
      <c r="E208" s="105">
        <v>8</v>
      </c>
      <c r="F208" s="105">
        <v>208</v>
      </c>
      <c r="G208" s="37">
        <v>15</v>
      </c>
      <c r="H208" s="105">
        <v>7</v>
      </c>
      <c r="J208" s="96">
        <v>36</v>
      </c>
      <c r="K208" s="96"/>
    </row>
    <row r="209" spans="1:11" x14ac:dyDescent="0.35">
      <c r="A209" s="105" t="s">
        <v>33</v>
      </c>
      <c r="B209" s="105" t="s">
        <v>35</v>
      </c>
      <c r="C209" s="105">
        <v>2</v>
      </c>
      <c r="D209" s="105">
        <v>1</v>
      </c>
      <c r="E209" s="105">
        <v>8</v>
      </c>
      <c r="F209" s="105">
        <v>108</v>
      </c>
      <c r="G209" s="37">
        <v>16</v>
      </c>
      <c r="H209" s="105">
        <v>7</v>
      </c>
      <c r="I209" s="43">
        <v>45943</v>
      </c>
      <c r="J209" s="96">
        <v>34</v>
      </c>
      <c r="K209" s="96">
        <v>26</v>
      </c>
    </row>
    <row r="210" spans="1:11" x14ac:dyDescent="0.35">
      <c r="A210" s="105" t="s">
        <v>28</v>
      </c>
      <c r="B210" s="105" t="s">
        <v>32</v>
      </c>
      <c r="C210" s="105">
        <v>3</v>
      </c>
      <c r="D210" s="105">
        <v>1</v>
      </c>
      <c r="E210" s="105">
        <v>10</v>
      </c>
      <c r="F210" s="105">
        <v>110</v>
      </c>
      <c r="G210" s="37">
        <v>17</v>
      </c>
      <c r="H210" s="105">
        <v>7</v>
      </c>
      <c r="I210" s="43">
        <v>45943</v>
      </c>
      <c r="J210" s="96">
        <v>47</v>
      </c>
      <c r="K210" s="96">
        <v>11</v>
      </c>
    </row>
    <row r="211" spans="1:11" x14ac:dyDescent="0.35">
      <c r="A211" s="105" t="s">
        <v>28</v>
      </c>
      <c r="B211" s="105" t="s">
        <v>31</v>
      </c>
      <c r="C211" s="105">
        <v>3</v>
      </c>
      <c r="D211" s="105">
        <v>2</v>
      </c>
      <c r="E211" s="105">
        <v>10</v>
      </c>
      <c r="F211" s="105">
        <v>210</v>
      </c>
      <c r="G211" s="37">
        <v>18</v>
      </c>
      <c r="H211" s="105">
        <v>7</v>
      </c>
      <c r="J211">
        <v>40</v>
      </c>
      <c r="K211" s="96"/>
    </row>
    <row r="212" spans="1:11" x14ac:dyDescent="0.35">
      <c r="A212" s="105" t="s">
        <v>28</v>
      </c>
      <c r="B212" s="105" t="s">
        <v>29</v>
      </c>
      <c r="C212" s="105">
        <v>3</v>
      </c>
      <c r="D212" s="105">
        <v>3</v>
      </c>
      <c r="E212" s="105">
        <v>10</v>
      </c>
      <c r="F212" s="105">
        <v>310</v>
      </c>
      <c r="G212" s="37">
        <v>19</v>
      </c>
      <c r="H212" s="105">
        <v>7</v>
      </c>
      <c r="J212" s="96">
        <v>23</v>
      </c>
      <c r="K212" s="96"/>
    </row>
    <row r="213" spans="1:11" x14ac:dyDescent="0.35">
      <c r="A213" s="105" t="s">
        <v>28</v>
      </c>
      <c r="B213" s="105" t="s">
        <v>30</v>
      </c>
      <c r="C213" s="105">
        <v>3</v>
      </c>
      <c r="D213" s="105">
        <v>4</v>
      </c>
      <c r="E213" s="105">
        <v>10</v>
      </c>
      <c r="F213" s="105">
        <v>410</v>
      </c>
      <c r="G213" s="37">
        <v>20</v>
      </c>
      <c r="H213" s="105">
        <v>7</v>
      </c>
      <c r="J213" s="96">
        <v>44</v>
      </c>
      <c r="K213" s="96"/>
    </row>
    <row r="214" spans="1:11" x14ac:dyDescent="0.35">
      <c r="A214" s="105" t="s">
        <v>33</v>
      </c>
      <c r="B214" s="105" t="s">
        <v>30</v>
      </c>
      <c r="C214" s="105">
        <v>3</v>
      </c>
      <c r="D214" s="105">
        <v>4</v>
      </c>
      <c r="E214" s="105">
        <v>12</v>
      </c>
      <c r="F214" s="105">
        <v>412</v>
      </c>
      <c r="G214" s="37">
        <v>21</v>
      </c>
      <c r="H214" s="105">
        <v>7</v>
      </c>
      <c r="J214" s="96">
        <v>41</v>
      </c>
      <c r="K214" s="96"/>
    </row>
    <row r="215" spans="1:11" x14ac:dyDescent="0.35">
      <c r="A215" s="105" t="s">
        <v>33</v>
      </c>
      <c r="B215" s="105" t="s">
        <v>34</v>
      </c>
      <c r="C215" s="105">
        <v>3</v>
      </c>
      <c r="D215" s="105">
        <v>3</v>
      </c>
      <c r="E215" s="105">
        <v>12</v>
      </c>
      <c r="F215" s="105">
        <v>312</v>
      </c>
      <c r="G215" s="37">
        <v>22</v>
      </c>
      <c r="H215" s="105">
        <v>7</v>
      </c>
      <c r="J215" s="96">
        <v>15</v>
      </c>
      <c r="K215" s="96"/>
    </row>
    <row r="216" spans="1:11" x14ac:dyDescent="0.35">
      <c r="A216" s="105" t="s">
        <v>33</v>
      </c>
      <c r="B216" s="105" t="s">
        <v>35</v>
      </c>
      <c r="C216" s="105">
        <v>3</v>
      </c>
      <c r="D216" s="105">
        <v>2</v>
      </c>
      <c r="E216" s="105">
        <v>12</v>
      </c>
      <c r="F216" s="105">
        <v>212</v>
      </c>
      <c r="G216" s="37">
        <v>23</v>
      </c>
      <c r="H216" s="105">
        <v>7</v>
      </c>
      <c r="I216" s="43">
        <v>45943</v>
      </c>
      <c r="J216" s="96">
        <v>33</v>
      </c>
      <c r="K216" s="96">
        <v>14</v>
      </c>
    </row>
    <row r="217" spans="1:11" x14ac:dyDescent="0.35">
      <c r="A217" s="105" t="s">
        <v>33</v>
      </c>
      <c r="B217" s="105" t="s">
        <v>29</v>
      </c>
      <c r="C217" s="105">
        <v>3</v>
      </c>
      <c r="D217" s="105">
        <v>1</v>
      </c>
      <c r="E217" s="105">
        <v>12</v>
      </c>
      <c r="F217" s="105">
        <v>112</v>
      </c>
      <c r="G217" s="37">
        <v>24</v>
      </c>
      <c r="H217" s="105">
        <v>7</v>
      </c>
      <c r="J217" s="96">
        <v>25</v>
      </c>
      <c r="K217" s="96"/>
    </row>
    <row r="218" spans="1:11" x14ac:dyDescent="0.35">
      <c r="A218" s="105" t="s">
        <v>28</v>
      </c>
      <c r="B218" s="105" t="s">
        <v>30</v>
      </c>
      <c r="C218" s="105">
        <v>4</v>
      </c>
      <c r="D218" s="105">
        <v>1</v>
      </c>
      <c r="E218" s="105">
        <v>14</v>
      </c>
      <c r="F218" s="105">
        <v>114</v>
      </c>
      <c r="G218" s="37">
        <v>25</v>
      </c>
      <c r="H218" s="105">
        <v>7</v>
      </c>
      <c r="J218" s="96">
        <v>48</v>
      </c>
      <c r="K218" s="96"/>
    </row>
    <row r="219" spans="1:11" x14ac:dyDescent="0.35">
      <c r="A219" s="105" t="s">
        <v>28</v>
      </c>
      <c r="B219" s="105" t="s">
        <v>29</v>
      </c>
      <c r="C219" s="105">
        <v>4</v>
      </c>
      <c r="D219" s="105">
        <v>2</v>
      </c>
      <c r="E219" s="105">
        <v>14</v>
      </c>
      <c r="F219" s="105">
        <v>214</v>
      </c>
      <c r="G219" s="37">
        <v>26</v>
      </c>
      <c r="H219" s="105">
        <v>7</v>
      </c>
      <c r="J219" s="96">
        <v>47</v>
      </c>
      <c r="K219" s="96"/>
    </row>
    <row r="220" spans="1:11" x14ac:dyDescent="0.35">
      <c r="A220" s="105" t="s">
        <v>28</v>
      </c>
      <c r="B220" s="105" t="s">
        <v>32</v>
      </c>
      <c r="C220" s="105">
        <v>4</v>
      </c>
      <c r="D220" s="105">
        <v>3</v>
      </c>
      <c r="E220" s="105">
        <v>14</v>
      </c>
      <c r="F220" s="105">
        <v>314</v>
      </c>
      <c r="G220" s="37">
        <v>27</v>
      </c>
      <c r="H220" s="105">
        <v>7</v>
      </c>
      <c r="I220" s="43">
        <v>45943</v>
      </c>
      <c r="J220" s="96">
        <v>28</v>
      </c>
      <c r="K220" s="96">
        <v>16</v>
      </c>
    </row>
    <row r="221" spans="1:11" x14ac:dyDescent="0.35">
      <c r="A221" s="105" t="s">
        <v>28</v>
      </c>
      <c r="B221" s="105" t="s">
        <v>31</v>
      </c>
      <c r="C221" s="105">
        <v>4</v>
      </c>
      <c r="D221" s="105">
        <v>4</v>
      </c>
      <c r="E221" s="105">
        <v>14</v>
      </c>
      <c r="F221" s="105">
        <v>414</v>
      </c>
      <c r="G221" s="37">
        <v>28</v>
      </c>
      <c r="H221" s="105">
        <v>7</v>
      </c>
      <c r="J221">
        <v>28</v>
      </c>
      <c r="K221" s="96"/>
    </row>
    <row r="222" spans="1:11" x14ac:dyDescent="0.35">
      <c r="A222" s="105" t="s">
        <v>33</v>
      </c>
      <c r="B222" s="105" t="s">
        <v>35</v>
      </c>
      <c r="C222" s="105">
        <v>4</v>
      </c>
      <c r="D222" s="105">
        <v>4</v>
      </c>
      <c r="E222" s="105">
        <v>16</v>
      </c>
      <c r="F222" s="105">
        <v>416</v>
      </c>
      <c r="G222" s="37">
        <v>29</v>
      </c>
      <c r="H222" s="105">
        <v>7</v>
      </c>
      <c r="I222" s="43">
        <v>45943</v>
      </c>
      <c r="J222" s="96">
        <v>46</v>
      </c>
      <c r="K222" s="96">
        <v>33</v>
      </c>
    </row>
    <row r="223" spans="1:11" x14ac:dyDescent="0.35">
      <c r="A223" s="105" t="s">
        <v>33</v>
      </c>
      <c r="B223" s="105" t="s">
        <v>29</v>
      </c>
      <c r="C223" s="105">
        <v>4</v>
      </c>
      <c r="D223" s="105">
        <v>3</v>
      </c>
      <c r="E223" s="105">
        <v>16</v>
      </c>
      <c r="F223" s="105">
        <v>316</v>
      </c>
      <c r="G223" s="37">
        <v>30</v>
      </c>
      <c r="H223" s="105">
        <v>7</v>
      </c>
      <c r="J223" s="96">
        <v>45</v>
      </c>
      <c r="K223" s="96"/>
    </row>
    <row r="224" spans="1:11" x14ac:dyDescent="0.35">
      <c r="A224" s="105" t="s">
        <v>33</v>
      </c>
      <c r="B224" s="105" t="s">
        <v>34</v>
      </c>
      <c r="C224" s="105">
        <v>4</v>
      </c>
      <c r="D224" s="105">
        <v>2</v>
      </c>
      <c r="E224" s="105">
        <v>16</v>
      </c>
      <c r="F224" s="105">
        <v>216</v>
      </c>
      <c r="G224" s="37">
        <v>31</v>
      </c>
      <c r="H224" s="105">
        <v>7</v>
      </c>
      <c r="J224" s="96">
        <v>27</v>
      </c>
      <c r="K224" s="96"/>
    </row>
    <row r="225" spans="1:11" x14ac:dyDescent="0.35">
      <c r="A225" s="105" t="s">
        <v>33</v>
      </c>
      <c r="B225" s="105" t="s">
        <v>30</v>
      </c>
      <c r="C225" s="105">
        <v>4</v>
      </c>
      <c r="D225" s="105">
        <v>1</v>
      </c>
      <c r="E225" s="105">
        <v>16</v>
      </c>
      <c r="F225" s="105">
        <v>116</v>
      </c>
      <c r="G225" s="37">
        <v>32</v>
      </c>
      <c r="H225" s="105">
        <v>7</v>
      </c>
      <c r="J225" s="96">
        <v>38</v>
      </c>
      <c r="K225" s="96"/>
    </row>
    <row r="226" spans="1:11" x14ac:dyDescent="0.35">
      <c r="A226" s="105" t="s">
        <v>28</v>
      </c>
      <c r="B226" s="105" t="s">
        <v>29</v>
      </c>
      <c r="C226" s="105">
        <v>1</v>
      </c>
      <c r="D226" s="105">
        <v>1</v>
      </c>
      <c r="E226" s="105">
        <v>2</v>
      </c>
      <c r="F226" s="105">
        <v>102</v>
      </c>
      <c r="G226" s="37">
        <v>1</v>
      </c>
      <c r="H226" s="105">
        <v>8</v>
      </c>
      <c r="J226" s="96">
        <v>37</v>
      </c>
      <c r="K226" s="96"/>
    </row>
    <row r="227" spans="1:11" x14ac:dyDescent="0.35">
      <c r="A227" s="105" t="s">
        <v>28</v>
      </c>
      <c r="B227" s="105" t="s">
        <v>30</v>
      </c>
      <c r="C227" s="105">
        <v>1</v>
      </c>
      <c r="D227" s="105">
        <v>2</v>
      </c>
      <c r="E227" s="105">
        <v>2</v>
      </c>
      <c r="F227" s="105">
        <v>202</v>
      </c>
      <c r="G227" s="37">
        <v>2</v>
      </c>
      <c r="H227" s="105">
        <v>8</v>
      </c>
      <c r="J227" s="96">
        <v>39</v>
      </c>
      <c r="K227" s="96"/>
    </row>
    <row r="228" spans="1:11" x14ac:dyDescent="0.35">
      <c r="A228" s="105" t="s">
        <v>28</v>
      </c>
      <c r="B228" s="105" t="s">
        <v>31</v>
      </c>
      <c r="C228" s="105">
        <v>1</v>
      </c>
      <c r="D228" s="105">
        <v>3</v>
      </c>
      <c r="E228" s="105">
        <v>2</v>
      </c>
      <c r="F228" s="105">
        <v>302</v>
      </c>
      <c r="G228" s="37">
        <v>3</v>
      </c>
      <c r="H228" s="105">
        <v>8</v>
      </c>
      <c r="J228" s="96">
        <v>29</v>
      </c>
      <c r="K228" s="96"/>
    </row>
    <row r="229" spans="1:11" x14ac:dyDescent="0.35">
      <c r="A229" s="105" t="s">
        <v>28</v>
      </c>
      <c r="B229" s="105" t="s">
        <v>32</v>
      </c>
      <c r="C229" s="105">
        <v>1</v>
      </c>
      <c r="D229" s="105">
        <v>4</v>
      </c>
      <c r="E229" s="105">
        <v>2</v>
      </c>
      <c r="F229" s="105">
        <v>402</v>
      </c>
      <c r="G229" s="37">
        <v>4</v>
      </c>
      <c r="H229" s="105">
        <v>8</v>
      </c>
      <c r="I229" s="43">
        <v>45944</v>
      </c>
      <c r="J229" s="96">
        <v>57</v>
      </c>
      <c r="K229" s="96">
        <v>34</v>
      </c>
    </row>
    <row r="230" spans="1:11" x14ac:dyDescent="0.35">
      <c r="A230" s="105" t="s">
        <v>33</v>
      </c>
      <c r="B230" s="105" t="s">
        <v>29</v>
      </c>
      <c r="C230" s="105">
        <v>1</v>
      </c>
      <c r="D230" s="105">
        <v>4</v>
      </c>
      <c r="E230" s="105">
        <v>4</v>
      </c>
      <c r="F230" s="105">
        <v>404</v>
      </c>
      <c r="G230" s="37">
        <v>5</v>
      </c>
      <c r="H230" s="105">
        <v>8</v>
      </c>
      <c r="J230" s="96">
        <v>32</v>
      </c>
      <c r="K230" s="96"/>
    </row>
    <row r="231" spans="1:11" x14ac:dyDescent="0.35">
      <c r="A231" s="105" t="s">
        <v>33</v>
      </c>
      <c r="B231" s="105" t="s">
        <v>35</v>
      </c>
      <c r="C231" s="105">
        <v>1</v>
      </c>
      <c r="D231" s="105">
        <v>3</v>
      </c>
      <c r="E231" s="105">
        <v>4</v>
      </c>
      <c r="F231" s="105">
        <v>304</v>
      </c>
      <c r="G231" s="37">
        <v>6</v>
      </c>
      <c r="H231" s="105">
        <v>8</v>
      </c>
      <c r="J231" s="96">
        <v>23</v>
      </c>
      <c r="K231" s="96"/>
    </row>
    <row r="232" spans="1:11" x14ac:dyDescent="0.35">
      <c r="A232" s="105" t="s">
        <v>33</v>
      </c>
      <c r="B232" s="105" t="s">
        <v>30</v>
      </c>
      <c r="C232" s="105">
        <v>1</v>
      </c>
      <c r="D232" s="105">
        <v>2</v>
      </c>
      <c r="E232" s="105">
        <v>4</v>
      </c>
      <c r="F232" s="105">
        <v>204</v>
      </c>
      <c r="G232" s="37">
        <v>7</v>
      </c>
      <c r="H232" s="105">
        <v>8</v>
      </c>
      <c r="J232" s="96">
        <v>35</v>
      </c>
      <c r="K232" s="96"/>
    </row>
    <row r="233" spans="1:11" x14ac:dyDescent="0.35">
      <c r="A233" s="105" t="s">
        <v>33</v>
      </c>
      <c r="B233" s="105" t="s">
        <v>34</v>
      </c>
      <c r="C233" s="105">
        <v>1</v>
      </c>
      <c r="D233" s="105">
        <v>1</v>
      </c>
      <c r="E233" s="105">
        <v>4</v>
      </c>
      <c r="F233" s="105">
        <v>104</v>
      </c>
      <c r="G233" s="37">
        <v>8</v>
      </c>
      <c r="H233" s="105">
        <v>8</v>
      </c>
      <c r="J233" s="96">
        <v>19</v>
      </c>
      <c r="K233" s="96"/>
    </row>
    <row r="234" spans="1:11" x14ac:dyDescent="0.35">
      <c r="A234" s="105" t="s">
        <v>28</v>
      </c>
      <c r="B234" s="105" t="s">
        <v>31</v>
      </c>
      <c r="C234" s="105">
        <v>2</v>
      </c>
      <c r="D234" s="105">
        <v>1</v>
      </c>
      <c r="E234" s="105">
        <v>6</v>
      </c>
      <c r="F234" s="105">
        <v>106</v>
      </c>
      <c r="G234" s="37">
        <v>9</v>
      </c>
      <c r="H234" s="105">
        <v>8</v>
      </c>
      <c r="J234">
        <v>25</v>
      </c>
      <c r="K234" s="96"/>
    </row>
    <row r="235" spans="1:11" x14ac:dyDescent="0.35">
      <c r="A235" s="105" t="s">
        <v>28</v>
      </c>
      <c r="B235" s="105" t="s">
        <v>32</v>
      </c>
      <c r="C235" s="105">
        <v>2</v>
      </c>
      <c r="D235" s="105">
        <v>2</v>
      </c>
      <c r="E235" s="105">
        <v>6</v>
      </c>
      <c r="F235" s="105">
        <v>206</v>
      </c>
      <c r="G235" s="37">
        <v>10</v>
      </c>
      <c r="H235" s="105">
        <v>8</v>
      </c>
      <c r="I235" s="43">
        <v>45944</v>
      </c>
      <c r="J235" s="96">
        <v>38</v>
      </c>
      <c r="K235" s="96">
        <v>18</v>
      </c>
    </row>
    <row r="236" spans="1:11" x14ac:dyDescent="0.35">
      <c r="A236" s="105" t="s">
        <v>28</v>
      </c>
      <c r="B236" s="105" t="s">
        <v>30</v>
      </c>
      <c r="C236" s="105">
        <v>2</v>
      </c>
      <c r="D236" s="105">
        <v>3</v>
      </c>
      <c r="E236" s="105">
        <v>6</v>
      </c>
      <c r="F236" s="105">
        <v>306</v>
      </c>
      <c r="G236" s="37">
        <v>11</v>
      </c>
      <c r="H236" s="105">
        <v>8</v>
      </c>
      <c r="J236" s="96">
        <v>21</v>
      </c>
      <c r="K236" s="96"/>
    </row>
    <row r="237" spans="1:11" x14ac:dyDescent="0.35">
      <c r="A237" s="105" t="s">
        <v>28</v>
      </c>
      <c r="B237" s="105" t="s">
        <v>29</v>
      </c>
      <c r="C237" s="105">
        <v>2</v>
      </c>
      <c r="D237" s="105">
        <v>4</v>
      </c>
      <c r="E237" s="105">
        <v>6</v>
      </c>
      <c r="F237" s="105">
        <v>406</v>
      </c>
      <c r="G237" s="37">
        <v>12</v>
      </c>
      <c r="H237" s="105">
        <v>8</v>
      </c>
      <c r="J237" s="96">
        <v>49</v>
      </c>
      <c r="K237" s="96"/>
    </row>
    <row r="238" spans="1:11" x14ac:dyDescent="0.35">
      <c r="A238" s="105" t="s">
        <v>33</v>
      </c>
      <c r="B238" s="105" t="s">
        <v>34</v>
      </c>
      <c r="C238" s="105">
        <v>2</v>
      </c>
      <c r="D238" s="105">
        <v>4</v>
      </c>
      <c r="E238" s="105">
        <v>8</v>
      </c>
      <c r="F238" s="105">
        <v>408</v>
      </c>
      <c r="G238" s="37">
        <v>13</v>
      </c>
      <c r="H238" s="105">
        <v>8</v>
      </c>
      <c r="J238" s="96">
        <v>37</v>
      </c>
      <c r="K238" s="96"/>
    </row>
    <row r="239" spans="1:11" x14ac:dyDescent="0.35">
      <c r="A239" s="105" t="s">
        <v>33</v>
      </c>
      <c r="B239" s="105" t="s">
        <v>30</v>
      </c>
      <c r="C239" s="105">
        <v>2</v>
      </c>
      <c r="D239" s="105">
        <v>3</v>
      </c>
      <c r="E239" s="105">
        <v>8</v>
      </c>
      <c r="F239" s="105">
        <v>308</v>
      </c>
      <c r="G239" s="37">
        <v>14</v>
      </c>
      <c r="H239" s="105">
        <v>8</v>
      </c>
      <c r="J239" s="96">
        <v>33</v>
      </c>
      <c r="K239" s="96"/>
    </row>
    <row r="240" spans="1:11" x14ac:dyDescent="0.35">
      <c r="A240" s="105" t="s">
        <v>33</v>
      </c>
      <c r="B240" s="105" t="s">
        <v>29</v>
      </c>
      <c r="C240" s="105">
        <v>2</v>
      </c>
      <c r="D240" s="105">
        <v>2</v>
      </c>
      <c r="E240" s="105">
        <v>8</v>
      </c>
      <c r="F240" s="105">
        <v>208</v>
      </c>
      <c r="G240" s="37">
        <v>15</v>
      </c>
      <c r="H240" s="105">
        <v>8</v>
      </c>
      <c r="J240" s="96">
        <v>36</v>
      </c>
      <c r="K240" s="96"/>
    </row>
    <row r="241" spans="1:11" x14ac:dyDescent="0.35">
      <c r="A241" s="105" t="s">
        <v>33</v>
      </c>
      <c r="B241" s="105" t="s">
        <v>35</v>
      </c>
      <c r="C241" s="105">
        <v>2</v>
      </c>
      <c r="D241" s="105">
        <v>1</v>
      </c>
      <c r="E241" s="105">
        <v>8</v>
      </c>
      <c r="F241" s="105">
        <v>108</v>
      </c>
      <c r="G241" s="37">
        <v>16</v>
      </c>
      <c r="H241" s="105">
        <v>8</v>
      </c>
      <c r="J241" s="96">
        <v>34</v>
      </c>
      <c r="K241" s="96"/>
    </row>
    <row r="242" spans="1:11" x14ac:dyDescent="0.35">
      <c r="A242" s="105" t="s">
        <v>28</v>
      </c>
      <c r="B242" s="105" t="s">
        <v>32</v>
      </c>
      <c r="C242" s="105">
        <v>3</v>
      </c>
      <c r="D242" s="105">
        <v>1</v>
      </c>
      <c r="E242" s="105">
        <v>10</v>
      </c>
      <c r="F242" s="105">
        <v>110</v>
      </c>
      <c r="G242" s="37">
        <v>17</v>
      </c>
      <c r="H242" s="105">
        <v>8</v>
      </c>
      <c r="I242" s="43">
        <v>45944</v>
      </c>
      <c r="J242" s="96">
        <v>47</v>
      </c>
      <c r="K242" s="96">
        <v>20</v>
      </c>
    </row>
    <row r="243" spans="1:11" x14ac:dyDescent="0.35">
      <c r="A243" s="105" t="s">
        <v>28</v>
      </c>
      <c r="B243" s="105" t="s">
        <v>31</v>
      </c>
      <c r="C243" s="105">
        <v>3</v>
      </c>
      <c r="D243" s="105">
        <v>2</v>
      </c>
      <c r="E243" s="105">
        <v>10</v>
      </c>
      <c r="F243" s="105">
        <v>210</v>
      </c>
      <c r="G243" s="37">
        <v>18</v>
      </c>
      <c r="H243" s="105">
        <v>8</v>
      </c>
      <c r="J243">
        <v>40</v>
      </c>
      <c r="K243" s="96"/>
    </row>
    <row r="244" spans="1:11" x14ac:dyDescent="0.35">
      <c r="A244" s="105" t="s">
        <v>28</v>
      </c>
      <c r="B244" s="105" t="s">
        <v>29</v>
      </c>
      <c r="C244" s="105">
        <v>3</v>
      </c>
      <c r="D244" s="105">
        <v>3</v>
      </c>
      <c r="E244" s="105">
        <v>10</v>
      </c>
      <c r="F244" s="105">
        <v>310</v>
      </c>
      <c r="G244" s="37">
        <v>19</v>
      </c>
      <c r="H244" s="105">
        <v>8</v>
      </c>
      <c r="J244" s="96">
        <v>23</v>
      </c>
      <c r="K244" s="96"/>
    </row>
    <row r="245" spans="1:11" x14ac:dyDescent="0.35">
      <c r="A245" s="105" t="s">
        <v>28</v>
      </c>
      <c r="B245" s="105" t="s">
        <v>30</v>
      </c>
      <c r="C245" s="105">
        <v>3</v>
      </c>
      <c r="D245" s="105">
        <v>4</v>
      </c>
      <c r="E245" s="105">
        <v>10</v>
      </c>
      <c r="F245" s="105">
        <v>410</v>
      </c>
      <c r="G245" s="37">
        <v>20</v>
      </c>
      <c r="H245" s="105">
        <v>8</v>
      </c>
      <c r="J245" s="96">
        <v>44</v>
      </c>
      <c r="K245" s="96"/>
    </row>
    <row r="246" spans="1:11" x14ac:dyDescent="0.35">
      <c r="A246" s="105" t="s">
        <v>33</v>
      </c>
      <c r="B246" s="105" t="s">
        <v>30</v>
      </c>
      <c r="C246" s="105">
        <v>3</v>
      </c>
      <c r="D246" s="105">
        <v>4</v>
      </c>
      <c r="E246" s="105">
        <v>12</v>
      </c>
      <c r="F246" s="105">
        <v>412</v>
      </c>
      <c r="G246" s="37">
        <v>21</v>
      </c>
      <c r="H246" s="105">
        <v>8</v>
      </c>
      <c r="J246" s="96">
        <v>41</v>
      </c>
      <c r="K246" s="96"/>
    </row>
    <row r="247" spans="1:11" x14ac:dyDescent="0.35">
      <c r="A247" s="105" t="s">
        <v>33</v>
      </c>
      <c r="B247" s="105" t="s">
        <v>34</v>
      </c>
      <c r="C247" s="105">
        <v>3</v>
      </c>
      <c r="D247" s="105">
        <v>3</v>
      </c>
      <c r="E247" s="105">
        <v>12</v>
      </c>
      <c r="F247" s="105">
        <v>312</v>
      </c>
      <c r="G247" s="37">
        <v>22</v>
      </c>
      <c r="H247" s="105">
        <v>8</v>
      </c>
      <c r="J247" s="96">
        <v>15</v>
      </c>
      <c r="K247" s="96"/>
    </row>
    <row r="248" spans="1:11" x14ac:dyDescent="0.35">
      <c r="A248" s="105" t="s">
        <v>33</v>
      </c>
      <c r="B248" s="105" t="s">
        <v>35</v>
      </c>
      <c r="C248" s="105">
        <v>3</v>
      </c>
      <c r="D248" s="105">
        <v>2</v>
      </c>
      <c r="E248" s="105">
        <v>12</v>
      </c>
      <c r="F248" s="105">
        <v>212</v>
      </c>
      <c r="G248" s="37">
        <v>23</v>
      </c>
      <c r="H248" s="105">
        <v>8</v>
      </c>
      <c r="J248" s="96">
        <v>33</v>
      </c>
      <c r="K248" s="96"/>
    </row>
    <row r="249" spans="1:11" x14ac:dyDescent="0.35">
      <c r="A249" s="105" t="s">
        <v>33</v>
      </c>
      <c r="B249" s="105" t="s">
        <v>29</v>
      </c>
      <c r="C249" s="105">
        <v>3</v>
      </c>
      <c r="D249" s="105">
        <v>1</v>
      </c>
      <c r="E249" s="105">
        <v>12</v>
      </c>
      <c r="F249" s="105">
        <v>112</v>
      </c>
      <c r="G249" s="37">
        <v>24</v>
      </c>
      <c r="H249" s="105">
        <v>8</v>
      </c>
      <c r="J249" s="96">
        <v>25</v>
      </c>
      <c r="K249" s="96"/>
    </row>
    <row r="250" spans="1:11" x14ac:dyDescent="0.35">
      <c r="A250" s="105" t="s">
        <v>28</v>
      </c>
      <c r="B250" s="105" t="s">
        <v>30</v>
      </c>
      <c r="C250" s="105">
        <v>4</v>
      </c>
      <c r="D250" s="105">
        <v>1</v>
      </c>
      <c r="E250" s="105">
        <v>14</v>
      </c>
      <c r="F250" s="105">
        <v>114</v>
      </c>
      <c r="G250" s="37">
        <v>25</v>
      </c>
      <c r="H250" s="105">
        <v>8</v>
      </c>
      <c r="J250" s="96">
        <v>48</v>
      </c>
      <c r="K250" s="96"/>
    </row>
    <row r="251" spans="1:11" x14ac:dyDescent="0.35">
      <c r="A251" s="105" t="s">
        <v>28</v>
      </c>
      <c r="B251" s="105" t="s">
        <v>29</v>
      </c>
      <c r="C251" s="105">
        <v>4</v>
      </c>
      <c r="D251" s="105">
        <v>2</v>
      </c>
      <c r="E251" s="105">
        <v>14</v>
      </c>
      <c r="F251" s="105">
        <v>214</v>
      </c>
      <c r="G251" s="37">
        <v>26</v>
      </c>
      <c r="H251" s="105">
        <v>8</v>
      </c>
      <c r="J251" s="96">
        <v>47</v>
      </c>
      <c r="K251" s="96"/>
    </row>
    <row r="252" spans="1:11" x14ac:dyDescent="0.35">
      <c r="A252" s="105" t="s">
        <v>28</v>
      </c>
      <c r="B252" s="105" t="s">
        <v>32</v>
      </c>
      <c r="C252" s="105">
        <v>4</v>
      </c>
      <c r="D252" s="105">
        <v>3</v>
      </c>
      <c r="E252" s="105">
        <v>14</v>
      </c>
      <c r="F252" s="105">
        <v>314</v>
      </c>
      <c r="G252" s="37">
        <v>27</v>
      </c>
      <c r="H252" s="105">
        <v>8</v>
      </c>
      <c r="I252" s="43">
        <v>45944</v>
      </c>
      <c r="J252" s="96">
        <v>28</v>
      </c>
      <c r="K252" s="96">
        <v>24</v>
      </c>
    </row>
    <row r="253" spans="1:11" x14ac:dyDescent="0.35">
      <c r="A253" s="105" t="s">
        <v>28</v>
      </c>
      <c r="B253" s="105" t="s">
        <v>31</v>
      </c>
      <c r="C253" s="105">
        <v>4</v>
      </c>
      <c r="D253" s="105">
        <v>4</v>
      </c>
      <c r="E253" s="105">
        <v>14</v>
      </c>
      <c r="F253" s="105">
        <v>414</v>
      </c>
      <c r="G253" s="37">
        <v>28</v>
      </c>
      <c r="H253" s="105">
        <v>8</v>
      </c>
      <c r="J253">
        <v>28</v>
      </c>
      <c r="K253" s="96"/>
    </row>
    <row r="254" spans="1:11" x14ac:dyDescent="0.35">
      <c r="A254" s="105" t="s">
        <v>33</v>
      </c>
      <c r="B254" s="105" t="s">
        <v>35</v>
      </c>
      <c r="C254" s="105">
        <v>4</v>
      </c>
      <c r="D254" s="105">
        <v>4</v>
      </c>
      <c r="E254" s="105">
        <v>16</v>
      </c>
      <c r="F254" s="105">
        <v>416</v>
      </c>
      <c r="G254" s="37">
        <v>29</v>
      </c>
      <c r="H254" s="105">
        <v>8</v>
      </c>
      <c r="J254" s="96">
        <v>46</v>
      </c>
      <c r="K254" s="96"/>
    </row>
    <row r="255" spans="1:11" x14ac:dyDescent="0.35">
      <c r="A255" s="105" t="s">
        <v>33</v>
      </c>
      <c r="B255" s="105" t="s">
        <v>29</v>
      </c>
      <c r="C255" s="105">
        <v>4</v>
      </c>
      <c r="D255" s="105">
        <v>3</v>
      </c>
      <c r="E255" s="105">
        <v>16</v>
      </c>
      <c r="F255" s="105">
        <v>316</v>
      </c>
      <c r="G255" s="37">
        <v>30</v>
      </c>
      <c r="H255" s="105">
        <v>8</v>
      </c>
      <c r="J255" s="96">
        <v>45</v>
      </c>
      <c r="K255" s="96"/>
    </row>
    <row r="256" spans="1:11" x14ac:dyDescent="0.35">
      <c r="A256" s="105" t="s">
        <v>33</v>
      </c>
      <c r="B256" s="105" t="s">
        <v>34</v>
      </c>
      <c r="C256" s="105">
        <v>4</v>
      </c>
      <c r="D256" s="105">
        <v>2</v>
      </c>
      <c r="E256" s="105">
        <v>16</v>
      </c>
      <c r="F256" s="105">
        <v>216</v>
      </c>
      <c r="G256" s="37">
        <v>31</v>
      </c>
      <c r="H256" s="105">
        <v>8</v>
      </c>
      <c r="J256" s="96">
        <v>27</v>
      </c>
      <c r="K256" s="96"/>
    </row>
    <row r="257" spans="1:11" x14ac:dyDescent="0.35">
      <c r="A257" s="105" t="s">
        <v>33</v>
      </c>
      <c r="B257" s="105" t="s">
        <v>30</v>
      </c>
      <c r="C257" s="105">
        <v>4</v>
      </c>
      <c r="D257" s="105">
        <v>1</v>
      </c>
      <c r="E257" s="105">
        <v>16</v>
      </c>
      <c r="F257" s="105">
        <v>116</v>
      </c>
      <c r="G257" s="37">
        <v>32</v>
      </c>
      <c r="H257" s="105">
        <v>8</v>
      </c>
      <c r="J257" s="96">
        <v>38</v>
      </c>
      <c r="K257" s="96"/>
    </row>
    <row r="258" spans="1:11" x14ac:dyDescent="0.35">
      <c r="K258" s="9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BE9A-E714-49D0-821B-122365FB96D7}">
  <dimension ref="A1:AD41"/>
  <sheetViews>
    <sheetView tabSelected="1" topLeftCell="P1" workbookViewId="0">
      <selection activeCell="U6" sqref="U6:V16"/>
    </sheetView>
  </sheetViews>
  <sheetFormatPr defaultRowHeight="14.5" x14ac:dyDescent="0.35"/>
  <cols>
    <col min="1" max="1" width="13.81640625" style="62" customWidth="1"/>
    <col min="2" max="2" width="16.453125" style="62" customWidth="1"/>
    <col min="3" max="3" width="13.54296875" style="62" customWidth="1"/>
    <col min="4" max="6" width="9.1796875" style="62"/>
    <col min="7" max="7" width="8.54296875" style="62" customWidth="1"/>
    <col min="8" max="8" width="11.54296875" customWidth="1"/>
    <col min="9" max="9" width="14" customWidth="1"/>
    <col min="10" max="11" width="13.26953125" style="36" customWidth="1"/>
    <col min="12" max="12" width="11.1796875" customWidth="1"/>
    <col min="13" max="14" width="11.54296875" style="35" customWidth="1"/>
    <col min="21" max="21" width="17.08984375" bestFit="1" customWidth="1"/>
    <col min="22" max="22" width="34.36328125" bestFit="1" customWidth="1"/>
    <col min="23" max="23" width="6.7265625" customWidth="1"/>
    <col min="24" max="24" width="7.81640625" customWidth="1"/>
    <col min="25" max="25" width="8.453125" customWidth="1"/>
    <col min="26" max="27" width="11.26953125" bestFit="1" customWidth="1"/>
    <col min="28" max="28" width="8.81640625" bestFit="1" customWidth="1"/>
    <col min="29" max="29" width="10.7265625" bestFit="1" customWidth="1"/>
  </cols>
  <sheetData>
    <row r="1" spans="1:22" ht="60.75" customHeight="1" x14ac:dyDescent="0.35">
      <c r="A1" s="61" t="s">
        <v>20</v>
      </c>
      <c r="B1" s="61" t="s">
        <v>21</v>
      </c>
      <c r="C1" s="61" t="s">
        <v>22</v>
      </c>
      <c r="D1" s="61" t="s">
        <v>23</v>
      </c>
      <c r="E1" s="61" t="s">
        <v>24</v>
      </c>
      <c r="F1" s="61" t="s">
        <v>26</v>
      </c>
      <c r="G1" s="61" t="s">
        <v>25</v>
      </c>
      <c r="H1" s="10" t="s">
        <v>560</v>
      </c>
      <c r="I1" s="10" t="s">
        <v>583</v>
      </c>
      <c r="J1" s="42" t="s">
        <v>42</v>
      </c>
      <c r="K1" s="42" t="s">
        <v>584</v>
      </c>
      <c r="L1" s="10" t="s">
        <v>585</v>
      </c>
      <c r="M1" s="31" t="s">
        <v>586</v>
      </c>
      <c r="N1" s="50" t="s">
        <v>587</v>
      </c>
      <c r="O1" s="10" t="s">
        <v>588</v>
      </c>
      <c r="P1" s="10" t="s">
        <v>574</v>
      </c>
      <c r="Q1" s="10" t="s">
        <v>588</v>
      </c>
      <c r="R1" s="10" t="s">
        <v>589</v>
      </c>
      <c r="S1" s="10" t="s">
        <v>590</v>
      </c>
    </row>
    <row r="2" spans="1:22" x14ac:dyDescent="0.35">
      <c r="A2" s="62" t="s">
        <v>28</v>
      </c>
      <c r="B2" s="62" t="s">
        <v>29</v>
      </c>
      <c r="C2" s="62">
        <v>1</v>
      </c>
      <c r="D2" s="62">
        <v>1</v>
      </c>
      <c r="E2" s="62">
        <v>1</v>
      </c>
      <c r="F2" s="62">
        <v>1</v>
      </c>
      <c r="H2" s="145">
        <v>45988</v>
      </c>
      <c r="I2" s="62">
        <v>6.6</v>
      </c>
      <c r="J2" s="36">
        <v>1</v>
      </c>
      <c r="K2"/>
      <c r="L2">
        <f t="shared" ref="L2:L33" si="0">I2*J2</f>
        <v>6.6</v>
      </c>
      <c r="M2" s="35">
        <v>2.92</v>
      </c>
      <c r="N2" s="35">
        <f t="shared" ref="N2:N33" si="1">(M2/1000)/(L2/10000)</f>
        <v>4.4242424242424239</v>
      </c>
      <c r="O2">
        <v>10.3</v>
      </c>
    </row>
    <row r="3" spans="1:22" x14ac:dyDescent="0.35">
      <c r="A3" s="62" t="s">
        <v>28</v>
      </c>
      <c r="B3" s="62" t="s">
        <v>30</v>
      </c>
      <c r="C3" s="62">
        <v>1</v>
      </c>
      <c r="D3" s="62">
        <v>2</v>
      </c>
      <c r="E3" s="62">
        <v>1</v>
      </c>
      <c r="F3" s="62">
        <v>2</v>
      </c>
      <c r="H3" s="145">
        <v>45988</v>
      </c>
      <c r="I3" s="62">
        <v>7</v>
      </c>
      <c r="J3" s="36">
        <v>1</v>
      </c>
      <c r="K3"/>
      <c r="L3">
        <f t="shared" si="0"/>
        <v>7</v>
      </c>
      <c r="M3" s="35">
        <v>3.2949999999999999</v>
      </c>
      <c r="N3" s="35">
        <f t="shared" si="1"/>
        <v>4.7071428571428564</v>
      </c>
      <c r="O3">
        <v>10.1</v>
      </c>
    </row>
    <row r="4" spans="1:22" x14ac:dyDescent="0.35">
      <c r="A4" s="62" t="s">
        <v>28</v>
      </c>
      <c r="B4" s="62" t="s">
        <v>31</v>
      </c>
      <c r="C4" s="62">
        <v>1</v>
      </c>
      <c r="D4" s="62">
        <v>3</v>
      </c>
      <c r="E4" s="62">
        <v>1</v>
      </c>
      <c r="F4" s="62">
        <v>3</v>
      </c>
      <c r="H4" s="145">
        <v>45988</v>
      </c>
      <c r="I4" s="62">
        <v>6.6</v>
      </c>
      <c r="J4" s="36">
        <v>1</v>
      </c>
      <c r="K4"/>
      <c r="L4">
        <f t="shared" si="0"/>
        <v>6.6</v>
      </c>
      <c r="M4" s="35">
        <v>3</v>
      </c>
      <c r="N4" s="35">
        <f t="shared" si="1"/>
        <v>4.5454545454545459</v>
      </c>
      <c r="O4">
        <v>10.4</v>
      </c>
    </row>
    <row r="5" spans="1:22" x14ac:dyDescent="0.35">
      <c r="A5" s="62" t="s">
        <v>28</v>
      </c>
      <c r="B5" s="62" t="s">
        <v>32</v>
      </c>
      <c r="C5" s="62">
        <v>1</v>
      </c>
      <c r="D5" s="62">
        <v>4</v>
      </c>
      <c r="E5" s="62">
        <v>1</v>
      </c>
      <c r="F5" s="62">
        <v>4</v>
      </c>
      <c r="H5" s="145">
        <v>45988</v>
      </c>
      <c r="I5" s="62">
        <v>7.1</v>
      </c>
      <c r="J5" s="36">
        <v>1</v>
      </c>
      <c r="K5"/>
      <c r="L5">
        <f t="shared" si="0"/>
        <v>7.1</v>
      </c>
      <c r="M5" s="35">
        <v>2.8650000000000002</v>
      </c>
      <c r="N5" s="35">
        <f t="shared" si="1"/>
        <v>4.0352112676056349</v>
      </c>
      <c r="O5">
        <v>12.9</v>
      </c>
    </row>
    <row r="6" spans="1:22" x14ac:dyDescent="0.35">
      <c r="A6" s="62" t="s">
        <v>33</v>
      </c>
      <c r="B6" s="62" t="s">
        <v>29</v>
      </c>
      <c r="C6" s="62">
        <v>1</v>
      </c>
      <c r="D6" s="62">
        <v>4</v>
      </c>
      <c r="E6" s="62">
        <v>3</v>
      </c>
      <c r="F6" s="62">
        <v>5</v>
      </c>
      <c r="H6" s="145">
        <v>45988</v>
      </c>
      <c r="I6" s="62">
        <v>7.1</v>
      </c>
      <c r="J6" s="36">
        <v>1</v>
      </c>
      <c r="K6"/>
      <c r="L6">
        <f t="shared" si="0"/>
        <v>7.1</v>
      </c>
      <c r="M6" s="35">
        <v>2.2850000000000001</v>
      </c>
      <c r="N6" s="35">
        <f t="shared" si="1"/>
        <v>3.2183098591549304</v>
      </c>
      <c r="O6">
        <v>10.8</v>
      </c>
      <c r="U6" s="29" t="s">
        <v>417</v>
      </c>
      <c r="V6" t="s">
        <v>591</v>
      </c>
    </row>
    <row r="7" spans="1:22" x14ac:dyDescent="0.35">
      <c r="A7" s="62" t="s">
        <v>33</v>
      </c>
      <c r="B7" s="62" t="s">
        <v>35</v>
      </c>
      <c r="C7" s="62">
        <v>1</v>
      </c>
      <c r="D7" s="62">
        <v>3</v>
      </c>
      <c r="E7" s="62">
        <v>3</v>
      </c>
      <c r="F7" s="62">
        <v>6</v>
      </c>
      <c r="H7" s="145">
        <v>45988</v>
      </c>
      <c r="I7" s="62">
        <v>6.6</v>
      </c>
      <c r="J7" s="36">
        <v>1</v>
      </c>
      <c r="K7"/>
      <c r="L7">
        <f t="shared" si="0"/>
        <v>6.6</v>
      </c>
      <c r="M7" s="35">
        <v>2.41</v>
      </c>
      <c r="N7" s="35">
        <f t="shared" si="1"/>
        <v>3.6515151515151518</v>
      </c>
      <c r="O7">
        <v>11.9</v>
      </c>
      <c r="U7" s="32" t="s">
        <v>28</v>
      </c>
      <c r="V7" s="35"/>
    </row>
    <row r="8" spans="1:22" x14ac:dyDescent="0.35">
      <c r="A8" s="62" t="s">
        <v>33</v>
      </c>
      <c r="B8" s="62" t="s">
        <v>30</v>
      </c>
      <c r="C8" s="62">
        <v>1</v>
      </c>
      <c r="D8" s="62">
        <v>2</v>
      </c>
      <c r="E8" s="62">
        <v>3</v>
      </c>
      <c r="F8" s="62">
        <v>7</v>
      </c>
      <c r="H8" s="145">
        <v>45988</v>
      </c>
      <c r="I8" s="62">
        <v>7</v>
      </c>
      <c r="J8" s="36">
        <v>1</v>
      </c>
      <c r="K8"/>
      <c r="L8">
        <f t="shared" si="0"/>
        <v>7</v>
      </c>
      <c r="M8" s="35">
        <v>3.2850000000000001</v>
      </c>
      <c r="N8" s="35">
        <f t="shared" si="1"/>
        <v>4.6928571428571431</v>
      </c>
      <c r="O8">
        <v>11.1</v>
      </c>
      <c r="U8" s="91" t="s">
        <v>32</v>
      </c>
      <c r="V8" s="35">
        <v>4.6477248104008666</v>
      </c>
    </row>
    <row r="9" spans="1:22" x14ac:dyDescent="0.35">
      <c r="A9" s="62" t="s">
        <v>33</v>
      </c>
      <c r="B9" s="62" t="s">
        <v>34</v>
      </c>
      <c r="C9" s="62">
        <v>1</v>
      </c>
      <c r="D9" s="62">
        <v>1</v>
      </c>
      <c r="E9" s="62">
        <v>3</v>
      </c>
      <c r="F9" s="62">
        <v>8</v>
      </c>
      <c r="H9" s="145">
        <v>45988</v>
      </c>
      <c r="I9" s="62">
        <v>6.6</v>
      </c>
      <c r="J9" s="36">
        <v>1</v>
      </c>
      <c r="K9"/>
      <c r="L9">
        <f t="shared" si="0"/>
        <v>6.6</v>
      </c>
      <c r="M9" s="35">
        <v>3.6549999999999998</v>
      </c>
      <c r="N9" s="35">
        <f t="shared" si="1"/>
        <v>5.5378787878787881</v>
      </c>
      <c r="O9">
        <v>13</v>
      </c>
      <c r="U9" s="91" t="s">
        <v>31</v>
      </c>
      <c r="V9" s="35">
        <v>4.6359457248541762</v>
      </c>
    </row>
    <row r="10" spans="1:22" x14ac:dyDescent="0.35">
      <c r="A10" s="62" t="s">
        <v>28</v>
      </c>
      <c r="B10" s="62" t="s">
        <v>31</v>
      </c>
      <c r="C10" s="62">
        <v>2</v>
      </c>
      <c r="D10" s="62">
        <v>1</v>
      </c>
      <c r="E10" s="62">
        <v>5</v>
      </c>
      <c r="F10" s="62">
        <v>9</v>
      </c>
      <c r="H10" s="145">
        <v>45988</v>
      </c>
      <c r="I10" s="62">
        <v>6.6</v>
      </c>
      <c r="J10" s="36">
        <v>1</v>
      </c>
      <c r="K10"/>
      <c r="L10">
        <f t="shared" si="0"/>
        <v>6.6</v>
      </c>
      <c r="M10" s="35">
        <v>3.2</v>
      </c>
      <c r="N10" s="35">
        <f t="shared" si="1"/>
        <v>4.8484848484848486</v>
      </c>
      <c r="O10">
        <v>10.4</v>
      </c>
      <c r="U10" s="91" t="s">
        <v>29</v>
      </c>
      <c r="V10" s="35">
        <v>4.4844528026746335</v>
      </c>
    </row>
    <row r="11" spans="1:22" x14ac:dyDescent="0.35">
      <c r="A11" s="62" t="s">
        <v>28</v>
      </c>
      <c r="B11" s="62" t="s">
        <v>32</v>
      </c>
      <c r="C11" s="62">
        <v>2</v>
      </c>
      <c r="D11" s="62">
        <v>2</v>
      </c>
      <c r="E11" s="62">
        <v>5</v>
      </c>
      <c r="F11" s="62">
        <v>10</v>
      </c>
      <c r="H11" s="145">
        <v>45988</v>
      </c>
      <c r="I11" s="62">
        <v>7.1</v>
      </c>
      <c r="J11" s="36">
        <v>1</v>
      </c>
      <c r="K11"/>
      <c r="L11">
        <f t="shared" si="0"/>
        <v>7.1</v>
      </c>
      <c r="M11" s="35">
        <v>3.24</v>
      </c>
      <c r="N11" s="35">
        <f t="shared" si="1"/>
        <v>4.5633802816901419</v>
      </c>
      <c r="O11">
        <v>12.6</v>
      </c>
      <c r="U11" s="91" t="s">
        <v>30</v>
      </c>
      <c r="V11" s="35">
        <v>4.9431376135601486</v>
      </c>
    </row>
    <row r="12" spans="1:22" x14ac:dyDescent="0.35">
      <c r="A12" s="62" t="s">
        <v>28</v>
      </c>
      <c r="B12" s="62" t="s">
        <v>30</v>
      </c>
      <c r="C12" s="62">
        <v>2</v>
      </c>
      <c r="D12" s="62">
        <v>3</v>
      </c>
      <c r="E12" s="62">
        <v>5</v>
      </c>
      <c r="F12" s="62">
        <v>11</v>
      </c>
      <c r="H12" s="145">
        <v>45988</v>
      </c>
      <c r="I12" s="62">
        <v>6.6</v>
      </c>
      <c r="J12" s="36">
        <v>1</v>
      </c>
      <c r="K12"/>
      <c r="L12">
        <f t="shared" si="0"/>
        <v>6.6</v>
      </c>
      <c r="M12" s="35">
        <v>2.8050000000000002</v>
      </c>
      <c r="N12" s="35">
        <f t="shared" si="1"/>
        <v>4.25</v>
      </c>
      <c r="O12">
        <v>10.6</v>
      </c>
      <c r="U12" s="32" t="s">
        <v>33</v>
      </c>
      <c r="V12" s="35"/>
    </row>
    <row r="13" spans="1:22" x14ac:dyDescent="0.35">
      <c r="A13" s="62" t="s">
        <v>28</v>
      </c>
      <c r="B13" s="62" t="s">
        <v>29</v>
      </c>
      <c r="C13" s="62">
        <v>2</v>
      </c>
      <c r="D13" s="62">
        <v>4</v>
      </c>
      <c r="E13" s="62">
        <v>5</v>
      </c>
      <c r="F13" s="62">
        <v>12</v>
      </c>
      <c r="H13" s="145">
        <v>45988</v>
      </c>
      <c r="I13" s="62">
        <v>7.1</v>
      </c>
      <c r="J13" s="36">
        <v>1</v>
      </c>
      <c r="K13"/>
      <c r="L13">
        <f t="shared" si="0"/>
        <v>7.1</v>
      </c>
      <c r="M13" s="35">
        <v>3.34</v>
      </c>
      <c r="N13" s="35">
        <f t="shared" si="1"/>
        <v>4.704225352112676</v>
      </c>
      <c r="O13">
        <v>10.7</v>
      </c>
      <c r="U13" s="91" t="s">
        <v>35</v>
      </c>
      <c r="V13" s="35">
        <v>4.4057552775862643</v>
      </c>
    </row>
    <row r="14" spans="1:22" x14ac:dyDescent="0.35">
      <c r="A14" s="62" t="s">
        <v>33</v>
      </c>
      <c r="B14" s="62" t="s">
        <v>34</v>
      </c>
      <c r="C14" s="62">
        <v>2</v>
      </c>
      <c r="D14" s="62">
        <v>4</v>
      </c>
      <c r="E14" s="62">
        <v>7</v>
      </c>
      <c r="F14" s="62">
        <v>13</v>
      </c>
      <c r="H14" s="145">
        <v>45988</v>
      </c>
      <c r="I14" s="62">
        <v>7.1</v>
      </c>
      <c r="J14" s="36">
        <v>1</v>
      </c>
      <c r="K14"/>
      <c r="L14">
        <f t="shared" si="0"/>
        <v>7.1</v>
      </c>
      <c r="M14" s="35">
        <v>3.7549999999999999</v>
      </c>
      <c r="N14" s="35">
        <f t="shared" si="1"/>
        <v>5.2887323943661979</v>
      </c>
      <c r="O14">
        <v>11.4</v>
      </c>
      <c r="U14" s="91" t="s">
        <v>34</v>
      </c>
      <c r="V14" s="35">
        <v>5.0641314280398788</v>
      </c>
    </row>
    <row r="15" spans="1:22" x14ac:dyDescent="0.35">
      <c r="A15" s="62" t="s">
        <v>33</v>
      </c>
      <c r="B15" s="62" t="s">
        <v>30</v>
      </c>
      <c r="C15" s="62">
        <v>2</v>
      </c>
      <c r="D15" s="62">
        <v>3</v>
      </c>
      <c r="E15" s="62">
        <v>7</v>
      </c>
      <c r="F15" s="62">
        <v>14</v>
      </c>
      <c r="H15" s="145">
        <v>45988</v>
      </c>
      <c r="I15" s="62">
        <v>6.7</v>
      </c>
      <c r="J15" s="36">
        <v>1</v>
      </c>
      <c r="K15"/>
      <c r="L15">
        <f t="shared" si="0"/>
        <v>6.7</v>
      </c>
      <c r="M15" s="35">
        <v>2.81</v>
      </c>
      <c r="N15" s="35">
        <f t="shared" si="1"/>
        <v>4.1940298507462686</v>
      </c>
      <c r="O15">
        <v>11.6</v>
      </c>
      <c r="U15" s="91" t="s">
        <v>29</v>
      </c>
      <c r="V15" s="35">
        <v>4.194267140609373</v>
      </c>
    </row>
    <row r="16" spans="1:22" x14ac:dyDescent="0.35">
      <c r="A16" s="62" t="s">
        <v>33</v>
      </c>
      <c r="B16" s="62" t="s">
        <v>29</v>
      </c>
      <c r="C16" s="62">
        <v>2</v>
      </c>
      <c r="D16" s="62">
        <v>2</v>
      </c>
      <c r="E16" s="62">
        <v>7</v>
      </c>
      <c r="F16" s="62">
        <v>15</v>
      </c>
      <c r="H16" s="145">
        <v>45988</v>
      </c>
      <c r="I16" s="62">
        <v>7.1</v>
      </c>
      <c r="J16" s="36">
        <v>1</v>
      </c>
      <c r="K16"/>
      <c r="L16">
        <f t="shared" si="0"/>
        <v>7.1</v>
      </c>
      <c r="M16" s="35">
        <v>3.26</v>
      </c>
      <c r="N16" s="35">
        <f t="shared" si="1"/>
        <v>4.591549295774648</v>
      </c>
      <c r="O16">
        <v>11</v>
      </c>
      <c r="U16" s="91" t="s">
        <v>30</v>
      </c>
      <c r="V16" s="35">
        <v>4.8698758243718308</v>
      </c>
    </row>
    <row r="17" spans="1:30" x14ac:dyDescent="0.35">
      <c r="A17" s="62" t="s">
        <v>33</v>
      </c>
      <c r="B17" s="62" t="s">
        <v>35</v>
      </c>
      <c r="C17" s="62">
        <v>2</v>
      </c>
      <c r="D17" s="62">
        <v>1</v>
      </c>
      <c r="E17" s="62">
        <v>7</v>
      </c>
      <c r="F17" s="62">
        <v>16</v>
      </c>
      <c r="H17" s="145">
        <v>45988</v>
      </c>
      <c r="I17" s="62">
        <v>6.5</v>
      </c>
      <c r="J17" s="36">
        <v>1</v>
      </c>
      <c r="K17"/>
      <c r="L17">
        <f t="shared" si="0"/>
        <v>6.5</v>
      </c>
      <c r="M17" s="35">
        <v>3.41</v>
      </c>
      <c r="N17" s="35">
        <f t="shared" si="1"/>
        <v>5.2461538461538471</v>
      </c>
      <c r="O17">
        <v>12.1</v>
      </c>
    </row>
    <row r="18" spans="1:30" x14ac:dyDescent="0.35">
      <c r="A18" s="62" t="s">
        <v>28</v>
      </c>
      <c r="B18" s="62" t="s">
        <v>32</v>
      </c>
      <c r="C18" s="62">
        <v>3</v>
      </c>
      <c r="D18" s="62">
        <v>1</v>
      </c>
      <c r="E18" s="62">
        <v>9</v>
      </c>
      <c r="F18" s="62">
        <v>17</v>
      </c>
      <c r="H18" s="145">
        <v>45988</v>
      </c>
      <c r="I18" s="62">
        <v>6.5</v>
      </c>
      <c r="J18" s="36">
        <v>1</v>
      </c>
      <c r="K18"/>
      <c r="L18">
        <f t="shared" si="0"/>
        <v>6.5</v>
      </c>
      <c r="M18" s="35">
        <v>3.38</v>
      </c>
      <c r="N18" s="35">
        <f t="shared" si="1"/>
        <v>5.2</v>
      </c>
      <c r="O18">
        <v>13.3</v>
      </c>
    </row>
    <row r="19" spans="1:30" x14ac:dyDescent="0.35">
      <c r="A19" s="62" t="s">
        <v>28</v>
      </c>
      <c r="B19" s="62" t="s">
        <v>31</v>
      </c>
      <c r="C19" s="62">
        <v>3</v>
      </c>
      <c r="D19" s="62">
        <v>2</v>
      </c>
      <c r="E19" s="62">
        <v>9</v>
      </c>
      <c r="F19" s="62">
        <v>18</v>
      </c>
      <c r="H19" s="145">
        <v>45988</v>
      </c>
      <c r="I19" s="62">
        <v>7.1</v>
      </c>
      <c r="J19" s="36">
        <v>1</v>
      </c>
      <c r="K19"/>
      <c r="L19">
        <f t="shared" si="0"/>
        <v>7.1</v>
      </c>
      <c r="M19" s="35">
        <v>3.0449999999999999</v>
      </c>
      <c r="N19" s="35">
        <f t="shared" si="1"/>
        <v>4.2887323943661979</v>
      </c>
      <c r="O19">
        <v>10.6</v>
      </c>
    </row>
    <row r="20" spans="1:30" x14ac:dyDescent="0.35">
      <c r="A20" s="62" t="s">
        <v>28</v>
      </c>
      <c r="B20" s="62" t="s">
        <v>29</v>
      </c>
      <c r="C20" s="62">
        <v>3</v>
      </c>
      <c r="D20" s="62">
        <v>3</v>
      </c>
      <c r="E20" s="62">
        <v>9</v>
      </c>
      <c r="F20" s="62">
        <v>19</v>
      </c>
      <c r="H20" s="145">
        <v>45988</v>
      </c>
      <c r="I20" s="62">
        <v>6.6</v>
      </c>
      <c r="J20" s="36">
        <v>1</v>
      </c>
      <c r="K20"/>
      <c r="L20">
        <f t="shared" si="0"/>
        <v>6.6</v>
      </c>
      <c r="M20" s="35">
        <v>3.0550000000000002</v>
      </c>
      <c r="N20" s="35">
        <f t="shared" si="1"/>
        <v>4.6287878787878789</v>
      </c>
      <c r="O20">
        <v>10.4</v>
      </c>
    </row>
    <row r="21" spans="1:30" x14ac:dyDescent="0.35">
      <c r="A21" s="62" t="s">
        <v>28</v>
      </c>
      <c r="B21" s="62" t="s">
        <v>30</v>
      </c>
      <c r="C21" s="62">
        <v>3</v>
      </c>
      <c r="D21" s="62">
        <v>4</v>
      </c>
      <c r="E21" s="62">
        <v>9</v>
      </c>
      <c r="F21" s="62">
        <v>20</v>
      </c>
      <c r="H21" s="145">
        <v>45988</v>
      </c>
      <c r="I21" s="62">
        <v>7.1</v>
      </c>
      <c r="J21" s="36">
        <v>1</v>
      </c>
      <c r="K21"/>
      <c r="L21">
        <f t="shared" si="0"/>
        <v>7.1</v>
      </c>
      <c r="M21" s="35">
        <v>3.5049999999999999</v>
      </c>
      <c r="N21" s="35">
        <f t="shared" si="1"/>
        <v>4.9366197183098599</v>
      </c>
      <c r="O21">
        <v>10.3</v>
      </c>
    </row>
    <row r="22" spans="1:30" x14ac:dyDescent="0.35">
      <c r="A22" s="62" t="s">
        <v>33</v>
      </c>
      <c r="B22" s="62" t="s">
        <v>30</v>
      </c>
      <c r="C22" s="62">
        <v>3</v>
      </c>
      <c r="D22" s="62">
        <v>4</v>
      </c>
      <c r="E22" s="62">
        <v>11</v>
      </c>
      <c r="F22" s="62">
        <v>21</v>
      </c>
      <c r="H22" s="145">
        <v>45988</v>
      </c>
      <c r="I22" s="62">
        <v>7.1</v>
      </c>
      <c r="J22" s="36">
        <v>1</v>
      </c>
      <c r="K22"/>
      <c r="L22">
        <f t="shared" si="0"/>
        <v>7.1</v>
      </c>
      <c r="M22" s="35">
        <v>3.605</v>
      </c>
      <c r="N22" s="35">
        <f t="shared" si="1"/>
        <v>5.0774647887323949</v>
      </c>
      <c r="O22">
        <v>11.2</v>
      </c>
    </row>
    <row r="23" spans="1:30" x14ac:dyDescent="0.35">
      <c r="A23" s="62" t="s">
        <v>33</v>
      </c>
      <c r="B23" s="62" t="s">
        <v>34</v>
      </c>
      <c r="C23" s="62">
        <v>3</v>
      </c>
      <c r="D23" s="62">
        <v>3</v>
      </c>
      <c r="E23" s="62">
        <v>11</v>
      </c>
      <c r="F23" s="62">
        <v>22</v>
      </c>
      <c r="H23" s="145">
        <v>45988</v>
      </c>
      <c r="I23" s="62">
        <v>6.5</v>
      </c>
      <c r="J23" s="36">
        <v>1</v>
      </c>
      <c r="K23"/>
      <c r="L23">
        <f t="shared" si="0"/>
        <v>6.5</v>
      </c>
      <c r="M23" s="35">
        <v>3.06</v>
      </c>
      <c r="N23" s="35">
        <f t="shared" si="1"/>
        <v>4.7076923076923078</v>
      </c>
      <c r="O23">
        <v>12.1</v>
      </c>
    </row>
    <row r="24" spans="1:30" x14ac:dyDescent="0.35">
      <c r="A24" s="62" t="s">
        <v>33</v>
      </c>
      <c r="B24" s="62" t="s">
        <v>35</v>
      </c>
      <c r="C24" s="62">
        <v>3</v>
      </c>
      <c r="D24" s="62">
        <v>2</v>
      </c>
      <c r="E24" s="62">
        <v>11</v>
      </c>
      <c r="F24" s="62">
        <v>23</v>
      </c>
      <c r="H24" s="145">
        <v>45988</v>
      </c>
      <c r="I24" s="62">
        <v>7.1</v>
      </c>
      <c r="J24" s="36">
        <v>1</v>
      </c>
      <c r="K24"/>
      <c r="L24">
        <f t="shared" si="0"/>
        <v>7.1</v>
      </c>
      <c r="M24" s="35">
        <v>2.9550000000000001</v>
      </c>
      <c r="N24" s="35">
        <f t="shared" si="1"/>
        <v>4.1619718309859159</v>
      </c>
      <c r="O24">
        <v>11.7</v>
      </c>
    </row>
    <row r="25" spans="1:30" x14ac:dyDescent="0.35">
      <c r="A25" s="62" t="s">
        <v>33</v>
      </c>
      <c r="B25" s="62" t="s">
        <v>29</v>
      </c>
      <c r="C25" s="62">
        <v>3</v>
      </c>
      <c r="D25" s="62">
        <v>1</v>
      </c>
      <c r="E25" s="62">
        <v>11</v>
      </c>
      <c r="F25" s="62">
        <v>24</v>
      </c>
      <c r="H25" s="145">
        <v>45988</v>
      </c>
      <c r="I25" s="62">
        <v>6.6</v>
      </c>
      <c r="J25" s="36">
        <v>1</v>
      </c>
      <c r="K25"/>
      <c r="L25">
        <f t="shared" si="0"/>
        <v>6.6</v>
      </c>
      <c r="M25" s="35">
        <v>3.17</v>
      </c>
      <c r="N25" s="35">
        <f t="shared" si="1"/>
        <v>4.8030303030303028</v>
      </c>
      <c r="O25">
        <v>11.3</v>
      </c>
    </row>
    <row r="26" spans="1:30" x14ac:dyDescent="0.35">
      <c r="A26" s="62" t="s">
        <v>28</v>
      </c>
      <c r="B26" s="62" t="s">
        <v>30</v>
      </c>
      <c r="C26" s="62">
        <v>4</v>
      </c>
      <c r="D26" s="62">
        <v>1</v>
      </c>
      <c r="E26" s="62">
        <v>13</v>
      </c>
      <c r="F26" s="62">
        <v>25</v>
      </c>
      <c r="H26" s="145">
        <v>45988</v>
      </c>
      <c r="I26" s="62">
        <v>6.6</v>
      </c>
      <c r="J26" s="36">
        <v>1</v>
      </c>
      <c r="K26"/>
      <c r="L26">
        <f t="shared" si="0"/>
        <v>6.6</v>
      </c>
      <c r="M26" s="35">
        <v>3.88</v>
      </c>
      <c r="N26" s="35">
        <f t="shared" si="1"/>
        <v>5.8787878787878789</v>
      </c>
      <c r="O26">
        <v>10.7</v>
      </c>
    </row>
    <row r="27" spans="1:30" x14ac:dyDescent="0.35">
      <c r="A27" s="62" t="s">
        <v>28</v>
      </c>
      <c r="B27" s="62" t="s">
        <v>29</v>
      </c>
      <c r="C27" s="62">
        <v>4</v>
      </c>
      <c r="D27" s="62">
        <v>2</v>
      </c>
      <c r="E27" s="62">
        <v>13</v>
      </c>
      <c r="F27" s="62">
        <v>26</v>
      </c>
      <c r="H27" s="145">
        <v>45988</v>
      </c>
      <c r="I27" s="62">
        <v>7.2</v>
      </c>
      <c r="J27" s="36">
        <v>1</v>
      </c>
      <c r="K27"/>
      <c r="L27">
        <f t="shared" si="0"/>
        <v>7.2</v>
      </c>
      <c r="M27" s="35">
        <v>3.01</v>
      </c>
      <c r="N27" s="35">
        <f t="shared" si="1"/>
        <v>4.1805555555555545</v>
      </c>
      <c r="O27">
        <v>10.1</v>
      </c>
    </row>
    <row r="28" spans="1:30" x14ac:dyDescent="0.35">
      <c r="A28" s="62" t="s">
        <v>28</v>
      </c>
      <c r="B28" s="62" t="s">
        <v>32</v>
      </c>
      <c r="C28" s="62">
        <v>4</v>
      </c>
      <c r="D28" s="62">
        <v>3</v>
      </c>
      <c r="E28" s="62">
        <v>13</v>
      </c>
      <c r="F28" s="62">
        <v>27</v>
      </c>
      <c r="H28" s="145">
        <v>45988</v>
      </c>
      <c r="I28" s="62">
        <v>6.5</v>
      </c>
      <c r="J28" s="36">
        <v>1</v>
      </c>
      <c r="K28"/>
      <c r="L28">
        <f t="shared" si="0"/>
        <v>6.5</v>
      </c>
      <c r="M28" s="35">
        <v>3.1150000000000002</v>
      </c>
      <c r="N28" s="35">
        <f t="shared" si="1"/>
        <v>4.792307692307693</v>
      </c>
      <c r="O28">
        <v>15.4</v>
      </c>
      <c r="AD28" s="35"/>
    </row>
    <row r="29" spans="1:30" x14ac:dyDescent="0.35">
      <c r="A29" s="62" t="s">
        <v>28</v>
      </c>
      <c r="B29" s="62" t="s">
        <v>31</v>
      </c>
      <c r="C29" s="62">
        <v>4</v>
      </c>
      <c r="D29" s="62">
        <v>4</v>
      </c>
      <c r="E29" s="62">
        <v>13</v>
      </c>
      <c r="F29" s="62">
        <v>28</v>
      </c>
      <c r="H29" s="145">
        <v>45988</v>
      </c>
      <c r="I29" s="62">
        <v>7.2</v>
      </c>
      <c r="J29" s="36">
        <v>1</v>
      </c>
      <c r="K29"/>
      <c r="L29">
        <f t="shared" si="0"/>
        <v>7.2</v>
      </c>
      <c r="M29" s="35">
        <v>3.5</v>
      </c>
      <c r="N29" s="35">
        <f t="shared" si="1"/>
        <v>4.8611111111111107</v>
      </c>
      <c r="O29">
        <v>11</v>
      </c>
      <c r="AD29" s="35"/>
    </row>
    <row r="30" spans="1:30" x14ac:dyDescent="0.35">
      <c r="A30" s="62" t="s">
        <v>33</v>
      </c>
      <c r="B30" s="62" t="s">
        <v>35</v>
      </c>
      <c r="C30" s="62">
        <v>4</v>
      </c>
      <c r="D30" s="62">
        <v>4</v>
      </c>
      <c r="E30" s="62">
        <v>15</v>
      </c>
      <c r="F30" s="62">
        <v>29</v>
      </c>
      <c r="H30" s="145">
        <v>45988</v>
      </c>
      <c r="I30" s="62">
        <v>7.1</v>
      </c>
      <c r="J30" s="36">
        <v>1</v>
      </c>
      <c r="K30"/>
      <c r="L30">
        <f t="shared" si="0"/>
        <v>7.1</v>
      </c>
      <c r="M30" s="35">
        <v>3.24</v>
      </c>
      <c r="N30" s="35">
        <f t="shared" si="1"/>
        <v>4.5633802816901419</v>
      </c>
      <c r="O30">
        <v>11.9</v>
      </c>
      <c r="AD30" s="35"/>
    </row>
    <row r="31" spans="1:30" x14ac:dyDescent="0.35">
      <c r="A31" s="62" t="s">
        <v>33</v>
      </c>
      <c r="B31" s="62" t="s">
        <v>29</v>
      </c>
      <c r="C31" s="62">
        <v>4</v>
      </c>
      <c r="D31" s="62">
        <v>3</v>
      </c>
      <c r="E31" s="62">
        <v>15</v>
      </c>
      <c r="F31" s="62">
        <v>30</v>
      </c>
      <c r="H31" s="145">
        <v>45988</v>
      </c>
      <c r="I31" s="62">
        <v>6.7</v>
      </c>
      <c r="J31" s="36">
        <v>1</v>
      </c>
      <c r="K31"/>
      <c r="L31">
        <f t="shared" si="0"/>
        <v>6.7</v>
      </c>
      <c r="M31" s="35">
        <v>2.79</v>
      </c>
      <c r="N31" s="35">
        <f t="shared" si="1"/>
        <v>4.1641791044776113</v>
      </c>
      <c r="O31">
        <v>11.3</v>
      </c>
      <c r="AD31" s="35"/>
    </row>
    <row r="32" spans="1:30" x14ac:dyDescent="0.35">
      <c r="A32" s="62" t="s">
        <v>33</v>
      </c>
      <c r="B32" s="62" t="s">
        <v>34</v>
      </c>
      <c r="C32" s="62">
        <v>4</v>
      </c>
      <c r="D32" s="62">
        <v>2</v>
      </c>
      <c r="E32" s="62">
        <v>15</v>
      </c>
      <c r="F32" s="62">
        <v>31</v>
      </c>
      <c r="H32" s="145">
        <v>45988</v>
      </c>
      <c r="I32" s="62">
        <v>7.2</v>
      </c>
      <c r="J32" s="36">
        <v>1</v>
      </c>
      <c r="K32"/>
      <c r="L32">
        <f t="shared" si="0"/>
        <v>7.2</v>
      </c>
      <c r="M32" s="35">
        <v>3.4</v>
      </c>
      <c r="N32" s="35">
        <f t="shared" si="1"/>
        <v>4.7222222222222214</v>
      </c>
      <c r="O32">
        <v>13.2</v>
      </c>
      <c r="AD32" s="35"/>
    </row>
    <row r="33" spans="1:30" x14ac:dyDescent="0.35">
      <c r="A33" s="62" t="s">
        <v>33</v>
      </c>
      <c r="B33" s="62" t="s">
        <v>30</v>
      </c>
      <c r="C33" s="62">
        <v>4</v>
      </c>
      <c r="D33" s="62">
        <v>1</v>
      </c>
      <c r="E33" s="62">
        <v>15</v>
      </c>
      <c r="F33" s="62">
        <v>32</v>
      </c>
      <c r="H33" s="145">
        <v>45988</v>
      </c>
      <c r="I33" s="62">
        <v>6.6</v>
      </c>
      <c r="J33" s="36">
        <v>1</v>
      </c>
      <c r="K33"/>
      <c r="L33">
        <f t="shared" si="0"/>
        <v>6.6</v>
      </c>
      <c r="M33" s="35">
        <v>3.64</v>
      </c>
      <c r="N33" s="35">
        <f t="shared" si="1"/>
        <v>5.5151515151515156</v>
      </c>
      <c r="O33">
        <v>13.2</v>
      </c>
      <c r="AD33" s="35"/>
    </row>
    <row r="34" spans="1:30" x14ac:dyDescent="0.35">
      <c r="H34" s="27"/>
      <c r="AD34" s="35"/>
    </row>
    <row r="35" spans="1:30" x14ac:dyDescent="0.35">
      <c r="H35" s="27"/>
      <c r="AD35" s="35"/>
    </row>
    <row r="36" spans="1:30" x14ac:dyDescent="0.35">
      <c r="H36" s="27"/>
    </row>
    <row r="37" spans="1:30" x14ac:dyDescent="0.35">
      <c r="H37" s="27"/>
    </row>
    <row r="38" spans="1:30" x14ac:dyDescent="0.35">
      <c r="H38" s="27"/>
    </row>
    <row r="39" spans="1:30" x14ac:dyDescent="0.35">
      <c r="H39" s="27"/>
    </row>
    <row r="40" spans="1:30" x14ac:dyDescent="0.35">
      <c r="H40" s="27"/>
    </row>
    <row r="41" spans="1:30" x14ac:dyDescent="0.35">
      <c r="H41" s="27"/>
    </row>
  </sheetData>
  <sortState xmlns:xlrd2="http://schemas.microsoft.com/office/spreadsheetml/2017/richdata2" ref="A2:S41">
    <sortCondition ref="F2:F41"/>
  </sortState>
  <conditionalFormatting pivot="1" sqref="V7:V1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8D12-DC40-4DAE-B21B-EEEF70867720}">
  <dimension ref="A1:BY46"/>
  <sheetViews>
    <sheetView workbookViewId="0">
      <pane xSplit="6" ySplit="1" topLeftCell="BL2" activePane="bottomRight" state="frozen"/>
      <selection pane="topRight" activeCell="G1" sqref="G1"/>
      <selection pane="bottomLeft" activeCell="A2" sqref="A2"/>
      <selection pane="bottomRight" activeCell="BY6" sqref="BY6:BY14"/>
    </sheetView>
  </sheetViews>
  <sheetFormatPr defaultRowHeight="14.5" x14ac:dyDescent="0.35"/>
  <cols>
    <col min="1" max="1" width="13.81640625" style="62" customWidth="1"/>
    <col min="2" max="2" width="16.453125" style="62" customWidth="1"/>
    <col min="3" max="3" width="13.54296875" style="62" customWidth="1"/>
    <col min="4" max="7" width="8.81640625" style="62"/>
    <col min="8" max="8" width="14.54296875" style="130" customWidth="1"/>
    <col min="9" max="9" width="14.81640625" style="122" customWidth="1"/>
    <col min="10" max="12" width="9.1796875" style="130"/>
    <col min="13" max="37" width="8.81640625" style="130"/>
    <col min="38" max="38" width="8.81640625" style="142"/>
    <col min="39" max="43" width="8.81640625" style="130"/>
    <col min="44" max="44" width="15.81640625" style="135" customWidth="1"/>
    <col min="45" max="46" width="13.81640625" style="131" customWidth="1"/>
    <col min="47" max="47" width="14.7265625" style="134" customWidth="1"/>
    <col min="48" max="48" width="13.81640625" style="130" bestFit="1" customWidth="1"/>
    <col min="49" max="49" width="11.453125" style="130" customWidth="1"/>
    <col min="50" max="50" width="16.1796875" style="130" customWidth="1"/>
    <col min="51" max="51" width="14.54296875" style="130" customWidth="1"/>
    <col min="52" max="53" width="8.81640625" style="131"/>
    <col min="54" max="54" width="13.453125" style="134" bestFit="1" customWidth="1"/>
    <col min="55" max="56" width="12" style="135" bestFit="1" customWidth="1"/>
    <col min="57" max="59" width="12" style="130" bestFit="1" customWidth="1"/>
    <col min="60" max="62" width="8.81640625" style="130"/>
    <col min="63" max="63" width="13.453125" style="130" bestFit="1" customWidth="1"/>
    <col min="64" max="64" width="9.1796875" style="130" bestFit="1" customWidth="1"/>
    <col min="65" max="67" width="9.1796875" style="65" bestFit="1" customWidth="1"/>
    <col min="68" max="68" width="11" style="65" bestFit="1" customWidth="1"/>
    <col min="69" max="69" width="8.81640625" style="65"/>
    <col min="72" max="72" width="17.26953125" bestFit="1" customWidth="1"/>
    <col min="73" max="73" width="30.54296875" bestFit="1" customWidth="1"/>
    <col min="74" max="74" width="4.54296875" bestFit="1" customWidth="1"/>
    <col min="75" max="75" width="17.26953125" bestFit="1" customWidth="1"/>
    <col min="76" max="76" width="29.453125" bestFit="1" customWidth="1"/>
    <col min="77" max="77" width="7.26953125" bestFit="1" customWidth="1"/>
    <col min="78" max="78" width="11.26953125" bestFit="1" customWidth="1"/>
  </cols>
  <sheetData>
    <row r="1" spans="1:77" ht="78" customHeight="1" x14ac:dyDescent="0.35">
      <c r="A1" s="61" t="s">
        <v>20</v>
      </c>
      <c r="B1" s="61" t="s">
        <v>21</v>
      </c>
      <c r="C1" s="61" t="s">
        <v>22</v>
      </c>
      <c r="D1" s="61" t="s">
        <v>23</v>
      </c>
      <c r="E1" s="61" t="s">
        <v>24</v>
      </c>
      <c r="F1" s="61" t="s">
        <v>25</v>
      </c>
      <c r="G1" s="137" t="s">
        <v>26</v>
      </c>
      <c r="H1" s="137" t="s">
        <v>413</v>
      </c>
      <c r="I1" s="121" t="s">
        <v>461</v>
      </c>
      <c r="J1" s="137" t="s">
        <v>465</v>
      </c>
      <c r="K1" s="137" t="s">
        <v>464</v>
      </c>
      <c r="L1" s="137" t="s">
        <v>463</v>
      </c>
      <c r="M1" s="137" t="s">
        <v>462</v>
      </c>
      <c r="N1" s="137" t="s">
        <v>469</v>
      </c>
      <c r="O1" s="137" t="s">
        <v>468</v>
      </c>
      <c r="P1" s="137" t="s">
        <v>467</v>
      </c>
      <c r="Q1" s="137" t="s">
        <v>466</v>
      </c>
      <c r="R1" s="137" t="s">
        <v>470</v>
      </c>
      <c r="S1" s="137" t="s">
        <v>471</v>
      </c>
      <c r="T1" s="137" t="s">
        <v>472</v>
      </c>
      <c r="U1" s="137" t="s">
        <v>473</v>
      </c>
      <c r="V1" s="137" t="s">
        <v>474</v>
      </c>
      <c r="W1" s="137" t="s">
        <v>475</v>
      </c>
      <c r="X1" s="137" t="s">
        <v>476</v>
      </c>
      <c r="Y1" s="137" t="s">
        <v>477</v>
      </c>
      <c r="Z1" s="137" t="s">
        <v>478</v>
      </c>
      <c r="AA1" s="137" t="s">
        <v>479</v>
      </c>
      <c r="AB1" s="137" t="s">
        <v>480</v>
      </c>
      <c r="AC1" s="137" t="s">
        <v>481</v>
      </c>
      <c r="AD1" s="137" t="s">
        <v>482</v>
      </c>
      <c r="AE1" s="137" t="s">
        <v>483</v>
      </c>
      <c r="AF1" s="137" t="s">
        <v>484</v>
      </c>
      <c r="AG1" s="137" t="s">
        <v>485</v>
      </c>
      <c r="AH1" s="137" t="s">
        <v>486</v>
      </c>
      <c r="AI1" s="137" t="s">
        <v>487</v>
      </c>
      <c r="AJ1" s="137" t="s">
        <v>488</v>
      </c>
      <c r="AK1" s="137" t="s">
        <v>489</v>
      </c>
      <c r="AL1" s="137" t="s">
        <v>456</v>
      </c>
      <c r="AM1" s="137" t="s">
        <v>490</v>
      </c>
      <c r="AN1" s="137" t="s">
        <v>491</v>
      </c>
      <c r="AO1" s="137" t="s">
        <v>493</v>
      </c>
      <c r="AP1" s="137" t="s">
        <v>494</v>
      </c>
      <c r="AQ1" s="6" t="s">
        <v>495</v>
      </c>
      <c r="AR1" s="138" t="s">
        <v>496</v>
      </c>
      <c r="AS1" s="139" t="s">
        <v>497</v>
      </c>
      <c r="AT1" s="139" t="s">
        <v>600</v>
      </c>
      <c r="AU1" s="141" t="s">
        <v>498</v>
      </c>
      <c r="AV1" s="137" t="s">
        <v>499</v>
      </c>
      <c r="AW1" s="137" t="s">
        <v>500</v>
      </c>
      <c r="AX1" s="137" t="s">
        <v>501</v>
      </c>
      <c r="AY1" s="137" t="s">
        <v>527</v>
      </c>
      <c r="AZ1" s="140" t="s">
        <v>503</v>
      </c>
      <c r="BA1" s="140" t="s">
        <v>504</v>
      </c>
      <c r="BB1" s="141" t="s">
        <v>505</v>
      </c>
      <c r="BC1" s="138" t="s">
        <v>506</v>
      </c>
      <c r="BD1" s="138" t="s">
        <v>528</v>
      </c>
      <c r="BE1" s="141" t="s">
        <v>508</v>
      </c>
      <c r="BF1" s="141" t="s">
        <v>509</v>
      </c>
      <c r="BG1" s="141" t="s">
        <v>510</v>
      </c>
      <c r="BH1" s="141" t="s">
        <v>511</v>
      </c>
      <c r="BI1" s="137" t="s">
        <v>512</v>
      </c>
      <c r="BJ1" s="137" t="s">
        <v>513</v>
      </c>
      <c r="BK1" s="137" t="s">
        <v>514</v>
      </c>
      <c r="BL1" s="137" t="s">
        <v>515</v>
      </c>
      <c r="BM1" s="10" t="s">
        <v>516</v>
      </c>
      <c r="BN1" s="10" t="s">
        <v>517</v>
      </c>
      <c r="BO1" s="10" t="s">
        <v>518</v>
      </c>
      <c r="BP1" s="10" t="s">
        <v>529</v>
      </c>
      <c r="BQ1" s="8" t="s">
        <v>519</v>
      </c>
      <c r="BR1" s="9"/>
    </row>
    <row r="2" spans="1:77" x14ac:dyDescent="0.35">
      <c r="A2" s="122" t="s">
        <v>28</v>
      </c>
      <c r="B2" s="122" t="s">
        <v>29</v>
      </c>
      <c r="C2" s="122">
        <v>1</v>
      </c>
      <c r="D2" s="122">
        <v>1</v>
      </c>
      <c r="E2" s="122">
        <v>2</v>
      </c>
      <c r="F2" s="122">
        <v>102</v>
      </c>
      <c r="G2" s="65">
        <v>1</v>
      </c>
      <c r="H2" s="90">
        <v>45933</v>
      </c>
      <c r="I2" s="130">
        <v>0.74</v>
      </c>
      <c r="J2" s="133">
        <v>9.8000000000000004E-2</v>
      </c>
      <c r="K2" s="133">
        <v>0.161</v>
      </c>
      <c r="L2" s="133">
        <v>0.26300000000000001</v>
      </c>
      <c r="M2" s="133">
        <v>0.437</v>
      </c>
      <c r="N2" s="143">
        <f>1-J2</f>
        <v>0.90200000000000002</v>
      </c>
      <c r="O2" s="143">
        <f t="shared" ref="O2:Q17" si="0">1-K2</f>
        <v>0.83899999999999997</v>
      </c>
      <c r="P2" s="143">
        <f t="shared" si="0"/>
        <v>0.73699999999999999</v>
      </c>
      <c r="Q2" s="143">
        <f t="shared" si="0"/>
        <v>0.56299999999999994</v>
      </c>
      <c r="R2" s="65">
        <v>0.6</v>
      </c>
      <c r="S2" s="65">
        <v>2.8</v>
      </c>
      <c r="T2" s="65">
        <v>12.5</v>
      </c>
      <c r="U2" s="65">
        <v>1.4</v>
      </c>
      <c r="V2" s="65">
        <v>38.5</v>
      </c>
      <c r="W2" s="65">
        <v>4.0999999999999996</v>
      </c>
      <c r="X2" s="65">
        <v>35.200000000000003</v>
      </c>
      <c r="Y2" s="65">
        <v>40.1</v>
      </c>
      <c r="Z2" s="65">
        <v>53.2</v>
      </c>
      <c r="AA2" s="65">
        <v>52.2</v>
      </c>
      <c r="AB2" s="65">
        <v>51.4</v>
      </c>
      <c r="AC2" s="65">
        <v>49.1</v>
      </c>
      <c r="AD2" s="65">
        <v>50.9</v>
      </c>
      <c r="AE2" s="65">
        <v>54.1</v>
      </c>
      <c r="AF2" s="65">
        <v>47</v>
      </c>
      <c r="AG2" s="65">
        <v>45.6</v>
      </c>
      <c r="AH2" s="65">
        <v>53.9</v>
      </c>
      <c r="AI2" s="65">
        <v>58.4</v>
      </c>
      <c r="AJ2" s="65">
        <v>52</v>
      </c>
      <c r="AK2" s="65">
        <v>49.4</v>
      </c>
      <c r="AL2" s="65">
        <v>70</v>
      </c>
      <c r="AM2" s="65">
        <v>0.5</v>
      </c>
      <c r="AN2" s="65">
        <v>1623</v>
      </c>
      <c r="AO2" s="136">
        <v>175.9</v>
      </c>
      <c r="AP2" s="65">
        <v>20</v>
      </c>
      <c r="AQ2" s="65">
        <v>20</v>
      </c>
      <c r="AR2" s="136">
        <v>70.400000000000006</v>
      </c>
      <c r="AS2" s="65">
        <v>22.59</v>
      </c>
      <c r="AT2" s="136">
        <f>(AR2-AS2)*100/AR2</f>
        <v>67.911931818181813</v>
      </c>
      <c r="AU2" s="143">
        <v>11.5</v>
      </c>
      <c r="AV2" s="65">
        <v>3.38</v>
      </c>
      <c r="AW2" s="65">
        <v>31.04</v>
      </c>
      <c r="AX2" s="65">
        <v>11.82</v>
      </c>
      <c r="AY2" s="143">
        <f>AU2+AV2+AW2+AX2</f>
        <v>57.74</v>
      </c>
      <c r="AZ2" s="143">
        <f>AY2/AQ2</f>
        <v>2.887</v>
      </c>
      <c r="BA2" s="143">
        <f>AO2/AQ2</f>
        <v>8.7949999999999999</v>
      </c>
      <c r="BB2" s="143">
        <f>AS2/AR2</f>
        <v>0.3208806818181818</v>
      </c>
      <c r="BC2" s="144">
        <f>AN2*BB2</f>
        <v>520.78934659090908</v>
      </c>
      <c r="BD2" s="144">
        <f>BC2/AM2</f>
        <v>1041.5786931818182</v>
      </c>
      <c r="BE2" s="143">
        <f>AU2/AY2</f>
        <v>0.19916868721856598</v>
      </c>
      <c r="BF2" s="143">
        <f>AV2/AY2</f>
        <v>5.8538275025978519E-2</v>
      </c>
      <c r="BG2" s="143">
        <f>AW2/AY2</f>
        <v>0.53758226532732933</v>
      </c>
      <c r="BH2" s="143">
        <f>AX2/AY2</f>
        <v>0.20471077242812608</v>
      </c>
      <c r="BI2" s="144">
        <f>BD2*BE2</f>
        <v>207.44986095585224</v>
      </c>
      <c r="BJ2" s="144">
        <f>BD2*BF2</f>
        <v>60.972220002676565</v>
      </c>
      <c r="BK2" s="144">
        <f>BD2*BG2</f>
        <v>559.93423339736114</v>
      </c>
      <c r="BL2" s="144">
        <f>BD2*BH2</f>
        <v>213.22237882592813</v>
      </c>
      <c r="BM2" s="144">
        <f>AVERAGE(R2:U2)</f>
        <v>4.3250000000000002</v>
      </c>
      <c r="BN2" s="144">
        <f>AVERAGE(V2:Y2)</f>
        <v>29.475000000000001</v>
      </c>
      <c r="BO2" s="144">
        <f>AVERAGE(Z2:AC2)</f>
        <v>51.475000000000001</v>
      </c>
      <c r="BP2" s="144">
        <f>AVERAGE(AD2:AG2)</f>
        <v>49.4</v>
      </c>
      <c r="BQ2" s="144">
        <f>AVERAGE(AH2:AK2)</f>
        <v>53.425000000000004</v>
      </c>
    </row>
    <row r="3" spans="1:77" x14ac:dyDescent="0.35">
      <c r="A3" s="122" t="s">
        <v>28</v>
      </c>
      <c r="B3" s="122" t="s">
        <v>30</v>
      </c>
      <c r="C3" s="122">
        <v>1</v>
      </c>
      <c r="D3" s="122">
        <v>2</v>
      </c>
      <c r="E3" s="122">
        <v>2</v>
      </c>
      <c r="F3" s="122">
        <v>202</v>
      </c>
      <c r="G3" s="65">
        <v>2</v>
      </c>
      <c r="H3" s="90">
        <v>45937</v>
      </c>
      <c r="I3" s="130">
        <v>0.6</v>
      </c>
      <c r="J3" s="133">
        <v>9.1999999999999998E-2</v>
      </c>
      <c r="K3" s="133">
        <v>0.17399999999999999</v>
      </c>
      <c r="L3" s="133">
        <v>0.36599999999999999</v>
      </c>
      <c r="M3" s="133">
        <v>0.60099999999999998</v>
      </c>
      <c r="N3" s="143">
        <f t="shared" ref="N3:Q33" si="1">1-J3</f>
        <v>0.90800000000000003</v>
      </c>
      <c r="O3" s="143">
        <f t="shared" si="0"/>
        <v>0.82600000000000007</v>
      </c>
      <c r="P3" s="143">
        <f t="shared" si="0"/>
        <v>0.63400000000000001</v>
      </c>
      <c r="Q3" s="143">
        <f t="shared" si="0"/>
        <v>0.39900000000000002</v>
      </c>
      <c r="R3" s="65">
        <v>0</v>
      </c>
      <c r="S3" s="65">
        <v>0</v>
      </c>
      <c r="T3" s="65">
        <v>0</v>
      </c>
      <c r="U3" s="65">
        <v>0</v>
      </c>
      <c r="V3" s="65">
        <v>0</v>
      </c>
      <c r="W3" s="65">
        <v>0</v>
      </c>
      <c r="X3" s="65">
        <v>0</v>
      </c>
      <c r="Y3" s="65">
        <v>0</v>
      </c>
      <c r="Z3" s="65">
        <v>31.7</v>
      </c>
      <c r="AA3" s="65">
        <v>20.7</v>
      </c>
      <c r="AB3" s="65">
        <v>0</v>
      </c>
      <c r="AC3" s="65">
        <v>21.2</v>
      </c>
      <c r="AD3" s="65">
        <v>50.8</v>
      </c>
      <c r="AE3" s="65">
        <v>34</v>
      </c>
      <c r="AF3" s="65">
        <v>42.6</v>
      </c>
      <c r="AG3" s="65">
        <v>49.3</v>
      </c>
      <c r="AH3" s="65">
        <v>52.8</v>
      </c>
      <c r="AI3" s="65">
        <v>54.1</v>
      </c>
      <c r="AJ3" s="65">
        <v>48.9</v>
      </c>
      <c r="AK3" s="65">
        <v>48.7</v>
      </c>
      <c r="AL3" s="65">
        <v>84</v>
      </c>
      <c r="AM3" s="65">
        <v>0.5</v>
      </c>
      <c r="AN3" s="65">
        <v>1348</v>
      </c>
      <c r="AO3" s="136">
        <v>76.5</v>
      </c>
      <c r="AP3" s="65">
        <v>20</v>
      </c>
      <c r="AQ3" s="65">
        <v>20</v>
      </c>
      <c r="AR3" s="136">
        <v>65.400000000000006</v>
      </c>
      <c r="AS3" s="65">
        <v>28.34</v>
      </c>
      <c r="AT3" s="136">
        <f t="shared" ref="AT3:AT33" si="2">(AR3-AS3)*100/AR3</f>
        <v>56.666666666666664</v>
      </c>
      <c r="AU3" s="143">
        <v>6.67</v>
      </c>
      <c r="AV3" s="65">
        <v>4.4400000000000004</v>
      </c>
      <c r="AW3" s="65">
        <v>26.51</v>
      </c>
      <c r="AX3" s="65">
        <v>12.15</v>
      </c>
      <c r="AY3" s="143">
        <f t="shared" ref="AY3:AY33" si="3">AU3+AV3+AW3+AX3</f>
        <v>49.77</v>
      </c>
      <c r="AZ3" s="143">
        <f t="shared" ref="AZ3:AZ33" si="4">AY3/AQ3</f>
        <v>2.4885000000000002</v>
      </c>
      <c r="BA3" s="143">
        <f t="shared" ref="BA3:BA33" si="5">AO3/AQ3</f>
        <v>3.8250000000000002</v>
      </c>
      <c r="BB3" s="143">
        <f t="shared" ref="BB3:BB33" si="6">AS3/AR3</f>
        <v>0.43333333333333329</v>
      </c>
      <c r="BC3" s="144">
        <f t="shared" ref="BC3:BC33" si="7">AN3*BB3</f>
        <v>584.13333333333333</v>
      </c>
      <c r="BD3" s="144">
        <f t="shared" ref="BD3:BD33" si="8">BC3/AM3</f>
        <v>1168.2666666666667</v>
      </c>
      <c r="BE3" s="143">
        <f t="shared" ref="BE3:BE33" si="9">AU3/AY3</f>
        <v>0.13401647578862769</v>
      </c>
      <c r="BF3" s="143">
        <f t="shared" ref="BF3:BF33" si="10">AV3/AY3</f>
        <v>8.9210367691380354E-2</v>
      </c>
      <c r="BG3" s="143">
        <f t="shared" ref="BG3:BG33" si="11">AW3/AY3</f>
        <v>0.532650190878039</v>
      </c>
      <c r="BH3" s="143">
        <f t="shared" ref="BH3:BH33" si="12">AX3/AY3</f>
        <v>0.24412296564195299</v>
      </c>
      <c r="BI3" s="144">
        <f t="shared" ref="BI3:BI33" si="13">BD3*BE3</f>
        <v>156.5669814479941</v>
      </c>
      <c r="BJ3" s="144">
        <f t="shared" ref="BJ3:BJ33" si="14">BD3*BF3</f>
        <v>104.22149889491662</v>
      </c>
      <c r="BK3" s="144">
        <f t="shared" ref="BK3:BK33" si="15">BD3*BG3</f>
        <v>622.27746299645037</v>
      </c>
      <c r="BL3" s="144">
        <f t="shared" ref="BL3:BL33" si="16">BD3*BH3</f>
        <v>285.20072332730558</v>
      </c>
      <c r="BM3" s="144">
        <f t="shared" ref="BM3:BM33" si="17">AVERAGE(R3:U3)</f>
        <v>0</v>
      </c>
      <c r="BN3" s="144">
        <f t="shared" ref="BN3:BN33" si="18">AVERAGE(V3:Y3)</f>
        <v>0</v>
      </c>
      <c r="BO3" s="144">
        <f t="shared" ref="BO3:BO33" si="19">AVERAGE(Z3:AC3)</f>
        <v>18.399999999999999</v>
      </c>
      <c r="BP3" s="144">
        <f t="shared" ref="BP3:BP33" si="20">AVERAGE(AD3:AG3)</f>
        <v>44.174999999999997</v>
      </c>
      <c r="BQ3" s="144">
        <f t="shared" ref="BQ3:BQ33" si="21">AVERAGE(AH3:AK3)</f>
        <v>51.125</v>
      </c>
    </row>
    <row r="4" spans="1:77" x14ac:dyDescent="0.35">
      <c r="A4" s="122" t="s">
        <v>28</v>
      </c>
      <c r="B4" s="122" t="s">
        <v>31</v>
      </c>
      <c r="C4" s="122">
        <v>1</v>
      </c>
      <c r="D4" s="122">
        <v>3</v>
      </c>
      <c r="E4" s="122">
        <v>2</v>
      </c>
      <c r="F4" s="122">
        <v>302</v>
      </c>
      <c r="G4" s="65">
        <v>3</v>
      </c>
      <c r="H4" s="90">
        <v>45937</v>
      </c>
      <c r="I4" s="130">
        <v>0.64</v>
      </c>
      <c r="J4" s="133">
        <v>0.105</v>
      </c>
      <c r="K4" s="133">
        <v>0.159</v>
      </c>
      <c r="L4" s="133">
        <v>0.26800000000000002</v>
      </c>
      <c r="M4" s="133">
        <v>0.496</v>
      </c>
      <c r="N4" s="143">
        <f t="shared" si="1"/>
        <v>0.89500000000000002</v>
      </c>
      <c r="O4" s="143">
        <f t="shared" si="0"/>
        <v>0.84099999999999997</v>
      </c>
      <c r="P4" s="143">
        <f t="shared" si="0"/>
        <v>0.73199999999999998</v>
      </c>
      <c r="Q4" s="143">
        <f t="shared" si="0"/>
        <v>0.504</v>
      </c>
      <c r="R4" s="65">
        <v>0</v>
      </c>
      <c r="S4" s="65">
        <v>0</v>
      </c>
      <c r="T4" s="65">
        <v>0</v>
      </c>
      <c r="U4" s="65">
        <v>0</v>
      </c>
      <c r="V4" s="65">
        <v>11.2</v>
      </c>
      <c r="W4" s="65">
        <v>0</v>
      </c>
      <c r="X4" s="65">
        <v>0</v>
      </c>
      <c r="Y4" s="65">
        <v>41.4</v>
      </c>
      <c r="Z4" s="65">
        <v>43.7</v>
      </c>
      <c r="AA4" s="65">
        <v>9.6999999999999993</v>
      </c>
      <c r="AB4" s="65">
        <v>38.200000000000003</v>
      </c>
      <c r="AC4" s="65">
        <v>31.8</v>
      </c>
      <c r="AD4" s="65">
        <v>40.799999999999997</v>
      </c>
      <c r="AE4" s="65">
        <v>45.3</v>
      </c>
      <c r="AF4" s="65">
        <v>46.5</v>
      </c>
      <c r="AG4" s="65">
        <v>50.9</v>
      </c>
      <c r="AH4" s="65">
        <v>46.9</v>
      </c>
      <c r="AI4" s="65">
        <v>46.3</v>
      </c>
      <c r="AJ4" s="65">
        <v>43.8</v>
      </c>
      <c r="AK4" s="65">
        <v>50.3</v>
      </c>
      <c r="AL4" s="65">
        <v>80</v>
      </c>
      <c r="AM4" s="65">
        <v>0.5</v>
      </c>
      <c r="AN4" s="65">
        <v>1332</v>
      </c>
      <c r="AO4" s="136">
        <v>150.44999999999999</v>
      </c>
      <c r="AP4" s="65">
        <v>20</v>
      </c>
      <c r="AQ4" s="65">
        <v>20</v>
      </c>
      <c r="AR4" s="136">
        <v>74.22</v>
      </c>
      <c r="AS4" s="65">
        <v>30.38</v>
      </c>
      <c r="AT4" s="136">
        <f t="shared" si="2"/>
        <v>59.067636755591487</v>
      </c>
      <c r="AU4" s="143">
        <v>10.119999999999999</v>
      </c>
      <c r="AV4" s="65">
        <v>2.93</v>
      </c>
      <c r="AW4" s="65">
        <v>35.840000000000003</v>
      </c>
      <c r="AX4" s="65">
        <v>13.6</v>
      </c>
      <c r="AY4" s="143">
        <f t="shared" si="3"/>
        <v>62.49</v>
      </c>
      <c r="AZ4" s="143">
        <f t="shared" si="4"/>
        <v>3.1245000000000003</v>
      </c>
      <c r="BA4" s="143">
        <f t="shared" si="5"/>
        <v>7.5224999999999991</v>
      </c>
      <c r="BB4" s="143">
        <f t="shared" si="6"/>
        <v>0.40932363244408515</v>
      </c>
      <c r="BC4" s="144">
        <f t="shared" si="7"/>
        <v>545.21907841552138</v>
      </c>
      <c r="BD4" s="144">
        <f t="shared" si="8"/>
        <v>1090.4381568310428</v>
      </c>
      <c r="BE4" s="143">
        <f t="shared" si="9"/>
        <v>0.16194591134581532</v>
      </c>
      <c r="BF4" s="143">
        <f t="shared" si="10"/>
        <v>4.6887502000320054E-2</v>
      </c>
      <c r="BG4" s="143">
        <f t="shared" si="11"/>
        <v>0.57353176508241321</v>
      </c>
      <c r="BH4" s="143">
        <f t="shared" si="12"/>
        <v>0.21763482157145142</v>
      </c>
      <c r="BI4" s="144">
        <f t="shared" si="13"/>
        <v>176.59200107425431</v>
      </c>
      <c r="BJ4" s="144">
        <f t="shared" si="14"/>
        <v>51.127921259640829</v>
      </c>
      <c r="BK4" s="144">
        <f t="shared" si="15"/>
        <v>625.40092080052125</v>
      </c>
      <c r="BL4" s="144">
        <f t="shared" si="16"/>
        <v>237.31731369662634</v>
      </c>
      <c r="BM4" s="144">
        <f t="shared" si="17"/>
        <v>0</v>
      </c>
      <c r="BN4" s="144">
        <f t="shared" si="18"/>
        <v>13.149999999999999</v>
      </c>
      <c r="BO4" s="144">
        <f t="shared" si="19"/>
        <v>30.85</v>
      </c>
      <c r="BP4" s="144">
        <f t="shared" si="20"/>
        <v>45.875</v>
      </c>
      <c r="BQ4" s="144">
        <f t="shared" si="21"/>
        <v>46.825000000000003</v>
      </c>
      <c r="BT4" s="29" t="s">
        <v>417</v>
      </c>
      <c r="BU4" t="s">
        <v>601</v>
      </c>
      <c r="BW4" s="29" t="s">
        <v>417</v>
      </c>
      <c r="BX4" t="s">
        <v>605</v>
      </c>
    </row>
    <row r="5" spans="1:77" x14ac:dyDescent="0.35">
      <c r="A5" s="122" t="s">
        <v>28</v>
      </c>
      <c r="B5" s="122" t="s">
        <v>32</v>
      </c>
      <c r="C5" s="122">
        <v>1</v>
      </c>
      <c r="D5" s="122">
        <v>4</v>
      </c>
      <c r="E5" s="122">
        <v>2</v>
      </c>
      <c r="F5" s="122">
        <v>402</v>
      </c>
      <c r="G5" s="65">
        <v>4</v>
      </c>
      <c r="H5" s="90">
        <v>45944</v>
      </c>
      <c r="I5" s="130">
        <v>0.59</v>
      </c>
      <c r="J5" s="132">
        <v>0.24399999999999999</v>
      </c>
      <c r="K5" s="132">
        <v>0.30449999999999999</v>
      </c>
      <c r="L5" s="132">
        <v>0.59549999999999992</v>
      </c>
      <c r="M5" s="132">
        <v>0.95599999999999996</v>
      </c>
      <c r="N5" s="143">
        <f t="shared" si="1"/>
        <v>0.75600000000000001</v>
      </c>
      <c r="O5" s="143">
        <f t="shared" si="0"/>
        <v>0.69550000000000001</v>
      </c>
      <c r="P5" s="143">
        <f t="shared" si="0"/>
        <v>0.40450000000000008</v>
      </c>
      <c r="Q5" s="143">
        <f t="shared" si="0"/>
        <v>4.4000000000000039E-2</v>
      </c>
      <c r="R5" s="65">
        <v>0</v>
      </c>
      <c r="S5" s="65">
        <v>0</v>
      </c>
      <c r="T5" s="65">
        <v>2.8</v>
      </c>
      <c r="U5" s="65">
        <v>2.8</v>
      </c>
      <c r="V5" s="65">
        <v>0</v>
      </c>
      <c r="W5" s="65">
        <v>9.1</v>
      </c>
      <c r="X5" s="65">
        <v>45.1</v>
      </c>
      <c r="Y5" s="65">
        <v>44.3</v>
      </c>
      <c r="Z5" s="65">
        <v>24.3</v>
      </c>
      <c r="AA5" s="65">
        <v>47</v>
      </c>
      <c r="AB5" s="65">
        <v>51.9</v>
      </c>
      <c r="AC5" s="65">
        <v>50.8</v>
      </c>
      <c r="AD5" s="65">
        <v>42</v>
      </c>
      <c r="AE5" s="65">
        <v>54.1</v>
      </c>
      <c r="AF5" s="65">
        <v>52.2</v>
      </c>
      <c r="AG5" s="65">
        <v>53.7</v>
      </c>
      <c r="AH5" s="65">
        <v>47.9</v>
      </c>
      <c r="AI5" s="65">
        <v>50.7</v>
      </c>
      <c r="AJ5" s="65">
        <v>50.9</v>
      </c>
      <c r="AK5" s="65">
        <v>51.1</v>
      </c>
      <c r="AL5" s="65">
        <v>67</v>
      </c>
      <c r="AM5" s="65">
        <v>0.5</v>
      </c>
      <c r="AN5" s="65">
        <v>960</v>
      </c>
      <c r="AO5" s="65">
        <v>125.5</v>
      </c>
      <c r="AP5" s="65">
        <v>20</v>
      </c>
      <c r="AQ5" s="65">
        <v>20</v>
      </c>
      <c r="AR5" s="65">
        <v>70.7</v>
      </c>
      <c r="AS5" s="65">
        <v>26.51</v>
      </c>
      <c r="AT5" s="136">
        <f t="shared" si="2"/>
        <v>62.503536067892504</v>
      </c>
      <c r="AU5" s="143">
        <v>8.08</v>
      </c>
      <c r="AV5" s="65">
        <v>2.36</v>
      </c>
      <c r="AW5" s="65">
        <v>27.48</v>
      </c>
      <c r="AX5" s="65">
        <v>10</v>
      </c>
      <c r="AY5" s="143">
        <f t="shared" si="3"/>
        <v>47.92</v>
      </c>
      <c r="AZ5" s="143">
        <f t="shared" si="4"/>
        <v>2.3959999999999999</v>
      </c>
      <c r="BA5" s="143">
        <f t="shared" si="5"/>
        <v>6.2750000000000004</v>
      </c>
      <c r="BB5" s="143">
        <f t="shared" si="6"/>
        <v>0.37496463932107499</v>
      </c>
      <c r="BC5" s="144">
        <f t="shared" si="7"/>
        <v>359.96605374823201</v>
      </c>
      <c r="BD5" s="144">
        <f t="shared" si="8"/>
        <v>719.93210749646403</v>
      </c>
      <c r="BE5" s="143">
        <f t="shared" si="9"/>
        <v>0.1686143572621035</v>
      </c>
      <c r="BF5" s="143">
        <f t="shared" si="10"/>
        <v>4.9248747913188645E-2</v>
      </c>
      <c r="BG5" s="143">
        <f t="shared" si="11"/>
        <v>0.57345575959933226</v>
      </c>
      <c r="BH5" s="143">
        <f t="shared" si="12"/>
        <v>0.20868113522537562</v>
      </c>
      <c r="BI5" s="144">
        <f t="shared" si="13"/>
        <v>121.39088957786788</v>
      </c>
      <c r="BJ5" s="144">
        <f t="shared" si="14"/>
        <v>35.455754876703985</v>
      </c>
      <c r="BK5" s="144">
        <f t="shared" si="15"/>
        <v>412.8492135643329</v>
      </c>
      <c r="BL5" s="144">
        <f t="shared" si="16"/>
        <v>150.23624947755928</v>
      </c>
      <c r="BM5" s="144">
        <f t="shared" si="17"/>
        <v>1.4</v>
      </c>
      <c r="BN5" s="144">
        <f t="shared" si="18"/>
        <v>24.625</v>
      </c>
      <c r="BO5" s="144">
        <f t="shared" si="19"/>
        <v>43.5</v>
      </c>
      <c r="BP5" s="144">
        <f t="shared" si="20"/>
        <v>50.5</v>
      </c>
      <c r="BQ5" s="144">
        <f t="shared" si="21"/>
        <v>50.15</v>
      </c>
      <c r="BT5" s="32" t="s">
        <v>28</v>
      </c>
      <c r="BU5" s="104"/>
      <c r="BW5" s="32" t="s">
        <v>28</v>
      </c>
      <c r="BX5" s="104"/>
    </row>
    <row r="6" spans="1:77" x14ac:dyDescent="0.35">
      <c r="A6" s="122" t="s">
        <v>33</v>
      </c>
      <c r="B6" s="122" t="s">
        <v>29</v>
      </c>
      <c r="C6" s="122">
        <v>1</v>
      </c>
      <c r="D6" s="122">
        <v>4</v>
      </c>
      <c r="E6" s="122">
        <v>4</v>
      </c>
      <c r="F6" s="122">
        <v>404</v>
      </c>
      <c r="G6" s="65">
        <v>5</v>
      </c>
      <c r="H6" s="90">
        <v>45939</v>
      </c>
      <c r="I6" s="130">
        <v>0.52</v>
      </c>
      <c r="J6" s="133">
        <v>0.318</v>
      </c>
      <c r="K6" s="133">
        <v>0.40400000000000003</v>
      </c>
      <c r="L6" s="133">
        <v>0.57199999999999995</v>
      </c>
      <c r="M6" s="133">
        <v>0.61199999999999999</v>
      </c>
      <c r="N6" s="143">
        <f t="shared" si="1"/>
        <v>0.68199999999999994</v>
      </c>
      <c r="O6" s="143">
        <f t="shared" si="0"/>
        <v>0.59599999999999997</v>
      </c>
      <c r="P6" s="143">
        <f t="shared" si="0"/>
        <v>0.42800000000000005</v>
      </c>
      <c r="Q6" s="143">
        <f t="shared" si="0"/>
        <v>0.38800000000000001</v>
      </c>
      <c r="R6" s="65">
        <v>0</v>
      </c>
      <c r="S6" s="65">
        <v>0</v>
      </c>
      <c r="T6" s="65">
        <v>0</v>
      </c>
      <c r="U6" s="65">
        <v>0</v>
      </c>
      <c r="V6" s="65">
        <v>0.9</v>
      </c>
      <c r="W6" s="65">
        <v>0</v>
      </c>
      <c r="X6" s="65">
        <v>0</v>
      </c>
      <c r="Y6" s="65">
        <v>18.8</v>
      </c>
      <c r="Z6" s="65">
        <v>42.7</v>
      </c>
      <c r="AA6" s="65">
        <v>33.6</v>
      </c>
      <c r="AB6" s="65">
        <v>21.5</v>
      </c>
      <c r="AC6" s="65">
        <v>45</v>
      </c>
      <c r="AD6" s="65">
        <v>48.7</v>
      </c>
      <c r="AE6" s="65">
        <v>48.1</v>
      </c>
      <c r="AF6" s="65">
        <v>52.1</v>
      </c>
      <c r="AG6" s="65">
        <v>51.4</v>
      </c>
      <c r="AH6" s="65">
        <v>52.7</v>
      </c>
      <c r="AI6" s="65">
        <v>54.6</v>
      </c>
      <c r="AJ6" s="65">
        <v>51</v>
      </c>
      <c r="AK6" s="65">
        <v>48.3</v>
      </c>
      <c r="AL6" s="65">
        <v>53</v>
      </c>
      <c r="AM6" s="65">
        <v>0.5</v>
      </c>
      <c r="AN6" s="65">
        <v>949</v>
      </c>
      <c r="AO6" s="136">
        <v>72.900000000000006</v>
      </c>
      <c r="AP6" s="65">
        <v>20</v>
      </c>
      <c r="AQ6" s="65">
        <v>20</v>
      </c>
      <c r="AR6" s="136">
        <v>57.6</v>
      </c>
      <c r="AS6" s="65">
        <v>21.2</v>
      </c>
      <c r="AT6" s="136">
        <f t="shared" si="2"/>
        <v>63.19444444444445</v>
      </c>
      <c r="AU6" s="143">
        <v>6.24</v>
      </c>
      <c r="AV6" s="65">
        <v>2.4500000000000002</v>
      </c>
      <c r="AW6" s="65">
        <v>11.92</v>
      </c>
      <c r="AX6" s="65">
        <v>7.04</v>
      </c>
      <c r="AY6" s="143">
        <f t="shared" si="3"/>
        <v>27.65</v>
      </c>
      <c r="AZ6" s="143">
        <f t="shared" si="4"/>
        <v>1.3824999999999998</v>
      </c>
      <c r="BA6" s="143">
        <f t="shared" si="5"/>
        <v>3.6450000000000005</v>
      </c>
      <c r="BB6" s="143">
        <f t="shared" si="6"/>
        <v>0.36805555555555552</v>
      </c>
      <c r="BC6" s="144">
        <f t="shared" si="7"/>
        <v>349.28472222222217</v>
      </c>
      <c r="BD6" s="144">
        <f t="shared" si="8"/>
        <v>698.56944444444434</v>
      </c>
      <c r="BE6" s="143">
        <f t="shared" si="9"/>
        <v>0.22567811934900545</v>
      </c>
      <c r="BF6" s="143">
        <f t="shared" si="10"/>
        <v>8.8607594936708875E-2</v>
      </c>
      <c r="BG6" s="143">
        <f t="shared" si="11"/>
        <v>0.43110307414104887</v>
      </c>
      <c r="BH6" s="143">
        <f t="shared" si="12"/>
        <v>0.25461121157323691</v>
      </c>
      <c r="BI6" s="144">
        <f t="shared" si="13"/>
        <v>157.65183845690174</v>
      </c>
      <c r="BJ6" s="144">
        <f t="shared" si="14"/>
        <v>61.898558368495081</v>
      </c>
      <c r="BK6" s="144">
        <f t="shared" si="15"/>
        <v>301.15543500100461</v>
      </c>
      <c r="BL6" s="144">
        <f t="shared" si="16"/>
        <v>177.86361261804299</v>
      </c>
      <c r="BM6" s="144">
        <f t="shared" si="17"/>
        <v>0</v>
      </c>
      <c r="BN6" s="144">
        <f t="shared" si="18"/>
        <v>4.9249999999999998</v>
      </c>
      <c r="BO6" s="144">
        <f t="shared" si="19"/>
        <v>35.700000000000003</v>
      </c>
      <c r="BP6" s="144">
        <f t="shared" si="20"/>
        <v>50.075000000000003</v>
      </c>
      <c r="BQ6" s="144">
        <f t="shared" si="21"/>
        <v>51.650000000000006</v>
      </c>
      <c r="BT6" s="91" t="s">
        <v>32</v>
      </c>
      <c r="BU6" s="104">
        <v>59.215895397491821</v>
      </c>
      <c r="BW6" s="91" t="s">
        <v>32</v>
      </c>
      <c r="BX6" s="104">
        <v>3.329892240329102</v>
      </c>
      <c r="BY6">
        <f>BX6/2</f>
        <v>1.664946120164551</v>
      </c>
    </row>
    <row r="7" spans="1:77" x14ac:dyDescent="0.35">
      <c r="A7" s="122" t="s">
        <v>33</v>
      </c>
      <c r="B7" s="122" t="s">
        <v>35</v>
      </c>
      <c r="C7" s="122">
        <v>1</v>
      </c>
      <c r="D7" s="122">
        <v>3</v>
      </c>
      <c r="E7" s="122">
        <v>4</v>
      </c>
      <c r="F7" s="122">
        <v>304</v>
      </c>
      <c r="G7" s="65">
        <v>6</v>
      </c>
      <c r="H7" s="90">
        <v>45944</v>
      </c>
      <c r="I7" s="130">
        <v>0.5</v>
      </c>
      <c r="J7" s="132">
        <v>0.30449999999999999</v>
      </c>
      <c r="K7" s="132">
        <v>0.40649999999999997</v>
      </c>
      <c r="L7" s="132">
        <v>0.46150000000000002</v>
      </c>
      <c r="M7" s="132">
        <v>0.70750000000000002</v>
      </c>
      <c r="N7" s="143">
        <f t="shared" si="1"/>
        <v>0.69550000000000001</v>
      </c>
      <c r="O7" s="143">
        <f t="shared" si="0"/>
        <v>0.59350000000000003</v>
      </c>
      <c r="P7" s="143">
        <f t="shared" si="0"/>
        <v>0.53849999999999998</v>
      </c>
      <c r="Q7" s="143">
        <f t="shared" si="0"/>
        <v>0.29249999999999998</v>
      </c>
      <c r="R7" s="65">
        <v>0</v>
      </c>
      <c r="S7" s="65">
        <v>0</v>
      </c>
      <c r="T7" s="65">
        <v>0</v>
      </c>
      <c r="U7" s="65">
        <v>0</v>
      </c>
      <c r="V7" s="65">
        <v>7.8</v>
      </c>
      <c r="W7" s="65">
        <v>0</v>
      </c>
      <c r="X7" s="65">
        <v>36.700000000000003</v>
      </c>
      <c r="Y7" s="65">
        <v>12.8</v>
      </c>
      <c r="Z7" s="65">
        <v>37.799999999999997</v>
      </c>
      <c r="AA7" s="65">
        <v>8.6</v>
      </c>
      <c r="AB7" s="65">
        <v>45.4</v>
      </c>
      <c r="AC7" s="65">
        <v>34.4</v>
      </c>
      <c r="AD7" s="65">
        <v>53.7</v>
      </c>
      <c r="AE7" s="65">
        <v>48.9</v>
      </c>
      <c r="AF7" s="65">
        <v>54.1</v>
      </c>
      <c r="AG7" s="65">
        <v>52.9</v>
      </c>
      <c r="AH7" s="65">
        <v>45.8</v>
      </c>
      <c r="AI7" s="65">
        <v>50.5</v>
      </c>
      <c r="AJ7" s="65">
        <v>50.5</v>
      </c>
      <c r="AK7" s="65">
        <v>48.7</v>
      </c>
      <c r="AL7" s="65">
        <v>70</v>
      </c>
      <c r="AM7" s="65">
        <v>0.5</v>
      </c>
      <c r="AN7" s="65">
        <v>846</v>
      </c>
      <c r="AO7" s="65">
        <v>85.6</v>
      </c>
      <c r="AP7" s="65">
        <v>20</v>
      </c>
      <c r="AQ7" s="65">
        <v>18</v>
      </c>
      <c r="AR7" s="65">
        <v>79.8</v>
      </c>
      <c r="AS7" s="65">
        <v>33.04</v>
      </c>
      <c r="AT7" s="136">
        <f t="shared" si="2"/>
        <v>58.596491228070178</v>
      </c>
      <c r="AU7" s="143">
        <v>5.37</v>
      </c>
      <c r="AV7" s="65">
        <v>3.18</v>
      </c>
      <c r="AW7" s="65">
        <v>21.39</v>
      </c>
      <c r="AX7" s="65">
        <v>7.13</v>
      </c>
      <c r="AY7" s="143">
        <f t="shared" si="3"/>
        <v>37.07</v>
      </c>
      <c r="AZ7" s="143">
        <f t="shared" si="4"/>
        <v>2.0594444444444444</v>
      </c>
      <c r="BA7" s="143">
        <f t="shared" si="5"/>
        <v>4.7555555555555555</v>
      </c>
      <c r="BB7" s="143">
        <f t="shared" si="6"/>
        <v>0.41403508771929826</v>
      </c>
      <c r="BC7" s="144">
        <f t="shared" si="7"/>
        <v>350.27368421052631</v>
      </c>
      <c r="BD7" s="144">
        <f t="shared" si="8"/>
        <v>700.54736842105262</v>
      </c>
      <c r="BE7" s="143">
        <f t="shared" si="9"/>
        <v>0.14486107364445644</v>
      </c>
      <c r="BF7" s="143">
        <f t="shared" si="10"/>
        <v>8.578365254923119E-2</v>
      </c>
      <c r="BG7" s="143">
        <f t="shared" si="11"/>
        <v>0.57701645535473434</v>
      </c>
      <c r="BH7" s="143">
        <f t="shared" si="12"/>
        <v>0.1923388184515781</v>
      </c>
      <c r="BI7" s="144">
        <f t="shared" si="13"/>
        <v>101.48204392827226</v>
      </c>
      <c r="BJ7" s="144">
        <f t="shared" si="14"/>
        <v>60.095512046909832</v>
      </c>
      <c r="BK7" s="144">
        <f t="shared" si="15"/>
        <v>404.22735933440293</v>
      </c>
      <c r="BL7" s="144">
        <f t="shared" si="16"/>
        <v>134.74245311146763</v>
      </c>
      <c r="BM7" s="144">
        <f t="shared" si="17"/>
        <v>0</v>
      </c>
      <c r="BN7" s="144">
        <f t="shared" si="18"/>
        <v>14.324999999999999</v>
      </c>
      <c r="BO7" s="144">
        <f t="shared" si="19"/>
        <v>31.549999999999997</v>
      </c>
      <c r="BP7" s="144">
        <f t="shared" si="20"/>
        <v>52.4</v>
      </c>
      <c r="BQ7" s="144">
        <f t="shared" si="21"/>
        <v>48.875</v>
      </c>
      <c r="BT7" s="91" t="s">
        <v>31</v>
      </c>
      <c r="BU7" s="104">
        <v>59.378289510035415</v>
      </c>
      <c r="BW7" s="91" t="s">
        <v>31</v>
      </c>
      <c r="BX7" s="104">
        <v>2.2717694501808645</v>
      </c>
      <c r="BY7">
        <f t="shared" ref="BY7:BY14" si="22">BX7/2</f>
        <v>1.1358847250904323</v>
      </c>
    </row>
    <row r="8" spans="1:77" x14ac:dyDescent="0.35">
      <c r="A8" s="122" t="s">
        <v>33</v>
      </c>
      <c r="B8" s="122" t="s">
        <v>30</v>
      </c>
      <c r="C8" s="122">
        <v>1</v>
      </c>
      <c r="D8" s="122">
        <v>2</v>
      </c>
      <c r="E8" s="122">
        <v>4</v>
      </c>
      <c r="F8" s="122">
        <v>204</v>
      </c>
      <c r="G8" s="65">
        <v>7</v>
      </c>
      <c r="H8" s="90">
        <v>45939</v>
      </c>
      <c r="I8" s="130">
        <v>0.61</v>
      </c>
      <c r="J8" s="133">
        <v>0.189</v>
      </c>
      <c r="K8" s="133">
        <v>0.33100000000000002</v>
      </c>
      <c r="L8" s="133">
        <v>0.46100000000000002</v>
      </c>
      <c r="M8" s="133">
        <v>0.73799999999999999</v>
      </c>
      <c r="N8" s="143">
        <f t="shared" si="1"/>
        <v>0.81099999999999994</v>
      </c>
      <c r="O8" s="143">
        <f t="shared" si="0"/>
        <v>0.66900000000000004</v>
      </c>
      <c r="P8" s="143">
        <f t="shared" si="0"/>
        <v>0.53899999999999992</v>
      </c>
      <c r="Q8" s="143">
        <f t="shared" si="0"/>
        <v>0.26200000000000001</v>
      </c>
      <c r="R8" s="65">
        <v>0</v>
      </c>
      <c r="S8" s="65">
        <v>0</v>
      </c>
      <c r="T8" s="65">
        <v>0</v>
      </c>
      <c r="U8" s="65">
        <v>0</v>
      </c>
      <c r="V8" s="65">
        <v>2.1</v>
      </c>
      <c r="W8" s="65">
        <v>43.4</v>
      </c>
      <c r="X8" s="65">
        <v>30.1</v>
      </c>
      <c r="Y8" s="65">
        <v>11.3</v>
      </c>
      <c r="Z8" s="65">
        <v>15.7</v>
      </c>
      <c r="AA8" s="65">
        <v>31.3</v>
      </c>
      <c r="AB8" s="65">
        <v>55.1</v>
      </c>
      <c r="AC8" s="65">
        <v>48.6</v>
      </c>
      <c r="AD8" s="65">
        <v>58.8</v>
      </c>
      <c r="AE8" s="65">
        <v>57.5</v>
      </c>
      <c r="AF8" s="65">
        <v>58.1</v>
      </c>
      <c r="AG8" s="65">
        <v>53.3</v>
      </c>
      <c r="AH8" s="65">
        <v>56.9</v>
      </c>
      <c r="AI8" s="65">
        <v>52.4</v>
      </c>
      <c r="AJ8" s="65">
        <v>55.4</v>
      </c>
      <c r="AK8" s="65">
        <v>52.8</v>
      </c>
      <c r="AL8" s="65">
        <v>73</v>
      </c>
      <c r="AM8" s="65">
        <v>0.5</v>
      </c>
      <c r="AN8" s="65">
        <v>1056</v>
      </c>
      <c r="AO8" s="136">
        <v>74.2</v>
      </c>
      <c r="AP8" s="65">
        <v>20</v>
      </c>
      <c r="AQ8" s="65">
        <v>20</v>
      </c>
      <c r="AR8" s="136">
        <v>51.2</v>
      </c>
      <c r="AS8" s="65">
        <v>21.28</v>
      </c>
      <c r="AT8" s="136">
        <f t="shared" si="2"/>
        <v>58.4375</v>
      </c>
      <c r="AU8" s="143">
        <v>5.85</v>
      </c>
      <c r="AV8" s="65">
        <v>2.13</v>
      </c>
      <c r="AW8" s="65">
        <v>16.190000000000001</v>
      </c>
      <c r="AX8" s="65">
        <v>6.56</v>
      </c>
      <c r="AY8" s="143">
        <f t="shared" si="3"/>
        <v>30.73</v>
      </c>
      <c r="AZ8" s="143">
        <f t="shared" si="4"/>
        <v>1.5365</v>
      </c>
      <c r="BA8" s="143">
        <f t="shared" si="5"/>
        <v>3.71</v>
      </c>
      <c r="BB8" s="143">
        <f t="shared" si="6"/>
        <v>0.41562500000000002</v>
      </c>
      <c r="BC8" s="144">
        <f t="shared" si="7"/>
        <v>438.90000000000003</v>
      </c>
      <c r="BD8" s="144">
        <f t="shared" si="8"/>
        <v>877.80000000000007</v>
      </c>
      <c r="BE8" s="143">
        <f t="shared" si="9"/>
        <v>0.19036771884152293</v>
      </c>
      <c r="BF8" s="143">
        <f t="shared" si="10"/>
        <v>6.9313374552554499E-2</v>
      </c>
      <c r="BG8" s="143">
        <f t="shared" si="11"/>
        <v>0.52684672958021483</v>
      </c>
      <c r="BH8" s="143">
        <f t="shared" si="12"/>
        <v>0.21347217702570775</v>
      </c>
      <c r="BI8" s="144">
        <f t="shared" si="13"/>
        <v>167.10478359908885</v>
      </c>
      <c r="BJ8" s="144">
        <f t="shared" si="14"/>
        <v>60.843280182232341</v>
      </c>
      <c r="BK8" s="144">
        <f t="shared" si="15"/>
        <v>462.46605922551259</v>
      </c>
      <c r="BL8" s="144">
        <f t="shared" si="16"/>
        <v>187.38587699316628</v>
      </c>
      <c r="BM8" s="144">
        <f t="shared" si="17"/>
        <v>0</v>
      </c>
      <c r="BN8" s="144">
        <f t="shared" si="18"/>
        <v>21.724999999999998</v>
      </c>
      <c r="BO8" s="144">
        <f t="shared" si="19"/>
        <v>37.674999999999997</v>
      </c>
      <c r="BP8" s="144">
        <f t="shared" si="20"/>
        <v>56.924999999999997</v>
      </c>
      <c r="BQ8" s="144">
        <f t="shared" si="21"/>
        <v>54.375</v>
      </c>
      <c r="BT8" s="91" t="s">
        <v>29</v>
      </c>
      <c r="BU8" s="104">
        <v>65.282553985800703</v>
      </c>
      <c r="BW8" s="91" t="s">
        <v>29</v>
      </c>
      <c r="BX8" s="104">
        <v>2.0310526192570242</v>
      </c>
      <c r="BY8">
        <f t="shared" si="22"/>
        <v>1.0155263096285121</v>
      </c>
    </row>
    <row r="9" spans="1:77" x14ac:dyDescent="0.35">
      <c r="A9" s="122" t="s">
        <v>33</v>
      </c>
      <c r="B9" s="122" t="s">
        <v>34</v>
      </c>
      <c r="C9" s="122">
        <v>1</v>
      </c>
      <c r="D9" s="122">
        <v>1</v>
      </c>
      <c r="E9" s="122">
        <v>4</v>
      </c>
      <c r="F9" s="122">
        <v>104</v>
      </c>
      <c r="G9" s="65">
        <v>8</v>
      </c>
      <c r="H9" s="90">
        <v>45940</v>
      </c>
      <c r="I9" s="130">
        <v>0.67</v>
      </c>
      <c r="J9" s="132">
        <v>0.13550000000000001</v>
      </c>
      <c r="K9" s="132">
        <v>0.253</v>
      </c>
      <c r="L9" s="132">
        <v>0.47949999999999998</v>
      </c>
      <c r="M9" s="132">
        <v>0.74750000000000005</v>
      </c>
      <c r="N9" s="143">
        <f t="shared" si="1"/>
        <v>0.86450000000000005</v>
      </c>
      <c r="O9" s="143">
        <f t="shared" si="0"/>
        <v>0.747</v>
      </c>
      <c r="P9" s="143">
        <f t="shared" si="0"/>
        <v>0.52049999999999996</v>
      </c>
      <c r="Q9" s="143">
        <f t="shared" si="0"/>
        <v>0.25249999999999995</v>
      </c>
      <c r="R9" s="65">
        <v>0</v>
      </c>
      <c r="S9" s="65">
        <v>0</v>
      </c>
      <c r="T9" s="65">
        <v>0</v>
      </c>
      <c r="U9" s="65">
        <v>1.3</v>
      </c>
      <c r="V9" s="65">
        <v>1.5</v>
      </c>
      <c r="W9" s="65">
        <v>1.9</v>
      </c>
      <c r="X9" s="65">
        <v>0</v>
      </c>
      <c r="Y9" s="65">
        <v>42.9</v>
      </c>
      <c r="Z9" s="65">
        <v>49.6</v>
      </c>
      <c r="AA9" s="65">
        <v>41.2</v>
      </c>
      <c r="AB9" s="65">
        <v>4</v>
      </c>
      <c r="AC9" s="65">
        <v>52.2</v>
      </c>
      <c r="AD9" s="65">
        <v>54.7</v>
      </c>
      <c r="AE9" s="65">
        <v>50.5</v>
      </c>
      <c r="AF9" s="65">
        <v>52.8</v>
      </c>
      <c r="AG9" s="65">
        <v>46.7</v>
      </c>
      <c r="AH9" s="65">
        <v>49.9</v>
      </c>
      <c r="AI9" s="65">
        <v>49.1</v>
      </c>
      <c r="AJ9" s="65">
        <v>43.5</v>
      </c>
      <c r="AK9" s="65">
        <v>46.9</v>
      </c>
      <c r="AL9" s="65">
        <v>81</v>
      </c>
      <c r="AM9" s="65">
        <v>0.5</v>
      </c>
      <c r="AN9" s="65">
        <v>1500</v>
      </c>
      <c r="AO9" s="65">
        <v>159.5</v>
      </c>
      <c r="AP9" s="65">
        <v>20</v>
      </c>
      <c r="AQ9" s="65">
        <v>20</v>
      </c>
      <c r="AR9" s="65">
        <v>81.400000000000006</v>
      </c>
      <c r="AS9" s="65">
        <v>30.56</v>
      </c>
      <c r="AT9" s="136">
        <f t="shared" si="2"/>
        <v>62.457002457002453</v>
      </c>
      <c r="AU9" s="143">
        <v>9.02</v>
      </c>
      <c r="AV9" s="65">
        <v>2.1800000000000002</v>
      </c>
      <c r="AW9" s="65">
        <v>36.22</v>
      </c>
      <c r="AX9" s="65">
        <v>11.44</v>
      </c>
      <c r="AY9" s="143">
        <f t="shared" si="3"/>
        <v>58.86</v>
      </c>
      <c r="AZ9" s="143">
        <f t="shared" si="4"/>
        <v>2.9430000000000001</v>
      </c>
      <c r="BA9" s="143">
        <f t="shared" si="5"/>
        <v>7.9749999999999996</v>
      </c>
      <c r="BB9" s="143">
        <f t="shared" si="6"/>
        <v>0.37542997542997542</v>
      </c>
      <c r="BC9" s="144">
        <f t="shared" si="7"/>
        <v>563.14496314496307</v>
      </c>
      <c r="BD9" s="144">
        <f t="shared" si="8"/>
        <v>1126.2899262899261</v>
      </c>
      <c r="BE9" s="143">
        <f t="shared" si="9"/>
        <v>0.15324498810737341</v>
      </c>
      <c r="BF9" s="143">
        <f t="shared" si="10"/>
        <v>3.7037037037037042E-2</v>
      </c>
      <c r="BG9" s="143">
        <f t="shared" si="11"/>
        <v>0.61535847774379882</v>
      </c>
      <c r="BH9" s="143">
        <f t="shared" si="12"/>
        <v>0.19435949711179068</v>
      </c>
      <c r="BI9" s="144">
        <f t="shared" si="13"/>
        <v>172.59828635975421</v>
      </c>
      <c r="BJ9" s="144">
        <f t="shared" si="14"/>
        <v>41.714441714441712</v>
      </c>
      <c r="BK9" s="144">
        <f t="shared" si="15"/>
        <v>693.07205453994436</v>
      </c>
      <c r="BL9" s="144">
        <f t="shared" si="16"/>
        <v>218.90514367578584</v>
      </c>
      <c r="BM9" s="144">
        <f t="shared" si="17"/>
        <v>0.32500000000000001</v>
      </c>
      <c r="BN9" s="144">
        <f t="shared" si="18"/>
        <v>11.574999999999999</v>
      </c>
      <c r="BO9" s="144">
        <f t="shared" si="19"/>
        <v>36.75</v>
      </c>
      <c r="BP9" s="144">
        <f t="shared" si="20"/>
        <v>51.174999999999997</v>
      </c>
      <c r="BQ9" s="144">
        <f t="shared" si="21"/>
        <v>47.35</v>
      </c>
      <c r="BT9" s="91" t="s">
        <v>30</v>
      </c>
      <c r="BU9" s="104">
        <v>59.672058466724188</v>
      </c>
      <c r="BW9" s="91" t="s">
        <v>30</v>
      </c>
      <c r="BX9" s="104">
        <v>2.0572564183565696</v>
      </c>
      <c r="BY9">
        <f t="shared" si="22"/>
        <v>1.0286282091782848</v>
      </c>
    </row>
    <row r="10" spans="1:77" x14ac:dyDescent="0.35">
      <c r="A10" s="122" t="s">
        <v>28</v>
      </c>
      <c r="B10" s="122" t="s">
        <v>31</v>
      </c>
      <c r="C10" s="122">
        <v>2</v>
      </c>
      <c r="D10" s="122">
        <v>1</v>
      </c>
      <c r="E10" s="122">
        <v>6</v>
      </c>
      <c r="F10" s="122">
        <v>106</v>
      </c>
      <c r="G10" s="65">
        <v>9</v>
      </c>
      <c r="H10" s="90">
        <v>45937</v>
      </c>
      <c r="I10" s="130">
        <v>0.71</v>
      </c>
      <c r="J10" s="133">
        <v>4.2999999999999997E-2</v>
      </c>
      <c r="K10" s="133">
        <v>7.3999999999999996E-2</v>
      </c>
      <c r="L10" s="133">
        <v>0.09</v>
      </c>
      <c r="M10" s="133">
        <v>0.371</v>
      </c>
      <c r="N10" s="143">
        <f t="shared" si="1"/>
        <v>0.95699999999999996</v>
      </c>
      <c r="O10" s="143">
        <f t="shared" si="0"/>
        <v>0.92600000000000005</v>
      </c>
      <c r="P10" s="143">
        <f t="shared" si="0"/>
        <v>0.91</v>
      </c>
      <c r="Q10" s="143">
        <f t="shared" si="0"/>
        <v>0.629</v>
      </c>
      <c r="R10" s="65">
        <v>0</v>
      </c>
      <c r="S10" s="65">
        <v>0</v>
      </c>
      <c r="T10" s="65">
        <v>0</v>
      </c>
      <c r="U10" s="65">
        <v>0</v>
      </c>
      <c r="V10" s="65">
        <v>39.799999999999997</v>
      </c>
      <c r="W10" s="65">
        <v>0</v>
      </c>
      <c r="X10" s="65">
        <v>29</v>
      </c>
      <c r="Y10" s="65">
        <v>2.4</v>
      </c>
      <c r="Z10" s="65">
        <v>48.8</v>
      </c>
      <c r="AA10" s="65">
        <v>15.1</v>
      </c>
      <c r="AB10" s="65">
        <v>44.4</v>
      </c>
      <c r="AC10" s="65">
        <v>28.3</v>
      </c>
      <c r="AD10" s="65">
        <v>49.5</v>
      </c>
      <c r="AE10" s="65">
        <v>44.7</v>
      </c>
      <c r="AF10" s="65">
        <v>46.5</v>
      </c>
      <c r="AG10" s="65">
        <v>43.2</v>
      </c>
      <c r="AH10" s="65">
        <v>44.1</v>
      </c>
      <c r="AI10" s="65">
        <v>51.2</v>
      </c>
      <c r="AJ10" s="65">
        <v>45.9</v>
      </c>
      <c r="AK10" s="65">
        <v>43.1</v>
      </c>
      <c r="AL10" s="65">
        <v>80</v>
      </c>
      <c r="AM10" s="65">
        <v>0.5</v>
      </c>
      <c r="AN10" s="65">
        <v>1381</v>
      </c>
      <c r="AO10" s="136">
        <v>113.74</v>
      </c>
      <c r="AP10" s="65">
        <v>20</v>
      </c>
      <c r="AQ10" s="65">
        <v>17</v>
      </c>
      <c r="AR10" s="136">
        <v>72.599999999999994</v>
      </c>
      <c r="AS10" s="65">
        <v>29.59</v>
      </c>
      <c r="AT10" s="136">
        <f t="shared" si="2"/>
        <v>59.242424242424235</v>
      </c>
      <c r="AU10" s="143">
        <v>9.39</v>
      </c>
      <c r="AV10" s="65">
        <v>5.16</v>
      </c>
      <c r="AW10" s="65">
        <v>24.78</v>
      </c>
      <c r="AX10" s="65">
        <v>9.58</v>
      </c>
      <c r="AY10" s="143">
        <f t="shared" si="3"/>
        <v>48.91</v>
      </c>
      <c r="AZ10" s="143">
        <f t="shared" si="4"/>
        <v>2.8770588235294117</v>
      </c>
      <c r="BA10" s="143">
        <f t="shared" si="5"/>
        <v>6.6905882352941175</v>
      </c>
      <c r="BB10" s="143">
        <f t="shared" si="6"/>
        <v>0.40757575757575759</v>
      </c>
      <c r="BC10" s="144">
        <f t="shared" si="7"/>
        <v>562.86212121212122</v>
      </c>
      <c r="BD10" s="144">
        <f t="shared" si="8"/>
        <v>1125.7242424242424</v>
      </c>
      <c r="BE10" s="143">
        <f t="shared" si="9"/>
        <v>0.19198527908403193</v>
      </c>
      <c r="BF10" s="143">
        <f t="shared" si="10"/>
        <v>0.1054998977714169</v>
      </c>
      <c r="BG10" s="143">
        <f t="shared" si="11"/>
        <v>0.50664485790226954</v>
      </c>
      <c r="BH10" s="143">
        <f t="shared" si="12"/>
        <v>0.19586996524228176</v>
      </c>
      <c r="BI10" s="144">
        <f t="shared" si="13"/>
        <v>216.1224828534786</v>
      </c>
      <c r="BJ10" s="144">
        <f t="shared" si="14"/>
        <v>118.7637924945633</v>
      </c>
      <c r="BK10" s="144">
        <f t="shared" si="15"/>
        <v>570.34239884017029</v>
      </c>
      <c r="BL10" s="144">
        <f t="shared" si="16"/>
        <v>220.49556823603032</v>
      </c>
      <c r="BM10" s="144">
        <f t="shared" si="17"/>
        <v>0</v>
      </c>
      <c r="BN10" s="144">
        <f t="shared" si="18"/>
        <v>17.8</v>
      </c>
      <c r="BO10" s="144">
        <f t="shared" si="19"/>
        <v>34.15</v>
      </c>
      <c r="BP10" s="144">
        <f t="shared" si="20"/>
        <v>45.974999999999994</v>
      </c>
      <c r="BQ10" s="144">
        <f t="shared" si="21"/>
        <v>46.075000000000003</v>
      </c>
      <c r="BT10" s="32" t="s">
        <v>33</v>
      </c>
      <c r="BU10" s="104"/>
      <c r="BW10" s="32" t="s">
        <v>33</v>
      </c>
      <c r="BX10" s="104"/>
      <c r="BY10">
        <f t="shared" si="22"/>
        <v>0</v>
      </c>
    </row>
    <row r="11" spans="1:77" x14ac:dyDescent="0.35">
      <c r="A11" s="122" t="s">
        <v>28</v>
      </c>
      <c r="B11" s="122" t="s">
        <v>32</v>
      </c>
      <c r="C11" s="122">
        <v>2</v>
      </c>
      <c r="D11" s="122">
        <v>2</v>
      </c>
      <c r="E11" s="122">
        <v>6</v>
      </c>
      <c r="F11" s="122">
        <v>206</v>
      </c>
      <c r="G11" s="65">
        <v>10</v>
      </c>
      <c r="H11" s="90">
        <v>45944</v>
      </c>
      <c r="I11" s="130">
        <v>0.66</v>
      </c>
      <c r="J11" s="132">
        <v>0.16399999999999998</v>
      </c>
      <c r="K11" s="132">
        <v>0.11799999999999999</v>
      </c>
      <c r="L11" s="132">
        <v>0.29799999999999999</v>
      </c>
      <c r="M11" s="132">
        <v>0.71</v>
      </c>
      <c r="N11" s="143">
        <f t="shared" si="1"/>
        <v>0.83600000000000008</v>
      </c>
      <c r="O11" s="143">
        <f t="shared" si="0"/>
        <v>0.88200000000000001</v>
      </c>
      <c r="P11" s="143">
        <f t="shared" si="0"/>
        <v>0.70199999999999996</v>
      </c>
      <c r="Q11" s="143">
        <f t="shared" si="0"/>
        <v>0.29000000000000004</v>
      </c>
      <c r="R11" s="65">
        <v>0</v>
      </c>
      <c r="S11" s="65">
        <v>0</v>
      </c>
      <c r="T11" s="65">
        <v>0</v>
      </c>
      <c r="U11" s="65">
        <v>2.9</v>
      </c>
      <c r="V11" s="65">
        <v>31.2</v>
      </c>
      <c r="W11" s="65">
        <v>20.2</v>
      </c>
      <c r="X11" s="65">
        <v>0</v>
      </c>
      <c r="Y11" s="65">
        <v>29.9</v>
      </c>
      <c r="Z11" s="65">
        <v>55.8</v>
      </c>
      <c r="AA11" s="65">
        <v>50.6</v>
      </c>
      <c r="AB11" s="65">
        <v>25.2</v>
      </c>
      <c r="AC11" s="65">
        <v>47.5</v>
      </c>
      <c r="AD11" s="65">
        <v>52.5</v>
      </c>
      <c r="AE11" s="65">
        <v>52.5</v>
      </c>
      <c r="AF11" s="65">
        <v>51</v>
      </c>
      <c r="AG11" s="65">
        <v>56.2</v>
      </c>
      <c r="AH11" s="65">
        <v>50.8</v>
      </c>
      <c r="AI11" s="65">
        <v>47</v>
      </c>
      <c r="AJ11" s="65">
        <v>46.7</v>
      </c>
      <c r="AK11" s="65">
        <v>53.3</v>
      </c>
      <c r="AL11" s="65">
        <v>71</v>
      </c>
      <c r="AM11" s="65">
        <v>0.5</v>
      </c>
      <c r="AN11" s="65">
        <v>1118</v>
      </c>
      <c r="AO11" s="65">
        <v>97.8</v>
      </c>
      <c r="AP11" s="65">
        <v>20</v>
      </c>
      <c r="AQ11" s="65">
        <v>20</v>
      </c>
      <c r="AR11" s="65">
        <v>67.3</v>
      </c>
      <c r="AS11" s="65">
        <v>30.31</v>
      </c>
      <c r="AT11" s="136">
        <f t="shared" si="2"/>
        <v>54.962852897473994</v>
      </c>
      <c r="AU11" s="143">
        <v>6.25</v>
      </c>
      <c r="AV11" s="65">
        <v>4.05</v>
      </c>
      <c r="AW11" s="65">
        <v>23.24</v>
      </c>
      <c r="AX11" s="65">
        <v>8.1199999999999992</v>
      </c>
      <c r="AY11" s="143">
        <f t="shared" si="3"/>
        <v>41.66</v>
      </c>
      <c r="AZ11" s="143">
        <f t="shared" si="4"/>
        <v>2.0829999999999997</v>
      </c>
      <c r="BA11" s="143">
        <f t="shared" si="5"/>
        <v>4.8899999999999997</v>
      </c>
      <c r="BB11" s="143">
        <f t="shared" si="6"/>
        <v>0.45037147102526004</v>
      </c>
      <c r="BC11" s="144">
        <f t="shared" si="7"/>
        <v>503.5153046062407</v>
      </c>
      <c r="BD11" s="144">
        <f t="shared" si="8"/>
        <v>1007.0306092124814</v>
      </c>
      <c r="BE11" s="143">
        <f t="shared" si="9"/>
        <v>0.15002400384061451</v>
      </c>
      <c r="BF11" s="143">
        <f t="shared" si="10"/>
        <v>9.72155544887182E-2</v>
      </c>
      <c r="BG11" s="143">
        <f t="shared" si="11"/>
        <v>0.55784925588094092</v>
      </c>
      <c r="BH11" s="143">
        <f t="shared" si="12"/>
        <v>0.19491118578972635</v>
      </c>
      <c r="BI11" s="144">
        <f t="shared" si="13"/>
        <v>151.07876398410968</v>
      </c>
      <c r="BJ11" s="144">
        <f t="shared" si="14"/>
        <v>97.899039061703064</v>
      </c>
      <c r="BK11" s="144">
        <f t="shared" si="15"/>
        <v>561.77127599851337</v>
      </c>
      <c r="BL11" s="144">
        <f t="shared" si="16"/>
        <v>196.28153016815529</v>
      </c>
      <c r="BM11" s="144">
        <f t="shared" si="17"/>
        <v>0.72499999999999998</v>
      </c>
      <c r="BN11" s="144">
        <f t="shared" si="18"/>
        <v>20.324999999999999</v>
      </c>
      <c r="BO11" s="144">
        <f t="shared" si="19"/>
        <v>44.774999999999999</v>
      </c>
      <c r="BP11" s="144">
        <f t="shared" si="20"/>
        <v>53.05</v>
      </c>
      <c r="BQ11" s="144">
        <f t="shared" si="21"/>
        <v>49.45</v>
      </c>
      <c r="BT11" s="91" t="s">
        <v>35</v>
      </c>
      <c r="BU11" s="104">
        <v>58.190905814973362</v>
      </c>
      <c r="BW11" s="91" t="s">
        <v>35</v>
      </c>
      <c r="BX11" s="104">
        <v>2.3899714439932347</v>
      </c>
      <c r="BY11">
        <f t="shared" si="22"/>
        <v>1.1949857219966173</v>
      </c>
    </row>
    <row r="12" spans="1:77" x14ac:dyDescent="0.35">
      <c r="A12" s="122" t="s">
        <v>28</v>
      </c>
      <c r="B12" s="122" t="s">
        <v>30</v>
      </c>
      <c r="C12" s="122">
        <v>2</v>
      </c>
      <c r="D12" s="122">
        <v>3</v>
      </c>
      <c r="E12" s="122">
        <v>6</v>
      </c>
      <c r="F12" s="122">
        <v>306</v>
      </c>
      <c r="G12" s="65">
        <v>11</v>
      </c>
      <c r="H12" s="90">
        <v>45937</v>
      </c>
      <c r="I12" s="130">
        <v>0.52</v>
      </c>
      <c r="J12" s="133">
        <v>0.223</v>
      </c>
      <c r="K12" s="133">
        <v>0.29299999999999998</v>
      </c>
      <c r="L12" s="133">
        <v>0.34699999999999998</v>
      </c>
      <c r="M12" s="133">
        <v>0.64700000000000002</v>
      </c>
      <c r="N12" s="143">
        <f t="shared" si="1"/>
        <v>0.77700000000000002</v>
      </c>
      <c r="O12" s="143">
        <f t="shared" si="0"/>
        <v>0.70700000000000007</v>
      </c>
      <c r="P12" s="143">
        <f t="shared" si="0"/>
        <v>0.65300000000000002</v>
      </c>
      <c r="Q12" s="143">
        <f t="shared" si="0"/>
        <v>0.35299999999999998</v>
      </c>
      <c r="R12" s="65">
        <v>0</v>
      </c>
      <c r="S12" s="65">
        <v>0</v>
      </c>
      <c r="T12" s="65">
        <v>0</v>
      </c>
      <c r="U12" s="65">
        <v>0</v>
      </c>
      <c r="V12" s="65">
        <v>0</v>
      </c>
      <c r="W12" s="65">
        <v>0</v>
      </c>
      <c r="X12" s="65">
        <v>1.4</v>
      </c>
      <c r="Y12" s="65">
        <v>0</v>
      </c>
      <c r="Z12" s="65">
        <v>14.1</v>
      </c>
      <c r="AA12" s="65">
        <v>36.299999999999997</v>
      </c>
      <c r="AB12" s="65">
        <v>34.299999999999997</v>
      </c>
      <c r="AC12" s="65">
        <v>6.4</v>
      </c>
      <c r="AD12" s="65">
        <v>40.200000000000003</v>
      </c>
      <c r="AE12" s="65">
        <v>46.5</v>
      </c>
      <c r="AF12" s="65">
        <v>49.5</v>
      </c>
      <c r="AG12" s="65">
        <v>43</v>
      </c>
      <c r="AH12" s="65">
        <v>47</v>
      </c>
      <c r="AI12" s="65">
        <v>49.3</v>
      </c>
      <c r="AJ12" s="65">
        <v>49.1</v>
      </c>
      <c r="AK12" s="65">
        <v>50.7</v>
      </c>
      <c r="AL12" s="65">
        <v>82</v>
      </c>
      <c r="AM12" s="65">
        <v>0.5</v>
      </c>
      <c r="AN12" s="65">
        <v>1191</v>
      </c>
      <c r="AO12" s="136">
        <v>124.48</v>
      </c>
      <c r="AP12" s="65">
        <v>20</v>
      </c>
      <c r="AQ12" s="65">
        <v>20</v>
      </c>
      <c r="AR12" s="136">
        <v>96.47</v>
      </c>
      <c r="AS12" s="65">
        <v>37.67</v>
      </c>
      <c r="AT12" s="136">
        <f t="shared" si="2"/>
        <v>60.951591168238835</v>
      </c>
      <c r="AU12" s="143">
        <v>7.02</v>
      </c>
      <c r="AV12" s="65">
        <v>2.5099999999999998</v>
      </c>
      <c r="AW12" s="65">
        <v>30.47</v>
      </c>
      <c r="AX12" s="65">
        <v>11.56</v>
      </c>
      <c r="AY12" s="143">
        <f t="shared" si="3"/>
        <v>51.56</v>
      </c>
      <c r="AZ12" s="143">
        <f t="shared" si="4"/>
        <v>2.5780000000000003</v>
      </c>
      <c r="BA12" s="143">
        <f t="shared" si="5"/>
        <v>6.2240000000000002</v>
      </c>
      <c r="BB12" s="143">
        <f t="shared" si="6"/>
        <v>0.39048408831761172</v>
      </c>
      <c r="BC12" s="144">
        <f t="shared" si="7"/>
        <v>465.06654918627555</v>
      </c>
      <c r="BD12" s="144">
        <f t="shared" si="8"/>
        <v>930.1330983725511</v>
      </c>
      <c r="BE12" s="143">
        <f t="shared" si="9"/>
        <v>0.13615205585725368</v>
      </c>
      <c r="BF12" s="143">
        <f t="shared" si="10"/>
        <v>4.8681148176881295E-2</v>
      </c>
      <c r="BG12" s="143">
        <f t="shared" si="11"/>
        <v>0.5909619860356865</v>
      </c>
      <c r="BH12" s="143">
        <f t="shared" si="12"/>
        <v>0.22420480993017844</v>
      </c>
      <c r="BI12" s="144">
        <f t="shared" si="13"/>
        <v>126.63953356430001</v>
      </c>
      <c r="BJ12" s="144">
        <f t="shared" si="14"/>
        <v>45.279947186095868</v>
      </c>
      <c r="BK12" s="144">
        <f t="shared" si="15"/>
        <v>549.67330309176941</v>
      </c>
      <c r="BL12" s="144">
        <f t="shared" si="16"/>
        <v>208.54031453038579</v>
      </c>
      <c r="BM12" s="144">
        <f t="shared" si="17"/>
        <v>0</v>
      </c>
      <c r="BN12" s="144">
        <f t="shared" si="18"/>
        <v>0.35</v>
      </c>
      <c r="BO12" s="144">
        <f t="shared" si="19"/>
        <v>22.774999999999999</v>
      </c>
      <c r="BP12" s="144">
        <f t="shared" si="20"/>
        <v>44.8</v>
      </c>
      <c r="BQ12" s="144">
        <f t="shared" si="21"/>
        <v>49.025000000000006</v>
      </c>
      <c r="BT12" s="91" t="s">
        <v>34</v>
      </c>
      <c r="BU12" s="104">
        <v>63.119503938219438</v>
      </c>
      <c r="BW12" s="91" t="s">
        <v>34</v>
      </c>
      <c r="BX12" s="104">
        <v>1.8825516889123026</v>
      </c>
      <c r="BY12">
        <f t="shared" si="22"/>
        <v>0.94127584445615131</v>
      </c>
    </row>
    <row r="13" spans="1:77" x14ac:dyDescent="0.35">
      <c r="A13" s="122" t="s">
        <v>28</v>
      </c>
      <c r="B13" s="122" t="s">
        <v>29</v>
      </c>
      <c r="C13" s="122">
        <v>2</v>
      </c>
      <c r="D13" s="122">
        <v>4</v>
      </c>
      <c r="E13" s="122">
        <v>6</v>
      </c>
      <c r="F13" s="122">
        <v>406</v>
      </c>
      <c r="G13" s="65">
        <v>12</v>
      </c>
      <c r="H13" s="90">
        <v>45933</v>
      </c>
      <c r="I13" s="130">
        <v>0.56000000000000005</v>
      </c>
      <c r="J13" s="133">
        <v>0.22</v>
      </c>
      <c r="K13" s="133">
        <v>0.26700000000000002</v>
      </c>
      <c r="L13" s="133">
        <v>0.42699999999999999</v>
      </c>
      <c r="M13" s="133">
        <v>0.53300000000000003</v>
      </c>
      <c r="N13" s="143">
        <f t="shared" si="1"/>
        <v>0.78</v>
      </c>
      <c r="O13" s="143">
        <f t="shared" si="0"/>
        <v>0.73299999999999998</v>
      </c>
      <c r="P13" s="143">
        <f t="shared" si="0"/>
        <v>0.57299999999999995</v>
      </c>
      <c r="Q13" s="143">
        <f t="shared" si="0"/>
        <v>0.46699999999999997</v>
      </c>
      <c r="R13" s="65">
        <v>2.4</v>
      </c>
      <c r="S13" s="65">
        <v>0</v>
      </c>
      <c r="T13" s="65">
        <v>1.3</v>
      </c>
      <c r="U13" s="65">
        <v>0</v>
      </c>
      <c r="V13" s="65">
        <v>15.2</v>
      </c>
      <c r="W13" s="65">
        <v>6.8</v>
      </c>
      <c r="X13" s="65">
        <v>42.6</v>
      </c>
      <c r="Y13" s="65">
        <v>7.9</v>
      </c>
      <c r="Z13" s="65">
        <v>37.5</v>
      </c>
      <c r="AA13" s="65">
        <v>43.4</v>
      </c>
      <c r="AB13" s="65">
        <v>48.6</v>
      </c>
      <c r="AC13" s="65">
        <v>41.3</v>
      </c>
      <c r="AD13" s="65">
        <v>47.9</v>
      </c>
      <c r="AE13" s="65">
        <v>42.3</v>
      </c>
      <c r="AF13" s="65">
        <v>48</v>
      </c>
      <c r="AG13" s="65">
        <v>52.9</v>
      </c>
      <c r="AH13" s="65">
        <v>47.6</v>
      </c>
      <c r="AI13" s="65">
        <v>52.8</v>
      </c>
      <c r="AJ13" s="65">
        <v>50.3</v>
      </c>
      <c r="AK13" s="65">
        <v>52.5</v>
      </c>
      <c r="AL13" s="65">
        <v>67</v>
      </c>
      <c r="AM13" s="65">
        <v>0.5</v>
      </c>
      <c r="AN13" s="65">
        <v>1398</v>
      </c>
      <c r="AO13" s="136">
        <v>150.19999999999999</v>
      </c>
      <c r="AP13" s="65">
        <v>20</v>
      </c>
      <c r="AQ13" s="65">
        <v>19</v>
      </c>
      <c r="AR13" s="136">
        <v>85.4</v>
      </c>
      <c r="AS13" s="65">
        <v>29.76</v>
      </c>
      <c r="AT13" s="136">
        <f t="shared" si="2"/>
        <v>65.152224824355969</v>
      </c>
      <c r="AU13" s="143">
        <v>10.54</v>
      </c>
      <c r="AV13" s="65">
        <v>2.4500000000000002</v>
      </c>
      <c r="AW13" s="65">
        <v>28.5</v>
      </c>
      <c r="AX13" s="65">
        <v>12.55</v>
      </c>
      <c r="AY13" s="143">
        <f t="shared" si="3"/>
        <v>54.039999999999992</v>
      </c>
      <c r="AZ13" s="143">
        <f t="shared" si="4"/>
        <v>2.8442105263157891</v>
      </c>
      <c r="BA13" s="143">
        <f t="shared" si="5"/>
        <v>7.9052631578947361</v>
      </c>
      <c r="BB13" s="143">
        <f t="shared" si="6"/>
        <v>0.3484777517564403</v>
      </c>
      <c r="BC13" s="144">
        <f t="shared" si="7"/>
        <v>487.17189695550354</v>
      </c>
      <c r="BD13" s="144">
        <f t="shared" si="8"/>
        <v>974.34379391100708</v>
      </c>
      <c r="BE13" s="143">
        <f t="shared" si="9"/>
        <v>0.19504071058475206</v>
      </c>
      <c r="BF13" s="143">
        <f t="shared" si="10"/>
        <v>4.5336787564766848E-2</v>
      </c>
      <c r="BG13" s="143">
        <f t="shared" si="11"/>
        <v>0.52738712065136939</v>
      </c>
      <c r="BH13" s="143">
        <f t="shared" si="12"/>
        <v>0.23223538119911183</v>
      </c>
      <c r="BI13" s="144">
        <f t="shared" si="13"/>
        <v>190.03670591824604</v>
      </c>
      <c r="BJ13" s="144">
        <f t="shared" si="14"/>
        <v>44.173617599592298</v>
      </c>
      <c r="BK13" s="144">
        <f t="shared" si="15"/>
        <v>513.8563679952573</v>
      </c>
      <c r="BL13" s="144">
        <f t="shared" si="16"/>
        <v>226.27710239791159</v>
      </c>
      <c r="BM13" s="144">
        <f t="shared" si="17"/>
        <v>0.92500000000000004</v>
      </c>
      <c r="BN13" s="144">
        <f t="shared" si="18"/>
        <v>18.125</v>
      </c>
      <c r="BO13" s="144">
        <f t="shared" si="19"/>
        <v>42.7</v>
      </c>
      <c r="BP13" s="144">
        <f t="shared" si="20"/>
        <v>47.774999999999999</v>
      </c>
      <c r="BQ13" s="144">
        <f t="shared" si="21"/>
        <v>50.8</v>
      </c>
      <c r="BT13" s="91" t="s">
        <v>29</v>
      </c>
      <c r="BU13" s="104">
        <v>64.897959306117286</v>
      </c>
      <c r="BW13" s="91" t="s">
        <v>29</v>
      </c>
      <c r="BX13" s="104">
        <v>1.4232900064243941</v>
      </c>
      <c r="BY13">
        <f t="shared" si="22"/>
        <v>0.71164500321219704</v>
      </c>
    </row>
    <row r="14" spans="1:77" x14ac:dyDescent="0.35">
      <c r="A14" s="122" t="s">
        <v>33</v>
      </c>
      <c r="B14" s="122" t="s">
        <v>34</v>
      </c>
      <c r="C14" s="122">
        <v>2</v>
      </c>
      <c r="D14" s="122">
        <v>4</v>
      </c>
      <c r="E14" s="122">
        <v>8</v>
      </c>
      <c r="F14" s="122">
        <v>408</v>
      </c>
      <c r="G14" s="65">
        <v>13</v>
      </c>
      <c r="H14" s="90">
        <v>45940</v>
      </c>
      <c r="I14" s="130">
        <v>0.64</v>
      </c>
      <c r="J14" s="132">
        <v>0.24399999999999999</v>
      </c>
      <c r="K14" s="132">
        <v>0.32450000000000001</v>
      </c>
      <c r="L14" s="132">
        <v>0.51350000000000007</v>
      </c>
      <c r="M14" s="132">
        <v>0.76800000000000002</v>
      </c>
      <c r="N14" s="143">
        <f t="shared" si="1"/>
        <v>0.75600000000000001</v>
      </c>
      <c r="O14" s="143">
        <f t="shared" si="0"/>
        <v>0.67549999999999999</v>
      </c>
      <c r="P14" s="143">
        <f t="shared" si="0"/>
        <v>0.48649999999999993</v>
      </c>
      <c r="Q14" s="143">
        <f t="shared" si="0"/>
        <v>0.23199999999999998</v>
      </c>
      <c r="R14" s="65">
        <v>0</v>
      </c>
      <c r="S14" s="65">
        <v>0</v>
      </c>
      <c r="T14" s="65">
        <v>0</v>
      </c>
      <c r="U14" s="65">
        <v>0</v>
      </c>
      <c r="V14" s="65">
        <v>0</v>
      </c>
      <c r="W14" s="65">
        <v>0</v>
      </c>
      <c r="X14" s="65">
        <v>1.9</v>
      </c>
      <c r="Y14" s="65">
        <v>0</v>
      </c>
      <c r="Z14" s="65">
        <v>9.3000000000000007</v>
      </c>
      <c r="AA14" s="65">
        <v>11.9</v>
      </c>
      <c r="AB14" s="65">
        <v>48.3</v>
      </c>
      <c r="AC14" s="65">
        <v>27.3</v>
      </c>
      <c r="AD14" s="65">
        <v>50.7</v>
      </c>
      <c r="AE14" s="65">
        <v>51.9</v>
      </c>
      <c r="AF14" s="65">
        <v>46.8</v>
      </c>
      <c r="AG14" s="65">
        <v>50.1</v>
      </c>
      <c r="AH14" s="65">
        <v>45.1</v>
      </c>
      <c r="AI14" s="65">
        <v>47.1</v>
      </c>
      <c r="AJ14" s="65">
        <v>47.6</v>
      </c>
      <c r="AK14" s="65">
        <v>49.6</v>
      </c>
      <c r="AL14" s="65">
        <v>78</v>
      </c>
      <c r="AM14" s="65">
        <v>0.5</v>
      </c>
      <c r="AN14" s="65">
        <v>1191</v>
      </c>
      <c r="AO14" s="65">
        <v>137.30000000000001</v>
      </c>
      <c r="AP14" s="65">
        <v>20</v>
      </c>
      <c r="AQ14" s="65">
        <v>20</v>
      </c>
      <c r="AR14" s="65">
        <v>69.599999999999994</v>
      </c>
      <c r="AS14" s="65">
        <v>26.57</v>
      </c>
      <c r="AT14" s="136">
        <f t="shared" si="2"/>
        <v>61.824712643678154</v>
      </c>
      <c r="AU14" s="143">
        <v>8.4499999999999993</v>
      </c>
      <c r="AV14" s="65">
        <v>2.4500000000000002</v>
      </c>
      <c r="AW14" s="65">
        <v>32.28</v>
      </c>
      <c r="AX14" s="65">
        <v>11.85</v>
      </c>
      <c r="AY14" s="143">
        <f t="shared" si="3"/>
        <v>55.03</v>
      </c>
      <c r="AZ14" s="143">
        <f t="shared" si="4"/>
        <v>2.7515000000000001</v>
      </c>
      <c r="BA14" s="143">
        <f t="shared" si="5"/>
        <v>6.8650000000000002</v>
      </c>
      <c r="BB14" s="143">
        <f t="shared" si="6"/>
        <v>0.38175287356321841</v>
      </c>
      <c r="BC14" s="144">
        <f t="shared" si="7"/>
        <v>454.66767241379313</v>
      </c>
      <c r="BD14" s="144">
        <f t="shared" si="8"/>
        <v>909.33534482758625</v>
      </c>
      <c r="BE14" s="143">
        <f t="shared" si="9"/>
        <v>0.15355260766854442</v>
      </c>
      <c r="BF14" s="143">
        <f t="shared" si="10"/>
        <v>4.4521170270761405E-2</v>
      </c>
      <c r="BG14" s="143">
        <f t="shared" si="11"/>
        <v>0.58658913320007267</v>
      </c>
      <c r="BH14" s="143">
        <f t="shared" si="12"/>
        <v>0.21533708886062147</v>
      </c>
      <c r="BI14" s="144">
        <f t="shared" si="13"/>
        <v>139.6308134434509</v>
      </c>
      <c r="BJ14" s="144">
        <f t="shared" si="14"/>
        <v>40.484673720290502</v>
      </c>
      <c r="BK14" s="144">
        <f t="shared" si="15"/>
        <v>533.40623171060304</v>
      </c>
      <c r="BL14" s="144">
        <f t="shared" si="16"/>
        <v>195.8136259532418</v>
      </c>
      <c r="BM14" s="144">
        <f t="shared" si="17"/>
        <v>0</v>
      </c>
      <c r="BN14" s="144">
        <f t="shared" si="18"/>
        <v>0.47499999999999998</v>
      </c>
      <c r="BO14" s="144">
        <f t="shared" si="19"/>
        <v>24.2</v>
      </c>
      <c r="BP14" s="144">
        <f t="shared" si="20"/>
        <v>49.874999999999993</v>
      </c>
      <c r="BQ14" s="144">
        <f t="shared" si="21"/>
        <v>47.35</v>
      </c>
      <c r="BT14" s="91" t="s">
        <v>30</v>
      </c>
      <c r="BU14" s="104">
        <v>63.277280384447991</v>
      </c>
      <c r="BW14" s="91" t="s">
        <v>30</v>
      </c>
      <c r="BX14" s="104">
        <v>4.4876058918417376</v>
      </c>
      <c r="BY14">
        <f t="shared" si="22"/>
        <v>2.2438029459208688</v>
      </c>
    </row>
    <row r="15" spans="1:77" x14ac:dyDescent="0.35">
      <c r="A15" s="122" t="s">
        <v>33</v>
      </c>
      <c r="B15" s="122" t="s">
        <v>30</v>
      </c>
      <c r="C15" s="122">
        <v>2</v>
      </c>
      <c r="D15" s="122">
        <v>3</v>
      </c>
      <c r="E15" s="122">
        <v>8</v>
      </c>
      <c r="F15" s="122">
        <v>308</v>
      </c>
      <c r="G15" s="65">
        <v>14</v>
      </c>
      <c r="H15" s="90">
        <v>45939</v>
      </c>
      <c r="I15" s="130">
        <v>0.55000000000000004</v>
      </c>
      <c r="J15" s="133">
        <v>0.28299999999999997</v>
      </c>
      <c r="K15" s="133">
        <v>0.36599999999999999</v>
      </c>
      <c r="L15" s="133">
        <v>0.55200000000000005</v>
      </c>
      <c r="M15" s="133">
        <v>0.74</v>
      </c>
      <c r="N15" s="143">
        <f t="shared" si="1"/>
        <v>0.71700000000000008</v>
      </c>
      <c r="O15" s="143">
        <f t="shared" si="0"/>
        <v>0.63400000000000001</v>
      </c>
      <c r="P15" s="143">
        <f t="shared" si="0"/>
        <v>0.44799999999999995</v>
      </c>
      <c r="Q15" s="143">
        <f t="shared" si="0"/>
        <v>0.26</v>
      </c>
      <c r="R15" s="65">
        <v>0</v>
      </c>
      <c r="S15" s="65">
        <v>0</v>
      </c>
      <c r="T15" s="65">
        <v>5.5</v>
      </c>
      <c r="U15" s="65">
        <v>0</v>
      </c>
      <c r="V15" s="65">
        <v>14.5</v>
      </c>
      <c r="W15" s="65">
        <v>0</v>
      </c>
      <c r="X15" s="65">
        <v>29.7</v>
      </c>
      <c r="Y15" s="65">
        <v>20.8</v>
      </c>
      <c r="Z15" s="65">
        <v>50.5</v>
      </c>
      <c r="AA15" s="65">
        <v>34.700000000000003</v>
      </c>
      <c r="AB15" s="65">
        <v>53.3</v>
      </c>
      <c r="AC15" s="65">
        <v>36.1</v>
      </c>
      <c r="AD15" s="65">
        <v>54.6</v>
      </c>
      <c r="AE15" s="65">
        <v>52.9</v>
      </c>
      <c r="AF15" s="65">
        <v>58.9</v>
      </c>
      <c r="AG15" s="65">
        <v>57.2</v>
      </c>
      <c r="AH15" s="65">
        <v>51.8</v>
      </c>
      <c r="AI15" s="65">
        <v>51.3</v>
      </c>
      <c r="AJ15" s="65">
        <v>46.9</v>
      </c>
      <c r="AK15" s="65">
        <v>56.8</v>
      </c>
      <c r="AL15" s="65">
        <v>65</v>
      </c>
      <c r="AM15" s="65">
        <v>0.5</v>
      </c>
      <c r="AN15" s="65">
        <v>858</v>
      </c>
      <c r="AO15" s="136">
        <v>112.7</v>
      </c>
      <c r="AP15" s="65">
        <v>20</v>
      </c>
      <c r="AQ15" s="65">
        <v>20</v>
      </c>
      <c r="AR15" s="136">
        <v>78.099999999999994</v>
      </c>
      <c r="AS15" s="65">
        <v>27.91</v>
      </c>
      <c r="AT15" s="136">
        <f t="shared" si="2"/>
        <v>64.263764404609475</v>
      </c>
      <c r="AU15" s="143">
        <v>9</v>
      </c>
      <c r="AV15" s="65">
        <v>1.34</v>
      </c>
      <c r="AW15" s="65">
        <v>20.23</v>
      </c>
      <c r="AX15" s="65">
        <v>9.16</v>
      </c>
      <c r="AY15" s="143">
        <f t="shared" si="3"/>
        <v>39.730000000000004</v>
      </c>
      <c r="AZ15" s="143">
        <f t="shared" si="4"/>
        <v>1.9865000000000002</v>
      </c>
      <c r="BA15" s="143">
        <f t="shared" si="5"/>
        <v>5.6349999999999998</v>
      </c>
      <c r="BB15" s="143">
        <f t="shared" si="6"/>
        <v>0.35736235595390525</v>
      </c>
      <c r="BC15" s="144">
        <f t="shared" si="7"/>
        <v>306.6169014084507</v>
      </c>
      <c r="BD15" s="144">
        <f t="shared" si="8"/>
        <v>613.2338028169014</v>
      </c>
      <c r="BE15" s="143">
        <f t="shared" si="9"/>
        <v>0.22652907123080793</v>
      </c>
      <c r="BF15" s="143">
        <f t="shared" si="10"/>
        <v>3.3727661716586962E-2</v>
      </c>
      <c r="BG15" s="143">
        <f t="shared" si="11"/>
        <v>0.50918701233324937</v>
      </c>
      <c r="BH15" s="143">
        <f t="shared" si="12"/>
        <v>0.23055625471935562</v>
      </c>
      <c r="BI15" s="144">
        <f t="shared" si="13"/>
        <v>138.91528379944907</v>
      </c>
      <c r="BJ15" s="144">
        <f t="shared" si="14"/>
        <v>20.682942254584642</v>
      </c>
      <c r="BK15" s="144">
        <f t="shared" si="15"/>
        <v>312.25068791809497</v>
      </c>
      <c r="BL15" s="144">
        <f t="shared" si="16"/>
        <v>141.3848888447726</v>
      </c>
      <c r="BM15" s="144">
        <f t="shared" si="17"/>
        <v>1.375</v>
      </c>
      <c r="BN15" s="144">
        <f t="shared" si="18"/>
        <v>16.25</v>
      </c>
      <c r="BO15" s="144">
        <f t="shared" si="19"/>
        <v>43.65</v>
      </c>
      <c r="BP15" s="144">
        <f t="shared" si="20"/>
        <v>55.900000000000006</v>
      </c>
      <c r="BQ15" s="144">
        <f t="shared" si="21"/>
        <v>51.7</v>
      </c>
      <c r="BT15" s="32" t="s">
        <v>434</v>
      </c>
      <c r="BU15" s="104"/>
      <c r="BW15" s="32" t="s">
        <v>434</v>
      </c>
      <c r="BX15" s="104"/>
    </row>
    <row r="16" spans="1:77" x14ac:dyDescent="0.35">
      <c r="A16" s="122" t="s">
        <v>33</v>
      </c>
      <c r="B16" s="122" t="s">
        <v>29</v>
      </c>
      <c r="C16" s="122">
        <v>2</v>
      </c>
      <c r="D16" s="122">
        <v>2</v>
      </c>
      <c r="E16" s="122">
        <v>8</v>
      </c>
      <c r="F16" s="122">
        <v>208</v>
      </c>
      <c r="G16" s="65">
        <v>15</v>
      </c>
      <c r="H16" s="90">
        <v>45939</v>
      </c>
      <c r="I16" s="130">
        <v>0.67</v>
      </c>
      <c r="J16" s="133">
        <v>0.22700000000000001</v>
      </c>
      <c r="K16" s="133">
        <v>0.20699999999999999</v>
      </c>
      <c r="L16" s="133">
        <v>0.317</v>
      </c>
      <c r="M16" s="133">
        <v>0.438</v>
      </c>
      <c r="N16" s="143">
        <f t="shared" si="1"/>
        <v>0.77300000000000002</v>
      </c>
      <c r="O16" s="143">
        <f t="shared" si="0"/>
        <v>0.79300000000000004</v>
      </c>
      <c r="P16" s="143">
        <f t="shared" si="0"/>
        <v>0.68300000000000005</v>
      </c>
      <c r="Q16" s="143">
        <f t="shared" si="0"/>
        <v>0.56200000000000006</v>
      </c>
      <c r="R16" s="65">
        <v>0</v>
      </c>
      <c r="S16" s="65">
        <v>0</v>
      </c>
      <c r="T16" s="65">
        <v>0</v>
      </c>
      <c r="U16" s="65">
        <v>0</v>
      </c>
      <c r="V16" s="65">
        <v>12.7</v>
      </c>
      <c r="W16" s="65">
        <v>36.799999999999997</v>
      </c>
      <c r="X16" s="65">
        <v>25.7</v>
      </c>
      <c r="Y16" s="65">
        <v>0.8</v>
      </c>
      <c r="Z16" s="65">
        <v>45</v>
      </c>
      <c r="AA16" s="65">
        <v>51.2</v>
      </c>
      <c r="AB16" s="65">
        <v>51.5</v>
      </c>
      <c r="AC16" s="65">
        <v>27.9</v>
      </c>
      <c r="AD16" s="65">
        <v>54.2</v>
      </c>
      <c r="AE16" s="65">
        <v>57.3</v>
      </c>
      <c r="AF16" s="65">
        <v>54.2</v>
      </c>
      <c r="AG16" s="65">
        <v>49.6</v>
      </c>
      <c r="AH16" s="65">
        <v>57.4</v>
      </c>
      <c r="AI16" s="65">
        <v>54.6</v>
      </c>
      <c r="AJ16" s="65">
        <v>52.1</v>
      </c>
      <c r="AK16" s="65">
        <v>54.9</v>
      </c>
      <c r="AL16" s="65">
        <v>62</v>
      </c>
      <c r="AM16" s="65">
        <v>0.5</v>
      </c>
      <c r="AN16" s="65">
        <v>1246</v>
      </c>
      <c r="AO16" s="136">
        <v>101.8</v>
      </c>
      <c r="AP16" s="65">
        <v>20</v>
      </c>
      <c r="AQ16" s="65">
        <v>20</v>
      </c>
      <c r="AR16" s="136">
        <v>60.78</v>
      </c>
      <c r="AS16" s="65">
        <v>21.62</v>
      </c>
      <c r="AT16" s="136">
        <f t="shared" si="2"/>
        <v>64.429088515959194</v>
      </c>
      <c r="AU16" s="143">
        <v>8.15</v>
      </c>
      <c r="AV16" s="65">
        <v>2.5099999999999998</v>
      </c>
      <c r="AW16" s="65">
        <v>16.32</v>
      </c>
      <c r="AX16" s="65">
        <v>9.2100000000000009</v>
      </c>
      <c r="AY16" s="143">
        <f t="shared" si="3"/>
        <v>36.19</v>
      </c>
      <c r="AZ16" s="143">
        <f t="shared" si="4"/>
        <v>1.8094999999999999</v>
      </c>
      <c r="BA16" s="143">
        <f t="shared" si="5"/>
        <v>5.09</v>
      </c>
      <c r="BB16" s="143">
        <f t="shared" si="6"/>
        <v>0.35570911484040801</v>
      </c>
      <c r="BC16" s="144">
        <f t="shared" si="7"/>
        <v>443.2135570911484</v>
      </c>
      <c r="BD16" s="144">
        <f t="shared" si="8"/>
        <v>886.4271141822968</v>
      </c>
      <c r="BE16" s="143">
        <f t="shared" si="9"/>
        <v>0.22520033158331032</v>
      </c>
      <c r="BF16" s="143">
        <f t="shared" si="10"/>
        <v>6.9356175739154466E-2</v>
      </c>
      <c r="BG16" s="143">
        <f t="shared" si="11"/>
        <v>0.45095330201713185</v>
      </c>
      <c r="BH16" s="143">
        <f t="shared" si="12"/>
        <v>0.25449019066040346</v>
      </c>
      <c r="BI16" s="144">
        <f t="shared" si="13"/>
        <v>199.62368003829013</v>
      </c>
      <c r="BJ16" s="144">
        <f t="shared" si="14"/>
        <v>61.47919471117892</v>
      </c>
      <c r="BK16" s="144">
        <f t="shared" si="15"/>
        <v>399.73723413802389</v>
      </c>
      <c r="BL16" s="144">
        <f t="shared" si="16"/>
        <v>225.58700529480393</v>
      </c>
      <c r="BM16" s="144">
        <f t="shared" si="17"/>
        <v>0</v>
      </c>
      <c r="BN16" s="144">
        <f t="shared" si="18"/>
        <v>19</v>
      </c>
      <c r="BO16" s="144">
        <f t="shared" si="19"/>
        <v>43.9</v>
      </c>
      <c r="BP16" s="144">
        <f t="shared" si="20"/>
        <v>53.824999999999996</v>
      </c>
      <c r="BQ16" s="144">
        <f t="shared" si="21"/>
        <v>54.75</v>
      </c>
      <c r="BT16" s="91" t="s">
        <v>434</v>
      </c>
      <c r="BU16" s="104"/>
      <c r="BW16" s="91" t="s">
        <v>434</v>
      </c>
      <c r="BX16" s="104"/>
    </row>
    <row r="17" spans="1:76" x14ac:dyDescent="0.35">
      <c r="A17" s="122" t="s">
        <v>33</v>
      </c>
      <c r="B17" s="122" t="s">
        <v>35</v>
      </c>
      <c r="C17" s="122">
        <v>2</v>
      </c>
      <c r="D17" s="122">
        <v>1</v>
      </c>
      <c r="E17" s="122">
        <v>8</v>
      </c>
      <c r="F17" s="122">
        <v>108</v>
      </c>
      <c r="G17" s="65">
        <v>16</v>
      </c>
      <c r="H17" s="90">
        <v>45944</v>
      </c>
      <c r="I17" s="130">
        <v>0.67</v>
      </c>
      <c r="J17" s="132">
        <v>0.13600000000000001</v>
      </c>
      <c r="K17" s="132">
        <v>0.216</v>
      </c>
      <c r="L17" s="132">
        <v>0.45500000000000002</v>
      </c>
      <c r="M17" s="132">
        <v>0.51700000000000002</v>
      </c>
      <c r="N17" s="143">
        <f t="shared" si="1"/>
        <v>0.86399999999999999</v>
      </c>
      <c r="O17" s="143">
        <f t="shared" si="0"/>
        <v>0.78400000000000003</v>
      </c>
      <c r="P17" s="143">
        <f t="shared" si="0"/>
        <v>0.54499999999999993</v>
      </c>
      <c r="Q17" s="143">
        <f t="shared" si="0"/>
        <v>0.48299999999999998</v>
      </c>
      <c r="R17" s="65">
        <v>0</v>
      </c>
      <c r="S17" s="65">
        <v>0</v>
      </c>
      <c r="T17" s="65">
        <v>0</v>
      </c>
      <c r="U17" s="65">
        <v>0</v>
      </c>
      <c r="V17" s="65">
        <v>0</v>
      </c>
      <c r="W17" s="65">
        <v>5.0999999999999996</v>
      </c>
      <c r="X17" s="65">
        <v>12.2</v>
      </c>
      <c r="Y17" s="65">
        <v>0</v>
      </c>
      <c r="Z17" s="65">
        <v>15.8</v>
      </c>
      <c r="AA17" s="65">
        <v>49.2</v>
      </c>
      <c r="AB17" s="65">
        <v>46.7</v>
      </c>
      <c r="AC17" s="65">
        <v>21.5</v>
      </c>
      <c r="AD17" s="65">
        <v>47.1</v>
      </c>
      <c r="AE17" s="65">
        <v>50.5</v>
      </c>
      <c r="AF17" s="65">
        <v>52.1</v>
      </c>
      <c r="AG17" s="65">
        <v>53.1</v>
      </c>
      <c r="AH17" s="65">
        <v>42.8</v>
      </c>
      <c r="AI17" s="65">
        <v>46.9</v>
      </c>
      <c r="AJ17" s="65">
        <v>47.3</v>
      </c>
      <c r="AK17" s="65">
        <v>48.2</v>
      </c>
      <c r="AL17" s="65">
        <v>82</v>
      </c>
      <c r="AM17" s="65">
        <v>0.5</v>
      </c>
      <c r="AN17" s="65">
        <v>1099</v>
      </c>
      <c r="AO17" s="65">
        <v>133.69999999999999</v>
      </c>
      <c r="AP17" s="65">
        <v>20</v>
      </c>
      <c r="AQ17" s="65">
        <v>20</v>
      </c>
      <c r="AR17" s="65">
        <v>77.3</v>
      </c>
      <c r="AS17" s="65">
        <v>29.92</v>
      </c>
      <c r="AT17" s="136">
        <f t="shared" si="2"/>
        <v>61.293661060802073</v>
      </c>
      <c r="AU17" s="143">
        <v>7.31</v>
      </c>
      <c r="AV17" s="65">
        <v>3.5</v>
      </c>
      <c r="AW17" s="65">
        <v>32.119999999999997</v>
      </c>
      <c r="AX17" s="65">
        <v>10.09</v>
      </c>
      <c r="AY17" s="143">
        <f t="shared" si="3"/>
        <v>53.019999999999996</v>
      </c>
      <c r="AZ17" s="143">
        <f t="shared" si="4"/>
        <v>2.6509999999999998</v>
      </c>
      <c r="BA17" s="143">
        <f t="shared" si="5"/>
        <v>6.6849999999999996</v>
      </c>
      <c r="BB17" s="143">
        <f t="shared" si="6"/>
        <v>0.38706338939197932</v>
      </c>
      <c r="BC17" s="144">
        <f t="shared" si="7"/>
        <v>425.38266494178527</v>
      </c>
      <c r="BD17" s="144">
        <f t="shared" si="8"/>
        <v>850.76532988357053</v>
      </c>
      <c r="BE17" s="143">
        <f t="shared" si="9"/>
        <v>0.13787250094304038</v>
      </c>
      <c r="BF17" s="143">
        <f t="shared" si="10"/>
        <v>6.6012825348924942E-2</v>
      </c>
      <c r="BG17" s="143">
        <f t="shared" si="11"/>
        <v>0.60580912863070535</v>
      </c>
      <c r="BH17" s="143">
        <f t="shared" si="12"/>
        <v>0.19030554507732933</v>
      </c>
      <c r="BI17" s="144">
        <f t="shared" si="13"/>
        <v>117.29714374667863</v>
      </c>
      <c r="BJ17" s="144">
        <f t="shared" si="14"/>
        <v>56.161423134524654</v>
      </c>
      <c r="BK17" s="144">
        <f t="shared" si="15"/>
        <v>515.40140316598047</v>
      </c>
      <c r="BL17" s="144">
        <f t="shared" si="16"/>
        <v>161.90535983638679</v>
      </c>
      <c r="BM17" s="144">
        <f t="shared" si="17"/>
        <v>0</v>
      </c>
      <c r="BN17" s="144">
        <f t="shared" si="18"/>
        <v>4.3249999999999993</v>
      </c>
      <c r="BO17" s="144">
        <f t="shared" si="19"/>
        <v>33.299999999999997</v>
      </c>
      <c r="BP17" s="144">
        <f t="shared" si="20"/>
        <v>50.699999999999996</v>
      </c>
      <c r="BQ17" s="144">
        <f t="shared" si="21"/>
        <v>46.3</v>
      </c>
      <c r="BT17" s="32" t="s">
        <v>418</v>
      </c>
      <c r="BU17" s="104">
        <v>61.629305850476271</v>
      </c>
      <c r="BW17" s="32" t="s">
        <v>418</v>
      </c>
      <c r="BX17" s="104">
        <v>3.5475035594264339</v>
      </c>
    </row>
    <row r="18" spans="1:76" x14ac:dyDescent="0.35">
      <c r="A18" s="122" t="s">
        <v>28</v>
      </c>
      <c r="B18" s="122" t="s">
        <v>32</v>
      </c>
      <c r="C18" s="122">
        <v>3</v>
      </c>
      <c r="D18" s="122">
        <v>1</v>
      </c>
      <c r="E18" s="122">
        <v>10</v>
      </c>
      <c r="F18" s="122">
        <v>110</v>
      </c>
      <c r="G18" s="65">
        <v>17</v>
      </c>
      <c r="H18" s="90">
        <v>45944</v>
      </c>
      <c r="I18" s="130">
        <v>0.7</v>
      </c>
      <c r="J18" s="132">
        <v>0.10150000000000001</v>
      </c>
      <c r="K18" s="132">
        <v>0.17399999999999999</v>
      </c>
      <c r="L18" s="132">
        <v>0.26749999999999996</v>
      </c>
      <c r="M18" s="132">
        <v>0.55899999999999994</v>
      </c>
      <c r="N18" s="143">
        <f t="shared" si="1"/>
        <v>0.89849999999999997</v>
      </c>
      <c r="O18" s="143">
        <f t="shared" si="1"/>
        <v>0.82600000000000007</v>
      </c>
      <c r="P18" s="143">
        <f t="shared" si="1"/>
        <v>0.73250000000000004</v>
      </c>
      <c r="Q18" s="143">
        <f t="shared" si="1"/>
        <v>0.44100000000000006</v>
      </c>
      <c r="R18" s="65">
        <v>0</v>
      </c>
      <c r="S18" s="65">
        <v>0</v>
      </c>
      <c r="T18" s="65">
        <v>0</v>
      </c>
      <c r="U18" s="65">
        <v>0</v>
      </c>
      <c r="V18" s="65">
        <v>2.1</v>
      </c>
      <c r="W18" s="65">
        <v>8.5</v>
      </c>
      <c r="X18" s="65">
        <v>34.200000000000003</v>
      </c>
      <c r="Y18" s="65">
        <v>12.7</v>
      </c>
      <c r="Z18" s="65">
        <v>45.3</v>
      </c>
      <c r="AA18" s="65">
        <v>49.3</v>
      </c>
      <c r="AB18" s="65">
        <v>53.3</v>
      </c>
      <c r="AC18" s="65">
        <v>49.8</v>
      </c>
      <c r="AD18" s="65">
        <v>57.3</v>
      </c>
      <c r="AE18" s="65">
        <v>52.4</v>
      </c>
      <c r="AF18" s="65">
        <v>56.9</v>
      </c>
      <c r="AG18" s="65">
        <v>55.7</v>
      </c>
      <c r="AH18" s="65">
        <v>53</v>
      </c>
      <c r="AI18" s="65">
        <v>52.7</v>
      </c>
      <c r="AJ18" s="65">
        <v>50.4</v>
      </c>
      <c r="AK18" s="65">
        <v>53.2</v>
      </c>
      <c r="AL18" s="65">
        <v>83</v>
      </c>
      <c r="AM18" s="65">
        <v>0.5</v>
      </c>
      <c r="AN18" s="65">
        <v>1474</v>
      </c>
      <c r="AO18" s="65">
        <v>90.7</v>
      </c>
      <c r="AP18" s="65">
        <v>20</v>
      </c>
      <c r="AQ18" s="65">
        <v>20</v>
      </c>
      <c r="AR18" s="65">
        <v>74.2</v>
      </c>
      <c r="AS18" s="65">
        <v>30.94</v>
      </c>
      <c r="AT18" s="136">
        <f t="shared" si="2"/>
        <v>58.301886792452841</v>
      </c>
      <c r="AU18" s="143">
        <v>5.38</v>
      </c>
      <c r="AV18" s="65">
        <v>5.17</v>
      </c>
      <c r="AW18" s="65">
        <v>20.59</v>
      </c>
      <c r="AX18" s="65">
        <v>5.73</v>
      </c>
      <c r="AY18" s="143">
        <f t="shared" si="3"/>
        <v>36.870000000000005</v>
      </c>
      <c r="AZ18" s="143">
        <f t="shared" si="4"/>
        <v>1.8435000000000001</v>
      </c>
      <c r="BA18" s="143">
        <f t="shared" si="5"/>
        <v>4.5350000000000001</v>
      </c>
      <c r="BB18" s="143">
        <f t="shared" si="6"/>
        <v>0.41698113207547172</v>
      </c>
      <c r="BC18" s="144">
        <f t="shared" si="7"/>
        <v>614.63018867924529</v>
      </c>
      <c r="BD18" s="144">
        <f t="shared" si="8"/>
        <v>1229.2603773584906</v>
      </c>
      <c r="BE18" s="143">
        <f t="shared" si="9"/>
        <v>0.14591809058855437</v>
      </c>
      <c r="BF18" s="143">
        <f t="shared" si="10"/>
        <v>0.14022240303770001</v>
      </c>
      <c r="BG18" s="143">
        <f t="shared" si="11"/>
        <v>0.55844860320043388</v>
      </c>
      <c r="BH18" s="143">
        <f t="shared" si="12"/>
        <v>0.15541090317331163</v>
      </c>
      <c r="BI18" s="144">
        <f t="shared" si="13"/>
        <v>179.37132710031676</v>
      </c>
      <c r="BJ18" s="144">
        <f t="shared" si="14"/>
        <v>172.36984407223747</v>
      </c>
      <c r="BK18" s="144">
        <f t="shared" si="15"/>
        <v>686.47874070548733</v>
      </c>
      <c r="BL18" s="144">
        <f t="shared" si="16"/>
        <v>191.04046548044889</v>
      </c>
      <c r="BM18" s="144">
        <f t="shared" si="17"/>
        <v>0</v>
      </c>
      <c r="BN18" s="144">
        <f t="shared" si="18"/>
        <v>14.375</v>
      </c>
      <c r="BO18" s="144">
        <f t="shared" si="19"/>
        <v>49.424999999999997</v>
      </c>
      <c r="BP18" s="144">
        <f t="shared" si="20"/>
        <v>55.575000000000003</v>
      </c>
      <c r="BQ18" s="144">
        <f t="shared" si="21"/>
        <v>52.325000000000003</v>
      </c>
    </row>
    <row r="19" spans="1:76" x14ac:dyDescent="0.35">
      <c r="A19" s="122" t="s">
        <v>28</v>
      </c>
      <c r="B19" s="122" t="s">
        <v>31</v>
      </c>
      <c r="C19" s="122">
        <v>3</v>
      </c>
      <c r="D19" s="122">
        <v>2</v>
      </c>
      <c r="E19" s="122">
        <v>10</v>
      </c>
      <c r="F19" s="122">
        <v>210</v>
      </c>
      <c r="G19" s="65">
        <v>18</v>
      </c>
      <c r="H19" s="90">
        <v>45937</v>
      </c>
      <c r="I19" s="130">
        <v>0.67</v>
      </c>
      <c r="J19" s="133">
        <v>5.6000000000000001E-2</v>
      </c>
      <c r="K19" s="133">
        <v>8.5000000000000006E-2</v>
      </c>
      <c r="L19" s="133">
        <v>0.17399999999999999</v>
      </c>
      <c r="M19" s="133">
        <v>0.41099999999999998</v>
      </c>
      <c r="N19" s="143">
        <f t="shared" si="1"/>
        <v>0.94399999999999995</v>
      </c>
      <c r="O19" s="143">
        <f t="shared" si="1"/>
        <v>0.91500000000000004</v>
      </c>
      <c r="P19" s="143">
        <f t="shared" si="1"/>
        <v>0.82600000000000007</v>
      </c>
      <c r="Q19" s="143">
        <f t="shared" si="1"/>
        <v>0.58899999999999997</v>
      </c>
      <c r="R19" s="65">
        <v>0</v>
      </c>
      <c r="S19" s="65">
        <v>3.7</v>
      </c>
      <c r="T19" s="65">
        <v>0</v>
      </c>
      <c r="U19" s="65">
        <v>0</v>
      </c>
      <c r="V19" s="65">
        <v>9.6999999999999993</v>
      </c>
      <c r="W19" s="65">
        <v>12.1</v>
      </c>
      <c r="X19" s="65">
        <v>5.9</v>
      </c>
      <c r="Y19" s="65">
        <v>17.600000000000001</v>
      </c>
      <c r="Z19" s="65">
        <v>36.5</v>
      </c>
      <c r="AA19" s="65">
        <v>27.8</v>
      </c>
      <c r="AB19" s="65">
        <v>35</v>
      </c>
      <c r="AC19" s="65">
        <v>54.2</v>
      </c>
      <c r="AD19" s="65">
        <v>45.5</v>
      </c>
      <c r="AE19" s="65">
        <v>49.2</v>
      </c>
      <c r="AF19" s="65">
        <v>43.3</v>
      </c>
      <c r="AG19" s="65">
        <v>45.3</v>
      </c>
      <c r="AH19" s="65">
        <v>50.2</v>
      </c>
      <c r="AI19" s="65">
        <v>50.7</v>
      </c>
      <c r="AJ19" s="65">
        <v>47.9</v>
      </c>
      <c r="AK19" s="65">
        <v>51.7</v>
      </c>
      <c r="AL19" s="65">
        <v>75</v>
      </c>
      <c r="AM19" s="65">
        <v>0.5</v>
      </c>
      <c r="AN19" s="65">
        <v>1201</v>
      </c>
      <c r="AO19" s="136">
        <v>109.06</v>
      </c>
      <c r="AP19" s="65">
        <v>20</v>
      </c>
      <c r="AQ19" s="65">
        <v>19</v>
      </c>
      <c r="AR19" s="136">
        <v>62.44</v>
      </c>
      <c r="AS19" s="65">
        <v>26.95</v>
      </c>
      <c r="AT19" s="136">
        <f t="shared" si="2"/>
        <v>56.83856502242152</v>
      </c>
      <c r="AU19" s="143">
        <v>6.84</v>
      </c>
      <c r="AV19" s="65">
        <v>4.29</v>
      </c>
      <c r="AW19" s="65">
        <v>25.08</v>
      </c>
      <c r="AX19" s="65">
        <v>10.54</v>
      </c>
      <c r="AY19" s="143">
        <f t="shared" si="3"/>
        <v>46.749999999999993</v>
      </c>
      <c r="AZ19" s="143">
        <f t="shared" si="4"/>
        <v>2.4605263157894735</v>
      </c>
      <c r="BA19" s="143">
        <f t="shared" si="5"/>
        <v>5.74</v>
      </c>
      <c r="BB19" s="143">
        <f t="shared" si="6"/>
        <v>0.43161434977578478</v>
      </c>
      <c r="BC19" s="144">
        <f t="shared" si="7"/>
        <v>518.36883408071753</v>
      </c>
      <c r="BD19" s="144">
        <f t="shared" si="8"/>
        <v>1036.7376681614351</v>
      </c>
      <c r="BE19" s="143">
        <f t="shared" si="9"/>
        <v>0.14631016042780751</v>
      </c>
      <c r="BF19" s="143">
        <f t="shared" si="10"/>
        <v>9.1764705882352957E-2</v>
      </c>
      <c r="BG19" s="143">
        <f t="shared" si="11"/>
        <v>0.53647058823529414</v>
      </c>
      <c r="BH19" s="143">
        <f t="shared" si="12"/>
        <v>0.22545454545454546</v>
      </c>
      <c r="BI19" s="144">
        <f t="shared" si="13"/>
        <v>151.68525455025062</v>
      </c>
      <c r="BJ19" s="144">
        <f t="shared" si="14"/>
        <v>95.135927195990533</v>
      </c>
      <c r="BK19" s="144">
        <f t="shared" si="15"/>
        <v>556.1792666842523</v>
      </c>
      <c r="BL19" s="144">
        <f t="shared" si="16"/>
        <v>233.73721973094175</v>
      </c>
      <c r="BM19" s="144">
        <f t="shared" si="17"/>
        <v>0.92500000000000004</v>
      </c>
      <c r="BN19" s="144">
        <f t="shared" si="18"/>
        <v>11.324999999999999</v>
      </c>
      <c r="BO19" s="144">
        <f t="shared" si="19"/>
        <v>38.375</v>
      </c>
      <c r="BP19" s="144">
        <f t="shared" si="20"/>
        <v>45.825000000000003</v>
      </c>
      <c r="BQ19" s="144">
        <f t="shared" si="21"/>
        <v>50.125</v>
      </c>
    </row>
    <row r="20" spans="1:76" x14ac:dyDescent="0.35">
      <c r="A20" s="122" t="s">
        <v>28</v>
      </c>
      <c r="B20" s="122" t="s">
        <v>29</v>
      </c>
      <c r="C20" s="122">
        <v>3</v>
      </c>
      <c r="D20" s="122">
        <v>3</v>
      </c>
      <c r="E20" s="122">
        <v>10</v>
      </c>
      <c r="F20" s="122">
        <v>310</v>
      </c>
      <c r="G20" s="65">
        <v>19</v>
      </c>
      <c r="H20" s="90">
        <v>45933</v>
      </c>
      <c r="I20" s="130">
        <v>0.64</v>
      </c>
      <c r="J20" s="133">
        <v>0.17699999999999999</v>
      </c>
      <c r="K20" s="133">
        <v>0.224</v>
      </c>
      <c r="L20" s="133">
        <v>0.30299999999999999</v>
      </c>
      <c r="M20" s="133">
        <v>0.503</v>
      </c>
      <c r="N20" s="143">
        <f t="shared" si="1"/>
        <v>0.82299999999999995</v>
      </c>
      <c r="O20" s="143">
        <f t="shared" si="1"/>
        <v>0.77600000000000002</v>
      </c>
      <c r="P20" s="143">
        <f t="shared" si="1"/>
        <v>0.69700000000000006</v>
      </c>
      <c r="Q20" s="143">
        <f t="shared" si="1"/>
        <v>0.497</v>
      </c>
      <c r="R20" s="65">
        <v>0</v>
      </c>
      <c r="S20" s="65">
        <v>7.3</v>
      </c>
      <c r="T20" s="65">
        <v>2.9</v>
      </c>
      <c r="U20" s="65">
        <v>3</v>
      </c>
      <c r="V20" s="65">
        <v>21.3</v>
      </c>
      <c r="W20" s="65">
        <v>0.5</v>
      </c>
      <c r="X20" s="65">
        <v>44.8</v>
      </c>
      <c r="Y20" s="65">
        <v>45</v>
      </c>
      <c r="Z20" s="65">
        <v>49.1</v>
      </c>
      <c r="AA20" s="65">
        <v>40.9</v>
      </c>
      <c r="AB20" s="65">
        <v>48.4</v>
      </c>
      <c r="AC20" s="65">
        <v>48.1</v>
      </c>
      <c r="AD20" s="65">
        <v>45.8</v>
      </c>
      <c r="AE20" s="65">
        <v>39</v>
      </c>
      <c r="AF20" s="65">
        <v>47.4</v>
      </c>
      <c r="AG20" s="65">
        <v>53.6</v>
      </c>
      <c r="AH20" s="65">
        <v>52.3</v>
      </c>
      <c r="AI20" s="65">
        <v>51.2</v>
      </c>
      <c r="AJ20" s="65">
        <v>49.8</v>
      </c>
      <c r="AK20" s="65">
        <v>53.1</v>
      </c>
      <c r="AL20" s="65">
        <v>61</v>
      </c>
      <c r="AM20" s="65">
        <v>0.5</v>
      </c>
      <c r="AN20" s="65">
        <v>1466</v>
      </c>
      <c r="AO20" s="136">
        <v>173.8</v>
      </c>
      <c r="AP20" s="65">
        <v>20</v>
      </c>
      <c r="AQ20" s="65">
        <v>20</v>
      </c>
      <c r="AR20" s="136">
        <v>85.9</v>
      </c>
      <c r="AS20" s="65">
        <v>29.97</v>
      </c>
      <c r="AT20" s="136">
        <f t="shared" si="2"/>
        <v>65.110593713620489</v>
      </c>
      <c r="AU20" s="143">
        <v>10.8</v>
      </c>
      <c r="AV20" s="65">
        <v>2.88</v>
      </c>
      <c r="AW20" s="65">
        <v>32.880000000000003</v>
      </c>
      <c r="AX20" s="65">
        <v>12.99</v>
      </c>
      <c r="AY20" s="143">
        <f t="shared" si="3"/>
        <v>59.550000000000004</v>
      </c>
      <c r="AZ20" s="143">
        <f t="shared" si="4"/>
        <v>2.9775</v>
      </c>
      <c r="BA20" s="143">
        <f t="shared" si="5"/>
        <v>8.6900000000000013</v>
      </c>
      <c r="BB20" s="143">
        <f t="shared" si="6"/>
        <v>0.3488940628637951</v>
      </c>
      <c r="BC20" s="144">
        <f t="shared" si="7"/>
        <v>511.4786961583236</v>
      </c>
      <c r="BD20" s="144">
        <f t="shared" si="8"/>
        <v>1022.9573923166472</v>
      </c>
      <c r="BE20" s="143">
        <f t="shared" si="9"/>
        <v>0.181360201511335</v>
      </c>
      <c r="BF20" s="143">
        <f t="shared" si="10"/>
        <v>4.8362720403022662E-2</v>
      </c>
      <c r="BG20" s="143">
        <f t="shared" si="11"/>
        <v>0.55214105793450885</v>
      </c>
      <c r="BH20" s="143">
        <f t="shared" si="12"/>
        <v>0.21813602015113348</v>
      </c>
      <c r="BI20" s="144">
        <f t="shared" si="13"/>
        <v>185.5237588080569</v>
      </c>
      <c r="BJ20" s="144">
        <f t="shared" si="14"/>
        <v>49.473002348815172</v>
      </c>
      <c r="BK20" s="144">
        <f t="shared" si="15"/>
        <v>564.81677681563997</v>
      </c>
      <c r="BL20" s="144">
        <f t="shared" si="16"/>
        <v>223.14385434413512</v>
      </c>
      <c r="BM20" s="144">
        <f t="shared" si="17"/>
        <v>3.3</v>
      </c>
      <c r="BN20" s="144">
        <f t="shared" si="18"/>
        <v>27.9</v>
      </c>
      <c r="BO20" s="144">
        <f t="shared" si="19"/>
        <v>46.625</v>
      </c>
      <c r="BP20" s="144">
        <f t="shared" si="20"/>
        <v>46.449999999999996</v>
      </c>
      <c r="BQ20" s="144">
        <f t="shared" si="21"/>
        <v>51.6</v>
      </c>
    </row>
    <row r="21" spans="1:76" x14ac:dyDescent="0.35">
      <c r="A21" s="122" t="s">
        <v>28</v>
      </c>
      <c r="B21" s="122" t="s">
        <v>30</v>
      </c>
      <c r="C21" s="122">
        <v>3</v>
      </c>
      <c r="D21" s="122">
        <v>4</v>
      </c>
      <c r="E21" s="122">
        <v>10</v>
      </c>
      <c r="F21" s="122">
        <v>410</v>
      </c>
      <c r="G21" s="65">
        <v>20</v>
      </c>
      <c r="H21" s="90">
        <v>45937</v>
      </c>
      <c r="I21" s="130">
        <v>0.53</v>
      </c>
      <c r="J21" s="133">
        <v>0.20300000000000001</v>
      </c>
      <c r="K21" s="133">
        <v>0.27200000000000002</v>
      </c>
      <c r="L21" s="133">
        <v>0.46500000000000002</v>
      </c>
      <c r="M21" s="133">
        <v>0.58399999999999996</v>
      </c>
      <c r="N21" s="143">
        <f t="shared" si="1"/>
        <v>0.79699999999999993</v>
      </c>
      <c r="O21" s="143">
        <f t="shared" si="1"/>
        <v>0.72799999999999998</v>
      </c>
      <c r="P21" s="143">
        <f t="shared" si="1"/>
        <v>0.53499999999999992</v>
      </c>
      <c r="Q21" s="143">
        <f t="shared" si="1"/>
        <v>0.41600000000000004</v>
      </c>
      <c r="R21" s="65">
        <v>0</v>
      </c>
      <c r="S21" s="65">
        <v>0</v>
      </c>
      <c r="T21" s="65">
        <v>0</v>
      </c>
      <c r="U21" s="65">
        <v>0</v>
      </c>
      <c r="V21" s="65">
        <v>0</v>
      </c>
      <c r="W21" s="65">
        <v>20.399999999999999</v>
      </c>
      <c r="X21" s="65">
        <v>11</v>
      </c>
      <c r="Y21" s="65">
        <v>25.8</v>
      </c>
      <c r="Z21" s="65">
        <v>5.4</v>
      </c>
      <c r="AA21" s="65">
        <v>26.4</v>
      </c>
      <c r="AB21" s="65">
        <v>36.799999999999997</v>
      </c>
      <c r="AC21" s="65">
        <v>48.5</v>
      </c>
      <c r="AD21" s="65">
        <v>51.5</v>
      </c>
      <c r="AE21" s="65">
        <v>52.2</v>
      </c>
      <c r="AF21" s="65">
        <v>43.5</v>
      </c>
      <c r="AG21" s="65">
        <v>49.7</v>
      </c>
      <c r="AH21" s="65">
        <v>51.8</v>
      </c>
      <c r="AI21" s="65">
        <v>50.7</v>
      </c>
      <c r="AJ21" s="65">
        <v>48.5</v>
      </c>
      <c r="AK21" s="65">
        <v>50.5</v>
      </c>
      <c r="AL21" s="65">
        <v>81</v>
      </c>
      <c r="AM21" s="65">
        <v>0.5</v>
      </c>
      <c r="AN21" s="65">
        <v>1065</v>
      </c>
      <c r="AO21" s="136">
        <v>126.1</v>
      </c>
      <c r="AP21" s="65">
        <v>20</v>
      </c>
      <c r="AQ21" s="65">
        <v>20</v>
      </c>
      <c r="AR21" s="136">
        <v>73.53</v>
      </c>
      <c r="AS21" s="65">
        <v>29.4</v>
      </c>
      <c r="AT21" s="136">
        <f t="shared" si="2"/>
        <v>60.016319869441041</v>
      </c>
      <c r="AU21" s="143">
        <v>5.99</v>
      </c>
      <c r="AV21" s="65">
        <v>3.14</v>
      </c>
      <c r="AW21" s="65">
        <v>33.56</v>
      </c>
      <c r="AX21" s="65">
        <v>10.36</v>
      </c>
      <c r="AY21" s="143">
        <f t="shared" si="3"/>
        <v>53.050000000000004</v>
      </c>
      <c r="AZ21" s="143">
        <f t="shared" si="4"/>
        <v>2.6525000000000003</v>
      </c>
      <c r="BA21" s="143">
        <f t="shared" si="5"/>
        <v>6.3049999999999997</v>
      </c>
      <c r="BB21" s="143">
        <f t="shared" si="6"/>
        <v>0.39983680130558952</v>
      </c>
      <c r="BC21" s="144">
        <f t="shared" si="7"/>
        <v>425.82619339045283</v>
      </c>
      <c r="BD21" s="144">
        <f t="shared" si="8"/>
        <v>851.65238678090566</v>
      </c>
      <c r="BE21" s="143">
        <f t="shared" si="9"/>
        <v>0.11291234684260132</v>
      </c>
      <c r="BF21" s="143">
        <f t="shared" si="10"/>
        <v>5.9189443920829407E-2</v>
      </c>
      <c r="BG21" s="143">
        <f t="shared" si="11"/>
        <v>0.63261074458058431</v>
      </c>
      <c r="BH21" s="143">
        <f t="shared" si="12"/>
        <v>0.1952874646559849</v>
      </c>
      <c r="BI21" s="144">
        <f t="shared" si="13"/>
        <v>96.162069685534874</v>
      </c>
      <c r="BJ21" s="144">
        <f t="shared" si="14"/>
        <v>50.408831187408929</v>
      </c>
      <c r="BK21" s="144">
        <f t="shared" si="15"/>
        <v>538.7644505253005</v>
      </c>
      <c r="BL21" s="144">
        <f t="shared" si="16"/>
        <v>166.31703538266129</v>
      </c>
      <c r="BM21" s="144">
        <f t="shared" si="17"/>
        <v>0</v>
      </c>
      <c r="BN21" s="144">
        <f t="shared" si="18"/>
        <v>14.3</v>
      </c>
      <c r="BO21" s="144">
        <f t="shared" si="19"/>
        <v>29.274999999999999</v>
      </c>
      <c r="BP21" s="144">
        <f t="shared" si="20"/>
        <v>49.224999999999994</v>
      </c>
      <c r="BQ21" s="144">
        <f t="shared" si="21"/>
        <v>50.375</v>
      </c>
    </row>
    <row r="22" spans="1:76" x14ac:dyDescent="0.35">
      <c r="A22" s="122" t="s">
        <v>33</v>
      </c>
      <c r="B22" s="122" t="s">
        <v>30</v>
      </c>
      <c r="C22" s="122">
        <v>3</v>
      </c>
      <c r="D22" s="122">
        <v>4</v>
      </c>
      <c r="E22" s="122">
        <v>12</v>
      </c>
      <c r="F22" s="122">
        <v>412</v>
      </c>
      <c r="G22" s="65">
        <v>21</v>
      </c>
      <c r="H22" s="90">
        <v>45939</v>
      </c>
      <c r="I22" s="130">
        <v>0.57999999999999996</v>
      </c>
      <c r="J22" s="133">
        <v>0.26800000000000002</v>
      </c>
      <c r="K22" s="133">
        <v>0.3</v>
      </c>
      <c r="L22" s="133">
        <v>0.36299999999999999</v>
      </c>
      <c r="M22" s="133">
        <v>0.629</v>
      </c>
      <c r="N22" s="143">
        <f t="shared" si="1"/>
        <v>0.73199999999999998</v>
      </c>
      <c r="O22" s="143">
        <f t="shared" si="1"/>
        <v>0.7</v>
      </c>
      <c r="P22" s="143">
        <f t="shared" si="1"/>
        <v>0.63700000000000001</v>
      </c>
      <c r="Q22" s="143">
        <f t="shared" si="1"/>
        <v>0.371</v>
      </c>
      <c r="R22" s="65">
        <v>12.1</v>
      </c>
      <c r="S22" s="65">
        <v>0</v>
      </c>
      <c r="T22" s="65">
        <v>0</v>
      </c>
      <c r="U22" s="65">
        <v>0</v>
      </c>
      <c r="V22" s="65">
        <v>38.299999999999997</v>
      </c>
      <c r="W22" s="65">
        <v>1.5</v>
      </c>
      <c r="X22" s="65">
        <v>9.1999999999999993</v>
      </c>
      <c r="Y22" s="65">
        <v>0</v>
      </c>
      <c r="Z22" s="65">
        <v>54.4</v>
      </c>
      <c r="AA22" s="65">
        <v>46.7</v>
      </c>
      <c r="AB22" s="65">
        <v>48.2</v>
      </c>
      <c r="AC22" s="65">
        <v>47.5</v>
      </c>
      <c r="AD22" s="65">
        <v>57.4</v>
      </c>
      <c r="AE22" s="65">
        <v>56</v>
      </c>
      <c r="AF22" s="65">
        <v>51.3</v>
      </c>
      <c r="AG22" s="65">
        <v>48.4</v>
      </c>
      <c r="AH22" s="65">
        <v>51.5</v>
      </c>
      <c r="AI22" s="65">
        <v>47.9</v>
      </c>
      <c r="AJ22" s="65">
        <v>50</v>
      </c>
      <c r="AK22" s="65">
        <v>50.8</v>
      </c>
      <c r="AL22" s="65">
        <v>72</v>
      </c>
      <c r="AM22" s="65">
        <v>0.5</v>
      </c>
      <c r="AN22" s="65">
        <v>1010</v>
      </c>
      <c r="AO22" s="136">
        <v>94.4</v>
      </c>
      <c r="AP22" s="65">
        <v>20</v>
      </c>
      <c r="AQ22" s="65">
        <v>17</v>
      </c>
      <c r="AR22" s="136">
        <v>73.099999999999994</v>
      </c>
      <c r="AS22" s="65">
        <v>28.2</v>
      </c>
      <c r="AT22" s="136">
        <f t="shared" si="2"/>
        <v>61.422708618331043</v>
      </c>
      <c r="AU22" s="143">
        <v>6.92</v>
      </c>
      <c r="AV22" s="65">
        <v>2.2999999999999998</v>
      </c>
      <c r="AW22" s="65">
        <v>17.37</v>
      </c>
      <c r="AX22" s="65">
        <v>8.02</v>
      </c>
      <c r="AY22" s="143">
        <f t="shared" si="3"/>
        <v>34.61</v>
      </c>
      <c r="AZ22" s="143">
        <f t="shared" si="4"/>
        <v>2.0358823529411763</v>
      </c>
      <c r="BA22" s="143">
        <f t="shared" si="5"/>
        <v>5.5529411764705889</v>
      </c>
      <c r="BB22" s="143">
        <f t="shared" si="6"/>
        <v>0.38577291381668949</v>
      </c>
      <c r="BC22" s="144">
        <f t="shared" si="7"/>
        <v>389.6306429548564</v>
      </c>
      <c r="BD22" s="144">
        <f t="shared" si="8"/>
        <v>779.2612859097128</v>
      </c>
      <c r="BE22" s="143">
        <f t="shared" si="9"/>
        <v>0.1999422132331696</v>
      </c>
      <c r="BF22" s="143">
        <f t="shared" si="10"/>
        <v>6.6454781854955208E-2</v>
      </c>
      <c r="BG22" s="143">
        <f t="shared" si="11"/>
        <v>0.50187806992198791</v>
      </c>
      <c r="BH22" s="143">
        <f t="shared" si="12"/>
        <v>0.2317249349898873</v>
      </c>
      <c r="BI22" s="144">
        <f t="shared" si="13"/>
        <v>155.80722619171374</v>
      </c>
      <c r="BJ22" s="144">
        <f t="shared" si="14"/>
        <v>51.785638763141847</v>
      </c>
      <c r="BK22" s="144">
        <f t="shared" si="15"/>
        <v>391.09415013729307</v>
      </c>
      <c r="BL22" s="144">
        <f t="shared" si="16"/>
        <v>180.57427081756418</v>
      </c>
      <c r="BM22" s="144">
        <f t="shared" si="17"/>
        <v>3.0249999999999999</v>
      </c>
      <c r="BN22" s="144">
        <f t="shared" si="18"/>
        <v>12.25</v>
      </c>
      <c r="BO22" s="144">
        <f t="shared" si="19"/>
        <v>49.2</v>
      </c>
      <c r="BP22" s="144">
        <f t="shared" si="20"/>
        <v>53.274999999999999</v>
      </c>
      <c r="BQ22" s="144">
        <f t="shared" si="21"/>
        <v>50.05</v>
      </c>
    </row>
    <row r="23" spans="1:76" x14ac:dyDescent="0.35">
      <c r="A23" s="122" t="s">
        <v>33</v>
      </c>
      <c r="B23" s="122" t="s">
        <v>34</v>
      </c>
      <c r="C23" s="122">
        <v>3</v>
      </c>
      <c r="D23" s="122">
        <v>3</v>
      </c>
      <c r="E23" s="122">
        <v>12</v>
      </c>
      <c r="F23" s="122">
        <v>312</v>
      </c>
      <c r="G23" s="65">
        <v>22</v>
      </c>
      <c r="H23" s="90">
        <v>45940</v>
      </c>
      <c r="I23" s="130">
        <v>0.67</v>
      </c>
      <c r="J23" s="132">
        <v>0.16849999999999998</v>
      </c>
      <c r="K23" s="132">
        <v>0.22550000000000001</v>
      </c>
      <c r="L23" s="132">
        <v>0.58549999999999991</v>
      </c>
      <c r="M23" s="132">
        <v>0.71750000000000003</v>
      </c>
      <c r="N23" s="143">
        <f t="shared" si="1"/>
        <v>0.83150000000000002</v>
      </c>
      <c r="O23" s="143">
        <f t="shared" si="1"/>
        <v>0.77449999999999997</v>
      </c>
      <c r="P23" s="143">
        <f t="shared" si="1"/>
        <v>0.41450000000000009</v>
      </c>
      <c r="Q23" s="143">
        <f t="shared" si="1"/>
        <v>0.28249999999999997</v>
      </c>
      <c r="R23" s="65">
        <v>0</v>
      </c>
      <c r="S23" s="65">
        <v>4.8</v>
      </c>
      <c r="T23" s="65">
        <v>0</v>
      </c>
      <c r="U23" s="65">
        <v>0</v>
      </c>
      <c r="V23" s="65">
        <v>20.5</v>
      </c>
      <c r="W23" s="65">
        <v>44.1</v>
      </c>
      <c r="X23" s="65">
        <v>10.3</v>
      </c>
      <c r="Y23" s="65">
        <v>38.5</v>
      </c>
      <c r="Z23" s="65">
        <v>54.8</v>
      </c>
      <c r="AA23" s="65">
        <v>51</v>
      </c>
      <c r="AB23" s="65">
        <v>52.3</v>
      </c>
      <c r="AC23" s="65">
        <v>57.5</v>
      </c>
      <c r="AD23" s="65">
        <v>50.2</v>
      </c>
      <c r="AE23" s="65">
        <v>52</v>
      </c>
      <c r="AF23" s="65">
        <v>46.3</v>
      </c>
      <c r="AG23" s="65">
        <v>47.6</v>
      </c>
      <c r="AH23" s="65">
        <v>49</v>
      </c>
      <c r="AI23" s="65">
        <v>57.5</v>
      </c>
      <c r="AJ23" s="65">
        <v>44.4</v>
      </c>
      <c r="AK23" s="65">
        <v>52</v>
      </c>
      <c r="AL23" s="65">
        <v>81</v>
      </c>
      <c r="AM23" s="65">
        <v>0.5</v>
      </c>
      <c r="AN23" s="65">
        <v>1245</v>
      </c>
      <c r="AO23" s="65">
        <v>167.1</v>
      </c>
      <c r="AP23" s="65">
        <v>20</v>
      </c>
      <c r="AQ23" s="65">
        <v>20</v>
      </c>
      <c r="AR23" s="65">
        <v>99.5</v>
      </c>
      <c r="AS23" s="65">
        <v>37.53</v>
      </c>
      <c r="AT23" s="136">
        <f t="shared" si="2"/>
        <v>62.281407035175882</v>
      </c>
      <c r="AU23" s="143">
        <v>9.86</v>
      </c>
      <c r="AV23" s="65">
        <v>2.06</v>
      </c>
      <c r="AW23" s="65">
        <v>38.79</v>
      </c>
      <c r="AX23" s="65">
        <v>13.69</v>
      </c>
      <c r="AY23" s="143">
        <f t="shared" si="3"/>
        <v>64.400000000000006</v>
      </c>
      <c r="AZ23" s="143">
        <f t="shared" si="4"/>
        <v>3.22</v>
      </c>
      <c r="BA23" s="143">
        <f t="shared" si="5"/>
        <v>8.3550000000000004</v>
      </c>
      <c r="BB23" s="143">
        <f t="shared" si="6"/>
        <v>0.37718592964824121</v>
      </c>
      <c r="BC23" s="144">
        <f t="shared" si="7"/>
        <v>469.59648241206031</v>
      </c>
      <c r="BD23" s="144">
        <f t="shared" si="8"/>
        <v>939.19296482412062</v>
      </c>
      <c r="BE23" s="143">
        <f t="shared" si="9"/>
        <v>0.15310559006211177</v>
      </c>
      <c r="BF23" s="143">
        <f t="shared" si="10"/>
        <v>3.1987577639751553E-2</v>
      </c>
      <c r="BG23" s="143">
        <f t="shared" si="11"/>
        <v>0.60232919254658379</v>
      </c>
      <c r="BH23" s="143">
        <f t="shared" si="12"/>
        <v>0.21257763975155278</v>
      </c>
      <c r="BI23" s="144">
        <f t="shared" si="13"/>
        <v>143.79569306158118</v>
      </c>
      <c r="BJ23" s="144">
        <f t="shared" si="14"/>
        <v>30.042507881020008</v>
      </c>
      <c r="BK23" s="144">
        <f t="shared" si="15"/>
        <v>565.70334014794469</v>
      </c>
      <c r="BL23" s="144">
        <f t="shared" si="16"/>
        <v>199.65142373357469</v>
      </c>
      <c r="BM23" s="144">
        <f t="shared" si="17"/>
        <v>1.2</v>
      </c>
      <c r="BN23" s="144">
        <f t="shared" si="18"/>
        <v>28.349999999999998</v>
      </c>
      <c r="BO23" s="144">
        <f t="shared" si="19"/>
        <v>53.9</v>
      </c>
      <c r="BP23" s="144">
        <f t="shared" si="20"/>
        <v>49.024999999999999</v>
      </c>
      <c r="BQ23" s="144">
        <f t="shared" si="21"/>
        <v>50.725000000000001</v>
      </c>
    </row>
    <row r="24" spans="1:76" x14ac:dyDescent="0.35">
      <c r="A24" s="122" t="s">
        <v>33</v>
      </c>
      <c r="B24" s="122" t="s">
        <v>35</v>
      </c>
      <c r="C24" s="122">
        <v>3</v>
      </c>
      <c r="D24" s="122">
        <v>2</v>
      </c>
      <c r="E24" s="122">
        <v>12</v>
      </c>
      <c r="F24" s="122">
        <v>212</v>
      </c>
      <c r="G24" s="65">
        <v>23</v>
      </c>
      <c r="H24" s="90">
        <v>45944</v>
      </c>
      <c r="I24" s="130">
        <v>0.65</v>
      </c>
      <c r="J24" s="132">
        <v>0.16250000000000001</v>
      </c>
      <c r="K24" s="132">
        <v>0.14399999999999999</v>
      </c>
      <c r="L24" s="132">
        <v>0.34450000000000003</v>
      </c>
      <c r="M24" s="132">
        <v>0.59200000000000008</v>
      </c>
      <c r="N24" s="143">
        <f t="shared" si="1"/>
        <v>0.83750000000000002</v>
      </c>
      <c r="O24" s="143">
        <f t="shared" si="1"/>
        <v>0.85599999999999998</v>
      </c>
      <c r="P24" s="143">
        <f t="shared" si="1"/>
        <v>0.65549999999999997</v>
      </c>
      <c r="Q24" s="143">
        <f t="shared" si="1"/>
        <v>0.40799999999999992</v>
      </c>
      <c r="R24" s="65">
        <v>7.9</v>
      </c>
      <c r="S24" s="65">
        <v>0</v>
      </c>
      <c r="T24" s="65">
        <v>0</v>
      </c>
      <c r="U24" s="65">
        <v>0</v>
      </c>
      <c r="V24" s="65">
        <v>38.6</v>
      </c>
      <c r="W24" s="65">
        <v>0</v>
      </c>
      <c r="X24" s="65">
        <v>24.7</v>
      </c>
      <c r="Y24" s="65">
        <v>0</v>
      </c>
      <c r="Z24" s="65">
        <v>44.3</v>
      </c>
      <c r="AA24" s="65">
        <v>22.1</v>
      </c>
      <c r="AB24" s="65">
        <v>49.8</v>
      </c>
      <c r="AC24" s="65">
        <v>47.7</v>
      </c>
      <c r="AD24" s="65">
        <v>56.4</v>
      </c>
      <c r="AE24" s="65">
        <v>51.7</v>
      </c>
      <c r="AF24" s="65">
        <v>53.2</v>
      </c>
      <c r="AG24" s="65">
        <v>55.2</v>
      </c>
      <c r="AH24" s="65">
        <v>52.2</v>
      </c>
      <c r="AI24" s="65">
        <v>50.5</v>
      </c>
      <c r="AJ24" s="65">
        <v>50.7</v>
      </c>
      <c r="AK24" s="65">
        <v>50.7</v>
      </c>
      <c r="AL24" s="65">
        <v>78</v>
      </c>
      <c r="AM24" s="65">
        <v>0.5</v>
      </c>
      <c r="AN24" s="65">
        <v>1261</v>
      </c>
      <c r="AO24" s="65">
        <v>124.5</v>
      </c>
      <c r="AP24" s="65">
        <v>20</v>
      </c>
      <c r="AQ24" s="65">
        <v>20</v>
      </c>
      <c r="AR24" s="65">
        <v>78.8</v>
      </c>
      <c r="AS24" s="65">
        <v>33.72</v>
      </c>
      <c r="AT24" s="136">
        <f t="shared" si="2"/>
        <v>57.208121827411169</v>
      </c>
      <c r="AU24" s="143">
        <v>8.1199999999999992</v>
      </c>
      <c r="AV24" s="65">
        <v>4.5999999999999996</v>
      </c>
      <c r="AW24" s="65">
        <v>29.43</v>
      </c>
      <c r="AX24" s="65">
        <v>11.05</v>
      </c>
      <c r="AY24" s="143">
        <f t="shared" si="3"/>
        <v>53.2</v>
      </c>
      <c r="AZ24" s="143">
        <f t="shared" si="4"/>
        <v>2.66</v>
      </c>
      <c r="BA24" s="143">
        <f t="shared" si="5"/>
        <v>6.2249999999999996</v>
      </c>
      <c r="BB24" s="143">
        <f t="shared" si="6"/>
        <v>0.42791878172588832</v>
      </c>
      <c r="BC24" s="144">
        <f t="shared" si="7"/>
        <v>539.60558375634514</v>
      </c>
      <c r="BD24" s="144">
        <f t="shared" si="8"/>
        <v>1079.2111675126903</v>
      </c>
      <c r="BE24" s="143">
        <f t="shared" si="9"/>
        <v>0.1526315789473684</v>
      </c>
      <c r="BF24" s="143">
        <f t="shared" si="10"/>
        <v>8.646616541353383E-2</v>
      </c>
      <c r="BG24" s="143">
        <f t="shared" si="11"/>
        <v>0.55319548872180446</v>
      </c>
      <c r="BH24" s="143">
        <f t="shared" si="12"/>
        <v>0.20770676691729323</v>
      </c>
      <c r="BI24" s="144">
        <f t="shared" si="13"/>
        <v>164.72170451509481</v>
      </c>
      <c r="BJ24" s="144">
        <f t="shared" si="14"/>
        <v>93.315251326285249</v>
      </c>
      <c r="BK24" s="144">
        <f t="shared" si="15"/>
        <v>597.01474924621186</v>
      </c>
      <c r="BL24" s="144">
        <f t="shared" si="16"/>
        <v>224.15946242509827</v>
      </c>
      <c r="BM24" s="144">
        <f t="shared" si="17"/>
        <v>1.9750000000000001</v>
      </c>
      <c r="BN24" s="144">
        <f t="shared" si="18"/>
        <v>15.824999999999999</v>
      </c>
      <c r="BO24" s="144">
        <f t="shared" si="19"/>
        <v>40.975000000000001</v>
      </c>
      <c r="BP24" s="144">
        <f t="shared" si="20"/>
        <v>54.125</v>
      </c>
      <c r="BQ24" s="144">
        <f t="shared" si="21"/>
        <v>51.025000000000006</v>
      </c>
    </row>
    <row r="25" spans="1:76" x14ac:dyDescent="0.35">
      <c r="A25" s="122" t="s">
        <v>33</v>
      </c>
      <c r="B25" s="122" t="s">
        <v>29</v>
      </c>
      <c r="C25" s="122">
        <v>3</v>
      </c>
      <c r="D25" s="122">
        <v>1</v>
      </c>
      <c r="E25" s="122">
        <v>12</v>
      </c>
      <c r="F25" s="122">
        <v>112</v>
      </c>
      <c r="G25" s="65">
        <v>24</v>
      </c>
      <c r="H25" s="90">
        <v>45939</v>
      </c>
      <c r="I25" s="130">
        <v>0.57999999999999996</v>
      </c>
      <c r="J25" s="133">
        <v>0.27900000000000003</v>
      </c>
      <c r="K25" s="133">
        <v>0.316</v>
      </c>
      <c r="L25" s="133">
        <v>0.42</v>
      </c>
      <c r="M25" s="133">
        <v>0.65600000000000003</v>
      </c>
      <c r="N25" s="143">
        <f t="shared" si="1"/>
        <v>0.72099999999999997</v>
      </c>
      <c r="O25" s="143">
        <f t="shared" si="1"/>
        <v>0.68399999999999994</v>
      </c>
      <c r="P25" s="143">
        <f t="shared" si="1"/>
        <v>0.58000000000000007</v>
      </c>
      <c r="Q25" s="143">
        <f t="shared" si="1"/>
        <v>0.34399999999999997</v>
      </c>
      <c r="R25" s="65">
        <v>9.9</v>
      </c>
      <c r="S25" s="65">
        <v>0</v>
      </c>
      <c r="T25" s="65">
        <v>0.9</v>
      </c>
      <c r="U25" s="65">
        <v>0</v>
      </c>
      <c r="V25" s="65">
        <v>34.799999999999997</v>
      </c>
      <c r="W25" s="65">
        <v>5.2</v>
      </c>
      <c r="X25" s="65">
        <v>19.899999999999999</v>
      </c>
      <c r="Y25" s="65">
        <v>0</v>
      </c>
      <c r="Z25" s="65">
        <v>54.1</v>
      </c>
      <c r="AA25" s="65">
        <v>45.8</v>
      </c>
      <c r="AB25" s="65">
        <v>52</v>
      </c>
      <c r="AC25" s="65">
        <v>52.5</v>
      </c>
      <c r="AD25" s="65">
        <v>51.3</v>
      </c>
      <c r="AE25" s="65">
        <v>48</v>
      </c>
      <c r="AF25" s="65">
        <v>47</v>
      </c>
      <c r="AG25" s="65">
        <v>50.7</v>
      </c>
      <c r="AH25" s="65">
        <v>53.7</v>
      </c>
      <c r="AI25" s="65">
        <v>45</v>
      </c>
      <c r="AJ25" s="65">
        <v>49.4</v>
      </c>
      <c r="AK25" s="65">
        <v>52.6</v>
      </c>
      <c r="AL25" s="65">
        <v>54</v>
      </c>
      <c r="AM25" s="65">
        <v>0.5</v>
      </c>
      <c r="AN25" s="65">
        <v>1076</v>
      </c>
      <c r="AO25" s="136">
        <v>107.5</v>
      </c>
      <c r="AP25" s="65">
        <v>20</v>
      </c>
      <c r="AQ25" s="65">
        <v>20</v>
      </c>
      <c r="AR25" s="136">
        <v>67.3</v>
      </c>
      <c r="AS25" s="65">
        <v>23.26</v>
      </c>
      <c r="AT25" s="136">
        <f t="shared" si="2"/>
        <v>65.43833580980683</v>
      </c>
      <c r="AU25" s="143">
        <v>8.0399999999999991</v>
      </c>
      <c r="AV25" s="65">
        <v>2.2200000000000002</v>
      </c>
      <c r="AW25" s="65">
        <v>18.34</v>
      </c>
      <c r="AX25" s="65">
        <v>10.42</v>
      </c>
      <c r="AY25" s="143">
        <f t="shared" si="3"/>
        <v>39.020000000000003</v>
      </c>
      <c r="AZ25" s="143">
        <f t="shared" si="4"/>
        <v>1.9510000000000001</v>
      </c>
      <c r="BA25" s="143">
        <f t="shared" si="5"/>
        <v>5.375</v>
      </c>
      <c r="BB25" s="143">
        <f t="shared" si="6"/>
        <v>0.3456166419019317</v>
      </c>
      <c r="BC25" s="144">
        <f t="shared" si="7"/>
        <v>371.88350668647848</v>
      </c>
      <c r="BD25" s="144">
        <f t="shared" si="8"/>
        <v>743.76701337295697</v>
      </c>
      <c r="BE25" s="143">
        <f t="shared" si="9"/>
        <v>0.20604818042029724</v>
      </c>
      <c r="BF25" s="143">
        <f t="shared" si="10"/>
        <v>5.6893900563813431E-2</v>
      </c>
      <c r="BG25" s="143">
        <f t="shared" si="11"/>
        <v>0.47001537672988208</v>
      </c>
      <c r="BH25" s="143">
        <f t="shared" si="12"/>
        <v>0.26704254228600716</v>
      </c>
      <c r="BI25" s="144">
        <f t="shared" si="13"/>
        <v>153.25183976213665</v>
      </c>
      <c r="BJ25" s="144">
        <f t="shared" si="14"/>
        <v>42.315806501485511</v>
      </c>
      <c r="BK25" s="144">
        <f t="shared" si="15"/>
        <v>349.58193298974959</v>
      </c>
      <c r="BL25" s="144">
        <f t="shared" si="16"/>
        <v>198.61743411958511</v>
      </c>
      <c r="BM25" s="144">
        <f t="shared" si="17"/>
        <v>2.7</v>
      </c>
      <c r="BN25" s="144">
        <f t="shared" si="18"/>
        <v>14.975</v>
      </c>
      <c r="BO25" s="144">
        <f t="shared" si="19"/>
        <v>51.1</v>
      </c>
      <c r="BP25" s="144">
        <f t="shared" si="20"/>
        <v>49.25</v>
      </c>
      <c r="BQ25" s="144">
        <f t="shared" si="21"/>
        <v>50.174999999999997</v>
      </c>
    </row>
    <row r="26" spans="1:76" x14ac:dyDescent="0.35">
      <c r="A26" s="122" t="s">
        <v>28</v>
      </c>
      <c r="B26" s="122" t="s">
        <v>30</v>
      </c>
      <c r="C26" s="122">
        <v>4</v>
      </c>
      <c r="D26" s="122">
        <v>1</v>
      </c>
      <c r="E26" s="122">
        <v>14</v>
      </c>
      <c r="F26" s="122">
        <v>114</v>
      </c>
      <c r="G26" s="65">
        <v>25</v>
      </c>
      <c r="H26" s="90">
        <v>45937</v>
      </c>
      <c r="I26" s="130">
        <v>0.6</v>
      </c>
      <c r="J26" s="133">
        <v>0.14000000000000001</v>
      </c>
      <c r="K26" s="133">
        <v>0.20799999999999999</v>
      </c>
      <c r="L26" s="133">
        <v>0.30599999999999999</v>
      </c>
      <c r="M26" s="133">
        <v>0.59699999999999998</v>
      </c>
      <c r="N26" s="143">
        <f t="shared" si="1"/>
        <v>0.86</v>
      </c>
      <c r="O26" s="143">
        <f t="shared" si="1"/>
        <v>0.79200000000000004</v>
      </c>
      <c r="P26" s="143">
        <f t="shared" si="1"/>
        <v>0.69399999999999995</v>
      </c>
      <c r="Q26" s="143">
        <f t="shared" si="1"/>
        <v>0.40300000000000002</v>
      </c>
      <c r="R26" s="65">
        <v>0</v>
      </c>
      <c r="S26" s="65">
        <v>4.5999999999999996</v>
      </c>
      <c r="T26" s="65">
        <v>1.6</v>
      </c>
      <c r="U26" s="65">
        <v>0</v>
      </c>
      <c r="V26" s="65">
        <v>2.7</v>
      </c>
      <c r="W26" s="65">
        <v>40.700000000000003</v>
      </c>
      <c r="X26" s="65">
        <v>41.4</v>
      </c>
      <c r="Y26" s="65">
        <v>2.7</v>
      </c>
      <c r="Z26" s="65">
        <v>44.8</v>
      </c>
      <c r="AA26" s="65">
        <v>48.6</v>
      </c>
      <c r="AB26" s="65">
        <v>47</v>
      </c>
      <c r="AC26" s="65">
        <v>40.1</v>
      </c>
      <c r="AD26" s="65">
        <v>50</v>
      </c>
      <c r="AE26" s="65">
        <v>50.5</v>
      </c>
      <c r="AF26" s="65">
        <v>49.1</v>
      </c>
      <c r="AG26" s="65">
        <v>50.2</v>
      </c>
      <c r="AH26" s="65">
        <v>51.5</v>
      </c>
      <c r="AI26" s="65">
        <v>53.1</v>
      </c>
      <c r="AJ26" s="65">
        <v>47.9</v>
      </c>
      <c r="AK26" s="65">
        <v>49.3</v>
      </c>
      <c r="AL26" s="65">
        <v>81</v>
      </c>
      <c r="AM26" s="65">
        <v>0.5</v>
      </c>
      <c r="AN26" s="65">
        <v>1375</v>
      </c>
      <c r="AO26" s="136">
        <v>147.79</v>
      </c>
      <c r="AP26" s="65">
        <v>20</v>
      </c>
      <c r="AQ26" s="65">
        <v>19</v>
      </c>
      <c r="AR26" s="136">
        <v>82.19</v>
      </c>
      <c r="AS26" s="65">
        <v>32.01</v>
      </c>
      <c r="AT26" s="136">
        <f t="shared" si="2"/>
        <v>61.05365616255019</v>
      </c>
      <c r="AU26" s="143">
        <v>8.3000000000000007</v>
      </c>
      <c r="AV26" s="65">
        <v>1.77</v>
      </c>
      <c r="AW26" s="65">
        <v>34.07</v>
      </c>
      <c r="AX26" s="65">
        <v>10.46</v>
      </c>
      <c r="AY26" s="143">
        <f t="shared" si="3"/>
        <v>54.6</v>
      </c>
      <c r="AZ26" s="143">
        <f t="shared" si="4"/>
        <v>2.8736842105263158</v>
      </c>
      <c r="BA26" s="143">
        <f t="shared" si="5"/>
        <v>7.7784210526315789</v>
      </c>
      <c r="BB26" s="143">
        <f t="shared" si="6"/>
        <v>0.38946343837449809</v>
      </c>
      <c r="BC26" s="144">
        <f t="shared" si="7"/>
        <v>535.51222776493489</v>
      </c>
      <c r="BD26" s="144">
        <f t="shared" si="8"/>
        <v>1071.0244555298698</v>
      </c>
      <c r="BE26" s="143">
        <f t="shared" si="9"/>
        <v>0.15201465201465203</v>
      </c>
      <c r="BF26" s="143">
        <f t="shared" si="10"/>
        <v>3.241758241758242E-2</v>
      </c>
      <c r="BG26" s="143">
        <f t="shared" si="11"/>
        <v>0.623992673992674</v>
      </c>
      <c r="BH26" s="143">
        <f t="shared" si="12"/>
        <v>0.19157509157509159</v>
      </c>
      <c r="BI26" s="144">
        <f t="shared" si="13"/>
        <v>162.81140990655533</v>
      </c>
      <c r="BJ26" s="144">
        <f t="shared" si="14"/>
        <v>34.72002355838589</v>
      </c>
      <c r="BK26" s="144">
        <f t="shared" si="15"/>
        <v>668.31141391763117</v>
      </c>
      <c r="BL26" s="144">
        <f t="shared" si="16"/>
        <v>205.18160814729742</v>
      </c>
      <c r="BM26" s="144">
        <f t="shared" si="17"/>
        <v>1.5499999999999998</v>
      </c>
      <c r="BN26" s="144">
        <f t="shared" si="18"/>
        <v>21.875000000000004</v>
      </c>
      <c r="BO26" s="144">
        <f t="shared" si="19"/>
        <v>45.125</v>
      </c>
      <c r="BP26" s="144">
        <f t="shared" si="20"/>
        <v>49.95</v>
      </c>
      <c r="BQ26" s="144">
        <f t="shared" si="21"/>
        <v>50.45</v>
      </c>
    </row>
    <row r="27" spans="1:76" x14ac:dyDescent="0.35">
      <c r="A27" s="122" t="s">
        <v>28</v>
      </c>
      <c r="B27" s="122" t="s">
        <v>29</v>
      </c>
      <c r="C27" s="122">
        <v>4</v>
      </c>
      <c r="D27" s="122">
        <v>2</v>
      </c>
      <c r="E27" s="122">
        <v>14</v>
      </c>
      <c r="F27" s="122">
        <v>214</v>
      </c>
      <c r="G27" s="65">
        <v>26</v>
      </c>
      <c r="H27" s="90">
        <v>45933</v>
      </c>
      <c r="I27" s="130">
        <v>0.69</v>
      </c>
      <c r="J27" s="133">
        <v>0.126</v>
      </c>
      <c r="K27" s="133">
        <v>0.19</v>
      </c>
      <c r="L27" s="133">
        <v>0.29499999999999998</v>
      </c>
      <c r="M27" s="133">
        <v>0.39500000000000002</v>
      </c>
      <c r="N27" s="143">
        <f t="shared" si="1"/>
        <v>0.874</v>
      </c>
      <c r="O27" s="143">
        <f t="shared" si="1"/>
        <v>0.81</v>
      </c>
      <c r="P27" s="143">
        <f t="shared" si="1"/>
        <v>0.70500000000000007</v>
      </c>
      <c r="Q27" s="143">
        <f t="shared" si="1"/>
        <v>0.60499999999999998</v>
      </c>
      <c r="R27" s="65">
        <v>0.3</v>
      </c>
      <c r="S27" s="65">
        <v>1.7</v>
      </c>
      <c r="T27" s="65">
        <v>0.4</v>
      </c>
      <c r="U27" s="65">
        <v>0</v>
      </c>
      <c r="V27" s="65">
        <v>0.6</v>
      </c>
      <c r="W27" s="65">
        <v>40.6</v>
      </c>
      <c r="X27" s="65">
        <v>45</v>
      </c>
      <c r="Y27" s="65">
        <v>10.4</v>
      </c>
      <c r="Z27" s="65">
        <v>38</v>
      </c>
      <c r="AA27" s="65">
        <v>50.4</v>
      </c>
      <c r="AB27" s="65">
        <v>47.2</v>
      </c>
      <c r="AC27" s="65">
        <v>33.799999999999997</v>
      </c>
      <c r="AD27" s="65">
        <v>51.9</v>
      </c>
      <c r="AE27" s="65">
        <v>51.9</v>
      </c>
      <c r="AF27" s="65">
        <v>49.8</v>
      </c>
      <c r="AG27" s="65">
        <v>53.8</v>
      </c>
      <c r="AH27" s="65">
        <v>50</v>
      </c>
      <c r="AI27" s="65">
        <v>48.9</v>
      </c>
      <c r="AJ27" s="65">
        <v>53.1</v>
      </c>
      <c r="AK27" s="65">
        <v>54.5</v>
      </c>
      <c r="AL27" s="65">
        <v>69</v>
      </c>
      <c r="AM27" s="65">
        <v>0.5</v>
      </c>
      <c r="AN27" s="65">
        <v>1691</v>
      </c>
      <c r="AO27" s="136">
        <v>123</v>
      </c>
      <c r="AP27" s="65">
        <v>20</v>
      </c>
      <c r="AQ27" s="65">
        <v>19</v>
      </c>
      <c r="AR27" s="136">
        <v>74.099999999999994</v>
      </c>
      <c r="AS27" s="65">
        <v>27.45</v>
      </c>
      <c r="AT27" s="136">
        <f t="shared" si="2"/>
        <v>62.955465587044529</v>
      </c>
      <c r="AU27" s="143">
        <v>9.41</v>
      </c>
      <c r="AV27" s="65">
        <v>3.82</v>
      </c>
      <c r="AW27" s="65">
        <v>22.59</v>
      </c>
      <c r="AX27" s="65">
        <v>10.96</v>
      </c>
      <c r="AY27" s="143">
        <f t="shared" si="3"/>
        <v>46.78</v>
      </c>
      <c r="AZ27" s="143">
        <f t="shared" si="4"/>
        <v>2.4621052631578948</v>
      </c>
      <c r="BA27" s="143">
        <f t="shared" si="5"/>
        <v>6.4736842105263159</v>
      </c>
      <c r="BB27" s="143">
        <f t="shared" si="6"/>
        <v>0.37044534412955465</v>
      </c>
      <c r="BC27" s="144">
        <f t="shared" si="7"/>
        <v>626.42307692307691</v>
      </c>
      <c r="BD27" s="144">
        <f t="shared" si="8"/>
        <v>1252.8461538461538</v>
      </c>
      <c r="BE27" s="143">
        <f t="shared" si="9"/>
        <v>0.20115433946130826</v>
      </c>
      <c r="BF27" s="143">
        <f t="shared" si="10"/>
        <v>8.1658828559213331E-2</v>
      </c>
      <c r="BG27" s="143">
        <f t="shared" si="11"/>
        <v>0.48289867464728514</v>
      </c>
      <c r="BH27" s="143">
        <f t="shared" si="12"/>
        <v>0.23428815733219327</v>
      </c>
      <c r="BI27" s="144">
        <f t="shared" si="13"/>
        <v>252.01544052356365</v>
      </c>
      <c r="BJ27" s="144">
        <f t="shared" si="14"/>
        <v>102.30594928799289</v>
      </c>
      <c r="BK27" s="144">
        <f t="shared" si="15"/>
        <v>604.99774722925633</v>
      </c>
      <c r="BL27" s="144">
        <f t="shared" si="16"/>
        <v>293.52701680534091</v>
      </c>
      <c r="BM27" s="144">
        <f t="shared" si="17"/>
        <v>0.6</v>
      </c>
      <c r="BN27" s="144">
        <f t="shared" si="18"/>
        <v>24.150000000000002</v>
      </c>
      <c r="BO27" s="144">
        <f t="shared" si="19"/>
        <v>42.350000000000009</v>
      </c>
      <c r="BP27" s="144">
        <f t="shared" si="20"/>
        <v>51.849999999999994</v>
      </c>
      <c r="BQ27" s="144">
        <f t="shared" si="21"/>
        <v>51.625</v>
      </c>
    </row>
    <row r="28" spans="1:76" x14ac:dyDescent="0.35">
      <c r="A28" s="122" t="s">
        <v>28</v>
      </c>
      <c r="B28" s="122" t="s">
        <v>32</v>
      </c>
      <c r="C28" s="122">
        <v>4</v>
      </c>
      <c r="D28" s="122">
        <v>3</v>
      </c>
      <c r="E28" s="122">
        <v>14</v>
      </c>
      <c r="F28" s="122">
        <v>314</v>
      </c>
      <c r="G28" s="65">
        <v>27</v>
      </c>
      <c r="H28" s="90">
        <v>45944</v>
      </c>
      <c r="I28" s="130">
        <v>0.63</v>
      </c>
      <c r="J28" s="132">
        <v>0.25750000000000001</v>
      </c>
      <c r="K28" s="132">
        <v>0.41099999999999998</v>
      </c>
      <c r="L28" s="132">
        <v>0.34250000000000003</v>
      </c>
      <c r="M28" s="132">
        <v>0.63050000000000006</v>
      </c>
      <c r="N28" s="143">
        <f t="shared" si="1"/>
        <v>0.74249999999999994</v>
      </c>
      <c r="O28" s="143">
        <f t="shared" si="1"/>
        <v>0.58899999999999997</v>
      </c>
      <c r="P28" s="143">
        <f t="shared" si="1"/>
        <v>0.65749999999999997</v>
      </c>
      <c r="Q28" s="143">
        <f t="shared" si="1"/>
        <v>0.36949999999999994</v>
      </c>
      <c r="R28" s="65">
        <v>0</v>
      </c>
      <c r="S28" s="65">
        <v>0</v>
      </c>
      <c r="T28" s="65">
        <v>0</v>
      </c>
      <c r="U28" s="65">
        <v>24.3</v>
      </c>
      <c r="V28" s="65">
        <v>11</v>
      </c>
      <c r="W28" s="65">
        <v>29.7</v>
      </c>
      <c r="X28" s="65">
        <v>12.4</v>
      </c>
      <c r="Y28" s="65">
        <v>49.5</v>
      </c>
      <c r="Z28" s="65">
        <v>48.7</v>
      </c>
      <c r="AA28" s="65">
        <v>53.7</v>
      </c>
      <c r="AB28" s="65">
        <v>55.5</v>
      </c>
      <c r="AC28" s="65">
        <v>53</v>
      </c>
      <c r="AD28" s="65">
        <v>49.6</v>
      </c>
      <c r="AE28" s="65">
        <v>54.7</v>
      </c>
      <c r="AF28" s="65">
        <v>53.5</v>
      </c>
      <c r="AG28" s="65">
        <v>50.8</v>
      </c>
      <c r="AH28" s="65">
        <v>44</v>
      </c>
      <c r="AI28" s="65">
        <v>48.4</v>
      </c>
      <c r="AJ28" s="65">
        <v>48.6</v>
      </c>
      <c r="AK28" s="65">
        <v>48.9</v>
      </c>
      <c r="AL28" s="65">
        <v>67</v>
      </c>
      <c r="AM28" s="65">
        <v>0.5</v>
      </c>
      <c r="AN28" s="65">
        <v>1090</v>
      </c>
      <c r="AO28" s="65">
        <v>70.900000000000006</v>
      </c>
      <c r="AP28" s="65">
        <v>20</v>
      </c>
      <c r="AQ28" s="65">
        <v>19</v>
      </c>
      <c r="AR28" s="65">
        <v>70.3</v>
      </c>
      <c r="AS28" s="65">
        <v>27.35</v>
      </c>
      <c r="AT28" s="136">
        <f t="shared" si="2"/>
        <v>61.095305832147943</v>
      </c>
      <c r="AU28" s="143">
        <v>4.6500000000000004</v>
      </c>
      <c r="AV28" s="65">
        <v>3.12</v>
      </c>
      <c r="AW28" s="65">
        <v>16.25</v>
      </c>
      <c r="AX28" s="65">
        <v>5.52</v>
      </c>
      <c r="AY28" s="143">
        <f t="shared" si="3"/>
        <v>29.54</v>
      </c>
      <c r="AZ28" s="143">
        <f t="shared" si="4"/>
        <v>1.5547368421052632</v>
      </c>
      <c r="BA28" s="143">
        <f t="shared" si="5"/>
        <v>3.7315789473684213</v>
      </c>
      <c r="BB28" s="143">
        <f t="shared" si="6"/>
        <v>0.38904694167852066</v>
      </c>
      <c r="BC28" s="144">
        <f t="shared" si="7"/>
        <v>424.0611664295875</v>
      </c>
      <c r="BD28" s="144">
        <f t="shared" si="8"/>
        <v>848.122332859175</v>
      </c>
      <c r="BE28" s="143">
        <f t="shared" si="9"/>
        <v>0.15741367637102235</v>
      </c>
      <c r="BF28" s="143">
        <f t="shared" si="10"/>
        <v>0.10561949898442791</v>
      </c>
      <c r="BG28" s="143">
        <f t="shared" si="11"/>
        <v>0.55010155721056198</v>
      </c>
      <c r="BH28" s="143">
        <f t="shared" si="12"/>
        <v>0.18686526743398779</v>
      </c>
      <c r="BI28" s="144">
        <f t="shared" si="13"/>
        <v>133.50605442773067</v>
      </c>
      <c r="BJ28" s="144">
        <f t="shared" si="14"/>
        <v>89.57825587409026</v>
      </c>
      <c r="BK28" s="144">
        <f t="shared" si="15"/>
        <v>466.55341601088674</v>
      </c>
      <c r="BL28" s="144">
        <f t="shared" si="16"/>
        <v>158.48460654646735</v>
      </c>
      <c r="BM28" s="144">
        <f t="shared" si="17"/>
        <v>6.0750000000000002</v>
      </c>
      <c r="BN28" s="144">
        <f t="shared" si="18"/>
        <v>25.65</v>
      </c>
      <c r="BO28" s="144">
        <f t="shared" si="19"/>
        <v>52.725000000000001</v>
      </c>
      <c r="BP28" s="144">
        <f t="shared" si="20"/>
        <v>52.150000000000006</v>
      </c>
      <c r="BQ28" s="144">
        <f t="shared" si="21"/>
        <v>47.475000000000001</v>
      </c>
    </row>
    <row r="29" spans="1:76" x14ac:dyDescent="0.35">
      <c r="A29" s="122" t="s">
        <v>28</v>
      </c>
      <c r="B29" s="122" t="s">
        <v>31</v>
      </c>
      <c r="C29" s="122">
        <v>4</v>
      </c>
      <c r="D29" s="122">
        <v>4</v>
      </c>
      <c r="E29" s="122">
        <v>14</v>
      </c>
      <c r="F29" s="122">
        <v>414</v>
      </c>
      <c r="G29" s="65">
        <v>28</v>
      </c>
      <c r="H29" s="90">
        <v>45937</v>
      </c>
      <c r="I29" s="130">
        <v>0.68</v>
      </c>
      <c r="J29" s="133">
        <v>9.2999999999999999E-2</v>
      </c>
      <c r="K29" s="133">
        <v>0.14899999999999999</v>
      </c>
      <c r="L29" s="133">
        <v>0.192</v>
      </c>
      <c r="M29" s="133">
        <v>0.44</v>
      </c>
      <c r="N29" s="143">
        <f t="shared" si="1"/>
        <v>0.90700000000000003</v>
      </c>
      <c r="O29" s="143">
        <f t="shared" si="1"/>
        <v>0.85099999999999998</v>
      </c>
      <c r="P29" s="143">
        <f t="shared" si="1"/>
        <v>0.80800000000000005</v>
      </c>
      <c r="Q29" s="143">
        <f t="shared" si="1"/>
        <v>0.56000000000000005</v>
      </c>
      <c r="R29" s="65">
        <v>0</v>
      </c>
      <c r="S29" s="65">
        <v>0</v>
      </c>
      <c r="T29" s="65">
        <v>0</v>
      </c>
      <c r="U29" s="65">
        <v>0</v>
      </c>
      <c r="V29" s="65">
        <v>1.2</v>
      </c>
      <c r="W29" s="65">
        <v>5.4</v>
      </c>
      <c r="X29" s="65">
        <v>11.1</v>
      </c>
      <c r="Y29" s="65">
        <v>0</v>
      </c>
      <c r="Z29" s="65">
        <v>26.2</v>
      </c>
      <c r="AA29" s="65">
        <v>37</v>
      </c>
      <c r="AB29" s="65">
        <v>41.3</v>
      </c>
      <c r="AC29" s="65">
        <v>26.2</v>
      </c>
      <c r="AD29" s="65">
        <v>41.2</v>
      </c>
      <c r="AE29" s="65">
        <v>48.5</v>
      </c>
      <c r="AF29" s="65">
        <v>41.6</v>
      </c>
      <c r="AG29" s="65">
        <v>47.1</v>
      </c>
      <c r="AH29" s="65">
        <v>45.7</v>
      </c>
      <c r="AI29" s="65">
        <v>43.8</v>
      </c>
      <c r="AJ29" s="65">
        <v>44.6</v>
      </c>
      <c r="AK29" s="65">
        <v>46.1</v>
      </c>
      <c r="AL29" s="65">
        <v>78</v>
      </c>
      <c r="AM29" s="65">
        <v>0.5</v>
      </c>
      <c r="AN29" s="65">
        <v>1380</v>
      </c>
      <c r="AO29" s="136">
        <v>121.81</v>
      </c>
      <c r="AP29" s="65">
        <v>20</v>
      </c>
      <c r="AQ29" s="65">
        <v>20</v>
      </c>
      <c r="AR29" s="136">
        <v>91.35</v>
      </c>
      <c r="AS29" s="65">
        <v>34.380000000000003</v>
      </c>
      <c r="AT29" s="136">
        <f t="shared" si="2"/>
        <v>62.364532019704427</v>
      </c>
      <c r="AU29" s="143">
        <v>8.5399999999999991</v>
      </c>
      <c r="AV29" s="65">
        <v>3.13</v>
      </c>
      <c r="AW29" s="65">
        <v>23.13</v>
      </c>
      <c r="AX29" s="65">
        <v>9.85</v>
      </c>
      <c r="AY29" s="143">
        <f t="shared" si="3"/>
        <v>44.65</v>
      </c>
      <c r="AZ29" s="143">
        <f t="shared" si="4"/>
        <v>2.2324999999999999</v>
      </c>
      <c r="BA29" s="143">
        <f t="shared" si="5"/>
        <v>6.0905000000000005</v>
      </c>
      <c r="BB29" s="143">
        <f t="shared" si="6"/>
        <v>0.37635467980295573</v>
      </c>
      <c r="BC29" s="144">
        <f t="shared" si="7"/>
        <v>519.36945812807892</v>
      </c>
      <c r="BD29" s="144">
        <f t="shared" si="8"/>
        <v>1038.7389162561578</v>
      </c>
      <c r="BE29" s="143">
        <f t="shared" si="9"/>
        <v>0.19126539753639415</v>
      </c>
      <c r="BF29" s="143">
        <f t="shared" si="10"/>
        <v>7.0100783874580061E-2</v>
      </c>
      <c r="BG29" s="143">
        <f t="shared" si="11"/>
        <v>0.51802911534154539</v>
      </c>
      <c r="BH29" s="143">
        <f t="shared" si="12"/>
        <v>0.22060470324748041</v>
      </c>
      <c r="BI29" s="144">
        <f t="shared" si="13"/>
        <v>198.67481175425726</v>
      </c>
      <c r="BJ29" s="144">
        <f t="shared" si="14"/>
        <v>72.816412270588444</v>
      </c>
      <c r="BK29" s="144">
        <f t="shared" si="15"/>
        <v>538.09700185901306</v>
      </c>
      <c r="BL29" s="144">
        <f t="shared" si="16"/>
        <v>229.1506903722991</v>
      </c>
      <c r="BM29" s="144">
        <f t="shared" si="17"/>
        <v>0</v>
      </c>
      <c r="BN29" s="144">
        <f t="shared" si="18"/>
        <v>4.4249999999999998</v>
      </c>
      <c r="BO29" s="144">
        <f t="shared" si="19"/>
        <v>32.674999999999997</v>
      </c>
      <c r="BP29" s="144">
        <f t="shared" si="20"/>
        <v>44.6</v>
      </c>
      <c r="BQ29" s="144">
        <f t="shared" si="21"/>
        <v>45.05</v>
      </c>
    </row>
    <row r="30" spans="1:76" x14ac:dyDescent="0.35">
      <c r="A30" s="122" t="s">
        <v>33</v>
      </c>
      <c r="B30" s="122" t="s">
        <v>35</v>
      </c>
      <c r="C30" s="122">
        <v>4</v>
      </c>
      <c r="D30" s="122">
        <v>4</v>
      </c>
      <c r="E30" s="122">
        <v>16</v>
      </c>
      <c r="F30" s="122">
        <v>416</v>
      </c>
      <c r="G30" s="65">
        <v>29</v>
      </c>
      <c r="H30" s="90">
        <v>45944</v>
      </c>
      <c r="I30" s="130">
        <v>0.64</v>
      </c>
      <c r="J30" s="132">
        <v>0.23049999999999998</v>
      </c>
      <c r="K30" s="132">
        <v>0.23349999999999999</v>
      </c>
      <c r="L30" s="132">
        <v>0.504</v>
      </c>
      <c r="M30" s="132">
        <v>0.66549999999999998</v>
      </c>
      <c r="N30" s="143">
        <f t="shared" si="1"/>
        <v>0.76950000000000007</v>
      </c>
      <c r="O30" s="143">
        <f t="shared" si="1"/>
        <v>0.76649999999999996</v>
      </c>
      <c r="P30" s="143">
        <f t="shared" si="1"/>
        <v>0.496</v>
      </c>
      <c r="Q30" s="143">
        <f t="shared" si="1"/>
        <v>0.33450000000000002</v>
      </c>
      <c r="R30" s="65">
        <v>0</v>
      </c>
      <c r="S30" s="65">
        <v>0</v>
      </c>
      <c r="T30" s="65">
        <v>0</v>
      </c>
      <c r="U30" s="65">
        <v>0</v>
      </c>
      <c r="V30" s="65">
        <v>0</v>
      </c>
      <c r="W30" s="65">
        <v>0</v>
      </c>
      <c r="X30" s="65">
        <v>0</v>
      </c>
      <c r="Y30" s="65">
        <v>28.6</v>
      </c>
      <c r="Z30" s="65">
        <v>41.9</v>
      </c>
      <c r="AA30" s="65">
        <v>18</v>
      </c>
      <c r="AB30" s="65">
        <v>28.2</v>
      </c>
      <c r="AC30" s="65">
        <v>51.9</v>
      </c>
      <c r="AD30" s="65">
        <v>54.6</v>
      </c>
      <c r="AE30" s="65">
        <v>50.4</v>
      </c>
      <c r="AF30" s="65">
        <v>53</v>
      </c>
      <c r="AG30" s="65">
        <v>54.9</v>
      </c>
      <c r="AH30" s="65">
        <v>50.9</v>
      </c>
      <c r="AI30" s="65">
        <v>48.9</v>
      </c>
      <c r="AJ30" s="65">
        <v>47.6</v>
      </c>
      <c r="AK30" s="65">
        <v>52.3</v>
      </c>
      <c r="AL30" s="65">
        <v>72</v>
      </c>
      <c r="AM30" s="65">
        <v>0.5</v>
      </c>
      <c r="AN30" s="65">
        <v>1175</v>
      </c>
      <c r="AO30" s="65">
        <v>123.8</v>
      </c>
      <c r="AP30" s="65">
        <v>20</v>
      </c>
      <c r="AQ30" s="65">
        <v>20</v>
      </c>
      <c r="AR30" s="65">
        <v>75.900000000000006</v>
      </c>
      <c r="AS30" s="65">
        <v>33.65</v>
      </c>
      <c r="AT30" s="136">
        <f t="shared" si="2"/>
        <v>55.665349143610023</v>
      </c>
      <c r="AU30" s="143">
        <v>7.3</v>
      </c>
      <c r="AV30" s="65">
        <v>5.04</v>
      </c>
      <c r="AW30" s="65">
        <v>31.15</v>
      </c>
      <c r="AX30" s="65">
        <v>11.57</v>
      </c>
      <c r="AY30" s="143">
        <f t="shared" si="3"/>
        <v>55.059999999999995</v>
      </c>
      <c r="AZ30" s="143">
        <f t="shared" si="4"/>
        <v>2.7529999999999997</v>
      </c>
      <c r="BA30" s="143">
        <f t="shared" si="5"/>
        <v>6.1899999999999995</v>
      </c>
      <c r="BB30" s="143">
        <f t="shared" si="6"/>
        <v>0.44334650856389984</v>
      </c>
      <c r="BC30" s="144">
        <f t="shared" si="7"/>
        <v>520.93214756258237</v>
      </c>
      <c r="BD30" s="144">
        <f t="shared" si="8"/>
        <v>1041.8642951251647</v>
      </c>
      <c r="BE30" s="143">
        <f t="shared" si="9"/>
        <v>0.13258263712313839</v>
      </c>
      <c r="BF30" s="143">
        <f t="shared" si="10"/>
        <v>9.1536505630221587E-2</v>
      </c>
      <c r="BG30" s="143">
        <f t="shared" si="11"/>
        <v>0.56574645840900839</v>
      </c>
      <c r="BH30" s="143">
        <f t="shared" si="12"/>
        <v>0.21013439883763169</v>
      </c>
      <c r="BI30" s="144">
        <f t="shared" si="13"/>
        <v>138.13311577213409</v>
      </c>
      <c r="BJ30" s="144">
        <f t="shared" si="14"/>
        <v>95.36861691665149</v>
      </c>
      <c r="BK30" s="144">
        <f t="shared" si="15"/>
        <v>589.43103510985986</v>
      </c>
      <c r="BL30" s="144">
        <f t="shared" si="16"/>
        <v>218.93152732651939</v>
      </c>
      <c r="BM30" s="144">
        <f t="shared" si="17"/>
        <v>0</v>
      </c>
      <c r="BN30" s="144">
        <f t="shared" si="18"/>
        <v>7.15</v>
      </c>
      <c r="BO30" s="144">
        <f t="shared" si="19"/>
        <v>35</v>
      </c>
      <c r="BP30" s="144">
        <f t="shared" si="20"/>
        <v>53.225000000000001</v>
      </c>
      <c r="BQ30" s="144">
        <f t="shared" si="21"/>
        <v>49.924999999999997</v>
      </c>
    </row>
    <row r="31" spans="1:76" x14ac:dyDescent="0.35">
      <c r="A31" s="122" t="s">
        <v>33</v>
      </c>
      <c r="B31" s="122" t="s">
        <v>29</v>
      </c>
      <c r="C31" s="122">
        <v>4</v>
      </c>
      <c r="D31" s="122">
        <v>3</v>
      </c>
      <c r="E31" s="122">
        <v>16</v>
      </c>
      <c r="F31" s="122">
        <v>316</v>
      </c>
      <c r="G31" s="65">
        <v>30</v>
      </c>
      <c r="H31" s="90">
        <v>45939</v>
      </c>
      <c r="I31" s="130">
        <v>0.56999999999999995</v>
      </c>
      <c r="J31" s="133">
        <v>0.41799999999999998</v>
      </c>
      <c r="K31" s="133">
        <v>0.38</v>
      </c>
      <c r="L31" s="133">
        <v>0.38800000000000001</v>
      </c>
      <c r="M31" s="133">
        <v>0.61499999999999999</v>
      </c>
      <c r="N31" s="143">
        <f t="shared" si="1"/>
        <v>0.58200000000000007</v>
      </c>
      <c r="O31" s="143">
        <f t="shared" si="1"/>
        <v>0.62</v>
      </c>
      <c r="P31" s="143">
        <f t="shared" si="1"/>
        <v>0.61199999999999999</v>
      </c>
      <c r="Q31" s="143">
        <f t="shared" si="1"/>
        <v>0.38500000000000001</v>
      </c>
      <c r="R31" s="65">
        <v>0</v>
      </c>
      <c r="S31" s="65">
        <v>2.5</v>
      </c>
      <c r="T31" s="65">
        <v>0.2</v>
      </c>
      <c r="U31" s="65">
        <v>0</v>
      </c>
      <c r="V31" s="65">
        <v>0</v>
      </c>
      <c r="W31" s="65">
        <v>11.7</v>
      </c>
      <c r="X31" s="65">
        <v>29.1</v>
      </c>
      <c r="Y31" s="65">
        <v>31.4</v>
      </c>
      <c r="Z31" s="65">
        <v>29.3</v>
      </c>
      <c r="AA31" s="65">
        <v>44.8</v>
      </c>
      <c r="AB31" s="65">
        <v>51.5</v>
      </c>
      <c r="AC31" s="65">
        <v>51.4</v>
      </c>
      <c r="AD31" s="65">
        <v>43.9</v>
      </c>
      <c r="AE31" s="65">
        <v>49.8</v>
      </c>
      <c r="AF31" s="65">
        <v>47.9</v>
      </c>
      <c r="AG31" s="65">
        <v>54.1</v>
      </c>
      <c r="AH31" s="65">
        <v>46.5</v>
      </c>
      <c r="AI31" s="65">
        <v>51</v>
      </c>
      <c r="AJ31" s="65">
        <v>52.2</v>
      </c>
      <c r="AK31" s="65">
        <v>52.6</v>
      </c>
      <c r="AL31" s="65">
        <v>55</v>
      </c>
      <c r="AM31" s="65">
        <v>0.5</v>
      </c>
      <c r="AN31" s="65">
        <v>908</v>
      </c>
      <c r="AO31" s="136">
        <v>103.2</v>
      </c>
      <c r="AP31" s="65">
        <v>20</v>
      </c>
      <c r="AQ31" s="65">
        <v>19</v>
      </c>
      <c r="AR31" s="136">
        <v>63.4</v>
      </c>
      <c r="AS31" s="65">
        <v>21.22</v>
      </c>
      <c r="AT31" s="136">
        <f t="shared" si="2"/>
        <v>66.529968454258679</v>
      </c>
      <c r="AU31" s="143">
        <v>831</v>
      </c>
      <c r="AV31" s="65">
        <v>2.1</v>
      </c>
      <c r="AW31" s="65">
        <v>16.690000000000001</v>
      </c>
      <c r="AX31" s="65">
        <v>9.2899999999999991</v>
      </c>
      <c r="AY31" s="143">
        <f t="shared" si="3"/>
        <v>859.08</v>
      </c>
      <c r="AZ31" s="143">
        <f t="shared" si="4"/>
        <v>45.214736842105268</v>
      </c>
      <c r="BA31" s="143">
        <f t="shared" si="5"/>
        <v>5.4315789473684211</v>
      </c>
      <c r="BB31" s="143">
        <f t="shared" si="6"/>
        <v>0.33470031545741324</v>
      </c>
      <c r="BC31" s="144">
        <f t="shared" si="7"/>
        <v>303.90788643533125</v>
      </c>
      <c r="BD31" s="144">
        <f t="shared" si="8"/>
        <v>607.8157728706625</v>
      </c>
      <c r="BE31" s="143">
        <f t="shared" si="9"/>
        <v>0.96731387065232566</v>
      </c>
      <c r="BF31" s="143">
        <f t="shared" si="10"/>
        <v>2.4444754854029893E-3</v>
      </c>
      <c r="BG31" s="143">
        <f t="shared" si="11"/>
        <v>1.9427759929226615E-2</v>
      </c>
      <c r="BH31" s="143">
        <f t="shared" si="12"/>
        <v>1.0813893933044652E-2</v>
      </c>
      <c r="BI31" s="144">
        <f t="shared" si="13"/>
        <v>587.9486278990554</v>
      </c>
      <c r="BJ31" s="144">
        <f t="shared" si="14"/>
        <v>1.4857907564236057</v>
      </c>
      <c r="BK31" s="144">
        <f t="shared" si="15"/>
        <v>11.808498916528562</v>
      </c>
      <c r="BL31" s="144">
        <f t="shared" si="16"/>
        <v>6.5728552986549031</v>
      </c>
      <c r="BM31" s="144">
        <f t="shared" si="17"/>
        <v>0.67500000000000004</v>
      </c>
      <c r="BN31" s="144">
        <f t="shared" si="18"/>
        <v>18.049999999999997</v>
      </c>
      <c r="BO31" s="144">
        <f t="shared" si="19"/>
        <v>44.25</v>
      </c>
      <c r="BP31" s="144">
        <f t="shared" si="20"/>
        <v>48.924999999999997</v>
      </c>
      <c r="BQ31" s="144">
        <f t="shared" si="21"/>
        <v>50.574999999999996</v>
      </c>
    </row>
    <row r="32" spans="1:76" x14ac:dyDescent="0.35">
      <c r="A32" s="122" t="s">
        <v>33</v>
      </c>
      <c r="B32" s="122" t="s">
        <v>34</v>
      </c>
      <c r="C32" s="122">
        <v>4</v>
      </c>
      <c r="D32" s="122">
        <v>2</v>
      </c>
      <c r="E32" s="122">
        <v>16</v>
      </c>
      <c r="F32" s="122">
        <v>216</v>
      </c>
      <c r="G32" s="65">
        <v>31</v>
      </c>
      <c r="H32" s="90">
        <v>45940</v>
      </c>
      <c r="I32" s="130">
        <v>0.7</v>
      </c>
      <c r="J32" s="132">
        <v>0.21949999999999997</v>
      </c>
      <c r="K32" s="132">
        <v>0.29349999999999998</v>
      </c>
      <c r="L32" s="132">
        <v>0.63400000000000001</v>
      </c>
      <c r="M32" s="132">
        <v>0.89149999999999996</v>
      </c>
      <c r="N32" s="143">
        <f t="shared" si="1"/>
        <v>0.78049999999999997</v>
      </c>
      <c r="O32" s="143">
        <f t="shared" si="1"/>
        <v>0.70650000000000002</v>
      </c>
      <c r="P32" s="143">
        <f t="shared" si="1"/>
        <v>0.36599999999999999</v>
      </c>
      <c r="Q32" s="143">
        <f t="shared" si="1"/>
        <v>0.10850000000000004</v>
      </c>
      <c r="R32" s="65">
        <v>0</v>
      </c>
      <c r="S32" s="65">
        <v>3.3</v>
      </c>
      <c r="T32" s="65">
        <v>0</v>
      </c>
      <c r="U32" s="65">
        <v>0</v>
      </c>
      <c r="V32" s="65">
        <v>37.1</v>
      </c>
      <c r="W32" s="65">
        <v>43.9</v>
      </c>
      <c r="X32" s="65">
        <v>44.3</v>
      </c>
      <c r="Y32" s="65">
        <v>1.7</v>
      </c>
      <c r="Z32" s="65">
        <v>46.2</v>
      </c>
      <c r="AA32" s="65">
        <v>51.8</v>
      </c>
      <c r="AB32" s="65">
        <v>55.3</v>
      </c>
      <c r="AC32" s="65">
        <v>44.9</v>
      </c>
      <c r="AD32" s="65">
        <v>49.7</v>
      </c>
      <c r="AE32" s="65">
        <v>47.5</v>
      </c>
      <c r="AF32" s="65">
        <v>49.1</v>
      </c>
      <c r="AG32" s="65">
        <v>51.6</v>
      </c>
      <c r="AH32" s="65">
        <v>50.8</v>
      </c>
      <c r="AI32" s="65">
        <v>45.5</v>
      </c>
      <c r="AJ32" s="65">
        <v>46.8</v>
      </c>
      <c r="AK32" s="65">
        <v>48.2</v>
      </c>
      <c r="AL32" s="65">
        <v>77</v>
      </c>
      <c r="AM32" s="65">
        <v>0.5</v>
      </c>
      <c r="AN32" s="65">
        <v>1295</v>
      </c>
      <c r="AO32" s="65">
        <v>176.3</v>
      </c>
      <c r="AP32" s="65">
        <v>20</v>
      </c>
      <c r="AQ32" s="65">
        <v>20</v>
      </c>
      <c r="AR32" s="65">
        <v>70.5</v>
      </c>
      <c r="AS32" s="65">
        <v>24.03</v>
      </c>
      <c r="AT32" s="136">
        <f t="shared" si="2"/>
        <v>65.914893617021278</v>
      </c>
      <c r="AU32" s="143">
        <v>9.99</v>
      </c>
      <c r="AV32" s="65">
        <v>1.53</v>
      </c>
      <c r="AW32" s="65">
        <v>36.58</v>
      </c>
      <c r="AX32" s="65">
        <v>11.69</v>
      </c>
      <c r="AY32" s="143">
        <f t="shared" si="3"/>
        <v>59.789999999999992</v>
      </c>
      <c r="AZ32" s="143">
        <f t="shared" si="4"/>
        <v>2.9894999999999996</v>
      </c>
      <c r="BA32" s="143">
        <f t="shared" si="5"/>
        <v>8.8150000000000013</v>
      </c>
      <c r="BB32" s="143">
        <f t="shared" si="6"/>
        <v>0.34085106382978725</v>
      </c>
      <c r="BC32" s="144">
        <f t="shared" si="7"/>
        <v>441.40212765957449</v>
      </c>
      <c r="BD32" s="144">
        <f t="shared" si="8"/>
        <v>882.80425531914898</v>
      </c>
      <c r="BE32" s="143">
        <f t="shared" si="9"/>
        <v>0.16708479678876068</v>
      </c>
      <c r="BF32" s="143">
        <f t="shared" si="10"/>
        <v>2.5589563472152538E-2</v>
      </c>
      <c r="BG32" s="143">
        <f t="shared" si="11"/>
        <v>0.61180799464793445</v>
      </c>
      <c r="BH32" s="143">
        <f t="shared" si="12"/>
        <v>0.19551764509115238</v>
      </c>
      <c r="BI32" s="144">
        <f t="shared" si="13"/>
        <v>147.5031696042532</v>
      </c>
      <c r="BJ32" s="144">
        <f t="shared" si="14"/>
        <v>22.590575524975719</v>
      </c>
      <c r="BK32" s="144">
        <f t="shared" si="15"/>
        <v>540.10670111347167</v>
      </c>
      <c r="BL32" s="144">
        <f t="shared" si="16"/>
        <v>172.60380907644844</v>
      </c>
      <c r="BM32" s="144">
        <f t="shared" si="17"/>
        <v>0.82499999999999996</v>
      </c>
      <c r="BN32" s="144">
        <f t="shared" si="18"/>
        <v>31.75</v>
      </c>
      <c r="BO32" s="144">
        <f t="shared" si="19"/>
        <v>49.550000000000004</v>
      </c>
      <c r="BP32" s="144">
        <f t="shared" si="20"/>
        <v>49.475000000000001</v>
      </c>
      <c r="BQ32" s="144">
        <f t="shared" si="21"/>
        <v>47.825000000000003</v>
      </c>
    </row>
    <row r="33" spans="1:69" x14ac:dyDescent="0.35">
      <c r="A33" s="122" t="s">
        <v>33</v>
      </c>
      <c r="B33" s="122" t="s">
        <v>30</v>
      </c>
      <c r="C33" s="122">
        <v>4</v>
      </c>
      <c r="D33" s="122">
        <v>1</v>
      </c>
      <c r="E33" s="122">
        <v>16</v>
      </c>
      <c r="F33" s="122">
        <v>116</v>
      </c>
      <c r="G33" s="65">
        <v>32</v>
      </c>
      <c r="H33" s="90">
        <v>45939</v>
      </c>
      <c r="I33" s="130">
        <v>0.65</v>
      </c>
      <c r="J33" s="133">
        <v>0.17100000000000001</v>
      </c>
      <c r="K33" s="133">
        <v>0.248</v>
      </c>
      <c r="L33" s="133">
        <v>0.26400000000000001</v>
      </c>
      <c r="M33" s="133">
        <v>0.41099999999999998</v>
      </c>
      <c r="N33" s="143">
        <f t="shared" si="1"/>
        <v>0.82899999999999996</v>
      </c>
      <c r="O33" s="143">
        <f t="shared" si="1"/>
        <v>0.752</v>
      </c>
      <c r="P33" s="143">
        <f t="shared" si="1"/>
        <v>0.73599999999999999</v>
      </c>
      <c r="Q33" s="143">
        <f t="shared" si="1"/>
        <v>0.58899999999999997</v>
      </c>
      <c r="R33" s="65">
        <v>28.1</v>
      </c>
      <c r="S33" s="65">
        <v>0</v>
      </c>
      <c r="T33" s="65">
        <v>30.5</v>
      </c>
      <c r="U33" s="65">
        <v>38.799999999999997</v>
      </c>
      <c r="V33" s="65">
        <v>51.9</v>
      </c>
      <c r="W33" s="65">
        <v>22</v>
      </c>
      <c r="X33" s="65">
        <v>50.5</v>
      </c>
      <c r="Y33" s="65">
        <v>50.3</v>
      </c>
      <c r="Z33" s="65">
        <v>53.9</v>
      </c>
      <c r="AA33" s="65">
        <v>52.9</v>
      </c>
      <c r="AB33" s="65">
        <v>55.5</v>
      </c>
      <c r="AC33" s="65">
        <v>50.6</v>
      </c>
      <c r="AD33" s="65">
        <v>58.5</v>
      </c>
      <c r="AE33" s="65">
        <v>54.9</v>
      </c>
      <c r="AF33" s="65">
        <v>58.6</v>
      </c>
      <c r="AG33" s="65">
        <v>52.5</v>
      </c>
      <c r="AH33" s="65">
        <v>55.2</v>
      </c>
      <c r="AI33" s="65">
        <v>48.8</v>
      </c>
      <c r="AJ33" s="65">
        <v>54.3</v>
      </c>
      <c r="AK33" s="65">
        <v>55.8</v>
      </c>
      <c r="AL33" s="65">
        <v>72</v>
      </c>
      <c r="AM33" s="65">
        <v>0.5</v>
      </c>
      <c r="AN33" s="65">
        <v>1373</v>
      </c>
      <c r="AO33" s="136">
        <v>137.80000000000001</v>
      </c>
      <c r="AP33" s="65">
        <v>20</v>
      </c>
      <c r="AQ33" s="65">
        <v>20</v>
      </c>
      <c r="AR33" s="136">
        <v>80.8</v>
      </c>
      <c r="AS33" s="65">
        <v>25.06</v>
      </c>
      <c r="AT33" s="136">
        <f t="shared" si="2"/>
        <v>68.985148514851474</v>
      </c>
      <c r="AU33" s="143">
        <v>10.91</v>
      </c>
      <c r="AV33" s="65">
        <v>0.72</v>
      </c>
      <c r="AW33" s="65">
        <v>21.24</v>
      </c>
      <c r="AX33" s="65">
        <v>8.61</v>
      </c>
      <c r="AY33" s="143">
        <f t="shared" si="3"/>
        <v>41.48</v>
      </c>
      <c r="AZ33" s="143">
        <f t="shared" si="4"/>
        <v>2.0739999999999998</v>
      </c>
      <c r="BA33" s="143">
        <f t="shared" si="5"/>
        <v>6.8900000000000006</v>
      </c>
      <c r="BB33" s="143">
        <f t="shared" si="6"/>
        <v>0.31014851485148515</v>
      </c>
      <c r="BC33" s="144">
        <f t="shared" si="7"/>
        <v>425.83391089108909</v>
      </c>
      <c r="BD33" s="144">
        <f t="shared" si="8"/>
        <v>851.66782178217818</v>
      </c>
      <c r="BE33" s="143">
        <f t="shared" si="9"/>
        <v>0.26301832208293158</v>
      </c>
      <c r="BF33" s="143">
        <f t="shared" si="10"/>
        <v>1.7357762777242044E-2</v>
      </c>
      <c r="BG33" s="143">
        <f t="shared" si="11"/>
        <v>0.51205400192864026</v>
      </c>
      <c r="BH33" s="143">
        <f t="shared" si="12"/>
        <v>0.20756991321118612</v>
      </c>
      <c r="BI33" s="144">
        <f t="shared" si="13"/>
        <v>224.00424145717372</v>
      </c>
      <c r="BJ33" s="144">
        <f t="shared" si="14"/>
        <v>14.783048015505504</v>
      </c>
      <c r="BK33" s="144">
        <f t="shared" si="15"/>
        <v>436.09991645741229</v>
      </c>
      <c r="BL33" s="144">
        <f t="shared" si="16"/>
        <v>176.78061585208664</v>
      </c>
      <c r="BM33" s="144">
        <f t="shared" si="17"/>
        <v>24.35</v>
      </c>
      <c r="BN33" s="144">
        <f t="shared" si="18"/>
        <v>43.674999999999997</v>
      </c>
      <c r="BO33" s="144">
        <f t="shared" si="19"/>
        <v>53.225000000000001</v>
      </c>
      <c r="BP33" s="144">
        <f t="shared" si="20"/>
        <v>56.125</v>
      </c>
      <c r="BQ33" s="144">
        <f t="shared" si="21"/>
        <v>53.525000000000006</v>
      </c>
    </row>
    <row r="34" spans="1:69" x14ac:dyDescent="0.3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3"/>
      <c r="AL34" s="3"/>
      <c r="AM34" s="3"/>
      <c r="AN34" s="136"/>
      <c r="AO34" s="136"/>
      <c r="AP34" s="3"/>
      <c r="AQ34" s="3"/>
      <c r="AR34" s="136"/>
      <c r="AS34" s="65"/>
      <c r="AT34" s="65"/>
      <c r="AU34" s="143"/>
      <c r="AV34" s="65"/>
      <c r="AW34" s="65"/>
      <c r="AX34" s="65"/>
      <c r="AY34" s="65"/>
      <c r="AZ34" s="65"/>
      <c r="BA34" s="65"/>
      <c r="BB34" s="65"/>
      <c r="BC34" s="65"/>
      <c r="BD34" s="65"/>
      <c r="BE34" s="65"/>
      <c r="BF34" s="65"/>
      <c r="BG34" s="65"/>
      <c r="BH34" s="65"/>
      <c r="BI34" s="65"/>
      <c r="BJ34" s="65"/>
      <c r="BK34" s="65"/>
      <c r="BL34" s="65"/>
      <c r="BM34" s="144"/>
      <c r="BN34" s="144"/>
      <c r="BO34" s="144"/>
      <c r="BP34" s="144"/>
      <c r="BQ34" s="144"/>
    </row>
    <row r="35" spans="1:69" x14ac:dyDescent="0.35">
      <c r="AK35" s="3"/>
      <c r="AM35" s="3"/>
      <c r="AP35" s="3"/>
      <c r="AQ35" s="3"/>
    </row>
    <row r="36" spans="1:69" x14ac:dyDescent="0.35">
      <c r="AK36" s="3"/>
      <c r="AM36" s="3"/>
      <c r="AP36" s="3"/>
      <c r="AQ36" s="3"/>
      <c r="AU36" s="143"/>
      <c r="AV36" s="65"/>
      <c r="AW36" s="65"/>
      <c r="AX36" s="65"/>
      <c r="AY36" s="65"/>
      <c r="AZ36" s="65"/>
      <c r="BA36" s="65"/>
      <c r="BB36" s="65"/>
      <c r="BC36" s="65"/>
      <c r="BD36" s="65"/>
      <c r="BE36" s="65"/>
      <c r="BF36" s="65"/>
      <c r="BG36" s="65"/>
      <c r="BH36" s="65"/>
      <c r="BJ36" s="65"/>
      <c r="BK36" s="65"/>
      <c r="BL36" s="65"/>
    </row>
    <row r="37" spans="1:69" x14ac:dyDescent="0.35">
      <c r="AK37" s="3"/>
      <c r="AM37" s="3"/>
      <c r="AP37" s="3"/>
      <c r="AQ37" s="3"/>
      <c r="AU37" s="143"/>
      <c r="AV37" s="65"/>
      <c r="AW37" s="65"/>
      <c r="AX37" s="65"/>
      <c r="AY37" s="65"/>
      <c r="AZ37" s="65"/>
      <c r="BA37" s="65"/>
      <c r="BB37" s="65"/>
      <c r="BC37" s="65"/>
      <c r="BD37" s="65"/>
      <c r="BE37" s="65"/>
      <c r="BF37" s="65"/>
      <c r="BG37" s="65"/>
      <c r="BH37" s="65"/>
      <c r="BJ37" s="65"/>
      <c r="BK37" s="65"/>
      <c r="BL37" s="65"/>
    </row>
    <row r="38" spans="1:69" x14ac:dyDescent="0.35">
      <c r="AM38" s="3"/>
      <c r="AP38" s="3"/>
      <c r="AQ38" s="3"/>
      <c r="AU38" s="143"/>
      <c r="AV38" s="65"/>
      <c r="AW38" s="65"/>
      <c r="AX38" s="65"/>
      <c r="AY38" s="65"/>
      <c r="AZ38" s="65"/>
      <c r="BA38" s="65"/>
      <c r="BB38" s="65"/>
      <c r="BC38" s="65"/>
      <c r="BD38" s="65"/>
      <c r="BE38" s="65"/>
      <c r="BF38" s="65"/>
      <c r="BG38" s="65"/>
      <c r="BH38" s="65"/>
      <c r="BJ38" s="65"/>
      <c r="BK38" s="65"/>
      <c r="BL38" s="65"/>
    </row>
    <row r="39" spans="1:69" x14ac:dyDescent="0.35">
      <c r="AM39" s="3"/>
      <c r="AU39" s="143"/>
      <c r="AV39" s="65"/>
      <c r="AW39" s="65"/>
      <c r="AX39" s="65"/>
      <c r="AY39" s="65"/>
      <c r="AZ39" s="65"/>
      <c r="BA39" s="65"/>
      <c r="BB39" s="65"/>
      <c r="BC39" s="65"/>
      <c r="BD39" s="65"/>
      <c r="BE39" s="65"/>
      <c r="BF39" s="65"/>
      <c r="BG39" s="65"/>
      <c r="BH39" s="65"/>
      <c r="BJ39" s="65"/>
      <c r="BK39" s="65"/>
      <c r="BL39" s="65"/>
    </row>
    <row r="40" spans="1:69" x14ac:dyDescent="0.35">
      <c r="AU40" s="143"/>
      <c r="AV40" s="65"/>
      <c r="AW40" s="65"/>
      <c r="AX40" s="65"/>
      <c r="AY40" s="65"/>
      <c r="AZ40" s="65"/>
      <c r="BA40" s="65"/>
      <c r="BB40" s="65"/>
      <c r="BC40" s="65"/>
      <c r="BD40" s="65"/>
      <c r="BE40" s="65"/>
      <c r="BF40" s="65"/>
      <c r="BG40" s="65"/>
      <c r="BH40" s="65"/>
      <c r="BJ40" s="65"/>
      <c r="BK40" s="65"/>
      <c r="BL40" s="65"/>
    </row>
    <row r="41" spans="1:69" x14ac:dyDescent="0.35">
      <c r="AU41" s="143"/>
      <c r="AV41" s="65"/>
      <c r="AW41" s="65"/>
      <c r="AX41" s="65"/>
      <c r="AY41" s="65"/>
      <c r="AZ41" s="65"/>
      <c r="BA41" s="65"/>
      <c r="BB41" s="65"/>
      <c r="BC41" s="65"/>
      <c r="BD41" s="65"/>
      <c r="BE41" s="65"/>
      <c r="BF41" s="65"/>
      <c r="BG41" s="65"/>
      <c r="BH41" s="65"/>
      <c r="BJ41" s="65"/>
      <c r="BK41" s="65"/>
      <c r="BL41" s="65"/>
    </row>
    <row r="42" spans="1:69" x14ac:dyDescent="0.35">
      <c r="AU42" s="143"/>
      <c r="AV42" s="65"/>
      <c r="AW42" s="65"/>
      <c r="AX42" s="65"/>
      <c r="AY42" s="65"/>
      <c r="AZ42" s="65"/>
      <c r="BA42" s="65"/>
      <c r="BB42" s="65"/>
      <c r="BC42" s="65"/>
      <c r="BD42" s="65"/>
      <c r="BE42" s="65"/>
      <c r="BF42" s="65"/>
      <c r="BG42" s="65"/>
      <c r="BH42" s="65"/>
      <c r="BJ42" s="65"/>
      <c r="BK42" s="65"/>
      <c r="BL42" s="65"/>
    </row>
    <row r="43" spans="1:69" x14ac:dyDescent="0.35">
      <c r="AU43" s="143"/>
      <c r="AV43" s="65"/>
      <c r="AW43" s="65"/>
      <c r="AX43" s="65"/>
      <c r="AY43" s="65"/>
      <c r="AZ43" s="65"/>
      <c r="BA43" s="65"/>
      <c r="BB43" s="65"/>
      <c r="BC43" s="65"/>
      <c r="BD43" s="65"/>
      <c r="BE43" s="65"/>
      <c r="BF43" s="65"/>
      <c r="BG43" s="65"/>
      <c r="BH43" s="65"/>
      <c r="BJ43" s="65"/>
      <c r="BK43" s="65"/>
      <c r="BL43" s="65"/>
    </row>
    <row r="44" spans="1:69" x14ac:dyDescent="0.35">
      <c r="AU44" s="143"/>
      <c r="AV44" s="65"/>
      <c r="AW44" s="65"/>
      <c r="AX44" s="65"/>
      <c r="AY44" s="65"/>
      <c r="AZ44" s="65"/>
      <c r="BA44" s="65"/>
      <c r="BB44" s="65"/>
      <c r="BC44" s="65"/>
      <c r="BD44" s="65"/>
      <c r="BE44" s="65"/>
      <c r="BF44" s="65"/>
      <c r="BG44" s="65"/>
      <c r="BH44" s="65"/>
      <c r="BJ44" s="65"/>
      <c r="BK44" s="65"/>
      <c r="BL44" s="65"/>
    </row>
    <row r="45" spans="1:69" x14ac:dyDescent="0.35">
      <c r="AU45" s="143"/>
      <c r="AV45" s="65"/>
      <c r="AW45" s="65"/>
      <c r="AX45" s="65"/>
      <c r="AY45" s="65"/>
      <c r="AZ45" s="65"/>
      <c r="BA45" s="65"/>
      <c r="BB45" s="65"/>
      <c r="BC45" s="65"/>
      <c r="BD45" s="65"/>
      <c r="BE45" s="65"/>
      <c r="BF45" s="65"/>
      <c r="BG45" s="65"/>
      <c r="BH45" s="65"/>
      <c r="BJ45" s="65"/>
      <c r="BK45" s="65"/>
      <c r="BL45" s="65"/>
    </row>
    <row r="46" spans="1:69" x14ac:dyDescent="0.35">
      <c r="AU46" s="143"/>
      <c r="AV46" s="65"/>
      <c r="AW46" s="65"/>
      <c r="AX46" s="65"/>
      <c r="AY46" s="65"/>
      <c r="AZ46" s="65"/>
      <c r="BA46" s="65"/>
      <c r="BB46" s="65"/>
      <c r="BC46" s="65"/>
      <c r="BD46" s="65"/>
      <c r="BE46" s="65"/>
      <c r="BF46" s="65"/>
      <c r="BG46" s="65"/>
      <c r="BH46" s="65"/>
      <c r="BJ46" s="65"/>
      <c r="BK46" s="65"/>
      <c r="BL46" s="65"/>
    </row>
  </sheetData>
  <pageMargins left="0.7" right="0.7" top="0.75" bottom="0.75" header="0.3" footer="0.3"/>
  <pageSetup paperSize="9" orientation="portrait" r:id="rId3"/>
  <ignoredErrors>
    <ignoredError sqref="BM2:BQ33" formulaRange="1"/>
  </ignoredError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7556-AF56-4F2E-9B1A-62622003A9E9}">
  <dimension ref="A1:AN33"/>
  <sheetViews>
    <sheetView topLeftCell="G12" workbookViewId="0">
      <selection activeCell="M33" sqref="M33"/>
    </sheetView>
  </sheetViews>
  <sheetFormatPr defaultRowHeight="14.5" x14ac:dyDescent="0.35"/>
  <cols>
    <col min="1" max="1" width="13.81640625" style="62" customWidth="1"/>
    <col min="2" max="2" width="16.453125" style="62" customWidth="1"/>
    <col min="3" max="3" width="13.54296875" style="62" customWidth="1"/>
    <col min="4" max="7" width="8.81640625" style="62"/>
    <col min="8" max="8" width="12" style="32" customWidth="1"/>
    <col min="9" max="9" width="12.54296875" style="32" customWidth="1"/>
    <col min="10" max="11" width="11" style="32" customWidth="1"/>
    <col min="12" max="12" width="11.54296875" style="32" customWidth="1"/>
    <col min="13" max="13" width="11.81640625" style="32" customWidth="1"/>
    <col min="14" max="14" width="12.1796875" style="32" customWidth="1"/>
    <col min="15" max="15" width="11.54296875" style="32" customWidth="1"/>
    <col min="16" max="16" width="11" style="32" customWidth="1"/>
    <col min="17" max="17" width="11.1796875" style="32" customWidth="1"/>
    <col min="18" max="38" width="8.81640625" style="32"/>
    <col min="39" max="39" width="18.54296875" style="32" customWidth="1"/>
    <col min="40" max="40" width="8.81640625" style="32"/>
  </cols>
  <sheetData>
    <row r="1" spans="1:40" s="52" customFormat="1" ht="57.75" customHeight="1" x14ac:dyDescent="0.35">
      <c r="A1" s="61" t="s">
        <v>20</v>
      </c>
      <c r="B1" s="61" t="s">
        <v>21</v>
      </c>
      <c r="C1" s="61" t="s">
        <v>22</v>
      </c>
      <c r="D1" s="61" t="s">
        <v>23</v>
      </c>
      <c r="E1" s="61" t="s">
        <v>24</v>
      </c>
      <c r="F1" s="61" t="s">
        <v>25</v>
      </c>
      <c r="G1" s="10" t="s">
        <v>26</v>
      </c>
      <c r="H1" s="80" t="s">
        <v>530</v>
      </c>
      <c r="I1" s="80" t="s">
        <v>531</v>
      </c>
      <c r="J1" s="80" t="s">
        <v>532</v>
      </c>
      <c r="K1" s="80" t="s">
        <v>533</v>
      </c>
      <c r="L1" s="80" t="s">
        <v>534</v>
      </c>
      <c r="M1" s="80" t="s">
        <v>535</v>
      </c>
      <c r="N1" s="80" t="s">
        <v>536</v>
      </c>
      <c r="O1" s="80" t="s">
        <v>537</v>
      </c>
      <c r="P1" s="80" t="s">
        <v>538</v>
      </c>
      <c r="Q1" s="80" t="s">
        <v>539</v>
      </c>
      <c r="R1" s="80"/>
      <c r="S1" s="80" t="s">
        <v>540</v>
      </c>
      <c r="T1" s="80" t="s">
        <v>541</v>
      </c>
      <c r="U1" s="80" t="s">
        <v>542</v>
      </c>
      <c r="V1" s="80" t="s">
        <v>543</v>
      </c>
      <c r="W1" s="80" t="s">
        <v>544</v>
      </c>
      <c r="X1" s="80" t="s">
        <v>545</v>
      </c>
      <c r="Y1" s="80" t="s">
        <v>546</v>
      </c>
      <c r="Z1" s="80" t="s">
        <v>547</v>
      </c>
      <c r="AA1" s="80" t="s">
        <v>548</v>
      </c>
      <c r="AB1" s="80" t="s">
        <v>549</v>
      </c>
      <c r="AC1" s="80"/>
      <c r="AD1" s="80" t="s">
        <v>550</v>
      </c>
      <c r="AE1" s="80" t="s">
        <v>551</v>
      </c>
      <c r="AF1" s="80" t="s">
        <v>552</v>
      </c>
      <c r="AG1" s="80" t="s">
        <v>553</v>
      </c>
      <c r="AH1" s="80" t="s">
        <v>554</v>
      </c>
      <c r="AI1" s="80" t="s">
        <v>555</v>
      </c>
      <c r="AJ1" s="80" t="s">
        <v>556</v>
      </c>
      <c r="AK1" s="80" t="s">
        <v>557</v>
      </c>
      <c r="AL1" s="80" t="s">
        <v>558</v>
      </c>
      <c r="AM1" s="80" t="s">
        <v>559</v>
      </c>
      <c r="AN1" s="81"/>
    </row>
    <row r="2" spans="1:40" x14ac:dyDescent="0.35">
      <c r="A2" s="62" t="s">
        <v>28</v>
      </c>
      <c r="B2" s="62" t="s">
        <v>29</v>
      </c>
      <c r="C2" s="62">
        <v>1</v>
      </c>
      <c r="D2" s="62">
        <v>1</v>
      </c>
      <c r="E2" s="62">
        <v>2</v>
      </c>
      <c r="F2" s="62">
        <v>102</v>
      </c>
      <c r="G2" s="63">
        <v>1</v>
      </c>
      <c r="H2" s="32">
        <v>22</v>
      </c>
      <c r="I2" s="32">
        <v>13</v>
      </c>
      <c r="J2" s="32">
        <v>23</v>
      </c>
      <c r="K2" s="32">
        <v>20</v>
      </c>
      <c r="L2" s="32">
        <v>20</v>
      </c>
      <c r="M2" s="32">
        <v>23</v>
      </c>
      <c r="N2" s="32">
        <v>18</v>
      </c>
      <c r="O2" s="32">
        <v>17</v>
      </c>
      <c r="P2" s="32">
        <v>20</v>
      </c>
      <c r="Q2" s="32">
        <v>19</v>
      </c>
      <c r="S2" s="32">
        <v>2</v>
      </c>
      <c r="T2" s="32">
        <v>0</v>
      </c>
      <c r="U2" s="32">
        <v>3</v>
      </c>
      <c r="V2" s="32">
        <v>0</v>
      </c>
      <c r="W2" s="32">
        <v>2</v>
      </c>
      <c r="X2" s="32">
        <v>5</v>
      </c>
      <c r="Y2" s="32">
        <v>1</v>
      </c>
      <c r="Z2" s="32">
        <v>2</v>
      </c>
      <c r="AA2" s="32">
        <v>1</v>
      </c>
      <c r="AB2" s="32">
        <v>0</v>
      </c>
      <c r="AE2" s="47"/>
      <c r="AL2" s="47"/>
      <c r="AM2" s="48"/>
    </row>
    <row r="3" spans="1:40" x14ac:dyDescent="0.35">
      <c r="A3" s="62" t="s">
        <v>28</v>
      </c>
      <c r="B3" s="62" t="s">
        <v>30</v>
      </c>
      <c r="C3" s="62">
        <v>1</v>
      </c>
      <c r="D3" s="62">
        <v>2</v>
      </c>
      <c r="E3" s="62">
        <v>2</v>
      </c>
      <c r="F3" s="62">
        <v>202</v>
      </c>
      <c r="G3" s="63">
        <v>2</v>
      </c>
      <c r="H3" s="32">
        <v>17</v>
      </c>
      <c r="I3" s="32">
        <v>17</v>
      </c>
      <c r="J3" s="32">
        <v>19</v>
      </c>
      <c r="K3" s="32">
        <v>18</v>
      </c>
      <c r="L3" s="32">
        <v>20</v>
      </c>
      <c r="M3" s="32">
        <v>20</v>
      </c>
      <c r="N3" s="32">
        <v>19</v>
      </c>
      <c r="O3" s="32">
        <v>20</v>
      </c>
      <c r="P3" s="32">
        <v>18</v>
      </c>
      <c r="Q3" s="32">
        <v>18</v>
      </c>
      <c r="R3" s="53"/>
      <c r="S3" s="32">
        <v>2</v>
      </c>
      <c r="T3" s="32">
        <v>3</v>
      </c>
      <c r="U3" s="32">
        <v>5</v>
      </c>
      <c r="V3" s="32">
        <v>3</v>
      </c>
      <c r="W3" s="32">
        <v>1</v>
      </c>
      <c r="X3" s="32">
        <v>3</v>
      </c>
      <c r="Y3" s="32">
        <v>0</v>
      </c>
      <c r="Z3" s="32">
        <v>1</v>
      </c>
      <c r="AA3" s="32">
        <v>3</v>
      </c>
      <c r="AB3" s="32">
        <v>2</v>
      </c>
      <c r="AC3" s="47"/>
      <c r="AE3" s="47"/>
      <c r="AG3" s="47"/>
      <c r="AI3" s="47"/>
      <c r="AK3" s="47"/>
      <c r="AL3" s="47"/>
      <c r="AM3" s="48"/>
    </row>
    <row r="4" spans="1:40" x14ac:dyDescent="0.35">
      <c r="A4" s="62" t="s">
        <v>28</v>
      </c>
      <c r="B4" s="62" t="s">
        <v>31</v>
      </c>
      <c r="C4" s="62">
        <v>1</v>
      </c>
      <c r="D4" s="62">
        <v>3</v>
      </c>
      <c r="E4" s="62">
        <v>2</v>
      </c>
      <c r="F4" s="62">
        <v>302</v>
      </c>
      <c r="G4" s="63">
        <v>3</v>
      </c>
      <c r="H4" s="32">
        <v>18</v>
      </c>
      <c r="I4" s="32">
        <v>23</v>
      </c>
      <c r="J4" s="32">
        <v>21</v>
      </c>
      <c r="K4" s="32">
        <v>18</v>
      </c>
      <c r="L4" s="32">
        <v>17</v>
      </c>
      <c r="M4" s="32">
        <v>19</v>
      </c>
      <c r="N4" s="32">
        <v>18</v>
      </c>
      <c r="O4" s="32">
        <v>21</v>
      </c>
      <c r="P4" s="32">
        <v>21</v>
      </c>
      <c r="Q4" s="32">
        <v>18</v>
      </c>
      <c r="S4" s="32">
        <v>2</v>
      </c>
      <c r="T4" s="32">
        <v>3</v>
      </c>
      <c r="U4" s="32">
        <v>2</v>
      </c>
      <c r="V4" s="32">
        <v>1</v>
      </c>
      <c r="W4" s="32">
        <v>2</v>
      </c>
      <c r="X4" s="32">
        <v>0</v>
      </c>
      <c r="Y4" s="32">
        <v>0</v>
      </c>
      <c r="Z4" s="32">
        <v>2</v>
      </c>
      <c r="AA4" s="32">
        <v>2</v>
      </c>
      <c r="AB4" s="32">
        <v>2</v>
      </c>
      <c r="AC4" s="47"/>
      <c r="AE4" s="47"/>
      <c r="AG4" s="47"/>
      <c r="AI4" s="47"/>
      <c r="AK4" s="47"/>
      <c r="AL4" s="47"/>
      <c r="AM4" s="48"/>
    </row>
    <row r="5" spans="1:40" x14ac:dyDescent="0.35">
      <c r="A5" s="62" t="s">
        <v>28</v>
      </c>
      <c r="B5" s="62" t="s">
        <v>32</v>
      </c>
      <c r="C5" s="62">
        <v>1</v>
      </c>
      <c r="D5" s="62">
        <v>4</v>
      </c>
      <c r="E5" s="62">
        <v>2</v>
      </c>
      <c r="F5" s="62">
        <v>402</v>
      </c>
      <c r="G5" s="63">
        <v>4</v>
      </c>
      <c r="H5" s="32">
        <v>19</v>
      </c>
      <c r="I5" s="32">
        <v>18</v>
      </c>
      <c r="J5" s="32">
        <v>19</v>
      </c>
      <c r="K5" s="32">
        <v>20</v>
      </c>
      <c r="L5" s="32">
        <v>19</v>
      </c>
      <c r="M5" s="32">
        <v>22</v>
      </c>
      <c r="N5" s="32">
        <v>19</v>
      </c>
      <c r="O5" s="32">
        <v>19</v>
      </c>
      <c r="P5" s="32">
        <v>18</v>
      </c>
      <c r="Q5" s="32">
        <v>20</v>
      </c>
      <c r="S5" s="32">
        <v>1</v>
      </c>
      <c r="T5" s="32">
        <v>1</v>
      </c>
      <c r="U5" s="32">
        <v>0</v>
      </c>
      <c r="V5" s="32">
        <v>2</v>
      </c>
      <c r="W5" s="32">
        <v>2</v>
      </c>
      <c r="X5" s="32">
        <v>2</v>
      </c>
      <c r="Y5" s="32">
        <v>1</v>
      </c>
      <c r="Z5" s="32">
        <v>0</v>
      </c>
      <c r="AA5" s="32">
        <v>1</v>
      </c>
      <c r="AB5" s="32">
        <v>2</v>
      </c>
      <c r="AC5" s="47"/>
      <c r="AE5" s="47"/>
      <c r="AG5" s="47"/>
      <c r="AI5" s="47"/>
      <c r="AK5" s="47"/>
      <c r="AL5" s="47"/>
      <c r="AM5" s="48"/>
    </row>
    <row r="6" spans="1:40" x14ac:dyDescent="0.35">
      <c r="A6" s="62" t="s">
        <v>33</v>
      </c>
      <c r="B6" s="62" t="s">
        <v>29</v>
      </c>
      <c r="C6" s="62">
        <v>1</v>
      </c>
      <c r="D6" s="62">
        <v>4</v>
      </c>
      <c r="E6" s="62">
        <v>4</v>
      </c>
      <c r="F6" s="62">
        <v>404</v>
      </c>
      <c r="G6" s="63">
        <v>5</v>
      </c>
      <c r="H6" s="32">
        <v>13</v>
      </c>
      <c r="I6" s="32">
        <v>18</v>
      </c>
      <c r="J6" s="32">
        <v>15</v>
      </c>
      <c r="K6" s="32">
        <v>12</v>
      </c>
      <c r="L6" s="32">
        <v>19</v>
      </c>
      <c r="M6" s="32">
        <v>16</v>
      </c>
      <c r="N6" s="32">
        <v>18</v>
      </c>
      <c r="O6" s="32">
        <v>17</v>
      </c>
      <c r="P6" s="32">
        <v>18</v>
      </c>
      <c r="Q6" s="32">
        <v>17</v>
      </c>
      <c r="S6" s="32">
        <v>1</v>
      </c>
      <c r="T6" s="32">
        <v>1</v>
      </c>
      <c r="U6" s="32">
        <v>1</v>
      </c>
      <c r="V6" s="32">
        <v>1</v>
      </c>
      <c r="W6" s="32">
        <v>2</v>
      </c>
      <c r="X6" s="32">
        <v>2</v>
      </c>
      <c r="Y6" s="32">
        <v>2</v>
      </c>
      <c r="Z6" s="32">
        <v>5</v>
      </c>
      <c r="AA6" s="32">
        <v>1</v>
      </c>
      <c r="AB6" s="32">
        <v>3</v>
      </c>
      <c r="AC6" s="47"/>
      <c r="AE6" s="47"/>
      <c r="AG6" s="47"/>
      <c r="AI6" s="47"/>
      <c r="AK6" s="47"/>
      <c r="AL6" s="47"/>
      <c r="AM6" s="48"/>
    </row>
    <row r="7" spans="1:40" x14ac:dyDescent="0.35">
      <c r="A7" s="62" t="s">
        <v>33</v>
      </c>
      <c r="B7" s="62" t="s">
        <v>35</v>
      </c>
      <c r="C7" s="62">
        <v>1</v>
      </c>
      <c r="D7" s="62">
        <v>3</v>
      </c>
      <c r="E7" s="62">
        <v>4</v>
      </c>
      <c r="F7" s="62">
        <v>304</v>
      </c>
      <c r="G7" s="63">
        <v>6</v>
      </c>
      <c r="H7" s="32">
        <v>17</v>
      </c>
      <c r="I7" s="32">
        <v>19</v>
      </c>
      <c r="J7" s="32">
        <v>16</v>
      </c>
      <c r="K7" s="32">
        <v>16</v>
      </c>
      <c r="L7" s="32">
        <v>15</v>
      </c>
      <c r="M7" s="32">
        <v>17</v>
      </c>
      <c r="N7" s="32">
        <v>16</v>
      </c>
      <c r="O7" s="32">
        <v>16</v>
      </c>
      <c r="P7" s="32">
        <v>18</v>
      </c>
      <c r="Q7" s="32">
        <v>17</v>
      </c>
      <c r="S7" s="32">
        <v>0</v>
      </c>
      <c r="T7" s="32">
        <v>1</v>
      </c>
      <c r="U7" s="32">
        <v>1</v>
      </c>
      <c r="V7" s="32">
        <v>1</v>
      </c>
      <c r="W7" s="32">
        <v>0</v>
      </c>
      <c r="X7" s="32">
        <v>0</v>
      </c>
      <c r="Y7" s="32">
        <v>1</v>
      </c>
      <c r="Z7" s="32">
        <v>0</v>
      </c>
      <c r="AA7" s="32">
        <v>1</v>
      </c>
      <c r="AB7" s="32">
        <v>1</v>
      </c>
      <c r="AC7" s="47"/>
      <c r="AE7" s="47"/>
      <c r="AG7" s="47"/>
      <c r="AI7" s="47"/>
      <c r="AK7" s="47"/>
      <c r="AL7" s="47"/>
      <c r="AM7" s="48"/>
    </row>
    <row r="8" spans="1:40" x14ac:dyDescent="0.35">
      <c r="A8" s="62" t="s">
        <v>33</v>
      </c>
      <c r="B8" s="62" t="s">
        <v>30</v>
      </c>
      <c r="C8" s="62">
        <v>1</v>
      </c>
      <c r="D8" s="62">
        <v>2</v>
      </c>
      <c r="E8" s="62">
        <v>4</v>
      </c>
      <c r="F8" s="62">
        <v>204</v>
      </c>
      <c r="G8" s="63">
        <v>7</v>
      </c>
      <c r="H8" s="32">
        <v>17</v>
      </c>
      <c r="I8" s="32">
        <v>13</v>
      </c>
      <c r="J8" s="32">
        <v>13</v>
      </c>
      <c r="K8" s="32">
        <v>17</v>
      </c>
      <c r="L8" s="32">
        <v>16</v>
      </c>
      <c r="M8" s="32">
        <v>16</v>
      </c>
      <c r="N8" s="32">
        <v>17</v>
      </c>
      <c r="O8" s="32">
        <v>16</v>
      </c>
      <c r="P8" s="32">
        <v>14</v>
      </c>
      <c r="Q8" s="32">
        <v>16</v>
      </c>
      <c r="S8" s="32">
        <v>3</v>
      </c>
      <c r="T8" s="32">
        <v>4</v>
      </c>
      <c r="U8" s="32">
        <v>2</v>
      </c>
      <c r="V8" s="32">
        <v>1</v>
      </c>
      <c r="W8" s="32">
        <v>2</v>
      </c>
      <c r="X8" s="32">
        <v>0</v>
      </c>
      <c r="Y8" s="32">
        <v>2</v>
      </c>
      <c r="Z8" s="32">
        <v>0</v>
      </c>
      <c r="AA8" s="32">
        <v>3</v>
      </c>
      <c r="AB8" s="32">
        <v>1</v>
      </c>
      <c r="AC8" s="47"/>
      <c r="AE8" s="47"/>
      <c r="AG8" s="47"/>
      <c r="AI8" s="47"/>
      <c r="AK8" s="47"/>
      <c r="AL8" s="47"/>
      <c r="AM8" s="48"/>
    </row>
    <row r="9" spans="1:40" x14ac:dyDescent="0.35">
      <c r="A9" s="62" t="s">
        <v>33</v>
      </c>
      <c r="B9" s="62" t="s">
        <v>34</v>
      </c>
      <c r="C9" s="62">
        <v>1</v>
      </c>
      <c r="D9" s="62">
        <v>1</v>
      </c>
      <c r="E9" s="62">
        <v>4</v>
      </c>
      <c r="F9" s="62">
        <v>104</v>
      </c>
      <c r="G9" s="63">
        <v>8</v>
      </c>
      <c r="H9" s="32">
        <v>18</v>
      </c>
      <c r="I9" s="32">
        <v>20</v>
      </c>
      <c r="J9" s="32">
        <v>20</v>
      </c>
      <c r="K9" s="32">
        <v>20</v>
      </c>
      <c r="L9" s="32">
        <v>17</v>
      </c>
      <c r="M9" s="32">
        <v>16</v>
      </c>
      <c r="N9" s="32">
        <v>19</v>
      </c>
      <c r="O9" s="32">
        <v>19</v>
      </c>
      <c r="P9" s="32">
        <v>20</v>
      </c>
      <c r="Q9" s="32">
        <v>18</v>
      </c>
      <c r="S9" s="32">
        <v>1</v>
      </c>
      <c r="T9" s="32">
        <v>0</v>
      </c>
      <c r="U9" s="32">
        <v>1</v>
      </c>
      <c r="V9" s="32">
        <v>0</v>
      </c>
      <c r="W9" s="32">
        <v>2</v>
      </c>
      <c r="X9" s="32">
        <v>0</v>
      </c>
      <c r="Y9" s="32">
        <v>1</v>
      </c>
      <c r="Z9" s="32">
        <v>1</v>
      </c>
      <c r="AA9" s="32">
        <v>0</v>
      </c>
      <c r="AB9" s="32">
        <v>0</v>
      </c>
      <c r="AC9" s="47"/>
      <c r="AE9" s="47"/>
      <c r="AG9" s="47"/>
      <c r="AI9" s="47"/>
      <c r="AK9" s="47"/>
      <c r="AL9" s="47"/>
      <c r="AM9" s="48"/>
    </row>
    <row r="10" spans="1:40" x14ac:dyDescent="0.35">
      <c r="A10" s="62" t="s">
        <v>28</v>
      </c>
      <c r="B10" s="62" t="s">
        <v>31</v>
      </c>
      <c r="C10" s="62">
        <v>2</v>
      </c>
      <c r="D10" s="62">
        <v>1</v>
      </c>
      <c r="E10" s="62">
        <v>6</v>
      </c>
      <c r="F10" s="62">
        <v>106</v>
      </c>
      <c r="G10" s="63">
        <v>9</v>
      </c>
      <c r="H10" s="32">
        <v>15</v>
      </c>
      <c r="I10" s="32">
        <v>19</v>
      </c>
      <c r="J10" s="32">
        <v>14</v>
      </c>
      <c r="K10" s="32">
        <v>19</v>
      </c>
      <c r="L10" s="32">
        <v>14</v>
      </c>
      <c r="M10" s="32">
        <v>17</v>
      </c>
      <c r="N10" s="32">
        <v>16</v>
      </c>
      <c r="O10" s="32">
        <v>16</v>
      </c>
      <c r="P10" s="32">
        <v>17</v>
      </c>
      <c r="Q10" s="32">
        <v>18</v>
      </c>
      <c r="S10" s="32">
        <v>3</v>
      </c>
      <c r="T10" s="32">
        <v>2</v>
      </c>
      <c r="U10" s="32">
        <v>3</v>
      </c>
      <c r="V10" s="32">
        <v>0</v>
      </c>
      <c r="W10" s="32">
        <v>4</v>
      </c>
      <c r="X10" s="32">
        <v>1</v>
      </c>
      <c r="Y10" s="32">
        <v>2</v>
      </c>
      <c r="Z10" s="32">
        <v>5</v>
      </c>
      <c r="AA10" s="32">
        <v>2</v>
      </c>
      <c r="AB10" s="32">
        <v>2</v>
      </c>
      <c r="AC10" s="47"/>
      <c r="AE10" s="47"/>
      <c r="AG10" s="47"/>
      <c r="AI10" s="47"/>
      <c r="AK10" s="47"/>
      <c r="AL10" s="47"/>
      <c r="AM10" s="48"/>
    </row>
    <row r="11" spans="1:40" x14ac:dyDescent="0.35">
      <c r="A11" s="62" t="s">
        <v>28</v>
      </c>
      <c r="B11" s="62" t="s">
        <v>32</v>
      </c>
      <c r="C11" s="62">
        <v>2</v>
      </c>
      <c r="D11" s="62">
        <v>2</v>
      </c>
      <c r="E11" s="62">
        <v>6</v>
      </c>
      <c r="F11" s="62">
        <v>206</v>
      </c>
      <c r="G11" s="63">
        <v>10</v>
      </c>
      <c r="H11" s="32">
        <v>19</v>
      </c>
      <c r="I11" s="32">
        <v>16</v>
      </c>
      <c r="J11" s="32">
        <v>16</v>
      </c>
      <c r="K11" s="32">
        <v>20</v>
      </c>
      <c r="L11" s="32">
        <v>19</v>
      </c>
      <c r="M11" s="32">
        <v>20</v>
      </c>
      <c r="N11" s="32">
        <v>16</v>
      </c>
      <c r="O11" s="32">
        <v>19</v>
      </c>
      <c r="P11" s="32">
        <v>20</v>
      </c>
      <c r="Q11" s="32">
        <v>18</v>
      </c>
      <c r="S11" s="32">
        <v>2</v>
      </c>
      <c r="T11" s="32">
        <v>4</v>
      </c>
      <c r="U11" s="32">
        <v>2</v>
      </c>
      <c r="V11" s="32">
        <v>0</v>
      </c>
      <c r="W11" s="32">
        <v>1</v>
      </c>
      <c r="X11" s="32">
        <v>1</v>
      </c>
      <c r="Y11" s="32">
        <v>1</v>
      </c>
      <c r="Z11" s="32">
        <v>1</v>
      </c>
      <c r="AA11" s="32">
        <v>1</v>
      </c>
      <c r="AB11" s="32">
        <v>2</v>
      </c>
      <c r="AC11" s="47"/>
      <c r="AE11" s="47"/>
      <c r="AG11" s="47"/>
      <c r="AI11" s="47"/>
      <c r="AK11" s="47"/>
      <c r="AL11" s="47"/>
      <c r="AM11" s="48"/>
    </row>
    <row r="12" spans="1:40" x14ac:dyDescent="0.35">
      <c r="A12" s="62" t="s">
        <v>28</v>
      </c>
      <c r="B12" s="62" t="s">
        <v>30</v>
      </c>
      <c r="C12" s="62">
        <v>2</v>
      </c>
      <c r="D12" s="62">
        <v>3</v>
      </c>
      <c r="E12" s="62">
        <v>6</v>
      </c>
      <c r="F12" s="62">
        <v>306</v>
      </c>
      <c r="G12" s="63">
        <v>11</v>
      </c>
      <c r="H12" s="32">
        <v>18</v>
      </c>
      <c r="I12" s="32">
        <v>15</v>
      </c>
      <c r="J12" s="32">
        <v>21</v>
      </c>
      <c r="K12" s="32">
        <v>18</v>
      </c>
      <c r="L12" s="32">
        <v>18</v>
      </c>
      <c r="M12" s="32">
        <v>20</v>
      </c>
      <c r="N12" s="32">
        <v>16</v>
      </c>
      <c r="O12" s="32">
        <v>17</v>
      </c>
      <c r="P12" s="32">
        <v>18</v>
      </c>
      <c r="Q12" s="32">
        <v>17</v>
      </c>
      <c r="S12" s="32">
        <v>1</v>
      </c>
      <c r="T12" s="32">
        <v>2</v>
      </c>
      <c r="U12" s="32">
        <v>0</v>
      </c>
      <c r="V12" s="32">
        <v>2</v>
      </c>
      <c r="W12" s="32">
        <v>1</v>
      </c>
      <c r="X12" s="32">
        <v>0</v>
      </c>
      <c r="Y12" s="32">
        <v>3</v>
      </c>
      <c r="Z12" s="32">
        <v>0</v>
      </c>
      <c r="AA12" s="32">
        <v>1</v>
      </c>
      <c r="AB12" s="32">
        <v>0</v>
      </c>
      <c r="AC12" s="47"/>
      <c r="AE12" s="47"/>
      <c r="AG12" s="47"/>
      <c r="AI12" s="47"/>
      <c r="AK12" s="47"/>
      <c r="AL12" s="47"/>
      <c r="AM12" s="48"/>
    </row>
    <row r="13" spans="1:40" x14ac:dyDescent="0.35">
      <c r="A13" s="62" t="s">
        <v>28</v>
      </c>
      <c r="B13" s="62" t="s">
        <v>29</v>
      </c>
      <c r="C13" s="62">
        <v>2</v>
      </c>
      <c r="D13" s="62">
        <v>4</v>
      </c>
      <c r="E13" s="62">
        <v>6</v>
      </c>
      <c r="F13" s="62">
        <v>406</v>
      </c>
      <c r="G13" s="63">
        <v>12</v>
      </c>
      <c r="H13" s="32">
        <v>16</v>
      </c>
      <c r="I13" s="32">
        <v>19</v>
      </c>
      <c r="J13" s="32">
        <v>16</v>
      </c>
      <c r="K13" s="32">
        <v>17</v>
      </c>
      <c r="L13" s="32">
        <v>18</v>
      </c>
      <c r="M13" s="32">
        <v>19</v>
      </c>
      <c r="N13" s="32">
        <v>19</v>
      </c>
      <c r="O13" s="32">
        <v>17</v>
      </c>
      <c r="P13" s="32">
        <v>18</v>
      </c>
      <c r="Q13" s="32">
        <v>17</v>
      </c>
      <c r="S13" s="32">
        <v>2</v>
      </c>
      <c r="T13" s="32">
        <v>3</v>
      </c>
      <c r="U13" s="32">
        <v>2</v>
      </c>
      <c r="V13" s="32">
        <v>1</v>
      </c>
      <c r="W13" s="32">
        <v>0</v>
      </c>
      <c r="X13" s="32">
        <v>4</v>
      </c>
      <c r="Y13" s="32">
        <v>0</v>
      </c>
      <c r="Z13" s="32">
        <v>1</v>
      </c>
      <c r="AA13" s="32">
        <v>1</v>
      </c>
      <c r="AB13" s="32">
        <v>1</v>
      </c>
      <c r="AC13" s="47"/>
      <c r="AE13" s="47"/>
      <c r="AG13" s="47"/>
      <c r="AI13" s="47"/>
      <c r="AK13" s="47"/>
      <c r="AL13" s="47"/>
      <c r="AM13" s="48"/>
    </row>
    <row r="14" spans="1:40" x14ac:dyDescent="0.35">
      <c r="A14" s="62" t="s">
        <v>33</v>
      </c>
      <c r="B14" s="62" t="s">
        <v>34</v>
      </c>
      <c r="C14" s="62">
        <v>2</v>
      </c>
      <c r="D14" s="62">
        <v>4</v>
      </c>
      <c r="E14" s="62">
        <v>8</v>
      </c>
      <c r="F14" s="62">
        <v>408</v>
      </c>
      <c r="G14" s="63">
        <v>13</v>
      </c>
      <c r="H14" s="32">
        <v>20</v>
      </c>
      <c r="I14" s="32">
        <v>21</v>
      </c>
      <c r="J14" s="32">
        <v>16</v>
      </c>
      <c r="K14" s="32">
        <v>20</v>
      </c>
      <c r="L14" s="32">
        <v>19</v>
      </c>
      <c r="M14" s="32">
        <v>20</v>
      </c>
      <c r="N14" s="32">
        <v>18</v>
      </c>
      <c r="O14" s="32">
        <v>21</v>
      </c>
      <c r="P14" s="32">
        <v>20</v>
      </c>
      <c r="Q14" s="32">
        <v>18</v>
      </c>
      <c r="S14" s="32">
        <v>0</v>
      </c>
      <c r="T14" s="32">
        <v>2</v>
      </c>
      <c r="U14" s="32">
        <v>0</v>
      </c>
      <c r="V14" s="32">
        <v>0</v>
      </c>
      <c r="W14" s="32">
        <v>1</v>
      </c>
      <c r="X14" s="32">
        <v>0</v>
      </c>
      <c r="Y14" s="32">
        <v>1</v>
      </c>
      <c r="Z14" s="32">
        <v>0</v>
      </c>
      <c r="AA14" s="32">
        <v>0</v>
      </c>
      <c r="AB14" s="32">
        <v>1</v>
      </c>
      <c r="AC14" s="47"/>
      <c r="AE14" s="47"/>
      <c r="AG14" s="47"/>
      <c r="AI14" s="47"/>
      <c r="AK14" s="47"/>
      <c r="AL14" s="47"/>
      <c r="AM14" s="48"/>
    </row>
    <row r="15" spans="1:40" x14ac:dyDescent="0.35">
      <c r="A15" s="62" t="s">
        <v>33</v>
      </c>
      <c r="B15" s="62" t="s">
        <v>30</v>
      </c>
      <c r="C15" s="62">
        <v>2</v>
      </c>
      <c r="D15" s="62">
        <v>3</v>
      </c>
      <c r="E15" s="62">
        <v>8</v>
      </c>
      <c r="F15" s="62">
        <v>308</v>
      </c>
      <c r="G15" s="63">
        <v>14</v>
      </c>
      <c r="H15" s="32">
        <v>15</v>
      </c>
      <c r="I15" s="32">
        <v>17</v>
      </c>
      <c r="J15" s="32">
        <v>17</v>
      </c>
      <c r="K15" s="32">
        <v>15</v>
      </c>
      <c r="L15" s="32">
        <v>16</v>
      </c>
      <c r="M15" s="32">
        <v>16</v>
      </c>
      <c r="N15" s="32">
        <v>16</v>
      </c>
      <c r="O15" s="32">
        <v>15</v>
      </c>
      <c r="P15" s="32">
        <v>15</v>
      </c>
      <c r="Q15" s="32">
        <v>17</v>
      </c>
      <c r="R15" s="53"/>
      <c r="S15" s="32">
        <v>0</v>
      </c>
      <c r="T15" s="32">
        <v>1</v>
      </c>
      <c r="U15" s="32">
        <v>2</v>
      </c>
      <c r="V15" s="32">
        <v>1</v>
      </c>
      <c r="W15" s="32">
        <v>0</v>
      </c>
      <c r="X15" s="32">
        <v>1</v>
      </c>
      <c r="Y15" s="32">
        <v>0</v>
      </c>
      <c r="Z15" s="32">
        <v>4</v>
      </c>
      <c r="AA15" s="32">
        <v>0</v>
      </c>
      <c r="AB15" s="32">
        <v>3</v>
      </c>
      <c r="AC15" s="47"/>
      <c r="AE15" s="47"/>
      <c r="AG15" s="47"/>
      <c r="AI15" s="47"/>
      <c r="AK15" s="47"/>
      <c r="AL15" s="47"/>
      <c r="AM15" s="48"/>
    </row>
    <row r="16" spans="1:40" x14ac:dyDescent="0.35">
      <c r="A16" s="62" t="s">
        <v>33</v>
      </c>
      <c r="B16" s="62" t="s">
        <v>29</v>
      </c>
      <c r="C16" s="62">
        <v>2</v>
      </c>
      <c r="D16" s="62">
        <v>2</v>
      </c>
      <c r="E16" s="62">
        <v>8</v>
      </c>
      <c r="F16" s="62">
        <v>208</v>
      </c>
      <c r="G16" s="63">
        <v>15</v>
      </c>
      <c r="H16" s="32">
        <v>15</v>
      </c>
      <c r="I16" s="32">
        <v>16</v>
      </c>
      <c r="J16" s="32">
        <v>18</v>
      </c>
      <c r="K16" s="32">
        <v>18</v>
      </c>
      <c r="L16" s="32">
        <v>17</v>
      </c>
      <c r="M16" s="32">
        <v>17</v>
      </c>
      <c r="N16" s="32">
        <v>17</v>
      </c>
      <c r="O16" s="32">
        <v>18</v>
      </c>
      <c r="P16" s="32">
        <v>18</v>
      </c>
      <c r="Q16" s="32">
        <v>18</v>
      </c>
      <c r="S16" s="32">
        <v>2</v>
      </c>
      <c r="T16" s="32">
        <v>3</v>
      </c>
      <c r="U16" s="32">
        <v>2</v>
      </c>
      <c r="V16" s="32">
        <v>3</v>
      </c>
      <c r="W16" s="32">
        <v>2</v>
      </c>
      <c r="X16" s="32">
        <v>2</v>
      </c>
      <c r="Y16" s="32">
        <v>1</v>
      </c>
      <c r="Z16" s="32">
        <v>3</v>
      </c>
      <c r="AA16" s="32">
        <v>3</v>
      </c>
      <c r="AB16" s="32">
        <v>3</v>
      </c>
      <c r="AC16" s="47"/>
      <c r="AE16" s="47"/>
      <c r="AG16" s="47"/>
      <c r="AI16" s="47"/>
      <c r="AK16" s="47"/>
      <c r="AL16" s="47"/>
      <c r="AM16" s="48"/>
    </row>
    <row r="17" spans="1:39" x14ac:dyDescent="0.35">
      <c r="A17" s="62" t="s">
        <v>33</v>
      </c>
      <c r="B17" s="62" t="s">
        <v>35</v>
      </c>
      <c r="C17" s="62">
        <v>2</v>
      </c>
      <c r="D17" s="62">
        <v>1</v>
      </c>
      <c r="E17" s="62">
        <v>8</v>
      </c>
      <c r="F17" s="62">
        <v>108</v>
      </c>
      <c r="G17" s="63">
        <v>16</v>
      </c>
      <c r="H17" s="32">
        <v>18</v>
      </c>
      <c r="I17" s="32">
        <v>20</v>
      </c>
      <c r="J17" s="32">
        <v>23</v>
      </c>
      <c r="K17" s="32">
        <v>19</v>
      </c>
      <c r="L17" s="32">
        <v>21</v>
      </c>
      <c r="M17" s="32">
        <v>18</v>
      </c>
      <c r="N17" s="32">
        <v>22</v>
      </c>
      <c r="O17" s="32">
        <v>21</v>
      </c>
      <c r="P17" s="32">
        <v>20</v>
      </c>
      <c r="Q17" s="32">
        <v>20</v>
      </c>
      <c r="S17" s="32">
        <v>0</v>
      </c>
      <c r="T17" s="32">
        <v>1</v>
      </c>
      <c r="U17" s="32">
        <v>0</v>
      </c>
      <c r="V17" s="32">
        <v>0</v>
      </c>
      <c r="W17" s="32">
        <v>0</v>
      </c>
      <c r="X17" s="32">
        <v>1</v>
      </c>
      <c r="Y17" s="32">
        <v>1</v>
      </c>
      <c r="Z17" s="32">
        <v>1</v>
      </c>
      <c r="AA17" s="32">
        <v>0</v>
      </c>
      <c r="AB17" s="32">
        <v>3</v>
      </c>
      <c r="AC17" s="47"/>
      <c r="AE17" s="47"/>
      <c r="AG17" s="47"/>
      <c r="AI17" s="47"/>
      <c r="AK17" s="47"/>
      <c r="AL17" s="47"/>
      <c r="AM17" s="48"/>
    </row>
    <row r="18" spans="1:39" x14ac:dyDescent="0.35">
      <c r="A18" s="62" t="s">
        <v>28</v>
      </c>
      <c r="B18" s="62" t="s">
        <v>32</v>
      </c>
      <c r="C18" s="62">
        <v>3</v>
      </c>
      <c r="D18" s="62">
        <v>1</v>
      </c>
      <c r="E18" s="62">
        <v>10</v>
      </c>
      <c r="F18" s="62">
        <v>110</v>
      </c>
      <c r="G18" s="63">
        <v>17</v>
      </c>
      <c r="H18" s="32">
        <v>23</v>
      </c>
      <c r="I18" s="32">
        <v>21</v>
      </c>
      <c r="J18" s="32">
        <v>19</v>
      </c>
      <c r="K18" s="32">
        <v>20</v>
      </c>
      <c r="L18" s="32">
        <v>22</v>
      </c>
      <c r="M18" s="32">
        <v>19</v>
      </c>
      <c r="N18" s="32">
        <v>21</v>
      </c>
      <c r="O18" s="32">
        <v>19</v>
      </c>
      <c r="P18" s="32">
        <v>22</v>
      </c>
      <c r="Q18" s="32">
        <v>21</v>
      </c>
      <c r="S18" s="32">
        <v>0</v>
      </c>
      <c r="T18" s="32">
        <v>2</v>
      </c>
      <c r="U18" s="32">
        <v>0</v>
      </c>
      <c r="V18" s="32">
        <v>1</v>
      </c>
      <c r="W18" s="32">
        <v>1</v>
      </c>
      <c r="X18" s="32">
        <v>1</v>
      </c>
      <c r="Y18" s="32">
        <v>1</v>
      </c>
      <c r="Z18" s="32">
        <v>3</v>
      </c>
      <c r="AA18" s="32">
        <v>0</v>
      </c>
      <c r="AB18" s="32">
        <v>3</v>
      </c>
      <c r="AC18" s="47"/>
      <c r="AE18" s="47"/>
      <c r="AG18" s="47"/>
      <c r="AI18" s="47"/>
      <c r="AK18" s="47"/>
      <c r="AL18" s="47"/>
      <c r="AM18" s="48"/>
    </row>
    <row r="19" spans="1:39" x14ac:dyDescent="0.35">
      <c r="A19" s="62" t="s">
        <v>28</v>
      </c>
      <c r="B19" s="62" t="s">
        <v>31</v>
      </c>
      <c r="C19" s="62">
        <v>3</v>
      </c>
      <c r="D19" s="62">
        <v>2</v>
      </c>
      <c r="E19" s="62">
        <v>10</v>
      </c>
      <c r="F19" s="62">
        <v>210</v>
      </c>
      <c r="G19" s="63">
        <v>18</v>
      </c>
      <c r="H19" s="32">
        <v>19</v>
      </c>
      <c r="I19" s="32">
        <v>21</v>
      </c>
      <c r="J19" s="32">
        <v>21</v>
      </c>
      <c r="K19" s="32">
        <v>18</v>
      </c>
      <c r="L19" s="32">
        <v>21</v>
      </c>
      <c r="M19" s="32">
        <v>18</v>
      </c>
      <c r="N19" s="32">
        <v>20</v>
      </c>
      <c r="O19" s="32">
        <v>21</v>
      </c>
      <c r="P19" s="32">
        <v>21</v>
      </c>
      <c r="Q19" s="32">
        <v>21</v>
      </c>
      <c r="S19" s="32">
        <v>2</v>
      </c>
      <c r="T19" s="32">
        <v>5</v>
      </c>
      <c r="U19" s="32">
        <v>0</v>
      </c>
      <c r="V19" s="32">
        <v>2</v>
      </c>
      <c r="W19" s="32">
        <v>1</v>
      </c>
      <c r="X19" s="32">
        <v>2</v>
      </c>
      <c r="Y19" s="32">
        <v>1</v>
      </c>
      <c r="Z19" s="32">
        <v>2</v>
      </c>
      <c r="AA19" s="32">
        <v>2</v>
      </c>
      <c r="AB19" s="32">
        <v>3</v>
      </c>
      <c r="AC19" s="47"/>
      <c r="AE19" s="47"/>
      <c r="AG19" s="47"/>
      <c r="AI19" s="47"/>
      <c r="AK19" s="47"/>
      <c r="AL19" s="47"/>
      <c r="AM19" s="48"/>
    </row>
    <row r="20" spans="1:39" x14ac:dyDescent="0.35">
      <c r="A20" s="62" t="s">
        <v>28</v>
      </c>
      <c r="B20" s="62" t="s">
        <v>29</v>
      </c>
      <c r="C20" s="62">
        <v>3</v>
      </c>
      <c r="D20" s="62">
        <v>3</v>
      </c>
      <c r="E20" s="62">
        <v>10</v>
      </c>
      <c r="F20" s="62">
        <v>310</v>
      </c>
      <c r="G20" s="63">
        <v>19</v>
      </c>
      <c r="H20" s="32">
        <v>19</v>
      </c>
      <c r="I20" s="32">
        <v>21</v>
      </c>
      <c r="J20" s="32">
        <v>18</v>
      </c>
      <c r="K20" s="32">
        <v>18</v>
      </c>
      <c r="L20" s="32">
        <v>18</v>
      </c>
      <c r="M20" s="32">
        <v>19</v>
      </c>
      <c r="N20" s="32">
        <v>15</v>
      </c>
      <c r="O20" s="32">
        <v>17</v>
      </c>
      <c r="P20" s="32">
        <v>18</v>
      </c>
      <c r="Q20" s="32">
        <v>17</v>
      </c>
      <c r="S20" s="32">
        <v>6</v>
      </c>
      <c r="T20" s="32">
        <v>4</v>
      </c>
      <c r="U20" s="32">
        <v>2</v>
      </c>
      <c r="V20" s="32">
        <v>3</v>
      </c>
      <c r="W20" s="32">
        <v>4</v>
      </c>
      <c r="X20" s="32">
        <v>3</v>
      </c>
      <c r="Y20" s="32">
        <v>3</v>
      </c>
      <c r="Z20" s="32">
        <v>4</v>
      </c>
      <c r="AA20" s="32">
        <v>1</v>
      </c>
      <c r="AB20" s="32">
        <v>2</v>
      </c>
      <c r="AC20" s="47"/>
      <c r="AE20" s="47"/>
      <c r="AG20" s="47"/>
      <c r="AI20" s="47"/>
      <c r="AK20" s="47"/>
      <c r="AL20" s="47"/>
      <c r="AM20" s="48"/>
    </row>
    <row r="21" spans="1:39" x14ac:dyDescent="0.35">
      <c r="A21" s="62" t="s">
        <v>28</v>
      </c>
      <c r="B21" s="62" t="s">
        <v>30</v>
      </c>
      <c r="C21" s="62">
        <v>3</v>
      </c>
      <c r="D21" s="62">
        <v>4</v>
      </c>
      <c r="E21" s="62">
        <v>10</v>
      </c>
      <c r="F21" s="62">
        <v>410</v>
      </c>
      <c r="G21" s="63">
        <v>20</v>
      </c>
      <c r="H21" s="32">
        <v>18</v>
      </c>
      <c r="I21" s="32">
        <v>17</v>
      </c>
      <c r="J21" s="32">
        <v>19</v>
      </c>
      <c r="K21" s="32">
        <v>20</v>
      </c>
      <c r="L21" s="32">
        <v>18</v>
      </c>
      <c r="M21" s="32">
        <v>17</v>
      </c>
      <c r="N21" s="32">
        <v>15</v>
      </c>
      <c r="O21" s="32">
        <v>19</v>
      </c>
      <c r="P21" s="32">
        <v>17</v>
      </c>
      <c r="Q21" s="32">
        <v>16</v>
      </c>
      <c r="R21" s="53"/>
      <c r="S21" s="32">
        <v>1</v>
      </c>
      <c r="T21" s="32">
        <v>1</v>
      </c>
      <c r="U21" s="32">
        <v>1</v>
      </c>
      <c r="V21" s="32">
        <v>4</v>
      </c>
      <c r="W21" s="32">
        <v>2</v>
      </c>
      <c r="X21" s="32">
        <v>0</v>
      </c>
      <c r="Y21" s="32">
        <v>1</v>
      </c>
      <c r="Z21" s="32">
        <v>2</v>
      </c>
      <c r="AA21" s="32">
        <v>4</v>
      </c>
      <c r="AB21" s="32">
        <v>0</v>
      </c>
      <c r="AC21" s="47"/>
      <c r="AE21" s="47"/>
      <c r="AG21" s="47"/>
      <c r="AI21" s="47"/>
      <c r="AK21" s="47"/>
      <c r="AL21" s="47"/>
      <c r="AM21" s="48"/>
    </row>
    <row r="22" spans="1:39" x14ac:dyDescent="0.35">
      <c r="A22" s="62" t="s">
        <v>33</v>
      </c>
      <c r="B22" s="62" t="s">
        <v>30</v>
      </c>
      <c r="C22" s="62">
        <v>3</v>
      </c>
      <c r="D22" s="62">
        <v>4</v>
      </c>
      <c r="E22" s="62">
        <v>12</v>
      </c>
      <c r="F22" s="62">
        <v>412</v>
      </c>
      <c r="G22" s="63">
        <v>21</v>
      </c>
      <c r="H22" s="32">
        <v>18</v>
      </c>
      <c r="I22" s="32">
        <v>14</v>
      </c>
      <c r="J22" s="32">
        <v>17</v>
      </c>
      <c r="K22" s="32">
        <v>14</v>
      </c>
      <c r="L22" s="32">
        <v>15</v>
      </c>
      <c r="M22" s="32">
        <v>17</v>
      </c>
      <c r="N22" s="32">
        <v>14</v>
      </c>
      <c r="O22" s="32">
        <v>17</v>
      </c>
      <c r="P22" s="32">
        <v>16</v>
      </c>
      <c r="Q22" s="32">
        <v>15</v>
      </c>
      <c r="S22" s="32">
        <v>1</v>
      </c>
      <c r="T22" s="32">
        <v>0</v>
      </c>
      <c r="U22" s="32">
        <v>1</v>
      </c>
      <c r="V22" s="32">
        <v>0</v>
      </c>
      <c r="W22" s="32">
        <v>1</v>
      </c>
      <c r="X22" s="32">
        <v>1</v>
      </c>
      <c r="Y22" s="32">
        <v>0</v>
      </c>
      <c r="Z22" s="32">
        <v>1</v>
      </c>
      <c r="AA22" s="32">
        <v>4</v>
      </c>
      <c r="AB22" s="32">
        <v>1</v>
      </c>
      <c r="AC22" s="47"/>
      <c r="AE22" s="47"/>
      <c r="AG22" s="47"/>
      <c r="AI22" s="47"/>
      <c r="AK22" s="47"/>
      <c r="AL22" s="47"/>
      <c r="AM22" s="48"/>
    </row>
    <row r="23" spans="1:39" x14ac:dyDescent="0.35">
      <c r="A23" s="62" t="s">
        <v>33</v>
      </c>
      <c r="B23" s="62" t="s">
        <v>34</v>
      </c>
      <c r="C23" s="62">
        <v>3</v>
      </c>
      <c r="D23" s="62">
        <v>3</v>
      </c>
      <c r="E23" s="62">
        <v>12</v>
      </c>
      <c r="F23" s="62">
        <v>312</v>
      </c>
      <c r="G23" s="63">
        <v>22</v>
      </c>
      <c r="H23" s="32">
        <v>21</v>
      </c>
      <c r="I23" s="32">
        <v>18</v>
      </c>
      <c r="J23" s="32">
        <v>18</v>
      </c>
      <c r="K23" s="32">
        <v>18</v>
      </c>
      <c r="L23" s="32">
        <v>19</v>
      </c>
      <c r="M23" s="32">
        <v>17</v>
      </c>
      <c r="N23" s="32">
        <v>19</v>
      </c>
      <c r="O23" s="32">
        <v>18</v>
      </c>
      <c r="P23" s="32">
        <v>19</v>
      </c>
      <c r="Q23" s="32">
        <v>20</v>
      </c>
      <c r="S23" s="32">
        <v>0</v>
      </c>
      <c r="T23" s="32">
        <v>0</v>
      </c>
      <c r="U23" s="32">
        <v>1</v>
      </c>
      <c r="V23" s="32">
        <v>1</v>
      </c>
      <c r="W23" s="32">
        <v>1</v>
      </c>
      <c r="X23" s="32">
        <v>1</v>
      </c>
      <c r="Y23" s="32">
        <v>1</v>
      </c>
      <c r="Z23" s="32">
        <v>0</v>
      </c>
      <c r="AA23" s="32">
        <v>0</v>
      </c>
      <c r="AB23" s="32">
        <v>1</v>
      </c>
      <c r="AC23" s="47"/>
      <c r="AE23" s="47"/>
      <c r="AG23" s="47"/>
      <c r="AI23" s="47"/>
      <c r="AK23" s="47"/>
      <c r="AL23" s="47"/>
      <c r="AM23" s="48"/>
    </row>
    <row r="24" spans="1:39" x14ac:dyDescent="0.35">
      <c r="A24" s="62" t="s">
        <v>33</v>
      </c>
      <c r="B24" s="62" t="s">
        <v>35</v>
      </c>
      <c r="C24" s="62">
        <v>3</v>
      </c>
      <c r="D24" s="62">
        <v>2</v>
      </c>
      <c r="E24" s="62">
        <v>12</v>
      </c>
      <c r="F24" s="62">
        <v>212</v>
      </c>
      <c r="G24" s="63">
        <v>23</v>
      </c>
      <c r="H24" s="32">
        <v>17</v>
      </c>
      <c r="I24" s="32">
        <v>17</v>
      </c>
      <c r="J24" s="32">
        <v>18</v>
      </c>
      <c r="K24" s="32">
        <v>15</v>
      </c>
      <c r="L24" s="32">
        <v>18</v>
      </c>
      <c r="M24" s="32">
        <v>15</v>
      </c>
      <c r="N24" s="32">
        <v>17</v>
      </c>
      <c r="O24" s="32">
        <v>17</v>
      </c>
      <c r="P24" s="32">
        <v>19</v>
      </c>
      <c r="Q24" s="32">
        <v>17</v>
      </c>
      <c r="S24" s="32">
        <v>0</v>
      </c>
      <c r="T24" s="32">
        <v>2</v>
      </c>
      <c r="U24" s="32">
        <v>2</v>
      </c>
      <c r="V24" s="32">
        <v>0</v>
      </c>
      <c r="W24" s="32">
        <v>2</v>
      </c>
      <c r="X24" s="32">
        <v>1</v>
      </c>
      <c r="Y24" s="32">
        <v>0</v>
      </c>
      <c r="Z24" s="32">
        <v>3</v>
      </c>
      <c r="AA24" s="32">
        <v>1</v>
      </c>
      <c r="AB24" s="32">
        <v>0</v>
      </c>
      <c r="AC24" s="47"/>
      <c r="AE24" s="47"/>
      <c r="AG24" s="47"/>
      <c r="AI24" s="47"/>
      <c r="AK24" s="47"/>
      <c r="AL24" s="47"/>
      <c r="AM24" s="48"/>
    </row>
    <row r="25" spans="1:39" x14ac:dyDescent="0.35">
      <c r="A25" s="62" t="s">
        <v>33</v>
      </c>
      <c r="B25" s="62" t="s">
        <v>29</v>
      </c>
      <c r="C25" s="62">
        <v>3</v>
      </c>
      <c r="D25" s="62">
        <v>1</v>
      </c>
      <c r="E25" s="62">
        <v>12</v>
      </c>
      <c r="F25" s="62">
        <v>112</v>
      </c>
      <c r="G25" s="63">
        <v>24</v>
      </c>
      <c r="H25" s="32">
        <v>17</v>
      </c>
      <c r="I25" s="32">
        <v>16</v>
      </c>
      <c r="J25" s="32">
        <v>16</v>
      </c>
      <c r="K25" s="32">
        <v>16</v>
      </c>
      <c r="L25" s="32">
        <v>17</v>
      </c>
      <c r="M25" s="32">
        <v>18</v>
      </c>
      <c r="N25" s="32">
        <v>17</v>
      </c>
      <c r="O25" s="32">
        <v>18</v>
      </c>
      <c r="P25" s="32">
        <v>18</v>
      </c>
      <c r="Q25" s="32">
        <v>18</v>
      </c>
      <c r="S25" s="32">
        <v>3</v>
      </c>
      <c r="T25" s="32">
        <v>1</v>
      </c>
      <c r="U25" s="32">
        <v>0</v>
      </c>
      <c r="V25" s="32">
        <v>0</v>
      </c>
      <c r="W25" s="32">
        <v>0</v>
      </c>
      <c r="X25" s="32">
        <v>1</v>
      </c>
      <c r="Y25" s="32">
        <v>2</v>
      </c>
      <c r="Z25" s="32">
        <v>3</v>
      </c>
      <c r="AA25" s="32">
        <v>1</v>
      </c>
      <c r="AB25" s="32">
        <v>1</v>
      </c>
      <c r="AC25" s="47"/>
      <c r="AE25" s="47"/>
      <c r="AG25" s="47"/>
      <c r="AI25" s="47"/>
      <c r="AK25" s="47"/>
      <c r="AL25" s="47"/>
      <c r="AM25" s="48"/>
    </row>
    <row r="26" spans="1:39" x14ac:dyDescent="0.35">
      <c r="A26" s="62" t="s">
        <v>28</v>
      </c>
      <c r="B26" s="62" t="s">
        <v>30</v>
      </c>
      <c r="C26" s="62">
        <v>4</v>
      </c>
      <c r="D26" s="62">
        <v>1</v>
      </c>
      <c r="E26" s="62">
        <v>14</v>
      </c>
      <c r="F26" s="62">
        <v>114</v>
      </c>
      <c r="G26" s="63">
        <v>25</v>
      </c>
      <c r="H26" s="32">
        <v>21</v>
      </c>
      <c r="I26" s="32">
        <v>12</v>
      </c>
      <c r="J26" s="32">
        <v>19</v>
      </c>
      <c r="K26" s="32">
        <v>22</v>
      </c>
      <c r="L26" s="32">
        <v>19</v>
      </c>
      <c r="M26" s="32">
        <v>16</v>
      </c>
      <c r="N26" s="32">
        <v>18</v>
      </c>
      <c r="O26" s="32">
        <v>16</v>
      </c>
      <c r="P26" s="32">
        <v>20</v>
      </c>
      <c r="Q26" s="32">
        <v>19</v>
      </c>
      <c r="S26" s="32">
        <v>7</v>
      </c>
      <c r="T26" s="32">
        <v>0</v>
      </c>
      <c r="U26" s="32">
        <v>6</v>
      </c>
      <c r="V26" s="32">
        <v>6</v>
      </c>
      <c r="W26" s="32">
        <v>4</v>
      </c>
      <c r="X26" s="32">
        <v>1</v>
      </c>
      <c r="Y26" s="32">
        <v>1</v>
      </c>
      <c r="Z26" s="32">
        <v>3</v>
      </c>
      <c r="AA26" s="32">
        <v>2</v>
      </c>
      <c r="AB26" s="32">
        <v>5</v>
      </c>
      <c r="AC26" s="47"/>
      <c r="AE26" s="47"/>
      <c r="AG26" s="47"/>
      <c r="AI26" s="47"/>
      <c r="AK26" s="47"/>
      <c r="AL26" s="47"/>
      <c r="AM26" s="48"/>
    </row>
    <row r="27" spans="1:39" x14ac:dyDescent="0.35">
      <c r="A27" s="62" t="s">
        <v>28</v>
      </c>
      <c r="B27" s="62" t="s">
        <v>29</v>
      </c>
      <c r="C27" s="62">
        <v>4</v>
      </c>
      <c r="D27" s="62">
        <v>2</v>
      </c>
      <c r="E27" s="62">
        <v>14</v>
      </c>
      <c r="F27" s="62">
        <v>214</v>
      </c>
      <c r="G27" s="63">
        <v>26</v>
      </c>
      <c r="H27" s="32">
        <v>19</v>
      </c>
      <c r="I27" s="32">
        <v>19</v>
      </c>
      <c r="J27" s="32">
        <v>18</v>
      </c>
      <c r="K27" s="32">
        <v>17</v>
      </c>
      <c r="L27" s="32">
        <v>18</v>
      </c>
      <c r="M27" s="32">
        <v>18</v>
      </c>
      <c r="N27" s="32">
        <v>19</v>
      </c>
      <c r="O27" s="32">
        <v>20</v>
      </c>
      <c r="P27" s="32">
        <v>17</v>
      </c>
      <c r="Q27" s="32">
        <v>18</v>
      </c>
      <c r="S27" s="32">
        <v>2</v>
      </c>
      <c r="T27" s="32">
        <v>2</v>
      </c>
      <c r="U27" s="32">
        <v>5</v>
      </c>
      <c r="V27" s="32">
        <v>1</v>
      </c>
      <c r="W27" s="32">
        <v>2</v>
      </c>
      <c r="X27" s="32">
        <v>1</v>
      </c>
      <c r="Y27" s="32">
        <v>3</v>
      </c>
      <c r="Z27" s="32">
        <v>4</v>
      </c>
      <c r="AA27" s="32">
        <v>3</v>
      </c>
      <c r="AB27" s="32">
        <v>1</v>
      </c>
      <c r="AC27" s="47"/>
      <c r="AE27" s="47"/>
      <c r="AG27" s="47"/>
      <c r="AI27" s="47"/>
      <c r="AK27" s="47"/>
      <c r="AL27" s="47"/>
      <c r="AM27" s="48"/>
    </row>
    <row r="28" spans="1:39" x14ac:dyDescent="0.35">
      <c r="A28" s="62" t="s">
        <v>28</v>
      </c>
      <c r="B28" s="62" t="s">
        <v>32</v>
      </c>
      <c r="C28" s="62">
        <v>4</v>
      </c>
      <c r="D28" s="62">
        <v>3</v>
      </c>
      <c r="E28" s="62">
        <v>14</v>
      </c>
      <c r="F28" s="62">
        <v>314</v>
      </c>
      <c r="G28" s="63">
        <v>27</v>
      </c>
      <c r="H28" s="32">
        <v>17</v>
      </c>
      <c r="I28" s="32">
        <v>20</v>
      </c>
      <c r="J28" s="32">
        <v>17</v>
      </c>
      <c r="K28" s="32">
        <v>20</v>
      </c>
      <c r="L28" s="32">
        <v>21</v>
      </c>
      <c r="M28" s="32">
        <v>18</v>
      </c>
      <c r="N28" s="32">
        <v>16</v>
      </c>
      <c r="O28" s="32">
        <v>19</v>
      </c>
      <c r="P28" s="32">
        <v>19</v>
      </c>
      <c r="Q28" s="32">
        <v>19</v>
      </c>
      <c r="S28" s="32">
        <v>0</v>
      </c>
      <c r="T28" s="32">
        <v>1</v>
      </c>
      <c r="U28" s="32">
        <v>1</v>
      </c>
      <c r="V28" s="32">
        <v>2</v>
      </c>
      <c r="W28" s="32">
        <v>0</v>
      </c>
      <c r="X28" s="32">
        <v>0</v>
      </c>
      <c r="Y28" s="32">
        <v>1</v>
      </c>
      <c r="Z28" s="32">
        <v>0</v>
      </c>
      <c r="AA28" s="32">
        <v>0</v>
      </c>
      <c r="AB28" s="32">
        <v>0</v>
      </c>
      <c r="AC28" s="47"/>
      <c r="AE28" s="47"/>
      <c r="AG28" s="47"/>
      <c r="AI28" s="47"/>
      <c r="AK28" s="47"/>
      <c r="AL28" s="47"/>
      <c r="AM28" s="48"/>
    </row>
    <row r="29" spans="1:39" x14ac:dyDescent="0.35">
      <c r="A29" s="62" t="s">
        <v>28</v>
      </c>
      <c r="B29" s="62" t="s">
        <v>31</v>
      </c>
      <c r="C29" s="62">
        <v>4</v>
      </c>
      <c r="D29" s="62">
        <v>4</v>
      </c>
      <c r="E29" s="62">
        <v>14</v>
      </c>
      <c r="F29" s="62">
        <v>414</v>
      </c>
      <c r="G29" s="63">
        <v>28</v>
      </c>
      <c r="H29" s="32">
        <v>16</v>
      </c>
      <c r="I29" s="32">
        <v>19</v>
      </c>
      <c r="J29" s="32">
        <v>19</v>
      </c>
      <c r="K29" s="32">
        <v>18</v>
      </c>
      <c r="L29" s="32">
        <v>19</v>
      </c>
      <c r="M29" s="32">
        <v>18</v>
      </c>
      <c r="N29" s="32">
        <v>16</v>
      </c>
      <c r="O29" s="32">
        <v>20</v>
      </c>
      <c r="P29" s="32">
        <v>17</v>
      </c>
      <c r="Q29" s="32">
        <v>18</v>
      </c>
      <c r="S29" s="32">
        <v>0</v>
      </c>
      <c r="T29" s="32">
        <v>0</v>
      </c>
      <c r="U29" s="32">
        <v>1</v>
      </c>
      <c r="V29" s="32">
        <v>1</v>
      </c>
      <c r="W29" s="32">
        <v>0</v>
      </c>
      <c r="X29" s="32">
        <v>2</v>
      </c>
      <c r="Y29" s="32">
        <v>0</v>
      </c>
      <c r="Z29" s="32">
        <v>0</v>
      </c>
      <c r="AA29" s="32">
        <v>2</v>
      </c>
      <c r="AB29" s="32">
        <v>1</v>
      </c>
      <c r="AC29" s="47"/>
      <c r="AE29" s="47"/>
      <c r="AG29" s="47"/>
      <c r="AI29" s="47"/>
      <c r="AK29" s="47"/>
      <c r="AL29" s="47"/>
      <c r="AM29" s="48"/>
    </row>
    <row r="30" spans="1:39" x14ac:dyDescent="0.35">
      <c r="A30" s="62" t="s">
        <v>33</v>
      </c>
      <c r="B30" s="62" t="s">
        <v>35</v>
      </c>
      <c r="C30" s="62">
        <v>4</v>
      </c>
      <c r="D30" s="62">
        <v>4</v>
      </c>
      <c r="E30" s="62">
        <v>16</v>
      </c>
      <c r="F30" s="62">
        <v>416</v>
      </c>
      <c r="G30" s="63">
        <v>29</v>
      </c>
      <c r="H30" s="49">
        <v>18</v>
      </c>
      <c r="I30" s="32">
        <v>17</v>
      </c>
      <c r="J30" s="32">
        <v>18</v>
      </c>
      <c r="K30" s="32">
        <v>17</v>
      </c>
      <c r="L30" s="32">
        <v>16</v>
      </c>
      <c r="M30" s="32">
        <v>18</v>
      </c>
      <c r="N30" s="32">
        <v>16</v>
      </c>
      <c r="O30" s="32">
        <v>15</v>
      </c>
      <c r="P30" s="32">
        <v>21</v>
      </c>
      <c r="Q30" s="32">
        <v>17</v>
      </c>
      <c r="S30" s="32">
        <v>2</v>
      </c>
      <c r="T30" s="32">
        <v>3</v>
      </c>
      <c r="U30" s="32">
        <v>1</v>
      </c>
      <c r="V30" s="32">
        <v>0</v>
      </c>
      <c r="W30" s="32">
        <v>0</v>
      </c>
      <c r="X30" s="32">
        <v>1</v>
      </c>
      <c r="Y30" s="32">
        <v>0</v>
      </c>
      <c r="Z30" s="32">
        <v>1</v>
      </c>
      <c r="AA30" s="32">
        <v>0</v>
      </c>
      <c r="AB30" s="32">
        <v>2</v>
      </c>
      <c r="AC30" s="47"/>
      <c r="AE30" s="47"/>
      <c r="AG30" s="47"/>
      <c r="AI30" s="47"/>
      <c r="AK30" s="47"/>
      <c r="AL30" s="47"/>
      <c r="AM30" s="48"/>
    </row>
    <row r="31" spans="1:39" x14ac:dyDescent="0.35">
      <c r="A31" s="62" t="s">
        <v>33</v>
      </c>
      <c r="B31" s="62" t="s">
        <v>29</v>
      </c>
      <c r="C31" s="62">
        <v>4</v>
      </c>
      <c r="D31" s="62">
        <v>3</v>
      </c>
      <c r="E31" s="62">
        <v>16</v>
      </c>
      <c r="F31" s="62">
        <v>316</v>
      </c>
      <c r="G31" s="63">
        <v>30</v>
      </c>
      <c r="H31" s="32">
        <v>14</v>
      </c>
      <c r="I31" s="32">
        <v>14</v>
      </c>
      <c r="J31" s="32">
        <v>14</v>
      </c>
      <c r="K31" s="32">
        <v>18</v>
      </c>
      <c r="L31" s="32">
        <v>16</v>
      </c>
      <c r="M31" s="32">
        <v>15</v>
      </c>
      <c r="N31" s="32">
        <v>15</v>
      </c>
      <c r="O31" s="32">
        <v>14</v>
      </c>
      <c r="P31" s="32">
        <v>15</v>
      </c>
      <c r="Q31" s="32">
        <v>15</v>
      </c>
      <c r="S31" s="32">
        <v>3</v>
      </c>
      <c r="T31" s="32">
        <v>1</v>
      </c>
      <c r="U31" s="32">
        <v>1</v>
      </c>
      <c r="V31" s="32">
        <v>1</v>
      </c>
      <c r="W31" s="32">
        <v>0</v>
      </c>
      <c r="X31" s="32">
        <v>2</v>
      </c>
      <c r="Y31" s="32">
        <v>3</v>
      </c>
      <c r="Z31" s="32">
        <v>1</v>
      </c>
      <c r="AA31" s="32">
        <v>2</v>
      </c>
      <c r="AB31" s="32">
        <v>2</v>
      </c>
      <c r="AC31" s="47"/>
      <c r="AE31" s="47"/>
      <c r="AG31" s="47"/>
      <c r="AI31" s="47"/>
      <c r="AK31" s="47"/>
      <c r="AL31" s="47"/>
      <c r="AM31" s="48"/>
    </row>
    <row r="32" spans="1:39" x14ac:dyDescent="0.35">
      <c r="A32" s="62" t="s">
        <v>33</v>
      </c>
      <c r="B32" s="62" t="s">
        <v>34</v>
      </c>
      <c r="C32" s="62">
        <v>4</v>
      </c>
      <c r="D32" s="62">
        <v>2</v>
      </c>
      <c r="E32" s="62">
        <v>16</v>
      </c>
      <c r="F32" s="62">
        <v>216</v>
      </c>
      <c r="G32" s="63">
        <v>31</v>
      </c>
      <c r="H32" s="32">
        <v>18</v>
      </c>
      <c r="I32" s="32">
        <v>20</v>
      </c>
      <c r="J32" s="32">
        <v>20</v>
      </c>
      <c r="K32" s="32">
        <v>20</v>
      </c>
      <c r="L32" s="32">
        <v>20</v>
      </c>
      <c r="M32" s="32">
        <v>18</v>
      </c>
      <c r="N32" s="32">
        <v>21</v>
      </c>
      <c r="O32" s="32">
        <v>17</v>
      </c>
      <c r="P32" s="32">
        <v>20</v>
      </c>
      <c r="Q32" s="32">
        <v>19</v>
      </c>
      <c r="S32" s="32">
        <v>1</v>
      </c>
      <c r="T32" s="32">
        <v>1</v>
      </c>
      <c r="U32" s="32">
        <v>0</v>
      </c>
      <c r="V32" s="32">
        <v>0</v>
      </c>
      <c r="W32" s="32">
        <v>0</v>
      </c>
      <c r="X32" s="32">
        <v>3</v>
      </c>
      <c r="Y32" s="32">
        <v>1</v>
      </c>
      <c r="Z32" s="32">
        <v>2</v>
      </c>
      <c r="AA32" s="32">
        <v>2</v>
      </c>
      <c r="AB32" s="32">
        <v>1</v>
      </c>
      <c r="AC32" s="47"/>
      <c r="AE32" s="47"/>
      <c r="AG32" s="47"/>
      <c r="AI32" s="47"/>
      <c r="AK32" s="47"/>
      <c r="AL32" s="47"/>
      <c r="AM32" s="48"/>
    </row>
    <row r="33" spans="1:39" x14ac:dyDescent="0.35">
      <c r="A33" s="62" t="s">
        <v>33</v>
      </c>
      <c r="B33" s="62" t="s">
        <v>30</v>
      </c>
      <c r="C33" s="62">
        <v>4</v>
      </c>
      <c r="D33" s="62">
        <v>1</v>
      </c>
      <c r="E33" s="62">
        <v>16</v>
      </c>
      <c r="F33" s="62">
        <v>116</v>
      </c>
      <c r="G33" s="63">
        <v>32</v>
      </c>
      <c r="H33" s="32">
        <v>14</v>
      </c>
      <c r="I33" s="32">
        <v>15</v>
      </c>
      <c r="J33" s="32">
        <v>15</v>
      </c>
      <c r="K33" s="32">
        <v>17</v>
      </c>
      <c r="L33" s="32">
        <v>16</v>
      </c>
      <c r="M33" s="32">
        <v>15</v>
      </c>
      <c r="N33" s="32">
        <v>16</v>
      </c>
      <c r="O33" s="32">
        <v>16</v>
      </c>
      <c r="P33" s="32">
        <v>12</v>
      </c>
      <c r="Q33" s="32">
        <v>13</v>
      </c>
      <c r="R33" s="53"/>
      <c r="S33" s="32">
        <v>0</v>
      </c>
      <c r="T33" s="32">
        <v>2</v>
      </c>
      <c r="U33" s="32">
        <v>2</v>
      </c>
      <c r="V33" s="32">
        <v>0</v>
      </c>
      <c r="W33" s="32">
        <v>1</v>
      </c>
      <c r="X33" s="32">
        <v>0</v>
      </c>
      <c r="Y33" s="32">
        <v>0</v>
      </c>
      <c r="Z33" s="32">
        <v>0</v>
      </c>
      <c r="AA33" s="32">
        <v>0</v>
      </c>
      <c r="AB33" s="32">
        <v>0</v>
      </c>
      <c r="AC33" s="47"/>
      <c r="AE33" s="47"/>
      <c r="AG33" s="47"/>
      <c r="AI33" s="47"/>
      <c r="AK33" s="47"/>
      <c r="AL33" s="47"/>
      <c r="AM33" s="48"/>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0497-CE25-41AE-8053-5C27EE709D43}">
  <dimension ref="A1:AW33"/>
  <sheetViews>
    <sheetView topLeftCell="B1" workbookViewId="0">
      <pane xSplit="6" topLeftCell="AM1" activePane="topRight" state="frozen"/>
      <selection pane="topRight" activeCell="BB11" sqref="BB11"/>
    </sheetView>
  </sheetViews>
  <sheetFormatPr defaultRowHeight="15" customHeight="1" x14ac:dyDescent="0.35"/>
  <cols>
    <col min="1" max="1" width="13.81640625" style="62" customWidth="1"/>
    <col min="2" max="2" width="15.81640625" style="62" customWidth="1"/>
    <col min="3" max="3" width="16.453125" style="62" customWidth="1"/>
    <col min="4" max="4" width="13.54296875" style="62" customWidth="1"/>
    <col min="5" max="8" width="8.81640625" style="62"/>
    <col min="9" max="9" width="15.54296875" style="46" customWidth="1"/>
    <col min="10" max="10" width="9.1796875" style="4"/>
    <col min="11" max="11" width="9.1796875" style="36"/>
    <col min="12" max="14" width="14.54296875" style="4" customWidth="1"/>
    <col min="15" max="15" width="12.26953125" style="4" customWidth="1"/>
    <col min="16" max="17" width="14.26953125" style="4" customWidth="1"/>
    <col min="18" max="18" width="11.54296875" style="4" customWidth="1"/>
    <col min="19" max="24" width="9.1796875" style="4"/>
    <col min="25" max="25" width="8.81640625" style="4"/>
    <col min="26" max="27" width="9.1796875" style="4"/>
    <col min="28" max="28" width="9.1796875" style="11"/>
    <col min="29" max="29" width="9.54296875" style="152" customWidth="1"/>
    <col min="30" max="33" width="9.1796875" style="30"/>
    <col min="34" max="37" width="9.1796875" style="4"/>
    <col min="38" max="38" width="9.1796875" style="154"/>
    <col min="39" max="39" width="9.1796875" style="40"/>
    <col min="40" max="40" width="11.81640625" style="4" customWidth="1"/>
    <col min="41" max="41" width="11.1796875" style="11" customWidth="1"/>
    <col min="42" max="43" width="10.7265625" style="12" customWidth="1"/>
    <col min="44" max="44" width="26.453125" style="12" customWidth="1"/>
    <col min="45" max="45" width="11.7265625" style="11" customWidth="1"/>
    <col min="46" max="46" width="11.7265625" customWidth="1"/>
    <col min="47" max="47" width="10.7265625" customWidth="1"/>
    <col min="48" max="48" width="7.54296875" customWidth="1"/>
    <col min="49" max="49" width="11.453125" bestFit="1" customWidth="1"/>
  </cols>
  <sheetData>
    <row r="1" spans="1:49" ht="72.75" customHeight="1" x14ac:dyDescent="0.35">
      <c r="A1" s="61" t="s">
        <v>20</v>
      </c>
      <c r="B1" s="61" t="s">
        <v>20</v>
      </c>
      <c r="C1" s="61" t="s">
        <v>21</v>
      </c>
      <c r="D1" s="61" t="s">
        <v>22</v>
      </c>
      <c r="E1" s="61" t="s">
        <v>23</v>
      </c>
      <c r="F1" s="61" t="s">
        <v>24</v>
      </c>
      <c r="G1" s="61" t="s">
        <v>25</v>
      </c>
      <c r="H1" s="10" t="s">
        <v>26</v>
      </c>
      <c r="I1" s="45" t="s">
        <v>560</v>
      </c>
      <c r="J1" s="10" t="s">
        <v>490</v>
      </c>
      <c r="K1" s="146" t="s">
        <v>561</v>
      </c>
      <c r="L1" s="147" t="s">
        <v>562</v>
      </c>
      <c r="M1" s="148" t="s">
        <v>563</v>
      </c>
      <c r="N1" s="42" t="s">
        <v>593</v>
      </c>
      <c r="O1" s="10" t="s">
        <v>564</v>
      </c>
      <c r="P1" s="147" t="s">
        <v>566</v>
      </c>
      <c r="Q1" s="42" t="s">
        <v>594</v>
      </c>
      <c r="R1" s="10" t="s">
        <v>567</v>
      </c>
      <c r="S1" s="10" t="s">
        <v>494</v>
      </c>
      <c r="T1" s="10" t="s">
        <v>568</v>
      </c>
      <c r="U1" s="10" t="s">
        <v>569</v>
      </c>
      <c r="V1" s="10" t="s">
        <v>570</v>
      </c>
      <c r="W1" s="10" t="s">
        <v>571</v>
      </c>
      <c r="X1" s="10" t="s">
        <v>572</v>
      </c>
      <c r="Y1" s="10" t="s">
        <v>573</v>
      </c>
      <c r="Z1" s="149" t="s">
        <v>574</v>
      </c>
      <c r="AA1" s="10" t="s">
        <v>575</v>
      </c>
      <c r="AB1" s="9" t="s">
        <v>503</v>
      </c>
      <c r="AC1" s="150" t="s">
        <v>576</v>
      </c>
      <c r="AD1" s="31" t="s">
        <v>509</v>
      </c>
      <c r="AE1" s="31" t="s">
        <v>510</v>
      </c>
      <c r="AF1" s="31" t="s">
        <v>511</v>
      </c>
      <c r="AG1" s="31" t="s">
        <v>577</v>
      </c>
      <c r="AH1" s="10" t="s">
        <v>513</v>
      </c>
      <c r="AI1" s="10" t="s">
        <v>514</v>
      </c>
      <c r="AJ1" s="10" t="s">
        <v>515</v>
      </c>
      <c r="AK1" s="10" t="s">
        <v>578</v>
      </c>
      <c r="AL1" s="153" t="s">
        <v>579</v>
      </c>
      <c r="AM1" s="50" t="s">
        <v>565</v>
      </c>
      <c r="AN1" s="10" t="s">
        <v>580</v>
      </c>
      <c r="AO1" s="9" t="s">
        <v>581</v>
      </c>
      <c r="AP1" s="8" t="s">
        <v>582</v>
      </c>
      <c r="AQ1" s="8"/>
      <c r="AR1" s="8"/>
      <c r="AS1" s="9"/>
    </row>
    <row r="2" spans="1:49" ht="14.5" x14ac:dyDescent="0.35">
      <c r="A2" s="62" t="s">
        <v>28</v>
      </c>
      <c r="B2" s="122" t="s">
        <v>28</v>
      </c>
      <c r="C2" s="62" t="s">
        <v>29</v>
      </c>
      <c r="D2" s="62">
        <v>1</v>
      </c>
      <c r="E2" s="62">
        <v>1</v>
      </c>
      <c r="F2" s="62">
        <v>2</v>
      </c>
      <c r="G2" s="62">
        <v>102</v>
      </c>
      <c r="H2" s="63">
        <v>1</v>
      </c>
      <c r="I2" s="88">
        <v>45985</v>
      </c>
      <c r="J2">
        <v>0.5</v>
      </c>
      <c r="K2" s="37">
        <v>703</v>
      </c>
      <c r="L2">
        <v>696</v>
      </c>
      <c r="M2" s="34">
        <v>135.21428571428601</v>
      </c>
      <c r="N2" s="34">
        <f>L2-M2</f>
        <v>560.78571428571399</v>
      </c>
      <c r="O2">
        <v>232.47</v>
      </c>
      <c r="P2">
        <v>629</v>
      </c>
      <c r="Q2" s="34">
        <f>P2-M2</f>
        <v>493.78571428571399</v>
      </c>
      <c r="R2">
        <v>217.45</v>
      </c>
      <c r="S2">
        <v>20</v>
      </c>
      <c r="T2">
        <v>10.8</v>
      </c>
      <c r="U2">
        <v>15.89</v>
      </c>
      <c r="V2">
        <v>34.15</v>
      </c>
      <c r="W2">
        <v>17</v>
      </c>
      <c r="X2">
        <v>25.89</v>
      </c>
      <c r="Y2">
        <v>200</v>
      </c>
      <c r="Z2">
        <v>6.4</v>
      </c>
      <c r="AA2">
        <f>SUM(T2:V2)</f>
        <v>60.84</v>
      </c>
      <c r="AB2" s="35">
        <f>AA2/W2</f>
        <v>3.578823529411765</v>
      </c>
      <c r="AC2" s="151">
        <f>(N2+AA2)/J2</f>
        <v>1243.2514285714281</v>
      </c>
      <c r="AD2" s="35">
        <f>T2/AA2</f>
        <v>0.17751479289940827</v>
      </c>
      <c r="AE2" s="35">
        <f>U2/AA2</f>
        <v>0.2611768573307035</v>
      </c>
      <c r="AF2" s="35">
        <f>V2/AA2</f>
        <v>0.56130834976988819</v>
      </c>
      <c r="AG2" s="35">
        <f>X2/AA2</f>
        <v>0.42554240631163709</v>
      </c>
      <c r="AH2" s="104">
        <f t="shared" ref="AH2:AH33" si="0">$AC2*AD2</f>
        <v>220.69551986475054</v>
      </c>
      <c r="AI2" s="104">
        <f t="shared" ref="AI2:AK17" si="1">$AC2*AE2</f>
        <v>324.7085009861932</v>
      </c>
      <c r="AJ2" s="104">
        <f t="shared" si="1"/>
        <v>697.84740772048428</v>
      </c>
      <c r="AK2" s="104">
        <f t="shared" si="1"/>
        <v>529.0562045646659</v>
      </c>
      <c r="AL2" s="151">
        <f>(O2+X2)/J2</f>
        <v>516.72</v>
      </c>
      <c r="AM2" s="35">
        <f>AL2/AC2</f>
        <v>0.41561987231636882</v>
      </c>
      <c r="AN2" s="34">
        <f>100*((R2*2)-O2)/O2</f>
        <v>87.077902525056984</v>
      </c>
      <c r="AO2" s="104">
        <f>Z2*1000/Y2</f>
        <v>32</v>
      </c>
      <c r="AP2" s="34">
        <f>AL2*1000/AO2</f>
        <v>16147.5</v>
      </c>
      <c r="AQ2"/>
      <c r="AR2"/>
      <c r="AS2"/>
    </row>
    <row r="3" spans="1:49" ht="14.5" x14ac:dyDescent="0.35">
      <c r="A3" s="62" t="s">
        <v>28</v>
      </c>
      <c r="B3" s="122" t="s">
        <v>28</v>
      </c>
      <c r="C3" s="62" t="s">
        <v>30</v>
      </c>
      <c r="D3" s="62">
        <v>1</v>
      </c>
      <c r="E3" s="62">
        <v>2</v>
      </c>
      <c r="F3" s="62">
        <v>2</v>
      </c>
      <c r="G3" s="62">
        <v>202</v>
      </c>
      <c r="H3" s="63">
        <v>2</v>
      </c>
      <c r="I3" s="88">
        <v>45985</v>
      </c>
      <c r="J3">
        <v>0.5</v>
      </c>
      <c r="K3" s="37">
        <v>636</v>
      </c>
      <c r="L3">
        <v>622</v>
      </c>
      <c r="M3" s="34">
        <v>135.21428571428601</v>
      </c>
      <c r="N3" s="34">
        <f t="shared" ref="N3:N33" si="2">L3-M3</f>
        <v>486.78571428571399</v>
      </c>
      <c r="O3">
        <v>149.47</v>
      </c>
      <c r="P3">
        <v>634</v>
      </c>
      <c r="Q3" s="34">
        <f t="shared" ref="Q3:Q33" si="3">P3-M3</f>
        <v>498.78571428571399</v>
      </c>
      <c r="R3">
        <v>182.56</v>
      </c>
      <c r="S3">
        <v>20</v>
      </c>
      <c r="T3">
        <v>7.83</v>
      </c>
      <c r="U3">
        <v>17.420000000000002</v>
      </c>
      <c r="V3">
        <v>22.17</v>
      </c>
      <c r="W3">
        <v>19</v>
      </c>
      <c r="X3">
        <v>16.899999999999999</v>
      </c>
      <c r="Y3">
        <v>200</v>
      </c>
      <c r="Z3">
        <v>4.74</v>
      </c>
      <c r="AA3">
        <f t="shared" ref="AA3:AA33" si="4">SUM(T3:V3)</f>
        <v>47.42</v>
      </c>
      <c r="AB3" s="35">
        <f t="shared" ref="AB3:AB33" si="5">AA3/W3</f>
        <v>2.4957894736842108</v>
      </c>
      <c r="AC3" s="151">
        <f t="shared" ref="AC3:AC33" si="6">(N3+AA3)/J3</f>
        <v>1068.4114285714279</v>
      </c>
      <c r="AD3" s="35">
        <f t="shared" ref="AD3:AD33" si="7">T3/AA3</f>
        <v>0.16512020244622522</v>
      </c>
      <c r="AE3" s="35">
        <f t="shared" ref="AE3:AE33" si="8">U3/AA3</f>
        <v>0.36735554618304517</v>
      </c>
      <c r="AF3" s="35">
        <f t="shared" ref="AF3:AF33" si="9">V3/AA3</f>
        <v>0.46752425137072967</v>
      </c>
      <c r="AG3" s="35">
        <f t="shared" ref="AG3:AG33" si="10">X3/AA3</f>
        <v>0.35638970898355121</v>
      </c>
      <c r="AH3" s="104">
        <f t="shared" si="0"/>
        <v>176.41631138157487</v>
      </c>
      <c r="AI3" s="104">
        <f t="shared" si="1"/>
        <v>392.48686389106444</v>
      </c>
      <c r="AJ3" s="104">
        <f t="shared" si="1"/>
        <v>499.50825329878865</v>
      </c>
      <c r="AK3" s="104">
        <f t="shared" si="1"/>
        <v>380.77083810327139</v>
      </c>
      <c r="AL3" s="151">
        <f t="shared" ref="AL3:AL33" si="11">(O3+X3)/J3</f>
        <v>332.74</v>
      </c>
      <c r="AM3" s="35">
        <f t="shared" ref="AM3:AM33" si="12">AL3/AC3</f>
        <v>0.31143433241340968</v>
      </c>
      <c r="AN3" s="34">
        <f t="shared" ref="AN3:AN33" si="13">100*((R3*2)-O3)/O3</f>
        <v>144.27644343346492</v>
      </c>
      <c r="AO3" s="104">
        <f t="shared" ref="AO3:AO33" si="14">Z3*1000/Y3</f>
        <v>23.7</v>
      </c>
      <c r="AP3" s="34">
        <f t="shared" ref="AP3:AP33" si="15">AL3*1000/AO3</f>
        <v>14039.662447257384</v>
      </c>
      <c r="AQ3"/>
      <c r="AR3"/>
      <c r="AS3"/>
    </row>
    <row r="4" spans="1:49" s="33" customFormat="1" ht="14.5" x14ac:dyDescent="0.35">
      <c r="A4" s="62" t="s">
        <v>28</v>
      </c>
      <c r="B4" s="122" t="s">
        <v>28</v>
      </c>
      <c r="C4" s="62" t="s">
        <v>31</v>
      </c>
      <c r="D4" s="62">
        <v>1</v>
      </c>
      <c r="E4" s="62">
        <v>3</v>
      </c>
      <c r="F4" s="62">
        <v>2</v>
      </c>
      <c r="G4" s="62">
        <v>302</v>
      </c>
      <c r="H4" s="63">
        <v>3</v>
      </c>
      <c r="I4" s="88">
        <v>45985</v>
      </c>
      <c r="J4">
        <v>0.5</v>
      </c>
      <c r="K4" s="37">
        <v>591</v>
      </c>
      <c r="L4" s="33">
        <v>586</v>
      </c>
      <c r="M4" s="34">
        <v>135.21428571428601</v>
      </c>
      <c r="N4" s="34">
        <f t="shared" si="2"/>
        <v>450.78571428571399</v>
      </c>
      <c r="O4" s="33">
        <v>168.11</v>
      </c>
      <c r="P4" s="33">
        <v>680</v>
      </c>
      <c r="Q4" s="34">
        <f t="shared" si="3"/>
        <v>544.78571428571399</v>
      </c>
      <c r="R4" s="33">
        <v>229.45</v>
      </c>
      <c r="S4">
        <v>20</v>
      </c>
      <c r="T4" s="33">
        <v>9.14</v>
      </c>
      <c r="U4" s="33">
        <v>18.989999999999998</v>
      </c>
      <c r="V4" s="33">
        <v>35.299999999999997</v>
      </c>
      <c r="W4" s="33">
        <v>19</v>
      </c>
      <c r="X4" s="33">
        <v>26.43</v>
      </c>
      <c r="Y4">
        <v>200</v>
      </c>
      <c r="Z4" s="33">
        <v>5.76</v>
      </c>
      <c r="AA4">
        <f t="shared" si="4"/>
        <v>63.429999999999993</v>
      </c>
      <c r="AB4" s="35">
        <f t="shared" si="5"/>
        <v>3.3384210526315785</v>
      </c>
      <c r="AC4" s="151">
        <f t="shared" si="6"/>
        <v>1028.4314285714279</v>
      </c>
      <c r="AD4" s="35">
        <f t="shared" si="7"/>
        <v>0.14409585369698882</v>
      </c>
      <c r="AE4" s="35">
        <f t="shared" si="8"/>
        <v>0.29938514898313101</v>
      </c>
      <c r="AF4" s="35">
        <f t="shared" si="9"/>
        <v>0.55651899731988019</v>
      </c>
      <c r="AG4" s="35">
        <f t="shared" si="10"/>
        <v>0.41667980450890751</v>
      </c>
      <c r="AH4" s="104">
        <f t="shared" si="0"/>
        <v>148.19270466881369</v>
      </c>
      <c r="AI4" s="104">
        <f t="shared" si="1"/>
        <v>307.89709646179119</v>
      </c>
      <c r="AJ4" s="104">
        <f t="shared" si="1"/>
        <v>572.341627440823</v>
      </c>
      <c r="AK4" s="104">
        <f t="shared" si="1"/>
        <v>428.52660660795908</v>
      </c>
      <c r="AL4" s="151">
        <f t="shared" si="11"/>
        <v>389.08000000000004</v>
      </c>
      <c r="AM4" s="35">
        <f t="shared" si="12"/>
        <v>0.37832371628360556</v>
      </c>
      <c r="AN4" s="34">
        <f t="shared" si="13"/>
        <v>172.97602760097553</v>
      </c>
      <c r="AO4" s="104">
        <f t="shared" si="14"/>
        <v>28.8</v>
      </c>
      <c r="AP4" s="34">
        <f t="shared" si="15"/>
        <v>13509.722222222224</v>
      </c>
      <c r="AR4" s="29" t="s">
        <v>417</v>
      </c>
      <c r="AS4" t="s">
        <v>595</v>
      </c>
      <c r="AT4" t="s">
        <v>596</v>
      </c>
      <c r="AU4" t="s">
        <v>597</v>
      </c>
      <c r="AV4" t="s">
        <v>598</v>
      </c>
      <c r="AW4" t="s">
        <v>599</v>
      </c>
    </row>
    <row r="5" spans="1:49" ht="14.5" x14ac:dyDescent="0.35">
      <c r="A5" s="62" t="s">
        <v>28</v>
      </c>
      <c r="B5" s="122" t="s">
        <v>28</v>
      </c>
      <c r="C5" s="62" t="s">
        <v>32</v>
      </c>
      <c r="D5" s="62">
        <v>1</v>
      </c>
      <c r="E5" s="62">
        <v>4</v>
      </c>
      <c r="F5" s="62">
        <v>2</v>
      </c>
      <c r="G5" s="62">
        <v>402</v>
      </c>
      <c r="H5" s="63">
        <v>4</v>
      </c>
      <c r="I5" s="88">
        <v>45985</v>
      </c>
      <c r="J5">
        <v>0.5</v>
      </c>
      <c r="K5" s="37">
        <v>624</v>
      </c>
      <c r="L5">
        <v>568</v>
      </c>
      <c r="M5" s="34">
        <v>135.21428571428601</v>
      </c>
      <c r="N5" s="34">
        <f t="shared" si="2"/>
        <v>432.78571428571399</v>
      </c>
      <c r="O5">
        <v>145.01</v>
      </c>
      <c r="P5">
        <v>621</v>
      </c>
      <c r="Q5" s="34">
        <f t="shared" si="3"/>
        <v>485.78571428571399</v>
      </c>
      <c r="R5">
        <v>198.94</v>
      </c>
      <c r="S5">
        <v>20</v>
      </c>
      <c r="T5">
        <v>6.09</v>
      </c>
      <c r="U5">
        <v>13.03</v>
      </c>
      <c r="V5">
        <v>21.22</v>
      </c>
      <c r="W5">
        <v>17</v>
      </c>
      <c r="X5">
        <v>17.350000000000001</v>
      </c>
      <c r="Y5">
        <v>200</v>
      </c>
      <c r="Z5">
        <v>7.16</v>
      </c>
      <c r="AA5">
        <f t="shared" si="4"/>
        <v>40.339999999999996</v>
      </c>
      <c r="AB5" s="35">
        <f t="shared" si="5"/>
        <v>2.3729411764705879</v>
      </c>
      <c r="AC5" s="151">
        <f t="shared" si="6"/>
        <v>946.25142857142794</v>
      </c>
      <c r="AD5" s="35">
        <f t="shared" si="7"/>
        <v>0.15096678235002481</v>
      </c>
      <c r="AE5" s="35">
        <f t="shared" si="8"/>
        <v>0.32300446207238476</v>
      </c>
      <c r="AF5" s="35">
        <f t="shared" si="9"/>
        <v>0.52602875557759055</v>
      </c>
      <c r="AG5" s="35">
        <f t="shared" si="10"/>
        <v>0.43009419930589993</v>
      </c>
      <c r="AH5" s="104">
        <f t="shared" si="0"/>
        <v>142.85253346554282</v>
      </c>
      <c r="AI5" s="104">
        <f t="shared" si="1"/>
        <v>305.64343367093971</v>
      </c>
      <c r="AJ5" s="104">
        <f t="shared" si="1"/>
        <v>497.75546143494557</v>
      </c>
      <c r="AK5" s="104">
        <f t="shared" si="1"/>
        <v>406.97725051349227</v>
      </c>
      <c r="AL5" s="151">
        <f t="shared" si="11"/>
        <v>324.71999999999997</v>
      </c>
      <c r="AM5" s="35">
        <f t="shared" si="12"/>
        <v>0.34316460741331228</v>
      </c>
      <c r="AN5" s="34">
        <f t="shared" si="13"/>
        <v>174.38107716709195</v>
      </c>
      <c r="AO5" s="104">
        <f t="shared" si="14"/>
        <v>35.799999999999997</v>
      </c>
      <c r="AP5" s="34">
        <f t="shared" si="15"/>
        <v>9070.3910614525139</v>
      </c>
      <c r="AQ5"/>
      <c r="AR5" s="32" t="s">
        <v>28</v>
      </c>
      <c r="AS5" s="34">
        <v>1111.6401785714279</v>
      </c>
      <c r="AT5" s="34">
        <v>432.51749999999993</v>
      </c>
      <c r="AU5" s="35">
        <v>0.38857614176772903</v>
      </c>
      <c r="AV5" s="34">
        <v>30.84375</v>
      </c>
      <c r="AW5" s="34">
        <v>14140.388994831192</v>
      </c>
    </row>
    <row r="6" spans="1:49" ht="14.5" x14ac:dyDescent="0.35">
      <c r="A6" s="62" t="s">
        <v>33</v>
      </c>
      <c r="B6" s="122" t="s">
        <v>33</v>
      </c>
      <c r="C6" s="62" t="s">
        <v>29</v>
      </c>
      <c r="D6" s="62">
        <v>1</v>
      </c>
      <c r="E6" s="62">
        <v>4</v>
      </c>
      <c r="F6" s="62">
        <v>4</v>
      </c>
      <c r="G6" s="62">
        <v>404</v>
      </c>
      <c r="H6" s="63">
        <v>5</v>
      </c>
      <c r="I6" s="88">
        <v>45985</v>
      </c>
      <c r="J6">
        <v>0.5</v>
      </c>
      <c r="K6" s="37">
        <v>498</v>
      </c>
      <c r="L6">
        <v>520</v>
      </c>
      <c r="M6" s="34">
        <v>135.21428571428601</v>
      </c>
      <c r="N6" s="34">
        <f t="shared" si="2"/>
        <v>384.78571428571399</v>
      </c>
      <c r="O6">
        <v>174.44</v>
      </c>
      <c r="P6">
        <v>519</v>
      </c>
      <c r="Q6" s="34">
        <f t="shared" si="3"/>
        <v>383.78571428571399</v>
      </c>
      <c r="R6">
        <v>196.52</v>
      </c>
      <c r="S6">
        <v>20</v>
      </c>
      <c r="T6">
        <v>5.5</v>
      </c>
      <c r="U6">
        <v>10.14</v>
      </c>
      <c r="V6">
        <v>29.83</v>
      </c>
      <c r="W6">
        <v>18</v>
      </c>
      <c r="X6">
        <v>22.36</v>
      </c>
      <c r="Y6">
        <v>200</v>
      </c>
      <c r="Z6">
        <v>5.94</v>
      </c>
      <c r="AA6">
        <f t="shared" si="4"/>
        <v>45.47</v>
      </c>
      <c r="AB6" s="35">
        <f t="shared" si="5"/>
        <v>2.5261111111111112</v>
      </c>
      <c r="AC6" s="151">
        <f t="shared" si="6"/>
        <v>860.51142857142804</v>
      </c>
      <c r="AD6" s="35">
        <f t="shared" si="7"/>
        <v>0.12095887398284584</v>
      </c>
      <c r="AE6" s="35">
        <f t="shared" si="8"/>
        <v>0.22300417857928306</v>
      </c>
      <c r="AF6" s="35">
        <f t="shared" si="9"/>
        <v>0.65603694743787111</v>
      </c>
      <c r="AG6" s="35">
        <f t="shared" si="10"/>
        <v>0.49175280404662414</v>
      </c>
      <c r="AH6" s="104">
        <f t="shared" si="0"/>
        <v>104.08649344937001</v>
      </c>
      <c r="AI6" s="104">
        <f t="shared" si="1"/>
        <v>191.89764428665671</v>
      </c>
      <c r="AJ6" s="104">
        <f t="shared" si="1"/>
        <v>564.52729083540135</v>
      </c>
      <c r="AK6" s="104">
        <f t="shared" si="1"/>
        <v>423.15890791416604</v>
      </c>
      <c r="AL6" s="151">
        <f t="shared" si="11"/>
        <v>393.6</v>
      </c>
      <c r="AM6" s="35">
        <f t="shared" si="12"/>
        <v>0.4574024085344599</v>
      </c>
      <c r="AN6" s="34">
        <f t="shared" si="13"/>
        <v>125.31529465718874</v>
      </c>
      <c r="AO6" s="104">
        <f t="shared" si="14"/>
        <v>29.7</v>
      </c>
      <c r="AP6" s="34">
        <f t="shared" si="15"/>
        <v>13252.525252525253</v>
      </c>
      <c r="AQ6"/>
      <c r="AR6" s="91" t="s">
        <v>32</v>
      </c>
      <c r="AS6" s="34">
        <v>1032.4414285714281</v>
      </c>
      <c r="AT6" s="34">
        <v>387.61500000000001</v>
      </c>
      <c r="AU6" s="35">
        <v>0.37444838361775357</v>
      </c>
      <c r="AV6" s="34">
        <v>34.837499999999999</v>
      </c>
      <c r="AW6" s="34">
        <v>11118.99071849497</v>
      </c>
    </row>
    <row r="7" spans="1:49" ht="14.5" x14ac:dyDescent="0.35">
      <c r="A7" s="62" t="s">
        <v>33</v>
      </c>
      <c r="B7" s="122" t="s">
        <v>33</v>
      </c>
      <c r="C7" s="62" t="s">
        <v>35</v>
      </c>
      <c r="D7" s="62">
        <v>1</v>
      </c>
      <c r="E7" s="62">
        <v>3</v>
      </c>
      <c r="F7" s="62">
        <v>4</v>
      </c>
      <c r="G7" s="62">
        <v>304</v>
      </c>
      <c r="H7" s="63">
        <v>6</v>
      </c>
      <c r="I7" s="88">
        <v>45985</v>
      </c>
      <c r="J7">
        <v>0.5</v>
      </c>
      <c r="K7" s="37">
        <v>554</v>
      </c>
      <c r="L7">
        <v>520</v>
      </c>
      <c r="M7" s="34">
        <v>135.21428571428601</v>
      </c>
      <c r="N7" s="34">
        <f t="shared" si="2"/>
        <v>384.78571428571399</v>
      </c>
      <c r="O7">
        <v>146.46</v>
      </c>
      <c r="P7">
        <v>469</v>
      </c>
      <c r="Q7" s="34">
        <f t="shared" si="3"/>
        <v>333.78571428571399</v>
      </c>
      <c r="R7">
        <v>149.68</v>
      </c>
      <c r="S7">
        <v>20</v>
      </c>
      <c r="T7">
        <v>6.96</v>
      </c>
      <c r="U7">
        <v>14.57</v>
      </c>
      <c r="V7">
        <v>25.8</v>
      </c>
      <c r="W7">
        <v>15</v>
      </c>
      <c r="X7">
        <v>20.059999999999999</v>
      </c>
      <c r="Y7">
        <v>200</v>
      </c>
      <c r="Z7">
        <v>6.83</v>
      </c>
      <c r="AA7">
        <f t="shared" si="4"/>
        <v>47.33</v>
      </c>
      <c r="AB7" s="35">
        <f t="shared" si="5"/>
        <v>3.1553333333333331</v>
      </c>
      <c r="AC7" s="151">
        <f t="shared" si="6"/>
        <v>864.23142857142795</v>
      </c>
      <c r="AD7" s="35">
        <f t="shared" si="7"/>
        <v>0.14705260933868583</v>
      </c>
      <c r="AE7" s="35">
        <f t="shared" si="8"/>
        <v>0.30783858018170296</v>
      </c>
      <c r="AF7" s="35">
        <f t="shared" si="9"/>
        <v>0.54510881047961124</v>
      </c>
      <c r="AG7" s="35">
        <f t="shared" si="10"/>
        <v>0.42383266427213184</v>
      </c>
      <c r="AH7" s="104">
        <f t="shared" si="0"/>
        <v>127.08748664392856</v>
      </c>
      <c r="AI7" s="104">
        <f t="shared" si="1"/>
        <v>266.04377591983319</v>
      </c>
      <c r="AJ7" s="104">
        <f t="shared" si="1"/>
        <v>471.10016600766619</v>
      </c>
      <c r="AK7" s="104">
        <f t="shared" si="1"/>
        <v>366.28950891913894</v>
      </c>
      <c r="AL7" s="151">
        <f t="shared" si="11"/>
        <v>333.04</v>
      </c>
      <c r="AM7" s="35">
        <f t="shared" si="12"/>
        <v>0.38535974160360514</v>
      </c>
      <c r="AN7" s="34">
        <f t="shared" si="13"/>
        <v>104.39710501160727</v>
      </c>
      <c r="AO7" s="104">
        <f t="shared" si="14"/>
        <v>34.15</v>
      </c>
      <c r="AP7" s="34">
        <f t="shared" si="15"/>
        <v>9752.2693997071747</v>
      </c>
      <c r="AQ7"/>
      <c r="AR7" s="91" t="s">
        <v>31</v>
      </c>
      <c r="AS7" s="34">
        <v>1153.1164285714281</v>
      </c>
      <c r="AT7" s="34">
        <v>423.58000000000004</v>
      </c>
      <c r="AU7" s="35">
        <v>0.36800148983858216</v>
      </c>
      <c r="AV7" s="34">
        <v>28.6</v>
      </c>
      <c r="AW7" s="34">
        <v>14793.847944466172</v>
      </c>
    </row>
    <row r="8" spans="1:49" ht="14.5" x14ac:dyDescent="0.35">
      <c r="A8" s="62" t="s">
        <v>33</v>
      </c>
      <c r="B8" s="122" t="s">
        <v>33</v>
      </c>
      <c r="C8" s="62" t="s">
        <v>30</v>
      </c>
      <c r="D8" s="62">
        <v>1</v>
      </c>
      <c r="E8" s="62">
        <v>2</v>
      </c>
      <c r="F8" s="62">
        <v>4</v>
      </c>
      <c r="G8" s="62">
        <v>204</v>
      </c>
      <c r="H8" s="63">
        <v>7</v>
      </c>
      <c r="I8" s="88">
        <v>45985</v>
      </c>
      <c r="J8">
        <v>0.5</v>
      </c>
      <c r="K8" s="37">
        <v>593</v>
      </c>
      <c r="L8">
        <v>598</v>
      </c>
      <c r="M8" s="34">
        <v>135.21428571428601</v>
      </c>
      <c r="N8" s="34">
        <f t="shared" si="2"/>
        <v>462.78571428571399</v>
      </c>
      <c r="O8">
        <v>186.73</v>
      </c>
      <c r="P8">
        <v>467</v>
      </c>
      <c r="Q8" s="34">
        <f t="shared" si="3"/>
        <v>331.78571428571399</v>
      </c>
      <c r="R8">
        <v>150.69999999999999</v>
      </c>
      <c r="S8">
        <v>20</v>
      </c>
      <c r="T8">
        <v>8.34</v>
      </c>
      <c r="U8">
        <v>13.27</v>
      </c>
      <c r="V8">
        <v>24.74</v>
      </c>
      <c r="W8">
        <v>19</v>
      </c>
      <c r="X8">
        <v>19.75</v>
      </c>
      <c r="Y8">
        <v>200</v>
      </c>
      <c r="Z8">
        <v>5.87</v>
      </c>
      <c r="AA8">
        <f t="shared" si="4"/>
        <v>46.349999999999994</v>
      </c>
      <c r="AB8" s="35">
        <f t="shared" si="5"/>
        <v>2.439473684210526</v>
      </c>
      <c r="AC8" s="151">
        <f t="shared" si="6"/>
        <v>1018.271428571428</v>
      </c>
      <c r="AD8" s="35">
        <f t="shared" si="7"/>
        <v>0.17993527508090618</v>
      </c>
      <c r="AE8" s="35">
        <f t="shared" si="8"/>
        <v>0.28629989212513485</v>
      </c>
      <c r="AF8" s="35">
        <f t="shared" si="9"/>
        <v>0.53376483279395903</v>
      </c>
      <c r="AG8" s="35">
        <f t="shared" si="10"/>
        <v>0.42610571736785335</v>
      </c>
      <c r="AH8" s="104">
        <f t="shared" si="0"/>
        <v>183.2229496070272</v>
      </c>
      <c r="AI8" s="104">
        <f t="shared" si="1"/>
        <v>291.53100015410678</v>
      </c>
      <c r="AJ8" s="104">
        <f t="shared" si="1"/>
        <v>543.51747881029405</v>
      </c>
      <c r="AK8" s="104">
        <f t="shared" si="1"/>
        <v>433.89127754661718</v>
      </c>
      <c r="AL8" s="151">
        <f t="shared" si="11"/>
        <v>412.96</v>
      </c>
      <c r="AM8" s="35">
        <f t="shared" si="12"/>
        <v>0.40555002174553534</v>
      </c>
      <c r="AN8" s="34">
        <f t="shared" si="13"/>
        <v>61.40952176939966</v>
      </c>
      <c r="AO8" s="104">
        <f t="shared" si="14"/>
        <v>29.35</v>
      </c>
      <c r="AP8" s="34">
        <f t="shared" si="15"/>
        <v>14070.187393526405</v>
      </c>
      <c r="AQ8"/>
      <c r="AR8" s="91" t="s">
        <v>29</v>
      </c>
      <c r="AS8" s="34">
        <v>1154.6514285714279</v>
      </c>
      <c r="AT8" s="34">
        <v>488.815</v>
      </c>
      <c r="AU8" s="35">
        <v>0.42450439963643816</v>
      </c>
      <c r="AV8" s="34">
        <v>30.6</v>
      </c>
      <c r="AW8" s="34">
        <v>16072.174474903029</v>
      </c>
    </row>
    <row r="9" spans="1:49" ht="14.5" x14ac:dyDescent="0.35">
      <c r="A9" s="62" t="s">
        <v>33</v>
      </c>
      <c r="B9" s="122" t="s">
        <v>33</v>
      </c>
      <c r="C9" s="62" t="s">
        <v>34</v>
      </c>
      <c r="D9" s="62">
        <v>1</v>
      </c>
      <c r="E9" s="62">
        <v>1</v>
      </c>
      <c r="F9" s="62">
        <v>4</v>
      </c>
      <c r="G9" s="62">
        <v>104</v>
      </c>
      <c r="H9" s="63">
        <v>8</v>
      </c>
      <c r="I9" s="88">
        <v>45985</v>
      </c>
      <c r="J9">
        <v>0.5</v>
      </c>
      <c r="K9" s="37">
        <v>659</v>
      </c>
      <c r="L9">
        <v>614</v>
      </c>
      <c r="M9" s="34">
        <v>135.21428571428601</v>
      </c>
      <c r="N9" s="34">
        <f t="shared" si="2"/>
        <v>478.78571428571399</v>
      </c>
      <c r="O9">
        <v>208.38</v>
      </c>
      <c r="P9">
        <v>518</v>
      </c>
      <c r="Q9" s="34">
        <f t="shared" si="3"/>
        <v>382.78571428571399</v>
      </c>
      <c r="R9">
        <v>178.16</v>
      </c>
      <c r="S9">
        <v>20</v>
      </c>
      <c r="T9">
        <v>6.25</v>
      </c>
      <c r="U9">
        <v>21.96</v>
      </c>
      <c r="V9">
        <v>38.15</v>
      </c>
      <c r="W9">
        <v>20</v>
      </c>
      <c r="X9">
        <v>25.95</v>
      </c>
      <c r="Y9">
        <v>200</v>
      </c>
      <c r="Z9">
        <v>6.32</v>
      </c>
      <c r="AA9">
        <f t="shared" si="4"/>
        <v>66.36</v>
      </c>
      <c r="AB9" s="35">
        <f t="shared" si="5"/>
        <v>3.3180000000000001</v>
      </c>
      <c r="AC9" s="151">
        <f t="shared" si="6"/>
        <v>1090.291428571428</v>
      </c>
      <c r="AD9" s="35">
        <f t="shared" si="7"/>
        <v>9.418324291742014E-2</v>
      </c>
      <c r="AE9" s="35">
        <f t="shared" si="8"/>
        <v>0.3309222423146474</v>
      </c>
      <c r="AF9" s="35">
        <f t="shared" si="9"/>
        <v>0.57489451476793252</v>
      </c>
      <c r="AG9" s="35">
        <f t="shared" si="10"/>
        <v>0.3910488245931284</v>
      </c>
      <c r="AH9" s="104">
        <f t="shared" si="0"/>
        <v>102.68718246792383</v>
      </c>
      <c r="AI9" s="104">
        <f t="shared" si="1"/>
        <v>360.80168431929718</v>
      </c>
      <c r="AJ9" s="104">
        <f t="shared" si="1"/>
        <v>626.80256178420711</v>
      </c>
      <c r="AK9" s="104">
        <f t="shared" si="1"/>
        <v>426.35718160681972</v>
      </c>
      <c r="AL9" s="151">
        <f t="shared" si="11"/>
        <v>468.65999999999997</v>
      </c>
      <c r="AM9" s="35">
        <f t="shared" si="12"/>
        <v>0.42984837605672943</v>
      </c>
      <c r="AN9" s="34">
        <f t="shared" si="13"/>
        <v>70.995297053460021</v>
      </c>
      <c r="AO9" s="104">
        <f t="shared" si="14"/>
        <v>31.6</v>
      </c>
      <c r="AP9" s="34">
        <f t="shared" si="15"/>
        <v>14831.012658227846</v>
      </c>
      <c r="AQ9"/>
      <c r="AR9" s="91" t="s">
        <v>30</v>
      </c>
      <c r="AS9" s="34">
        <v>1106.351428571428</v>
      </c>
      <c r="AT9" s="34">
        <v>430.06</v>
      </c>
      <c r="AU9" s="35">
        <v>0.38735029397814191</v>
      </c>
      <c r="AV9" s="34">
        <v>29.337500000000002</v>
      </c>
      <c r="AW9" s="34">
        <v>14576.542841460592</v>
      </c>
    </row>
    <row r="10" spans="1:49" s="33" customFormat="1" ht="14.5" x14ac:dyDescent="0.35">
      <c r="A10" s="62" t="s">
        <v>28</v>
      </c>
      <c r="B10" s="122" t="s">
        <v>28</v>
      </c>
      <c r="C10" s="62" t="s">
        <v>31</v>
      </c>
      <c r="D10" s="62">
        <v>2</v>
      </c>
      <c r="E10" s="62">
        <v>1</v>
      </c>
      <c r="F10" s="62">
        <v>6</v>
      </c>
      <c r="G10" s="62">
        <v>106</v>
      </c>
      <c r="H10" s="63">
        <v>9</v>
      </c>
      <c r="I10" s="88">
        <v>45985</v>
      </c>
      <c r="J10">
        <v>0.5</v>
      </c>
      <c r="K10" s="37">
        <v>715</v>
      </c>
      <c r="L10" s="33">
        <v>701</v>
      </c>
      <c r="M10" s="34">
        <v>135.21428571428601</v>
      </c>
      <c r="N10" s="34">
        <f t="shared" si="2"/>
        <v>565.78571428571399</v>
      </c>
      <c r="O10" s="33">
        <v>183.45</v>
      </c>
      <c r="P10" s="33">
        <v>576</v>
      </c>
      <c r="Q10" s="34">
        <f t="shared" si="3"/>
        <v>440.78571428571399</v>
      </c>
      <c r="R10" s="33">
        <v>183.02</v>
      </c>
      <c r="S10">
        <v>20</v>
      </c>
      <c r="T10" s="33">
        <v>8.4499999999999993</v>
      </c>
      <c r="U10" s="33">
        <v>16.28</v>
      </c>
      <c r="V10" s="33">
        <v>19.739999999999998</v>
      </c>
      <c r="W10" s="33">
        <v>15</v>
      </c>
      <c r="X10" s="33">
        <v>14.85</v>
      </c>
      <c r="Y10">
        <v>200</v>
      </c>
      <c r="Z10" s="33">
        <v>5.48</v>
      </c>
      <c r="AA10">
        <f t="shared" si="4"/>
        <v>44.47</v>
      </c>
      <c r="AB10" s="35">
        <f t="shared" si="5"/>
        <v>2.9646666666666666</v>
      </c>
      <c r="AC10" s="151">
        <f t="shared" si="6"/>
        <v>1220.511428571428</v>
      </c>
      <c r="AD10" s="35">
        <f t="shared" si="7"/>
        <v>0.19001574094895435</v>
      </c>
      <c r="AE10" s="35">
        <f t="shared" si="8"/>
        <v>0.3660894985383405</v>
      </c>
      <c r="AF10" s="35">
        <f t="shared" si="9"/>
        <v>0.44389476051270516</v>
      </c>
      <c r="AG10" s="35">
        <f t="shared" si="10"/>
        <v>0.33393298853159431</v>
      </c>
      <c r="AH10" s="104">
        <f t="shared" si="0"/>
        <v>231.91638343666668</v>
      </c>
      <c r="AI10" s="104">
        <f t="shared" si="1"/>
        <v>446.81641684602766</v>
      </c>
      <c r="AJ10" s="104">
        <f t="shared" si="1"/>
        <v>541.77862828873367</v>
      </c>
      <c r="AK10" s="104">
        <f t="shared" si="1"/>
        <v>407.56902887982244</v>
      </c>
      <c r="AL10" s="151">
        <f t="shared" si="11"/>
        <v>396.59999999999997</v>
      </c>
      <c r="AM10" s="35">
        <f t="shared" si="12"/>
        <v>0.32494574873764875</v>
      </c>
      <c r="AN10" s="34">
        <f t="shared" si="13"/>
        <v>99.531207413464188</v>
      </c>
      <c r="AO10" s="104">
        <f t="shared" si="14"/>
        <v>27.4</v>
      </c>
      <c r="AP10" s="34">
        <f t="shared" si="15"/>
        <v>14474.452554744525</v>
      </c>
      <c r="AR10" s="32" t="s">
        <v>33</v>
      </c>
      <c r="AS10" s="34">
        <v>960.51892857142798</v>
      </c>
      <c r="AT10" s="34">
        <v>413.24875000000003</v>
      </c>
      <c r="AU10" s="35">
        <v>0.43185885543392244</v>
      </c>
      <c r="AV10" s="34">
        <v>32.215625000000003</v>
      </c>
      <c r="AW10" s="34">
        <v>12897.753950702278</v>
      </c>
    </row>
    <row r="11" spans="1:49" ht="14.5" x14ac:dyDescent="0.35">
      <c r="A11" s="62" t="s">
        <v>28</v>
      </c>
      <c r="B11" s="122" t="s">
        <v>28</v>
      </c>
      <c r="C11" s="62" t="s">
        <v>32</v>
      </c>
      <c r="D11" s="62">
        <v>2</v>
      </c>
      <c r="E11" s="62">
        <v>2</v>
      </c>
      <c r="F11" s="62">
        <v>6</v>
      </c>
      <c r="G11" s="62">
        <v>206</v>
      </c>
      <c r="H11" s="63">
        <v>10</v>
      </c>
      <c r="I11" s="88">
        <v>45985</v>
      </c>
      <c r="J11">
        <v>0.5</v>
      </c>
      <c r="K11" s="37">
        <v>785</v>
      </c>
      <c r="L11">
        <v>680</v>
      </c>
      <c r="M11" s="34">
        <v>135.21428571428601</v>
      </c>
      <c r="N11" s="34">
        <f t="shared" si="2"/>
        <v>544.78571428571399</v>
      </c>
      <c r="O11">
        <v>205.08</v>
      </c>
      <c r="P11">
        <v>646</v>
      </c>
      <c r="Q11" s="34">
        <f t="shared" si="3"/>
        <v>510.78571428571399</v>
      </c>
      <c r="R11">
        <v>208.25</v>
      </c>
      <c r="S11">
        <v>20</v>
      </c>
      <c r="T11">
        <v>6.56</v>
      </c>
      <c r="U11">
        <v>16.37</v>
      </c>
      <c r="V11">
        <v>30.21</v>
      </c>
      <c r="W11">
        <v>19</v>
      </c>
      <c r="X11">
        <v>24.12</v>
      </c>
      <c r="Y11">
        <v>200</v>
      </c>
      <c r="Z11">
        <v>7.4</v>
      </c>
      <c r="AA11">
        <f t="shared" si="4"/>
        <v>53.14</v>
      </c>
      <c r="AB11" s="35">
        <f t="shared" si="5"/>
        <v>2.796842105263158</v>
      </c>
      <c r="AC11" s="151">
        <f t="shared" si="6"/>
        <v>1195.851428571428</v>
      </c>
      <c r="AD11" s="35">
        <f t="shared" si="7"/>
        <v>0.12344749717726759</v>
      </c>
      <c r="AE11" s="35">
        <f t="shared" si="8"/>
        <v>0.30805419646217541</v>
      </c>
      <c r="AF11" s="35">
        <f t="shared" si="9"/>
        <v>0.56849830636055698</v>
      </c>
      <c r="AG11" s="35">
        <f t="shared" si="10"/>
        <v>0.45389537071885588</v>
      </c>
      <c r="AH11" s="104">
        <f t="shared" si="0"/>
        <v>147.62486585300277</v>
      </c>
      <c r="AI11" s="104">
        <f t="shared" si="1"/>
        <v>368.38705091671579</v>
      </c>
      <c r="AJ11" s="104">
        <f t="shared" si="1"/>
        <v>679.83951180170936</v>
      </c>
      <c r="AK11" s="104">
        <f t="shared" si="1"/>
        <v>542.79142749610173</v>
      </c>
      <c r="AL11" s="151">
        <f t="shared" si="11"/>
        <v>458.40000000000003</v>
      </c>
      <c r="AM11" s="35">
        <f t="shared" si="12"/>
        <v>0.38332521001175512</v>
      </c>
      <c r="AN11" s="34">
        <f t="shared" si="13"/>
        <v>103.09147649697678</v>
      </c>
      <c r="AO11" s="104">
        <f t="shared" si="14"/>
        <v>37</v>
      </c>
      <c r="AP11" s="34">
        <f t="shared" si="15"/>
        <v>12389.18918918919</v>
      </c>
      <c r="AQ11"/>
      <c r="AR11" s="91" t="s">
        <v>35</v>
      </c>
      <c r="AS11" s="34">
        <v>999.85142857142796</v>
      </c>
      <c r="AT11" s="34">
        <v>380.54499999999996</v>
      </c>
      <c r="AU11" s="35">
        <v>0.38062160789964905</v>
      </c>
      <c r="AV11" s="34">
        <v>34.287499999999994</v>
      </c>
      <c r="AW11" s="34">
        <v>11108.851801135879</v>
      </c>
    </row>
    <row r="12" spans="1:49" ht="14.5" x14ac:dyDescent="0.35">
      <c r="A12" s="62" t="s">
        <v>28</v>
      </c>
      <c r="B12" s="122" t="s">
        <v>28</v>
      </c>
      <c r="C12" s="62" t="s">
        <v>30</v>
      </c>
      <c r="D12" s="62">
        <v>2</v>
      </c>
      <c r="E12" s="62">
        <v>3</v>
      </c>
      <c r="F12" s="62">
        <v>6</v>
      </c>
      <c r="G12" s="62">
        <v>306</v>
      </c>
      <c r="H12" s="63">
        <v>11</v>
      </c>
      <c r="I12" s="88">
        <v>45985</v>
      </c>
      <c r="J12">
        <v>0.5</v>
      </c>
      <c r="K12" s="37">
        <v>535</v>
      </c>
      <c r="L12">
        <v>541</v>
      </c>
      <c r="M12" s="34">
        <v>135.21428571428601</v>
      </c>
      <c r="N12" s="34">
        <f t="shared" si="2"/>
        <v>405.78571428571399</v>
      </c>
      <c r="O12">
        <v>168.23</v>
      </c>
      <c r="P12">
        <v>635</v>
      </c>
      <c r="Q12" s="34">
        <f t="shared" si="3"/>
        <v>499.78571428571399</v>
      </c>
      <c r="R12">
        <v>232.94</v>
      </c>
      <c r="S12">
        <v>20</v>
      </c>
      <c r="T12">
        <v>6.45</v>
      </c>
      <c r="U12">
        <v>19.670000000000002</v>
      </c>
      <c r="V12">
        <v>33.68</v>
      </c>
      <c r="W12">
        <v>19</v>
      </c>
      <c r="X12">
        <v>26.47</v>
      </c>
      <c r="Y12">
        <v>200</v>
      </c>
      <c r="Z12">
        <v>6.09</v>
      </c>
      <c r="AA12">
        <f t="shared" si="4"/>
        <v>59.8</v>
      </c>
      <c r="AB12" s="35">
        <f t="shared" si="5"/>
        <v>3.1473684210526316</v>
      </c>
      <c r="AC12" s="151">
        <f t="shared" si="6"/>
        <v>931.17142857142801</v>
      </c>
      <c r="AD12" s="35">
        <f t="shared" si="7"/>
        <v>0.10785953177257526</v>
      </c>
      <c r="AE12" s="35">
        <f t="shared" si="8"/>
        <v>0.32892976588628769</v>
      </c>
      <c r="AF12" s="35">
        <f t="shared" si="9"/>
        <v>0.56321070234113713</v>
      </c>
      <c r="AG12" s="35">
        <f t="shared" si="10"/>
        <v>0.44264214046822742</v>
      </c>
      <c r="AH12" s="104">
        <f t="shared" si="0"/>
        <v>100.43571428571424</v>
      </c>
      <c r="AI12" s="104">
        <f t="shared" si="1"/>
        <v>306.28999999999991</v>
      </c>
      <c r="AJ12" s="104">
        <f t="shared" si="1"/>
        <v>524.44571428571396</v>
      </c>
      <c r="AK12" s="104">
        <f t="shared" si="1"/>
        <v>412.17571428571404</v>
      </c>
      <c r="AL12" s="151">
        <f t="shared" si="11"/>
        <v>389.4</v>
      </c>
      <c r="AM12" s="35">
        <f t="shared" si="12"/>
        <v>0.41818293393881767</v>
      </c>
      <c r="AN12" s="34">
        <f t="shared" si="13"/>
        <v>176.93039291446235</v>
      </c>
      <c r="AO12" s="104">
        <f t="shared" si="14"/>
        <v>30.45</v>
      </c>
      <c r="AP12" s="34">
        <f t="shared" si="15"/>
        <v>12788.177339901478</v>
      </c>
      <c r="AQ12"/>
      <c r="AR12" s="91" t="s">
        <v>34</v>
      </c>
      <c r="AS12" s="34">
        <v>962.62142857142794</v>
      </c>
      <c r="AT12" s="34">
        <v>415.94499999999999</v>
      </c>
      <c r="AU12" s="35">
        <v>0.43273027969755118</v>
      </c>
      <c r="AV12" s="34">
        <v>30.2</v>
      </c>
      <c r="AW12" s="34">
        <v>13784.417783118257</v>
      </c>
    </row>
    <row r="13" spans="1:49" ht="14.5" x14ac:dyDescent="0.35">
      <c r="A13" s="62" t="s">
        <v>28</v>
      </c>
      <c r="B13" s="122" t="s">
        <v>28</v>
      </c>
      <c r="C13" s="62" t="s">
        <v>29</v>
      </c>
      <c r="D13" s="62">
        <v>2</v>
      </c>
      <c r="E13" s="62">
        <v>4</v>
      </c>
      <c r="F13" s="62">
        <v>6</v>
      </c>
      <c r="G13" s="62">
        <v>406</v>
      </c>
      <c r="H13" s="63">
        <v>12</v>
      </c>
      <c r="I13" s="88">
        <v>45985</v>
      </c>
      <c r="J13">
        <v>0.5</v>
      </c>
      <c r="K13" s="37">
        <v>615</v>
      </c>
      <c r="L13">
        <v>631</v>
      </c>
      <c r="M13" s="34">
        <v>135.21428571428601</v>
      </c>
      <c r="N13" s="34">
        <f t="shared" si="2"/>
        <v>495.78571428571399</v>
      </c>
      <c r="O13">
        <v>210.74</v>
      </c>
      <c r="P13">
        <v>519</v>
      </c>
      <c r="Q13" s="34">
        <f t="shared" si="3"/>
        <v>383.78571428571399</v>
      </c>
      <c r="R13">
        <v>191.13</v>
      </c>
      <c r="S13">
        <v>20</v>
      </c>
      <c r="T13">
        <v>6.85</v>
      </c>
      <c r="U13">
        <v>15.95</v>
      </c>
      <c r="V13">
        <v>37.659999999999997</v>
      </c>
      <c r="W13">
        <v>20</v>
      </c>
      <c r="X13">
        <v>22.75</v>
      </c>
      <c r="Y13">
        <v>200</v>
      </c>
      <c r="Z13">
        <v>5.92</v>
      </c>
      <c r="AA13">
        <f t="shared" si="4"/>
        <v>60.459999999999994</v>
      </c>
      <c r="AB13" s="35">
        <f t="shared" si="5"/>
        <v>3.0229999999999997</v>
      </c>
      <c r="AC13" s="151">
        <f t="shared" si="6"/>
        <v>1112.4914285714281</v>
      </c>
      <c r="AD13" s="35">
        <f t="shared" si="7"/>
        <v>0.11329804829639431</v>
      </c>
      <c r="AE13" s="35">
        <f t="shared" si="8"/>
        <v>0.26381078398941449</v>
      </c>
      <c r="AF13" s="35">
        <f t="shared" si="9"/>
        <v>0.62289116771419117</v>
      </c>
      <c r="AG13" s="35">
        <f t="shared" si="10"/>
        <v>0.37628183923255049</v>
      </c>
      <c r="AH13" s="104">
        <f t="shared" si="0"/>
        <v>126.04310760361035</v>
      </c>
      <c r="AI13" s="104">
        <f t="shared" si="1"/>
        <v>293.48723595293217</v>
      </c>
      <c r="AJ13" s="104">
        <f t="shared" si="1"/>
        <v>692.9610850148855</v>
      </c>
      <c r="AK13" s="104">
        <f t="shared" si="1"/>
        <v>418.61032087330449</v>
      </c>
      <c r="AL13" s="151">
        <f t="shared" si="11"/>
        <v>466.98</v>
      </c>
      <c r="AM13" s="35">
        <f t="shared" si="12"/>
        <v>0.41976053748086684</v>
      </c>
      <c r="AN13" s="34">
        <f t="shared" si="13"/>
        <v>81.389389769384067</v>
      </c>
      <c r="AO13" s="104">
        <f t="shared" si="14"/>
        <v>29.6</v>
      </c>
      <c r="AP13" s="34">
        <f t="shared" si="15"/>
        <v>15776.35135135135</v>
      </c>
      <c r="AQ13"/>
      <c r="AR13" s="91" t="s">
        <v>29</v>
      </c>
      <c r="AS13" s="34">
        <v>876.04642857142801</v>
      </c>
      <c r="AT13" s="34">
        <v>418.89</v>
      </c>
      <c r="AU13" s="35">
        <v>0.47763882330002461</v>
      </c>
      <c r="AV13" s="34">
        <v>32.037499999999994</v>
      </c>
      <c r="AW13" s="34">
        <v>13126.032996704214</v>
      </c>
    </row>
    <row r="14" spans="1:49" ht="14.5" x14ac:dyDescent="0.35">
      <c r="A14" s="62" t="s">
        <v>33</v>
      </c>
      <c r="B14" s="122" t="s">
        <v>33</v>
      </c>
      <c r="C14" s="62" t="s">
        <v>34</v>
      </c>
      <c r="D14" s="62">
        <v>2</v>
      </c>
      <c r="E14" s="62">
        <v>4</v>
      </c>
      <c r="F14" s="62">
        <v>8</v>
      </c>
      <c r="G14" s="62">
        <v>408</v>
      </c>
      <c r="H14" s="63">
        <v>13</v>
      </c>
      <c r="I14" s="88">
        <v>45985</v>
      </c>
      <c r="J14">
        <v>0.5</v>
      </c>
      <c r="K14" s="37">
        <v>581</v>
      </c>
      <c r="L14">
        <v>579</v>
      </c>
      <c r="M14" s="34">
        <v>135.21428571428601</v>
      </c>
      <c r="N14" s="34">
        <f t="shared" si="2"/>
        <v>443.78571428571399</v>
      </c>
      <c r="O14">
        <v>192.49</v>
      </c>
      <c r="P14">
        <v>503</v>
      </c>
      <c r="Q14" s="34">
        <f t="shared" si="3"/>
        <v>367.78571428571399</v>
      </c>
      <c r="R14">
        <v>166.74</v>
      </c>
      <c r="S14">
        <v>20</v>
      </c>
      <c r="T14">
        <v>7.25</v>
      </c>
      <c r="U14">
        <v>20.28</v>
      </c>
      <c r="V14">
        <v>34.21</v>
      </c>
      <c r="W14">
        <v>19</v>
      </c>
      <c r="X14">
        <v>26.43</v>
      </c>
      <c r="Y14">
        <v>200</v>
      </c>
      <c r="Z14">
        <v>5.93</v>
      </c>
      <c r="AA14">
        <f t="shared" si="4"/>
        <v>61.74</v>
      </c>
      <c r="AB14" s="35">
        <f t="shared" si="5"/>
        <v>3.2494736842105265</v>
      </c>
      <c r="AC14" s="151">
        <f t="shared" si="6"/>
        <v>1011.051428571428</v>
      </c>
      <c r="AD14" s="35">
        <f t="shared" si="7"/>
        <v>0.11742792355037253</v>
      </c>
      <c r="AE14" s="35">
        <f t="shared" si="8"/>
        <v>0.32847424684159376</v>
      </c>
      <c r="AF14" s="35">
        <f t="shared" si="9"/>
        <v>0.55409782960803367</v>
      </c>
      <c r="AG14" s="35">
        <f t="shared" si="10"/>
        <v>0.42808551992225458</v>
      </c>
      <c r="AH14" s="104">
        <f t="shared" si="0"/>
        <v>118.72566985978058</v>
      </c>
      <c r="AI14" s="104">
        <f t="shared" si="1"/>
        <v>332.10435651811724</v>
      </c>
      <c r="AJ14" s="104">
        <f t="shared" si="1"/>
        <v>560.22140219353014</v>
      </c>
      <c r="AK14" s="104">
        <f t="shared" si="1"/>
        <v>432.81647646813798</v>
      </c>
      <c r="AL14" s="151">
        <f t="shared" si="11"/>
        <v>437.84000000000003</v>
      </c>
      <c r="AM14" s="35">
        <f t="shared" si="12"/>
        <v>0.43305413317960395</v>
      </c>
      <c r="AN14" s="34">
        <f t="shared" si="13"/>
        <v>73.245363395501059</v>
      </c>
      <c r="AO14" s="104">
        <f t="shared" si="14"/>
        <v>29.65</v>
      </c>
      <c r="AP14" s="34">
        <f t="shared" si="15"/>
        <v>14766.947723440138</v>
      </c>
      <c r="AQ14"/>
      <c r="AR14" s="91" t="s">
        <v>30</v>
      </c>
      <c r="AS14" s="34">
        <v>1003.5564285714281</v>
      </c>
      <c r="AT14" s="34">
        <v>437.61500000000001</v>
      </c>
      <c r="AU14" s="35">
        <v>0.43644471083846503</v>
      </c>
      <c r="AV14" s="34">
        <v>32.337500000000006</v>
      </c>
      <c r="AW14" s="34">
        <v>13571.713221850765</v>
      </c>
    </row>
    <row r="15" spans="1:49" ht="14.5" x14ac:dyDescent="0.35">
      <c r="A15" s="62" t="s">
        <v>33</v>
      </c>
      <c r="B15" s="122" t="s">
        <v>33</v>
      </c>
      <c r="C15" s="62" t="s">
        <v>30</v>
      </c>
      <c r="D15" s="62">
        <v>2</v>
      </c>
      <c r="E15" s="62">
        <v>3</v>
      </c>
      <c r="F15" s="62">
        <v>8</v>
      </c>
      <c r="G15" s="62">
        <v>308</v>
      </c>
      <c r="H15" s="63">
        <v>14</v>
      </c>
      <c r="I15" s="88">
        <v>45985</v>
      </c>
      <c r="J15">
        <v>0.5</v>
      </c>
      <c r="K15" s="37">
        <v>544</v>
      </c>
      <c r="L15">
        <v>532</v>
      </c>
      <c r="M15" s="34">
        <v>135.21428571428601</v>
      </c>
      <c r="N15" s="34">
        <f t="shared" si="2"/>
        <v>396.78571428571399</v>
      </c>
      <c r="O15">
        <v>179.74</v>
      </c>
      <c r="P15">
        <v>462</v>
      </c>
      <c r="Q15" s="34">
        <f t="shared" si="3"/>
        <v>326.78571428571399</v>
      </c>
      <c r="R15">
        <v>158.61000000000001</v>
      </c>
      <c r="S15">
        <v>20</v>
      </c>
      <c r="T15">
        <v>7.89</v>
      </c>
      <c r="U15">
        <v>10.8</v>
      </c>
      <c r="V15">
        <v>24.08</v>
      </c>
      <c r="W15">
        <v>17</v>
      </c>
      <c r="X15">
        <v>19.670000000000002</v>
      </c>
      <c r="Y15">
        <v>200</v>
      </c>
      <c r="Z15">
        <v>6.76</v>
      </c>
      <c r="AA15">
        <f t="shared" si="4"/>
        <v>42.769999999999996</v>
      </c>
      <c r="AB15" s="35">
        <f t="shared" si="5"/>
        <v>2.5158823529411762</v>
      </c>
      <c r="AC15" s="151">
        <f t="shared" si="6"/>
        <v>879.11142857142795</v>
      </c>
      <c r="AD15" s="35">
        <f t="shared" si="7"/>
        <v>0.18447509936871639</v>
      </c>
      <c r="AE15" s="35">
        <f t="shared" si="8"/>
        <v>0.25251344400280573</v>
      </c>
      <c r="AF15" s="35">
        <f t="shared" si="9"/>
        <v>0.56301145662847796</v>
      </c>
      <c r="AG15" s="35">
        <f t="shared" si="10"/>
        <v>0.4599018003273323</v>
      </c>
      <c r="AH15" s="104">
        <f t="shared" si="0"/>
        <v>162.1741681418884</v>
      </c>
      <c r="AI15" s="104">
        <f t="shared" si="1"/>
        <v>221.98745449079783</v>
      </c>
      <c r="AJ15" s="104">
        <f t="shared" si="1"/>
        <v>494.9498059387418</v>
      </c>
      <c r="AK15" s="104">
        <f t="shared" si="1"/>
        <v>404.30492868833272</v>
      </c>
      <c r="AL15" s="151">
        <f t="shared" si="11"/>
        <v>398.82000000000005</v>
      </c>
      <c r="AM15" s="35">
        <f t="shared" si="12"/>
        <v>0.45366262687323927</v>
      </c>
      <c r="AN15" s="34">
        <f t="shared" si="13"/>
        <v>76.488260821186159</v>
      </c>
      <c r="AO15" s="104">
        <f t="shared" si="14"/>
        <v>33.799999999999997</v>
      </c>
      <c r="AP15" s="34">
        <f t="shared" si="15"/>
        <v>11799.408284023672</v>
      </c>
      <c r="AQ15"/>
      <c r="AR15"/>
      <c r="AS15"/>
    </row>
    <row r="16" spans="1:49" ht="14.5" x14ac:dyDescent="0.35">
      <c r="A16" s="62" t="s">
        <v>33</v>
      </c>
      <c r="B16" s="122" t="s">
        <v>33</v>
      </c>
      <c r="C16" s="62" t="s">
        <v>29</v>
      </c>
      <c r="D16" s="62">
        <v>2</v>
      </c>
      <c r="E16" s="62">
        <v>2</v>
      </c>
      <c r="F16" s="62">
        <v>8</v>
      </c>
      <c r="G16" s="62">
        <v>208</v>
      </c>
      <c r="H16" s="63">
        <v>15</v>
      </c>
      <c r="I16" s="88">
        <v>45985</v>
      </c>
      <c r="J16">
        <v>0.5</v>
      </c>
      <c r="K16" s="37">
        <v>488</v>
      </c>
      <c r="L16">
        <v>516</v>
      </c>
      <c r="M16" s="34">
        <v>135.21428571428601</v>
      </c>
      <c r="N16" s="34">
        <f t="shared" si="2"/>
        <v>380.78571428571399</v>
      </c>
      <c r="O16">
        <v>162.84</v>
      </c>
      <c r="P16">
        <v>564</v>
      </c>
      <c r="Q16" s="34">
        <f t="shared" si="3"/>
        <v>428.78571428571399</v>
      </c>
      <c r="R16">
        <v>206.32</v>
      </c>
      <c r="S16">
        <v>20</v>
      </c>
      <c r="T16">
        <v>7.54</v>
      </c>
      <c r="U16">
        <v>11.45</v>
      </c>
      <c r="V16">
        <v>31.85</v>
      </c>
      <c r="W16">
        <v>19</v>
      </c>
      <c r="X16">
        <v>24.14</v>
      </c>
      <c r="Y16">
        <v>200</v>
      </c>
      <c r="Z16">
        <v>5.42</v>
      </c>
      <c r="AA16">
        <f t="shared" si="4"/>
        <v>50.84</v>
      </c>
      <c r="AB16" s="35">
        <f t="shared" si="5"/>
        <v>2.6757894736842105</v>
      </c>
      <c r="AC16" s="151">
        <f t="shared" si="6"/>
        <v>863.25142857142805</v>
      </c>
      <c r="AD16" s="35">
        <f t="shared" si="7"/>
        <v>0.14830841856805663</v>
      </c>
      <c r="AE16" s="35">
        <f t="shared" si="8"/>
        <v>0.22521636506687645</v>
      </c>
      <c r="AF16" s="35">
        <f t="shared" si="9"/>
        <v>0.62647521636506687</v>
      </c>
      <c r="AG16" s="35">
        <f t="shared" si="10"/>
        <v>0.47482297403619195</v>
      </c>
      <c r="AH16" s="104">
        <f t="shared" si="0"/>
        <v>128.02745419804418</v>
      </c>
      <c r="AI16" s="104">
        <f t="shared" si="1"/>
        <v>194.41834888164536</v>
      </c>
      <c r="AJ16" s="104">
        <f t="shared" si="1"/>
        <v>540.80562549173851</v>
      </c>
      <c r="AK16" s="104">
        <f t="shared" si="1"/>
        <v>409.89161065527679</v>
      </c>
      <c r="AL16" s="151">
        <f t="shared" si="11"/>
        <v>373.96000000000004</v>
      </c>
      <c r="AM16" s="35">
        <f t="shared" si="12"/>
        <v>0.43319939895014892</v>
      </c>
      <c r="AN16" s="34">
        <f t="shared" si="13"/>
        <v>153.4021125030705</v>
      </c>
      <c r="AO16" s="104">
        <f t="shared" si="14"/>
        <v>27.1</v>
      </c>
      <c r="AP16" s="34">
        <f t="shared" si="15"/>
        <v>13799.261992619928</v>
      </c>
      <c r="AQ16"/>
      <c r="AR16"/>
      <c r="AS16"/>
    </row>
    <row r="17" spans="1:49" ht="14.5" x14ac:dyDescent="0.35">
      <c r="A17" s="62" t="s">
        <v>33</v>
      </c>
      <c r="B17" s="122" t="s">
        <v>33</v>
      </c>
      <c r="C17" s="62" t="s">
        <v>35</v>
      </c>
      <c r="D17" s="62">
        <v>2</v>
      </c>
      <c r="E17" s="62">
        <v>1</v>
      </c>
      <c r="F17" s="62">
        <v>8</v>
      </c>
      <c r="G17" s="62">
        <v>108</v>
      </c>
      <c r="H17" s="63">
        <v>16</v>
      </c>
      <c r="I17" s="88">
        <v>45985</v>
      </c>
      <c r="J17">
        <v>0.5</v>
      </c>
      <c r="K17" s="37">
        <v>643</v>
      </c>
      <c r="L17">
        <v>596</v>
      </c>
      <c r="M17" s="34">
        <v>135.21428571428601</v>
      </c>
      <c r="N17" s="34">
        <f t="shared" si="2"/>
        <v>460.78571428571399</v>
      </c>
      <c r="O17">
        <v>174.37</v>
      </c>
      <c r="P17">
        <v>462</v>
      </c>
      <c r="Q17" s="34">
        <f t="shared" si="3"/>
        <v>326.78571428571399</v>
      </c>
      <c r="R17">
        <v>147.28</v>
      </c>
      <c r="S17">
        <v>20</v>
      </c>
      <c r="T17">
        <v>7.09</v>
      </c>
      <c r="U17">
        <v>17.600000000000001</v>
      </c>
      <c r="V17">
        <v>24.81</v>
      </c>
      <c r="W17">
        <v>19</v>
      </c>
      <c r="X17">
        <v>19.38</v>
      </c>
      <c r="Y17">
        <v>200</v>
      </c>
      <c r="Z17">
        <v>6.92</v>
      </c>
      <c r="AA17">
        <f t="shared" si="4"/>
        <v>49.5</v>
      </c>
      <c r="AB17" s="35">
        <f t="shared" si="5"/>
        <v>2.6052631578947367</v>
      </c>
      <c r="AC17" s="151">
        <f t="shared" si="6"/>
        <v>1020.571428571428</v>
      </c>
      <c r="AD17" s="35">
        <f t="shared" si="7"/>
        <v>0.14323232323232324</v>
      </c>
      <c r="AE17" s="35">
        <f t="shared" si="8"/>
        <v>0.35555555555555557</v>
      </c>
      <c r="AF17" s="35">
        <f t="shared" si="9"/>
        <v>0.50121212121212122</v>
      </c>
      <c r="AG17" s="35">
        <f t="shared" si="10"/>
        <v>0.39151515151515148</v>
      </c>
      <c r="AH17" s="104">
        <f t="shared" si="0"/>
        <v>146.17881673881666</v>
      </c>
      <c r="AI17" s="104">
        <f t="shared" si="1"/>
        <v>362.86984126984106</v>
      </c>
      <c r="AJ17" s="104">
        <f t="shared" si="1"/>
        <v>511.52277056277029</v>
      </c>
      <c r="AK17" s="104">
        <f t="shared" si="1"/>
        <v>399.56917748917721</v>
      </c>
      <c r="AL17" s="151">
        <f t="shared" si="11"/>
        <v>387.5</v>
      </c>
      <c r="AM17" s="35">
        <f t="shared" si="12"/>
        <v>0.37968924972004503</v>
      </c>
      <c r="AN17" s="34">
        <f t="shared" si="13"/>
        <v>68.928141308711361</v>
      </c>
      <c r="AO17" s="104">
        <f t="shared" si="14"/>
        <v>34.6</v>
      </c>
      <c r="AP17" s="34">
        <f t="shared" si="15"/>
        <v>11199.421965317919</v>
      </c>
      <c r="AQ17"/>
      <c r="AR17"/>
      <c r="AS17"/>
    </row>
    <row r="18" spans="1:49" ht="14.5" x14ac:dyDescent="0.35">
      <c r="A18" s="62" t="s">
        <v>28</v>
      </c>
      <c r="B18" s="122" t="s">
        <v>28</v>
      </c>
      <c r="C18" s="62" t="s">
        <v>32</v>
      </c>
      <c r="D18" s="62">
        <v>3</v>
      </c>
      <c r="E18" s="62">
        <v>1</v>
      </c>
      <c r="F18" s="62">
        <v>10</v>
      </c>
      <c r="G18" s="62">
        <v>110</v>
      </c>
      <c r="H18" s="63">
        <v>17</v>
      </c>
      <c r="I18" s="88">
        <v>45985</v>
      </c>
      <c r="J18">
        <v>0.5</v>
      </c>
      <c r="K18" s="37">
        <v>649</v>
      </c>
      <c r="L18">
        <v>589</v>
      </c>
      <c r="M18" s="34">
        <v>135.21428571428601</v>
      </c>
      <c r="N18" s="34">
        <f t="shared" si="2"/>
        <v>453.78571428571399</v>
      </c>
      <c r="O18">
        <v>161.84</v>
      </c>
      <c r="P18">
        <v>599</v>
      </c>
      <c r="Q18" s="34">
        <f t="shared" si="3"/>
        <v>463.78571428571399</v>
      </c>
      <c r="R18">
        <v>179.58</v>
      </c>
      <c r="S18">
        <v>20</v>
      </c>
      <c r="T18">
        <v>6.56</v>
      </c>
      <c r="U18">
        <v>12.15</v>
      </c>
      <c r="V18">
        <v>17.47</v>
      </c>
      <c r="W18">
        <v>18</v>
      </c>
      <c r="X18">
        <v>13.12</v>
      </c>
      <c r="Y18">
        <v>200</v>
      </c>
      <c r="Z18">
        <v>6.33</v>
      </c>
      <c r="AA18">
        <f t="shared" si="4"/>
        <v>36.18</v>
      </c>
      <c r="AB18" s="35">
        <f t="shared" si="5"/>
        <v>2.0099999999999998</v>
      </c>
      <c r="AC18" s="151">
        <f t="shared" si="6"/>
        <v>979.931428571428</v>
      </c>
      <c r="AD18" s="35">
        <f t="shared" si="7"/>
        <v>0.18131564400221115</v>
      </c>
      <c r="AE18" s="35">
        <f t="shared" si="8"/>
        <v>0.33582089552238809</v>
      </c>
      <c r="AF18" s="35">
        <f t="shared" si="9"/>
        <v>0.48286346047540074</v>
      </c>
      <c r="AG18" s="35">
        <f t="shared" si="10"/>
        <v>0.36263128800442229</v>
      </c>
      <c r="AH18" s="104">
        <f t="shared" si="0"/>
        <v>177.67689804943524</v>
      </c>
      <c r="AI18" s="104">
        <f t="shared" ref="AI18:AK25" si="16">$AC18*AE18</f>
        <v>329.08144989339002</v>
      </c>
      <c r="AJ18" s="104">
        <f t="shared" si="16"/>
        <v>473.17308062860269</v>
      </c>
      <c r="AK18" s="104">
        <f t="shared" si="16"/>
        <v>355.35379609887048</v>
      </c>
      <c r="AL18" s="151">
        <f t="shared" si="11"/>
        <v>349.92</v>
      </c>
      <c r="AM18" s="35">
        <f t="shared" si="12"/>
        <v>0.35708621011382741</v>
      </c>
      <c r="AN18" s="34">
        <f t="shared" si="13"/>
        <v>121.92288680177955</v>
      </c>
      <c r="AO18" s="104">
        <f t="shared" si="14"/>
        <v>31.65</v>
      </c>
      <c r="AP18" s="34">
        <f t="shared" si="15"/>
        <v>11055.924170616114</v>
      </c>
      <c r="AQ18"/>
      <c r="AR18" s="29" t="s">
        <v>596</v>
      </c>
      <c r="AS18" s="29" t="s">
        <v>416</v>
      </c>
    </row>
    <row r="19" spans="1:49" ht="14.5" x14ac:dyDescent="0.35">
      <c r="A19" s="62" t="s">
        <v>28</v>
      </c>
      <c r="B19" s="122" t="s">
        <v>28</v>
      </c>
      <c r="C19" s="62" t="s">
        <v>31</v>
      </c>
      <c r="D19" s="62">
        <v>3</v>
      </c>
      <c r="E19" s="62">
        <v>2</v>
      </c>
      <c r="F19" s="62">
        <v>10</v>
      </c>
      <c r="G19" s="62">
        <v>210</v>
      </c>
      <c r="H19" s="63">
        <v>18</v>
      </c>
      <c r="I19" s="88">
        <v>45985</v>
      </c>
      <c r="J19">
        <v>0.5</v>
      </c>
      <c r="K19" s="37">
        <v>685</v>
      </c>
      <c r="L19">
        <v>651</v>
      </c>
      <c r="M19" s="34">
        <v>135.21428571428601</v>
      </c>
      <c r="N19" s="34">
        <f t="shared" si="2"/>
        <v>515.78571428571399</v>
      </c>
      <c r="O19">
        <v>167.99</v>
      </c>
      <c r="P19">
        <v>656</v>
      </c>
      <c r="Q19" s="34">
        <f t="shared" si="3"/>
        <v>520.78571428571399</v>
      </c>
      <c r="R19">
        <v>203.82</v>
      </c>
      <c r="S19">
        <v>20</v>
      </c>
      <c r="T19">
        <v>10.43</v>
      </c>
      <c r="U19">
        <v>24.2</v>
      </c>
      <c r="V19">
        <v>39.54</v>
      </c>
      <c r="W19">
        <v>17</v>
      </c>
      <c r="X19">
        <v>30.57</v>
      </c>
      <c r="Y19">
        <v>200</v>
      </c>
      <c r="Z19">
        <v>5.14</v>
      </c>
      <c r="AA19">
        <f t="shared" si="4"/>
        <v>74.169999999999987</v>
      </c>
      <c r="AB19" s="35">
        <f t="shared" si="5"/>
        <v>4.3629411764705877</v>
      </c>
      <c r="AC19" s="151">
        <f t="shared" si="6"/>
        <v>1179.9114285714279</v>
      </c>
      <c r="AD19" s="35">
        <f t="shared" si="7"/>
        <v>0.14062289335310774</v>
      </c>
      <c r="AE19" s="35">
        <f t="shared" si="8"/>
        <v>0.3262774706754753</v>
      </c>
      <c r="AF19" s="35">
        <f t="shared" si="9"/>
        <v>0.53309963597141707</v>
      </c>
      <c r="AG19" s="35">
        <f t="shared" si="10"/>
        <v>0.41216125117972235</v>
      </c>
      <c r="AH19" s="104">
        <f t="shared" si="0"/>
        <v>165.9225589861129</v>
      </c>
      <c r="AI19" s="104">
        <f t="shared" si="16"/>
        <v>384.97851653537225</v>
      </c>
      <c r="AJ19" s="104">
        <f t="shared" si="16"/>
        <v>629.01035304994286</v>
      </c>
      <c r="AK19" s="104">
        <f t="shared" si="16"/>
        <v>486.31377068125335</v>
      </c>
      <c r="AL19" s="151">
        <f t="shared" si="11"/>
        <v>397.12</v>
      </c>
      <c r="AM19" s="35">
        <f t="shared" si="12"/>
        <v>0.33656763582738675</v>
      </c>
      <c r="AN19" s="34">
        <f t="shared" si="13"/>
        <v>142.65730102982317</v>
      </c>
      <c r="AO19" s="104">
        <f t="shared" si="14"/>
        <v>25.7</v>
      </c>
      <c r="AP19" s="34">
        <f t="shared" si="15"/>
        <v>15452.140077821012</v>
      </c>
      <c r="AQ19"/>
      <c r="AR19" s="29" t="s">
        <v>417</v>
      </c>
      <c r="AS19">
        <v>1</v>
      </c>
      <c r="AT19">
        <v>2</v>
      </c>
      <c r="AU19">
        <v>3</v>
      </c>
      <c r="AV19">
        <v>4</v>
      </c>
      <c r="AW19" t="s">
        <v>418</v>
      </c>
    </row>
    <row r="20" spans="1:49" ht="14.5" x14ac:dyDescent="0.35">
      <c r="A20" s="62" t="s">
        <v>28</v>
      </c>
      <c r="B20" s="122" t="s">
        <v>28</v>
      </c>
      <c r="C20" s="62" t="s">
        <v>29</v>
      </c>
      <c r="D20" s="62">
        <v>3</v>
      </c>
      <c r="E20" s="62">
        <v>3</v>
      </c>
      <c r="F20" s="62">
        <v>10</v>
      </c>
      <c r="G20" s="62">
        <v>310</v>
      </c>
      <c r="H20" s="63">
        <v>19</v>
      </c>
      <c r="I20" s="88">
        <v>45985</v>
      </c>
      <c r="J20">
        <v>0.5</v>
      </c>
      <c r="K20" s="37">
        <v>608</v>
      </c>
      <c r="L20">
        <v>609</v>
      </c>
      <c r="M20" s="34">
        <v>135.21428571428601</v>
      </c>
      <c r="N20" s="34">
        <f t="shared" si="2"/>
        <v>473.78571428571399</v>
      </c>
      <c r="O20">
        <v>217.72</v>
      </c>
      <c r="P20">
        <v>554</v>
      </c>
      <c r="Q20" s="34">
        <f t="shared" si="3"/>
        <v>418.78571428571399</v>
      </c>
      <c r="R20">
        <v>203.81</v>
      </c>
      <c r="S20">
        <v>20</v>
      </c>
      <c r="T20">
        <v>6.83</v>
      </c>
      <c r="U20">
        <v>13.81</v>
      </c>
      <c r="V20">
        <v>33.93</v>
      </c>
      <c r="W20">
        <v>20</v>
      </c>
      <c r="X20">
        <v>25.92</v>
      </c>
      <c r="Y20">
        <v>200</v>
      </c>
      <c r="Z20">
        <v>6.77</v>
      </c>
      <c r="AA20">
        <f t="shared" si="4"/>
        <v>54.57</v>
      </c>
      <c r="AB20" s="35">
        <f t="shared" si="5"/>
        <v>2.7284999999999999</v>
      </c>
      <c r="AC20" s="151">
        <f t="shared" si="6"/>
        <v>1056.7114285714281</v>
      </c>
      <c r="AD20" s="35">
        <f t="shared" si="7"/>
        <v>0.12516034451163643</v>
      </c>
      <c r="AE20" s="35">
        <f t="shared" si="8"/>
        <v>0.25306945207989739</v>
      </c>
      <c r="AF20" s="35">
        <f t="shared" si="9"/>
        <v>0.62177020340846623</v>
      </c>
      <c r="AG20" s="35">
        <f t="shared" si="10"/>
        <v>0.4749862561847169</v>
      </c>
      <c r="AH20" s="104">
        <f t="shared" si="0"/>
        <v>132.25836644938343</v>
      </c>
      <c r="AI20" s="104">
        <f t="shared" si="16"/>
        <v>267.42138223513695</v>
      </c>
      <c r="AJ20" s="104">
        <f t="shared" si="16"/>
        <v>657.0316798869078</v>
      </c>
      <c r="AK20" s="104">
        <f t="shared" si="16"/>
        <v>501.92340532474651</v>
      </c>
      <c r="AL20" s="151">
        <f t="shared" si="11"/>
        <v>487.28</v>
      </c>
      <c r="AM20" s="35">
        <f t="shared" si="12"/>
        <v>0.46112873091450857</v>
      </c>
      <c r="AN20" s="34">
        <f t="shared" si="13"/>
        <v>87.22212015432666</v>
      </c>
      <c r="AO20" s="104">
        <f t="shared" si="14"/>
        <v>33.85</v>
      </c>
      <c r="AP20" s="34">
        <f t="shared" si="15"/>
        <v>14395.273264401772</v>
      </c>
      <c r="AQ20"/>
      <c r="AR20" s="32" t="s">
        <v>28</v>
      </c>
      <c r="AS20" s="34">
        <v>457.05500000000001</v>
      </c>
      <c r="AT20" s="34">
        <v>418.13499999999999</v>
      </c>
      <c r="AU20" s="34">
        <v>420.79499999999996</v>
      </c>
      <c r="AV20" s="34">
        <v>434.08500000000004</v>
      </c>
      <c r="AW20" s="34">
        <v>432.51749999999998</v>
      </c>
    </row>
    <row r="21" spans="1:49" ht="14.5" x14ac:dyDescent="0.35">
      <c r="A21" s="62" t="s">
        <v>28</v>
      </c>
      <c r="B21" s="122" t="s">
        <v>28</v>
      </c>
      <c r="C21" s="62" t="s">
        <v>30</v>
      </c>
      <c r="D21" s="62">
        <v>3</v>
      </c>
      <c r="E21" s="62">
        <v>4</v>
      </c>
      <c r="F21" s="62">
        <v>10</v>
      </c>
      <c r="G21" s="62">
        <v>410</v>
      </c>
      <c r="H21" s="63">
        <v>20</v>
      </c>
      <c r="I21" s="88">
        <v>45985</v>
      </c>
      <c r="J21">
        <v>0.5</v>
      </c>
      <c r="K21" s="37">
        <v>641</v>
      </c>
      <c r="L21">
        <v>627</v>
      </c>
      <c r="M21" s="34">
        <v>135.21428571428601</v>
      </c>
      <c r="N21" s="34">
        <f t="shared" si="2"/>
        <v>491.78571428571399</v>
      </c>
      <c r="O21">
        <v>192.04</v>
      </c>
      <c r="P21">
        <v>634</v>
      </c>
      <c r="Q21" s="34">
        <f t="shared" si="3"/>
        <v>498.78571428571399</v>
      </c>
      <c r="R21">
        <v>222.86</v>
      </c>
      <c r="S21">
        <v>20</v>
      </c>
      <c r="T21">
        <v>7.28</v>
      </c>
      <c r="U21">
        <v>19.59</v>
      </c>
      <c r="V21">
        <v>32.729999999999997</v>
      </c>
      <c r="W21">
        <v>19</v>
      </c>
      <c r="X21">
        <v>24.52</v>
      </c>
      <c r="Y21">
        <v>200</v>
      </c>
      <c r="Z21">
        <v>6.1</v>
      </c>
      <c r="AA21">
        <f t="shared" si="4"/>
        <v>59.599999999999994</v>
      </c>
      <c r="AB21" s="35">
        <f t="shared" si="5"/>
        <v>3.1368421052631574</v>
      </c>
      <c r="AC21" s="151">
        <f t="shared" si="6"/>
        <v>1102.771428571428</v>
      </c>
      <c r="AD21" s="35">
        <f t="shared" si="7"/>
        <v>0.12214765100671142</v>
      </c>
      <c r="AE21" s="35">
        <f t="shared" si="8"/>
        <v>0.32869127516778529</v>
      </c>
      <c r="AF21" s="35">
        <f t="shared" si="9"/>
        <v>0.54916107382550339</v>
      </c>
      <c r="AG21" s="35">
        <f t="shared" si="10"/>
        <v>0.4114093959731544</v>
      </c>
      <c r="AH21" s="104">
        <f t="shared" si="0"/>
        <v>134.70093959731537</v>
      </c>
      <c r="AI21" s="104">
        <f t="shared" si="16"/>
        <v>362.47134707574293</v>
      </c>
      <c r="AJ21" s="104">
        <f t="shared" si="16"/>
        <v>605.59914189836979</v>
      </c>
      <c r="AK21" s="104">
        <f t="shared" si="16"/>
        <v>453.69052732502377</v>
      </c>
      <c r="AL21" s="151">
        <f t="shared" si="11"/>
        <v>433.12</v>
      </c>
      <c r="AM21" s="35">
        <f t="shared" si="12"/>
        <v>0.39275591367204726</v>
      </c>
      <c r="AN21" s="34">
        <f t="shared" si="13"/>
        <v>132.09747969173091</v>
      </c>
      <c r="AO21" s="104">
        <f t="shared" si="14"/>
        <v>30.5</v>
      </c>
      <c r="AP21" s="34">
        <f t="shared" si="15"/>
        <v>14200.655737704918</v>
      </c>
      <c r="AQ21"/>
      <c r="AR21" s="91" t="s">
        <v>32</v>
      </c>
      <c r="AS21" s="34">
        <v>349.92</v>
      </c>
      <c r="AT21" s="34">
        <v>458.40000000000003</v>
      </c>
      <c r="AU21" s="34">
        <v>417.42</v>
      </c>
      <c r="AV21" s="34">
        <v>324.71999999999997</v>
      </c>
      <c r="AW21" s="34">
        <v>387.61500000000001</v>
      </c>
    </row>
    <row r="22" spans="1:49" ht="14.5" x14ac:dyDescent="0.35">
      <c r="A22" s="62" t="s">
        <v>33</v>
      </c>
      <c r="B22" s="122" t="s">
        <v>33</v>
      </c>
      <c r="C22" s="62" t="s">
        <v>30</v>
      </c>
      <c r="D22" s="62">
        <v>3</v>
      </c>
      <c r="E22" s="62">
        <v>4</v>
      </c>
      <c r="F22" s="62">
        <v>12</v>
      </c>
      <c r="G22" s="62">
        <v>412</v>
      </c>
      <c r="H22" s="63">
        <v>21</v>
      </c>
      <c r="I22" s="88">
        <v>45985</v>
      </c>
      <c r="J22">
        <v>0.5</v>
      </c>
      <c r="K22" s="37">
        <v>638</v>
      </c>
      <c r="L22">
        <v>616</v>
      </c>
      <c r="M22" s="34">
        <v>135.21428571428601</v>
      </c>
      <c r="N22" s="34">
        <f t="shared" si="2"/>
        <v>480.78571428571399</v>
      </c>
      <c r="O22">
        <v>199.71</v>
      </c>
      <c r="P22">
        <v>520</v>
      </c>
      <c r="Q22" s="34">
        <f t="shared" si="3"/>
        <v>384.78571428571399</v>
      </c>
      <c r="R22">
        <v>183.56</v>
      </c>
      <c r="S22">
        <v>20</v>
      </c>
      <c r="T22">
        <v>6.83</v>
      </c>
      <c r="U22">
        <v>13.06</v>
      </c>
      <c r="V22">
        <v>25.34</v>
      </c>
      <c r="W22">
        <v>18</v>
      </c>
      <c r="X22">
        <v>20.32</v>
      </c>
      <c r="Y22">
        <v>200</v>
      </c>
      <c r="Z22">
        <v>6.05</v>
      </c>
      <c r="AA22">
        <f t="shared" si="4"/>
        <v>45.230000000000004</v>
      </c>
      <c r="AB22" s="35">
        <f t="shared" si="5"/>
        <v>2.512777777777778</v>
      </c>
      <c r="AC22" s="151">
        <f t="shared" si="6"/>
        <v>1052.031428571428</v>
      </c>
      <c r="AD22" s="35">
        <f t="shared" si="7"/>
        <v>0.15100596948927703</v>
      </c>
      <c r="AE22" s="35">
        <f t="shared" si="8"/>
        <v>0.28874640725182399</v>
      </c>
      <c r="AF22" s="35">
        <f t="shared" si="9"/>
        <v>0.56024762325889887</v>
      </c>
      <c r="AG22" s="35">
        <f t="shared" si="10"/>
        <v>0.44925934114525756</v>
      </c>
      <c r="AH22" s="104">
        <f t="shared" si="0"/>
        <v>158.86302580461759</v>
      </c>
      <c r="AI22" s="104">
        <f t="shared" si="16"/>
        <v>303.77029531600374</v>
      </c>
      <c r="AJ22" s="104">
        <f t="shared" si="16"/>
        <v>589.39810745080661</v>
      </c>
      <c r="AK22" s="104">
        <f t="shared" si="16"/>
        <v>472.63494646410385</v>
      </c>
      <c r="AL22" s="151">
        <f t="shared" si="11"/>
        <v>440.06</v>
      </c>
      <c r="AM22" s="35">
        <f t="shared" si="12"/>
        <v>0.41829548818476386</v>
      </c>
      <c r="AN22" s="34">
        <f t="shared" si="13"/>
        <v>83.826548495318207</v>
      </c>
      <c r="AO22" s="104">
        <f t="shared" si="14"/>
        <v>30.25</v>
      </c>
      <c r="AP22" s="34">
        <f t="shared" si="15"/>
        <v>14547.438016528926</v>
      </c>
      <c r="AQ22"/>
      <c r="AR22" s="91" t="s">
        <v>31</v>
      </c>
      <c r="AS22" s="34">
        <v>396.59999999999997</v>
      </c>
      <c r="AT22" s="34">
        <v>397.12</v>
      </c>
      <c r="AU22" s="34">
        <v>389.08000000000004</v>
      </c>
      <c r="AV22" s="34">
        <v>511.52000000000004</v>
      </c>
      <c r="AW22" s="34">
        <v>423.58000000000004</v>
      </c>
    </row>
    <row r="23" spans="1:49" ht="14.5" x14ac:dyDescent="0.35">
      <c r="A23" s="62" t="s">
        <v>33</v>
      </c>
      <c r="B23" s="122" t="s">
        <v>33</v>
      </c>
      <c r="C23" s="62" t="s">
        <v>34</v>
      </c>
      <c r="D23" s="62">
        <v>3</v>
      </c>
      <c r="E23" s="62">
        <v>3</v>
      </c>
      <c r="F23" s="62">
        <v>12</v>
      </c>
      <c r="G23" s="62">
        <v>312</v>
      </c>
      <c r="H23" s="63">
        <v>22</v>
      </c>
      <c r="I23" s="88">
        <v>45985</v>
      </c>
      <c r="J23">
        <v>0.5</v>
      </c>
      <c r="K23" s="37">
        <v>513</v>
      </c>
      <c r="L23">
        <v>469</v>
      </c>
      <c r="M23" s="34">
        <v>135.21428571428601</v>
      </c>
      <c r="N23" s="34">
        <f t="shared" si="2"/>
        <v>333.78571428571399</v>
      </c>
      <c r="O23">
        <v>148.29</v>
      </c>
      <c r="P23">
        <v>445</v>
      </c>
      <c r="Q23" s="34">
        <f t="shared" si="3"/>
        <v>309.78571428571399</v>
      </c>
      <c r="R23">
        <v>148.15</v>
      </c>
      <c r="S23">
        <v>20</v>
      </c>
      <c r="T23">
        <v>6.27</v>
      </c>
      <c r="U23">
        <v>19.600000000000001</v>
      </c>
      <c r="V23">
        <v>39.14</v>
      </c>
      <c r="W23">
        <v>19</v>
      </c>
      <c r="X23">
        <v>29.62</v>
      </c>
      <c r="Y23">
        <v>200</v>
      </c>
      <c r="Z23">
        <v>6.2</v>
      </c>
      <c r="AA23">
        <f t="shared" si="4"/>
        <v>65.010000000000005</v>
      </c>
      <c r="AB23" s="35">
        <f t="shared" si="5"/>
        <v>3.4215789473684213</v>
      </c>
      <c r="AC23" s="151">
        <f t="shared" si="6"/>
        <v>797.59142857142797</v>
      </c>
      <c r="AD23" s="35">
        <f t="shared" si="7"/>
        <v>9.6446700507614197E-2</v>
      </c>
      <c r="AE23" s="35">
        <f t="shared" si="8"/>
        <v>0.30149207814182433</v>
      </c>
      <c r="AF23" s="35">
        <f t="shared" si="9"/>
        <v>0.60206122135056139</v>
      </c>
      <c r="AG23" s="35">
        <f t="shared" si="10"/>
        <v>0.45562221196738961</v>
      </c>
      <c r="AH23" s="104">
        <f t="shared" si="0"/>
        <v>76.925061638868669</v>
      </c>
      <c r="AI23" s="104">
        <f t="shared" si="16"/>
        <v>240.46749730810626</v>
      </c>
      <c r="AJ23" s="104">
        <f t="shared" si="16"/>
        <v>480.19886962445298</v>
      </c>
      <c r="AK23" s="104">
        <f t="shared" si="16"/>
        <v>363.40037093194422</v>
      </c>
      <c r="AL23" s="151">
        <f t="shared" si="11"/>
        <v>355.82</v>
      </c>
      <c r="AM23" s="35">
        <f t="shared" si="12"/>
        <v>0.44611813423987251</v>
      </c>
      <c r="AN23" s="34">
        <f t="shared" si="13"/>
        <v>99.811180794389387</v>
      </c>
      <c r="AO23" s="104">
        <f t="shared" si="14"/>
        <v>31</v>
      </c>
      <c r="AP23" s="34">
        <f t="shared" si="15"/>
        <v>11478.064516129032</v>
      </c>
      <c r="AQ23"/>
      <c r="AR23" s="91" t="s">
        <v>29</v>
      </c>
      <c r="AS23" s="34">
        <v>516.72</v>
      </c>
      <c r="AT23" s="34">
        <v>484.28000000000003</v>
      </c>
      <c r="AU23" s="34">
        <v>487.28</v>
      </c>
      <c r="AV23" s="34">
        <v>466.98</v>
      </c>
      <c r="AW23" s="34">
        <v>488.815</v>
      </c>
    </row>
    <row r="24" spans="1:49" s="33" customFormat="1" ht="14.5" x14ac:dyDescent="0.35">
      <c r="A24" s="62" t="s">
        <v>33</v>
      </c>
      <c r="B24" s="122" t="s">
        <v>33</v>
      </c>
      <c r="C24" s="62" t="s">
        <v>35</v>
      </c>
      <c r="D24" s="62">
        <v>3</v>
      </c>
      <c r="E24" s="62">
        <v>2</v>
      </c>
      <c r="F24" s="62">
        <v>12</v>
      </c>
      <c r="G24" s="62">
        <v>212</v>
      </c>
      <c r="H24" s="63">
        <v>23</v>
      </c>
      <c r="I24" s="88">
        <v>45985</v>
      </c>
      <c r="J24">
        <v>0.5</v>
      </c>
      <c r="K24" s="37">
        <v>565</v>
      </c>
      <c r="L24" s="33">
        <v>538</v>
      </c>
      <c r="M24" s="34">
        <v>135.21428571428601</v>
      </c>
      <c r="N24" s="34">
        <f t="shared" si="2"/>
        <v>402.78571428571399</v>
      </c>
      <c r="O24" s="33">
        <v>150.41999999999999</v>
      </c>
      <c r="P24" s="33">
        <v>516</v>
      </c>
      <c r="Q24" s="34">
        <f t="shared" si="3"/>
        <v>380.78571428571399</v>
      </c>
      <c r="R24" s="33">
        <v>163.28</v>
      </c>
      <c r="S24">
        <v>20</v>
      </c>
      <c r="T24" s="33">
        <v>8.6999999999999993</v>
      </c>
      <c r="U24" s="33">
        <v>16.27</v>
      </c>
      <c r="V24" s="33">
        <v>25.99</v>
      </c>
      <c r="W24" s="33">
        <v>17</v>
      </c>
      <c r="X24" s="33">
        <v>20.21</v>
      </c>
      <c r="Y24">
        <v>200</v>
      </c>
      <c r="Z24" s="33">
        <v>6.92</v>
      </c>
      <c r="AA24">
        <f t="shared" si="4"/>
        <v>50.959999999999994</v>
      </c>
      <c r="AB24" s="35">
        <f t="shared" si="5"/>
        <v>2.9976470588235289</v>
      </c>
      <c r="AC24" s="151">
        <f t="shared" si="6"/>
        <v>907.49142857142795</v>
      </c>
      <c r="AD24" s="35">
        <f t="shared" si="7"/>
        <v>0.1707221350078493</v>
      </c>
      <c r="AE24" s="35">
        <f t="shared" si="8"/>
        <v>0.31927001569858715</v>
      </c>
      <c r="AF24" s="35">
        <f t="shared" si="9"/>
        <v>0.51000784929356358</v>
      </c>
      <c r="AG24" s="35">
        <f t="shared" si="10"/>
        <v>0.39658555729984307</v>
      </c>
      <c r="AH24" s="104">
        <f t="shared" si="0"/>
        <v>154.92887418703737</v>
      </c>
      <c r="AI24" s="104">
        <f t="shared" si="16"/>
        <v>289.73480264633309</v>
      </c>
      <c r="AJ24" s="104">
        <f t="shared" si="16"/>
        <v>462.82775173805754</v>
      </c>
      <c r="AK24" s="104">
        <f t="shared" si="16"/>
        <v>359.89799394483049</v>
      </c>
      <c r="AL24" s="151">
        <f t="shared" si="11"/>
        <v>341.26</v>
      </c>
      <c r="AM24" s="35">
        <f t="shared" si="12"/>
        <v>0.37604762894257981</v>
      </c>
      <c r="AN24" s="34">
        <f t="shared" si="13"/>
        <v>117.09879005451404</v>
      </c>
      <c r="AO24" s="104">
        <f t="shared" si="14"/>
        <v>34.6</v>
      </c>
      <c r="AP24" s="34">
        <f t="shared" si="15"/>
        <v>9863.0057803468208</v>
      </c>
      <c r="AR24" s="91" t="s">
        <v>30</v>
      </c>
      <c r="AS24" s="34">
        <v>564.98</v>
      </c>
      <c r="AT24" s="34">
        <v>332.74</v>
      </c>
      <c r="AU24" s="34">
        <v>389.4</v>
      </c>
      <c r="AV24" s="34">
        <v>433.12</v>
      </c>
      <c r="AW24" s="34">
        <v>430.05999999999995</v>
      </c>
    </row>
    <row r="25" spans="1:49" ht="14.5" x14ac:dyDescent="0.35">
      <c r="A25" s="62" t="s">
        <v>33</v>
      </c>
      <c r="B25" s="122" t="s">
        <v>33</v>
      </c>
      <c r="C25" s="62" t="s">
        <v>29</v>
      </c>
      <c r="D25" s="62">
        <v>3</v>
      </c>
      <c r="E25" s="62">
        <v>1</v>
      </c>
      <c r="F25" s="62">
        <v>12</v>
      </c>
      <c r="G25" s="62">
        <v>112</v>
      </c>
      <c r="H25" s="63">
        <v>24</v>
      </c>
      <c r="I25" s="88">
        <v>45985</v>
      </c>
      <c r="J25">
        <v>0.5</v>
      </c>
      <c r="K25" s="37">
        <v>517</v>
      </c>
      <c r="L25">
        <v>511</v>
      </c>
      <c r="M25" s="34">
        <v>135.21428571428601</v>
      </c>
      <c r="N25" s="34">
        <f t="shared" si="2"/>
        <v>375.78571428571399</v>
      </c>
      <c r="O25">
        <v>190.43</v>
      </c>
      <c r="P25">
        <v>426</v>
      </c>
      <c r="Q25" s="34">
        <f t="shared" si="3"/>
        <v>290.78571428571399</v>
      </c>
      <c r="R25">
        <v>153.05000000000001</v>
      </c>
      <c r="S25">
        <v>20</v>
      </c>
      <c r="T25">
        <v>5.77</v>
      </c>
      <c r="U25">
        <v>14.47</v>
      </c>
      <c r="V25">
        <v>42.48</v>
      </c>
      <c r="W25">
        <v>20</v>
      </c>
      <c r="X25">
        <v>32.770000000000003</v>
      </c>
      <c r="Y25">
        <v>200</v>
      </c>
      <c r="Z25">
        <v>7.01</v>
      </c>
      <c r="AA25">
        <f t="shared" si="4"/>
        <v>62.72</v>
      </c>
      <c r="AB25" s="35">
        <f t="shared" si="5"/>
        <v>3.1360000000000001</v>
      </c>
      <c r="AC25" s="151">
        <f t="shared" si="6"/>
        <v>877.01142857142804</v>
      </c>
      <c r="AD25" s="35">
        <f t="shared" si="7"/>
        <v>9.1996173469387751E-2</v>
      </c>
      <c r="AE25" s="35">
        <f t="shared" si="8"/>
        <v>0.23070790816326531</v>
      </c>
      <c r="AF25" s="35">
        <f t="shared" si="9"/>
        <v>0.67729591836734693</v>
      </c>
      <c r="AG25" s="35">
        <f t="shared" si="10"/>
        <v>0.52248086734693888</v>
      </c>
      <c r="AH25" s="104">
        <f t="shared" si="0"/>
        <v>80.681695517492656</v>
      </c>
      <c r="AI25" s="104">
        <f t="shared" si="16"/>
        <v>202.33347212099113</v>
      </c>
      <c r="AJ25" s="104">
        <f t="shared" si="16"/>
        <v>593.99626093294421</v>
      </c>
      <c r="AK25" s="104">
        <f t="shared" si="16"/>
        <v>458.22169187317763</v>
      </c>
      <c r="AL25" s="151">
        <f t="shared" si="11"/>
        <v>446.40000000000003</v>
      </c>
      <c r="AM25" s="35">
        <f t="shared" si="12"/>
        <v>0.5090013487362931</v>
      </c>
      <c r="AN25" s="34">
        <f t="shared" si="13"/>
        <v>60.741479808853654</v>
      </c>
      <c r="AO25" s="104">
        <f t="shared" si="14"/>
        <v>35.049999999999997</v>
      </c>
      <c r="AP25" s="34">
        <f t="shared" si="15"/>
        <v>12736.091298145509</v>
      </c>
      <c r="AQ25"/>
      <c r="AR25" s="32" t="s">
        <v>33</v>
      </c>
      <c r="AS25" s="34">
        <v>450.29499999999996</v>
      </c>
      <c r="AT25" s="34">
        <v>382.41</v>
      </c>
      <c r="AU25" s="34">
        <v>387.32000000000005</v>
      </c>
      <c r="AV25" s="34">
        <v>432.97</v>
      </c>
      <c r="AW25" s="34">
        <v>413.24874999999997</v>
      </c>
    </row>
    <row r="26" spans="1:49" ht="14.5" x14ac:dyDescent="0.35">
      <c r="A26" s="62" t="s">
        <v>28</v>
      </c>
      <c r="B26" s="122" t="s">
        <v>28</v>
      </c>
      <c r="C26" s="62" t="s">
        <v>30</v>
      </c>
      <c r="D26" s="62">
        <v>4</v>
      </c>
      <c r="E26" s="62">
        <v>1</v>
      </c>
      <c r="F26" s="62">
        <v>14</v>
      </c>
      <c r="G26" s="62">
        <v>114</v>
      </c>
      <c r="H26" s="63">
        <v>25</v>
      </c>
      <c r="I26" s="88">
        <v>45985</v>
      </c>
      <c r="J26">
        <v>0.5</v>
      </c>
      <c r="K26" s="37">
        <v>778</v>
      </c>
      <c r="L26">
        <v>760</v>
      </c>
      <c r="M26" s="34">
        <v>135.21428571428601</v>
      </c>
      <c r="N26" s="34">
        <f t="shared" si="2"/>
        <v>624.78571428571399</v>
      </c>
      <c r="O26">
        <v>257.63</v>
      </c>
      <c r="P26">
        <v>749</v>
      </c>
      <c r="Q26" s="34">
        <f t="shared" si="3"/>
        <v>613.78571428571399</v>
      </c>
      <c r="R26">
        <v>271.47000000000003</v>
      </c>
      <c r="S26">
        <v>20</v>
      </c>
      <c r="T26">
        <v>6.04</v>
      </c>
      <c r="U26">
        <v>17.45</v>
      </c>
      <c r="V26">
        <v>30.7</v>
      </c>
      <c r="W26">
        <v>19</v>
      </c>
      <c r="X26">
        <v>24.86</v>
      </c>
      <c r="Y26">
        <v>200</v>
      </c>
      <c r="Z26">
        <v>6.54</v>
      </c>
      <c r="AA26">
        <f t="shared" si="4"/>
        <v>54.19</v>
      </c>
      <c r="AB26" s="35">
        <f t="shared" si="5"/>
        <v>2.8521052631578945</v>
      </c>
      <c r="AC26" s="151">
        <f t="shared" si="6"/>
        <v>1357.9514285714281</v>
      </c>
      <c r="AD26" s="35">
        <f t="shared" si="7"/>
        <v>0.11145967890754753</v>
      </c>
      <c r="AE26" s="35">
        <f>U26/AA26</f>
        <v>0.32201513194316295</v>
      </c>
      <c r="AF26" s="35">
        <f t="shared" si="9"/>
        <v>0.56652518914928951</v>
      </c>
      <c r="AG26" s="35">
        <f t="shared" si="10"/>
        <v>0.45875622808636279</v>
      </c>
      <c r="AH26" s="104">
        <f t="shared" si="0"/>
        <v>151.35683020061683</v>
      </c>
      <c r="AI26" s="104">
        <f t="shared" ref="AI26:AI33" si="17">$AC26*AE26</f>
        <v>437.28090844383502</v>
      </c>
      <c r="AJ26" s="104"/>
      <c r="AK26" s="104"/>
      <c r="AL26" s="151">
        <f t="shared" si="11"/>
        <v>564.98</v>
      </c>
      <c r="AM26" s="35">
        <f t="shared" si="12"/>
        <v>0.4160531725308923</v>
      </c>
      <c r="AN26" s="34">
        <f t="shared" si="13"/>
        <v>110.74409036214729</v>
      </c>
      <c r="AO26" s="104">
        <f t="shared" si="14"/>
        <v>32.700000000000003</v>
      </c>
      <c r="AP26" s="34">
        <f t="shared" si="15"/>
        <v>17277.675840978591</v>
      </c>
      <c r="AQ26"/>
      <c r="AR26" s="91" t="s">
        <v>35</v>
      </c>
      <c r="AS26" s="34">
        <v>387.5</v>
      </c>
      <c r="AT26" s="34">
        <v>341.26</v>
      </c>
      <c r="AU26" s="34">
        <v>333.04</v>
      </c>
      <c r="AV26" s="34">
        <v>460.38</v>
      </c>
      <c r="AW26" s="34">
        <v>380.54499999999996</v>
      </c>
    </row>
    <row r="27" spans="1:49" ht="14.5" x14ac:dyDescent="0.35">
      <c r="A27" s="62" t="s">
        <v>28</v>
      </c>
      <c r="B27" s="122" t="s">
        <v>28</v>
      </c>
      <c r="C27" s="62" t="s">
        <v>29</v>
      </c>
      <c r="D27" s="62">
        <v>4</v>
      </c>
      <c r="E27" s="62">
        <v>2</v>
      </c>
      <c r="F27" s="62">
        <v>14</v>
      </c>
      <c r="G27" s="62">
        <v>214</v>
      </c>
      <c r="H27" s="63">
        <v>26</v>
      </c>
      <c r="I27" s="88">
        <v>45985</v>
      </c>
      <c r="J27">
        <v>0.5</v>
      </c>
      <c r="K27" s="37">
        <v>682</v>
      </c>
      <c r="L27">
        <v>683</v>
      </c>
      <c r="M27" s="34">
        <v>135.21428571428601</v>
      </c>
      <c r="N27" s="34">
        <f t="shared" si="2"/>
        <v>547.78571428571399</v>
      </c>
      <c r="O27">
        <v>218.62</v>
      </c>
      <c r="P27">
        <v>628</v>
      </c>
      <c r="Q27" s="34">
        <f t="shared" si="3"/>
        <v>492.78571428571399</v>
      </c>
      <c r="R27">
        <v>211.86</v>
      </c>
      <c r="S27">
        <v>20</v>
      </c>
      <c r="T27">
        <v>9.07</v>
      </c>
      <c r="U27">
        <v>14.35</v>
      </c>
      <c r="V27">
        <v>31.87</v>
      </c>
      <c r="W27">
        <v>20</v>
      </c>
      <c r="X27">
        <v>23.52</v>
      </c>
      <c r="Y27">
        <v>200</v>
      </c>
      <c r="Z27">
        <v>5.39</v>
      </c>
      <c r="AA27">
        <f t="shared" si="4"/>
        <v>55.290000000000006</v>
      </c>
      <c r="AB27" s="35">
        <f t="shared" si="5"/>
        <v>2.7645000000000004</v>
      </c>
      <c r="AC27" s="151">
        <f t="shared" si="6"/>
        <v>1206.1514285714279</v>
      </c>
      <c r="AD27" s="35">
        <f t="shared" si="7"/>
        <v>0.16404413094592149</v>
      </c>
      <c r="AE27" s="35">
        <f t="shared" si="8"/>
        <v>0.25954060408753837</v>
      </c>
      <c r="AF27" s="35">
        <f t="shared" si="9"/>
        <v>0.57641526496654005</v>
      </c>
      <c r="AG27" s="35">
        <f t="shared" si="10"/>
        <v>0.42539338035811169</v>
      </c>
      <c r="AH27" s="104">
        <f t="shared" si="0"/>
        <v>197.8620628891816</v>
      </c>
      <c r="AI27" s="104">
        <f t="shared" si="17"/>
        <v>313.0452703924758</v>
      </c>
      <c r="AJ27" s="104">
        <f t="shared" ref="AJ27:AK33" si="18">$AC27*AF27</f>
        <v>695.24409528977048</v>
      </c>
      <c r="AK27" s="104">
        <f t="shared" si="18"/>
        <v>513.08883342376521</v>
      </c>
      <c r="AL27" s="151">
        <f t="shared" si="11"/>
        <v>484.28000000000003</v>
      </c>
      <c r="AM27" s="35">
        <f t="shared" si="12"/>
        <v>0.40150845783400829</v>
      </c>
      <c r="AN27" s="34">
        <f t="shared" si="13"/>
        <v>93.815753361998006</v>
      </c>
      <c r="AO27" s="104">
        <f t="shared" si="14"/>
        <v>26.95</v>
      </c>
      <c r="AP27" s="34">
        <f t="shared" si="15"/>
        <v>17969.573283859001</v>
      </c>
      <c r="AQ27"/>
      <c r="AR27" s="91" t="s">
        <v>34</v>
      </c>
      <c r="AS27" s="34">
        <v>468.65999999999997</v>
      </c>
      <c r="AT27" s="34">
        <v>401.46</v>
      </c>
      <c r="AU27" s="34">
        <v>355.82</v>
      </c>
      <c r="AV27" s="34">
        <v>437.84000000000003</v>
      </c>
      <c r="AW27" s="34">
        <v>415.94499999999994</v>
      </c>
    </row>
    <row r="28" spans="1:49" ht="14.5" x14ac:dyDescent="0.35">
      <c r="A28" s="62" t="s">
        <v>28</v>
      </c>
      <c r="B28" s="122" t="s">
        <v>28</v>
      </c>
      <c r="C28" s="62" t="s">
        <v>32</v>
      </c>
      <c r="D28" s="62">
        <v>4</v>
      </c>
      <c r="E28" s="62">
        <v>3</v>
      </c>
      <c r="F28" s="62">
        <v>14</v>
      </c>
      <c r="G28" s="62">
        <v>314</v>
      </c>
      <c r="H28" s="63">
        <v>27</v>
      </c>
      <c r="I28" s="88">
        <v>45985</v>
      </c>
      <c r="J28">
        <v>0.5</v>
      </c>
      <c r="K28" s="37">
        <v>639</v>
      </c>
      <c r="L28">
        <v>594</v>
      </c>
      <c r="M28" s="34">
        <v>135.21428571428601</v>
      </c>
      <c r="N28" s="34">
        <f t="shared" si="2"/>
        <v>458.78571428571399</v>
      </c>
      <c r="O28">
        <v>188.68</v>
      </c>
      <c r="P28">
        <v>551</v>
      </c>
      <c r="Q28" s="34">
        <f t="shared" si="3"/>
        <v>415.78571428571399</v>
      </c>
      <c r="R28">
        <v>183.84</v>
      </c>
      <c r="S28">
        <v>20</v>
      </c>
      <c r="T28">
        <v>6.72</v>
      </c>
      <c r="U28">
        <v>13.29</v>
      </c>
      <c r="V28">
        <v>25.07</v>
      </c>
      <c r="W28">
        <v>18</v>
      </c>
      <c r="X28">
        <v>20.03</v>
      </c>
      <c r="Y28">
        <v>200</v>
      </c>
      <c r="Z28">
        <v>6.98</v>
      </c>
      <c r="AA28">
        <f t="shared" si="4"/>
        <v>45.08</v>
      </c>
      <c r="AB28" s="35">
        <f t="shared" si="5"/>
        <v>2.5044444444444443</v>
      </c>
      <c r="AC28" s="151">
        <f t="shared" si="6"/>
        <v>1007.731428571428</v>
      </c>
      <c r="AD28" s="35">
        <f t="shared" si="7"/>
        <v>0.14906832298136646</v>
      </c>
      <c r="AE28" s="35">
        <f t="shared" si="8"/>
        <v>0.29480922803904169</v>
      </c>
      <c r="AF28" s="35">
        <f t="shared" si="9"/>
        <v>0.55612244897959184</v>
      </c>
      <c r="AG28" s="35">
        <f t="shared" si="10"/>
        <v>0.44432120674356701</v>
      </c>
      <c r="AH28" s="104">
        <f t="shared" si="0"/>
        <v>150.22083407275946</v>
      </c>
      <c r="AI28" s="104">
        <f t="shared" si="17"/>
        <v>297.08852452782338</v>
      </c>
      <c r="AJ28" s="104">
        <f t="shared" si="18"/>
        <v>560.4220699708452</v>
      </c>
      <c r="AK28" s="104">
        <f t="shared" si="18"/>
        <v>447.7564444162756</v>
      </c>
      <c r="AL28" s="151">
        <f t="shared" si="11"/>
        <v>417.42</v>
      </c>
      <c r="AM28" s="35">
        <f t="shared" si="12"/>
        <v>0.41421750693211939</v>
      </c>
      <c r="AN28" s="34">
        <f t="shared" si="13"/>
        <v>94.869620521517916</v>
      </c>
      <c r="AO28" s="104">
        <f t="shared" si="14"/>
        <v>34.9</v>
      </c>
      <c r="AP28" s="34">
        <f t="shared" si="15"/>
        <v>11960.458452722063</v>
      </c>
      <c r="AQ28"/>
      <c r="AR28" s="91" t="s">
        <v>29</v>
      </c>
      <c r="AS28" s="34">
        <v>446.40000000000003</v>
      </c>
      <c r="AT28" s="34">
        <v>373.96000000000004</v>
      </c>
      <c r="AU28" s="34">
        <v>461.6</v>
      </c>
      <c r="AV28" s="34">
        <v>393.6</v>
      </c>
      <c r="AW28" s="34">
        <v>418.89</v>
      </c>
    </row>
    <row r="29" spans="1:49" ht="14.5" x14ac:dyDescent="0.35">
      <c r="A29" s="62" t="s">
        <v>28</v>
      </c>
      <c r="B29" s="122" t="s">
        <v>28</v>
      </c>
      <c r="C29" s="62" t="s">
        <v>31</v>
      </c>
      <c r="D29" s="62">
        <v>4</v>
      </c>
      <c r="E29" s="62">
        <v>4</v>
      </c>
      <c r="F29" s="62">
        <v>14</v>
      </c>
      <c r="G29" s="62">
        <v>414</v>
      </c>
      <c r="H29" s="63">
        <v>28</v>
      </c>
      <c r="I29" s="88">
        <v>45985</v>
      </c>
      <c r="J29">
        <v>0.5</v>
      </c>
      <c r="K29" s="37">
        <v>679</v>
      </c>
      <c r="L29">
        <v>661</v>
      </c>
      <c r="M29" s="34">
        <v>135.21428571428601</v>
      </c>
      <c r="N29" s="34">
        <f t="shared" si="2"/>
        <v>525.78571428571399</v>
      </c>
      <c r="O29">
        <v>226.24</v>
      </c>
      <c r="P29">
        <v>567</v>
      </c>
      <c r="Q29" s="34">
        <f t="shared" si="3"/>
        <v>431.78571428571399</v>
      </c>
      <c r="R29">
        <v>196.9</v>
      </c>
      <c r="S29">
        <v>20</v>
      </c>
      <c r="T29">
        <v>8.19</v>
      </c>
      <c r="U29">
        <v>19.399999999999999</v>
      </c>
      <c r="V29">
        <v>38.43</v>
      </c>
      <c r="W29">
        <v>20</v>
      </c>
      <c r="X29">
        <v>29.52</v>
      </c>
      <c r="Y29">
        <v>200</v>
      </c>
      <c r="Z29">
        <v>6.5</v>
      </c>
      <c r="AA29">
        <f t="shared" si="4"/>
        <v>66.02</v>
      </c>
      <c r="AB29" s="35">
        <f t="shared" si="5"/>
        <v>3.3009999999999997</v>
      </c>
      <c r="AC29" s="151">
        <f t="shared" si="6"/>
        <v>1183.611428571428</v>
      </c>
      <c r="AD29" s="35">
        <f t="shared" si="7"/>
        <v>0.12405331717661315</v>
      </c>
      <c r="AE29" s="35">
        <f t="shared" si="8"/>
        <v>0.29385034837927898</v>
      </c>
      <c r="AF29" s="35">
        <f t="shared" si="9"/>
        <v>0.58209633444410791</v>
      </c>
      <c r="AG29" s="35">
        <f t="shared" si="10"/>
        <v>0.44713723114207815</v>
      </c>
      <c r="AH29" s="104">
        <f t="shared" si="0"/>
        <v>146.83092396243555</v>
      </c>
      <c r="AI29" s="104">
        <f t="shared" si="17"/>
        <v>347.80463063141019</v>
      </c>
      <c r="AJ29" s="104">
        <f t="shared" si="18"/>
        <v>688.9758739775823</v>
      </c>
      <c r="AK29" s="104">
        <f t="shared" si="18"/>
        <v>529.23673691954787</v>
      </c>
      <c r="AL29" s="151">
        <f t="shared" si="11"/>
        <v>511.52000000000004</v>
      </c>
      <c r="AM29" s="35">
        <f t="shared" si="12"/>
        <v>0.43216885850568748</v>
      </c>
      <c r="AN29" s="34">
        <f t="shared" si="13"/>
        <v>74.062942008486559</v>
      </c>
      <c r="AO29" s="104">
        <f t="shared" si="14"/>
        <v>32.5</v>
      </c>
      <c r="AP29" s="34">
        <f t="shared" si="15"/>
        <v>15739.076923076926</v>
      </c>
      <c r="AQ29"/>
      <c r="AR29" s="91" t="s">
        <v>30</v>
      </c>
      <c r="AS29" s="34">
        <v>498.62</v>
      </c>
      <c r="AT29" s="34">
        <v>412.96</v>
      </c>
      <c r="AU29" s="34">
        <v>398.82000000000005</v>
      </c>
      <c r="AV29" s="34">
        <v>440.06</v>
      </c>
      <c r="AW29" s="34">
        <v>437.61500000000001</v>
      </c>
    </row>
    <row r="30" spans="1:49" s="33" customFormat="1" ht="14.5" x14ac:dyDescent="0.35">
      <c r="A30" s="62" t="s">
        <v>33</v>
      </c>
      <c r="B30" s="122" t="s">
        <v>33</v>
      </c>
      <c r="C30" s="62" t="s">
        <v>35</v>
      </c>
      <c r="D30" s="62">
        <v>4</v>
      </c>
      <c r="E30" s="62">
        <v>4</v>
      </c>
      <c r="F30" s="62">
        <v>16</v>
      </c>
      <c r="G30" s="62">
        <v>416</v>
      </c>
      <c r="H30" s="63">
        <v>29</v>
      </c>
      <c r="I30" s="88">
        <v>45985</v>
      </c>
      <c r="J30">
        <v>0.5</v>
      </c>
      <c r="K30" s="37">
        <v>751</v>
      </c>
      <c r="L30" s="33">
        <v>690</v>
      </c>
      <c r="M30" s="34">
        <v>135.21428571428601</v>
      </c>
      <c r="N30" s="34">
        <f t="shared" si="2"/>
        <v>554.78571428571399</v>
      </c>
      <c r="O30" s="33">
        <v>209.71</v>
      </c>
      <c r="P30" s="33">
        <v>536</v>
      </c>
      <c r="Q30" s="34">
        <f t="shared" si="3"/>
        <v>400.78571428571399</v>
      </c>
      <c r="R30" s="33">
        <v>177.67</v>
      </c>
      <c r="S30">
        <v>20</v>
      </c>
      <c r="T30" s="33">
        <v>6.79</v>
      </c>
      <c r="U30" s="33">
        <v>16.13</v>
      </c>
      <c r="V30" s="33">
        <v>25.85</v>
      </c>
      <c r="W30" s="33">
        <v>16</v>
      </c>
      <c r="X30" s="33">
        <v>20.48</v>
      </c>
      <c r="Y30">
        <v>200</v>
      </c>
      <c r="Z30" s="33">
        <v>6.76</v>
      </c>
      <c r="AA30">
        <f t="shared" si="4"/>
        <v>48.769999999999996</v>
      </c>
      <c r="AB30" s="35">
        <f t="shared" si="5"/>
        <v>3.0481249999999998</v>
      </c>
      <c r="AC30" s="151">
        <f t="shared" si="6"/>
        <v>1207.111428571428</v>
      </c>
      <c r="AD30" s="35">
        <f t="shared" si="7"/>
        <v>0.13922493336067257</v>
      </c>
      <c r="AE30" s="35">
        <f t="shared" si="8"/>
        <v>0.3307361082632766</v>
      </c>
      <c r="AF30" s="35">
        <f t="shared" si="9"/>
        <v>0.53003895837605097</v>
      </c>
      <c r="AG30" s="35">
        <f t="shared" si="10"/>
        <v>0.41993028501127749</v>
      </c>
      <c r="AH30" s="104">
        <f t="shared" si="0"/>
        <v>168.06000820176331</v>
      </c>
      <c r="AI30" s="104">
        <f t="shared" si="17"/>
        <v>399.23533612583827</v>
      </c>
      <c r="AJ30" s="104">
        <f t="shared" si="18"/>
        <v>639.81608424382648</v>
      </c>
      <c r="AK30" s="104">
        <f t="shared" si="18"/>
        <v>506.90264624037007</v>
      </c>
      <c r="AL30" s="151">
        <f t="shared" si="11"/>
        <v>460.38</v>
      </c>
      <c r="AM30" s="35">
        <f t="shared" si="12"/>
        <v>0.38138981133236627</v>
      </c>
      <c r="AN30" s="34">
        <f t="shared" si="13"/>
        <v>69.443517238090678</v>
      </c>
      <c r="AO30" s="104">
        <f t="shared" si="14"/>
        <v>33.799999999999997</v>
      </c>
      <c r="AP30" s="34">
        <f t="shared" si="15"/>
        <v>13620.710059171599</v>
      </c>
    </row>
    <row r="31" spans="1:49" ht="14.5" x14ac:dyDescent="0.35">
      <c r="A31" s="62" t="s">
        <v>33</v>
      </c>
      <c r="B31" s="122" t="s">
        <v>33</v>
      </c>
      <c r="C31" s="62" t="s">
        <v>29</v>
      </c>
      <c r="D31" s="62">
        <v>4</v>
      </c>
      <c r="E31" s="62">
        <v>3</v>
      </c>
      <c r="F31" s="62">
        <v>16</v>
      </c>
      <c r="G31" s="62">
        <v>316</v>
      </c>
      <c r="H31" s="63">
        <v>30</v>
      </c>
      <c r="I31" s="88">
        <v>45985</v>
      </c>
      <c r="J31">
        <v>0.5</v>
      </c>
      <c r="K31" s="37">
        <v>529</v>
      </c>
      <c r="L31">
        <v>535</v>
      </c>
      <c r="M31" s="34">
        <v>135.21428571428601</v>
      </c>
      <c r="N31" s="34">
        <f t="shared" si="2"/>
        <v>399.78571428571399</v>
      </c>
      <c r="O31">
        <v>203.49</v>
      </c>
      <c r="P31">
        <v>489</v>
      </c>
      <c r="Q31" s="34">
        <f t="shared" si="3"/>
        <v>353.78571428571399</v>
      </c>
      <c r="R31">
        <v>182.23</v>
      </c>
      <c r="S31">
        <v>20</v>
      </c>
      <c r="T31">
        <v>6.53</v>
      </c>
      <c r="U31">
        <v>10.44</v>
      </c>
      <c r="V31">
        <v>34.950000000000003</v>
      </c>
      <c r="W31">
        <v>19</v>
      </c>
      <c r="X31">
        <v>27.31</v>
      </c>
      <c r="Y31">
        <v>200</v>
      </c>
      <c r="Z31">
        <v>7.26</v>
      </c>
      <c r="AA31">
        <f t="shared" si="4"/>
        <v>51.92</v>
      </c>
      <c r="AB31" s="35">
        <f t="shared" si="5"/>
        <v>2.7326315789473683</v>
      </c>
      <c r="AC31" s="151">
        <f t="shared" si="6"/>
        <v>903.41142857142802</v>
      </c>
      <c r="AD31" s="35">
        <f t="shared" si="7"/>
        <v>0.1257704160246533</v>
      </c>
      <c r="AE31" s="35">
        <f t="shared" si="8"/>
        <v>0.20107858243451462</v>
      </c>
      <c r="AF31" s="35">
        <f t="shared" si="9"/>
        <v>0.67315100154083207</v>
      </c>
      <c r="AG31" s="35">
        <f t="shared" si="10"/>
        <v>0.52600154083204931</v>
      </c>
      <c r="AH31" s="104">
        <f t="shared" si="0"/>
        <v>113.62243121285486</v>
      </c>
      <c r="AI31" s="104">
        <f t="shared" si="17"/>
        <v>181.6566894122825</v>
      </c>
      <c r="AJ31" s="104">
        <f t="shared" si="18"/>
        <v>608.13230794629067</v>
      </c>
      <c r="AK31" s="104">
        <f t="shared" si="18"/>
        <v>475.195803433854</v>
      </c>
      <c r="AL31" s="151">
        <f t="shared" si="11"/>
        <v>461.6</v>
      </c>
      <c r="AM31" s="35">
        <f t="shared" si="12"/>
        <v>0.51095213697919661</v>
      </c>
      <c r="AN31" s="34">
        <f t="shared" si="13"/>
        <v>79.104624305862671</v>
      </c>
      <c r="AO31" s="104">
        <f t="shared" si="14"/>
        <v>36.299999999999997</v>
      </c>
      <c r="AP31" s="34">
        <f t="shared" si="15"/>
        <v>12716.253443526171</v>
      </c>
      <c r="AQ31"/>
      <c r="AR31"/>
      <c r="AS31"/>
    </row>
    <row r="32" spans="1:49" ht="14.5" x14ac:dyDescent="0.35">
      <c r="A32" s="62" t="s">
        <v>33</v>
      </c>
      <c r="B32" s="122" t="s">
        <v>33</v>
      </c>
      <c r="C32" s="62" t="s">
        <v>34</v>
      </c>
      <c r="D32" s="62">
        <v>4</v>
      </c>
      <c r="E32" s="62">
        <v>2</v>
      </c>
      <c r="F32" s="62">
        <v>16</v>
      </c>
      <c r="G32" s="62">
        <v>216</v>
      </c>
      <c r="H32" s="63">
        <v>31</v>
      </c>
      <c r="I32" s="88">
        <v>45985</v>
      </c>
      <c r="J32">
        <v>0.5</v>
      </c>
      <c r="K32" s="37">
        <v>609</v>
      </c>
      <c r="L32">
        <v>559</v>
      </c>
      <c r="M32" s="34">
        <v>135.21428571428601</v>
      </c>
      <c r="N32" s="34">
        <f t="shared" si="2"/>
        <v>423.78571428571399</v>
      </c>
      <c r="O32">
        <v>178.41</v>
      </c>
      <c r="P32">
        <v>538</v>
      </c>
      <c r="Q32" s="34">
        <f t="shared" si="3"/>
        <v>402.78571428571399</v>
      </c>
      <c r="R32">
        <v>184.43</v>
      </c>
      <c r="S32">
        <v>20</v>
      </c>
      <c r="T32">
        <v>6.11</v>
      </c>
      <c r="U32">
        <v>16.649999999999999</v>
      </c>
      <c r="V32">
        <v>29.23</v>
      </c>
      <c r="W32">
        <v>16</v>
      </c>
      <c r="X32">
        <v>22.32</v>
      </c>
      <c r="Y32">
        <v>200</v>
      </c>
      <c r="Z32">
        <v>5.71</v>
      </c>
      <c r="AA32">
        <f t="shared" si="4"/>
        <v>51.989999999999995</v>
      </c>
      <c r="AB32" s="35">
        <f t="shared" si="5"/>
        <v>3.2493749999999997</v>
      </c>
      <c r="AC32" s="151">
        <f t="shared" si="6"/>
        <v>951.551428571428</v>
      </c>
      <c r="AD32" s="35">
        <f t="shared" si="7"/>
        <v>0.11752260050009619</v>
      </c>
      <c r="AE32" s="35">
        <f t="shared" si="8"/>
        <v>0.32025389497980383</v>
      </c>
      <c r="AF32" s="35">
        <f t="shared" si="9"/>
        <v>0.56222350452010006</v>
      </c>
      <c r="AG32" s="35">
        <f t="shared" si="10"/>
        <v>0.42931332948643974</v>
      </c>
      <c r="AH32" s="104">
        <f t="shared" si="0"/>
        <v>111.82879839529575</v>
      </c>
      <c r="AI32" s="104">
        <f t="shared" si="17"/>
        <v>304.7380512735964</v>
      </c>
      <c r="AJ32" s="104">
        <f t="shared" si="18"/>
        <v>534.98457890253587</v>
      </c>
      <c r="AK32" s="104">
        <f t="shared" si="18"/>
        <v>408.51371197757788</v>
      </c>
      <c r="AL32" s="151">
        <f t="shared" si="11"/>
        <v>401.46</v>
      </c>
      <c r="AM32" s="35">
        <f t="shared" si="12"/>
        <v>0.42190047531399871</v>
      </c>
      <c r="AN32" s="34">
        <f t="shared" si="13"/>
        <v>106.74850064458271</v>
      </c>
      <c r="AO32" s="104">
        <f t="shared" si="14"/>
        <v>28.55</v>
      </c>
      <c r="AP32" s="34">
        <f t="shared" si="15"/>
        <v>14061.646234676007</v>
      </c>
      <c r="AQ32"/>
      <c r="AR32"/>
      <c r="AS32"/>
    </row>
    <row r="33" spans="1:45" ht="14.5" x14ac:dyDescent="0.35">
      <c r="A33" s="62" t="s">
        <v>33</v>
      </c>
      <c r="B33" s="122" t="s">
        <v>33</v>
      </c>
      <c r="C33" s="62" t="s">
        <v>30</v>
      </c>
      <c r="D33" s="62">
        <v>4</v>
      </c>
      <c r="E33" s="62">
        <v>1</v>
      </c>
      <c r="F33" s="62">
        <v>16</v>
      </c>
      <c r="G33" s="62">
        <v>116</v>
      </c>
      <c r="H33" s="63">
        <v>32</v>
      </c>
      <c r="I33" s="88">
        <v>45985</v>
      </c>
      <c r="J33">
        <v>0.5</v>
      </c>
      <c r="K33" s="37">
        <v>660</v>
      </c>
      <c r="L33">
        <v>617</v>
      </c>
      <c r="M33" s="34">
        <v>135.21428571428601</v>
      </c>
      <c r="N33" s="34">
        <f t="shared" si="2"/>
        <v>481.78571428571399</v>
      </c>
      <c r="O33">
        <v>224.56</v>
      </c>
      <c r="P33">
        <v>507</v>
      </c>
      <c r="Q33" s="34">
        <f t="shared" si="3"/>
        <v>371.78571428571399</v>
      </c>
      <c r="R33">
        <v>187.42</v>
      </c>
      <c r="S33">
        <v>20</v>
      </c>
      <c r="T33">
        <v>5.77</v>
      </c>
      <c r="U33">
        <v>12.83</v>
      </c>
      <c r="V33">
        <v>32.020000000000003</v>
      </c>
      <c r="W33">
        <v>18</v>
      </c>
      <c r="X33">
        <v>24.75</v>
      </c>
      <c r="Y33">
        <v>200</v>
      </c>
      <c r="Z33">
        <v>7.19</v>
      </c>
      <c r="AA33">
        <f t="shared" si="4"/>
        <v>50.620000000000005</v>
      </c>
      <c r="AB33" s="35">
        <f t="shared" si="5"/>
        <v>2.8122222222222226</v>
      </c>
      <c r="AC33" s="151">
        <f t="shared" si="6"/>
        <v>1064.811428571428</v>
      </c>
      <c r="AD33" s="35">
        <f t="shared" si="7"/>
        <v>0.11398656657447648</v>
      </c>
      <c r="AE33" s="35">
        <f t="shared" si="8"/>
        <v>0.25345713156854993</v>
      </c>
      <c r="AF33" s="35">
        <f t="shared" si="9"/>
        <v>0.63255630185697354</v>
      </c>
      <c r="AG33" s="35">
        <f t="shared" si="10"/>
        <v>0.48893717898064004</v>
      </c>
      <c r="AH33" s="104">
        <f t="shared" si="0"/>
        <v>121.37419879212048</v>
      </c>
      <c r="AI33" s="104">
        <f t="shared" si="17"/>
        <v>269.88405034712406</v>
      </c>
      <c r="AJ33" s="104">
        <f t="shared" si="18"/>
        <v>673.55317943218347</v>
      </c>
      <c r="AK33" s="104">
        <f t="shared" si="18"/>
        <v>520.62589603205925</v>
      </c>
      <c r="AL33" s="151">
        <f t="shared" si="11"/>
        <v>498.62</v>
      </c>
      <c r="AM33" s="35">
        <f t="shared" si="12"/>
        <v>0.46827070655032171</v>
      </c>
      <c r="AN33" s="34">
        <f t="shared" si="13"/>
        <v>66.921980762379746</v>
      </c>
      <c r="AO33" s="104">
        <f t="shared" si="14"/>
        <v>35.950000000000003</v>
      </c>
      <c r="AP33" s="34">
        <f t="shared" si="15"/>
        <v>13869.81919332406</v>
      </c>
      <c r="AQ33"/>
      <c r="AR33"/>
      <c r="AS33"/>
    </row>
  </sheetData>
  <sortState xmlns:xlrd2="http://schemas.microsoft.com/office/spreadsheetml/2017/richdata2" ref="A2:H34">
    <sortCondition ref="A1:A34"/>
  </sortState>
  <pageMargins left="0.7" right="0.7" top="0.75" bottom="0.75" header="0.3" footer="0.3"/>
  <pageSetup paperSize="9" orientation="portrait" r:id="rId3"/>
  <legacy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DAA5-FADB-43F3-8F7E-E5D8B84132AF}">
  <dimension ref="A1:H33"/>
  <sheetViews>
    <sheetView workbookViewId="0">
      <selection activeCell="H1" sqref="H1"/>
    </sheetView>
  </sheetViews>
  <sheetFormatPr defaultRowHeight="14.5" x14ac:dyDescent="0.35"/>
  <cols>
    <col min="1" max="1" width="12.81640625" customWidth="1"/>
    <col min="2" max="2" width="16.54296875" customWidth="1"/>
    <col min="8" max="8" width="20" customWidth="1"/>
  </cols>
  <sheetData>
    <row r="1" spans="1:8" ht="29" x14ac:dyDescent="0.35">
      <c r="A1" s="61" t="s">
        <v>20</v>
      </c>
      <c r="B1" s="61" t="s">
        <v>21</v>
      </c>
      <c r="C1" s="61" t="s">
        <v>22</v>
      </c>
      <c r="D1" s="61" t="s">
        <v>23</v>
      </c>
      <c r="E1" s="61" t="s">
        <v>24</v>
      </c>
      <c r="F1" s="61" t="s">
        <v>25</v>
      </c>
      <c r="G1" s="10" t="s">
        <v>26</v>
      </c>
      <c r="H1" s="1" t="s">
        <v>592</v>
      </c>
    </row>
    <row r="2" spans="1:8" x14ac:dyDescent="0.35">
      <c r="A2" s="62" t="s">
        <v>28</v>
      </c>
      <c r="B2" s="62" t="s">
        <v>29</v>
      </c>
      <c r="C2" s="62">
        <v>1</v>
      </c>
      <c r="D2" s="62">
        <v>1</v>
      </c>
      <c r="E2" s="62">
        <v>2</v>
      </c>
      <c r="F2" s="62">
        <v>102</v>
      </c>
      <c r="G2" s="63">
        <v>1</v>
      </c>
    </row>
    <row r="3" spans="1:8" x14ac:dyDescent="0.35">
      <c r="A3" s="62" t="s">
        <v>28</v>
      </c>
      <c r="B3" s="62" t="s">
        <v>30</v>
      </c>
      <c r="C3" s="62">
        <v>1</v>
      </c>
      <c r="D3" s="62">
        <v>2</v>
      </c>
      <c r="E3" s="62">
        <v>2</v>
      </c>
      <c r="F3" s="62">
        <v>202</v>
      </c>
      <c r="G3" s="63">
        <v>2</v>
      </c>
    </row>
    <row r="4" spans="1:8" x14ac:dyDescent="0.35">
      <c r="A4" s="62" t="s">
        <v>28</v>
      </c>
      <c r="B4" s="62" t="s">
        <v>31</v>
      </c>
      <c r="C4" s="62">
        <v>1</v>
      </c>
      <c r="D4" s="62">
        <v>3</v>
      </c>
      <c r="E4" s="62">
        <v>2</v>
      </c>
      <c r="F4" s="62">
        <v>302</v>
      </c>
      <c r="G4" s="63">
        <v>3</v>
      </c>
    </row>
    <row r="5" spans="1:8" x14ac:dyDescent="0.35">
      <c r="A5" s="62" t="s">
        <v>28</v>
      </c>
      <c r="B5" s="62" t="s">
        <v>32</v>
      </c>
      <c r="C5" s="62">
        <v>1</v>
      </c>
      <c r="D5" s="62">
        <v>4</v>
      </c>
      <c r="E5" s="62">
        <v>2</v>
      </c>
      <c r="F5" s="62">
        <v>402</v>
      </c>
      <c r="G5" s="63">
        <v>4</v>
      </c>
    </row>
    <row r="6" spans="1:8" x14ac:dyDescent="0.35">
      <c r="A6" s="62" t="s">
        <v>33</v>
      </c>
      <c r="B6" s="62" t="s">
        <v>29</v>
      </c>
      <c r="C6" s="62">
        <v>1</v>
      </c>
      <c r="D6" s="62">
        <v>4</v>
      </c>
      <c r="E6" s="62">
        <v>4</v>
      </c>
      <c r="F6" s="62">
        <v>404</v>
      </c>
      <c r="G6" s="63">
        <v>5</v>
      </c>
    </row>
    <row r="7" spans="1:8" x14ac:dyDescent="0.35">
      <c r="A7" s="62" t="s">
        <v>33</v>
      </c>
      <c r="B7" s="62" t="s">
        <v>35</v>
      </c>
      <c r="C7" s="62">
        <v>1</v>
      </c>
      <c r="D7" s="62">
        <v>3</v>
      </c>
      <c r="E7" s="62">
        <v>4</v>
      </c>
      <c r="F7" s="62">
        <v>304</v>
      </c>
      <c r="G7" s="63">
        <v>6</v>
      </c>
    </row>
    <row r="8" spans="1:8" x14ac:dyDescent="0.35">
      <c r="A8" s="62" t="s">
        <v>33</v>
      </c>
      <c r="B8" s="62" t="s">
        <v>30</v>
      </c>
      <c r="C8" s="62">
        <v>1</v>
      </c>
      <c r="D8" s="62">
        <v>2</v>
      </c>
      <c r="E8" s="62">
        <v>4</v>
      </c>
      <c r="F8" s="62">
        <v>204</v>
      </c>
      <c r="G8" s="63">
        <v>7</v>
      </c>
    </row>
    <row r="9" spans="1:8" x14ac:dyDescent="0.35">
      <c r="A9" s="62" t="s">
        <v>33</v>
      </c>
      <c r="B9" s="62" t="s">
        <v>34</v>
      </c>
      <c r="C9" s="62">
        <v>1</v>
      </c>
      <c r="D9" s="62">
        <v>1</v>
      </c>
      <c r="E9" s="62">
        <v>4</v>
      </c>
      <c r="F9" s="62">
        <v>104</v>
      </c>
      <c r="G9" s="63">
        <v>8</v>
      </c>
    </row>
    <row r="10" spans="1:8" x14ac:dyDescent="0.35">
      <c r="A10" s="62" t="s">
        <v>28</v>
      </c>
      <c r="B10" s="62" t="s">
        <v>31</v>
      </c>
      <c r="C10" s="62">
        <v>2</v>
      </c>
      <c r="D10" s="62">
        <v>1</v>
      </c>
      <c r="E10" s="62">
        <v>6</v>
      </c>
      <c r="F10" s="62">
        <v>106</v>
      </c>
      <c r="G10" s="63">
        <v>9</v>
      </c>
    </row>
    <row r="11" spans="1:8" x14ac:dyDescent="0.35">
      <c r="A11" s="62" t="s">
        <v>28</v>
      </c>
      <c r="B11" s="62" t="s">
        <v>32</v>
      </c>
      <c r="C11" s="62">
        <v>2</v>
      </c>
      <c r="D11" s="62">
        <v>2</v>
      </c>
      <c r="E11" s="62">
        <v>6</v>
      </c>
      <c r="F11" s="62">
        <v>206</v>
      </c>
      <c r="G11" s="63">
        <v>10</v>
      </c>
    </row>
    <row r="12" spans="1:8" x14ac:dyDescent="0.35">
      <c r="A12" s="62" t="s">
        <v>28</v>
      </c>
      <c r="B12" s="62" t="s">
        <v>30</v>
      </c>
      <c r="C12" s="62">
        <v>2</v>
      </c>
      <c r="D12" s="62">
        <v>3</v>
      </c>
      <c r="E12" s="62">
        <v>6</v>
      </c>
      <c r="F12" s="62">
        <v>306</v>
      </c>
      <c r="G12" s="63">
        <v>11</v>
      </c>
    </row>
    <row r="13" spans="1:8" x14ac:dyDescent="0.35">
      <c r="A13" s="62" t="s">
        <v>28</v>
      </c>
      <c r="B13" s="62" t="s">
        <v>29</v>
      </c>
      <c r="C13" s="62">
        <v>2</v>
      </c>
      <c r="D13" s="62">
        <v>4</v>
      </c>
      <c r="E13" s="62">
        <v>6</v>
      </c>
      <c r="F13" s="62">
        <v>406</v>
      </c>
      <c r="G13" s="63">
        <v>12</v>
      </c>
    </row>
    <row r="14" spans="1:8" x14ac:dyDescent="0.35">
      <c r="A14" s="62" t="s">
        <v>33</v>
      </c>
      <c r="B14" s="62" t="s">
        <v>34</v>
      </c>
      <c r="C14" s="62">
        <v>2</v>
      </c>
      <c r="D14" s="62">
        <v>4</v>
      </c>
      <c r="E14" s="62">
        <v>8</v>
      </c>
      <c r="F14" s="62">
        <v>408</v>
      </c>
      <c r="G14" s="63">
        <v>13</v>
      </c>
    </row>
    <row r="15" spans="1:8" x14ac:dyDescent="0.35">
      <c r="A15" s="62" t="s">
        <v>33</v>
      </c>
      <c r="B15" s="62" t="s">
        <v>30</v>
      </c>
      <c r="C15" s="62">
        <v>2</v>
      </c>
      <c r="D15" s="62">
        <v>3</v>
      </c>
      <c r="E15" s="62">
        <v>8</v>
      </c>
      <c r="F15" s="62">
        <v>308</v>
      </c>
      <c r="G15" s="63">
        <v>14</v>
      </c>
    </row>
    <row r="16" spans="1:8" x14ac:dyDescent="0.35">
      <c r="A16" s="62" t="s">
        <v>33</v>
      </c>
      <c r="B16" s="62" t="s">
        <v>29</v>
      </c>
      <c r="C16" s="62">
        <v>2</v>
      </c>
      <c r="D16" s="62">
        <v>2</v>
      </c>
      <c r="E16" s="62">
        <v>8</v>
      </c>
      <c r="F16" s="62">
        <v>208</v>
      </c>
      <c r="G16" s="63">
        <v>15</v>
      </c>
    </row>
    <row r="17" spans="1:7" x14ac:dyDescent="0.35">
      <c r="A17" s="62" t="s">
        <v>33</v>
      </c>
      <c r="B17" s="62" t="s">
        <v>35</v>
      </c>
      <c r="C17" s="62">
        <v>2</v>
      </c>
      <c r="D17" s="62">
        <v>1</v>
      </c>
      <c r="E17" s="62">
        <v>8</v>
      </c>
      <c r="F17" s="62">
        <v>108</v>
      </c>
      <c r="G17" s="63">
        <v>16</v>
      </c>
    </row>
    <row r="18" spans="1:7" x14ac:dyDescent="0.35">
      <c r="A18" s="62" t="s">
        <v>28</v>
      </c>
      <c r="B18" s="62" t="s">
        <v>32</v>
      </c>
      <c r="C18" s="62">
        <v>3</v>
      </c>
      <c r="D18" s="62">
        <v>1</v>
      </c>
      <c r="E18" s="62">
        <v>10</v>
      </c>
      <c r="F18" s="62">
        <v>110</v>
      </c>
      <c r="G18" s="63">
        <v>17</v>
      </c>
    </row>
    <row r="19" spans="1:7" x14ac:dyDescent="0.35">
      <c r="A19" s="62" t="s">
        <v>28</v>
      </c>
      <c r="B19" s="62" t="s">
        <v>31</v>
      </c>
      <c r="C19" s="62">
        <v>3</v>
      </c>
      <c r="D19" s="62">
        <v>2</v>
      </c>
      <c r="E19" s="62">
        <v>10</v>
      </c>
      <c r="F19" s="62">
        <v>210</v>
      </c>
      <c r="G19" s="63">
        <v>18</v>
      </c>
    </row>
    <row r="20" spans="1:7" x14ac:dyDescent="0.35">
      <c r="A20" s="62" t="s">
        <v>28</v>
      </c>
      <c r="B20" s="62" t="s">
        <v>29</v>
      </c>
      <c r="C20" s="62">
        <v>3</v>
      </c>
      <c r="D20" s="62">
        <v>3</v>
      </c>
      <c r="E20" s="62">
        <v>10</v>
      </c>
      <c r="F20" s="62">
        <v>310</v>
      </c>
      <c r="G20" s="63">
        <v>19</v>
      </c>
    </row>
    <row r="21" spans="1:7" x14ac:dyDescent="0.35">
      <c r="A21" s="62" t="s">
        <v>28</v>
      </c>
      <c r="B21" s="62" t="s">
        <v>30</v>
      </c>
      <c r="C21" s="62">
        <v>3</v>
      </c>
      <c r="D21" s="62">
        <v>4</v>
      </c>
      <c r="E21" s="62">
        <v>10</v>
      </c>
      <c r="F21" s="62">
        <v>410</v>
      </c>
      <c r="G21" s="63">
        <v>20</v>
      </c>
    </row>
    <row r="22" spans="1:7" x14ac:dyDescent="0.35">
      <c r="A22" s="62" t="s">
        <v>33</v>
      </c>
      <c r="B22" s="62" t="s">
        <v>30</v>
      </c>
      <c r="C22" s="62">
        <v>3</v>
      </c>
      <c r="D22" s="62">
        <v>4</v>
      </c>
      <c r="E22" s="62">
        <v>12</v>
      </c>
      <c r="F22" s="62">
        <v>412</v>
      </c>
      <c r="G22" s="63">
        <v>21</v>
      </c>
    </row>
    <row r="23" spans="1:7" x14ac:dyDescent="0.35">
      <c r="A23" s="62" t="s">
        <v>33</v>
      </c>
      <c r="B23" s="62" t="s">
        <v>34</v>
      </c>
      <c r="C23" s="62">
        <v>3</v>
      </c>
      <c r="D23" s="62">
        <v>3</v>
      </c>
      <c r="E23" s="62">
        <v>12</v>
      </c>
      <c r="F23" s="62">
        <v>312</v>
      </c>
      <c r="G23" s="63">
        <v>22</v>
      </c>
    </row>
    <row r="24" spans="1:7" x14ac:dyDescent="0.35">
      <c r="A24" s="62" t="s">
        <v>33</v>
      </c>
      <c r="B24" s="62" t="s">
        <v>35</v>
      </c>
      <c r="C24" s="62">
        <v>3</v>
      </c>
      <c r="D24" s="62">
        <v>2</v>
      </c>
      <c r="E24" s="62">
        <v>12</v>
      </c>
      <c r="F24" s="62">
        <v>212</v>
      </c>
      <c r="G24" s="63">
        <v>23</v>
      </c>
    </row>
    <row r="25" spans="1:7" x14ac:dyDescent="0.35">
      <c r="A25" s="62" t="s">
        <v>33</v>
      </c>
      <c r="B25" s="62" t="s">
        <v>29</v>
      </c>
      <c r="C25" s="62">
        <v>3</v>
      </c>
      <c r="D25" s="62">
        <v>1</v>
      </c>
      <c r="E25" s="62">
        <v>12</v>
      </c>
      <c r="F25" s="62">
        <v>112</v>
      </c>
      <c r="G25" s="63">
        <v>24</v>
      </c>
    </row>
    <row r="26" spans="1:7" x14ac:dyDescent="0.35">
      <c r="A26" s="62" t="s">
        <v>28</v>
      </c>
      <c r="B26" s="62" t="s">
        <v>30</v>
      </c>
      <c r="C26" s="62">
        <v>4</v>
      </c>
      <c r="D26" s="62">
        <v>1</v>
      </c>
      <c r="E26" s="62">
        <v>14</v>
      </c>
      <c r="F26" s="62">
        <v>114</v>
      </c>
      <c r="G26" s="63">
        <v>25</v>
      </c>
    </row>
    <row r="27" spans="1:7" x14ac:dyDescent="0.35">
      <c r="A27" s="62" t="s">
        <v>28</v>
      </c>
      <c r="B27" s="62" t="s">
        <v>29</v>
      </c>
      <c r="C27" s="62">
        <v>4</v>
      </c>
      <c r="D27" s="62">
        <v>2</v>
      </c>
      <c r="E27" s="62">
        <v>14</v>
      </c>
      <c r="F27" s="62">
        <v>214</v>
      </c>
      <c r="G27" s="63">
        <v>26</v>
      </c>
    </row>
    <row r="28" spans="1:7" x14ac:dyDescent="0.35">
      <c r="A28" s="62" t="s">
        <v>28</v>
      </c>
      <c r="B28" s="62" t="s">
        <v>32</v>
      </c>
      <c r="C28" s="62">
        <v>4</v>
      </c>
      <c r="D28" s="62">
        <v>3</v>
      </c>
      <c r="E28" s="62">
        <v>14</v>
      </c>
      <c r="F28" s="62">
        <v>314</v>
      </c>
      <c r="G28" s="63">
        <v>27</v>
      </c>
    </row>
    <row r="29" spans="1:7" x14ac:dyDescent="0.35">
      <c r="A29" s="62" t="s">
        <v>28</v>
      </c>
      <c r="B29" s="62" t="s">
        <v>31</v>
      </c>
      <c r="C29" s="62">
        <v>4</v>
      </c>
      <c r="D29" s="62">
        <v>4</v>
      </c>
      <c r="E29" s="62">
        <v>14</v>
      </c>
      <c r="F29" s="62">
        <v>414</v>
      </c>
      <c r="G29" s="63">
        <v>28</v>
      </c>
    </row>
    <row r="30" spans="1:7" x14ac:dyDescent="0.35">
      <c r="A30" s="62" t="s">
        <v>33</v>
      </c>
      <c r="B30" s="62" t="s">
        <v>35</v>
      </c>
      <c r="C30" s="62">
        <v>4</v>
      </c>
      <c r="D30" s="62">
        <v>4</v>
      </c>
      <c r="E30" s="62">
        <v>16</v>
      </c>
      <c r="F30" s="62">
        <v>416</v>
      </c>
      <c r="G30" s="63">
        <v>29</v>
      </c>
    </row>
    <row r="31" spans="1:7" x14ac:dyDescent="0.35">
      <c r="A31" s="62" t="s">
        <v>33</v>
      </c>
      <c r="B31" s="62" t="s">
        <v>29</v>
      </c>
      <c r="C31" s="62">
        <v>4</v>
      </c>
      <c r="D31" s="62">
        <v>3</v>
      </c>
      <c r="E31" s="62">
        <v>16</v>
      </c>
      <c r="F31" s="62">
        <v>316</v>
      </c>
      <c r="G31" s="63">
        <v>30</v>
      </c>
    </row>
    <row r="32" spans="1:7" x14ac:dyDescent="0.35">
      <c r="A32" s="62" t="s">
        <v>33</v>
      </c>
      <c r="B32" s="62" t="s">
        <v>34</v>
      </c>
      <c r="C32" s="62">
        <v>4</v>
      </c>
      <c r="D32" s="62">
        <v>2</v>
      </c>
      <c r="E32" s="62">
        <v>16</v>
      </c>
      <c r="F32" s="62">
        <v>216</v>
      </c>
      <c r="G32" s="63">
        <v>31</v>
      </c>
    </row>
    <row r="33" spans="1:7" x14ac:dyDescent="0.35">
      <c r="A33" s="62" t="s">
        <v>33</v>
      </c>
      <c r="B33" s="62" t="s">
        <v>30</v>
      </c>
      <c r="C33" s="62">
        <v>4</v>
      </c>
      <c r="D33" s="62">
        <v>1</v>
      </c>
      <c r="E33" s="62">
        <v>16</v>
      </c>
      <c r="F33" s="62">
        <v>116</v>
      </c>
      <c r="G33" s="63">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f237d48f8fe8de6a2ae656e386233161">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084f2fc260468639ac304d44f69497d1"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2.xml><?xml version="1.0" encoding="utf-8"?>
<ds:datastoreItem xmlns:ds="http://schemas.openxmlformats.org/officeDocument/2006/customXml" ds:itemID="{B7C2D374-EE1C-4AA4-B86F-4ECABEF512F3}">
  <ds:schemaRefs>
    <ds:schemaRef ds:uri="e1075c0a-66fe-41b2-b9b9-96fab4c03331"/>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purl.org/dc/terms/"/>
    <ds:schemaRef ds:uri="7862ba92-1ed1-4299-8be4-2b023bdc0104"/>
    <ds:schemaRef ds:uri="http://www.w3.org/XML/1998/namespace"/>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37F96991-8549-46F5-850B-499782E737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Site</vt:lpstr>
      <vt:lpstr>Experiment</vt:lpstr>
      <vt:lpstr>Design</vt:lpstr>
      <vt:lpstr>Seed</vt:lpstr>
      <vt:lpstr>Plan</vt:lpstr>
      <vt:lpstr>Diary</vt:lpstr>
      <vt:lpstr>Management</vt:lpstr>
      <vt:lpstr>Measurements</vt:lpstr>
      <vt:lpstr>Emergence</vt:lpstr>
      <vt:lpstr>Population</vt:lpstr>
      <vt:lpstr>Tiller No</vt:lpstr>
      <vt:lpstr>Haun stage</vt:lpstr>
      <vt:lpstr>Leaf measurement</vt:lpstr>
      <vt:lpstr>Bare soil NDVI</vt:lpstr>
      <vt:lpstr>NDVI &amp; height</vt:lpstr>
      <vt:lpstr>PCDS 6.0 harvest</vt:lpstr>
      <vt:lpstr>PCDS 6.0</vt:lpstr>
      <vt:lpstr>PCDS 8.0</vt:lpstr>
      <vt:lpstr>Machine harvest</vt:lpstr>
      <vt:lpstr>PCDS 8.0 harvest</vt:lpstr>
      <vt:lpstr>Sterility measurement (frost)</vt:lpstr>
      <vt:lpstr>PCDS 10.0 harvest</vt:lpstr>
      <vt:lpstr>Pure seed harvest</vt:lpstr>
      <vt:lpstr>Emergence!Print_Area</vt:lpstr>
      <vt:lpstr>Emergence!Print_Titles</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James Hunt</cp:lastModifiedBy>
  <cp:revision/>
  <dcterms:created xsi:type="dcterms:W3CDTF">2023-06-06T01:52:09Z</dcterms:created>
  <dcterms:modified xsi:type="dcterms:W3CDTF">2026-03-27T06:14:03Z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