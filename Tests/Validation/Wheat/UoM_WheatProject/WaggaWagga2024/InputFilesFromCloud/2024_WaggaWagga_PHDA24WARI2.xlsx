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drawings/drawing2.xml" ContentType="application/vnd.openxmlformats-officedocument.drawing+xml"/>
  <Override PartName="/xl/comments9.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Cfleit\Downloads\"/>
    </mc:Choice>
  </mc:AlternateContent>
  <xr:revisionPtr revIDLastSave="0" documentId="13_ncr:1_{646E2A0B-7A7B-40FA-88EB-44A1CDA031DB}" xr6:coauthVersionLast="47" xr6:coauthVersionMax="47" xr10:uidLastSave="{00000000-0000-0000-0000-000000000000}"/>
  <bookViews>
    <workbookView xWindow="3285" yWindow="-11640" windowWidth="20730" windowHeight="11160" tabRatio="907" firstSheet="21" activeTab="25" xr2:uid="{663DA247-34AD-46E8-8C66-8FA926966295}"/>
  </bookViews>
  <sheets>
    <sheet name="Design" sheetId="8" r:id="rId1"/>
    <sheet name="Site" sheetId="1" r:id="rId2"/>
    <sheet name="Experiment" sheetId="2" r:id="rId3"/>
    <sheet name="Plan" sheetId="12" r:id="rId4"/>
    <sheet name="Diary" sheetId="4" r:id="rId5"/>
    <sheet name="Seed" sheetId="13" r:id="rId6"/>
    <sheet name="Management" sheetId="10" r:id="rId7"/>
    <sheet name="Measurements" sheetId="5" r:id="rId8"/>
    <sheet name="Irrigation" sheetId="35" r:id="rId9"/>
    <sheet name="Soil sampling" sheetId="34" r:id="rId10"/>
    <sheet name="Predicta B" sheetId="15" r:id="rId11"/>
    <sheet name="Weather" sheetId="11" r:id="rId12"/>
    <sheet name="Emergence" sheetId="14" r:id="rId13"/>
    <sheet name="GravimetricMoistureNearSowing" sheetId="37" r:id="rId14"/>
    <sheet name="Population" sheetId="16" r:id="rId15"/>
    <sheet name="Bare soil NDVI" sheetId="18" r:id="rId16"/>
    <sheet name="NDVI &amp; height" sheetId="17" r:id="rId17"/>
    <sheet name="Canopy Height" sheetId="38" r:id="rId18"/>
    <sheet name="Haun stage " sheetId="19" r:id="rId19"/>
    <sheet name="Leaf angle measurement" sheetId="39" r:id="rId20"/>
    <sheet name="Tiller No" sheetId="36" r:id="rId21"/>
    <sheet name="Leaf measurement" sheetId="30" r:id="rId22"/>
    <sheet name="PCDS 6.0" sheetId="21" r:id="rId23"/>
    <sheet name="PCDS 6.0 harvest" sheetId="24" r:id="rId24"/>
    <sheet name="PCDS 8.0" sheetId="23" r:id="rId25"/>
    <sheet name="PCDS 8.0 harvest" sheetId="25" r:id="rId26"/>
    <sheet name="Sterility measurement (frost)" sheetId="22" r:id="rId27"/>
    <sheet name="PCDS 10.0 harvest" sheetId="26" r:id="rId28"/>
    <sheet name="Machine harvest" sheetId="28" r:id="rId29"/>
  </sheets>
  <definedNames>
    <definedName name="_xlnm._FilterDatabase" localSheetId="17" hidden="1">'Canopy Height'!$A$1:$M$961</definedName>
    <definedName name="_xlnm._FilterDatabase" localSheetId="2" hidden="1">Experiment!$B$8:$F$24</definedName>
    <definedName name="_xlnm._FilterDatabase" localSheetId="18" hidden="1">'Haun stage '!$A$1:$L$2305</definedName>
    <definedName name="_xlnm._FilterDatabase" localSheetId="22" hidden="1">'PCDS 6.0'!$A$1:$O$577</definedName>
    <definedName name="_xlnm._FilterDatabase" localSheetId="23" hidden="1">'PCDS 6.0 harvest'!$B$1:$BT$65</definedName>
    <definedName name="_xlnm._FilterDatabase" localSheetId="24" hidden="1">'PCDS 8.0'!$A$1:$U$577</definedName>
    <definedName name="_xlnm._FilterDatabase" localSheetId="14" hidden="1">Population!$A$1:$T$1</definedName>
    <definedName name="_xlnm.Print_Area" localSheetId="3">Plan!#REF!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7" i="26" l="1"/>
  <c r="AR3" i="26"/>
  <c r="AR4" i="26"/>
  <c r="AR5" i="26"/>
  <c r="AR6" i="26"/>
  <c r="AR8" i="26"/>
  <c r="AR9" i="26"/>
  <c r="AR10" i="26"/>
  <c r="AR11" i="26"/>
  <c r="AR12" i="26"/>
  <c r="AR13" i="26"/>
  <c r="AR14" i="26"/>
  <c r="AR15" i="26"/>
  <c r="AR16" i="26"/>
  <c r="AR17" i="26"/>
  <c r="AR18" i="26"/>
  <c r="AR19" i="26"/>
  <c r="AR20" i="26"/>
  <c r="AR21" i="26"/>
  <c r="AR22" i="26"/>
  <c r="AR23" i="26"/>
  <c r="AR24" i="26"/>
  <c r="AR25" i="26"/>
  <c r="AR26" i="26"/>
  <c r="AR27" i="26"/>
  <c r="AR28" i="26"/>
  <c r="AR29" i="26"/>
  <c r="AR30" i="26"/>
  <c r="AR31" i="26"/>
  <c r="AR32" i="26"/>
  <c r="AR33" i="26"/>
  <c r="AR34" i="26"/>
  <c r="AR35" i="26"/>
  <c r="AR36" i="26"/>
  <c r="AR37" i="26"/>
  <c r="AR38" i="26"/>
  <c r="AR39" i="26"/>
  <c r="AR40" i="26"/>
  <c r="AR41" i="26"/>
  <c r="AR42" i="26"/>
  <c r="AR43" i="26"/>
  <c r="AR44" i="26"/>
  <c r="AR45" i="26"/>
  <c r="AR46" i="26"/>
  <c r="AR47" i="26"/>
  <c r="AR48" i="26"/>
  <c r="AR49" i="26"/>
  <c r="AR50" i="26"/>
  <c r="AR51" i="26"/>
  <c r="AR52" i="26"/>
  <c r="AR53" i="26"/>
  <c r="AR54" i="26"/>
  <c r="AR55" i="26"/>
  <c r="AR56" i="26"/>
  <c r="AR57" i="26"/>
  <c r="AR58" i="26"/>
  <c r="AR59" i="26"/>
  <c r="AR60" i="26"/>
  <c r="AR61" i="26"/>
  <c r="AR62" i="26"/>
  <c r="AR63" i="26"/>
  <c r="AR64" i="26"/>
  <c r="AR65" i="26"/>
  <c r="AR2" i="26"/>
  <c r="AU2" i="26"/>
  <c r="W3" i="39"/>
  <c r="W4" i="39"/>
  <c r="W5" i="39"/>
  <c r="W6" i="39"/>
  <c r="W7" i="39"/>
  <c r="W8" i="39"/>
  <c r="W9" i="39"/>
  <c r="W10" i="39"/>
  <c r="W11" i="39"/>
  <c r="W12" i="39"/>
  <c r="W13" i="39"/>
  <c r="W14" i="39"/>
  <c r="W15" i="39"/>
  <c r="W16" i="39"/>
  <c r="W17" i="39"/>
  <c r="W18" i="39"/>
  <c r="W19" i="39"/>
  <c r="W20" i="39"/>
  <c r="W21" i="39"/>
  <c r="W22" i="39"/>
  <c r="W23" i="39"/>
  <c r="W24" i="39"/>
  <c r="W25" i="39"/>
  <c r="W26" i="39"/>
  <c r="W27" i="39"/>
  <c r="W28" i="39"/>
  <c r="W29" i="39"/>
  <c r="W30" i="39"/>
  <c r="W31" i="39"/>
  <c r="W32" i="39"/>
  <c r="W33" i="39"/>
  <c r="W34" i="39"/>
  <c r="W35" i="39"/>
  <c r="W36" i="39"/>
  <c r="W37" i="39"/>
  <c r="W38" i="39"/>
  <c r="W39" i="39"/>
  <c r="W40" i="39"/>
  <c r="W41" i="39"/>
  <c r="W42" i="39"/>
  <c r="W43" i="39"/>
  <c r="W44" i="39"/>
  <c r="W45" i="39"/>
  <c r="W46" i="39"/>
  <c r="W47" i="39"/>
  <c r="W48" i="39"/>
  <c r="W49" i="39"/>
  <c r="W50" i="39"/>
  <c r="W51" i="39"/>
  <c r="W52" i="39"/>
  <c r="W53" i="39"/>
  <c r="W54" i="39"/>
  <c r="W55" i="39"/>
  <c r="W56" i="39"/>
  <c r="W57" i="39"/>
  <c r="W58" i="39"/>
  <c r="W59" i="39"/>
  <c r="W60" i="39"/>
  <c r="W61" i="39"/>
  <c r="W62" i="39"/>
  <c r="W63" i="39"/>
  <c r="W64" i="39"/>
  <c r="W65" i="39"/>
  <c r="W2" i="39"/>
  <c r="V3" i="39"/>
  <c r="V4" i="39"/>
  <c r="V5" i="39"/>
  <c r="V6" i="39"/>
  <c r="V7" i="39"/>
  <c r="V8" i="39"/>
  <c r="V9" i="39"/>
  <c r="V10" i="39"/>
  <c r="V11" i="39"/>
  <c r="V12" i="39"/>
  <c r="V13" i="39"/>
  <c r="V14" i="39"/>
  <c r="V15" i="39"/>
  <c r="V16" i="39"/>
  <c r="V17" i="39"/>
  <c r="V18" i="39"/>
  <c r="V19" i="39"/>
  <c r="V20" i="39"/>
  <c r="V21" i="39"/>
  <c r="V22" i="39"/>
  <c r="V23" i="39"/>
  <c r="V24" i="39"/>
  <c r="V25" i="39"/>
  <c r="V26" i="39"/>
  <c r="V27" i="39"/>
  <c r="V28" i="39"/>
  <c r="V29" i="39"/>
  <c r="V30" i="39"/>
  <c r="V31" i="39"/>
  <c r="V32" i="39"/>
  <c r="V33" i="39"/>
  <c r="V34" i="39"/>
  <c r="V35" i="39"/>
  <c r="V36" i="39"/>
  <c r="V37" i="39"/>
  <c r="V38" i="39"/>
  <c r="V39" i="39"/>
  <c r="V40" i="39"/>
  <c r="V41" i="39"/>
  <c r="V42" i="39"/>
  <c r="V43" i="39"/>
  <c r="V44" i="39"/>
  <c r="V45" i="39"/>
  <c r="V46" i="39"/>
  <c r="V47" i="39"/>
  <c r="V48" i="39"/>
  <c r="V49" i="39"/>
  <c r="V50" i="39"/>
  <c r="V51" i="39"/>
  <c r="V52" i="39"/>
  <c r="V53" i="39"/>
  <c r="V54" i="39"/>
  <c r="V55" i="39"/>
  <c r="V56" i="39"/>
  <c r="V57" i="39"/>
  <c r="V58" i="39"/>
  <c r="V59" i="39"/>
  <c r="V60" i="39"/>
  <c r="V61" i="39"/>
  <c r="V62" i="39"/>
  <c r="V63" i="39"/>
  <c r="V64" i="39"/>
  <c r="V65" i="39"/>
  <c r="V2" i="39"/>
  <c r="U3" i="39"/>
  <c r="U4" i="39"/>
  <c r="U5" i="39"/>
  <c r="U6" i="39"/>
  <c r="U7" i="39"/>
  <c r="U8" i="39"/>
  <c r="U9" i="39"/>
  <c r="U10" i="39"/>
  <c r="U11" i="39"/>
  <c r="U12" i="39"/>
  <c r="U13" i="39"/>
  <c r="U14" i="39"/>
  <c r="U15" i="39"/>
  <c r="U16" i="39"/>
  <c r="U17" i="39"/>
  <c r="U18" i="39"/>
  <c r="U19" i="39"/>
  <c r="U20" i="39"/>
  <c r="U21" i="39"/>
  <c r="U22" i="39"/>
  <c r="U23" i="39"/>
  <c r="U24" i="39"/>
  <c r="U25" i="39"/>
  <c r="U26" i="39"/>
  <c r="U27" i="39"/>
  <c r="U28" i="39"/>
  <c r="U29" i="39"/>
  <c r="U30" i="39"/>
  <c r="U31" i="39"/>
  <c r="U32" i="39"/>
  <c r="U33" i="39"/>
  <c r="U34" i="39"/>
  <c r="U35" i="39"/>
  <c r="U36" i="39"/>
  <c r="U37" i="39"/>
  <c r="U38" i="39"/>
  <c r="U39" i="39"/>
  <c r="U40" i="39"/>
  <c r="U41" i="39"/>
  <c r="U42" i="39"/>
  <c r="U43" i="39"/>
  <c r="U44" i="39"/>
  <c r="U45" i="39"/>
  <c r="U46" i="39"/>
  <c r="U47" i="39"/>
  <c r="U48" i="39"/>
  <c r="U49" i="39"/>
  <c r="U50" i="39"/>
  <c r="U51" i="39"/>
  <c r="U52" i="39"/>
  <c r="U53" i="39"/>
  <c r="U54" i="39"/>
  <c r="U55" i="39"/>
  <c r="U56" i="39"/>
  <c r="U57" i="39"/>
  <c r="U58" i="39"/>
  <c r="U59" i="39"/>
  <c r="U60" i="39"/>
  <c r="U61" i="39"/>
  <c r="U62" i="39"/>
  <c r="U63" i="39"/>
  <c r="U64" i="39"/>
  <c r="U65" i="39"/>
  <c r="U2" i="39"/>
  <c r="AU3" i="26" l="1"/>
  <c r="AU4" i="26"/>
  <c r="AU5" i="26"/>
  <c r="AU6" i="26"/>
  <c r="AU7" i="26"/>
  <c r="AU8" i="26"/>
  <c r="AU9" i="26"/>
  <c r="AU10" i="26"/>
  <c r="AU11" i="26"/>
  <c r="AU12" i="26"/>
  <c r="AU13" i="26"/>
  <c r="AU14" i="26"/>
  <c r="AU15" i="26"/>
  <c r="AU16" i="26"/>
  <c r="AU17" i="26"/>
  <c r="AU18" i="26"/>
  <c r="AU19" i="26"/>
  <c r="AU20" i="26"/>
  <c r="AU21" i="26"/>
  <c r="AU22" i="26"/>
  <c r="AU23" i="26"/>
  <c r="AU24" i="26"/>
  <c r="AU25" i="26"/>
  <c r="AU26" i="26"/>
  <c r="AU27" i="26"/>
  <c r="AU28" i="26"/>
  <c r="AU29" i="26"/>
  <c r="AU30" i="26"/>
  <c r="AU31" i="26"/>
  <c r="AU32" i="26"/>
  <c r="AU33" i="26"/>
  <c r="AU34" i="26"/>
  <c r="AU35" i="26"/>
  <c r="AU36" i="26"/>
  <c r="AU37" i="26"/>
  <c r="AU38" i="26"/>
  <c r="AU39" i="26"/>
  <c r="AU40" i="26"/>
  <c r="AU41" i="26"/>
  <c r="AU42" i="26"/>
  <c r="AU43" i="26"/>
  <c r="AU44" i="26"/>
  <c r="AU45" i="26"/>
  <c r="AU46" i="26"/>
  <c r="AU47" i="26"/>
  <c r="AU48" i="26"/>
  <c r="AU49" i="26"/>
  <c r="AU50" i="26"/>
  <c r="AU51" i="26"/>
  <c r="AU52" i="26"/>
  <c r="AU53" i="26"/>
  <c r="AU54" i="26"/>
  <c r="AU55" i="26"/>
  <c r="AU56" i="26"/>
  <c r="AU57" i="26"/>
  <c r="AU58" i="26"/>
  <c r="AU59" i="26"/>
  <c r="AU60" i="26"/>
  <c r="AU61" i="26"/>
  <c r="AU62" i="26"/>
  <c r="AU63" i="26"/>
  <c r="AU64" i="26"/>
  <c r="AU65" i="26"/>
  <c r="AT3" i="26"/>
  <c r="AT4" i="26"/>
  <c r="AT5" i="26"/>
  <c r="AT6" i="26"/>
  <c r="AT7" i="26"/>
  <c r="AT8" i="26"/>
  <c r="AT9" i="26"/>
  <c r="AT10" i="26"/>
  <c r="AT11" i="26"/>
  <c r="AT12" i="26"/>
  <c r="AT13" i="26"/>
  <c r="AT14" i="26"/>
  <c r="AT15" i="26"/>
  <c r="AT16" i="26"/>
  <c r="AT17" i="26"/>
  <c r="AT18" i="26"/>
  <c r="AT19" i="26"/>
  <c r="AT20" i="26"/>
  <c r="AT21" i="26"/>
  <c r="AT22" i="26"/>
  <c r="AT23" i="26"/>
  <c r="AT24" i="26"/>
  <c r="AT25" i="26"/>
  <c r="AT26" i="26"/>
  <c r="AT27" i="26"/>
  <c r="AT28" i="26"/>
  <c r="AT29" i="26"/>
  <c r="AT30" i="26"/>
  <c r="AT31" i="26"/>
  <c r="AT32" i="26"/>
  <c r="AT33" i="26"/>
  <c r="AT34" i="26"/>
  <c r="AT35" i="26"/>
  <c r="AT36" i="26"/>
  <c r="AT37" i="26"/>
  <c r="AT38" i="26"/>
  <c r="AT39" i="26"/>
  <c r="AT40" i="26"/>
  <c r="AT41" i="26"/>
  <c r="AT42" i="26"/>
  <c r="AT43" i="26"/>
  <c r="AT44" i="26"/>
  <c r="AT45" i="26"/>
  <c r="AT46" i="26"/>
  <c r="AT47" i="26"/>
  <c r="AT48" i="26"/>
  <c r="AT50" i="26"/>
  <c r="AT51" i="26"/>
  <c r="AT52" i="26"/>
  <c r="AT53" i="26"/>
  <c r="AT54" i="26"/>
  <c r="AT55" i="26"/>
  <c r="AT56" i="26"/>
  <c r="AT57" i="26"/>
  <c r="AT58" i="26"/>
  <c r="AT59" i="26"/>
  <c r="AT60" i="26"/>
  <c r="AT61" i="26"/>
  <c r="AT62" i="26"/>
  <c r="AT63" i="26"/>
  <c r="AT64" i="26"/>
  <c r="AT65" i="26"/>
  <c r="AT2" i="26"/>
  <c r="AS13" i="26"/>
  <c r="AS14" i="26"/>
  <c r="AS15" i="26"/>
  <c r="AS16" i="26"/>
  <c r="AS17" i="26"/>
  <c r="AS18" i="26"/>
  <c r="AS19" i="26"/>
  <c r="AS20" i="26"/>
  <c r="AS21" i="26"/>
  <c r="AS22" i="26"/>
  <c r="AS23" i="26"/>
  <c r="AS24" i="26"/>
  <c r="AS25" i="26"/>
  <c r="AS26" i="26"/>
  <c r="AS27" i="26"/>
  <c r="AS28" i="26"/>
  <c r="AS29" i="26"/>
  <c r="AS30" i="26"/>
  <c r="AS31" i="26"/>
  <c r="AS32" i="26"/>
  <c r="AS33" i="26"/>
  <c r="AS34" i="26"/>
  <c r="AS35" i="26"/>
  <c r="AS36" i="26"/>
  <c r="AS37" i="26"/>
  <c r="AS38" i="26"/>
  <c r="AS39" i="26"/>
  <c r="AS40" i="26"/>
  <c r="AS41" i="26"/>
  <c r="AS42" i="26"/>
  <c r="AS43" i="26"/>
  <c r="AS44" i="26"/>
  <c r="AS45" i="26"/>
  <c r="AS46" i="26"/>
  <c r="AS47" i="26"/>
  <c r="AS48" i="26"/>
  <c r="AS50" i="26"/>
  <c r="AS51" i="26"/>
  <c r="AS52" i="26"/>
  <c r="AS53" i="26"/>
  <c r="AS54" i="26"/>
  <c r="AS55" i="26"/>
  <c r="AS56" i="26"/>
  <c r="AS57" i="26"/>
  <c r="AS58" i="26"/>
  <c r="AS59" i="26"/>
  <c r="AS60" i="26"/>
  <c r="AS61" i="26"/>
  <c r="AS62" i="26"/>
  <c r="AS63" i="26"/>
  <c r="AS64" i="26"/>
  <c r="AS65" i="26"/>
  <c r="AS6" i="26"/>
  <c r="AS3" i="26"/>
  <c r="AS4" i="26"/>
  <c r="AS5" i="26"/>
  <c r="AS7" i="26"/>
  <c r="AS8" i="26"/>
  <c r="AS9" i="26"/>
  <c r="AS10" i="26"/>
  <c r="AS11" i="26"/>
  <c r="AS12" i="26"/>
  <c r="AS2" i="26"/>
  <c r="T2" i="26"/>
  <c r="AF3" i="26"/>
  <c r="AF4" i="26"/>
  <c r="AF5" i="26"/>
  <c r="AF6" i="26"/>
  <c r="AF7" i="26"/>
  <c r="AF8" i="26"/>
  <c r="AF9" i="26"/>
  <c r="AF10" i="26"/>
  <c r="AF11" i="26"/>
  <c r="AF12" i="26"/>
  <c r="AF13" i="26"/>
  <c r="AF14" i="26"/>
  <c r="AF15" i="26"/>
  <c r="AF16" i="26"/>
  <c r="AF17" i="26"/>
  <c r="AF18" i="26"/>
  <c r="AF19" i="26"/>
  <c r="AF20" i="26"/>
  <c r="AF21" i="26"/>
  <c r="AF22" i="26"/>
  <c r="AF23" i="26"/>
  <c r="AF24" i="26"/>
  <c r="AF25" i="26"/>
  <c r="AF26" i="26"/>
  <c r="AF27" i="26"/>
  <c r="AF28" i="26"/>
  <c r="AF29" i="26"/>
  <c r="AF30" i="26"/>
  <c r="AF31" i="26"/>
  <c r="AF32" i="26"/>
  <c r="AF33" i="26"/>
  <c r="AF34" i="26"/>
  <c r="AF35" i="26"/>
  <c r="AF36" i="26"/>
  <c r="AF37" i="26"/>
  <c r="AF38" i="26"/>
  <c r="AF39" i="26"/>
  <c r="AF40" i="26"/>
  <c r="AF41" i="26"/>
  <c r="AF42" i="26"/>
  <c r="AF43" i="26"/>
  <c r="AF44" i="26"/>
  <c r="AF45" i="26"/>
  <c r="AF46" i="26"/>
  <c r="AF47" i="26"/>
  <c r="AF48" i="26"/>
  <c r="AF50" i="26"/>
  <c r="AF51" i="26"/>
  <c r="AF52" i="26"/>
  <c r="AF53" i="26"/>
  <c r="AF54" i="26"/>
  <c r="AF55" i="26"/>
  <c r="AF56" i="26"/>
  <c r="AF57" i="26"/>
  <c r="AF58" i="26"/>
  <c r="AF59" i="26"/>
  <c r="AF60" i="26"/>
  <c r="AF61" i="26"/>
  <c r="AF62" i="26"/>
  <c r="AF63" i="26"/>
  <c r="AF64" i="26"/>
  <c r="AF65" i="26"/>
  <c r="AF2" i="26"/>
  <c r="T3" i="26"/>
  <c r="T4" i="26"/>
  <c r="T5" i="26"/>
  <c r="T6" i="26"/>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T41" i="26"/>
  <c r="T42" i="26"/>
  <c r="T43" i="26"/>
  <c r="T44" i="26"/>
  <c r="T45" i="26"/>
  <c r="T46" i="26"/>
  <c r="T47" i="26"/>
  <c r="T48" i="26"/>
  <c r="T50" i="26"/>
  <c r="T51" i="26"/>
  <c r="T52" i="26"/>
  <c r="T53" i="26"/>
  <c r="T54" i="26"/>
  <c r="T55" i="26"/>
  <c r="T56" i="26"/>
  <c r="T57" i="26"/>
  <c r="T58" i="26"/>
  <c r="T59" i="26"/>
  <c r="T60" i="26"/>
  <c r="T61" i="26"/>
  <c r="T62" i="26"/>
  <c r="T63" i="26"/>
  <c r="T64" i="26"/>
  <c r="T65" i="26"/>
  <c r="U2" i="26"/>
  <c r="U3" i="26"/>
  <c r="AD3" i="26"/>
  <c r="AH3" i="26" s="1"/>
  <c r="AD4" i="26"/>
  <c r="AH4" i="26" s="1"/>
  <c r="AD5" i="26"/>
  <c r="AI5" i="26" s="1"/>
  <c r="AD6" i="26"/>
  <c r="AG6" i="26" s="1"/>
  <c r="AD7" i="26"/>
  <c r="AH7" i="26" s="1"/>
  <c r="AD8" i="26"/>
  <c r="AH8" i="26" s="1"/>
  <c r="AD9" i="26"/>
  <c r="AI9" i="26" s="1"/>
  <c r="AD10" i="26"/>
  <c r="AE10" i="26" s="1"/>
  <c r="AD11" i="26"/>
  <c r="AG11" i="26" s="1"/>
  <c r="AD12" i="26"/>
  <c r="AI12" i="26" s="1"/>
  <c r="AD13" i="26"/>
  <c r="AJ13" i="26" s="1"/>
  <c r="AD14" i="26"/>
  <c r="AG14" i="26" s="1"/>
  <c r="AD15" i="26"/>
  <c r="AH15" i="26" s="1"/>
  <c r="AD16" i="26"/>
  <c r="AH16" i="26" s="1"/>
  <c r="AD17" i="26"/>
  <c r="AH17" i="26" s="1"/>
  <c r="AD18" i="26"/>
  <c r="AH18" i="26" s="1"/>
  <c r="AD19" i="26"/>
  <c r="AH19" i="26" s="1"/>
  <c r="AD20" i="26"/>
  <c r="AD21" i="26"/>
  <c r="AH21" i="26" s="1"/>
  <c r="AD22" i="26"/>
  <c r="AH22" i="26" s="1"/>
  <c r="AD23" i="26"/>
  <c r="AI23" i="26" s="1"/>
  <c r="AD24" i="26"/>
  <c r="AG24" i="26" s="1"/>
  <c r="AD25" i="26"/>
  <c r="AH25" i="26" s="1"/>
  <c r="AD26" i="26"/>
  <c r="AH26" i="26" s="1"/>
  <c r="AD27" i="26"/>
  <c r="AI27" i="26" s="1"/>
  <c r="AD28" i="26"/>
  <c r="AI28" i="26" s="1"/>
  <c r="AD29" i="26"/>
  <c r="AG29" i="26" s="1"/>
  <c r="AD30" i="26"/>
  <c r="AI30" i="26" s="1"/>
  <c r="AD31" i="26"/>
  <c r="AJ31" i="26" s="1"/>
  <c r="AD32" i="26"/>
  <c r="AG32" i="26" s="1"/>
  <c r="AD33" i="26"/>
  <c r="AH33" i="26" s="1"/>
  <c r="AD34" i="26"/>
  <c r="AH34" i="26" s="1"/>
  <c r="AD35" i="26"/>
  <c r="AH35" i="26" s="1"/>
  <c r="AD36" i="26"/>
  <c r="AH36" i="26" s="1"/>
  <c r="AD37" i="26"/>
  <c r="AH37" i="26" s="1"/>
  <c r="AD38" i="26"/>
  <c r="AD39" i="26"/>
  <c r="AH39" i="26" s="1"/>
  <c r="AD40" i="26"/>
  <c r="AH40" i="26" s="1"/>
  <c r="AD41" i="26"/>
  <c r="AI41" i="26" s="1"/>
  <c r="AD42" i="26"/>
  <c r="AG42" i="26" s="1"/>
  <c r="AD43" i="26"/>
  <c r="AH43" i="26" s="1"/>
  <c r="AD44" i="26"/>
  <c r="AH44" i="26" s="1"/>
  <c r="AD45" i="26"/>
  <c r="AI45" i="26" s="1"/>
  <c r="AD46" i="26"/>
  <c r="AG46" i="26" s="1"/>
  <c r="AD47" i="26"/>
  <c r="AG47" i="26" s="1"/>
  <c r="AD48" i="26"/>
  <c r="AI48" i="26" s="1"/>
  <c r="AD50" i="26"/>
  <c r="AJ50" i="26" s="1"/>
  <c r="AD51" i="26"/>
  <c r="AG51" i="26" s="1"/>
  <c r="AD52" i="26"/>
  <c r="AH52" i="26" s="1"/>
  <c r="AD53" i="26"/>
  <c r="AH53" i="26" s="1"/>
  <c r="AD54" i="26"/>
  <c r="AH54" i="26" s="1"/>
  <c r="AD55" i="26"/>
  <c r="AH55" i="26" s="1"/>
  <c r="AD56" i="26"/>
  <c r="AH56" i="26" s="1"/>
  <c r="AD57" i="26"/>
  <c r="AD58" i="26"/>
  <c r="AH58" i="26" s="1"/>
  <c r="AD59" i="26"/>
  <c r="AH59" i="26" s="1"/>
  <c r="AD60" i="26"/>
  <c r="AI60" i="26" s="1"/>
  <c r="AD61" i="26"/>
  <c r="AG61" i="26" s="1"/>
  <c r="AD62" i="26"/>
  <c r="AH62" i="26" s="1"/>
  <c r="AD63" i="26"/>
  <c r="AH63" i="26" s="1"/>
  <c r="AD64" i="26"/>
  <c r="AI64" i="26" s="1"/>
  <c r="AD65" i="26"/>
  <c r="AI65" i="26" s="1"/>
  <c r="AD2" i="26"/>
  <c r="AH2" i="26" s="1"/>
  <c r="AA3" i="26"/>
  <c r="AA4" i="26"/>
  <c r="AA5" i="26"/>
  <c r="AA6" i="26"/>
  <c r="AA7" i="26"/>
  <c r="AA8" i="26"/>
  <c r="AA9" i="26"/>
  <c r="AA10" i="26"/>
  <c r="AA11" i="26"/>
  <c r="AA12" i="26"/>
  <c r="AA13" i="26"/>
  <c r="AA14" i="26"/>
  <c r="AA15" i="26"/>
  <c r="AA16" i="26"/>
  <c r="AA17" i="26"/>
  <c r="AA18" i="26"/>
  <c r="AA19" i="26"/>
  <c r="AA20" i="26"/>
  <c r="AA21" i="26"/>
  <c r="AA22" i="26"/>
  <c r="AA23" i="26"/>
  <c r="AA24" i="26"/>
  <c r="AA25" i="26"/>
  <c r="AA26" i="26"/>
  <c r="AA27" i="26"/>
  <c r="AA28" i="26"/>
  <c r="AA29" i="26"/>
  <c r="AA30" i="26"/>
  <c r="AA31" i="26"/>
  <c r="AA32" i="26"/>
  <c r="AA33" i="26"/>
  <c r="AA34" i="26"/>
  <c r="AA35" i="26"/>
  <c r="AA36" i="26"/>
  <c r="AA37" i="26"/>
  <c r="AA38" i="26"/>
  <c r="AA39" i="26"/>
  <c r="AA40" i="26"/>
  <c r="AA41" i="26"/>
  <c r="AA42" i="26"/>
  <c r="AA43" i="26"/>
  <c r="AA44" i="26"/>
  <c r="AA45" i="26"/>
  <c r="AA46" i="26"/>
  <c r="AA47" i="26"/>
  <c r="AA48" i="26"/>
  <c r="AA50" i="26"/>
  <c r="AA51" i="26"/>
  <c r="AA52" i="26"/>
  <c r="AA53" i="26"/>
  <c r="AA54" i="26"/>
  <c r="AA55" i="26"/>
  <c r="AA56" i="26"/>
  <c r="AA57" i="26"/>
  <c r="AA58" i="26"/>
  <c r="AA59" i="26"/>
  <c r="AA60" i="26"/>
  <c r="AA61" i="26"/>
  <c r="AA62" i="26"/>
  <c r="AA63" i="26"/>
  <c r="AA64" i="26"/>
  <c r="AA65" i="26"/>
  <c r="AA2" i="26"/>
  <c r="U4" i="26"/>
  <c r="U5" i="26"/>
  <c r="U6" i="26"/>
  <c r="U7" i="26"/>
  <c r="U8" i="26"/>
  <c r="U9" i="26"/>
  <c r="U10" i="26"/>
  <c r="U11" i="26"/>
  <c r="U12" i="26"/>
  <c r="U13" i="26"/>
  <c r="U14" i="26"/>
  <c r="U15" i="26"/>
  <c r="U16" i="26"/>
  <c r="U17" i="26"/>
  <c r="U18" i="26"/>
  <c r="U19" i="26"/>
  <c r="U20" i="26"/>
  <c r="U21" i="26"/>
  <c r="U22" i="26"/>
  <c r="U23" i="26"/>
  <c r="U24" i="26"/>
  <c r="U25" i="26"/>
  <c r="U26" i="26"/>
  <c r="U27" i="26"/>
  <c r="U28" i="26"/>
  <c r="U29" i="26"/>
  <c r="U30" i="26"/>
  <c r="U31" i="26"/>
  <c r="U32" i="26"/>
  <c r="U33" i="26"/>
  <c r="U34" i="26"/>
  <c r="U35" i="26"/>
  <c r="U36" i="26"/>
  <c r="U37" i="26"/>
  <c r="U38" i="26"/>
  <c r="U39" i="26"/>
  <c r="U40" i="26"/>
  <c r="U41" i="26"/>
  <c r="U42" i="26"/>
  <c r="U43" i="26"/>
  <c r="U44" i="26"/>
  <c r="U45" i="26"/>
  <c r="U46" i="26"/>
  <c r="U47" i="26"/>
  <c r="U48" i="26"/>
  <c r="U50" i="26"/>
  <c r="U51" i="26"/>
  <c r="U52" i="26"/>
  <c r="U53" i="26"/>
  <c r="U54" i="26"/>
  <c r="U55" i="26"/>
  <c r="U56" i="26"/>
  <c r="U57" i="26"/>
  <c r="U58" i="26"/>
  <c r="U59" i="26"/>
  <c r="U60" i="26"/>
  <c r="U61" i="26"/>
  <c r="U62" i="26"/>
  <c r="U63" i="26"/>
  <c r="U64" i="26"/>
  <c r="U65" i="26"/>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50" i="22"/>
  <c r="W51" i="22"/>
  <c r="W52" i="22"/>
  <c r="W53" i="22"/>
  <c r="W54" i="22"/>
  <c r="W55" i="22"/>
  <c r="W56" i="22"/>
  <c r="W57" i="22"/>
  <c r="W58" i="22"/>
  <c r="W59" i="22"/>
  <c r="W60" i="22"/>
  <c r="W61" i="22"/>
  <c r="W62" i="22"/>
  <c r="W63" i="22"/>
  <c r="W64" i="22"/>
  <c r="W65" i="22"/>
  <c r="W2" i="22"/>
  <c r="AO4" i="22"/>
  <c r="AP2" i="22"/>
  <c r="AQ2" i="22"/>
  <c r="AP3" i="22"/>
  <c r="AQ3" i="22"/>
  <c r="AP4" i="22"/>
  <c r="AQ4" i="22"/>
  <c r="AP5" i="22"/>
  <c r="AQ5" i="22"/>
  <c r="AP6" i="22"/>
  <c r="AQ6" i="22"/>
  <c r="AP7" i="22"/>
  <c r="AQ7" i="22"/>
  <c r="AP8" i="22"/>
  <c r="AQ8" i="22"/>
  <c r="AP9" i="22"/>
  <c r="AQ9" i="22"/>
  <c r="AP10" i="22"/>
  <c r="AQ10" i="22"/>
  <c r="AP11" i="22"/>
  <c r="AQ11" i="22"/>
  <c r="AP12" i="22"/>
  <c r="AQ12" i="22"/>
  <c r="AP13" i="22"/>
  <c r="AQ13" i="22"/>
  <c r="AP14" i="22"/>
  <c r="AQ14" i="22"/>
  <c r="AP15" i="22"/>
  <c r="AQ15" i="22"/>
  <c r="AP16" i="22"/>
  <c r="AQ16" i="22"/>
  <c r="AP17" i="22"/>
  <c r="AQ17" i="22"/>
  <c r="AP18" i="22"/>
  <c r="AQ18" i="22"/>
  <c r="AP19" i="22"/>
  <c r="AQ19" i="22"/>
  <c r="AP20" i="22"/>
  <c r="AQ20" i="22"/>
  <c r="AP21" i="22"/>
  <c r="AQ21" i="22"/>
  <c r="AP22" i="22"/>
  <c r="AQ22" i="22"/>
  <c r="AP23" i="22"/>
  <c r="AQ23" i="22"/>
  <c r="AP24" i="22"/>
  <c r="AQ24" i="22"/>
  <c r="AP25" i="22"/>
  <c r="AQ25" i="22"/>
  <c r="AP26" i="22"/>
  <c r="AQ26" i="22"/>
  <c r="AP27" i="22"/>
  <c r="AQ27" i="22"/>
  <c r="AP28" i="22"/>
  <c r="AQ28" i="22"/>
  <c r="AP29" i="22"/>
  <c r="AQ29" i="22"/>
  <c r="AP30" i="22"/>
  <c r="AQ30" i="22"/>
  <c r="AP31" i="22"/>
  <c r="AQ31" i="22"/>
  <c r="AP32" i="22"/>
  <c r="AQ32" i="22"/>
  <c r="AP33" i="22"/>
  <c r="AQ33" i="22"/>
  <c r="AP34" i="22"/>
  <c r="AQ34" i="22"/>
  <c r="AP35" i="22"/>
  <c r="AQ35" i="22"/>
  <c r="AP36" i="22"/>
  <c r="AQ36" i="22"/>
  <c r="AP37" i="22"/>
  <c r="AQ37" i="22"/>
  <c r="AP38" i="22"/>
  <c r="AQ38" i="22"/>
  <c r="AP39" i="22"/>
  <c r="AQ39" i="22"/>
  <c r="AP40" i="22"/>
  <c r="AQ40" i="22"/>
  <c r="AP41" i="22"/>
  <c r="AQ41" i="22"/>
  <c r="AP42" i="22"/>
  <c r="AQ42" i="22"/>
  <c r="AP43" i="22"/>
  <c r="AQ43" i="22"/>
  <c r="AP44" i="22"/>
  <c r="AQ44" i="22"/>
  <c r="AP45" i="22"/>
  <c r="AQ45" i="22"/>
  <c r="AP46" i="22"/>
  <c r="AQ46" i="22"/>
  <c r="AP47" i="22"/>
  <c r="AQ47" i="22"/>
  <c r="AP48" i="22"/>
  <c r="AQ48" i="22"/>
  <c r="AP50" i="22"/>
  <c r="AQ50" i="22"/>
  <c r="AP51" i="22"/>
  <c r="AQ51" i="22"/>
  <c r="AP52" i="22"/>
  <c r="AQ52" i="22"/>
  <c r="AP53" i="22"/>
  <c r="AQ53" i="22"/>
  <c r="AP54" i="22"/>
  <c r="AQ54" i="22"/>
  <c r="AP55" i="22"/>
  <c r="AQ55" i="22"/>
  <c r="AP56" i="22"/>
  <c r="AQ56" i="22"/>
  <c r="AP57" i="22"/>
  <c r="AQ57" i="22"/>
  <c r="AP58" i="22"/>
  <c r="AQ58" i="22"/>
  <c r="AP59" i="22"/>
  <c r="AQ59" i="22"/>
  <c r="AP60" i="22"/>
  <c r="AQ60" i="22"/>
  <c r="AP61" i="22"/>
  <c r="AQ61" i="22"/>
  <c r="AP62" i="22"/>
  <c r="AQ62" i="22"/>
  <c r="AP63" i="22"/>
  <c r="AQ63" i="22"/>
  <c r="AP64" i="22"/>
  <c r="AQ64" i="22"/>
  <c r="AP65" i="22"/>
  <c r="AQ65" i="22"/>
  <c r="AJ2" i="22"/>
  <c r="AK2" i="22"/>
  <c r="AL2" i="22"/>
  <c r="AM2" i="22"/>
  <c r="AN2" i="22"/>
  <c r="AO2" i="22"/>
  <c r="AJ3" i="22"/>
  <c r="AK3" i="22"/>
  <c r="AL3" i="22"/>
  <c r="AM3" i="22"/>
  <c r="AN3" i="22"/>
  <c r="AO3" i="22"/>
  <c r="AJ4" i="22"/>
  <c r="AK4" i="22"/>
  <c r="AL4" i="22"/>
  <c r="AM4" i="22"/>
  <c r="AN4" i="22"/>
  <c r="AJ5" i="22"/>
  <c r="AK5" i="22"/>
  <c r="AL5" i="22"/>
  <c r="AM5" i="22"/>
  <c r="AN5" i="22"/>
  <c r="AO5" i="22"/>
  <c r="AJ6" i="22"/>
  <c r="AK6" i="22"/>
  <c r="AL6" i="22"/>
  <c r="AM6" i="22"/>
  <c r="AN6" i="22"/>
  <c r="AO6" i="22"/>
  <c r="AJ7" i="22"/>
  <c r="AK7" i="22"/>
  <c r="AL7" i="22"/>
  <c r="AM7" i="22"/>
  <c r="AN7" i="22"/>
  <c r="AO7" i="22"/>
  <c r="AJ8" i="22"/>
  <c r="AK8" i="22"/>
  <c r="AL8" i="22"/>
  <c r="AM8" i="22"/>
  <c r="AN8" i="22"/>
  <c r="AO8" i="22"/>
  <c r="AJ9" i="22"/>
  <c r="AK9" i="22"/>
  <c r="AL9" i="22"/>
  <c r="AM9" i="22"/>
  <c r="AN9" i="22"/>
  <c r="AO9" i="22"/>
  <c r="AJ10" i="22"/>
  <c r="AK10" i="22"/>
  <c r="AL10" i="22"/>
  <c r="AM10" i="22"/>
  <c r="AN10" i="22"/>
  <c r="AO10" i="22"/>
  <c r="AJ11" i="22"/>
  <c r="AK11" i="22"/>
  <c r="AL11" i="22"/>
  <c r="AM11" i="22"/>
  <c r="AN11" i="22"/>
  <c r="AO11" i="22"/>
  <c r="AJ12" i="22"/>
  <c r="AK12" i="22"/>
  <c r="AL12" i="22"/>
  <c r="AM12" i="22"/>
  <c r="AN12" i="22"/>
  <c r="AO12" i="22"/>
  <c r="AJ13" i="22"/>
  <c r="AK13" i="22"/>
  <c r="AL13" i="22"/>
  <c r="AM13" i="22"/>
  <c r="AN13" i="22"/>
  <c r="AO13" i="22"/>
  <c r="AJ14" i="22"/>
  <c r="AK14" i="22"/>
  <c r="AL14" i="22"/>
  <c r="AM14" i="22"/>
  <c r="AN14" i="22"/>
  <c r="AO14" i="22"/>
  <c r="AJ15" i="22"/>
  <c r="AK15" i="22"/>
  <c r="AL15" i="22"/>
  <c r="AM15" i="22"/>
  <c r="AN15" i="22"/>
  <c r="AO15" i="22"/>
  <c r="AJ16" i="22"/>
  <c r="AK16" i="22"/>
  <c r="AL16" i="22"/>
  <c r="AM16" i="22"/>
  <c r="AN16" i="22"/>
  <c r="AO16" i="22"/>
  <c r="AJ17" i="22"/>
  <c r="AK17" i="22"/>
  <c r="AL17" i="22"/>
  <c r="AM17" i="22"/>
  <c r="AN17" i="22"/>
  <c r="AO17" i="22"/>
  <c r="AJ18" i="22"/>
  <c r="AK18" i="22"/>
  <c r="AL18" i="22"/>
  <c r="AM18" i="22"/>
  <c r="AN18" i="22"/>
  <c r="AO18" i="22"/>
  <c r="AJ19" i="22"/>
  <c r="AK19" i="22"/>
  <c r="AL19" i="22"/>
  <c r="AM19" i="22"/>
  <c r="AN19" i="22"/>
  <c r="AO19" i="22"/>
  <c r="AJ20" i="22"/>
  <c r="AK20" i="22"/>
  <c r="AL20" i="22"/>
  <c r="AM20" i="22"/>
  <c r="AN20" i="22"/>
  <c r="AO20" i="22"/>
  <c r="AJ21" i="22"/>
  <c r="AK21" i="22"/>
  <c r="AL21" i="22"/>
  <c r="AM21" i="22"/>
  <c r="AN21" i="22"/>
  <c r="AO21" i="22"/>
  <c r="AJ22" i="22"/>
  <c r="AK22" i="22"/>
  <c r="AL22" i="22"/>
  <c r="AM22" i="22"/>
  <c r="AN22" i="22"/>
  <c r="AO22" i="22"/>
  <c r="AJ23" i="22"/>
  <c r="AK23" i="22"/>
  <c r="AL23" i="22"/>
  <c r="AM23" i="22"/>
  <c r="AN23" i="22"/>
  <c r="AO23" i="22"/>
  <c r="AJ24" i="22"/>
  <c r="AK24" i="22"/>
  <c r="AL24" i="22"/>
  <c r="AM24" i="22"/>
  <c r="AN24" i="22"/>
  <c r="AO24" i="22"/>
  <c r="AJ25" i="22"/>
  <c r="AK25" i="22"/>
  <c r="AL25" i="22"/>
  <c r="AM25" i="22"/>
  <c r="AN25" i="22"/>
  <c r="AO25" i="22"/>
  <c r="AJ26" i="22"/>
  <c r="AK26" i="22"/>
  <c r="AL26" i="22"/>
  <c r="AM26" i="22"/>
  <c r="AN26" i="22"/>
  <c r="AO26" i="22"/>
  <c r="AJ27" i="22"/>
  <c r="AK27" i="22"/>
  <c r="AL27" i="22"/>
  <c r="AM27" i="22"/>
  <c r="AN27" i="22"/>
  <c r="AO27" i="22"/>
  <c r="AJ28" i="22"/>
  <c r="AK28" i="22"/>
  <c r="AL28" i="22"/>
  <c r="AM28" i="22"/>
  <c r="AN28" i="22"/>
  <c r="AO28" i="22"/>
  <c r="AJ29" i="22"/>
  <c r="AK29" i="22"/>
  <c r="AL29" i="22"/>
  <c r="AM29" i="22"/>
  <c r="AN29" i="22"/>
  <c r="AO29" i="22"/>
  <c r="AJ30" i="22"/>
  <c r="AK30" i="22"/>
  <c r="AL30" i="22"/>
  <c r="AM30" i="22"/>
  <c r="AN30" i="22"/>
  <c r="AO30" i="22"/>
  <c r="AJ31" i="22"/>
  <c r="AK31" i="22"/>
  <c r="AL31" i="22"/>
  <c r="AM31" i="22"/>
  <c r="AN31" i="22"/>
  <c r="AO31" i="22"/>
  <c r="AJ32" i="22"/>
  <c r="AK32" i="22"/>
  <c r="AL32" i="22"/>
  <c r="AM32" i="22"/>
  <c r="AN32" i="22"/>
  <c r="AO32" i="22"/>
  <c r="AJ33" i="22"/>
  <c r="AK33" i="22"/>
  <c r="AL33" i="22"/>
  <c r="AM33" i="22"/>
  <c r="AN33" i="22"/>
  <c r="AO33" i="22"/>
  <c r="AJ34" i="22"/>
  <c r="AK34" i="22"/>
  <c r="AL34" i="22"/>
  <c r="AM34" i="22"/>
  <c r="AN34" i="22"/>
  <c r="AO34" i="22"/>
  <c r="AJ35" i="22"/>
  <c r="AK35" i="22"/>
  <c r="AL35" i="22"/>
  <c r="AM35" i="22"/>
  <c r="AN35" i="22"/>
  <c r="AO35" i="22"/>
  <c r="AJ36" i="22"/>
  <c r="AK36" i="22"/>
  <c r="AL36" i="22"/>
  <c r="AM36" i="22"/>
  <c r="AN36" i="22"/>
  <c r="AO36" i="22"/>
  <c r="AJ37" i="22"/>
  <c r="AK37" i="22"/>
  <c r="AL37" i="22"/>
  <c r="AM37" i="22"/>
  <c r="AN37" i="22"/>
  <c r="AO37" i="22"/>
  <c r="AJ38" i="22"/>
  <c r="AK38" i="22"/>
  <c r="AL38" i="22"/>
  <c r="AM38" i="22"/>
  <c r="AN38" i="22"/>
  <c r="AO38" i="22"/>
  <c r="AJ39" i="22"/>
  <c r="AK39" i="22"/>
  <c r="AL39" i="22"/>
  <c r="AM39" i="22"/>
  <c r="AN39" i="22"/>
  <c r="AO39" i="22"/>
  <c r="AJ40" i="22"/>
  <c r="AK40" i="22"/>
  <c r="AL40" i="22"/>
  <c r="AM40" i="22"/>
  <c r="AN40" i="22"/>
  <c r="AO40" i="22"/>
  <c r="AJ41" i="22"/>
  <c r="AK41" i="22"/>
  <c r="AL41" i="22"/>
  <c r="AM41" i="22"/>
  <c r="AN41" i="22"/>
  <c r="AO41" i="22"/>
  <c r="AJ42" i="22"/>
  <c r="AK42" i="22"/>
  <c r="AL42" i="22"/>
  <c r="AM42" i="22"/>
  <c r="AN42" i="22"/>
  <c r="AO42" i="22"/>
  <c r="AJ43" i="22"/>
  <c r="AK43" i="22"/>
  <c r="AL43" i="22"/>
  <c r="AM43" i="22"/>
  <c r="AN43" i="22"/>
  <c r="AO43" i="22"/>
  <c r="AJ44" i="22"/>
  <c r="AK44" i="22"/>
  <c r="AL44" i="22"/>
  <c r="AM44" i="22"/>
  <c r="AN44" i="22"/>
  <c r="AO44" i="22"/>
  <c r="AJ45" i="22"/>
  <c r="AK45" i="22"/>
  <c r="AL45" i="22"/>
  <c r="AM45" i="22"/>
  <c r="AN45" i="22"/>
  <c r="AO45" i="22"/>
  <c r="AJ46" i="22"/>
  <c r="AK46" i="22"/>
  <c r="AL46" i="22"/>
  <c r="AM46" i="22"/>
  <c r="AN46" i="22"/>
  <c r="AO46" i="22"/>
  <c r="AJ47" i="22"/>
  <c r="AK47" i="22"/>
  <c r="AL47" i="22"/>
  <c r="AM47" i="22"/>
  <c r="AN47" i="22"/>
  <c r="AO47" i="22"/>
  <c r="AJ48" i="22"/>
  <c r="AK48" i="22"/>
  <c r="AL48" i="22"/>
  <c r="AM48" i="22"/>
  <c r="AN48" i="22"/>
  <c r="AO48" i="22"/>
  <c r="AJ50" i="22"/>
  <c r="AK50" i="22"/>
  <c r="AL50" i="22"/>
  <c r="AM50" i="22"/>
  <c r="AN50" i="22"/>
  <c r="AO50" i="22"/>
  <c r="AJ51" i="22"/>
  <c r="AK51" i="22"/>
  <c r="AL51" i="22"/>
  <c r="AM51" i="22"/>
  <c r="AN51" i="22"/>
  <c r="AO51" i="22"/>
  <c r="AJ52" i="22"/>
  <c r="AK52" i="22"/>
  <c r="AL52" i="22"/>
  <c r="AM52" i="22"/>
  <c r="AN52" i="22"/>
  <c r="AO52" i="22"/>
  <c r="AJ53" i="22"/>
  <c r="AK53" i="22"/>
  <c r="AL53" i="22"/>
  <c r="AM53" i="22"/>
  <c r="AN53" i="22"/>
  <c r="AO53" i="22"/>
  <c r="AJ54" i="22"/>
  <c r="AK54" i="22"/>
  <c r="AL54" i="22"/>
  <c r="AM54" i="22"/>
  <c r="AN54" i="22"/>
  <c r="AO54" i="22"/>
  <c r="AJ55" i="22"/>
  <c r="AK55" i="22"/>
  <c r="AL55" i="22"/>
  <c r="AM55" i="22"/>
  <c r="AN55" i="22"/>
  <c r="AO55" i="22"/>
  <c r="AJ56" i="22"/>
  <c r="AK56" i="22"/>
  <c r="AL56" i="22"/>
  <c r="AM56" i="22"/>
  <c r="AN56" i="22"/>
  <c r="AO56" i="22"/>
  <c r="AJ57" i="22"/>
  <c r="AK57" i="22"/>
  <c r="AL57" i="22"/>
  <c r="AM57" i="22"/>
  <c r="AN57" i="22"/>
  <c r="AO57" i="22"/>
  <c r="AJ58" i="22"/>
  <c r="AK58" i="22"/>
  <c r="AL58" i="22"/>
  <c r="AM58" i="22"/>
  <c r="AN58" i="22"/>
  <c r="AO58" i="22"/>
  <c r="AJ59" i="22"/>
  <c r="AK59" i="22"/>
  <c r="AL59" i="22"/>
  <c r="AM59" i="22"/>
  <c r="AN59" i="22"/>
  <c r="AO59" i="22"/>
  <c r="AJ60" i="22"/>
  <c r="AK60" i="22"/>
  <c r="AL60" i="22"/>
  <c r="AM60" i="22"/>
  <c r="AN60" i="22"/>
  <c r="AO60" i="22"/>
  <c r="AJ61" i="22"/>
  <c r="AK61" i="22"/>
  <c r="AL61" i="22"/>
  <c r="AM61" i="22"/>
  <c r="AN61" i="22"/>
  <c r="AO61" i="22"/>
  <c r="AJ62" i="22"/>
  <c r="AK62" i="22"/>
  <c r="AL62" i="22"/>
  <c r="AM62" i="22"/>
  <c r="AN62" i="22"/>
  <c r="AO62" i="22"/>
  <c r="AJ63" i="22"/>
  <c r="AK63" i="22"/>
  <c r="AL63" i="22"/>
  <c r="AM63" i="22"/>
  <c r="AN63" i="22"/>
  <c r="AO63" i="22"/>
  <c r="AJ64" i="22"/>
  <c r="AK64" i="22"/>
  <c r="AL64" i="22"/>
  <c r="AM64" i="22"/>
  <c r="AN64" i="22"/>
  <c r="AO64" i="22"/>
  <c r="AJ65" i="22"/>
  <c r="AK65" i="22"/>
  <c r="AL65" i="22"/>
  <c r="AM65" i="22"/>
  <c r="AN65" i="22"/>
  <c r="AO65"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50" i="22"/>
  <c r="AI51" i="22"/>
  <c r="AI52" i="22"/>
  <c r="AI53" i="22"/>
  <c r="AI54" i="22"/>
  <c r="AI55" i="22"/>
  <c r="AI56" i="22"/>
  <c r="AI57" i="22"/>
  <c r="AI58" i="22"/>
  <c r="AI59" i="22"/>
  <c r="AI60" i="22"/>
  <c r="AI61" i="22"/>
  <c r="AI62" i="22"/>
  <c r="AI63" i="22"/>
  <c r="AI64" i="22"/>
  <c r="AI65"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50" i="22"/>
  <c r="AH51" i="22"/>
  <c r="AH52" i="22"/>
  <c r="AH53" i="22"/>
  <c r="AH54" i="22"/>
  <c r="AH55" i="22"/>
  <c r="AH56" i="22"/>
  <c r="AH57" i="22"/>
  <c r="AH58" i="22"/>
  <c r="AH59" i="22"/>
  <c r="AH60" i="22"/>
  <c r="AH61" i="22"/>
  <c r="AH62" i="22"/>
  <c r="AH63" i="22"/>
  <c r="AH64" i="22"/>
  <c r="AH65" i="22"/>
  <c r="AH3" i="22"/>
  <c r="AH2" i="22"/>
  <c r="BL2" i="24"/>
  <c r="BN6" i="25"/>
  <c r="BN11" i="25"/>
  <c r="BN47" i="25"/>
  <c r="BN59" i="25"/>
  <c r="BN60" i="25"/>
  <c r="BN65" i="25"/>
  <c r="BM50" i="25"/>
  <c r="BJ2" i="24"/>
  <c r="BL57" i="25"/>
  <c r="BL58" i="25"/>
  <c r="BH2" i="24"/>
  <c r="BK16" i="25"/>
  <c r="BK34" i="25"/>
  <c r="BK48" i="25"/>
  <c r="BK53" i="25"/>
  <c r="BF2" i="24"/>
  <c r="BE2" i="24"/>
  <c r="BG46" i="25"/>
  <c r="BH46" i="25" s="1"/>
  <c r="BI46" i="25" s="1"/>
  <c r="BJ46" i="25" s="1"/>
  <c r="BF3" i="25"/>
  <c r="BG3" i="25" s="1"/>
  <c r="BF4" i="25"/>
  <c r="BG4" i="25" s="1"/>
  <c r="BF5" i="25"/>
  <c r="BG5" i="25" s="1"/>
  <c r="BF6" i="25"/>
  <c r="BG6" i="25" s="1"/>
  <c r="BH6" i="25" s="1"/>
  <c r="BI6" i="25" s="1"/>
  <c r="BJ6" i="25" s="1"/>
  <c r="BF7" i="25"/>
  <c r="BG7" i="25" s="1"/>
  <c r="BF8" i="25"/>
  <c r="BN8" i="25" s="1"/>
  <c r="BF9" i="25"/>
  <c r="BL9" i="25" s="1"/>
  <c r="BF10" i="25"/>
  <c r="BN10" i="25" s="1"/>
  <c r="BF11" i="25"/>
  <c r="BG11" i="25" s="1"/>
  <c r="BF12" i="25"/>
  <c r="BG12" i="25" s="1"/>
  <c r="BF13" i="25"/>
  <c r="BG13" i="25" s="1"/>
  <c r="BF14" i="25"/>
  <c r="BG14" i="25" s="1"/>
  <c r="BF15" i="25"/>
  <c r="BG15" i="25" s="1"/>
  <c r="BF16" i="25"/>
  <c r="BG16" i="25" s="1"/>
  <c r="BF17" i="25"/>
  <c r="BG17" i="25" s="1"/>
  <c r="BF18" i="25"/>
  <c r="BG18" i="25" s="1"/>
  <c r="BF19" i="25"/>
  <c r="BK19" i="25" s="1"/>
  <c r="BF20" i="25"/>
  <c r="BM20" i="25" s="1"/>
  <c r="BF21" i="25"/>
  <c r="BG21" i="25" s="1"/>
  <c r="BF22" i="25"/>
  <c r="BG22" i="25" s="1"/>
  <c r="BF23" i="25"/>
  <c r="BG23" i="25" s="1"/>
  <c r="BF24" i="25"/>
  <c r="BG24" i="25" s="1"/>
  <c r="BH24" i="25" s="1"/>
  <c r="BI24" i="25" s="1"/>
  <c r="BJ24" i="25" s="1"/>
  <c r="BF25" i="25"/>
  <c r="BG25" i="25" s="1"/>
  <c r="BF26" i="25"/>
  <c r="BN26" i="25" s="1"/>
  <c r="BF27" i="25"/>
  <c r="BL27" i="25" s="1"/>
  <c r="BF28" i="25"/>
  <c r="BG28" i="25" s="1"/>
  <c r="BH28" i="25" s="1"/>
  <c r="BI28" i="25" s="1"/>
  <c r="BJ28" i="25" s="1"/>
  <c r="BF29" i="25"/>
  <c r="BG29" i="25" s="1"/>
  <c r="BF30" i="25"/>
  <c r="BG30" i="25" s="1"/>
  <c r="BF31" i="25"/>
  <c r="BG31" i="25" s="1"/>
  <c r="BF32" i="25"/>
  <c r="BG32" i="25" s="1"/>
  <c r="BF33" i="25"/>
  <c r="BG33" i="25" s="1"/>
  <c r="BF34" i="25"/>
  <c r="BG34" i="25" s="1"/>
  <c r="BH34" i="25" s="1"/>
  <c r="BI34" i="25" s="1"/>
  <c r="BJ34" i="25" s="1"/>
  <c r="BF35" i="25"/>
  <c r="BG35" i="25" s="1"/>
  <c r="BF36" i="25"/>
  <c r="BG36" i="25" s="1"/>
  <c r="BF37" i="25"/>
  <c r="BG37" i="25" s="1"/>
  <c r="BH37" i="25" s="1"/>
  <c r="BI37" i="25" s="1"/>
  <c r="BJ37" i="25" s="1"/>
  <c r="BF38" i="25"/>
  <c r="BG38" i="25" s="1"/>
  <c r="BF39" i="25"/>
  <c r="BG39" i="25" s="1"/>
  <c r="BF40" i="25"/>
  <c r="BG40" i="25" s="1"/>
  <c r="BH40" i="25" s="1"/>
  <c r="BI40" i="25" s="1"/>
  <c r="BJ40" i="25" s="1"/>
  <c r="BF41" i="25"/>
  <c r="BG41" i="25" s="1"/>
  <c r="BF42" i="25"/>
  <c r="BG42" i="25" s="1"/>
  <c r="BF43" i="25"/>
  <c r="BG43" i="25" s="1"/>
  <c r="BH43" i="25" s="1"/>
  <c r="BI43" i="25" s="1"/>
  <c r="BJ43" i="25" s="1"/>
  <c r="BF44" i="25"/>
  <c r="BN44" i="25" s="1"/>
  <c r="BF45" i="25"/>
  <c r="BL45" i="25" s="1"/>
  <c r="BF46" i="25"/>
  <c r="BN46" i="25" s="1"/>
  <c r="BF47" i="25"/>
  <c r="BG47" i="25" s="1"/>
  <c r="BF48" i="25"/>
  <c r="BG48" i="25" s="1"/>
  <c r="BF49" i="25"/>
  <c r="BG49" i="25" s="1"/>
  <c r="BF50" i="25"/>
  <c r="BG50" i="25" s="1"/>
  <c r="BF51" i="25"/>
  <c r="BG51" i="25" s="1"/>
  <c r="BF52" i="25"/>
  <c r="BG52" i="25" s="1"/>
  <c r="BH52" i="25" s="1"/>
  <c r="BI52" i="25" s="1"/>
  <c r="BJ52" i="25" s="1"/>
  <c r="BF53" i="25"/>
  <c r="BG53" i="25" s="1"/>
  <c r="BF54" i="25"/>
  <c r="BG54" i="25" s="1"/>
  <c r="BF55" i="25"/>
  <c r="BK55" i="25" s="1"/>
  <c r="BF56" i="25"/>
  <c r="BM56" i="25" s="1"/>
  <c r="BF57" i="25"/>
  <c r="BG57" i="25" s="1"/>
  <c r="BF58" i="25"/>
  <c r="BG58" i="25" s="1"/>
  <c r="BH58" i="25" s="1"/>
  <c r="BI58" i="25" s="1"/>
  <c r="BJ58" i="25" s="1"/>
  <c r="BF59" i="25"/>
  <c r="BG59" i="25" s="1"/>
  <c r="BF60" i="25"/>
  <c r="BG60" i="25" s="1"/>
  <c r="BF61" i="25"/>
  <c r="BG61" i="25" s="1"/>
  <c r="BH61" i="25" s="1"/>
  <c r="BI61" i="25" s="1"/>
  <c r="BJ61" i="25" s="1"/>
  <c r="BF62" i="25"/>
  <c r="BN62" i="25" s="1"/>
  <c r="BF63" i="25"/>
  <c r="BN63" i="25" s="1"/>
  <c r="BF64" i="25"/>
  <c r="BN64" i="25" s="1"/>
  <c r="BF65" i="25"/>
  <c r="BG65" i="25" s="1"/>
  <c r="BF2" i="25"/>
  <c r="BG2" i="25" s="1"/>
  <c r="AV3" i="25"/>
  <c r="AW3" i="25" s="1"/>
  <c r="AV4" i="25"/>
  <c r="AW4" i="25" s="1"/>
  <c r="AV5" i="25"/>
  <c r="AW5" i="25" s="1"/>
  <c r="AV6" i="25"/>
  <c r="AW6" i="25" s="1"/>
  <c r="AV7" i="25"/>
  <c r="AW7" i="25" s="1"/>
  <c r="AV8" i="25"/>
  <c r="AW8" i="25" s="1"/>
  <c r="AV9" i="25"/>
  <c r="AW9" i="25" s="1"/>
  <c r="AV10" i="25"/>
  <c r="AW10" i="25" s="1"/>
  <c r="AV11" i="25"/>
  <c r="AW11" i="25" s="1"/>
  <c r="AV12" i="25"/>
  <c r="AW12" i="25" s="1"/>
  <c r="AV13" i="25"/>
  <c r="AW13" i="25" s="1"/>
  <c r="AV14" i="25"/>
  <c r="AW14" i="25" s="1"/>
  <c r="AV15" i="25"/>
  <c r="AW15" i="25" s="1"/>
  <c r="AV16" i="25"/>
  <c r="AW16" i="25" s="1"/>
  <c r="AV17" i="25"/>
  <c r="AW17" i="25" s="1"/>
  <c r="AV18" i="25"/>
  <c r="AW18" i="25" s="1"/>
  <c r="AV19" i="25"/>
  <c r="AW19" i="25" s="1"/>
  <c r="AV20" i="25"/>
  <c r="AW20" i="25" s="1"/>
  <c r="AV21" i="25"/>
  <c r="AW21" i="25" s="1"/>
  <c r="AV22" i="25"/>
  <c r="AW22" i="25" s="1"/>
  <c r="AV23" i="25"/>
  <c r="AW23" i="25" s="1"/>
  <c r="AV24" i="25"/>
  <c r="AW24" i="25" s="1"/>
  <c r="AV25" i="25"/>
  <c r="AW25" i="25" s="1"/>
  <c r="AV26" i="25"/>
  <c r="AW26" i="25" s="1"/>
  <c r="AV27" i="25"/>
  <c r="AW27" i="25" s="1"/>
  <c r="AV28" i="25"/>
  <c r="AW28" i="25" s="1"/>
  <c r="AV29" i="25"/>
  <c r="AW29" i="25" s="1"/>
  <c r="AV30" i="25"/>
  <c r="AW30" i="25" s="1"/>
  <c r="AV31" i="25"/>
  <c r="AW31" i="25" s="1"/>
  <c r="AV32" i="25"/>
  <c r="AW32" i="25" s="1"/>
  <c r="AV34" i="25"/>
  <c r="AW34" i="25" s="1"/>
  <c r="AV35" i="25"/>
  <c r="AW35" i="25" s="1"/>
  <c r="AV36" i="25"/>
  <c r="AW36" i="25" s="1"/>
  <c r="AV37" i="25"/>
  <c r="AW37" i="25" s="1"/>
  <c r="AV38" i="25"/>
  <c r="AW38" i="25" s="1"/>
  <c r="AV39" i="25"/>
  <c r="AW39" i="25" s="1"/>
  <c r="AV40" i="25"/>
  <c r="AW40" i="25" s="1"/>
  <c r="AV41" i="25"/>
  <c r="AW41" i="25" s="1"/>
  <c r="AV42" i="25"/>
  <c r="AW42" i="25" s="1"/>
  <c r="AV43" i="25"/>
  <c r="AW43" i="25" s="1"/>
  <c r="AV44" i="25"/>
  <c r="AW44" i="25" s="1"/>
  <c r="AV45" i="25"/>
  <c r="AW45" i="25" s="1"/>
  <c r="AV46" i="25"/>
  <c r="AW46" i="25" s="1"/>
  <c r="AV47" i="25"/>
  <c r="AW47" i="25" s="1"/>
  <c r="AV48" i="25"/>
  <c r="AW48" i="25" s="1"/>
  <c r="AV49" i="25"/>
  <c r="AW49" i="25" s="1"/>
  <c r="AV50" i="25"/>
  <c r="AW50" i="25" s="1"/>
  <c r="AV51" i="25"/>
  <c r="AW51" i="25" s="1"/>
  <c r="AV52" i="25"/>
  <c r="AW52" i="25" s="1"/>
  <c r="AV53" i="25"/>
  <c r="AW53" i="25" s="1"/>
  <c r="AV54" i="25"/>
  <c r="AW54" i="25" s="1"/>
  <c r="AV55" i="25"/>
  <c r="AW55" i="25" s="1"/>
  <c r="AV56" i="25"/>
  <c r="AW56" i="25" s="1"/>
  <c r="AV57" i="25"/>
  <c r="AW57" i="25" s="1"/>
  <c r="AV58" i="25"/>
  <c r="AW58" i="25" s="1"/>
  <c r="AV59" i="25"/>
  <c r="AW59" i="25" s="1"/>
  <c r="AV60" i="25"/>
  <c r="AW60" i="25" s="1"/>
  <c r="AV61" i="25"/>
  <c r="AW61" i="25" s="1"/>
  <c r="AV62" i="25"/>
  <c r="AW62" i="25" s="1"/>
  <c r="AV63" i="25"/>
  <c r="AW63" i="25" s="1"/>
  <c r="AV64" i="25"/>
  <c r="AW64" i="25" s="1"/>
  <c r="AV65" i="25"/>
  <c r="AW65" i="25" s="1"/>
  <c r="AV2" i="25"/>
  <c r="AW2" i="25" s="1"/>
  <c r="AU2" i="24"/>
  <c r="AS3" i="25"/>
  <c r="AS4" i="25"/>
  <c r="AS5" i="25"/>
  <c r="AS6" i="25"/>
  <c r="AS7" i="25"/>
  <c r="AS8" i="25"/>
  <c r="AS9" i="25"/>
  <c r="AS10" i="25"/>
  <c r="AS11" i="25"/>
  <c r="AS12" i="25"/>
  <c r="AS13" i="25"/>
  <c r="AS14" i="25"/>
  <c r="AS15" i="25"/>
  <c r="AS16" i="25"/>
  <c r="AS17" i="25"/>
  <c r="AS18" i="25"/>
  <c r="AS19" i="25"/>
  <c r="AS20" i="25"/>
  <c r="AS21" i="25"/>
  <c r="AS22" i="25"/>
  <c r="AS23" i="25"/>
  <c r="AS24" i="25"/>
  <c r="AS25" i="25"/>
  <c r="AS26" i="25"/>
  <c r="AS27" i="25"/>
  <c r="AS28" i="25"/>
  <c r="AS29" i="25"/>
  <c r="AS30" i="25"/>
  <c r="AS31" i="25"/>
  <c r="AS32" i="25"/>
  <c r="AS33" i="25"/>
  <c r="AS34" i="25"/>
  <c r="AS35" i="25"/>
  <c r="AS36" i="25"/>
  <c r="AS37" i="25"/>
  <c r="AS38" i="25"/>
  <c r="AS39" i="25"/>
  <c r="AS40" i="25"/>
  <c r="AS41" i="25"/>
  <c r="AS42" i="25"/>
  <c r="AS43" i="25"/>
  <c r="AS44" i="25"/>
  <c r="AS45" i="25"/>
  <c r="AS46" i="25"/>
  <c r="AS47" i="25"/>
  <c r="AS48" i="25"/>
  <c r="AS49" i="25"/>
  <c r="AS50" i="25"/>
  <c r="AS51" i="25"/>
  <c r="AS52" i="25"/>
  <c r="AS53" i="25"/>
  <c r="AS54" i="25"/>
  <c r="AS55" i="25"/>
  <c r="AS56" i="25"/>
  <c r="AS57" i="25"/>
  <c r="AS58" i="25"/>
  <c r="AS59" i="25"/>
  <c r="AS60" i="25"/>
  <c r="AS61" i="25"/>
  <c r="AS62" i="25"/>
  <c r="AS63" i="25"/>
  <c r="AS64" i="25"/>
  <c r="AS65" i="25"/>
  <c r="AS2" i="25"/>
  <c r="AK61" i="26" l="1"/>
  <c r="AK42" i="26"/>
  <c r="AK24" i="26"/>
  <c r="AP24" i="26" s="1"/>
  <c r="AK6" i="26"/>
  <c r="AE4" i="26"/>
  <c r="AE25" i="26"/>
  <c r="AG63" i="26"/>
  <c r="AL63" i="26" s="1"/>
  <c r="AG60" i="26"/>
  <c r="AL60" i="26" s="1"/>
  <c r="AK65" i="26"/>
  <c r="AP65" i="26" s="1"/>
  <c r="AK46" i="26"/>
  <c r="AP46" i="26" s="1"/>
  <c r="AK28" i="26"/>
  <c r="AK10" i="26"/>
  <c r="AP10" i="26" s="1"/>
  <c r="AG62" i="26"/>
  <c r="AL62" i="26" s="1"/>
  <c r="AG10" i="26"/>
  <c r="AI46" i="26"/>
  <c r="AN46" i="26" s="1"/>
  <c r="AM39" i="26"/>
  <c r="AE65" i="26"/>
  <c r="AM56" i="26"/>
  <c r="AM37" i="26"/>
  <c r="AE64" i="26"/>
  <c r="AK64" i="26"/>
  <c r="AP64" i="26" s="1"/>
  <c r="AK45" i="26"/>
  <c r="AP45" i="26" s="1"/>
  <c r="AK27" i="26"/>
  <c r="AP27" i="26" s="1"/>
  <c r="AK9" i="26"/>
  <c r="AP9" i="26" s="1"/>
  <c r="AE26" i="26"/>
  <c r="AH46" i="26"/>
  <c r="AM46" i="26" s="1"/>
  <c r="AI39" i="26"/>
  <c r="AN39" i="26" s="1"/>
  <c r="AI25" i="26"/>
  <c r="AN25" i="26" s="1"/>
  <c r="AI21" i="26"/>
  <c r="AN21" i="26" s="1"/>
  <c r="AK56" i="26"/>
  <c r="AP56" i="26" s="1"/>
  <c r="AK19" i="26"/>
  <c r="AP19" i="26" s="1"/>
  <c r="AG50" i="26"/>
  <c r="AL50" i="26" s="1"/>
  <c r="AI3" i="26"/>
  <c r="AN3" i="26" s="1"/>
  <c r="AG45" i="26"/>
  <c r="AJ64" i="26"/>
  <c r="AQ64" i="26" s="1"/>
  <c r="AV64" i="26" s="1"/>
  <c r="AM63" i="26"/>
  <c r="AM8" i="26"/>
  <c r="AG26" i="26"/>
  <c r="AL26" i="26" s="1"/>
  <c r="AJ46" i="26"/>
  <c r="AQ46" i="26" s="1"/>
  <c r="AV46" i="26" s="1"/>
  <c r="AG25" i="26"/>
  <c r="AL25" i="26" s="1"/>
  <c r="AJ9" i="26"/>
  <c r="AQ9" i="26" s="1"/>
  <c r="AV9" i="26" s="1"/>
  <c r="AG23" i="26"/>
  <c r="AL23" i="26" s="1"/>
  <c r="AI22" i="26"/>
  <c r="AN22" i="26" s="1"/>
  <c r="AG13" i="26"/>
  <c r="AL13" i="26" s="1"/>
  <c r="AM40" i="26"/>
  <c r="AM22" i="26"/>
  <c r="AM4" i="26"/>
  <c r="AM21" i="26"/>
  <c r="AM19" i="26"/>
  <c r="AH32" i="26"/>
  <c r="AM32" i="26" s="1"/>
  <c r="AM59" i="26"/>
  <c r="AH31" i="26"/>
  <c r="AM31" i="26" s="1"/>
  <c r="AH12" i="26"/>
  <c r="AM12" i="26" s="1"/>
  <c r="AE22" i="26"/>
  <c r="AI47" i="26"/>
  <c r="AN47" i="26" s="1"/>
  <c r="AR24" i="22"/>
  <c r="AR6" i="22"/>
  <c r="AR52" i="22"/>
  <c r="AR36" i="22"/>
  <c r="AR18" i="22"/>
  <c r="AR60" i="22"/>
  <c r="AR23" i="22"/>
  <c r="AR14" i="22"/>
  <c r="AR51" i="22"/>
  <c r="AR32" i="22"/>
  <c r="AR26" i="22"/>
  <c r="AR41" i="22"/>
  <c r="AR42" i="22"/>
  <c r="AR5" i="22"/>
  <c r="AR56" i="22"/>
  <c r="AR37" i="22"/>
  <c r="AR19" i="22"/>
  <c r="AR8" i="22"/>
  <c r="AR61" i="22"/>
  <c r="AR50" i="22"/>
  <c r="AR31" i="22"/>
  <c r="AR13" i="22"/>
  <c r="AR30" i="22"/>
  <c r="AR2" i="22"/>
  <c r="AR11" i="22"/>
  <c r="AR65" i="22"/>
  <c r="AR46" i="22"/>
  <c r="AR28" i="22"/>
  <c r="AR10" i="22"/>
  <c r="AR47" i="22"/>
  <c r="AR64" i="22"/>
  <c r="AR45" i="22"/>
  <c r="AR27" i="22"/>
  <c r="AR9" i="22"/>
  <c r="AR29" i="22"/>
  <c r="AR3" i="22"/>
  <c r="AR62" i="22"/>
  <c r="AR43" i="22"/>
  <c r="AR25" i="22"/>
  <c r="AR7" i="22"/>
  <c r="AR53" i="22"/>
  <c r="AR48" i="22"/>
  <c r="AR59" i="22"/>
  <c r="AR40" i="22"/>
  <c r="AR22" i="22"/>
  <c r="AR4" i="22"/>
  <c r="AR58" i="22"/>
  <c r="AR38" i="22"/>
  <c r="AR20" i="22"/>
  <c r="AR12" i="22"/>
  <c r="AR55" i="22"/>
  <c r="AR39" i="22"/>
  <c r="AR54" i="22"/>
  <c r="AR35" i="22"/>
  <c r="AR17" i="22"/>
  <c r="AR34" i="22"/>
  <c r="AR16" i="22"/>
  <c r="AR63" i="22"/>
  <c r="AR57" i="22"/>
  <c r="AR44" i="22"/>
  <c r="AR21" i="22"/>
  <c r="AR33" i="22"/>
  <c r="AR15" i="22"/>
  <c r="BH17" i="25"/>
  <c r="BI17" i="25" s="1"/>
  <c r="BJ17" i="25" s="1"/>
  <c r="BH51" i="25"/>
  <c r="BI51" i="25" s="1"/>
  <c r="BJ51" i="25" s="1"/>
  <c r="BH15" i="25"/>
  <c r="BI15" i="25" s="1"/>
  <c r="BJ15" i="25" s="1"/>
  <c r="BQ15" i="25" s="1"/>
  <c r="BL39" i="25"/>
  <c r="BN42" i="25"/>
  <c r="BH50" i="25"/>
  <c r="BI50" i="25" s="1"/>
  <c r="BJ50" i="25" s="1"/>
  <c r="BH32" i="25"/>
  <c r="BI32" i="25" s="1"/>
  <c r="BJ32" i="25" s="1"/>
  <c r="BP32" i="25" s="1"/>
  <c r="BH14" i="25"/>
  <c r="BI14" i="25" s="1"/>
  <c r="BJ14" i="25" s="1"/>
  <c r="BL22" i="25"/>
  <c r="BN41" i="25"/>
  <c r="BH49" i="25"/>
  <c r="BI49" i="25" s="1"/>
  <c r="BJ49" i="25" s="1"/>
  <c r="BH31" i="25"/>
  <c r="BI31" i="25" s="1"/>
  <c r="BJ31" i="25" s="1"/>
  <c r="BH13" i="25"/>
  <c r="BI13" i="25" s="1"/>
  <c r="BJ13" i="25" s="1"/>
  <c r="BL21" i="25"/>
  <c r="BN29" i="25"/>
  <c r="BH36" i="25"/>
  <c r="BI36" i="25" s="1"/>
  <c r="BJ36" i="25" s="1"/>
  <c r="BR36" i="25" s="1"/>
  <c r="BH53" i="25"/>
  <c r="BI53" i="25" s="1"/>
  <c r="BJ53" i="25" s="1"/>
  <c r="BO53" i="25" s="1"/>
  <c r="BH16" i="25"/>
  <c r="BI16" i="25" s="1"/>
  <c r="BJ16" i="25" s="1"/>
  <c r="BO16" i="25" s="1"/>
  <c r="BH2" i="25"/>
  <c r="BI2" i="25" s="1"/>
  <c r="BJ2" i="25" s="1"/>
  <c r="BH48" i="25"/>
  <c r="BI48" i="25" s="1"/>
  <c r="BJ48" i="25" s="1"/>
  <c r="BQ48" i="25" s="1"/>
  <c r="BH30" i="25"/>
  <c r="BI30" i="25" s="1"/>
  <c r="BJ30" i="25" s="1"/>
  <c r="BH12" i="25"/>
  <c r="BI12" i="25" s="1"/>
  <c r="BJ12" i="25" s="1"/>
  <c r="BQ12" i="25" s="1"/>
  <c r="BK2" i="25"/>
  <c r="BE2" i="25" s="1"/>
  <c r="BL3" i="25"/>
  <c r="BN24" i="25"/>
  <c r="BR24" i="25" s="1"/>
  <c r="BH54" i="25"/>
  <c r="BI54" i="25" s="1"/>
  <c r="BJ54" i="25" s="1"/>
  <c r="BH35" i="25"/>
  <c r="BI35" i="25" s="1"/>
  <c r="BJ35" i="25" s="1"/>
  <c r="BL40" i="25"/>
  <c r="BK65" i="25"/>
  <c r="BN23" i="25"/>
  <c r="BM55" i="25"/>
  <c r="BK47" i="25"/>
  <c r="BM49" i="25"/>
  <c r="BQ49" i="25" s="1"/>
  <c r="BN5" i="25"/>
  <c r="BK29" i="25"/>
  <c r="BM32" i="25"/>
  <c r="BM37" i="25"/>
  <c r="BK28" i="25"/>
  <c r="BM31" i="25"/>
  <c r="BH57" i="25"/>
  <c r="BI57" i="25" s="1"/>
  <c r="BJ57" i="25" s="1"/>
  <c r="BR57" i="25" s="1"/>
  <c r="BH39" i="25"/>
  <c r="BI39" i="25" s="1"/>
  <c r="BJ39" i="25" s="1"/>
  <c r="BP39" i="25" s="1"/>
  <c r="BH21" i="25"/>
  <c r="BI21" i="25" s="1"/>
  <c r="BJ21" i="25" s="1"/>
  <c r="BP21" i="25" s="1"/>
  <c r="BH3" i="25"/>
  <c r="BI3" i="25" s="1"/>
  <c r="BJ3" i="25" s="1"/>
  <c r="BK11" i="25"/>
  <c r="BM14" i="25"/>
  <c r="BM19" i="25"/>
  <c r="BH38" i="25"/>
  <c r="BI38" i="25" s="1"/>
  <c r="BJ38" i="25" s="1"/>
  <c r="BG64" i="25"/>
  <c r="BH64" i="25" s="1"/>
  <c r="BI64" i="25" s="1"/>
  <c r="BJ64" i="25" s="1"/>
  <c r="BQ64" i="25" s="1"/>
  <c r="BK10" i="25"/>
  <c r="BM13" i="25"/>
  <c r="BQ13" i="25" s="1"/>
  <c r="BQ61" i="25"/>
  <c r="BO61" i="25"/>
  <c r="BP43" i="25"/>
  <c r="BQ43" i="25"/>
  <c r="BO15" i="25"/>
  <c r="BR6" i="25"/>
  <c r="BP6" i="25"/>
  <c r="BP46" i="25"/>
  <c r="BR46" i="25"/>
  <c r="BO32" i="25"/>
  <c r="BQ32" i="25"/>
  <c r="BQ31" i="25"/>
  <c r="BO34" i="25"/>
  <c r="BQ34" i="25"/>
  <c r="BQ14" i="25"/>
  <c r="BQ37" i="25"/>
  <c r="BQ50" i="25"/>
  <c r="BP50" i="25"/>
  <c r="BR50" i="25"/>
  <c r="BO49" i="25"/>
  <c r="BP13" i="25"/>
  <c r="BO2" i="25"/>
  <c r="BO48" i="25"/>
  <c r="BR3" i="25"/>
  <c r="BP3" i="25"/>
  <c r="BO3" i="25"/>
  <c r="BO28" i="25"/>
  <c r="BP58" i="25"/>
  <c r="BQ58" i="25"/>
  <c r="BP40" i="25"/>
  <c r="BR39" i="25"/>
  <c r="BR38" i="25"/>
  <c r="BR64" i="25"/>
  <c r="BG20" i="25"/>
  <c r="BH20" i="25" s="1"/>
  <c r="BI20" i="25" s="1"/>
  <c r="BJ20" i="25" s="1"/>
  <c r="BK64" i="25"/>
  <c r="BE64" i="25" s="1"/>
  <c r="BK46" i="25"/>
  <c r="BE46" i="25" s="1"/>
  <c r="BK27" i="25"/>
  <c r="BK9" i="25"/>
  <c r="BL56" i="25"/>
  <c r="BL38" i="25"/>
  <c r="BP38" i="25" s="1"/>
  <c r="BL20" i="25"/>
  <c r="BM2" i="25"/>
  <c r="BQ2" i="25" s="1"/>
  <c r="BM48" i="25"/>
  <c r="BM30" i="25"/>
  <c r="BQ30" i="25" s="1"/>
  <c r="BM12" i="25"/>
  <c r="BN58" i="25"/>
  <c r="BR58" i="25" s="1"/>
  <c r="BN40" i="25"/>
  <c r="BR40" i="25" s="1"/>
  <c r="BN22" i="25"/>
  <c r="BN4" i="25"/>
  <c r="BG26" i="25"/>
  <c r="BH26" i="25" s="1"/>
  <c r="BI26" i="25" s="1"/>
  <c r="BJ26" i="25" s="1"/>
  <c r="BH18" i="25"/>
  <c r="BI18" i="25" s="1"/>
  <c r="BJ18" i="25" s="1"/>
  <c r="BG19" i="25"/>
  <c r="BH19" i="25" s="1"/>
  <c r="BI19" i="25" s="1"/>
  <c r="BJ19" i="25" s="1"/>
  <c r="BK63" i="25"/>
  <c r="BK45" i="25"/>
  <c r="BK26" i="25"/>
  <c r="BK8" i="25"/>
  <c r="BL55" i="25"/>
  <c r="BE55" i="25" s="1"/>
  <c r="BL37" i="25"/>
  <c r="BP37" i="25" s="1"/>
  <c r="BL19" i="25"/>
  <c r="BE19" i="25" s="1"/>
  <c r="BM65" i="25"/>
  <c r="BM47" i="25"/>
  <c r="BM29" i="25"/>
  <c r="BM11" i="25"/>
  <c r="BN57" i="25"/>
  <c r="BN39" i="25"/>
  <c r="BN21" i="25"/>
  <c r="BN3" i="25"/>
  <c r="BG10" i="25"/>
  <c r="BH10" i="25" s="1"/>
  <c r="BI10" i="25" s="1"/>
  <c r="BJ10" i="25" s="1"/>
  <c r="BK62" i="25"/>
  <c r="BK43" i="25"/>
  <c r="BE43" i="25" s="1"/>
  <c r="BK25" i="25"/>
  <c r="BE25" i="25" s="1"/>
  <c r="BK7" i="25"/>
  <c r="BE7" i="25" s="1"/>
  <c r="BL54" i="25"/>
  <c r="BP54" i="25" s="1"/>
  <c r="BL36" i="25"/>
  <c r="BL18" i="25"/>
  <c r="BM64" i="25"/>
  <c r="BM46" i="25"/>
  <c r="BQ46" i="25" s="1"/>
  <c r="BM28" i="25"/>
  <c r="BQ28" i="25" s="1"/>
  <c r="BM10" i="25"/>
  <c r="BN56" i="25"/>
  <c r="BN38" i="25"/>
  <c r="BN20" i="25"/>
  <c r="BG9" i="25"/>
  <c r="BH9" i="25" s="1"/>
  <c r="BI9" i="25" s="1"/>
  <c r="BJ9" i="25" s="1"/>
  <c r="BK61" i="25"/>
  <c r="BK42" i="25"/>
  <c r="BK24" i="25"/>
  <c r="BO24" i="25" s="1"/>
  <c r="BK6" i="25"/>
  <c r="BO6" i="25" s="1"/>
  <c r="BL53" i="25"/>
  <c r="BL35" i="25"/>
  <c r="BP35" i="25" s="1"/>
  <c r="BL17" i="25"/>
  <c r="BP17" i="25" s="1"/>
  <c r="BM63" i="25"/>
  <c r="BM45" i="25"/>
  <c r="BM27" i="25"/>
  <c r="BM9" i="25"/>
  <c r="BN55" i="25"/>
  <c r="BN37" i="25"/>
  <c r="BR37" i="25" s="1"/>
  <c r="BN19" i="25"/>
  <c r="BG27" i="25"/>
  <c r="BH27" i="25" s="1"/>
  <c r="BI27" i="25" s="1"/>
  <c r="BJ27" i="25" s="1"/>
  <c r="BG8" i="25"/>
  <c r="BH8" i="25" s="1"/>
  <c r="BI8" i="25" s="1"/>
  <c r="BJ8" i="25" s="1"/>
  <c r="BK60" i="25"/>
  <c r="BK41" i="25"/>
  <c r="BK23" i="25"/>
  <c r="BK5" i="25"/>
  <c r="BL52" i="25"/>
  <c r="BP52" i="25" s="1"/>
  <c r="BL34" i="25"/>
  <c r="BP34" i="25" s="1"/>
  <c r="BL16" i="25"/>
  <c r="BM62" i="25"/>
  <c r="BM44" i="25"/>
  <c r="BM26" i="25"/>
  <c r="BM8" i="25"/>
  <c r="BN54" i="25"/>
  <c r="BR54" i="25" s="1"/>
  <c r="BN36" i="25"/>
  <c r="BN18" i="25"/>
  <c r="BK59" i="25"/>
  <c r="BK40" i="25"/>
  <c r="BK22" i="25"/>
  <c r="BK4" i="25"/>
  <c r="BL51" i="25"/>
  <c r="BP51" i="25" s="1"/>
  <c r="BL33" i="25"/>
  <c r="BL15" i="25"/>
  <c r="BP15" i="25" s="1"/>
  <c r="BM61" i="25"/>
  <c r="BM43" i="25"/>
  <c r="BM25" i="25"/>
  <c r="BM7" i="25"/>
  <c r="BN53" i="25"/>
  <c r="BN35" i="25"/>
  <c r="BR35" i="25" s="1"/>
  <c r="BN17" i="25"/>
  <c r="BR17" i="25" s="1"/>
  <c r="BG63" i="25"/>
  <c r="BH63" i="25" s="1"/>
  <c r="BI63" i="25" s="1"/>
  <c r="BJ63" i="25" s="1"/>
  <c r="BH29" i="25"/>
  <c r="BI29" i="25" s="1"/>
  <c r="BJ29" i="25" s="1"/>
  <c r="BH11" i="25"/>
  <c r="BI11" i="25" s="1"/>
  <c r="BJ11" i="25" s="1"/>
  <c r="BK58" i="25"/>
  <c r="BO58" i="25" s="1"/>
  <c r="BK39" i="25"/>
  <c r="BK21" i="25"/>
  <c r="BO21" i="25" s="1"/>
  <c r="BK3" i="25"/>
  <c r="BL50" i="25"/>
  <c r="BL32" i="25"/>
  <c r="BL14" i="25"/>
  <c r="BP14" i="25" s="1"/>
  <c r="BM60" i="25"/>
  <c r="BM42" i="25"/>
  <c r="BM24" i="25"/>
  <c r="BQ24" i="25" s="1"/>
  <c r="BM6" i="25"/>
  <c r="BQ6" i="25" s="1"/>
  <c r="BN52" i="25"/>
  <c r="BR52" i="25" s="1"/>
  <c r="BN34" i="25"/>
  <c r="BR34" i="25" s="1"/>
  <c r="BN16" i="25"/>
  <c r="BR16" i="25" s="1"/>
  <c r="BG62" i="25"/>
  <c r="BH62" i="25" s="1"/>
  <c r="BI62" i="25" s="1"/>
  <c r="BJ62" i="25" s="1"/>
  <c r="BH65" i="25"/>
  <c r="BI65" i="25" s="1"/>
  <c r="BJ65" i="25" s="1"/>
  <c r="BH47" i="25"/>
  <c r="BI47" i="25" s="1"/>
  <c r="BJ47" i="25" s="1"/>
  <c r="BK57" i="25"/>
  <c r="BK38" i="25"/>
  <c r="BK20" i="25"/>
  <c r="BL49" i="25"/>
  <c r="BP49" i="25" s="1"/>
  <c r="BL31" i="25"/>
  <c r="BP31" i="25" s="1"/>
  <c r="BL13" i="25"/>
  <c r="BM59" i="25"/>
  <c r="BM41" i="25"/>
  <c r="BM23" i="25"/>
  <c r="BM5" i="25"/>
  <c r="BN51" i="25"/>
  <c r="BR51" i="25" s="1"/>
  <c r="BN33" i="25"/>
  <c r="BN15" i="25"/>
  <c r="BR15" i="25" s="1"/>
  <c r="BG56" i="25"/>
  <c r="BH56" i="25" s="1"/>
  <c r="BI56" i="25" s="1"/>
  <c r="BJ56" i="25" s="1"/>
  <c r="BK56" i="25"/>
  <c r="BE56" i="25" s="1"/>
  <c r="BK37" i="25"/>
  <c r="BL2" i="25"/>
  <c r="BP2" i="25" s="1"/>
  <c r="BL48" i="25"/>
  <c r="BE48" i="25" s="1"/>
  <c r="BL30" i="25"/>
  <c r="BP30" i="25" s="1"/>
  <c r="BL12" i="25"/>
  <c r="BM58" i="25"/>
  <c r="BM40" i="25"/>
  <c r="BQ40" i="25" s="1"/>
  <c r="BM22" i="25"/>
  <c r="BM4" i="25"/>
  <c r="BN50" i="25"/>
  <c r="BN32" i="25"/>
  <c r="BN14" i="25"/>
  <c r="BR14" i="25" s="1"/>
  <c r="BG55" i="25"/>
  <c r="BH55" i="25" s="1"/>
  <c r="BI55" i="25" s="1"/>
  <c r="BJ55" i="25" s="1"/>
  <c r="BK36" i="25"/>
  <c r="BK18" i="25"/>
  <c r="BL65" i="25"/>
  <c r="BE65" i="25" s="1"/>
  <c r="BL47" i="25"/>
  <c r="BE47" i="25" s="1"/>
  <c r="BL29" i="25"/>
  <c r="BE29" i="25" s="1"/>
  <c r="BL11" i="25"/>
  <c r="BE11" i="25" s="1"/>
  <c r="BM57" i="25"/>
  <c r="BM39" i="25"/>
  <c r="BQ39" i="25" s="1"/>
  <c r="BM21" i="25"/>
  <c r="BM3" i="25"/>
  <c r="BQ3" i="25" s="1"/>
  <c r="BN49" i="25"/>
  <c r="BR49" i="25" s="1"/>
  <c r="BN31" i="25"/>
  <c r="BR31" i="25" s="1"/>
  <c r="BN13" i="25"/>
  <c r="BR13" i="25" s="1"/>
  <c r="BH25" i="25"/>
  <c r="BI25" i="25" s="1"/>
  <c r="BJ25" i="25" s="1"/>
  <c r="BH7" i="25"/>
  <c r="BI7" i="25" s="1"/>
  <c r="BJ7" i="25" s="1"/>
  <c r="BK54" i="25"/>
  <c r="BO54" i="25" s="1"/>
  <c r="BK35" i="25"/>
  <c r="BO35" i="25" s="1"/>
  <c r="BK17" i="25"/>
  <c r="BO17" i="25" s="1"/>
  <c r="BL64" i="25"/>
  <c r="BL46" i="25"/>
  <c r="BL28" i="25"/>
  <c r="BE28" i="25" s="1"/>
  <c r="BL10" i="25"/>
  <c r="BE10" i="25" s="1"/>
  <c r="BM38" i="25"/>
  <c r="BQ38" i="25" s="1"/>
  <c r="BN2" i="25"/>
  <c r="BR2" i="25" s="1"/>
  <c r="BN48" i="25"/>
  <c r="BR48" i="25" s="1"/>
  <c r="BN30" i="25"/>
  <c r="BR30" i="25" s="1"/>
  <c r="BN12" i="25"/>
  <c r="BG44" i="25"/>
  <c r="BH44" i="25" s="1"/>
  <c r="BI44" i="25" s="1"/>
  <c r="BJ44" i="25" s="1"/>
  <c r="BH60" i="25"/>
  <c r="BI60" i="25" s="1"/>
  <c r="BJ60" i="25" s="1"/>
  <c r="BH42" i="25"/>
  <c r="BI42" i="25" s="1"/>
  <c r="BJ42" i="25" s="1"/>
  <c r="BH23" i="25"/>
  <c r="BI23" i="25" s="1"/>
  <c r="BJ23" i="25" s="1"/>
  <c r="BH5" i="25"/>
  <c r="BI5" i="25" s="1"/>
  <c r="BJ5" i="25" s="1"/>
  <c r="BK52" i="25"/>
  <c r="BO52" i="25" s="1"/>
  <c r="BK33" i="25"/>
  <c r="BK15" i="25"/>
  <c r="BL62" i="25"/>
  <c r="BL44" i="25"/>
  <c r="BL26" i="25"/>
  <c r="BL8" i="25"/>
  <c r="BM54" i="25"/>
  <c r="BQ54" i="25" s="1"/>
  <c r="BM36" i="25"/>
  <c r="BQ36" i="25" s="1"/>
  <c r="BM18" i="25"/>
  <c r="BN28" i="25"/>
  <c r="BR28" i="25" s="1"/>
  <c r="BL63" i="25"/>
  <c r="BH59" i="25"/>
  <c r="BI59" i="25" s="1"/>
  <c r="BJ59" i="25" s="1"/>
  <c r="BH41" i="25"/>
  <c r="BI41" i="25" s="1"/>
  <c r="BJ41" i="25" s="1"/>
  <c r="BH22" i="25"/>
  <c r="BI22" i="25" s="1"/>
  <c r="BJ22" i="25" s="1"/>
  <c r="BH4" i="25"/>
  <c r="BI4" i="25" s="1"/>
  <c r="BJ4" i="25" s="1"/>
  <c r="BK51" i="25"/>
  <c r="BE51" i="25" s="1"/>
  <c r="BK32" i="25"/>
  <c r="BK14" i="25"/>
  <c r="BO14" i="25" s="1"/>
  <c r="BL61" i="25"/>
  <c r="BP61" i="25" s="1"/>
  <c r="BL43" i="25"/>
  <c r="BL25" i="25"/>
  <c r="BL6" i="25"/>
  <c r="BM53" i="25"/>
  <c r="BM35" i="25"/>
  <c r="BQ35" i="25" s="1"/>
  <c r="BM17" i="25"/>
  <c r="BQ17" i="25" s="1"/>
  <c r="BN45" i="25"/>
  <c r="BN27" i="25"/>
  <c r="BN9" i="25"/>
  <c r="BG45" i="25"/>
  <c r="BH45" i="25" s="1"/>
  <c r="BI45" i="25" s="1"/>
  <c r="BJ45" i="25" s="1"/>
  <c r="BK50" i="25"/>
  <c r="BE50" i="25" s="1"/>
  <c r="BK31" i="25"/>
  <c r="BK13" i="25"/>
  <c r="BL60" i="25"/>
  <c r="BL42" i="25"/>
  <c r="BL24" i="25"/>
  <c r="BP24" i="25" s="1"/>
  <c r="BL5" i="25"/>
  <c r="BM52" i="25"/>
  <c r="BQ52" i="25" s="1"/>
  <c r="BM34" i="25"/>
  <c r="BM16" i="25"/>
  <c r="BK49" i="25"/>
  <c r="BK30" i="25"/>
  <c r="BO30" i="25" s="1"/>
  <c r="BK12" i="25"/>
  <c r="BL59" i="25"/>
  <c r="BL41" i="25"/>
  <c r="BL23" i="25"/>
  <c r="BL4" i="25"/>
  <c r="BM51" i="25"/>
  <c r="BQ51" i="25" s="1"/>
  <c r="BM33" i="25"/>
  <c r="BM15" i="25"/>
  <c r="BN61" i="25"/>
  <c r="BR61" i="25" s="1"/>
  <c r="BN43" i="25"/>
  <c r="BR43" i="25" s="1"/>
  <c r="BN25" i="25"/>
  <c r="BN7" i="25"/>
  <c r="AE63" i="26"/>
  <c r="AK26" i="26"/>
  <c r="AP26" i="26" s="1"/>
  <c r="AK62" i="26"/>
  <c r="AP62" i="26" s="1"/>
  <c r="AK43" i="26"/>
  <c r="AP43" i="26" s="1"/>
  <c r="AK25" i="26"/>
  <c r="AP25" i="26" s="1"/>
  <c r="AK7" i="26"/>
  <c r="AP7" i="26" s="1"/>
  <c r="AE59" i="26"/>
  <c r="AH30" i="26"/>
  <c r="AM30" i="26" s="1"/>
  <c r="AJ65" i="26"/>
  <c r="AQ65" i="26" s="1"/>
  <c r="AV65" i="26" s="1"/>
  <c r="AE40" i="26"/>
  <c r="AG43" i="26"/>
  <c r="AL43" i="26" s="1"/>
  <c r="AH28" i="26"/>
  <c r="AM28" i="26" s="1"/>
  <c r="AK44" i="26"/>
  <c r="AP44" i="26" s="1"/>
  <c r="AE28" i="26"/>
  <c r="AG41" i="26"/>
  <c r="AL41" i="26" s="1"/>
  <c r="AJ63" i="26"/>
  <c r="AO63" i="26" s="1"/>
  <c r="AK63" i="26"/>
  <c r="AP63" i="26" s="1"/>
  <c r="AK8" i="26"/>
  <c r="AP8" i="26" s="1"/>
  <c r="AE62" i="26"/>
  <c r="AK59" i="26"/>
  <c r="AP59" i="26" s="1"/>
  <c r="AK40" i="26"/>
  <c r="AP40" i="26" s="1"/>
  <c r="AK22" i="26"/>
  <c r="AP22" i="26" s="1"/>
  <c r="AK4" i="26"/>
  <c r="AP4" i="26" s="1"/>
  <c r="AE27" i="26"/>
  <c r="AG28" i="26"/>
  <c r="AL28" i="26" s="1"/>
  <c r="AH13" i="26"/>
  <c r="AM13" i="26" s="1"/>
  <c r="AJ47" i="26"/>
  <c r="AQ47" i="26" s="1"/>
  <c r="AV47" i="26" s="1"/>
  <c r="AH11" i="26"/>
  <c r="AM11" i="26" s="1"/>
  <c r="AJ44" i="26"/>
  <c r="AO44" i="26" s="1"/>
  <c r="AK37" i="26"/>
  <c r="AP37" i="26" s="1"/>
  <c r="AH10" i="26"/>
  <c r="AM10" i="26" s="1"/>
  <c r="AJ11" i="26"/>
  <c r="AO11" i="26" s="1"/>
  <c r="AE7" i="26"/>
  <c r="AG22" i="26"/>
  <c r="AL22" i="26" s="1"/>
  <c r="AI58" i="26"/>
  <c r="AN58" i="26" s="1"/>
  <c r="AJ10" i="26"/>
  <c r="AQ10" i="26" s="1"/>
  <c r="AV10" i="26" s="1"/>
  <c r="AG7" i="26"/>
  <c r="AL7" i="26" s="1"/>
  <c r="AI44" i="26"/>
  <c r="AN44" i="26" s="1"/>
  <c r="AG5" i="26"/>
  <c r="AL5" i="26" s="1"/>
  <c r="AI43" i="26"/>
  <c r="AN43" i="26" s="1"/>
  <c r="AG65" i="26"/>
  <c r="AL65" i="26" s="1"/>
  <c r="AG4" i="26"/>
  <c r="AL4" i="26" s="1"/>
  <c r="AJ8" i="26"/>
  <c r="AQ8" i="26" s="1"/>
  <c r="AV8" i="26" s="1"/>
  <c r="AM58" i="26"/>
  <c r="AM3" i="26"/>
  <c r="AG64" i="26"/>
  <c r="AL64" i="26" s="1"/>
  <c r="AH65" i="26"/>
  <c r="AM65" i="26" s="1"/>
  <c r="AI26" i="26"/>
  <c r="AN26" i="26" s="1"/>
  <c r="AM34" i="26"/>
  <c r="AK15" i="26"/>
  <c r="AP15" i="26" s="1"/>
  <c r="AJ29" i="26"/>
  <c r="AQ29" i="26" s="1"/>
  <c r="AV29" i="26" s="1"/>
  <c r="AE9" i="26"/>
  <c r="AG44" i="26"/>
  <c r="AL44" i="26" s="1"/>
  <c r="AJ30" i="26"/>
  <c r="AO30" i="26" s="1"/>
  <c r="AK33" i="26"/>
  <c r="AP33" i="26" s="1"/>
  <c r="AK51" i="26"/>
  <c r="AP51" i="26" s="1"/>
  <c r="AK32" i="26"/>
  <c r="AP32" i="26" s="1"/>
  <c r="AK14" i="26"/>
  <c r="AP14" i="26" s="1"/>
  <c r="AE33" i="26"/>
  <c r="AG40" i="26"/>
  <c r="AL40" i="26" s="1"/>
  <c r="AI11" i="26"/>
  <c r="AN11" i="26" s="1"/>
  <c r="AJ28" i="26"/>
  <c r="AQ28" i="26" s="1"/>
  <c r="AV28" i="26" s="1"/>
  <c r="AM26" i="26"/>
  <c r="AE8" i="26"/>
  <c r="AJ32" i="26"/>
  <c r="AO32" i="26" s="1"/>
  <c r="AE43" i="26"/>
  <c r="AK52" i="26"/>
  <c r="AP52" i="26" s="1"/>
  <c r="AK50" i="26"/>
  <c r="AP50" i="26" s="1"/>
  <c r="AK31" i="26"/>
  <c r="AP31" i="26" s="1"/>
  <c r="AK13" i="26"/>
  <c r="AP13" i="26" s="1"/>
  <c r="AE32" i="26"/>
  <c r="AG31" i="26"/>
  <c r="AL31" i="26" s="1"/>
  <c r="AH51" i="26"/>
  <c r="AM51" i="26" s="1"/>
  <c r="AI10" i="26"/>
  <c r="AN10" i="26" s="1"/>
  <c r="AJ27" i="26"/>
  <c r="AO27" i="26" s="1"/>
  <c r="AK48" i="26"/>
  <c r="AP48" i="26" s="1"/>
  <c r="AK30" i="26"/>
  <c r="AP30" i="26" s="1"/>
  <c r="AK12" i="26"/>
  <c r="AP12" i="26" s="1"/>
  <c r="AK58" i="26"/>
  <c r="AP58" i="26" s="1"/>
  <c r="AK39" i="26"/>
  <c r="AP39" i="26" s="1"/>
  <c r="AK21" i="26"/>
  <c r="AP21" i="26" s="1"/>
  <c r="AK3" i="26"/>
  <c r="AP3" i="26" s="1"/>
  <c r="AE30" i="26"/>
  <c r="AG30" i="26"/>
  <c r="AL30" i="26" s="1"/>
  <c r="AH50" i="26"/>
  <c r="AM50" i="26" s="1"/>
  <c r="AI63" i="26"/>
  <c r="AN63" i="26" s="1"/>
  <c r="AI8" i="26"/>
  <c r="AN8" i="26" s="1"/>
  <c r="AJ26" i="26"/>
  <c r="AQ26" i="26" s="1"/>
  <c r="AV26" i="26" s="1"/>
  <c r="AM53" i="26"/>
  <c r="AK2" i="26"/>
  <c r="AP2" i="26" s="1"/>
  <c r="AK47" i="26"/>
  <c r="AP47" i="26" s="1"/>
  <c r="AK29" i="26"/>
  <c r="AP29" i="26" s="1"/>
  <c r="AK11" i="26"/>
  <c r="AP11" i="26" s="1"/>
  <c r="AK57" i="26"/>
  <c r="AP57" i="26" s="1"/>
  <c r="AK38" i="26"/>
  <c r="AP38" i="26" s="1"/>
  <c r="AK20" i="26"/>
  <c r="AP20" i="26" s="1"/>
  <c r="AE2" i="26"/>
  <c r="AE29" i="26"/>
  <c r="AI2" i="26"/>
  <c r="AN2" i="26" s="1"/>
  <c r="AH48" i="26"/>
  <c r="AM48" i="26" s="1"/>
  <c r="AI62" i="26"/>
  <c r="AN62" i="26" s="1"/>
  <c r="AI7" i="26"/>
  <c r="AN7" i="26" s="1"/>
  <c r="AJ14" i="26"/>
  <c r="AO14" i="26" s="1"/>
  <c r="AM16" i="26"/>
  <c r="AE45" i="26"/>
  <c r="AM44" i="26"/>
  <c r="AE44" i="26"/>
  <c r="AJ2" i="26"/>
  <c r="AO2" i="26" s="1"/>
  <c r="AG27" i="26"/>
  <c r="AL27" i="26" s="1"/>
  <c r="AH47" i="26"/>
  <c r="AM47" i="26" s="1"/>
  <c r="AI59" i="26"/>
  <c r="AN59" i="26" s="1"/>
  <c r="AI4" i="26"/>
  <c r="AN4" i="26" s="1"/>
  <c r="AJ12" i="26"/>
  <c r="AO12" i="26" s="1"/>
  <c r="AE52" i="26"/>
  <c r="AE51" i="26"/>
  <c r="AE14" i="26"/>
  <c r="AG59" i="26"/>
  <c r="AL59" i="26" s="1"/>
  <c r="AG12" i="26"/>
  <c r="AL12" i="26" s="1"/>
  <c r="AH29" i="26"/>
  <c r="AM29" i="26" s="1"/>
  <c r="AI40" i="26"/>
  <c r="AN40" i="26" s="1"/>
  <c r="AJ48" i="26"/>
  <c r="AO48" i="26" s="1"/>
  <c r="AE15" i="26"/>
  <c r="AJ51" i="26"/>
  <c r="AO51" i="26" s="1"/>
  <c r="AE48" i="26"/>
  <c r="AE12" i="26"/>
  <c r="AE47" i="26"/>
  <c r="AE11" i="26"/>
  <c r="AG48" i="26"/>
  <c r="AL48" i="26" s="1"/>
  <c r="AG9" i="26"/>
  <c r="AL9" i="26" s="1"/>
  <c r="AI29" i="26"/>
  <c r="AN29" i="26" s="1"/>
  <c r="AE46" i="26"/>
  <c r="AG8" i="26"/>
  <c r="AL8" i="26" s="1"/>
  <c r="AH14" i="26"/>
  <c r="AM14" i="26" s="1"/>
  <c r="AJ45" i="26"/>
  <c r="AQ45" i="26" s="1"/>
  <c r="AV45" i="26" s="1"/>
  <c r="AP6" i="26"/>
  <c r="AP61" i="26"/>
  <c r="AP42" i="26"/>
  <c r="AN28" i="26"/>
  <c r="AE61" i="26"/>
  <c r="AI57" i="26"/>
  <c r="AN57" i="26" s="1"/>
  <c r="AI38" i="26"/>
  <c r="AN38" i="26" s="1"/>
  <c r="AI20" i="26"/>
  <c r="AN20" i="26" s="1"/>
  <c r="AK55" i="26"/>
  <c r="AP55" i="26" s="1"/>
  <c r="AK36" i="26"/>
  <c r="AP36" i="26" s="1"/>
  <c r="AK18" i="26"/>
  <c r="AP18" i="26" s="1"/>
  <c r="AL45" i="26"/>
  <c r="AM55" i="26"/>
  <c r="AM36" i="26"/>
  <c r="AM18" i="26"/>
  <c r="AN64" i="26"/>
  <c r="AN45" i="26"/>
  <c r="AN27" i="26"/>
  <c r="AN9" i="26"/>
  <c r="AE60" i="26"/>
  <c r="AE41" i="26"/>
  <c r="AE23" i="26"/>
  <c r="AE5" i="26"/>
  <c r="AG58" i="26"/>
  <c r="AL58" i="26" s="1"/>
  <c r="AG39" i="26"/>
  <c r="AL39" i="26" s="1"/>
  <c r="AG21" i="26"/>
  <c r="AL21" i="26" s="1"/>
  <c r="AG3" i="26"/>
  <c r="AL3" i="26" s="1"/>
  <c r="AI56" i="26"/>
  <c r="AN56" i="26" s="1"/>
  <c r="AI37" i="26"/>
  <c r="AN37" i="26" s="1"/>
  <c r="AI19" i="26"/>
  <c r="AN19" i="26" s="1"/>
  <c r="AK54" i="26"/>
  <c r="AP54" i="26" s="1"/>
  <c r="AK35" i="26"/>
  <c r="AP35" i="26" s="1"/>
  <c r="AK17" i="26"/>
  <c r="AP17" i="26" s="1"/>
  <c r="AM54" i="26"/>
  <c r="AM35" i="26"/>
  <c r="AM17" i="26"/>
  <c r="AL10" i="26"/>
  <c r="AE6" i="26"/>
  <c r="AG38" i="26"/>
  <c r="AL38" i="26" s="1"/>
  <c r="AI18" i="26"/>
  <c r="AN18" i="26" s="1"/>
  <c r="AK16" i="26"/>
  <c r="AP16" i="26" s="1"/>
  <c r="AE58" i="26"/>
  <c r="AE39" i="26"/>
  <c r="AE21" i="26"/>
  <c r="AE3" i="26"/>
  <c r="AG56" i="26"/>
  <c r="AL56" i="26" s="1"/>
  <c r="AG37" i="26"/>
  <c r="AL37" i="26" s="1"/>
  <c r="AG19" i="26"/>
  <c r="AL19" i="26" s="1"/>
  <c r="AH64" i="26"/>
  <c r="AM64" i="26" s="1"/>
  <c r="AH45" i="26"/>
  <c r="AM45" i="26" s="1"/>
  <c r="AH27" i="26"/>
  <c r="AM27" i="26" s="1"/>
  <c r="AH9" i="26"/>
  <c r="AM9" i="26" s="1"/>
  <c r="AI54" i="26"/>
  <c r="AN54" i="26" s="1"/>
  <c r="AI35" i="26"/>
  <c r="AN35" i="26" s="1"/>
  <c r="AI17" i="26"/>
  <c r="AN17" i="26" s="1"/>
  <c r="AJ62" i="26"/>
  <c r="AQ62" i="26" s="1"/>
  <c r="AV62" i="26" s="1"/>
  <c r="AJ43" i="26"/>
  <c r="AQ43" i="26" s="1"/>
  <c r="AV43" i="26" s="1"/>
  <c r="AJ25" i="26"/>
  <c r="AQ25" i="26" s="1"/>
  <c r="AV25" i="26" s="1"/>
  <c r="AJ7" i="26"/>
  <c r="AQ7" i="26" s="1"/>
  <c r="AV7" i="26" s="1"/>
  <c r="AL61" i="26"/>
  <c r="AL42" i="26"/>
  <c r="AL24" i="26"/>
  <c r="AL6" i="26"/>
  <c r="AM52" i="26"/>
  <c r="AM33" i="26"/>
  <c r="AM15" i="26"/>
  <c r="AL46" i="26"/>
  <c r="AN65" i="26"/>
  <c r="AP28" i="26"/>
  <c r="AE42" i="26"/>
  <c r="AE57" i="26"/>
  <c r="AE38" i="26"/>
  <c r="AE20" i="26"/>
  <c r="AG55" i="26"/>
  <c r="AL55" i="26" s="1"/>
  <c r="AG36" i="26"/>
  <c r="AL36" i="26" s="1"/>
  <c r="AG18" i="26"/>
  <c r="AL18" i="26" s="1"/>
  <c r="AI53" i="26"/>
  <c r="AN53" i="26" s="1"/>
  <c r="AI34" i="26"/>
  <c r="AN34" i="26" s="1"/>
  <c r="AI16" i="26"/>
  <c r="AN16" i="26" s="1"/>
  <c r="AJ61" i="26"/>
  <c r="AJ42" i="26"/>
  <c r="AJ24" i="26"/>
  <c r="AJ6" i="26"/>
  <c r="AN60" i="26"/>
  <c r="AN41" i="26"/>
  <c r="AN23" i="26"/>
  <c r="AN5" i="26"/>
  <c r="AE24" i="26"/>
  <c r="AG20" i="26"/>
  <c r="AL20" i="26" s="1"/>
  <c r="AE56" i="26"/>
  <c r="AE37" i="26"/>
  <c r="AE19" i="26"/>
  <c r="AG54" i="26"/>
  <c r="AL54" i="26" s="1"/>
  <c r="AG35" i="26"/>
  <c r="AL35" i="26" s="1"/>
  <c r="AG17" i="26"/>
  <c r="AL17" i="26" s="1"/>
  <c r="AI52" i="26"/>
  <c r="AN52" i="26" s="1"/>
  <c r="AI33" i="26"/>
  <c r="AN33" i="26" s="1"/>
  <c r="AI15" i="26"/>
  <c r="AN15" i="26" s="1"/>
  <c r="AJ60" i="26"/>
  <c r="AJ41" i="26"/>
  <c r="AJ23" i="26"/>
  <c r="AJ5" i="26"/>
  <c r="AO50" i="26"/>
  <c r="AO31" i="26"/>
  <c r="AO13" i="26"/>
  <c r="AQ50" i="26"/>
  <c r="AV50" i="26" s="1"/>
  <c r="AQ31" i="26"/>
  <c r="AV31" i="26" s="1"/>
  <c r="AQ13" i="26"/>
  <c r="AV13" i="26" s="1"/>
  <c r="AG57" i="26"/>
  <c r="AL57" i="26" s="1"/>
  <c r="AI36" i="26"/>
  <c r="AN36" i="26" s="1"/>
  <c r="AE55" i="26"/>
  <c r="AE36" i="26"/>
  <c r="AE18" i="26"/>
  <c r="AG53" i="26"/>
  <c r="AL53" i="26" s="1"/>
  <c r="AG34" i="26"/>
  <c r="AL34" i="26" s="1"/>
  <c r="AG16" i="26"/>
  <c r="AL16" i="26" s="1"/>
  <c r="AH61" i="26"/>
  <c r="AM61" i="26" s="1"/>
  <c r="AH42" i="26"/>
  <c r="AM42" i="26" s="1"/>
  <c r="AH24" i="26"/>
  <c r="AM24" i="26" s="1"/>
  <c r="AH6" i="26"/>
  <c r="AM6" i="26" s="1"/>
  <c r="AI51" i="26"/>
  <c r="AN51" i="26" s="1"/>
  <c r="AI32" i="26"/>
  <c r="AN32" i="26" s="1"/>
  <c r="AI14" i="26"/>
  <c r="AN14" i="26" s="1"/>
  <c r="AJ59" i="26"/>
  <c r="AJ40" i="26"/>
  <c r="AJ22" i="26"/>
  <c r="AJ4" i="26"/>
  <c r="AI55" i="26"/>
  <c r="AN55" i="26" s="1"/>
  <c r="AK53" i="26"/>
  <c r="AP53" i="26" s="1"/>
  <c r="AK34" i="26"/>
  <c r="AP34" i="26" s="1"/>
  <c r="AE54" i="26"/>
  <c r="AE35" i="26"/>
  <c r="AE17" i="26"/>
  <c r="AG2" i="26"/>
  <c r="AL2" i="26" s="1"/>
  <c r="AG52" i="26"/>
  <c r="AL52" i="26" s="1"/>
  <c r="AG33" i="26"/>
  <c r="AL33" i="26" s="1"/>
  <c r="AG15" i="26"/>
  <c r="AL15" i="26" s="1"/>
  <c r="AH60" i="26"/>
  <c r="AM60" i="26" s="1"/>
  <c r="AH41" i="26"/>
  <c r="AM41" i="26" s="1"/>
  <c r="AH23" i="26"/>
  <c r="AM23" i="26" s="1"/>
  <c r="AH5" i="26"/>
  <c r="AM5" i="26" s="1"/>
  <c r="AI50" i="26"/>
  <c r="AN50" i="26" s="1"/>
  <c r="AI31" i="26"/>
  <c r="AN31" i="26" s="1"/>
  <c r="AI13" i="26"/>
  <c r="AN13" i="26" s="1"/>
  <c r="AJ58" i="26"/>
  <c r="AJ39" i="26"/>
  <c r="AJ21" i="26"/>
  <c r="AJ3" i="26"/>
  <c r="AM2" i="26"/>
  <c r="AE53" i="26"/>
  <c r="AE34" i="26"/>
  <c r="AE16" i="26"/>
  <c r="AJ57" i="26"/>
  <c r="AJ38" i="26"/>
  <c r="AJ20" i="26"/>
  <c r="AJ56" i="26"/>
  <c r="AJ37" i="26"/>
  <c r="AJ19" i="26"/>
  <c r="AH20" i="26"/>
  <c r="AM20" i="26" s="1"/>
  <c r="AJ18" i="26"/>
  <c r="AQ18" i="26" s="1"/>
  <c r="AV18" i="26" s="1"/>
  <c r="AH57" i="26"/>
  <c r="AM57" i="26" s="1"/>
  <c r="AH38" i="26"/>
  <c r="AM38" i="26" s="1"/>
  <c r="AJ55" i="26"/>
  <c r="AO55" i="26" s="1"/>
  <c r="AJ36" i="26"/>
  <c r="AQ36" i="26" s="1"/>
  <c r="AV36" i="26" s="1"/>
  <c r="AE50" i="26"/>
  <c r="AE31" i="26"/>
  <c r="AE13" i="26"/>
  <c r="AJ54" i="26"/>
  <c r="AO54" i="26" s="1"/>
  <c r="AJ35" i="26"/>
  <c r="AQ35" i="26" s="1"/>
  <c r="AV35" i="26" s="1"/>
  <c r="AJ17" i="26"/>
  <c r="AO17" i="26" s="1"/>
  <c r="AM62" i="26"/>
  <c r="AM43" i="26"/>
  <c r="AM25" i="26"/>
  <c r="AM7" i="26"/>
  <c r="AJ53" i="26"/>
  <c r="AJ34" i="26"/>
  <c r="AJ16" i="26"/>
  <c r="AJ52" i="26"/>
  <c r="AO52" i="26" s="1"/>
  <c r="AJ33" i="26"/>
  <c r="AQ33" i="26" s="1"/>
  <c r="AV33" i="26" s="1"/>
  <c r="AJ15" i="26"/>
  <c r="AO15" i="26" s="1"/>
  <c r="AK60" i="26"/>
  <c r="AP60" i="26" s="1"/>
  <c r="AK41" i="26"/>
  <c r="AP41" i="26" s="1"/>
  <c r="AK23" i="26"/>
  <c r="AP23" i="26" s="1"/>
  <c r="AK5" i="26"/>
  <c r="AP5" i="26" s="1"/>
  <c r="AL51" i="26"/>
  <c r="AL32" i="26"/>
  <c r="AL14" i="26"/>
  <c r="AI61" i="26"/>
  <c r="AN61" i="26" s="1"/>
  <c r="AI42" i="26"/>
  <c r="AN42" i="26" s="1"/>
  <c r="AI24" i="26"/>
  <c r="AN24" i="26" s="1"/>
  <c r="AI6" i="26"/>
  <c r="AN6" i="26" s="1"/>
  <c r="AN48" i="26"/>
  <c r="AN30" i="26"/>
  <c r="AN12" i="26"/>
  <c r="AL47" i="26"/>
  <c r="AL29" i="26"/>
  <c r="AL11" i="26"/>
  <c r="N49" i="23"/>
  <c r="N50" i="23"/>
  <c r="N51" i="23"/>
  <c r="N52" i="23"/>
  <c r="N53" i="23"/>
  <c r="N54" i="23"/>
  <c r="N55" i="23"/>
  <c r="N56" i="23"/>
  <c r="N57" i="23"/>
  <c r="N58" i="23"/>
  <c r="N59" i="23"/>
  <c r="N60" i="23"/>
  <c r="N61" i="23"/>
  <c r="N62" i="23"/>
  <c r="N63" i="23"/>
  <c r="N64" i="23"/>
  <c r="N65" i="23"/>
  <c r="N66" i="23"/>
  <c r="N67" i="23"/>
  <c r="N68" i="23"/>
  <c r="N69" i="23"/>
  <c r="N70" i="23"/>
  <c r="N71" i="23"/>
  <c r="N72" i="23"/>
  <c r="N73" i="23"/>
  <c r="N74" i="23"/>
  <c r="N75" i="23"/>
  <c r="N76" i="23"/>
  <c r="N77" i="23"/>
  <c r="N78" i="23"/>
  <c r="N79" i="23"/>
  <c r="N80" i="23"/>
  <c r="N81" i="23"/>
  <c r="N82" i="23"/>
  <c r="N83" i="23"/>
  <c r="N84" i="23"/>
  <c r="N85" i="23"/>
  <c r="N86" i="23"/>
  <c r="N87" i="23"/>
  <c r="N88" i="23"/>
  <c r="N89" i="23"/>
  <c r="N90" i="23"/>
  <c r="N91" i="23"/>
  <c r="N92" i="23"/>
  <c r="N93" i="23"/>
  <c r="N94" i="23"/>
  <c r="N95" i="23"/>
  <c r="N96" i="23"/>
  <c r="N97" i="23"/>
  <c r="N98" i="23"/>
  <c r="N99" i="23"/>
  <c r="N100" i="23"/>
  <c r="N101" i="23"/>
  <c r="N102" i="23"/>
  <c r="N103" i="23"/>
  <c r="N104" i="23"/>
  <c r="N105" i="23"/>
  <c r="N106" i="23"/>
  <c r="N107" i="23"/>
  <c r="N108" i="23"/>
  <c r="N109" i="23"/>
  <c r="N110" i="23"/>
  <c r="N111" i="23"/>
  <c r="N112" i="23"/>
  <c r="N113" i="23"/>
  <c r="N114" i="23"/>
  <c r="N115" i="23"/>
  <c r="N116" i="23"/>
  <c r="N117" i="23"/>
  <c r="N118" i="23"/>
  <c r="N119" i="23"/>
  <c r="N120" i="23"/>
  <c r="N121" i="23"/>
  <c r="N122" i="23"/>
  <c r="N123" i="23"/>
  <c r="N124" i="23"/>
  <c r="N125" i="23"/>
  <c r="N126" i="23"/>
  <c r="N127" i="23"/>
  <c r="N128" i="23"/>
  <c r="N129" i="23"/>
  <c r="N130" i="23"/>
  <c r="N131" i="23"/>
  <c r="N132" i="23"/>
  <c r="N133" i="23"/>
  <c r="N134" i="23"/>
  <c r="N135" i="23"/>
  <c r="N136" i="23"/>
  <c r="N137" i="23"/>
  <c r="N138" i="23"/>
  <c r="N139" i="23"/>
  <c r="N140" i="23"/>
  <c r="N141" i="23"/>
  <c r="N142" i="23"/>
  <c r="N143" i="23"/>
  <c r="N144" i="23"/>
  <c r="N145" i="23"/>
  <c r="N146" i="23"/>
  <c r="N147" i="23"/>
  <c r="N148" i="23"/>
  <c r="N149" i="23"/>
  <c r="N150" i="23"/>
  <c r="N151" i="23"/>
  <c r="N152" i="23"/>
  <c r="N153" i="23"/>
  <c r="N154" i="23"/>
  <c r="N155" i="23"/>
  <c r="N156" i="23"/>
  <c r="N157" i="23"/>
  <c r="N158" i="23"/>
  <c r="N159" i="23"/>
  <c r="N160" i="23"/>
  <c r="N161" i="23"/>
  <c r="N162" i="23"/>
  <c r="N163" i="23"/>
  <c r="N164" i="23"/>
  <c r="N165" i="23"/>
  <c r="N166" i="23"/>
  <c r="N167" i="23"/>
  <c r="N168" i="23"/>
  <c r="N169" i="23"/>
  <c r="N170" i="23"/>
  <c r="N171" i="23"/>
  <c r="N172" i="23"/>
  <c r="N173" i="23"/>
  <c r="N174" i="23"/>
  <c r="N175" i="23"/>
  <c r="N176" i="23"/>
  <c r="N177" i="23"/>
  <c r="N178" i="23"/>
  <c r="N179" i="23"/>
  <c r="N180" i="23"/>
  <c r="N181" i="23"/>
  <c r="N182" i="23"/>
  <c r="N183" i="23"/>
  <c r="N184" i="23"/>
  <c r="N185" i="23"/>
  <c r="N186" i="23"/>
  <c r="N187" i="23"/>
  <c r="N188" i="23"/>
  <c r="N189" i="23"/>
  <c r="N190" i="23"/>
  <c r="N191" i="23"/>
  <c r="N192" i="23"/>
  <c r="N193" i="23"/>
  <c r="N194" i="23"/>
  <c r="N195" i="23"/>
  <c r="N196" i="23"/>
  <c r="N197" i="23"/>
  <c r="N198" i="23"/>
  <c r="N199" i="23"/>
  <c r="N200" i="23"/>
  <c r="N201" i="23"/>
  <c r="N202" i="23"/>
  <c r="N203" i="23"/>
  <c r="N204" i="23"/>
  <c r="N205" i="23"/>
  <c r="N206" i="23"/>
  <c r="N207" i="23"/>
  <c r="N208" i="23"/>
  <c r="N209" i="23"/>
  <c r="N210" i="23"/>
  <c r="N211" i="23"/>
  <c r="N212" i="23"/>
  <c r="N213" i="23"/>
  <c r="N214" i="23"/>
  <c r="N215" i="23"/>
  <c r="N216" i="23"/>
  <c r="N217" i="23"/>
  <c r="N218" i="23"/>
  <c r="N219" i="23"/>
  <c r="N220" i="23"/>
  <c r="N221" i="23"/>
  <c r="N222" i="23"/>
  <c r="N223" i="23"/>
  <c r="N224" i="23"/>
  <c r="N225" i="23"/>
  <c r="N226" i="23"/>
  <c r="N227" i="23"/>
  <c r="N228" i="23"/>
  <c r="N229" i="23"/>
  <c r="N230" i="23"/>
  <c r="N231" i="23"/>
  <c r="N232" i="23"/>
  <c r="N233" i="23"/>
  <c r="N234" i="23"/>
  <c r="N235" i="23"/>
  <c r="N236" i="23"/>
  <c r="N237" i="23"/>
  <c r="N238" i="23"/>
  <c r="N239" i="23"/>
  <c r="N240" i="23"/>
  <c r="N241" i="23"/>
  <c r="N242" i="23"/>
  <c r="N243" i="23"/>
  <c r="N244" i="23"/>
  <c r="N245" i="23"/>
  <c r="N246" i="23"/>
  <c r="N247" i="23"/>
  <c r="N248" i="23"/>
  <c r="N249" i="23"/>
  <c r="N250" i="23"/>
  <c r="N251" i="23"/>
  <c r="N252" i="23"/>
  <c r="N253" i="23"/>
  <c r="N254" i="23"/>
  <c r="N255" i="23"/>
  <c r="N256" i="23"/>
  <c r="N257" i="23"/>
  <c r="N258" i="23"/>
  <c r="N259" i="23"/>
  <c r="N260" i="23"/>
  <c r="N261" i="23"/>
  <c r="N262" i="23"/>
  <c r="N263" i="23"/>
  <c r="N264" i="23"/>
  <c r="N265" i="23"/>
  <c r="N266" i="23"/>
  <c r="N267" i="23"/>
  <c r="N268" i="23"/>
  <c r="N269" i="23"/>
  <c r="N270" i="23"/>
  <c r="N271" i="23"/>
  <c r="N272" i="23"/>
  <c r="N273" i="23"/>
  <c r="N274" i="23"/>
  <c r="N275" i="23"/>
  <c r="N276" i="23"/>
  <c r="N277" i="23"/>
  <c r="N278" i="23"/>
  <c r="N279" i="23"/>
  <c r="N280" i="23"/>
  <c r="N281" i="23"/>
  <c r="N282" i="23"/>
  <c r="N283" i="23"/>
  <c r="N284" i="23"/>
  <c r="N285" i="23"/>
  <c r="N286" i="23"/>
  <c r="N287" i="23"/>
  <c r="N288" i="23"/>
  <c r="N289" i="23"/>
  <c r="N290" i="23"/>
  <c r="N291" i="23"/>
  <c r="N292" i="23"/>
  <c r="N293" i="23"/>
  <c r="N294" i="23"/>
  <c r="N295" i="23"/>
  <c r="N296" i="23"/>
  <c r="N297" i="23"/>
  <c r="N298" i="23"/>
  <c r="N299" i="23"/>
  <c r="N300" i="23"/>
  <c r="N301" i="23"/>
  <c r="N302" i="23"/>
  <c r="N303" i="23"/>
  <c r="N304" i="23"/>
  <c r="N305" i="23"/>
  <c r="N306" i="23"/>
  <c r="N307" i="23"/>
  <c r="N308" i="23"/>
  <c r="N309" i="23"/>
  <c r="N310" i="23"/>
  <c r="N311" i="23"/>
  <c r="N312" i="23"/>
  <c r="N313" i="23"/>
  <c r="N314" i="23"/>
  <c r="N315" i="23"/>
  <c r="N316" i="23"/>
  <c r="N317" i="23"/>
  <c r="N318" i="23"/>
  <c r="N319" i="23"/>
  <c r="N320" i="23"/>
  <c r="N321" i="23"/>
  <c r="N322" i="23"/>
  <c r="N323" i="23"/>
  <c r="N324" i="23"/>
  <c r="N325" i="23"/>
  <c r="N326" i="23"/>
  <c r="N327" i="23"/>
  <c r="N328" i="23"/>
  <c r="N329" i="23"/>
  <c r="N330" i="23"/>
  <c r="N331" i="23"/>
  <c r="N332" i="23"/>
  <c r="N333" i="23"/>
  <c r="N334" i="23"/>
  <c r="N335" i="23"/>
  <c r="N336" i="23"/>
  <c r="N337" i="23"/>
  <c r="N338" i="23"/>
  <c r="N339" i="23"/>
  <c r="N340" i="23"/>
  <c r="N341" i="23"/>
  <c r="N342" i="23"/>
  <c r="N343" i="23"/>
  <c r="N344" i="23"/>
  <c r="N345" i="23"/>
  <c r="N346" i="23"/>
  <c r="N347" i="23"/>
  <c r="N348" i="23"/>
  <c r="N349" i="23"/>
  <c r="N350" i="23"/>
  <c r="N351" i="23"/>
  <c r="N352" i="23"/>
  <c r="N353" i="23"/>
  <c r="N354" i="23"/>
  <c r="N355" i="23"/>
  <c r="N356" i="23"/>
  <c r="N357" i="23"/>
  <c r="N358" i="23"/>
  <c r="N359" i="23"/>
  <c r="N360" i="23"/>
  <c r="N361" i="23"/>
  <c r="N362" i="23"/>
  <c r="N363" i="23"/>
  <c r="N364" i="23"/>
  <c r="N365" i="23"/>
  <c r="N366" i="23"/>
  <c r="N367" i="23"/>
  <c r="N368" i="23"/>
  <c r="N369" i="23"/>
  <c r="N370" i="23"/>
  <c r="N371" i="23"/>
  <c r="N372" i="23"/>
  <c r="N373" i="23"/>
  <c r="N374" i="23"/>
  <c r="N375" i="23"/>
  <c r="N376" i="23"/>
  <c r="N377" i="23"/>
  <c r="N378" i="23"/>
  <c r="N379" i="23"/>
  <c r="N380" i="23"/>
  <c r="N381" i="23"/>
  <c r="N382" i="23"/>
  <c r="N383" i="23"/>
  <c r="N384" i="23"/>
  <c r="N385" i="23"/>
  <c r="N386" i="23"/>
  <c r="N387" i="23"/>
  <c r="N388" i="23"/>
  <c r="N389" i="23"/>
  <c r="N390" i="23"/>
  <c r="N391" i="23"/>
  <c r="N392" i="23"/>
  <c r="N393" i="23"/>
  <c r="N394" i="23"/>
  <c r="N395" i="23"/>
  <c r="N396" i="23"/>
  <c r="N397" i="23"/>
  <c r="N398" i="23"/>
  <c r="N399" i="23"/>
  <c r="N400" i="23"/>
  <c r="N401" i="23"/>
  <c r="N402" i="23"/>
  <c r="N403" i="23"/>
  <c r="N404" i="23"/>
  <c r="N405" i="23"/>
  <c r="N406" i="23"/>
  <c r="N407" i="23"/>
  <c r="N408" i="23"/>
  <c r="N409" i="23"/>
  <c r="N410" i="23"/>
  <c r="N411" i="23"/>
  <c r="N412" i="23"/>
  <c r="N413" i="23"/>
  <c r="N414" i="23"/>
  <c r="N415" i="23"/>
  <c r="N416" i="23"/>
  <c r="N417" i="23"/>
  <c r="N418" i="23"/>
  <c r="N419" i="23"/>
  <c r="N420" i="23"/>
  <c r="N421" i="23"/>
  <c r="N422" i="23"/>
  <c r="N423" i="23"/>
  <c r="N424" i="23"/>
  <c r="N425" i="23"/>
  <c r="N426" i="23"/>
  <c r="N427" i="23"/>
  <c r="N428" i="23"/>
  <c r="N429" i="23"/>
  <c r="N430" i="23"/>
  <c r="N431" i="23"/>
  <c r="N432" i="23"/>
  <c r="N433" i="23"/>
  <c r="N434" i="23"/>
  <c r="N435" i="23"/>
  <c r="N436" i="23"/>
  <c r="N437" i="23"/>
  <c r="N438" i="23"/>
  <c r="N439" i="23"/>
  <c r="N440" i="23"/>
  <c r="N441" i="23"/>
  <c r="N442" i="23"/>
  <c r="N443" i="23"/>
  <c r="N444" i="23"/>
  <c r="N445" i="23"/>
  <c r="N446" i="23"/>
  <c r="N447" i="23"/>
  <c r="N448" i="23"/>
  <c r="N449" i="23"/>
  <c r="N4" i="23"/>
  <c r="N5" i="23"/>
  <c r="N6" i="23"/>
  <c r="N7" i="23"/>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N37" i="23"/>
  <c r="N38" i="23"/>
  <c r="N39" i="23"/>
  <c r="N40" i="23"/>
  <c r="N41" i="23"/>
  <c r="N42" i="23"/>
  <c r="N43" i="23"/>
  <c r="N44" i="23"/>
  <c r="N45" i="23"/>
  <c r="N46" i="23"/>
  <c r="N47" i="23"/>
  <c r="N48" i="23"/>
  <c r="N3" i="23"/>
  <c r="N2" i="23"/>
  <c r="BO3" i="24"/>
  <c r="BO4" i="24"/>
  <c r="BO5" i="24"/>
  <c r="BO7" i="24"/>
  <c r="BO8" i="24"/>
  <c r="BO10" i="24"/>
  <c r="BO11" i="24"/>
  <c r="BO12" i="24"/>
  <c r="BO13" i="24"/>
  <c r="BO14" i="24"/>
  <c r="BO15" i="24"/>
  <c r="BO16" i="24"/>
  <c r="BO17" i="24"/>
  <c r="BO18" i="24"/>
  <c r="BO19" i="24"/>
  <c r="BO20" i="24"/>
  <c r="BO22" i="24"/>
  <c r="BO24" i="24"/>
  <c r="BO25" i="24"/>
  <c r="BO26" i="24"/>
  <c r="BO27" i="24"/>
  <c r="BO28" i="24"/>
  <c r="BO29" i="24"/>
  <c r="BO30" i="24"/>
  <c r="BO31" i="24"/>
  <c r="BO32" i="24"/>
  <c r="BO33" i="24"/>
  <c r="BO36" i="24"/>
  <c r="BO37" i="24"/>
  <c r="BO38" i="24"/>
  <c r="BO39" i="24"/>
  <c r="BO40" i="24"/>
  <c r="BO41" i="24"/>
  <c r="BO42" i="24"/>
  <c r="BO43" i="24"/>
  <c r="BO44" i="24"/>
  <c r="BO45" i="24"/>
  <c r="BO46" i="24"/>
  <c r="BO47" i="24"/>
  <c r="BO48" i="24"/>
  <c r="BO49" i="24"/>
  <c r="BO50" i="24"/>
  <c r="BO51" i="24"/>
  <c r="BO53" i="24"/>
  <c r="BO54" i="24"/>
  <c r="BO55" i="24"/>
  <c r="BO56" i="24"/>
  <c r="BO58" i="24"/>
  <c r="BO59" i="24"/>
  <c r="BO60" i="24"/>
  <c r="BO61" i="24"/>
  <c r="BO63" i="24"/>
  <c r="BO64" i="24"/>
  <c r="BO65" i="24"/>
  <c r="BO2" i="24"/>
  <c r="BM4" i="24"/>
  <c r="BN3" i="24"/>
  <c r="BN4" i="24"/>
  <c r="BN5" i="24"/>
  <c r="BN7" i="24"/>
  <c r="BN8" i="24"/>
  <c r="BN10" i="24"/>
  <c r="BN11" i="24"/>
  <c r="BN12" i="24"/>
  <c r="BN13" i="24"/>
  <c r="BN14" i="24"/>
  <c r="BN15" i="24"/>
  <c r="BN16" i="24"/>
  <c r="BN17" i="24"/>
  <c r="BN18" i="24"/>
  <c r="BN19" i="24"/>
  <c r="BN20" i="24"/>
  <c r="BN22" i="24"/>
  <c r="BN24" i="24"/>
  <c r="BN25" i="24"/>
  <c r="BN26" i="24"/>
  <c r="BN27" i="24"/>
  <c r="BN28" i="24"/>
  <c r="BN29" i="24"/>
  <c r="BN30" i="24"/>
  <c r="BN31" i="24"/>
  <c r="BN32" i="24"/>
  <c r="BN33" i="24"/>
  <c r="BN36" i="24"/>
  <c r="BN37" i="24"/>
  <c r="BN38" i="24"/>
  <c r="BN39" i="24"/>
  <c r="BN40" i="24"/>
  <c r="BN41" i="24"/>
  <c r="BN42" i="24"/>
  <c r="BN43" i="24"/>
  <c r="BN44" i="24"/>
  <c r="BN45" i="24"/>
  <c r="BN46" i="24"/>
  <c r="BN47" i="24"/>
  <c r="BN48" i="24"/>
  <c r="BN49" i="24"/>
  <c r="BN50" i="24"/>
  <c r="BN51" i="24"/>
  <c r="BN53" i="24"/>
  <c r="BN54" i="24"/>
  <c r="BN55" i="24"/>
  <c r="BN56" i="24"/>
  <c r="BN58" i="24"/>
  <c r="BN59" i="24"/>
  <c r="BN60" i="24"/>
  <c r="BN61" i="24"/>
  <c r="BN62" i="24"/>
  <c r="BN63" i="24"/>
  <c r="BN64" i="24"/>
  <c r="BN65" i="24"/>
  <c r="BN2" i="24"/>
  <c r="BM3" i="24"/>
  <c r="BM5" i="24"/>
  <c r="BM7" i="24"/>
  <c r="BM8" i="24"/>
  <c r="BM10" i="24"/>
  <c r="BM11" i="24"/>
  <c r="BM12" i="24"/>
  <c r="BM13" i="24"/>
  <c r="BM14" i="24"/>
  <c r="BM15" i="24"/>
  <c r="BM16" i="24"/>
  <c r="BM17" i="24"/>
  <c r="BM18" i="24"/>
  <c r="BM19" i="24"/>
  <c r="BM20" i="24"/>
  <c r="BM22" i="24"/>
  <c r="BM24" i="24"/>
  <c r="BM25" i="24"/>
  <c r="BM26" i="24"/>
  <c r="BM27" i="24"/>
  <c r="BM28" i="24"/>
  <c r="BM29" i="24"/>
  <c r="BM30" i="24"/>
  <c r="BM31" i="24"/>
  <c r="BM32" i="24"/>
  <c r="BM33" i="24"/>
  <c r="BM36" i="24"/>
  <c r="BM37" i="24"/>
  <c r="BM38" i="24"/>
  <c r="BM39" i="24"/>
  <c r="BM40" i="24"/>
  <c r="BM41" i="24"/>
  <c r="BM42" i="24"/>
  <c r="BM43" i="24"/>
  <c r="BM44" i="24"/>
  <c r="BM45" i="24"/>
  <c r="BM47" i="24"/>
  <c r="BM48" i="24"/>
  <c r="BM49" i="24"/>
  <c r="BM50" i="24"/>
  <c r="BM51" i="24"/>
  <c r="BM53" i="24"/>
  <c r="BM54" i="24"/>
  <c r="BM55" i="24"/>
  <c r="BM56" i="24"/>
  <c r="BM58" i="24"/>
  <c r="BM59" i="24"/>
  <c r="BM60" i="24"/>
  <c r="BM62" i="24"/>
  <c r="BM63" i="24"/>
  <c r="BM64" i="24"/>
  <c r="BM2" i="24"/>
  <c r="BL3" i="24"/>
  <c r="BL4" i="24"/>
  <c r="BL5" i="24"/>
  <c r="BL7" i="24"/>
  <c r="BL8" i="24"/>
  <c r="BL10" i="24"/>
  <c r="BL11" i="24"/>
  <c r="BL12" i="24"/>
  <c r="BL13" i="24"/>
  <c r="BL14" i="24"/>
  <c r="BL15" i="24"/>
  <c r="BL16" i="24"/>
  <c r="BL17" i="24"/>
  <c r="BL18" i="24"/>
  <c r="BL19" i="24"/>
  <c r="BL20" i="24"/>
  <c r="BL22" i="24"/>
  <c r="BL24" i="24"/>
  <c r="BL25" i="24"/>
  <c r="BL26" i="24"/>
  <c r="BL27" i="24"/>
  <c r="BL28" i="24"/>
  <c r="BL29" i="24"/>
  <c r="BL30" i="24"/>
  <c r="BL31" i="24"/>
  <c r="BL32" i="24"/>
  <c r="BL36" i="24"/>
  <c r="BL37" i="24"/>
  <c r="BL38" i="24"/>
  <c r="BL39" i="24"/>
  <c r="BL40" i="24"/>
  <c r="BL41" i="24"/>
  <c r="BL42" i="24"/>
  <c r="BL43" i="24"/>
  <c r="BL44" i="24"/>
  <c r="BL45" i="24"/>
  <c r="BL46" i="24"/>
  <c r="BL47" i="24"/>
  <c r="BL48" i="24"/>
  <c r="BL49" i="24"/>
  <c r="BL50" i="24"/>
  <c r="BL51" i="24"/>
  <c r="BL53" i="24"/>
  <c r="BL54" i="24"/>
  <c r="BL55" i="24"/>
  <c r="BL56" i="24"/>
  <c r="BL58" i="24"/>
  <c r="BL59" i="24"/>
  <c r="BL60" i="24"/>
  <c r="BL61" i="24"/>
  <c r="BL62" i="24"/>
  <c r="BL63" i="24"/>
  <c r="BL64" i="24"/>
  <c r="BL65" i="24"/>
  <c r="BK3" i="24"/>
  <c r="BK4" i="24"/>
  <c r="BK5" i="24"/>
  <c r="BK6" i="24"/>
  <c r="BK7" i="24"/>
  <c r="BK8" i="24"/>
  <c r="BK9" i="24"/>
  <c r="BK10" i="24"/>
  <c r="BK11" i="24"/>
  <c r="BK12" i="24"/>
  <c r="BK13" i="24"/>
  <c r="BK14" i="24"/>
  <c r="BK15" i="24"/>
  <c r="BK16" i="24"/>
  <c r="BK17" i="24"/>
  <c r="BK18" i="24"/>
  <c r="BK19" i="24"/>
  <c r="BK20" i="24"/>
  <c r="BK21" i="24"/>
  <c r="BK22" i="24"/>
  <c r="BK23" i="24"/>
  <c r="BK24" i="24"/>
  <c r="BK25" i="24"/>
  <c r="BK26" i="24"/>
  <c r="BK27" i="24"/>
  <c r="BK28" i="24"/>
  <c r="BK29" i="24"/>
  <c r="BK30" i="24"/>
  <c r="BK31" i="24"/>
  <c r="BK32" i="24"/>
  <c r="BK33" i="24"/>
  <c r="BK34" i="24"/>
  <c r="BK35" i="24"/>
  <c r="BK36" i="24"/>
  <c r="BK37" i="24"/>
  <c r="BK38" i="24"/>
  <c r="BK39" i="24"/>
  <c r="BK40" i="24"/>
  <c r="BK41" i="24"/>
  <c r="BK42" i="24"/>
  <c r="BK43" i="24"/>
  <c r="BK44" i="24"/>
  <c r="BK45" i="24"/>
  <c r="BK46" i="24"/>
  <c r="BK47" i="24"/>
  <c r="BK48" i="24"/>
  <c r="BK49" i="24"/>
  <c r="BK50" i="24"/>
  <c r="BK51" i="24"/>
  <c r="BK52" i="24"/>
  <c r="BK53" i="24"/>
  <c r="BK54" i="24"/>
  <c r="BK55" i="24"/>
  <c r="BK56" i="24"/>
  <c r="BK57" i="24"/>
  <c r="BK58" i="24"/>
  <c r="BK59" i="24"/>
  <c r="BK60" i="24"/>
  <c r="BK61" i="24"/>
  <c r="BK62" i="24"/>
  <c r="BK63" i="24"/>
  <c r="BK64" i="24"/>
  <c r="BK65" i="24"/>
  <c r="BK2" i="24"/>
  <c r="BJ3" i="24"/>
  <c r="BJ4" i="24"/>
  <c r="BJ5" i="24"/>
  <c r="BJ6" i="24"/>
  <c r="BJ7" i="24"/>
  <c r="BJ8" i="24"/>
  <c r="BJ9" i="24"/>
  <c r="BJ10" i="24"/>
  <c r="BJ11" i="24"/>
  <c r="BJ12" i="24"/>
  <c r="BJ13" i="24"/>
  <c r="BJ14" i="24"/>
  <c r="BJ15" i="24"/>
  <c r="BJ16" i="24"/>
  <c r="BJ17" i="24"/>
  <c r="BJ18" i="24"/>
  <c r="BJ19" i="24"/>
  <c r="BJ20" i="24"/>
  <c r="BJ21" i="24"/>
  <c r="BJ22" i="24"/>
  <c r="BJ23" i="24"/>
  <c r="BJ24" i="24"/>
  <c r="BJ25" i="24"/>
  <c r="BJ26" i="24"/>
  <c r="BJ27" i="24"/>
  <c r="BJ28" i="24"/>
  <c r="BJ29" i="24"/>
  <c r="BJ30" i="24"/>
  <c r="BJ31" i="24"/>
  <c r="BJ32" i="24"/>
  <c r="BJ33" i="24"/>
  <c r="BJ34" i="24"/>
  <c r="BJ35" i="24"/>
  <c r="BJ36" i="24"/>
  <c r="BJ37" i="24"/>
  <c r="BJ38" i="24"/>
  <c r="BJ39" i="24"/>
  <c r="BJ40" i="24"/>
  <c r="BJ41" i="24"/>
  <c r="BJ42" i="24"/>
  <c r="BJ43" i="24"/>
  <c r="BJ44" i="24"/>
  <c r="BJ45" i="24"/>
  <c r="BJ46" i="24"/>
  <c r="BJ47" i="24"/>
  <c r="BJ48" i="24"/>
  <c r="BJ49" i="24"/>
  <c r="BJ50" i="24"/>
  <c r="BJ51" i="24"/>
  <c r="BJ52" i="24"/>
  <c r="BJ53" i="24"/>
  <c r="BJ54" i="24"/>
  <c r="BJ55" i="24"/>
  <c r="BJ56" i="24"/>
  <c r="BJ57" i="24"/>
  <c r="BJ58" i="24"/>
  <c r="BJ59" i="24"/>
  <c r="BJ60" i="24"/>
  <c r="BJ61" i="24"/>
  <c r="BJ62" i="24"/>
  <c r="BJ63" i="24"/>
  <c r="BJ64" i="24"/>
  <c r="BJ65" i="24"/>
  <c r="BI6" i="24"/>
  <c r="BI3" i="24"/>
  <c r="BI4" i="24"/>
  <c r="BI5" i="24"/>
  <c r="BI7" i="24"/>
  <c r="BI8" i="24"/>
  <c r="BI9" i="24"/>
  <c r="BI10" i="24"/>
  <c r="BI11" i="24"/>
  <c r="BI12" i="24"/>
  <c r="BI13" i="24"/>
  <c r="BI14" i="24"/>
  <c r="BI15" i="24"/>
  <c r="BI16" i="24"/>
  <c r="BI17" i="24"/>
  <c r="BI18" i="24"/>
  <c r="BI19" i="24"/>
  <c r="BI20" i="24"/>
  <c r="BI21" i="24"/>
  <c r="BI22" i="24"/>
  <c r="BI23" i="24"/>
  <c r="BI24" i="24"/>
  <c r="BI25" i="24"/>
  <c r="BI26" i="24"/>
  <c r="BI27" i="24"/>
  <c r="BI28" i="24"/>
  <c r="BI29" i="24"/>
  <c r="BI30" i="24"/>
  <c r="BI31" i="24"/>
  <c r="BI32" i="24"/>
  <c r="BI33" i="24"/>
  <c r="BI34" i="24"/>
  <c r="BI35" i="24"/>
  <c r="BI36" i="24"/>
  <c r="BI37" i="24"/>
  <c r="BI38" i="24"/>
  <c r="BI39" i="24"/>
  <c r="BI40" i="24"/>
  <c r="BI41" i="24"/>
  <c r="BI42" i="24"/>
  <c r="BI43" i="24"/>
  <c r="BI44" i="24"/>
  <c r="BI45" i="24"/>
  <c r="BI46" i="24"/>
  <c r="BI47" i="24"/>
  <c r="BI48" i="24"/>
  <c r="BI49" i="24"/>
  <c r="BI50" i="24"/>
  <c r="BI51" i="24"/>
  <c r="BI52" i="24"/>
  <c r="BI53" i="24"/>
  <c r="BI54" i="24"/>
  <c r="BI55" i="24"/>
  <c r="BI56" i="24"/>
  <c r="BI57" i="24"/>
  <c r="BI58" i="24"/>
  <c r="BI59" i="24"/>
  <c r="BI60" i="24"/>
  <c r="BI61" i="24"/>
  <c r="BI62" i="24"/>
  <c r="BI63" i="24"/>
  <c r="BI64" i="24"/>
  <c r="BI65" i="24"/>
  <c r="BI2" i="24"/>
  <c r="BF5" i="24"/>
  <c r="BH3" i="24"/>
  <c r="BH4" i="24"/>
  <c r="BH5" i="24"/>
  <c r="BH6" i="24"/>
  <c r="BH7" i="24"/>
  <c r="BH8" i="24"/>
  <c r="BH9" i="24"/>
  <c r="BH10" i="24"/>
  <c r="BH11" i="24"/>
  <c r="BH12" i="24"/>
  <c r="BH13" i="24"/>
  <c r="BH14" i="24"/>
  <c r="BH15" i="24"/>
  <c r="BH16" i="24"/>
  <c r="BH17" i="24"/>
  <c r="BH18" i="24"/>
  <c r="BH19" i="24"/>
  <c r="BH20" i="24"/>
  <c r="BH21" i="24"/>
  <c r="BH22" i="24"/>
  <c r="BH23" i="24"/>
  <c r="BH24" i="24"/>
  <c r="BH25" i="24"/>
  <c r="BH26" i="24"/>
  <c r="BH27" i="24"/>
  <c r="BH28" i="24"/>
  <c r="BH29" i="24"/>
  <c r="BH30" i="24"/>
  <c r="BH31" i="24"/>
  <c r="BH32" i="24"/>
  <c r="BH34" i="24"/>
  <c r="BH35" i="24"/>
  <c r="BH36" i="24"/>
  <c r="BH37" i="24"/>
  <c r="BH38" i="24"/>
  <c r="BH39" i="24"/>
  <c r="BH40" i="24"/>
  <c r="BH41" i="24"/>
  <c r="BH42" i="24"/>
  <c r="BH43" i="24"/>
  <c r="BH44" i="24"/>
  <c r="BH45" i="24"/>
  <c r="BH46" i="24"/>
  <c r="BH47" i="24"/>
  <c r="BH48" i="24"/>
  <c r="BH49" i="24"/>
  <c r="BH50" i="24"/>
  <c r="BH51" i="24"/>
  <c r="BH52" i="24"/>
  <c r="BH53" i="24"/>
  <c r="BH54" i="24"/>
  <c r="BH55" i="24"/>
  <c r="BH56" i="24"/>
  <c r="BH57" i="24"/>
  <c r="BH58" i="24"/>
  <c r="BH59" i="24"/>
  <c r="BH60" i="24"/>
  <c r="BH61" i="24"/>
  <c r="BH62" i="24"/>
  <c r="BH63" i="24"/>
  <c r="BH64" i="24"/>
  <c r="BH65" i="24"/>
  <c r="BG3" i="24"/>
  <c r="BG4" i="24"/>
  <c r="BG5" i="24"/>
  <c r="BG7" i="24"/>
  <c r="BG8" i="24"/>
  <c r="BG10" i="24"/>
  <c r="BG11" i="24"/>
  <c r="BG12" i="24"/>
  <c r="BG13" i="24"/>
  <c r="BG14" i="24"/>
  <c r="BG15" i="24"/>
  <c r="BG16" i="24"/>
  <c r="BG17" i="24"/>
  <c r="BG18" i="24"/>
  <c r="BG19" i="24"/>
  <c r="BG20" i="24"/>
  <c r="BG22" i="24"/>
  <c r="BG24" i="24"/>
  <c r="BG25" i="24"/>
  <c r="BG26" i="24"/>
  <c r="BG27" i="24"/>
  <c r="BG28" i="24"/>
  <c r="BG29" i="24"/>
  <c r="BG30" i="24"/>
  <c r="BG31" i="24"/>
  <c r="BG32" i="24"/>
  <c r="BG33" i="24"/>
  <c r="BG36" i="24"/>
  <c r="BG37" i="24"/>
  <c r="BG38" i="24"/>
  <c r="BG39" i="24"/>
  <c r="BG40" i="24"/>
  <c r="BG41" i="24"/>
  <c r="BG42" i="24"/>
  <c r="BG43" i="24"/>
  <c r="BG44" i="24"/>
  <c r="BG45" i="24"/>
  <c r="BG46" i="24"/>
  <c r="BG47" i="24"/>
  <c r="BG48" i="24"/>
  <c r="BG49" i="24"/>
  <c r="BG50" i="24"/>
  <c r="BG51" i="24"/>
  <c r="BG53" i="24"/>
  <c r="BG54" i="24"/>
  <c r="BG55" i="24"/>
  <c r="BG56" i="24"/>
  <c r="BG58" i="24"/>
  <c r="BG59" i="24"/>
  <c r="BG60" i="24"/>
  <c r="BG61" i="24"/>
  <c r="BG62" i="24"/>
  <c r="BG63" i="24"/>
  <c r="BG64" i="24"/>
  <c r="BG65" i="24"/>
  <c r="BG2" i="24"/>
  <c r="BF3" i="24"/>
  <c r="BF4" i="24"/>
  <c r="BF7" i="24"/>
  <c r="BF8" i="24"/>
  <c r="BF10" i="24"/>
  <c r="BF11" i="24"/>
  <c r="BF12" i="24"/>
  <c r="BF13" i="24"/>
  <c r="BF14" i="24"/>
  <c r="BF15" i="24"/>
  <c r="BF16" i="24"/>
  <c r="BF17" i="24"/>
  <c r="BF18" i="24"/>
  <c r="BF19" i="24"/>
  <c r="BF20" i="24"/>
  <c r="BF22" i="24"/>
  <c r="BF24" i="24"/>
  <c r="BF25" i="24"/>
  <c r="BF26" i="24"/>
  <c r="BF27" i="24"/>
  <c r="BF28" i="24"/>
  <c r="BF29" i="24"/>
  <c r="BF30" i="24"/>
  <c r="BF31" i="24"/>
  <c r="BF32" i="24"/>
  <c r="BF33" i="24"/>
  <c r="BF36" i="24"/>
  <c r="BF37" i="24"/>
  <c r="BF38" i="24"/>
  <c r="BF39" i="24"/>
  <c r="BF40" i="24"/>
  <c r="BF41" i="24"/>
  <c r="BF42" i="24"/>
  <c r="BF43" i="24"/>
  <c r="BF44" i="24"/>
  <c r="BF45" i="24"/>
  <c r="BF46" i="24"/>
  <c r="BF47" i="24"/>
  <c r="BF48" i="24"/>
  <c r="BF49" i="24"/>
  <c r="BF50" i="24"/>
  <c r="BF51" i="24"/>
  <c r="BF53" i="24"/>
  <c r="BF54" i="24"/>
  <c r="BF55" i="24"/>
  <c r="BF56" i="24"/>
  <c r="BF58" i="24"/>
  <c r="BF59" i="24"/>
  <c r="BF60" i="24"/>
  <c r="BF61" i="24"/>
  <c r="BF62" i="24"/>
  <c r="BF63" i="24"/>
  <c r="BF64" i="24"/>
  <c r="BF65" i="24"/>
  <c r="BE3" i="24"/>
  <c r="BE4" i="24"/>
  <c r="BE5" i="24"/>
  <c r="BE6" i="24"/>
  <c r="BE7" i="24"/>
  <c r="BE8" i="24"/>
  <c r="BE9" i="24"/>
  <c r="BE10" i="24"/>
  <c r="BE11" i="24"/>
  <c r="BE12" i="24"/>
  <c r="BE13" i="24"/>
  <c r="BE14" i="24"/>
  <c r="BE15" i="24"/>
  <c r="BE16" i="24"/>
  <c r="BE17" i="24"/>
  <c r="BE18" i="24"/>
  <c r="BE19" i="24"/>
  <c r="BE20" i="24"/>
  <c r="BE21" i="24"/>
  <c r="BE22" i="24"/>
  <c r="BE23" i="24"/>
  <c r="BE24" i="24"/>
  <c r="BE25" i="24"/>
  <c r="BE26" i="24"/>
  <c r="BE27" i="24"/>
  <c r="BE28" i="24"/>
  <c r="BE29" i="24"/>
  <c r="BE30" i="24"/>
  <c r="BE31" i="24"/>
  <c r="BE32" i="24"/>
  <c r="BE33" i="24"/>
  <c r="BE34" i="24"/>
  <c r="BE36" i="24"/>
  <c r="BE37" i="24"/>
  <c r="BE38" i="24"/>
  <c r="BE39" i="24"/>
  <c r="BE40" i="24"/>
  <c r="BE41" i="24"/>
  <c r="BE42" i="24"/>
  <c r="BE43" i="24"/>
  <c r="BE44" i="24"/>
  <c r="BE45" i="24"/>
  <c r="BE46" i="24"/>
  <c r="BE47" i="24"/>
  <c r="BE48" i="24"/>
  <c r="BE49" i="24"/>
  <c r="BE50" i="24"/>
  <c r="BE51" i="24"/>
  <c r="BE52" i="24"/>
  <c r="BE53" i="24"/>
  <c r="BE54" i="24"/>
  <c r="BE55" i="24"/>
  <c r="BE56" i="24"/>
  <c r="BE57" i="24"/>
  <c r="BE58" i="24"/>
  <c r="BE59" i="24"/>
  <c r="BE60" i="24"/>
  <c r="BE61" i="24"/>
  <c r="BE62" i="24"/>
  <c r="BE63" i="24"/>
  <c r="BE64" i="24"/>
  <c r="BE65" i="24"/>
  <c r="BB33" i="24"/>
  <c r="BC33" i="24" s="1"/>
  <c r="BD3" i="24"/>
  <c r="BD4" i="24"/>
  <c r="BD5" i="24"/>
  <c r="BD6" i="24"/>
  <c r="BD7" i="24"/>
  <c r="BD8" i="24"/>
  <c r="BD9" i="24"/>
  <c r="BD10" i="24"/>
  <c r="BD11" i="24"/>
  <c r="BD12" i="24"/>
  <c r="BD13" i="24"/>
  <c r="BD14" i="24"/>
  <c r="BD15" i="24"/>
  <c r="BD16" i="24"/>
  <c r="BD17" i="24"/>
  <c r="BD18" i="24"/>
  <c r="BD19" i="24"/>
  <c r="BD20" i="24"/>
  <c r="BD21" i="24"/>
  <c r="BD22" i="24"/>
  <c r="BD23" i="24"/>
  <c r="BD24" i="24"/>
  <c r="BD25" i="24"/>
  <c r="BD26" i="24"/>
  <c r="BD27" i="24"/>
  <c r="BD28" i="24"/>
  <c r="BD29" i="24"/>
  <c r="BD30" i="24"/>
  <c r="BD31" i="24"/>
  <c r="BD32" i="24"/>
  <c r="BD33" i="24"/>
  <c r="BD34" i="24"/>
  <c r="BD36" i="24"/>
  <c r="BD37" i="24"/>
  <c r="BD38" i="24"/>
  <c r="BD39" i="24"/>
  <c r="BD40" i="24"/>
  <c r="BD41" i="24"/>
  <c r="BD42" i="24"/>
  <c r="BD43" i="24"/>
  <c r="BD44" i="24"/>
  <c r="BD45" i="24"/>
  <c r="BD46" i="24"/>
  <c r="BD47" i="24"/>
  <c r="BD48" i="24"/>
  <c r="BD49" i="24"/>
  <c r="BD50" i="24"/>
  <c r="BD51" i="24"/>
  <c r="BD52" i="24"/>
  <c r="BD53" i="24"/>
  <c r="BD54" i="24"/>
  <c r="BD55" i="24"/>
  <c r="BD56" i="24"/>
  <c r="BD57" i="24"/>
  <c r="BD58" i="24"/>
  <c r="BD59" i="24"/>
  <c r="BD60" i="24"/>
  <c r="BD61" i="24"/>
  <c r="BD62" i="24"/>
  <c r="BD63" i="24"/>
  <c r="BD64" i="24"/>
  <c r="BD65" i="24"/>
  <c r="BD2" i="24"/>
  <c r="BC3" i="24"/>
  <c r="BC4" i="24"/>
  <c r="BC5" i="24"/>
  <c r="BC7" i="24"/>
  <c r="BC8" i="24"/>
  <c r="BC9" i="24"/>
  <c r="BC10" i="24"/>
  <c r="BC21" i="24"/>
  <c r="BC22" i="24"/>
  <c r="BC23" i="24"/>
  <c r="BC25" i="24"/>
  <c r="BC26" i="24"/>
  <c r="BC27" i="24"/>
  <c r="BC28" i="24"/>
  <c r="BC29" i="24"/>
  <c r="BC38" i="24"/>
  <c r="BC40" i="24"/>
  <c r="BC41" i="24"/>
  <c r="BC42" i="24"/>
  <c r="BC44" i="24"/>
  <c r="BC45" i="24"/>
  <c r="BC46" i="24"/>
  <c r="BC47" i="24"/>
  <c r="BC56" i="24"/>
  <c r="BC58" i="24"/>
  <c r="BC59" i="24"/>
  <c r="BC60" i="24"/>
  <c r="BC62" i="24"/>
  <c r="BC63" i="24"/>
  <c r="BC64" i="24"/>
  <c r="BC65" i="24"/>
  <c r="BB13" i="24"/>
  <c r="BC13" i="24" s="1"/>
  <c r="BB3" i="24"/>
  <c r="BB4" i="24"/>
  <c r="BB5" i="24"/>
  <c r="BB6" i="24"/>
  <c r="BC6" i="24" s="1"/>
  <c r="BB7" i="24"/>
  <c r="BB8" i="24"/>
  <c r="BB9" i="24"/>
  <c r="BB10" i="24"/>
  <c r="BB11" i="24"/>
  <c r="BC11" i="24" s="1"/>
  <c r="BB12" i="24"/>
  <c r="BC12" i="24" s="1"/>
  <c r="BB14" i="24"/>
  <c r="BC14" i="24" s="1"/>
  <c r="BB15" i="24"/>
  <c r="BC15" i="24" s="1"/>
  <c r="BB16" i="24"/>
  <c r="BC16" i="24" s="1"/>
  <c r="BB17" i="24"/>
  <c r="BC17" i="24" s="1"/>
  <c r="BB18" i="24"/>
  <c r="BC18" i="24" s="1"/>
  <c r="BB19" i="24"/>
  <c r="BC19" i="24" s="1"/>
  <c r="BB20" i="24"/>
  <c r="BC20" i="24" s="1"/>
  <c r="BB21" i="24"/>
  <c r="BB22" i="24"/>
  <c r="BB23" i="24"/>
  <c r="BB24" i="24"/>
  <c r="BC24" i="24" s="1"/>
  <c r="BB25" i="24"/>
  <c r="BB26" i="24"/>
  <c r="BB27" i="24"/>
  <c r="BB28" i="24"/>
  <c r="BB29" i="24"/>
  <c r="BB30" i="24"/>
  <c r="BC30" i="24" s="1"/>
  <c r="BB31" i="24"/>
  <c r="BC31" i="24" s="1"/>
  <c r="BB32" i="24"/>
  <c r="BC32" i="24" s="1"/>
  <c r="BB34" i="24"/>
  <c r="BC34" i="24" s="1"/>
  <c r="BB35" i="24"/>
  <c r="BC35" i="24" s="1"/>
  <c r="BB36" i="24"/>
  <c r="BC36" i="24" s="1"/>
  <c r="BB37" i="24"/>
  <c r="BC37" i="24" s="1"/>
  <c r="BB38" i="24"/>
  <c r="BB39" i="24"/>
  <c r="BC39" i="24" s="1"/>
  <c r="BB40" i="24"/>
  <c r="BB41" i="24"/>
  <c r="BB42" i="24"/>
  <c r="BB43" i="24"/>
  <c r="BC43" i="24" s="1"/>
  <c r="BB44" i="24"/>
  <c r="BB45" i="24"/>
  <c r="BB46" i="24"/>
  <c r="BB47" i="24"/>
  <c r="BB48" i="24"/>
  <c r="BC48" i="24" s="1"/>
  <c r="BB49" i="24"/>
  <c r="BC49" i="24" s="1"/>
  <c r="BB50" i="24"/>
  <c r="BC50" i="24" s="1"/>
  <c r="BB51" i="24"/>
  <c r="BC51" i="24" s="1"/>
  <c r="BB52" i="24"/>
  <c r="BC52" i="24" s="1"/>
  <c r="BB53" i="24"/>
  <c r="BC53" i="24" s="1"/>
  <c r="BB54" i="24"/>
  <c r="BC54" i="24" s="1"/>
  <c r="BB55" i="24"/>
  <c r="BC55" i="24" s="1"/>
  <c r="BB56" i="24"/>
  <c r="BB57" i="24"/>
  <c r="BC57" i="24" s="1"/>
  <c r="BB58" i="24"/>
  <c r="BB59" i="24"/>
  <c r="BB60" i="24"/>
  <c r="BB61" i="24"/>
  <c r="BC61" i="24" s="1"/>
  <c r="BB62" i="24"/>
  <c r="BB63" i="24"/>
  <c r="BB64" i="24"/>
  <c r="BB65" i="24"/>
  <c r="BB2" i="24"/>
  <c r="BC2" i="24" s="1"/>
  <c r="AU6" i="24"/>
  <c r="AU28" i="24"/>
  <c r="AU29" i="24"/>
  <c r="AU30" i="24"/>
  <c r="AU65" i="24"/>
  <c r="AT3" i="24"/>
  <c r="AU3" i="24" s="1"/>
  <c r="AT4" i="24"/>
  <c r="AU4" i="24" s="1"/>
  <c r="AT5" i="24"/>
  <c r="AU5" i="24" s="1"/>
  <c r="AT6" i="24"/>
  <c r="AT7" i="24"/>
  <c r="AU7" i="24" s="1"/>
  <c r="AT8" i="24"/>
  <c r="AU8" i="24" s="1"/>
  <c r="AT9" i="24"/>
  <c r="AU9" i="24" s="1"/>
  <c r="AT10" i="24"/>
  <c r="AU10" i="24" s="1"/>
  <c r="AT11" i="24"/>
  <c r="AU11" i="24" s="1"/>
  <c r="AT12" i="24"/>
  <c r="AU12" i="24" s="1"/>
  <c r="AT13" i="24"/>
  <c r="AU13" i="24" s="1"/>
  <c r="AT14" i="24"/>
  <c r="AU14" i="24" s="1"/>
  <c r="AT15" i="24"/>
  <c r="AU15" i="24" s="1"/>
  <c r="AT16" i="24"/>
  <c r="AU16" i="24" s="1"/>
  <c r="AT17" i="24"/>
  <c r="AU17" i="24" s="1"/>
  <c r="AT18" i="24"/>
  <c r="AU18" i="24" s="1"/>
  <c r="AT19" i="24"/>
  <c r="AU19" i="24" s="1"/>
  <c r="AT20" i="24"/>
  <c r="AU20" i="24" s="1"/>
  <c r="AT21" i="24"/>
  <c r="AU21" i="24" s="1"/>
  <c r="AT22" i="24"/>
  <c r="AU22" i="24" s="1"/>
  <c r="AT23" i="24"/>
  <c r="AU23" i="24" s="1"/>
  <c r="AT24" i="24"/>
  <c r="AU24" i="24" s="1"/>
  <c r="AT25" i="24"/>
  <c r="AU25" i="24" s="1"/>
  <c r="AT26" i="24"/>
  <c r="AU26" i="24" s="1"/>
  <c r="AT27" i="24"/>
  <c r="AU27" i="24" s="1"/>
  <c r="AT28" i="24"/>
  <c r="AT29" i="24"/>
  <c r="AT30" i="24"/>
  <c r="AT31" i="24"/>
  <c r="AU31" i="24" s="1"/>
  <c r="AT32" i="24"/>
  <c r="AU32" i="24" s="1"/>
  <c r="AT33" i="24"/>
  <c r="AU33" i="24" s="1"/>
  <c r="AT34" i="24"/>
  <c r="AU34" i="24" s="1"/>
  <c r="AT36" i="24"/>
  <c r="AU36" i="24" s="1"/>
  <c r="AT37" i="24"/>
  <c r="AU37" i="24" s="1"/>
  <c r="AT38" i="24"/>
  <c r="AU38" i="24" s="1"/>
  <c r="AT39" i="24"/>
  <c r="AU39" i="24" s="1"/>
  <c r="AT40" i="24"/>
  <c r="AU40" i="24" s="1"/>
  <c r="AT41" i="24"/>
  <c r="AU41" i="24" s="1"/>
  <c r="AT42" i="24"/>
  <c r="AU42" i="24" s="1"/>
  <c r="AT43" i="24"/>
  <c r="AU43" i="24" s="1"/>
  <c r="AT44" i="24"/>
  <c r="AU44" i="24" s="1"/>
  <c r="AT45" i="24"/>
  <c r="AU45" i="24" s="1"/>
  <c r="AT46" i="24"/>
  <c r="AU46" i="24" s="1"/>
  <c r="AT47" i="24"/>
  <c r="AU47" i="24" s="1"/>
  <c r="AT48" i="24"/>
  <c r="AU48" i="24" s="1"/>
  <c r="AT49" i="24"/>
  <c r="AU49" i="24" s="1"/>
  <c r="AT50" i="24"/>
  <c r="AU50" i="24" s="1"/>
  <c r="AT51" i="24"/>
  <c r="AU51" i="24" s="1"/>
  <c r="AT52" i="24"/>
  <c r="AU52" i="24" s="1"/>
  <c r="AT53" i="24"/>
  <c r="AU53" i="24" s="1"/>
  <c r="AT54" i="24"/>
  <c r="AU54" i="24" s="1"/>
  <c r="AT55" i="24"/>
  <c r="AU55" i="24" s="1"/>
  <c r="AT56" i="24"/>
  <c r="AU56" i="24" s="1"/>
  <c r="AT57" i="24"/>
  <c r="AU57" i="24" s="1"/>
  <c r="AT58" i="24"/>
  <c r="AU58" i="24" s="1"/>
  <c r="AT59" i="24"/>
  <c r="AU59" i="24" s="1"/>
  <c r="AT60" i="24"/>
  <c r="AU60" i="24" s="1"/>
  <c r="AT61" i="24"/>
  <c r="AU61" i="24" s="1"/>
  <c r="AT62" i="24"/>
  <c r="AU62" i="24" s="1"/>
  <c r="AT63" i="24"/>
  <c r="AU63" i="24" s="1"/>
  <c r="AT64" i="24"/>
  <c r="AU64" i="24" s="1"/>
  <c r="AT65" i="24"/>
  <c r="AT2" i="24"/>
  <c r="AQ3" i="24"/>
  <c r="AQ4" i="24"/>
  <c r="AQ5" i="24"/>
  <c r="AQ7" i="24"/>
  <c r="AQ8" i="24"/>
  <c r="AQ10" i="24"/>
  <c r="AQ11" i="24"/>
  <c r="AQ12" i="24"/>
  <c r="AQ13" i="24"/>
  <c r="AQ14" i="24"/>
  <c r="AQ15" i="24"/>
  <c r="AQ16" i="24"/>
  <c r="AQ17" i="24"/>
  <c r="AQ18" i="24"/>
  <c r="AQ19" i="24"/>
  <c r="AQ20" i="24"/>
  <c r="AQ22" i="24"/>
  <c r="AQ24" i="24"/>
  <c r="AQ25" i="24"/>
  <c r="AQ26" i="24"/>
  <c r="AQ27" i="24"/>
  <c r="AQ28" i="24"/>
  <c r="AQ29" i="24"/>
  <c r="AQ30" i="24"/>
  <c r="AQ31" i="24"/>
  <c r="AQ32" i="24"/>
  <c r="AQ33" i="24"/>
  <c r="AQ36" i="24"/>
  <c r="AQ37" i="24"/>
  <c r="AQ38" i="24"/>
  <c r="AQ39" i="24"/>
  <c r="AQ40" i="24"/>
  <c r="AQ41" i="24"/>
  <c r="AQ42" i="24"/>
  <c r="AQ43" i="24"/>
  <c r="AQ44" i="24"/>
  <c r="AQ45" i="24"/>
  <c r="AQ46" i="24"/>
  <c r="AQ47" i="24"/>
  <c r="AQ48" i="24"/>
  <c r="AQ49" i="24"/>
  <c r="AQ50" i="24"/>
  <c r="AQ51" i="24"/>
  <c r="AQ53" i="24"/>
  <c r="AQ54" i="24"/>
  <c r="AQ55" i="24"/>
  <c r="AQ56" i="24"/>
  <c r="AQ58" i="24"/>
  <c r="AQ59" i="24"/>
  <c r="AQ60" i="24"/>
  <c r="AQ61" i="24"/>
  <c r="AQ62" i="24"/>
  <c r="AQ63" i="24"/>
  <c r="AQ64" i="24"/>
  <c r="AQ65" i="24"/>
  <c r="AQ2" i="24"/>
  <c r="N3" i="21"/>
  <c r="N4" i="21"/>
  <c r="N5" i="21"/>
  <c r="N6" i="21"/>
  <c r="N7" i="21"/>
  <c r="N8" i="21"/>
  <c r="N9" i="21"/>
  <c r="N10" i="21"/>
  <c r="N11" i="21"/>
  <c r="N12" i="21"/>
  <c r="N13" i="21"/>
  <c r="N14" i="21"/>
  <c r="N15" i="21"/>
  <c r="N16" i="21"/>
  <c r="N17" i="21"/>
  <c r="N18" i="21"/>
  <c r="N19" i="21"/>
  <c r="N20" i="21"/>
  <c r="N21" i="21"/>
  <c r="N22" i="21"/>
  <c r="N23" i="21"/>
  <c r="N24" i="21"/>
  <c r="N25" i="21"/>
  <c r="N26" i="21"/>
  <c r="N27" i="21"/>
  <c r="N28" i="21"/>
  <c r="N29" i="21"/>
  <c r="N30" i="21"/>
  <c r="N31" i="21"/>
  <c r="N32" i="21"/>
  <c r="N33" i="21"/>
  <c r="N34" i="21"/>
  <c r="N35" i="21"/>
  <c r="N36" i="21"/>
  <c r="N37" i="21"/>
  <c r="N38" i="21"/>
  <c r="N39" i="21"/>
  <c r="N40" i="21"/>
  <c r="N41" i="21"/>
  <c r="N42" i="21"/>
  <c r="N43" i="21"/>
  <c r="N44" i="21"/>
  <c r="N45" i="21"/>
  <c r="N46" i="21"/>
  <c r="N47" i="21"/>
  <c r="N48" i="21"/>
  <c r="N49" i="21"/>
  <c r="N50" i="21"/>
  <c r="N51" i="21"/>
  <c r="N52" i="21"/>
  <c r="N53" i="21"/>
  <c r="N54" i="21"/>
  <c r="N55" i="21"/>
  <c r="N56" i="21"/>
  <c r="N57" i="21"/>
  <c r="N58" i="21"/>
  <c r="N59" i="21"/>
  <c r="N60" i="21"/>
  <c r="N61" i="21"/>
  <c r="N62" i="21"/>
  <c r="N63" i="21"/>
  <c r="N64" i="21"/>
  <c r="N65" i="21"/>
  <c r="N2" i="21"/>
  <c r="N69" i="21"/>
  <c r="N70" i="21"/>
  <c r="N71" i="21"/>
  <c r="N72" i="21"/>
  <c r="N73" i="21"/>
  <c r="N74" i="21"/>
  <c r="N75" i="21"/>
  <c r="N76" i="21"/>
  <c r="N77" i="21"/>
  <c r="N78" i="21"/>
  <c r="N79" i="21"/>
  <c r="N80" i="21"/>
  <c r="N81" i="21"/>
  <c r="N82" i="21"/>
  <c r="N83" i="21"/>
  <c r="N84" i="21"/>
  <c r="N85" i="21"/>
  <c r="N86" i="21"/>
  <c r="N87" i="21"/>
  <c r="N88" i="21"/>
  <c r="N89" i="21"/>
  <c r="N90" i="21"/>
  <c r="N91" i="21"/>
  <c r="N92" i="21"/>
  <c r="N93" i="21"/>
  <c r="N94" i="21"/>
  <c r="N95" i="21"/>
  <c r="N96" i="21"/>
  <c r="N97" i="21"/>
  <c r="N98" i="21"/>
  <c r="N99" i="21"/>
  <c r="N100" i="21"/>
  <c r="N101" i="21"/>
  <c r="N102" i="21"/>
  <c r="N103" i="21"/>
  <c r="N104" i="21"/>
  <c r="N105" i="21"/>
  <c r="N106" i="21"/>
  <c r="N107" i="21"/>
  <c r="N108" i="21"/>
  <c r="N109" i="21"/>
  <c r="N110" i="21"/>
  <c r="N111" i="21"/>
  <c r="N112" i="21"/>
  <c r="N113" i="21"/>
  <c r="N114" i="21"/>
  <c r="N115" i="21"/>
  <c r="N116" i="21"/>
  <c r="N117" i="21"/>
  <c r="N118" i="21"/>
  <c r="N119" i="21"/>
  <c r="N120" i="21"/>
  <c r="N121" i="21"/>
  <c r="N122" i="21"/>
  <c r="N123" i="21"/>
  <c r="N124" i="21"/>
  <c r="N125" i="21"/>
  <c r="N126" i="21"/>
  <c r="N127" i="21"/>
  <c r="N128" i="21"/>
  <c r="N129" i="21"/>
  <c r="N130" i="21"/>
  <c r="N131" i="21"/>
  <c r="N132" i="21"/>
  <c r="N133" i="21"/>
  <c r="N134" i="21"/>
  <c r="N135" i="21"/>
  <c r="N136" i="21"/>
  <c r="N137" i="21"/>
  <c r="N138" i="21"/>
  <c r="N139" i="21"/>
  <c r="N140" i="21"/>
  <c r="N141" i="21"/>
  <c r="N142" i="21"/>
  <c r="N143" i="21"/>
  <c r="N144" i="21"/>
  <c r="N145" i="21"/>
  <c r="N146" i="21"/>
  <c r="N147" i="21"/>
  <c r="N148" i="21"/>
  <c r="N149" i="21"/>
  <c r="N150" i="21"/>
  <c r="N151" i="21"/>
  <c r="N152" i="21"/>
  <c r="N153" i="21"/>
  <c r="N154" i="21"/>
  <c r="N155" i="21"/>
  <c r="N156" i="21"/>
  <c r="N157" i="21"/>
  <c r="N158" i="21"/>
  <c r="N159" i="21"/>
  <c r="N160" i="21"/>
  <c r="N161" i="21"/>
  <c r="N162" i="21"/>
  <c r="N163" i="21"/>
  <c r="N164" i="21"/>
  <c r="N165" i="21"/>
  <c r="N166" i="21"/>
  <c r="N167" i="21"/>
  <c r="N168" i="21"/>
  <c r="N169" i="21"/>
  <c r="N170" i="21"/>
  <c r="N171" i="21"/>
  <c r="N172" i="21"/>
  <c r="N173" i="21"/>
  <c r="N174" i="21"/>
  <c r="N175" i="21"/>
  <c r="N176" i="21"/>
  <c r="N177" i="21"/>
  <c r="N178" i="21"/>
  <c r="N179" i="21"/>
  <c r="N180" i="21"/>
  <c r="N181" i="21"/>
  <c r="N182" i="21"/>
  <c r="N183" i="21"/>
  <c r="N184" i="21"/>
  <c r="N185" i="21"/>
  <c r="N186" i="21"/>
  <c r="N187" i="21"/>
  <c r="N188" i="21"/>
  <c r="N189" i="21"/>
  <c r="N190" i="21"/>
  <c r="N191" i="21"/>
  <c r="N192" i="21"/>
  <c r="N193" i="21"/>
  <c r="N194" i="21"/>
  <c r="N195" i="21"/>
  <c r="N196" i="21"/>
  <c r="N197" i="21"/>
  <c r="N198" i="21"/>
  <c r="N199" i="21"/>
  <c r="N200" i="21"/>
  <c r="N201" i="21"/>
  <c r="N202" i="21"/>
  <c r="N203" i="21"/>
  <c r="N204" i="21"/>
  <c r="N205" i="21"/>
  <c r="N206" i="21"/>
  <c r="N207" i="21"/>
  <c r="N208" i="21"/>
  <c r="N209" i="21"/>
  <c r="N210" i="21"/>
  <c r="N211" i="21"/>
  <c r="N212" i="21"/>
  <c r="N213" i="21"/>
  <c r="N214" i="21"/>
  <c r="N215" i="21"/>
  <c r="N216" i="21"/>
  <c r="N217" i="21"/>
  <c r="N218" i="21"/>
  <c r="N219" i="21"/>
  <c r="N220" i="21"/>
  <c r="N221" i="21"/>
  <c r="N222" i="21"/>
  <c r="N223" i="21"/>
  <c r="N224" i="21"/>
  <c r="N225" i="21"/>
  <c r="N226" i="21"/>
  <c r="N227" i="21"/>
  <c r="N228" i="21"/>
  <c r="N229" i="21"/>
  <c r="N230" i="21"/>
  <c r="N231" i="21"/>
  <c r="N232" i="21"/>
  <c r="N233" i="21"/>
  <c r="N234" i="21"/>
  <c r="N235" i="21"/>
  <c r="N236" i="21"/>
  <c r="N237" i="21"/>
  <c r="N238" i="21"/>
  <c r="N239" i="21"/>
  <c r="N240" i="21"/>
  <c r="N241" i="21"/>
  <c r="N242" i="21"/>
  <c r="N243" i="21"/>
  <c r="N244" i="21"/>
  <c r="N245" i="21"/>
  <c r="N246" i="21"/>
  <c r="N247" i="21"/>
  <c r="N248" i="21"/>
  <c r="N249" i="21"/>
  <c r="N250" i="21"/>
  <c r="N251" i="21"/>
  <c r="N252" i="21"/>
  <c r="N253" i="21"/>
  <c r="N254" i="21"/>
  <c r="N255" i="21"/>
  <c r="N256" i="21"/>
  <c r="N257" i="21"/>
  <c r="N258" i="21"/>
  <c r="N259" i="21"/>
  <c r="N260" i="21"/>
  <c r="N261" i="21"/>
  <c r="N262" i="21"/>
  <c r="N263" i="21"/>
  <c r="N264" i="21"/>
  <c r="N265" i="21"/>
  <c r="N266" i="21"/>
  <c r="N267" i="21"/>
  <c r="N268" i="21"/>
  <c r="N269" i="21"/>
  <c r="N270" i="21"/>
  <c r="N271" i="21"/>
  <c r="N272" i="21"/>
  <c r="N273" i="21"/>
  <c r="N274" i="21"/>
  <c r="N275" i="21"/>
  <c r="N276" i="21"/>
  <c r="N277" i="21"/>
  <c r="N278" i="21"/>
  <c r="N279" i="21"/>
  <c r="N280" i="21"/>
  <c r="N281" i="21"/>
  <c r="N282" i="21"/>
  <c r="N283" i="21"/>
  <c r="N284" i="21"/>
  <c r="N285" i="21"/>
  <c r="N286" i="21"/>
  <c r="N287" i="21"/>
  <c r="N288" i="21"/>
  <c r="N289" i="21"/>
  <c r="N290" i="21"/>
  <c r="N291" i="21"/>
  <c r="N292" i="21"/>
  <c r="N293" i="21"/>
  <c r="N294" i="21"/>
  <c r="N295" i="21"/>
  <c r="N296" i="21"/>
  <c r="N297" i="21"/>
  <c r="N298" i="21"/>
  <c r="N299" i="21"/>
  <c r="N300" i="21"/>
  <c r="N301" i="21"/>
  <c r="N302" i="21"/>
  <c r="N303" i="21"/>
  <c r="N304" i="21"/>
  <c r="N305" i="21"/>
  <c r="N306" i="21"/>
  <c r="N307" i="21"/>
  <c r="N308" i="21"/>
  <c r="N309" i="21"/>
  <c r="N310" i="21"/>
  <c r="N311" i="21"/>
  <c r="N312" i="21"/>
  <c r="N313" i="21"/>
  <c r="N314" i="21"/>
  <c r="N315" i="21"/>
  <c r="N316" i="21"/>
  <c r="N317" i="21"/>
  <c r="N318" i="21"/>
  <c r="N319" i="21"/>
  <c r="N320" i="21"/>
  <c r="N321" i="21"/>
  <c r="N322" i="21"/>
  <c r="N323" i="21"/>
  <c r="N324" i="21"/>
  <c r="N325" i="21"/>
  <c r="N326" i="21"/>
  <c r="N327" i="21"/>
  <c r="N328" i="21"/>
  <c r="N329" i="21"/>
  <c r="N330" i="21"/>
  <c r="N331" i="21"/>
  <c r="N332" i="21"/>
  <c r="N333" i="21"/>
  <c r="N334" i="21"/>
  <c r="N335" i="21"/>
  <c r="N336" i="21"/>
  <c r="N337" i="21"/>
  <c r="N338" i="21"/>
  <c r="N339" i="21"/>
  <c r="N340" i="21"/>
  <c r="N341" i="21"/>
  <c r="N342" i="21"/>
  <c r="N343" i="21"/>
  <c r="N344" i="21"/>
  <c r="N345" i="21"/>
  <c r="N346" i="21"/>
  <c r="N347" i="21"/>
  <c r="N348" i="21"/>
  <c r="N349" i="21"/>
  <c r="N350" i="21"/>
  <c r="N351" i="21"/>
  <c r="N352" i="21"/>
  <c r="N353" i="21"/>
  <c r="N354" i="21"/>
  <c r="N355" i="21"/>
  <c r="N356" i="21"/>
  <c r="N357" i="21"/>
  <c r="N358" i="21"/>
  <c r="N359" i="21"/>
  <c r="N360" i="21"/>
  <c r="N361" i="21"/>
  <c r="N362" i="21"/>
  <c r="N363" i="21"/>
  <c r="N364" i="21"/>
  <c r="N365" i="21"/>
  <c r="N366" i="21"/>
  <c r="N367" i="21"/>
  <c r="N368" i="21"/>
  <c r="N369" i="21"/>
  <c r="N370" i="21"/>
  <c r="N371" i="21"/>
  <c r="N372" i="21"/>
  <c r="N373" i="21"/>
  <c r="N374" i="21"/>
  <c r="N375" i="21"/>
  <c r="N376" i="21"/>
  <c r="N377" i="21"/>
  <c r="N378" i="21"/>
  <c r="N379" i="21"/>
  <c r="N380" i="21"/>
  <c r="N381" i="21"/>
  <c r="N382" i="21"/>
  <c r="N383" i="21"/>
  <c r="N384" i="21"/>
  <c r="N385" i="21"/>
  <c r="N386" i="21"/>
  <c r="N387" i="21"/>
  <c r="N388" i="21"/>
  <c r="N389" i="21"/>
  <c r="N390" i="21"/>
  <c r="N391" i="21"/>
  <c r="N392" i="21"/>
  <c r="N393" i="21"/>
  <c r="N394" i="21"/>
  <c r="N395" i="21"/>
  <c r="N396" i="21"/>
  <c r="N397" i="21"/>
  <c r="N398" i="21"/>
  <c r="N399" i="21"/>
  <c r="N400" i="21"/>
  <c r="N401" i="21"/>
  <c r="N402" i="21"/>
  <c r="N403" i="21"/>
  <c r="N404" i="21"/>
  <c r="N405" i="21"/>
  <c r="N406" i="21"/>
  <c r="N407" i="21"/>
  <c r="N408" i="21"/>
  <c r="N409" i="21"/>
  <c r="N410" i="21"/>
  <c r="N411" i="21"/>
  <c r="N412" i="21"/>
  <c r="N413" i="21"/>
  <c r="N414" i="21"/>
  <c r="N415" i="21"/>
  <c r="N416" i="21"/>
  <c r="N417" i="21"/>
  <c r="N418" i="21"/>
  <c r="N419" i="21"/>
  <c r="N420" i="21"/>
  <c r="N421" i="21"/>
  <c r="N422" i="21"/>
  <c r="N423" i="21"/>
  <c r="N424" i="21"/>
  <c r="N425" i="21"/>
  <c r="N426" i="21"/>
  <c r="N427" i="21"/>
  <c r="N428" i="21"/>
  <c r="N429" i="21"/>
  <c r="N430" i="21"/>
  <c r="N431" i="21"/>
  <c r="N432" i="21"/>
  <c r="N433" i="21"/>
  <c r="N434" i="21"/>
  <c r="N435" i="21"/>
  <c r="N436" i="21"/>
  <c r="N437" i="21"/>
  <c r="N438" i="21"/>
  <c r="N439" i="21"/>
  <c r="N440" i="21"/>
  <c r="N441" i="21"/>
  <c r="N442" i="21"/>
  <c r="N443" i="21"/>
  <c r="N444" i="21"/>
  <c r="N445" i="21"/>
  <c r="N446" i="21"/>
  <c r="N447" i="21"/>
  <c r="N448" i="21"/>
  <c r="N449" i="21"/>
  <c r="N67" i="21"/>
  <c r="N68" i="21"/>
  <c r="N66" i="21"/>
  <c r="T3" i="30"/>
  <c r="T4" i="30"/>
  <c r="T5" i="30"/>
  <c r="T6" i="30"/>
  <c r="T7" i="30"/>
  <c r="T8" i="30"/>
  <c r="T9" i="30"/>
  <c r="T10" i="30"/>
  <c r="T11" i="30"/>
  <c r="T12" i="30"/>
  <c r="T13" i="30"/>
  <c r="T14" i="30"/>
  <c r="T15" i="30"/>
  <c r="T16" i="30"/>
  <c r="T17" i="30"/>
  <c r="T18" i="30"/>
  <c r="T19" i="30"/>
  <c r="T20" i="30"/>
  <c r="T21" i="30"/>
  <c r="T22" i="30"/>
  <c r="T23" i="30"/>
  <c r="T24" i="30"/>
  <c r="T25" i="30"/>
  <c r="T26" i="30"/>
  <c r="T27" i="30"/>
  <c r="T28" i="30"/>
  <c r="T29" i="30"/>
  <c r="T30" i="30"/>
  <c r="T31" i="30"/>
  <c r="T32" i="30"/>
  <c r="T33" i="30"/>
  <c r="T34" i="30"/>
  <c r="T35" i="30"/>
  <c r="T36" i="30"/>
  <c r="T37" i="30"/>
  <c r="T38" i="30"/>
  <c r="T39" i="30"/>
  <c r="T40" i="30"/>
  <c r="T41" i="30"/>
  <c r="T42" i="30"/>
  <c r="T43" i="30"/>
  <c r="T44" i="30"/>
  <c r="T45" i="30"/>
  <c r="T46" i="30"/>
  <c r="T47" i="30"/>
  <c r="T48" i="30"/>
  <c r="T49" i="30"/>
  <c r="T50" i="30"/>
  <c r="T51" i="30"/>
  <c r="T52" i="30"/>
  <c r="T53" i="30"/>
  <c r="T54" i="30"/>
  <c r="T55" i="30"/>
  <c r="T56" i="30"/>
  <c r="T57" i="30"/>
  <c r="T58" i="30"/>
  <c r="T59" i="30"/>
  <c r="T60" i="30"/>
  <c r="T61" i="30"/>
  <c r="T62" i="30"/>
  <c r="T63" i="30"/>
  <c r="T64" i="30"/>
  <c r="T65" i="30"/>
  <c r="T66" i="30"/>
  <c r="T67" i="30"/>
  <c r="T68" i="30"/>
  <c r="T69" i="30"/>
  <c r="T70" i="30"/>
  <c r="T71" i="30"/>
  <c r="T72" i="30"/>
  <c r="T73" i="30"/>
  <c r="T74" i="30"/>
  <c r="T75" i="30"/>
  <c r="T76" i="30"/>
  <c r="T77" i="30"/>
  <c r="T78" i="30"/>
  <c r="T79" i="30"/>
  <c r="T80" i="30"/>
  <c r="T81" i="30"/>
  <c r="T82" i="30"/>
  <c r="T83" i="30"/>
  <c r="T84" i="30"/>
  <c r="T85" i="30"/>
  <c r="T86" i="30"/>
  <c r="T87" i="30"/>
  <c r="T88" i="30"/>
  <c r="T89" i="30"/>
  <c r="T90" i="30"/>
  <c r="T91" i="30"/>
  <c r="T92" i="30"/>
  <c r="T93" i="30"/>
  <c r="T94" i="30"/>
  <c r="T95" i="30"/>
  <c r="T96" i="30"/>
  <c r="T97" i="30"/>
  <c r="T98" i="30"/>
  <c r="T99" i="30"/>
  <c r="T100" i="30"/>
  <c r="T101" i="30"/>
  <c r="T102" i="30"/>
  <c r="T103" i="30"/>
  <c r="T104" i="30"/>
  <c r="T105" i="30"/>
  <c r="T106" i="30"/>
  <c r="T107" i="30"/>
  <c r="T108" i="30"/>
  <c r="T109" i="30"/>
  <c r="T110" i="30"/>
  <c r="T111" i="30"/>
  <c r="T112" i="30"/>
  <c r="T113" i="30"/>
  <c r="T114" i="30"/>
  <c r="T115" i="30"/>
  <c r="T116" i="30"/>
  <c r="T117" i="30"/>
  <c r="T118" i="30"/>
  <c r="T119" i="30"/>
  <c r="T120" i="30"/>
  <c r="T121" i="30"/>
  <c r="T122" i="30"/>
  <c r="T123" i="30"/>
  <c r="T124" i="30"/>
  <c r="T125" i="30"/>
  <c r="T126" i="30"/>
  <c r="T127" i="30"/>
  <c r="T128" i="30"/>
  <c r="T129" i="30"/>
  <c r="T130" i="30"/>
  <c r="T131" i="30"/>
  <c r="T132" i="30"/>
  <c r="T133" i="30"/>
  <c r="T134" i="30"/>
  <c r="T135" i="30"/>
  <c r="T136" i="30"/>
  <c r="T137" i="30"/>
  <c r="T138" i="30"/>
  <c r="T139" i="30"/>
  <c r="T140" i="30"/>
  <c r="T141" i="30"/>
  <c r="T142" i="30"/>
  <c r="T143" i="30"/>
  <c r="T144" i="30"/>
  <c r="T145" i="30"/>
  <c r="T146" i="30"/>
  <c r="T147" i="30"/>
  <c r="T148" i="30"/>
  <c r="T149" i="30"/>
  <c r="T150" i="30"/>
  <c r="T151" i="30"/>
  <c r="T152" i="30"/>
  <c r="T153" i="30"/>
  <c r="T154" i="30"/>
  <c r="T155" i="30"/>
  <c r="T156" i="30"/>
  <c r="T157" i="30"/>
  <c r="T158" i="30"/>
  <c r="T159" i="30"/>
  <c r="T160" i="30"/>
  <c r="T161" i="30"/>
  <c r="T162" i="30"/>
  <c r="T163" i="30"/>
  <c r="T164" i="30"/>
  <c r="T165" i="30"/>
  <c r="T166" i="30"/>
  <c r="T167" i="30"/>
  <c r="T168" i="30"/>
  <c r="T169" i="30"/>
  <c r="T170" i="30"/>
  <c r="T171" i="30"/>
  <c r="T172" i="30"/>
  <c r="T173" i="30"/>
  <c r="T174" i="30"/>
  <c r="T175" i="30"/>
  <c r="T176" i="30"/>
  <c r="T177" i="30"/>
  <c r="T178" i="30"/>
  <c r="T179" i="30"/>
  <c r="T180" i="30"/>
  <c r="T181" i="30"/>
  <c r="T182" i="30"/>
  <c r="T183" i="30"/>
  <c r="T184" i="30"/>
  <c r="T185" i="30"/>
  <c r="T186" i="30"/>
  <c r="T187" i="30"/>
  <c r="T188" i="30"/>
  <c r="T189" i="30"/>
  <c r="T190" i="30"/>
  <c r="T191" i="30"/>
  <c r="T192" i="30"/>
  <c r="T193" i="30"/>
  <c r="T194" i="30"/>
  <c r="T195" i="30"/>
  <c r="T196" i="30"/>
  <c r="T197" i="30"/>
  <c r="T198" i="30"/>
  <c r="T199" i="30"/>
  <c r="T200" i="30"/>
  <c r="T201" i="30"/>
  <c r="T202" i="30"/>
  <c r="T203" i="30"/>
  <c r="T204" i="30"/>
  <c r="T205" i="30"/>
  <c r="T206" i="30"/>
  <c r="T207" i="30"/>
  <c r="T208" i="30"/>
  <c r="T209" i="30"/>
  <c r="T210" i="30"/>
  <c r="T211" i="30"/>
  <c r="T212" i="30"/>
  <c r="T213" i="30"/>
  <c r="T214" i="30"/>
  <c r="T215" i="30"/>
  <c r="T216" i="30"/>
  <c r="T217" i="30"/>
  <c r="T218" i="30"/>
  <c r="T219" i="30"/>
  <c r="T220" i="30"/>
  <c r="T221" i="30"/>
  <c r="T222" i="30"/>
  <c r="T223" i="30"/>
  <c r="T224" i="30"/>
  <c r="T225" i="30"/>
  <c r="T226" i="30"/>
  <c r="T227" i="30"/>
  <c r="T228" i="30"/>
  <c r="T229" i="30"/>
  <c r="T230" i="30"/>
  <c r="T231" i="30"/>
  <c r="T232" i="30"/>
  <c r="T233" i="30"/>
  <c r="T234" i="30"/>
  <c r="T235" i="30"/>
  <c r="T236" i="30"/>
  <c r="T237" i="30"/>
  <c r="T238" i="30"/>
  <c r="T239" i="30"/>
  <c r="T240" i="30"/>
  <c r="T241" i="30"/>
  <c r="T242" i="30"/>
  <c r="T243" i="30"/>
  <c r="T244" i="30"/>
  <c r="T245" i="30"/>
  <c r="T246" i="30"/>
  <c r="T247" i="30"/>
  <c r="T248" i="30"/>
  <c r="T249" i="30"/>
  <c r="T250" i="30"/>
  <c r="T251" i="30"/>
  <c r="T252" i="30"/>
  <c r="T253" i="30"/>
  <c r="T254" i="30"/>
  <c r="T255" i="30"/>
  <c r="T256" i="30"/>
  <c r="T257" i="30"/>
  <c r="T2" i="30"/>
  <c r="P3" i="30"/>
  <c r="P4" i="30"/>
  <c r="P5" i="30"/>
  <c r="P6" i="30"/>
  <c r="P7" i="30"/>
  <c r="P8" i="30"/>
  <c r="P9" i="30"/>
  <c r="P10" i="30"/>
  <c r="P11" i="30"/>
  <c r="P12" i="30"/>
  <c r="P13" i="30"/>
  <c r="P14" i="30"/>
  <c r="P15" i="30"/>
  <c r="P16" i="30"/>
  <c r="P17" i="30"/>
  <c r="P18" i="30"/>
  <c r="P19" i="30"/>
  <c r="P20" i="30"/>
  <c r="P21" i="30"/>
  <c r="P22" i="30"/>
  <c r="P23" i="30"/>
  <c r="P24" i="30"/>
  <c r="P25" i="30"/>
  <c r="P26" i="30"/>
  <c r="P27" i="30"/>
  <c r="P28" i="30"/>
  <c r="P29" i="30"/>
  <c r="P30" i="30"/>
  <c r="P31" i="30"/>
  <c r="P32" i="30"/>
  <c r="P33" i="30"/>
  <c r="P34" i="30"/>
  <c r="P35" i="30"/>
  <c r="P36" i="30"/>
  <c r="P37" i="30"/>
  <c r="P38" i="30"/>
  <c r="P39" i="30"/>
  <c r="P40" i="30"/>
  <c r="P41" i="30"/>
  <c r="P42" i="30"/>
  <c r="P43" i="30"/>
  <c r="P44" i="30"/>
  <c r="P45" i="30"/>
  <c r="P46" i="30"/>
  <c r="P47" i="30"/>
  <c r="P48" i="30"/>
  <c r="P49" i="30"/>
  <c r="P50" i="30"/>
  <c r="P51" i="30"/>
  <c r="P52" i="30"/>
  <c r="P53" i="30"/>
  <c r="P54" i="30"/>
  <c r="P55" i="30"/>
  <c r="P56" i="30"/>
  <c r="P57" i="30"/>
  <c r="P58" i="30"/>
  <c r="P59" i="30"/>
  <c r="P60" i="30"/>
  <c r="P61" i="30"/>
  <c r="P62" i="30"/>
  <c r="P63" i="30"/>
  <c r="P64" i="30"/>
  <c r="P65" i="30"/>
  <c r="P66" i="30"/>
  <c r="P67" i="30"/>
  <c r="P68" i="30"/>
  <c r="P69" i="30"/>
  <c r="P70" i="30"/>
  <c r="P71" i="30"/>
  <c r="P72" i="30"/>
  <c r="P73" i="30"/>
  <c r="P74" i="30"/>
  <c r="P75" i="30"/>
  <c r="P76" i="30"/>
  <c r="P77" i="30"/>
  <c r="P78" i="30"/>
  <c r="P79" i="30"/>
  <c r="P80" i="30"/>
  <c r="P81" i="30"/>
  <c r="P82" i="30"/>
  <c r="P83" i="30"/>
  <c r="P84" i="30"/>
  <c r="P85" i="30"/>
  <c r="P86" i="30"/>
  <c r="P87" i="30"/>
  <c r="P88" i="30"/>
  <c r="P89" i="30"/>
  <c r="P90" i="30"/>
  <c r="P91" i="30"/>
  <c r="P92" i="30"/>
  <c r="P93" i="30"/>
  <c r="P94" i="30"/>
  <c r="P95" i="30"/>
  <c r="P96" i="30"/>
  <c r="P97" i="30"/>
  <c r="P98" i="30"/>
  <c r="P99" i="30"/>
  <c r="P100" i="30"/>
  <c r="P101" i="30"/>
  <c r="P102" i="30"/>
  <c r="P103" i="30"/>
  <c r="P104" i="30"/>
  <c r="P105" i="30"/>
  <c r="P106" i="30"/>
  <c r="P107" i="30"/>
  <c r="P108" i="30"/>
  <c r="P109" i="30"/>
  <c r="P110" i="30"/>
  <c r="P111" i="30"/>
  <c r="P112" i="30"/>
  <c r="P113" i="30"/>
  <c r="P114" i="30"/>
  <c r="P115" i="30"/>
  <c r="P116" i="30"/>
  <c r="P117" i="30"/>
  <c r="P118" i="30"/>
  <c r="P119" i="30"/>
  <c r="P120" i="30"/>
  <c r="P121" i="30"/>
  <c r="P122" i="30"/>
  <c r="P123" i="30"/>
  <c r="P124" i="30"/>
  <c r="P125" i="30"/>
  <c r="P126" i="30"/>
  <c r="P127" i="30"/>
  <c r="P128" i="30"/>
  <c r="P129" i="30"/>
  <c r="P130" i="30"/>
  <c r="P131" i="30"/>
  <c r="P132" i="30"/>
  <c r="P133" i="30"/>
  <c r="P134" i="30"/>
  <c r="P135" i="30"/>
  <c r="P136" i="30"/>
  <c r="P137" i="30"/>
  <c r="P138" i="30"/>
  <c r="P139" i="30"/>
  <c r="P140" i="30"/>
  <c r="P141" i="30"/>
  <c r="P142" i="30"/>
  <c r="P143" i="30"/>
  <c r="P144" i="30"/>
  <c r="P145" i="30"/>
  <c r="P146" i="30"/>
  <c r="P147" i="30"/>
  <c r="P148" i="30"/>
  <c r="P149" i="30"/>
  <c r="P150" i="30"/>
  <c r="P151" i="30"/>
  <c r="P152" i="30"/>
  <c r="P153" i="30"/>
  <c r="P154" i="30"/>
  <c r="P155" i="30"/>
  <c r="P156" i="30"/>
  <c r="P157" i="30"/>
  <c r="P158" i="30"/>
  <c r="P159" i="30"/>
  <c r="P160" i="30"/>
  <c r="P161" i="30"/>
  <c r="P162" i="30"/>
  <c r="P163" i="30"/>
  <c r="P164" i="30"/>
  <c r="P165" i="30"/>
  <c r="P166" i="30"/>
  <c r="P167" i="30"/>
  <c r="P168" i="30"/>
  <c r="P169" i="30"/>
  <c r="P170" i="30"/>
  <c r="P171" i="30"/>
  <c r="P172" i="30"/>
  <c r="P173" i="30"/>
  <c r="P174" i="30"/>
  <c r="P175" i="30"/>
  <c r="P176" i="30"/>
  <c r="P177" i="30"/>
  <c r="P178" i="30"/>
  <c r="P179" i="30"/>
  <c r="P180" i="30"/>
  <c r="P181" i="30"/>
  <c r="P182" i="30"/>
  <c r="P183" i="30"/>
  <c r="P184" i="30"/>
  <c r="P185" i="30"/>
  <c r="P186" i="30"/>
  <c r="P187" i="30"/>
  <c r="P188" i="30"/>
  <c r="P189" i="30"/>
  <c r="P190" i="30"/>
  <c r="P191" i="30"/>
  <c r="P192" i="30"/>
  <c r="P193" i="30"/>
  <c r="P194" i="30"/>
  <c r="P195" i="30"/>
  <c r="P196" i="30"/>
  <c r="P197" i="30"/>
  <c r="P198" i="30"/>
  <c r="P199" i="30"/>
  <c r="P200" i="30"/>
  <c r="P201" i="30"/>
  <c r="P202" i="30"/>
  <c r="P203" i="30"/>
  <c r="P204" i="30"/>
  <c r="P205" i="30"/>
  <c r="P206" i="30"/>
  <c r="P207" i="30"/>
  <c r="P208" i="30"/>
  <c r="P209" i="30"/>
  <c r="P210" i="30"/>
  <c r="P211" i="30"/>
  <c r="P212" i="30"/>
  <c r="P213" i="30"/>
  <c r="P214" i="30"/>
  <c r="P215" i="30"/>
  <c r="P216" i="30"/>
  <c r="P217" i="30"/>
  <c r="P218" i="30"/>
  <c r="P219" i="30"/>
  <c r="P220" i="30"/>
  <c r="P221" i="30"/>
  <c r="P222" i="30"/>
  <c r="P223" i="30"/>
  <c r="P224" i="30"/>
  <c r="P225" i="30"/>
  <c r="P226" i="30"/>
  <c r="P227" i="30"/>
  <c r="P228" i="30"/>
  <c r="P229" i="30"/>
  <c r="P230" i="30"/>
  <c r="P231" i="30"/>
  <c r="P232" i="30"/>
  <c r="P233" i="30"/>
  <c r="P234" i="30"/>
  <c r="P235" i="30"/>
  <c r="P236" i="30"/>
  <c r="P237" i="30"/>
  <c r="P238" i="30"/>
  <c r="P239" i="30"/>
  <c r="P240" i="30"/>
  <c r="P241" i="30"/>
  <c r="P242" i="30"/>
  <c r="P243" i="30"/>
  <c r="P244" i="30"/>
  <c r="P245" i="30"/>
  <c r="P246" i="30"/>
  <c r="P247" i="30"/>
  <c r="P248" i="30"/>
  <c r="P249" i="30"/>
  <c r="P250" i="30"/>
  <c r="P251" i="30"/>
  <c r="P252" i="30"/>
  <c r="P253" i="30"/>
  <c r="P254" i="30"/>
  <c r="P255" i="30"/>
  <c r="P256" i="30"/>
  <c r="P257" i="30"/>
  <c r="P2" i="30"/>
  <c r="R3" i="28"/>
  <c r="R4" i="28"/>
  <c r="R6" i="28"/>
  <c r="R7" i="28"/>
  <c r="R10" i="28"/>
  <c r="R12" i="28"/>
  <c r="R18" i="28"/>
  <c r="R27" i="28"/>
  <c r="R28" i="28"/>
  <c r="R29" i="28"/>
  <c r="R40" i="28"/>
  <c r="R42" i="28"/>
  <c r="R46" i="28"/>
  <c r="R47" i="28"/>
  <c r="R60" i="28"/>
  <c r="R61" i="28"/>
  <c r="R62" i="28"/>
  <c r="R63" i="28"/>
  <c r="R65" i="28"/>
  <c r="R2" i="28"/>
  <c r="P3" i="28"/>
  <c r="P4" i="28"/>
  <c r="P5" i="28"/>
  <c r="R5" i="28" s="1"/>
  <c r="P6" i="28"/>
  <c r="P7" i="28"/>
  <c r="P8" i="28"/>
  <c r="R8" i="28" s="1"/>
  <c r="P9" i="28"/>
  <c r="R9" i="28" s="1"/>
  <c r="P10" i="28"/>
  <c r="P11" i="28"/>
  <c r="R11" i="28" s="1"/>
  <c r="P12" i="28"/>
  <c r="P13" i="28"/>
  <c r="R13" i="28" s="1"/>
  <c r="P14" i="28"/>
  <c r="R14" i="28" s="1"/>
  <c r="P15" i="28"/>
  <c r="R15" i="28" s="1"/>
  <c r="P16" i="28"/>
  <c r="R16" i="28" s="1"/>
  <c r="P17" i="28"/>
  <c r="R17" i="28" s="1"/>
  <c r="P18" i="28"/>
  <c r="P19" i="28"/>
  <c r="R19" i="28" s="1"/>
  <c r="P20" i="28"/>
  <c r="R20" i="28" s="1"/>
  <c r="P21" i="28"/>
  <c r="R21" i="28" s="1"/>
  <c r="P22" i="28"/>
  <c r="R22" i="28" s="1"/>
  <c r="P23" i="28"/>
  <c r="R23" i="28" s="1"/>
  <c r="P24" i="28"/>
  <c r="R24" i="28" s="1"/>
  <c r="P25" i="28"/>
  <c r="R25" i="28" s="1"/>
  <c r="P26" i="28"/>
  <c r="R26" i="28" s="1"/>
  <c r="P27" i="28"/>
  <c r="P28" i="28"/>
  <c r="P29" i="28"/>
  <c r="P30" i="28"/>
  <c r="R30" i="28" s="1"/>
  <c r="P31" i="28"/>
  <c r="R31" i="28" s="1"/>
  <c r="P32" i="28"/>
  <c r="R32" i="28" s="1"/>
  <c r="P33" i="28"/>
  <c r="R33" i="28" s="1"/>
  <c r="P34" i="28"/>
  <c r="R34" i="28" s="1"/>
  <c r="P35" i="28"/>
  <c r="R35" i="28" s="1"/>
  <c r="P36" i="28"/>
  <c r="R36" i="28" s="1"/>
  <c r="P37" i="28"/>
  <c r="R37" i="28" s="1"/>
  <c r="P38" i="28"/>
  <c r="R38" i="28" s="1"/>
  <c r="P39" i="28"/>
  <c r="R39" i="28" s="1"/>
  <c r="P40" i="28"/>
  <c r="P41" i="28"/>
  <c r="R41" i="28" s="1"/>
  <c r="P42" i="28"/>
  <c r="P43" i="28"/>
  <c r="R43" i="28" s="1"/>
  <c r="P44" i="28"/>
  <c r="R44" i="28" s="1"/>
  <c r="P45" i="28"/>
  <c r="R45" i="28" s="1"/>
  <c r="P46" i="28"/>
  <c r="P47" i="28"/>
  <c r="P48" i="28"/>
  <c r="R48" i="28" s="1"/>
  <c r="P49" i="28"/>
  <c r="R49" i="28" s="1"/>
  <c r="P50" i="28"/>
  <c r="R50" i="28" s="1"/>
  <c r="P51" i="28"/>
  <c r="R51" i="28" s="1"/>
  <c r="P52" i="28"/>
  <c r="R52" i="28" s="1"/>
  <c r="P53" i="28"/>
  <c r="R53" i="28" s="1"/>
  <c r="P54" i="28"/>
  <c r="R54" i="28" s="1"/>
  <c r="P55" i="28"/>
  <c r="R55" i="28" s="1"/>
  <c r="P56" i="28"/>
  <c r="R56" i="28" s="1"/>
  <c r="P57" i="28"/>
  <c r="R57" i="28" s="1"/>
  <c r="P58" i="28"/>
  <c r="R58" i="28" s="1"/>
  <c r="P59" i="28"/>
  <c r="R59" i="28" s="1"/>
  <c r="P60" i="28"/>
  <c r="P61" i="28"/>
  <c r="P62" i="28"/>
  <c r="P63" i="28"/>
  <c r="P64" i="28"/>
  <c r="R64" i="28" s="1"/>
  <c r="P65" i="28"/>
  <c r="P2" i="28"/>
  <c r="U3" i="16"/>
  <c r="U4" i="16"/>
  <c r="U5" i="16"/>
  <c r="U6" i="16"/>
  <c r="U7" i="16"/>
  <c r="U8" i="16"/>
  <c r="U9" i="16"/>
  <c r="U10" i="16"/>
  <c r="U11" i="16"/>
  <c r="U12" i="16"/>
  <c r="U13" i="16"/>
  <c r="U14" i="16"/>
  <c r="U15" i="16"/>
  <c r="U16" i="16"/>
  <c r="U17" i="16"/>
  <c r="U18" i="16"/>
  <c r="U19" i="16"/>
  <c r="U20" i="16"/>
  <c r="U21" i="16"/>
  <c r="U22" i="16"/>
  <c r="U23" i="16"/>
  <c r="U24" i="16"/>
  <c r="U25" i="16"/>
  <c r="U26" i="16"/>
  <c r="U27" i="16"/>
  <c r="U28" i="16"/>
  <c r="U29" i="16"/>
  <c r="U30" i="16"/>
  <c r="U31" i="16"/>
  <c r="U32" i="16"/>
  <c r="U33" i="16"/>
  <c r="U34" i="16"/>
  <c r="U35" i="16"/>
  <c r="U36" i="16"/>
  <c r="U37" i="16"/>
  <c r="U38" i="16"/>
  <c r="U39" i="16"/>
  <c r="U40" i="16"/>
  <c r="U41" i="16"/>
  <c r="U42" i="16"/>
  <c r="U43" i="16"/>
  <c r="U44" i="16"/>
  <c r="U45" i="16"/>
  <c r="U46" i="16"/>
  <c r="U47" i="16"/>
  <c r="U48" i="16"/>
  <c r="U49" i="16"/>
  <c r="U50" i="16"/>
  <c r="U51" i="16"/>
  <c r="U52" i="16"/>
  <c r="U53" i="16"/>
  <c r="U54" i="16"/>
  <c r="U55" i="16"/>
  <c r="U56" i="16"/>
  <c r="U57" i="16"/>
  <c r="U58" i="16"/>
  <c r="U59" i="16"/>
  <c r="U60" i="16"/>
  <c r="U61" i="16"/>
  <c r="U62" i="16"/>
  <c r="U63" i="16"/>
  <c r="U64" i="16"/>
  <c r="U65" i="16"/>
  <c r="U2" i="16"/>
  <c r="S3" i="16"/>
  <c r="S4" i="16"/>
  <c r="S5" i="16"/>
  <c r="S6" i="16"/>
  <c r="S7" i="16"/>
  <c r="S8" i="16"/>
  <c r="S9" i="16"/>
  <c r="S10" i="16"/>
  <c r="S11" i="16"/>
  <c r="S12" i="16"/>
  <c r="S13" i="16"/>
  <c r="S14" i="16"/>
  <c r="S15" i="16"/>
  <c r="S16" i="16"/>
  <c r="S17" i="16"/>
  <c r="S18" i="16"/>
  <c r="S19" i="16"/>
  <c r="S20" i="16"/>
  <c r="S21" i="16"/>
  <c r="S22" i="16"/>
  <c r="S23" i="16"/>
  <c r="S24" i="16"/>
  <c r="S25" i="16"/>
  <c r="S26" i="16"/>
  <c r="S27" i="16"/>
  <c r="S28" i="16"/>
  <c r="S29" i="16"/>
  <c r="S30" i="16"/>
  <c r="S31" i="16"/>
  <c r="S32" i="16"/>
  <c r="S33" i="16"/>
  <c r="S34" i="16"/>
  <c r="S35" i="16"/>
  <c r="S36" i="16"/>
  <c r="S37" i="16"/>
  <c r="S38" i="16"/>
  <c r="S39" i="16"/>
  <c r="S40" i="16"/>
  <c r="S41" i="16"/>
  <c r="S42" i="16"/>
  <c r="S43" i="16"/>
  <c r="S44" i="16"/>
  <c r="S45" i="16"/>
  <c r="S46" i="16"/>
  <c r="S47" i="16"/>
  <c r="S48" i="16"/>
  <c r="S49" i="16"/>
  <c r="S50" i="16"/>
  <c r="S51" i="16"/>
  <c r="S52" i="16"/>
  <c r="S53" i="16"/>
  <c r="S54" i="16"/>
  <c r="S55" i="16"/>
  <c r="S56" i="16"/>
  <c r="S57" i="16"/>
  <c r="S58" i="16"/>
  <c r="S59" i="16"/>
  <c r="S60" i="16"/>
  <c r="S61" i="16"/>
  <c r="S62" i="16"/>
  <c r="S63" i="16"/>
  <c r="S64" i="16"/>
  <c r="S65" i="16"/>
  <c r="S2" i="16"/>
  <c r="K3" i="13"/>
  <c r="K4" i="13"/>
  <c r="K5" i="13"/>
  <c r="K6" i="13"/>
  <c r="K7" i="13"/>
  <c r="K8" i="13"/>
  <c r="K9" i="13"/>
  <c r="K10" i="13"/>
  <c r="K11" i="13"/>
  <c r="K12" i="13"/>
  <c r="K13" i="13"/>
  <c r="K14" i="13"/>
  <c r="K15" i="13"/>
  <c r="K16" i="13"/>
  <c r="K17" i="13"/>
  <c r="K2" i="13"/>
  <c r="AO45" i="26" l="1"/>
  <c r="AQ2" i="26"/>
  <c r="AV2" i="26" s="1"/>
  <c r="AO47" i="26"/>
  <c r="AO9" i="26"/>
  <c r="AO10" i="26"/>
  <c r="AO65" i="26"/>
  <c r="AO8" i="26"/>
  <c r="AO18" i="26"/>
  <c r="AO64" i="26"/>
  <c r="AQ51" i="26"/>
  <c r="AV51" i="26" s="1"/>
  <c r="AO46" i="26"/>
  <c r="AO25" i="26"/>
  <c r="AQ44" i="26"/>
  <c r="AV44" i="26" s="1"/>
  <c r="AO62" i="26"/>
  <c r="AQ54" i="26"/>
  <c r="AV54" i="26" s="1"/>
  <c r="AQ30" i="26"/>
  <c r="AV30" i="26" s="1"/>
  <c r="AO35" i="26"/>
  <c r="BO36" i="25"/>
  <c r="BP16" i="25"/>
  <c r="BE18" i="25"/>
  <c r="BP57" i="25"/>
  <c r="BQ53" i="25"/>
  <c r="BP64" i="25"/>
  <c r="BR12" i="25"/>
  <c r="BE61" i="25"/>
  <c r="BR21" i="25"/>
  <c r="BP12" i="25"/>
  <c r="BR53" i="25"/>
  <c r="BE63" i="25"/>
  <c r="BE12" i="25"/>
  <c r="BP53" i="25"/>
  <c r="BE33" i="25"/>
  <c r="BR32" i="25"/>
  <c r="BQ21" i="25"/>
  <c r="BE3" i="25"/>
  <c r="BE20" i="25"/>
  <c r="BE57" i="25"/>
  <c r="BQ16" i="25"/>
  <c r="BQ57" i="25"/>
  <c r="BP36" i="25"/>
  <c r="BE31" i="25"/>
  <c r="BP41" i="25"/>
  <c r="BR41" i="25"/>
  <c r="BO41" i="25"/>
  <c r="BQ41" i="25"/>
  <c r="BQ44" i="25"/>
  <c r="BP44" i="25"/>
  <c r="BR44" i="25"/>
  <c r="BE38" i="25"/>
  <c r="BE58" i="25"/>
  <c r="BP28" i="25"/>
  <c r="BP23" i="25"/>
  <c r="BR23" i="25"/>
  <c r="BQ23" i="25"/>
  <c r="BO23" i="25"/>
  <c r="BE21" i="25"/>
  <c r="BP60" i="25"/>
  <c r="BR60" i="25"/>
  <c r="BQ60" i="25"/>
  <c r="BO60" i="25"/>
  <c r="BP59" i="25"/>
  <c r="BR59" i="25"/>
  <c r="BO59" i="25"/>
  <c r="BQ59" i="25"/>
  <c r="BQ11" i="25"/>
  <c r="BO11" i="25"/>
  <c r="BP11" i="25"/>
  <c r="BR11" i="25"/>
  <c r="BO12" i="25"/>
  <c r="BO31" i="25"/>
  <c r="BQ45" i="25"/>
  <c r="BO45" i="25"/>
  <c r="BP45" i="25"/>
  <c r="BR45" i="25"/>
  <c r="BO47" i="25"/>
  <c r="BQ47" i="25"/>
  <c r="BP47" i="25"/>
  <c r="BR47" i="25"/>
  <c r="BO29" i="25"/>
  <c r="BQ29" i="25"/>
  <c r="BP29" i="25"/>
  <c r="BR29" i="25"/>
  <c r="BE22" i="25"/>
  <c r="BR4" i="25"/>
  <c r="BP4" i="25"/>
  <c r="BO4" i="25"/>
  <c r="BQ4" i="25"/>
  <c r="BE53" i="25"/>
  <c r="BP22" i="25"/>
  <c r="BR22" i="25"/>
  <c r="BO22" i="25"/>
  <c r="BQ22" i="25"/>
  <c r="BE59" i="25"/>
  <c r="BO65" i="25"/>
  <c r="BQ65" i="25"/>
  <c r="BP65" i="25"/>
  <c r="BR65" i="25"/>
  <c r="BQ63" i="25"/>
  <c r="BP63" i="25"/>
  <c r="BR63" i="25"/>
  <c r="BO63" i="25"/>
  <c r="BE8" i="25"/>
  <c r="BE9" i="25"/>
  <c r="BP48" i="25"/>
  <c r="BO50" i="25"/>
  <c r="BO27" i="25"/>
  <c r="BQ27" i="25"/>
  <c r="BP27" i="25"/>
  <c r="BR27" i="25"/>
  <c r="BP42" i="25"/>
  <c r="BR42" i="25"/>
  <c r="BO42" i="25"/>
  <c r="BQ42" i="25"/>
  <c r="BE40" i="25"/>
  <c r="BE13" i="25"/>
  <c r="BE39" i="25"/>
  <c r="BE37" i="25"/>
  <c r="BQ62" i="25"/>
  <c r="BP62" i="25"/>
  <c r="BR62" i="25"/>
  <c r="BO62" i="25"/>
  <c r="BE26" i="25"/>
  <c r="BE27" i="25"/>
  <c r="BO39" i="25"/>
  <c r="BE45" i="25"/>
  <c r="BP56" i="25"/>
  <c r="BR56" i="25"/>
  <c r="BO56" i="25"/>
  <c r="BQ56" i="25"/>
  <c r="BP19" i="25"/>
  <c r="BR19" i="25"/>
  <c r="BO19" i="25"/>
  <c r="BQ19" i="25"/>
  <c r="BE30" i="25"/>
  <c r="BE34" i="25"/>
  <c r="BE6" i="25"/>
  <c r="BE62" i="25"/>
  <c r="BP18" i="25"/>
  <c r="BR18" i="25"/>
  <c r="BO18" i="25"/>
  <c r="BQ18" i="25"/>
  <c r="BO40" i="25"/>
  <c r="BE16" i="25"/>
  <c r="BE49" i="25"/>
  <c r="BE44" i="25"/>
  <c r="BE36" i="25"/>
  <c r="BE24" i="25"/>
  <c r="BO10" i="25"/>
  <c r="BQ10" i="25"/>
  <c r="BP10" i="25"/>
  <c r="BR10" i="25"/>
  <c r="BO26" i="25"/>
  <c r="BQ26" i="25"/>
  <c r="BP26" i="25"/>
  <c r="BR26" i="25"/>
  <c r="BO57" i="25"/>
  <c r="BO37" i="25"/>
  <c r="BP20" i="25"/>
  <c r="BR20" i="25"/>
  <c r="BO20" i="25"/>
  <c r="BQ20" i="25"/>
  <c r="BE17" i="25"/>
  <c r="BP55" i="25"/>
  <c r="BR55" i="25"/>
  <c r="BO55" i="25"/>
  <c r="BQ55" i="25"/>
  <c r="BE5" i="25"/>
  <c r="BE42" i="25"/>
  <c r="BE15" i="25"/>
  <c r="BO51" i="25"/>
  <c r="BO9" i="25"/>
  <c r="BQ9" i="25"/>
  <c r="BP9" i="25"/>
  <c r="BR9" i="25"/>
  <c r="BE14" i="25"/>
  <c r="BE52" i="25"/>
  <c r="BQ7" i="25"/>
  <c r="BR7" i="25"/>
  <c r="BO7" i="25"/>
  <c r="BE60" i="25"/>
  <c r="BO13" i="25"/>
  <c r="BO46" i="25"/>
  <c r="BO43" i="25"/>
  <c r="BE35" i="25"/>
  <c r="BE23" i="25"/>
  <c r="BE54" i="25"/>
  <c r="BE41" i="25"/>
  <c r="BO64" i="25"/>
  <c r="BE32" i="25"/>
  <c r="BR5" i="25"/>
  <c r="BP5" i="25"/>
  <c r="BQ5" i="25"/>
  <c r="BO5" i="25"/>
  <c r="BQ25" i="25"/>
  <c r="BP25" i="25"/>
  <c r="BR25" i="25"/>
  <c r="BO25" i="25"/>
  <c r="BE4" i="25"/>
  <c r="BO8" i="25"/>
  <c r="BQ8" i="25"/>
  <c r="BP8" i="25"/>
  <c r="BR8" i="25"/>
  <c r="BO38" i="25"/>
  <c r="AQ14" i="26"/>
  <c r="AV14" i="26" s="1"/>
  <c r="AQ11" i="26"/>
  <c r="AV11" i="26" s="1"/>
  <c r="AO26" i="26"/>
  <c r="AO7" i="26"/>
  <c r="AO29" i="26"/>
  <c r="AO43" i="26"/>
  <c r="AQ63" i="26"/>
  <c r="AV63" i="26" s="1"/>
  <c r="AQ12" i="26"/>
  <c r="AV12" i="26" s="1"/>
  <c r="AQ48" i="26"/>
  <c r="AV48" i="26" s="1"/>
  <c r="AQ32" i="26"/>
  <c r="AV32" i="26" s="1"/>
  <c r="AQ52" i="26"/>
  <c r="AV52" i="26" s="1"/>
  <c r="AO33" i="26"/>
  <c r="AQ17" i="26"/>
  <c r="AV17" i="26" s="1"/>
  <c r="AQ27" i="26"/>
  <c r="AV27" i="26" s="1"/>
  <c r="AO28" i="26"/>
  <c r="AQ22" i="26"/>
  <c r="AV22" i="26" s="1"/>
  <c r="AO22" i="26"/>
  <c r="AQ4" i="26"/>
  <c r="AV4" i="26" s="1"/>
  <c r="AO4" i="26"/>
  <c r="AQ40" i="26"/>
  <c r="AV40" i="26" s="1"/>
  <c r="AO40" i="26"/>
  <c r="AQ20" i="26"/>
  <c r="AV20" i="26" s="1"/>
  <c r="AO20" i="26"/>
  <c r="AQ59" i="26"/>
  <c r="AV59" i="26" s="1"/>
  <c r="AO59" i="26"/>
  <c r="AO36" i="26"/>
  <c r="AO16" i="26"/>
  <c r="AQ16" i="26"/>
  <c r="AV16" i="26" s="1"/>
  <c r="AO37" i="26"/>
  <c r="AQ37" i="26"/>
  <c r="AV37" i="26" s="1"/>
  <c r="AQ57" i="26"/>
  <c r="AV57" i="26" s="1"/>
  <c r="AO57" i="26"/>
  <c r="AQ5" i="26"/>
  <c r="AV5" i="26" s="1"/>
  <c r="AO5" i="26"/>
  <c r="AQ19" i="26"/>
  <c r="AV19" i="26" s="1"/>
  <c r="AO19" i="26"/>
  <c r="AQ38" i="26"/>
  <c r="AV38" i="26" s="1"/>
  <c r="AO38" i="26"/>
  <c r="AQ34" i="26"/>
  <c r="AV34" i="26" s="1"/>
  <c r="AO34" i="26"/>
  <c r="AO56" i="26"/>
  <c r="AQ56" i="26"/>
  <c r="AV56" i="26" s="1"/>
  <c r="AQ23" i="26"/>
  <c r="AV23" i="26" s="1"/>
  <c r="AO23" i="26"/>
  <c r="AQ6" i="26"/>
  <c r="AV6" i="26" s="1"/>
  <c r="AO6" i="26"/>
  <c r="AQ53" i="26"/>
  <c r="AV53" i="26" s="1"/>
  <c r="AO53" i="26"/>
  <c r="AQ41" i="26"/>
  <c r="AV41" i="26" s="1"/>
  <c r="AO41" i="26"/>
  <c r="AQ24" i="26"/>
  <c r="AV24" i="26" s="1"/>
  <c r="AO24" i="26"/>
  <c r="AQ60" i="26"/>
  <c r="AV60" i="26" s="1"/>
  <c r="AO60" i="26"/>
  <c r="AQ42" i="26"/>
  <c r="AV42" i="26" s="1"/>
  <c r="AO42" i="26"/>
  <c r="AQ3" i="26"/>
  <c r="AV3" i="26" s="1"/>
  <c r="AO3" i="26"/>
  <c r="AQ61" i="26"/>
  <c r="AV61" i="26" s="1"/>
  <c r="AO61" i="26"/>
  <c r="AQ15" i="26"/>
  <c r="AV15" i="26" s="1"/>
  <c r="AQ21" i="26"/>
  <c r="AV21" i="26" s="1"/>
  <c r="AO21" i="26"/>
  <c r="AQ39" i="26"/>
  <c r="AV39" i="26" s="1"/>
  <c r="AO39" i="26"/>
  <c r="AQ58" i="26"/>
  <c r="AV58" i="26" s="1"/>
  <c r="AO58" i="26"/>
  <c r="AQ55" i="26"/>
  <c r="AV55" i="26" s="1"/>
  <c r="G4" i="13"/>
  <c r="G6" i="13"/>
  <c r="G8" i="13"/>
  <c r="G9" i="13"/>
  <c r="G10" i="13"/>
  <c r="G11" i="13"/>
  <c r="G13" i="13"/>
  <c r="G14" i="13"/>
  <c r="G15" i="13"/>
  <c r="G17" i="13"/>
  <c r="G3" i="13"/>
  <c r="G5" i="13"/>
  <c r="G7" i="13"/>
  <c r="G12" i="13"/>
  <c r="G16" i="13"/>
  <c r="G2" i="13"/>
  <c r="D21" i="2"/>
  <c r="D17" i="2"/>
  <c r="D19" i="2"/>
  <c r="D22" i="2"/>
  <c r="D20" i="2"/>
  <c r="D18" i="2"/>
  <c r="D23" i="2"/>
  <c r="D2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tc={201BD4A9-486F-439A-9F23-3FE70DCECAE9}</author>
    <author>tc={41D624F5-C1CE-4C52-995F-F36594E5C364}</author>
  </authors>
  <commentList>
    <comment ref="A9" authorId="0" shapeId="0" xr:uid="{201BD4A9-486F-439A-9F23-3FE70DCECAE9}">
      <text>
        <t>[Threaded comment]
Your version of Excel allows you to read this threaded comment; however, any edits to it will get removed if the file is opened in a newer version of Excel. Learn more: https://go.microsoft.com/fwlink/?linkid=870924
Comment:
    This design description is proabaly not correct but will hear from AAGI regarding the right one.</t>
      </text>
    </comment>
    <comment ref="A10" authorId="1" shapeId="0" xr:uid="{41D624F5-C1CE-4C52-995F-F36594E5C364}">
      <text>
        <t>[Threaded comment]
Your version of Excel allows you to read this threaded comment; however, any edits to it will get removed if the file is opened in a newer version of Excel. Learn more: https://go.microsoft.com/fwlink/?linkid=870924
Comment:
    We aim to coincide flower dates between treatments. Is this sufficient duration to achieve it at Wagga?
Reply:
    These dates are actual date sown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 Pasquale</author>
    <author>tc={1294541E-6317-4E06-B120-AA2ADC089F28}</author>
    <author>tc={BAB708E4-EA63-426C-AD0A-A2D07B0F7618}</author>
    <author>tc={3BFAB854-4C49-4CE2-A7AF-0250DD983AAC}</author>
    <author>tc={E4ECAF00-CBC5-4B0D-925C-7DFF7ADC36DF}</author>
    <author>tc={B27189A1-92B4-4992-8D3A-0D4BD92E56BD}</author>
    <author>tc={38EC12F2-B603-48A7-8E27-1EC7858A726A}</author>
  </authors>
  <commentList>
    <comment ref="N202" authorId="0" shapeId="0" xr:uid="{0E7C4A24-28D0-4327-B0ED-CD107AAD9EEA}">
      <text>
        <r>
          <rPr>
            <sz val="11"/>
            <color theme="1"/>
            <rFont val="Calibri"/>
            <family val="2"/>
            <scheme val="minor"/>
          </rPr>
          <t>Andre Pasquale:
Bird damage.  Seedlings pulled out of ground</t>
        </r>
      </text>
    </comment>
    <comment ref="N343" authorId="1" shapeId="0" xr:uid="{1294541E-6317-4E06-B120-AA2ADC089F28}">
      <text>
        <t>[Threaded comment]
Your version of Excel allows you to read this threaded comment; however, any edits to it will get removed if the file is opened in a newer version of Excel. Learn more: https://go.microsoft.com/fwlink/?linkid=870924
Comment:
    Water stressed</t>
      </text>
    </comment>
    <comment ref="N351" authorId="2" shapeId="0" xr:uid="{BAB708E4-EA63-426C-AD0A-A2D07B0F7618}">
      <text>
        <t>[Threaded comment]
Your version of Excel allows you to read this threaded comment; however, any edits to it will get removed if the file is opened in a newer version of Excel. Learn more: https://go.microsoft.com/fwlink/?linkid=870924
Comment:
    Water stressed</t>
      </text>
    </comment>
    <comment ref="N555" authorId="3" shapeId="0" xr:uid="{3BFAB854-4C49-4CE2-A7AF-0250DD983AAC}">
      <text>
        <t>[Threaded comment]
Your version of Excel allows you to read this threaded comment; however, any edits to it will get removed if the file is opened in a newer version of Excel. Learn more: https://go.microsoft.com/fwlink/?linkid=870924
Comment:
    30% plants only leaf</t>
      </text>
    </comment>
    <comment ref="N559" authorId="4" shapeId="0" xr:uid="{E4ECAF00-CBC5-4B0D-925C-7DFF7ADC36DF}">
      <text>
        <t>[Threaded comment]
Your version of Excel allows you to read this threaded comment; however, any edits to it will get removed if the file is opened in a newer version of Excel. Learn more: https://go.microsoft.com/fwlink/?linkid=870924
Comment:
    20% one leaf</t>
      </text>
    </comment>
    <comment ref="N563" authorId="5" shapeId="0" xr:uid="{B27189A1-92B4-4992-8D3A-0D4BD92E56BD}">
      <text>
        <t>[Threaded comment]
Your version of Excel allows you to read this threaded comment; however, any edits to it will get removed if the file is opened in a newer version of Excel. Learn more: https://go.microsoft.com/fwlink/?linkid=870924
Comment:
    50% one leaf</t>
      </text>
    </comment>
    <comment ref="N567" authorId="6" shapeId="0" xr:uid="{38EC12F2-B603-48A7-8E27-1EC7858A726A}">
      <text>
        <t>[Threaded comment]
Your version of Excel allows you to read this threaded comment; however, any edits to it will get removed if the file is opened in a newer version of Excel. Learn more: https://go.microsoft.com/fwlink/?linkid=870924
Comment:
    80% one leaf</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tc={39CF8549-641D-4921-8F2C-F2B35AF5554E}</author>
  </authors>
  <commentList>
    <comment ref="M1" authorId="0" shapeId="0" xr:uid="{39CF8549-641D-4921-8F2C-F2B35AF5554E}">
      <text>
        <t>[Threaded comment]
Your version of Excel allows you to read this threaded comment; however, any edits to it will get removed if the file is opened in a newer version of Excel. Learn more: https://go.microsoft.com/fwlink/?linkid=870924
Comment:
    Plant No for 1 meter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tc={029A8878-4B25-4229-A6D7-6A148F9066EC}</author>
  </authors>
  <commentList>
    <comment ref="K1" authorId="0" shapeId="0" xr:uid="{029A8878-4B25-4229-A6D7-6A148F9066EC}">
      <text>
        <t>[Threaded comment]
Your version of Excel allows you to read this threaded comment; however, any edits to it will get removed if the file is opened in a newer version of Excel. Learn more: https://go.microsoft.com/fwlink/?linkid=870924
Comment:
    M2 of tillers</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tc={CEF030F4-864A-486C-80B3-8E9B3ED29C3A}</author>
    <author>tc={2A1A59E2-405C-4E84-A306-435ACE2643F7}</author>
    <author>tc={52FE5890-428C-417D-954E-6D8CEA33C85A}</author>
  </authors>
  <commentList>
    <comment ref="K1" authorId="0" shapeId="0" xr:uid="{CEF030F4-864A-486C-80B3-8E9B3ED29C3A}">
      <text>
        <t>[Threaded comment]
Your version of Excel allows you to read this threaded comment; however, any edits to it will get removed if the file is opened in a newer version of Excel. Learn more: https://go.microsoft.com/fwlink/?linkid=870924
Comment:
    All NDVI recorded on 12th September due to shortage of labour</t>
      </text>
    </comment>
    <comment ref="T1" authorId="1" shapeId="0" xr:uid="{2A1A59E2-405C-4E84-A306-435ACE2643F7}">
      <text>
        <t>[Threaded comment]
Your version of Excel allows you to read this threaded comment; however, any edits to it will get removed if the file is opened in a newer version of Excel. Learn more: https://go.microsoft.com/fwlink/?linkid=870924
Comment:
    Ground level</t>
      </text>
    </comment>
    <comment ref="AV1" authorId="2" shapeId="0" xr:uid="{52FE5890-428C-417D-954E-6D8CEA33C85A}">
      <text>
        <t xml:space="preserve">[Threaded comment]
Your version of Excel allows you to read this threaded comment; however, any edits to it will get removed if the file is opened in a newer version of Excel. Learn more: https://go.microsoft.com/fwlink/?linkid=870924
Comment:
    Was 20 culms at wagga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tc={7D80235B-B4E6-4A0C-84D9-33A22E5E583A}</author>
  </authors>
  <commentList>
    <comment ref="M1" authorId="0" shapeId="0" xr:uid="{7D80235B-B4E6-4A0C-84D9-33A22E5E583A}">
      <text>
        <t xml:space="preserve">[Threaded comment]
Your version of Excel allows you to read this threaded comment; however, any edits to it will get removed if the file is opened in a newer version of Excel. Learn more: https://go.microsoft.com/fwlink/?linkid=870924
Comment:
    All NDVI recorded at 6 October due to labour shortage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tc={5942E60D-11CC-452E-8B7E-E989CA1EE27A}</author>
  </authors>
  <commentList>
    <comment ref="X1" authorId="0" shapeId="0" xr:uid="{5942E60D-11CC-452E-8B7E-E989CA1EE27A}">
      <text>
        <t>[Threaded comment]
Your version of Excel allows you to read this threaded comment; however, any edits to it will get removed if the file is opened in a newer version of Excel. Learn more: https://go.microsoft.com/fwlink/?linkid=870924
Comment:
    Number of spikelets that the first florets do not contain a grain</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tc={E8F1EEB7-178A-46BD-90A7-6A4CBC75EC16}</author>
  </authors>
  <commentList>
    <comment ref="Q1" authorId="0" shapeId="0" xr:uid="{E8F1EEB7-178A-46BD-90A7-6A4CBC75EC16}">
      <text>
        <t>[Threaded comment]
Your version of Excel allows you to read this threaded comment; however, any edits to it will get removed if the file is opened in a newer version of Excel. Learn more: https://go.microsoft.com/fwlink/?linkid=870924
Comment:
    Check these yellow ones</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Andre Pasquale</author>
  </authors>
  <commentList>
    <comment ref="Y1" authorId="0" shapeId="0" xr:uid="{3BDD7465-E330-4CC8-816C-1D242918BFC9}">
      <text>
        <r>
          <rPr>
            <sz val="11"/>
            <color theme="1"/>
            <rFont val="Calibri"/>
            <family val="2"/>
            <scheme val="minor"/>
          </rPr>
          <t>Andre Pasquale:
Empty calico bag tared</t>
        </r>
      </text>
    </comment>
  </commentList>
</comments>
</file>

<file path=xl/sharedStrings.xml><?xml version="1.0" encoding="utf-8"?>
<sst xmlns="http://schemas.openxmlformats.org/spreadsheetml/2006/main" count="18588" uniqueCount="779">
  <si>
    <t>Site name</t>
  </si>
  <si>
    <t>Paddock name</t>
  </si>
  <si>
    <t>GPS row</t>
  </si>
  <si>
    <t>Location (lat, long)</t>
  </si>
  <si>
    <t>Weather station</t>
  </si>
  <si>
    <t>BOM station</t>
  </si>
  <si>
    <t xml:space="preserve">Mean rainfall (1879-2019) </t>
  </si>
  <si>
    <t>Growing season rainfall (Apr-Nov)</t>
  </si>
  <si>
    <t>Experiment name</t>
  </si>
  <si>
    <t>Harvest index in historic winter and spring wheat cultivars</t>
  </si>
  <si>
    <t>Experiment code</t>
  </si>
  <si>
    <t>Aim</t>
  </si>
  <si>
    <t>To quantify genetic yield gain and phenotypic shifts in Australian winter and spring wheat cultivars due to selection for yield, and elucidate the mechaism responsible for reduced HI in winter wheat</t>
  </si>
  <si>
    <t>Research question</t>
  </si>
  <si>
    <t>What has been the comparitive genetic yield gain in Australian winter and spring wheat cultivars?</t>
  </si>
  <si>
    <t>What phenotypic shifts have been associated with selection for yield in winter and spring wheat cultivars?</t>
  </si>
  <si>
    <t>What are the phenotypic differences between spring and winter wheat that cause comparitively lower HI in winter wheat?</t>
  </si>
  <si>
    <t>Treatments</t>
  </si>
  <si>
    <t>Cultivar nested within habit (spring vs winter) with habit confounded by sow time</t>
  </si>
  <si>
    <t>Habit</t>
  </si>
  <si>
    <t>Sow time</t>
  </si>
  <si>
    <t>Sow order</t>
  </si>
  <si>
    <t>Cultivar</t>
  </si>
  <si>
    <t>Year of release</t>
  </si>
  <si>
    <t>Winter</t>
  </si>
  <si>
    <t>mid April</t>
  </si>
  <si>
    <t>Osprey</t>
  </si>
  <si>
    <t>Rosella</t>
  </si>
  <si>
    <t>Whistler</t>
  </si>
  <si>
    <t>Wylah</t>
  </si>
  <si>
    <t>EGA_Wedgetail</t>
  </si>
  <si>
    <t>LRPB_Kittyhawk</t>
  </si>
  <si>
    <t>Illabo</t>
  </si>
  <si>
    <t>LRPB_Mohawk</t>
  </si>
  <si>
    <t>Spring</t>
  </si>
  <si>
    <t>mid May</t>
  </si>
  <si>
    <t>Meering</t>
  </si>
  <si>
    <t>Janz</t>
  </si>
  <si>
    <t>Yitpi</t>
  </si>
  <si>
    <t>Wyalkatchem</t>
  </si>
  <si>
    <t>EGA_Gregory</t>
  </si>
  <si>
    <t>Mace</t>
  </si>
  <si>
    <t>Scepter</t>
  </si>
  <si>
    <t>Sunmaster</t>
  </si>
  <si>
    <t>!Habit</t>
  </si>
  <si>
    <t>!Sow time</t>
  </si>
  <si>
    <t>Sow time order</t>
  </si>
  <si>
    <t>!Cultivar</t>
  </si>
  <si>
    <t>!Release year</t>
  </si>
  <si>
    <t>!Block</t>
  </si>
  <si>
    <t>!Range</t>
  </si>
  <si>
    <t>!Row</t>
  </si>
  <si>
    <t>Row serp order</t>
  </si>
  <si>
    <t>Range serp order</t>
  </si>
  <si>
    <t>Plot</t>
  </si>
  <si>
    <t>Date</t>
  </si>
  <si>
    <t>Staff</t>
  </si>
  <si>
    <t>Operations</t>
  </si>
  <si>
    <t>Comments</t>
  </si>
  <si>
    <t>Year of Release</t>
  </si>
  <si>
    <t>Source</t>
  </si>
  <si>
    <t>Kernal weight (g)</t>
  </si>
  <si>
    <t>Sowing rate (seeds/m²)</t>
  </si>
  <si>
    <t>Sowing rate (g/m²)</t>
  </si>
  <si>
    <t>Drop length (m)</t>
  </si>
  <si>
    <t>Plot width (m)</t>
  </si>
  <si>
    <t>Sown plot area (m²)</t>
  </si>
  <si>
    <t>Seed per packet (g)</t>
  </si>
  <si>
    <t>AGT</t>
  </si>
  <si>
    <t>GRDC</t>
  </si>
  <si>
    <t>InterGrain</t>
  </si>
  <si>
    <t>UoM</t>
  </si>
  <si>
    <t>LRPB_Mowhawk</t>
  </si>
  <si>
    <t>LRPB</t>
  </si>
  <si>
    <t>Measurement</t>
  </si>
  <si>
    <t>Protocol</t>
  </si>
  <si>
    <t>Timing relative to SCDS or PCDS</t>
  </si>
  <si>
    <t>Sample/observation Number per site</t>
  </si>
  <si>
    <t>Approximate date</t>
  </si>
  <si>
    <t>Soil water characterisation for modelling purposes</t>
  </si>
  <si>
    <t>If no APSoil characterisation is available within very close proximity of the site, measurements of in-situ drained upper limit (DUL) and crop lower limit (CLL) and bulk density (BD) at the site as per Burk and Dalgliesh (2008). Cores to be taken to 1.8 m depth (or maximum root depth for the site – if sampling equipment cannot reach 1.8 m, go as deep as you can) and segmented into 0-0.1, 0.1-0.2, 0.2-0.4, 0.4-0.6, 0.6-0.8, 0.8-1.0, 1.0-1.2, 1.2-1.4, 1.4-1.6, 1.6-1.8   m depths (or choose depth increments based on marked changes in soil profile of texture or colour). CLL tents to be applied at PCDS 6.0 and samples to be taken once crop past permanent wilting point.</t>
  </si>
  <si>
    <t>G0 to GR10</t>
  </si>
  <si>
    <t>1 x characterisation site</t>
  </si>
  <si>
    <t>Measure DUL and BD in early August. Erect CLL tents at PCDS 6.0 early September, measure CLL late October once wilting point reached</t>
  </si>
  <si>
    <t>Soil resources</t>
  </si>
  <si>
    <t>8 intact soil cores per site (~2 per block) taken to ideally 1.8 m (or maximum root depth for the site – if sampling equipment cannot reach 1.8 m, go as deep as you can) and segmented into 0-0.1, 0.1-0.2, 0.2-0.4, 0.4-0.6, 0.6-0.8, 0.8-1.0, 1.0-1.2, 1.2-1.4, 1.4-1.6, 1.6-1.8 m  depths or choose depth increments based on marked changes in soil profile of texture or colour) and analysed individually for gravimetric soil water, NO3, NH4, Colwell P  &amp; PBI, exchangeable cations, S, pH, EC, Cl, OC, hand texture, colour, total C, total N. Samples should be sent to Nutrient Advantage and analysed using codes E12, 6B2b, 7A5, Moist, Gravel, Sansiclay2, 7D2b. If you can guarantee rapid delivery (24-48 hours) to Nutrient Advantage, it is OK to send samples at field moisture, otherwise air dry in a well-ventilated soil oven at 40°C prior to shipping. Samples to be retained by Nutrient Advantage and collected by the University of Melbourne for measurement of water retention curves with WP4 dew point potentiometer.</t>
  </si>
  <si>
    <t>Prior to G0</t>
  </si>
  <si>
    <t>8 cores x 10 depths = 80 samples</t>
  </si>
  <si>
    <t>April</t>
  </si>
  <si>
    <t>Predicta B</t>
  </si>
  <si>
    <t>At each of 16 locations across the trial area (4 in each block), collect three soil cores (10 x 100mm core) from along the row of the previous cereal crop if still visible and do not remove any plant debris. Total sample weight should be less than 500g. Air dry in a well-ventilated soil drying oven at 40°C before sending to SARDI for analysis as per Predicta B protocol.</t>
  </si>
  <si>
    <t>1 bulked soil sample</t>
  </si>
  <si>
    <t>Weather</t>
  </si>
  <si>
    <t>An automatic weather station at each site recording incoming solar radiation, shielded air temperature, and rainfall at a minimum of half-hourly intervals. A manual rain gauge to be established at each site and read and emptied each visit as a back-up.</t>
  </si>
  <si>
    <t>G0 to GR100</t>
  </si>
  <si>
    <t>1 x weather station per site</t>
  </si>
  <si>
    <t>From soil sampling onward</t>
  </si>
  <si>
    <t>Emergence (PCDS 3.0)</t>
  </si>
  <si>
    <t>E1</t>
  </si>
  <si>
    <t>64 plots x 4 sampling times = 256 observations</t>
  </si>
  <si>
    <t>Start 20 April and 20 May for each ToS respectively</t>
  </si>
  <si>
    <t>Plant population density</t>
  </si>
  <si>
    <t>Count emerged plants on both sides of a 1 m ruler placed between rows at 4 locations within each plot</t>
  </si>
  <si>
    <t>L2-L3</t>
  </si>
  <si>
    <t>64 plots x 4 locations = 256 observations</t>
  </si>
  <si>
    <t>6 May for ToS 1 and 3 June for ToS 2</t>
  </si>
  <si>
    <t>NDVI &amp; canopy height</t>
  </si>
  <si>
    <t>NDVI &amp; plant height recorded at ~2 weekly intervals (can be longer intervals earlier in season and weekly during critical period). A bare soil measurement should be taken with each reading to allow change in soil signal to be accounted for.</t>
  </si>
  <si>
    <t>64 plots x 14 sampling dates = 896 observations</t>
  </si>
  <si>
    <t>Start 6 May</t>
  </si>
  <si>
    <t>Haun Stage, leaf length and width</t>
  </si>
  <si>
    <r>
      <t xml:space="preserve">As per Celestina et al. (2023). Mark 3 plants per plot and count emerged leaves on the main stem every 1-2 weeks placing a marker on leaf 3, 6, 9 etc and touching plants with fingers as little as possible. The length and width of each tagged leaf </t>
    </r>
    <r>
      <rPr>
        <sz val="11"/>
        <color rgb="FFFF0000"/>
        <rFont val="Calibri"/>
        <family val="2"/>
        <scheme val="minor"/>
      </rPr>
      <t>(including flag leaf</t>
    </r>
    <r>
      <rPr>
        <sz val="11"/>
        <color theme="1"/>
        <rFont val="Calibri"/>
        <family val="2"/>
        <scheme val="minor"/>
      </rPr>
      <t>) should be recorded following emergence of the subsequent leaf.</t>
    </r>
  </si>
  <si>
    <t>L1 to Lx</t>
  </si>
  <si>
    <t>64 plots x 3 plants x 10 sampling dates = 1920 observations</t>
  </si>
  <si>
    <t>Start 13 May ToS 1 and 10 June ToS2</t>
  </si>
  <si>
    <t>PCDS 6.0</t>
  </si>
  <si>
    <r>
      <t xml:space="preserve">As per Celestina et al. (2023) “When the first fully expanded flag leaf is observed, select 10 adjacent plants in the centre row of the plot </t>
    </r>
    <r>
      <rPr>
        <sz val="11"/>
        <color rgb="FFFF0000"/>
        <rFont val="Calibri"/>
        <family val="2"/>
        <scheme val="minor"/>
      </rPr>
      <t>(e.g. in the marked emergence area)</t>
    </r>
    <r>
      <rPr>
        <sz val="11"/>
        <color theme="1"/>
        <rFont val="Calibri"/>
        <family val="2"/>
        <scheme val="minor"/>
      </rPr>
      <t xml:space="preserve"> and tag them to facilitate repeated observations, then count and record </t>
    </r>
    <r>
      <rPr>
        <sz val="11"/>
        <color rgb="FFFF0000"/>
        <rFont val="Calibri"/>
        <family val="2"/>
        <scheme val="minor"/>
      </rPr>
      <t>the number of fertile and infertile tillers</t>
    </r>
    <r>
      <rPr>
        <sz val="11"/>
        <color theme="1"/>
        <rFont val="Calibri"/>
        <family val="2"/>
        <scheme val="minor"/>
      </rPr>
      <t xml:space="preserve"> within these 10 plants. Twice a week on all subsequent visits, count and record the number of culms within the 10 marked plants with fully expanded flag leaves. Continue observations until flag leaves have fully expanded on all culms. Calculate 50% flag leaf appearance date as the date on which the number of culms with flag leaves fully expanded is half the total number of culms.”</t>
    </r>
  </si>
  <si>
    <t>F0 to F2</t>
  </si>
  <si>
    <t>64 plots x 5 sampling dates = 320 observations</t>
  </si>
  <si>
    <t xml:space="preserve">Start 2 September </t>
  </si>
  <si>
    <t>PCDS 8.0 </t>
  </si>
  <si>
    <t>As per Celestina et al. (2023) using the same 10 plants that have already been tagged for observation of PCDS 6.0 “Twice a week on all subsequent visits, count and record the number of spikes within the 10 marked plants on which central florets have flowered. Continue observations until all spikes have at least one central spikelet floret that has flowered. Systematically marking or tagging every spike that has flowered will assist in rapid identification of flowered spikes on subsequent visits. Calculate 50 % anthesis date as the date on which the number of flowered spikes is half the total number of culms.”</t>
  </si>
  <si>
    <t>A10 to A100</t>
  </si>
  <si>
    <t>Start 23 September</t>
  </si>
  <si>
    <t>NDVI, PARi, SPAD, plant height, dry matter at PCDS 6.0 based on individual cultivar stage i.e. different cultivars are cut on different days</t>
  </si>
  <si>
    <r>
      <t xml:space="preserve">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t>
    </r>
    <r>
      <rPr>
        <sz val="11"/>
        <color rgb="FFFF0000"/>
        <rFont val="Aptos Narrow"/>
        <family val="2"/>
      </rPr>
      <t>flag leaf , flag -1 , flag -2  and flag -3 (at base of plant)</t>
    </r>
    <r>
      <rPr>
        <sz val="11"/>
        <color rgb="FF000000"/>
        <rFont val="Aptos Narrow"/>
        <family val="2"/>
      </rPr>
      <t xml:space="preserve">. Canopy height measured (height of canopy as it sits naturally in the plot, do not stretch out leaves). All culms in a 0.5 x all inside rows quadrat (1-1.5 m depending on site) cut at ground level and fresh weight recorded. </t>
    </r>
    <r>
      <rPr>
        <sz val="11"/>
        <color rgb="FFFF0000"/>
        <rFont val="Aptos Narrow"/>
        <family val="2"/>
      </rPr>
      <t>After weighing, take a subsample of 20 culms for partitioning (including fertile and infertile tillers). Record the fresh weight of the sub-sample and discard the main sample</t>
    </r>
    <r>
      <rPr>
        <sz val="11"/>
        <color rgb="FF000000"/>
        <rFont val="Aptos Narrow"/>
        <family val="2"/>
      </rPr>
      <t>. Keep sub-samples in a cold room at 4°C prior to further processing, ideally within 24 hours of harvest. Partition all culms in sub-sample into green leaves (detached at ligule), dead leaves (detached at ligule), stems and spikes dissected from flag leaf sheath and detached at the abcision layer between rachis and peduncle.</t>
    </r>
    <r>
      <rPr>
        <sz val="11"/>
        <color rgb="FFFF0000"/>
        <rFont val="Aptos Narrow"/>
        <family val="2"/>
      </rPr>
      <t xml:space="preserve"> Count and record the number of spikes in the sub-sample - this could be less than 20 if infertilie tillers were included in the subsample.</t>
    </r>
    <r>
      <rPr>
        <sz val="11"/>
        <color rgb="FF000000"/>
        <rFont val="Aptos Narrow"/>
        <family val="2"/>
      </rPr>
      <t xml:space="preserv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r>
  </si>
  <si>
    <t>F1</t>
  </si>
  <si>
    <t>64 plots x 4 partitions = 256 samples</t>
  </si>
  <si>
    <t>~9 September</t>
  </si>
  <si>
    <t>NDVI, PARi, plant height, dry matter at PCDS 8.0 based on individual cultivar stage i.e. different cultivars are cut on different days</t>
  </si>
  <si>
    <t>Area to be cut scanned for NDVI, PARi  measured with ceptometer at ground level, 25% of plant height, 50 % of plant height, 75% of plant height and above the canopy (ceptometer readings should be taken within 2 hours of solar noon and if available an external sensor mounted on a tripod used). SPAD readings (4 readings per height, mid leaf) taken on flag leaf (roughly corresponds to 75% plant height), flag -1 (roughly 50% height), flag -2 (roughly 25% height) and flag -3 (at base of plant). Canopy height measured (height of canopy as it sits naturally in the plot, do not stretch out leaves). All culms in a 0.5 x all inside rows quadrat (1-1.5 m depending on site) cut at ground level and fresh weight recorded. After weighing, take a subsample of 20 culms for partitioning (including fertile and infertile tillers). Record the fresh weight of the sub-sample and discard the main sample. Keep sub-samples in a cold room at 4°C prior to further processing, ideally within 24 hours of harvest. Partition all culms in sub-sample into green leaves (detached at ligule), dead leaves (detached at ligule), stems and spikes detached at the abcision layer between rachis and peduncle. Count and record the number of spikes in the sub-sample - this could be less than 20 if infertilie tillers were included in the subsample. Place different fractions of the sub-sample into different labelled paper bags and dry to constant weight (70°C for 48 hours) in a fan forced dehydrating oven and record the dry weight of all fractions (remove them from the bag) using a three point balance. Grind all samples through a 1 mm sieve and place in a 15 mm flat bottomed sample jar and send to SARDI for MIR analysis.</t>
  </si>
  <si>
    <t>A100</t>
  </si>
  <si>
    <t>~30 September</t>
  </si>
  <si>
    <t>Frost induced sterility</t>
  </si>
  <si>
    <t>Sample 10 spikes from throughout the canopy in each plot toward the end of grain filling while spikes are still green. On each spike, count and record the the number of competent spikelets and then open or squeeze the first floret on each spikelet to check if there is a grain in the floret. Record the number of florets that do not have a grain.</t>
  </si>
  <si>
    <t>SCDS GF50</t>
  </si>
  <si>
    <t>64 plots x 10 spikes = 640 samples</t>
  </si>
  <si>
    <t>~30 October</t>
  </si>
  <si>
    <t>Yield components</t>
  </si>
  <si>
    <t>All culms in a 0.5 m (1.0 m if there is not enough plot remaining for a machine harvest) x all inside rows quadrat (1-1.5 m depending on site) cut at ground level. A sub-sample of 20 culms taken and exact culm number including number of fertilie and infertile culms counted and recorded. Dry main sample at 70°C for 48 hours in a fan forced oven, record weight of whole sample and thresh grain and record weight of grain. Sub-sample partitioned into dead leaves (detached at ligule), stems and spikes (detached at abscision layer between rachis and peduncle), placed into labelled paper bags and dried at 70°C for 48 hours in a fan forced over and dry weight recorded. Spikes threshed and grain and chaff retained and weights recorded. Weight of 200 grains recorded. All samples retained and ground through 1mm sieve for MIR analysis for N, WSC and 13C. </t>
  </si>
  <si>
    <t>PCDS 10.0</t>
  </si>
  <si>
    <t>~18 November</t>
  </si>
  <si>
    <t>Intraspecific competition</t>
  </si>
  <si>
    <t>All culms in 0.5  m (1.0 m if no machine harvest and yield component quadrat bigger) of outside rows at either end of the yield component quadrat cut (see above) cut at ground level, placed in a paper bag, dried at 70°C for 48 hours and dry weight recorded before being threshed and total grain dry weight and weight of 200-grains recorded.</t>
  </si>
  <si>
    <t>64 plots = 64 samples</t>
  </si>
  <si>
    <t>Machine harvest grain yield &amp; quality</t>
  </si>
  <si>
    <t>Record any areas of missing row, quantitative estimates of any damage to plots (e.g. birds, hail etc) and with a plot combine harvest remaining area of plots (centre rows only) and record weight and moisture content of harvested grain. Retain a sub-sample and measure protein, screenings &amp; test weight.</t>
  </si>
  <si>
    <t>GR100</t>
  </si>
  <si>
    <t>~9 December</t>
  </si>
  <si>
    <t>Year</t>
  </si>
  <si>
    <t>Day</t>
  </si>
  <si>
    <t>Daily radiation (MJ/m²)</t>
  </si>
  <si>
    <t>Maximum temperature (°C)</t>
  </si>
  <si>
    <t>Minimum temperature (°C)</t>
  </si>
  <si>
    <t>Rain (mm)</t>
  </si>
  <si>
    <t>Measurement number</t>
  </si>
  <si>
    <t>Measurement date</t>
  </si>
  <si>
    <t>Plants emerged (plants/1 m of row)</t>
  </si>
  <si>
    <t>Row spacing (m)</t>
  </si>
  <si>
    <t>Bare soil NDVI</t>
  </si>
  <si>
    <t>CV</t>
  </si>
  <si>
    <t>Plot NDVI</t>
  </si>
  <si>
    <t>Plot CV</t>
  </si>
  <si>
    <t>Canopy height (cm)</t>
  </si>
  <si>
    <t>Plant 2 Haun stage</t>
  </si>
  <si>
    <t>Plant 3 Haun stage</t>
  </si>
  <si>
    <t xml:space="preserve">Plant 1 Tiller No </t>
  </si>
  <si>
    <t>Plant 2 Tiller No</t>
  </si>
  <si>
    <t>Plant 3 Tiller No</t>
  </si>
  <si>
    <t>Leaf number</t>
  </si>
  <si>
    <t>Leaf width 1</t>
  </si>
  <si>
    <t>Leaf width 2</t>
  </si>
  <si>
    <t>Leaf width 3</t>
  </si>
  <si>
    <t>Mean leaf width (mm)</t>
  </si>
  <si>
    <t>Leaf length 1</t>
  </si>
  <si>
    <t>Leaf length 2</t>
  </si>
  <si>
    <t>Leaf length 3</t>
  </si>
  <si>
    <t>Mean leaf length (cm)</t>
  </si>
  <si>
    <t>Count number</t>
  </si>
  <si>
    <t>Count date</t>
  </si>
  <si>
    <t>Count of competent culms</t>
  </si>
  <si>
    <t>Count of competent culms on which flag leaf ligule visible</t>
  </si>
  <si>
    <t>% flag leaves emerged</t>
  </si>
  <si>
    <t>NDVI of quadrat area</t>
  </si>
  <si>
    <t>Tau [T] at ground level</t>
  </si>
  <si>
    <t>Tau [T] at 25% of canopy height</t>
  </si>
  <si>
    <t>Tau [T] at 50% of canopy height</t>
  </si>
  <si>
    <t>Tau [T] at 75% of canopy height</t>
  </si>
  <si>
    <t>PARi at ground level</t>
  </si>
  <si>
    <t>PARi at 25% of canopy height</t>
  </si>
  <si>
    <t>PARi at 50% of canopy height</t>
  </si>
  <si>
    <t>PARi at 75% of canopy height</t>
  </si>
  <si>
    <t>SPAD of lowest leaves reading 1</t>
  </si>
  <si>
    <t>SPAD of lowest leaves reading 2</t>
  </si>
  <si>
    <t>SPAD of lowest leaves reading 3</t>
  </si>
  <si>
    <t>SPAD of lowest leaves reading 4</t>
  </si>
  <si>
    <t>SPAD at 25% of canopy height reading 1</t>
  </si>
  <si>
    <t>SPAD at 25% of canopy height reading 2</t>
  </si>
  <si>
    <t>SPAD at 25% of canopy height reading 3</t>
  </si>
  <si>
    <t>SPAD at 25% of canopy height reading 4</t>
  </si>
  <si>
    <t>SPAD at 50% of canopy height reading 1</t>
  </si>
  <si>
    <t>SPAD at 50% of canopy height reading 2</t>
  </si>
  <si>
    <t>SPAD at 50% of canopy height reading 3</t>
  </si>
  <si>
    <t>SPAD at 50% of canopy height reading 4</t>
  </si>
  <si>
    <t>SPAD at 75% of canopy height reading 1</t>
  </si>
  <si>
    <t>SPAD at 75% of canopy height reading 2</t>
  </si>
  <si>
    <t>SPAD at 75% of canopy height reading 3</t>
  </si>
  <si>
    <t>SPAD at 75% of canopy height reading 4</t>
  </si>
  <si>
    <t>SPAD of flag leaf reading 1</t>
  </si>
  <si>
    <t>SPAD of flag leaf reading 2</t>
  </si>
  <si>
    <t>SPAD of flag leaf reading 3</t>
  </si>
  <si>
    <t>SPAD of flag leaf reading 4</t>
  </si>
  <si>
    <t>Area of quadrat cut (m²)</t>
  </si>
  <si>
    <t>Fresh weight of main sample (g)</t>
  </si>
  <si>
    <t>Fresh shoot biomass (g/m2)</t>
  </si>
  <si>
    <t>Fresh weight of sub sample (g)</t>
  </si>
  <si>
    <t>Number of culms in sub-sample</t>
  </si>
  <si>
    <t>Fresh weight of subsample for moisture content (30 culms) (g)</t>
  </si>
  <si>
    <t>Dry weight of subsample for moisture content (30 culms) (g)</t>
  </si>
  <si>
    <t xml:space="preserve">Number of culms in subsample for moisture content </t>
  </si>
  <si>
    <t>Dry weight of green leaves from 20 culms (g)</t>
  </si>
  <si>
    <t>Dry weight of dead leaves from 20 culms (g)</t>
  </si>
  <si>
    <t>Dry weight of stems from 20 culms (g)</t>
  </si>
  <si>
    <t>Dry weight of spikes from 20 culms (g)</t>
  </si>
  <si>
    <t>Dry weight of 20 culms (g)</t>
  </si>
  <si>
    <t>Dry weight of a single culm (g)</t>
  </si>
  <si>
    <t>Fresh weight of a single culm (g)</t>
  </si>
  <si>
    <t>Dry matter proportion of main sample (g/g)</t>
  </si>
  <si>
    <t>Estimated dry weight of main sample (g)</t>
  </si>
  <si>
    <t>Estimated dry matter at PCDS 6.0 (g/m²)</t>
  </si>
  <si>
    <t>Green leaf fraction (g/g)</t>
  </si>
  <si>
    <t>Dead leaf fraction (g/g)</t>
  </si>
  <si>
    <t>Stem fraction (g/g)</t>
  </si>
  <si>
    <t>Spike fraction (g/g)</t>
  </si>
  <si>
    <t>Grean leaf dry matter (g/m²)</t>
  </si>
  <si>
    <t>Dead leaf dry matter (g/m²)</t>
  </si>
  <si>
    <t>Stem dry matter (g/m²)</t>
  </si>
  <si>
    <t>Spike dry matter (g/m²)</t>
  </si>
  <si>
    <t>Mean SPAD of lowest leaves</t>
  </si>
  <si>
    <t>Mean SPAD at 25% of canopy height</t>
  </si>
  <si>
    <t xml:space="preserve">Mean SPAD at 50% of canopy height </t>
  </si>
  <si>
    <t>Mean SPAD at 75% of canopy height</t>
  </si>
  <si>
    <t>Mean SPAD of flag leaf</t>
  </si>
  <si>
    <t>Count of competent culms on which central florets have flowered</t>
  </si>
  <si>
    <t>% anthesis</t>
  </si>
  <si>
    <t>Spike No</t>
  </si>
  <si>
    <t>Sum of all fractions (g)</t>
  </si>
  <si>
    <t>Estimated dry matter at PCDS 8.0 (g/m²)</t>
  </si>
  <si>
    <t>I</t>
  </si>
  <si>
    <t>Competent spikelet No on culm 1</t>
  </si>
  <si>
    <t>Competent spikelet No on culm 2</t>
  </si>
  <si>
    <t>Competent spikelet No on culm 3</t>
  </si>
  <si>
    <t>Competent spikelet No on culm 4</t>
  </si>
  <si>
    <t>Competent spikelet No on culm 5</t>
  </si>
  <si>
    <t>Competent spikelet No on culm 6</t>
  </si>
  <si>
    <t>Competent spikelet No on culm 7</t>
  </si>
  <si>
    <t>Competent spikelet No on culm 8</t>
  </si>
  <si>
    <t>Competent spikelet No on culm 9</t>
  </si>
  <si>
    <t>Competent spikelet No on culm 10</t>
  </si>
  <si>
    <t>Infertile spikelet No on culm 1</t>
  </si>
  <si>
    <t>Infertile spikelet No on culm 2</t>
  </si>
  <si>
    <t>Infertile spikelet No on culm 3</t>
  </si>
  <si>
    <t>Infertile spikelet No on culm 4</t>
  </si>
  <si>
    <t>Infertile spikelet No on culm 5</t>
  </si>
  <si>
    <t>Infertile spikelet No on culm 6</t>
  </si>
  <si>
    <t>Infertile spikelet No on culm 7</t>
  </si>
  <si>
    <t>Infertile spikelet No on culm 8</t>
  </si>
  <si>
    <t>Infertile spikelet No on culm 9</t>
  </si>
  <si>
    <t>Infertile spikelet No on culm 10</t>
  </si>
  <si>
    <t>Sterility (%) on culm 1</t>
  </si>
  <si>
    <t>Sterility (%) on culm 2</t>
  </si>
  <si>
    <t>Sterility (%) on culm 3</t>
  </si>
  <si>
    <t>Sterility (%) on culm 4</t>
  </si>
  <si>
    <t>Sterility (%) on culm 5</t>
  </si>
  <si>
    <t>Sterility (%) on culm 6</t>
  </si>
  <si>
    <t>Sterility (%) on culm 7</t>
  </si>
  <si>
    <t>Sterility (%) on culm 8</t>
  </si>
  <si>
    <t>Sterility (%) on culm 9</t>
  </si>
  <si>
    <t>Sterility (%) on culm 10</t>
  </si>
  <si>
    <t>Harvest date</t>
  </si>
  <si>
    <t>Dry weight of quadrat cut (g)</t>
  </si>
  <si>
    <t>Grain weight of quadrat cut (g)</t>
  </si>
  <si>
    <t>Dry weight of outside rows (g)</t>
  </si>
  <si>
    <t>Grain weight of outside rows (g)</t>
  </si>
  <si>
    <t>Harvest index</t>
  </si>
  <si>
    <t>Outside row HI</t>
  </si>
  <si>
    <t>Dry weight of dead leaves from sub-sample (g)</t>
  </si>
  <si>
    <t>Dry weight of stems from sub-sample (g)</t>
  </si>
  <si>
    <t>Dry weight of spikes from sub-sample (g)</t>
  </si>
  <si>
    <t>Dry weight of grain from sub-sample (g)</t>
  </si>
  <si>
    <t>Dry weight of chaff from sub-sample (g)</t>
  </si>
  <si>
    <t>Dry weight of ~200 grain (g)</t>
  </si>
  <si>
    <t>Dry weight of sub-sample (g)</t>
  </si>
  <si>
    <t>Estimated dry matter at PCDS 10.0 (g/m²)</t>
  </si>
  <si>
    <t>Grain fraction (g/g)</t>
  </si>
  <si>
    <t>Chaff fraction (g/g)</t>
  </si>
  <si>
    <t>Grain dry matter (g/m²)</t>
  </si>
  <si>
    <t>Chaff dry matter (g/m²)</t>
  </si>
  <si>
    <t>Whole sample grain yield (g/m²)</t>
  </si>
  <si>
    <t>Yield response to competition</t>
  </si>
  <si>
    <t>Biomass response to competition</t>
  </si>
  <si>
    <t>Individual grain weight (mg)</t>
  </si>
  <si>
    <t>Grain number (grains/m²)</t>
  </si>
  <si>
    <t>Length of machine harvestable area (m)</t>
  </si>
  <si>
    <t>Missing row (m)</t>
  </si>
  <si>
    <t>Harvested area (m²)</t>
  </si>
  <si>
    <t>Weight of harvested grain (kg)</t>
  </si>
  <si>
    <t>Machine harvest yield (t/ha)</t>
  </si>
  <si>
    <t>Moisture (%)</t>
  </si>
  <si>
    <t>Dry weight of 200 grains (g)</t>
  </si>
  <si>
    <t>Protein (%)</t>
  </si>
  <si>
    <t>Test weight (kg/hl)</t>
  </si>
  <si>
    <r>
      <t xml:space="preserve">As per (Celestina et al. 2023) “In the centre row of each plot, mark out one linear metre of crop row using pin markers or similar. Twice a week, count and record the number of plants that have emerged in this linear metre. Continue observations until two consecutive counts are the same, indicating no more plants have emerged. Calculate 50 % seedling emergence date as the date on which half of the final number of plants have emerged by interpolating observations.” </t>
    </r>
    <r>
      <rPr>
        <sz val="11"/>
        <color rgb="FFFF0000"/>
        <rFont val="Calibri"/>
        <family val="2"/>
        <scheme val="minor"/>
      </rPr>
      <t>The number of tillers will also be counted on these emergence areas at growth stage Z30 by marking 10 plants after the emergence count</t>
    </r>
    <r>
      <rPr>
        <sz val="11"/>
        <color theme="1"/>
        <rFont val="Calibri"/>
        <family val="2"/>
        <scheme val="minor"/>
      </rPr>
      <t>.</t>
    </r>
  </si>
  <si>
    <t>Wagga Wagga 2024</t>
  </si>
  <si>
    <t>Lateral</t>
  </si>
  <si>
    <t>Applied 15mm irrigation via lateral to PHDA24WARI2 site to ensure germination</t>
  </si>
  <si>
    <t>PHDA24WARI2 site cored for gravimetrics &amp; nutrients</t>
  </si>
  <si>
    <t>PredictaB samples collected</t>
  </si>
  <si>
    <t>Site temp logger installed.</t>
  </si>
  <si>
    <t>Ignore rainfall data for 24/4/24 (cleaned weatherstation)</t>
  </si>
  <si>
    <t>Irrigate all lateral experiments with 15mm irrigation to ensure establishment.</t>
  </si>
  <si>
    <t>Site irrigated with 6mm to alleviate soil crusting.</t>
  </si>
  <si>
    <t>Broadleaf post-em sprayed Winters only (will spray Springs in a couple weeks).</t>
  </si>
  <si>
    <t>Paradigm 25g + 630ml MCPA570LVE + 500ml uptake spray oil.</t>
  </si>
  <si>
    <t>Sprayed all SDs for aphids with Chlorpyrifos 500EC at 900ml/ha.</t>
  </si>
  <si>
    <t>Sprayed all SDs with bumper at 200ml/ha (fungicide).  </t>
  </si>
  <si>
    <t>Sprayed  25g paradigm + 630ml MCPA50LVE + 500ml uptake for broadleaves</t>
  </si>
  <si>
    <t>Jordan PhD Wagga Historic set 2024</t>
  </si>
  <si>
    <t>PHDA24WARI2</t>
  </si>
  <si>
    <t>N</t>
  </si>
  <si>
    <t>Col</t>
  </si>
  <si>
    <t>GPS</t>
  </si>
  <si>
    <t>Buffer</t>
  </si>
  <si>
    <t xml:space="preserve">Location </t>
  </si>
  <si>
    <t>Wagga DPI Lateral Irrigation</t>
  </si>
  <si>
    <t>Mowhawk</t>
  </si>
  <si>
    <t>EGA Wedgetail</t>
  </si>
  <si>
    <t>LRPB Kittyhawk</t>
  </si>
  <si>
    <t>Entries</t>
  </si>
  <si>
    <t>16 (8 winters and 8 springs)</t>
  </si>
  <si>
    <t>Block 1</t>
  </si>
  <si>
    <t>Reps/Blocks</t>
  </si>
  <si>
    <t>16 entries nested within 2 sow dates and confounded by sow date</t>
  </si>
  <si>
    <t>EGA Gregory</t>
  </si>
  <si>
    <t>Sowing dates</t>
  </si>
  <si>
    <t>22nd April and 13th May</t>
  </si>
  <si>
    <t>Plot dimension</t>
  </si>
  <si>
    <t>6 rows sown to 6m &amp; cut back to 4m</t>
  </si>
  <si>
    <t>Seeder width</t>
  </si>
  <si>
    <t>1.5m with 2m centers</t>
  </si>
  <si>
    <t>Block 2</t>
  </si>
  <si>
    <t>Winter variety plot or Sow date 1</t>
  </si>
  <si>
    <t>48m</t>
  </si>
  <si>
    <t>Spring variety plot or Sow date 2</t>
  </si>
  <si>
    <t>Block 3</t>
  </si>
  <si>
    <t>Row</t>
  </si>
  <si>
    <t>Block 4</t>
  </si>
  <si>
    <t>Sample Barcode</t>
  </si>
  <si>
    <t>Grower Name</t>
  </si>
  <si>
    <t>Field Name</t>
  </si>
  <si>
    <t>Field Section</t>
  </si>
  <si>
    <t>Depth From</t>
  </si>
  <si>
    <t>Depth To</t>
  </si>
  <si>
    <t>Purchase Order No.</t>
  </si>
  <si>
    <t>Product Code</t>
  </si>
  <si>
    <t>Sampled Date</t>
  </si>
  <si>
    <t>Sample Received Date</t>
  </si>
  <si>
    <t>Report Number</t>
  </si>
  <si>
    <t>Sample Reviewed Date</t>
  </si>
  <si>
    <t>Customer Name</t>
  </si>
  <si>
    <t>pH (1:5 Water)</t>
  </si>
  <si>
    <t>pH (1:5 CaCl2)</t>
  </si>
  <si>
    <t>Electrical Conductivity</t>
  </si>
  <si>
    <t>EC Saturation Index</t>
  </si>
  <si>
    <t>Chloride</t>
  </si>
  <si>
    <t>Nitrate Nitrogen</t>
  </si>
  <si>
    <t>Ammonium Nitrogen</t>
  </si>
  <si>
    <t>Total (Kjeldahl) Nitrogen</t>
  </si>
  <si>
    <t>Total Phosphorus</t>
  </si>
  <si>
    <t>Phosphorus - Colwell</t>
  </si>
  <si>
    <t>Phosphorus - Olsen</t>
  </si>
  <si>
    <t>Phosphorus - Bray</t>
  </si>
  <si>
    <t>Phosphorus Buffer Index - Colwell</t>
  </si>
  <si>
    <t>Potassium - Colwell</t>
  </si>
  <si>
    <t>Calcium (Amm. Acet.)</t>
  </si>
  <si>
    <t>Potassium (Amm. Acet.)</t>
  </si>
  <si>
    <t>Magnesium (Amm. Acet.)</t>
  </si>
  <si>
    <t>Sodium (Amm. Acet.)</t>
  </si>
  <si>
    <t>Cation Exchange Capacity - excl. Al (Amm. Acet.)</t>
  </si>
  <si>
    <t>Calcium/Magnesium Ratio (Amm. Acet.)</t>
  </si>
  <si>
    <t>Sodium % of Cations - excl. Al (Amm. Acet.)</t>
  </si>
  <si>
    <t>Aluminium (KCl)</t>
  </si>
  <si>
    <t>Cation Exchange Capacity - incl. Al (Amm. Acet.)</t>
  </si>
  <si>
    <t>Sodium % of Cations - incl. Al (Amm. Acet.)</t>
  </si>
  <si>
    <t>Aluminium (KCl) % of Cations</t>
  </si>
  <si>
    <t>Copper (DTPA)</t>
  </si>
  <si>
    <t>Iron (DTPA)</t>
  </si>
  <si>
    <t>Manganese (DTPA)</t>
  </si>
  <si>
    <t>Zinc (DTPA)</t>
  </si>
  <si>
    <t>Boron</t>
  </si>
  <si>
    <t>Sulphur (KCl40)</t>
  </si>
  <si>
    <t>Sulphur (MCP)</t>
  </si>
  <si>
    <t>Organic Carbon</t>
  </si>
  <si>
    <t>Phosphorus - BSES</t>
  </si>
  <si>
    <t>Silicon - BSES</t>
  </si>
  <si>
    <t>Silicon - CaCl</t>
  </si>
  <si>
    <t>Zinc - HCl</t>
  </si>
  <si>
    <t>Potassium - Nitric K</t>
  </si>
  <si>
    <t>Colour</t>
  </si>
  <si>
    <t>Texture</t>
  </si>
  <si>
    <t>Dispersion Index</t>
  </si>
  <si>
    <t>Slaking 2 Hours</t>
  </si>
  <si>
    <t>Buffer pH</t>
  </si>
  <si>
    <t>As received Moisture Content (2B1)</t>
  </si>
  <si>
    <t>Silt</t>
  </si>
  <si>
    <t>Clay</t>
  </si>
  <si>
    <t>Sand Coarse</t>
  </si>
  <si>
    <t>Sand Fine</t>
  </si>
  <si>
    <t>Carbonate</t>
  </si>
  <si>
    <t>Phosphorus (Lactate)</t>
  </si>
  <si>
    <t>Emerson Class</t>
  </si>
  <si>
    <t>Hydrometer Texture (Calculated)</t>
  </si>
  <si>
    <t>Total Soluble Salts - Soil</t>
  </si>
  <si>
    <t>Organic Matter</t>
  </si>
  <si>
    <t>Sodium Adsorption Ratio</t>
  </si>
  <si>
    <t>Phosphorus (Concentration DGT)</t>
  </si>
  <si>
    <t>Available Potassium (Amm. Acet.)</t>
  </si>
  <si>
    <t>Potentially Mineralisable Nitrogen</t>
  </si>
  <si>
    <t>Potassium_Colwell</t>
  </si>
  <si>
    <t>Phosphorus Buffer Index - Olsen</t>
  </si>
  <si>
    <t>Aluminium - Mehlich3</t>
  </si>
  <si>
    <t>Boron - Mehlich3</t>
  </si>
  <si>
    <t>Calcium - Mehlich3</t>
  </si>
  <si>
    <t>Copper - Mehlich3</t>
  </si>
  <si>
    <t>Iron - Mehlich3</t>
  </si>
  <si>
    <t>Potassium - Mehlich3</t>
  </si>
  <si>
    <t>Magnesium - Mehlich3</t>
  </si>
  <si>
    <t>Manganese - Mehlich3</t>
  </si>
  <si>
    <t>Sodium - Mehlich3</t>
  </si>
  <si>
    <t>Phosphorus - Mehlich3</t>
  </si>
  <si>
    <t>Sulphur - Mehlich3</t>
  </si>
  <si>
    <t>Zinc - Mehlich3</t>
  </si>
  <si>
    <t>Phosphorus Saturation Ratio - Mehlich3</t>
  </si>
  <si>
    <t>EC - Saturated Paste</t>
  </si>
  <si>
    <t>Calcium - Saturated Paste</t>
  </si>
  <si>
    <t>Potassium - Saturated Paste</t>
  </si>
  <si>
    <t>Magnesium - Saturated Paste</t>
  </si>
  <si>
    <t>Sodium - Saturated Paste</t>
  </si>
  <si>
    <t>Calcium % of Cations</t>
  </si>
  <si>
    <t>Magnesium % of Cations</t>
  </si>
  <si>
    <t>Potassium % of Cations</t>
  </si>
  <si>
    <t>Exch. Calcium - Method 15C1</t>
  </si>
  <si>
    <t>Exch. Magnesium - Method 15C1</t>
  </si>
  <si>
    <t>Exch. Potassium - Method 15C1</t>
  </si>
  <si>
    <t>Exch. Sodium - Method 15C1</t>
  </si>
  <si>
    <t>Cation Exchange Capacity - Method 15C1</t>
  </si>
  <si>
    <t>Total Carbon (Combustion)</t>
  </si>
  <si>
    <t>Total Nitrogen (Combustion)</t>
  </si>
  <si>
    <t>Total Aluminium</t>
  </si>
  <si>
    <t>Total Calcium</t>
  </si>
  <si>
    <t>Total Cadmium</t>
  </si>
  <si>
    <t>Total Chromium</t>
  </si>
  <si>
    <t>Total Copper</t>
  </si>
  <si>
    <t>Total Iron</t>
  </si>
  <si>
    <t>Total Potassium</t>
  </si>
  <si>
    <t>Total Magnesium</t>
  </si>
  <si>
    <t>Total Manganese</t>
  </si>
  <si>
    <t>Total Sodium</t>
  </si>
  <si>
    <t>Total Nickel</t>
  </si>
  <si>
    <t>Total Lead</t>
  </si>
  <si>
    <t>Total Sulphur</t>
  </si>
  <si>
    <t>Total Zinc</t>
  </si>
  <si>
    <t>Aluminium (BaCl/NH4Cl)</t>
  </si>
  <si>
    <t>Calcium (BaCl/NH4Cl)</t>
  </si>
  <si>
    <t>Potassium (BaCl/NH4Cl)</t>
  </si>
  <si>
    <t>Magnesium (BaCl/NH4Cl)</t>
  </si>
  <si>
    <t>Sodium (BaCl/NH4Cl)</t>
  </si>
  <si>
    <t>CEC (BaCl/NH4Cl)</t>
  </si>
  <si>
    <t>Aluminium % of Cations (BaCl/NH4Cl)</t>
  </si>
  <si>
    <t>Calcium % of Cations (BaCl/NH4Cl)</t>
  </si>
  <si>
    <t>Potassium % of Cations (BaCl/NH4Cl)</t>
  </si>
  <si>
    <t>Magnesium % of Cations (BaCl/NH4Cl)</t>
  </si>
  <si>
    <t>Sodium % of Cations (BaCl/NH4Cl)</t>
  </si>
  <si>
    <t>Exch. Calcium (Pre-Wash)</t>
  </si>
  <si>
    <t>Exch. Magnesium (Pre-Wash)</t>
  </si>
  <si>
    <t>Exch. Potassium (Pre-Wash)</t>
  </si>
  <si>
    <t>Exch. Sodium (Pre-Wash)</t>
  </si>
  <si>
    <t>Ca/Mg Ratio (Pre-Wash)</t>
  </si>
  <si>
    <t>Cation Exchange Capacity (Pre-Wash)</t>
  </si>
  <si>
    <t>Aluminium % of Cations (Pre-Wash)</t>
  </si>
  <si>
    <t>Sodium % of Cations (Pre-Wash)</t>
  </si>
  <si>
    <t>Extractable Aluminium (0.01M CaCl2)</t>
  </si>
  <si>
    <t>Gravel (&gt;2mm) of whole sample</t>
  </si>
  <si>
    <t>Sand</t>
  </si>
  <si>
    <t>Phosphorous (Bray 2 strong)</t>
  </si>
  <si>
    <t>Water Soluble Calcium</t>
  </si>
  <si>
    <t>Water Soluble Magnesium</t>
  </si>
  <si>
    <t>Water Soluble Potassium</t>
  </si>
  <si>
    <t>Water Soluble Sodium</t>
  </si>
  <si>
    <t>Soil Mass (Sat. Ext.)</t>
  </si>
  <si>
    <t>Water Mass (Sat. Ext.)</t>
  </si>
  <si>
    <t>Saturation Percentage</t>
  </si>
  <si>
    <t>Fizz test (Carbonates)</t>
  </si>
  <si>
    <t>Phosphorus - Saturated Paste</t>
  </si>
  <si>
    <t>Sulphur - Saturated Paste</t>
  </si>
  <si>
    <t>Boron - Saturated Paste</t>
  </si>
  <si>
    <t>Extractable Manganese (0.01M CaCl2)</t>
  </si>
  <si>
    <t>Air Dry Moisture Content (2A1)</t>
  </si>
  <si>
    <t>Total Organic Carbon (Heanes)</t>
  </si>
  <si>
    <t>Molybdenum (Hot CaCl2)</t>
  </si>
  <si>
    <t>C:N Ratio</t>
  </si>
  <si>
    <t>Soil Bulk Density</t>
  </si>
  <si>
    <t>Active (labile) Carbon</t>
  </si>
  <si>
    <t>Total Organic Carbon (Combustion)</t>
  </si>
  <si>
    <t>Air Dry Mass (whole sample 40oC)</t>
  </si>
  <si>
    <t>Oven Dry Mass (whole sample 105oC)</t>
  </si>
  <si>
    <t>Gravimetric Water Content</t>
  </si>
  <si>
    <t>&lt;0.002mm Clay</t>
  </si>
  <si>
    <t>0.002-0.02mm Fine &amp; Med Silt</t>
  </si>
  <si>
    <t>0.02-0.063mm Coarse Silt</t>
  </si>
  <si>
    <t>0.063-0.2mm Fine Sand</t>
  </si>
  <si>
    <t>0.2-2mm Med &amp; Coarse Sand</t>
  </si>
  <si>
    <t>Gravel weight</t>
  </si>
  <si>
    <t>Total Arsenic</t>
  </si>
  <si>
    <t>Total Cobalt</t>
  </si>
  <si>
    <t>Total Molybdenum</t>
  </si>
  <si>
    <t>Total Selenium</t>
  </si>
  <si>
    <t>Total Vanadium</t>
  </si>
  <si>
    <t>Microbial Respiration (CO2 Burst)</t>
  </si>
  <si>
    <t>Faecal Coliforms</t>
  </si>
  <si>
    <t>Escherichia coli (E.Coli)</t>
  </si>
  <si>
    <t>Total Coliforms</t>
  </si>
  <si>
    <t>Air Dry Mass (&lt;2mm Sub-Sample 40oC)</t>
  </si>
  <si>
    <t>Oven Dry Mass (&lt;2mm Sub-Sample 105oC)</t>
  </si>
  <si>
    <t>Mass of Gravel</t>
  </si>
  <si>
    <t>Mass of non-Gravel</t>
  </si>
  <si>
    <t>Phosphorus Environmental Risk Index (PERI)</t>
  </si>
  <si>
    <t>dS/m</t>
  </si>
  <si>
    <t>mg/kg</t>
  </si>
  <si>
    <t>%</t>
  </si>
  <si>
    <t>cmol(+)/kg</t>
  </si>
  <si>
    <t>ug\L</t>
  </si>
  <si>
    <t>mg/L</t>
  </si>
  <si>
    <t>g</t>
  </si>
  <si>
    <t>g/cm3</t>
  </si>
  <si>
    <t>mg/L CO2</t>
  </si>
  <si>
    <t>MPN/100mL</t>
  </si>
  <si>
    <t>MPN/g</t>
  </si>
  <si>
    <t>CHARLES STURT UNIVERSITY WAGGA WAGGA</t>
  </si>
  <si>
    <t>PHDA24WARI2 1</t>
  </si>
  <si>
    <t>JBATHGATE</t>
  </si>
  <si>
    <t>E12</t>
  </si>
  <si>
    <t>Analysis Systems Cash Sales GI</t>
  </si>
  <si>
    <t>&lt;10</t>
  </si>
  <si>
    <t>&lt;0.10</t>
  </si>
  <si>
    <t>&lt;1</t>
  </si>
  <si>
    <t>Red-brown</t>
  </si>
  <si>
    <t>&lt;9.0</t>
  </si>
  <si>
    <t>PHDA24WARI2 2</t>
  </si>
  <si>
    <t>&lt;0.022</t>
  </si>
  <si>
    <t>Clay Loam</t>
  </si>
  <si>
    <t>PHDA24WARI2 3</t>
  </si>
  <si>
    <t>PHDA24WARI2 4</t>
  </si>
  <si>
    <t>PHDA24WARI2 5</t>
  </si>
  <si>
    <t>PHDA24WARI2 6</t>
  </si>
  <si>
    <t>PHDA24WARI2 7</t>
  </si>
  <si>
    <t>Brown</t>
  </si>
  <si>
    <t>PHDA24WARI2 8</t>
  </si>
  <si>
    <t>Yellow-red</t>
  </si>
  <si>
    <t>&lt;0.050</t>
  </si>
  <si>
    <t>&lt;5.0</t>
  </si>
  <si>
    <t>&lt;0.15</t>
  </si>
  <si>
    <t>Yellow-brown</t>
  </si>
  <si>
    <t>&lt;1.0</t>
  </si>
  <si>
    <t>Red</t>
  </si>
  <si>
    <t xml:space="preserve"> Research Samples  </t>
  </si>
  <si>
    <t>SARDI Molecular Diagnostics Centre</t>
  </si>
  <si>
    <t>Gate 2A, Hartley Gr.</t>
  </si>
  <si>
    <t>P 08 8429 2229</t>
  </si>
  <si>
    <t>Client</t>
  </si>
  <si>
    <t>Brad Baxter</t>
  </si>
  <si>
    <t>URRBRAE SA 5064</t>
  </si>
  <si>
    <t>Email</t>
  </si>
  <si>
    <t>brad.baxter@dpi.nsw.gov.au</t>
  </si>
  <si>
    <t>Note: Results are now reported as raw values only, and have not been log transformed</t>
  </si>
  <si>
    <t>SampleNo</t>
  </si>
  <si>
    <t>Notes</t>
  </si>
  <si>
    <t>Farmer</t>
  </si>
  <si>
    <t>Paddock</t>
  </si>
  <si>
    <t>Received Wt</t>
  </si>
  <si>
    <t>Processed Wt</t>
  </si>
  <si>
    <r>
      <rPr>
        <b/>
        <i/>
        <u/>
        <sz val="10"/>
        <rFont val="Arial"/>
      </rPr>
      <t>Cereal Cyst Nematode 
eggs / g sample</t>
    </r>
  </si>
  <si>
    <r>
      <rPr>
        <b/>
        <i/>
        <u/>
        <sz val="10"/>
        <rFont val="Arial"/>
      </rPr>
      <t>Stem nematode
nematodes/100 g sample</t>
    </r>
  </si>
  <si>
    <r>
      <rPr>
        <b/>
        <i/>
        <u/>
        <sz val="10"/>
        <rFont val="Arial"/>
      </rPr>
      <t>Take-all (wheat + oat strains)
pgDNA/g Sample*</t>
    </r>
  </si>
  <si>
    <r>
      <rPr>
        <b/>
        <i/>
        <u/>
        <sz val="10"/>
        <rFont val="Arial"/>
      </rPr>
      <t>Take-All (Oat race)
pgDNA/g Sample*</t>
    </r>
  </si>
  <si>
    <r>
      <rPr>
        <b/>
        <i/>
        <u/>
        <sz val="10"/>
        <rFont val="Arial"/>
      </rPr>
      <t>R. solani AG8
pgDNA/g Sample*</t>
    </r>
  </si>
  <si>
    <r>
      <rPr>
        <b/>
        <i/>
        <u/>
        <sz val="10"/>
        <rFont val="Arial"/>
      </rPr>
      <t>F. pseudograminearum test 1
pgDNA/g Sample*</t>
    </r>
  </si>
  <si>
    <r>
      <rPr>
        <b/>
        <i/>
        <u/>
        <sz val="10"/>
        <rFont val="Arial"/>
      </rPr>
      <t>F. pseudograminearum test 2
pgDNA/g Sample*</t>
    </r>
  </si>
  <si>
    <r>
      <rPr>
        <b/>
        <i/>
        <u/>
        <sz val="10"/>
        <rFont val="Arial"/>
      </rPr>
      <t>F culmorum / graminearum
pgDNA/g Sample*</t>
    </r>
  </si>
  <si>
    <r>
      <rPr>
        <b/>
        <i/>
        <u/>
        <sz val="10"/>
        <rFont val="Arial"/>
      </rPr>
      <t>Pyrenophora tritici-repentis (YLS)
kDNA copies/g Sample*</t>
    </r>
  </si>
  <si>
    <r>
      <rPr>
        <b/>
        <i/>
        <u/>
        <sz val="10"/>
        <rFont val="Arial"/>
      </rPr>
      <t>Bipolaris
pgDNA/g Sample*</t>
    </r>
  </si>
  <si>
    <r>
      <rPr>
        <b/>
        <i/>
        <u/>
        <sz val="10"/>
        <rFont val="Arial"/>
      </rPr>
      <t>Pythium clade F
pgDNA/g Sample*</t>
    </r>
  </si>
  <si>
    <r>
      <rPr>
        <b/>
        <i/>
        <u/>
        <sz val="10"/>
        <rFont val="Arial"/>
      </rPr>
      <t>Eutiarosporella tritici-australis 
kDNA copies/g Sample*</t>
    </r>
  </si>
  <si>
    <r>
      <rPr>
        <b/>
        <i/>
        <u/>
        <sz val="10"/>
        <rFont val="Arial"/>
      </rPr>
      <t>Eutiarosporella darliae/pseudodarliae
kDNA copies/g Sample*</t>
    </r>
  </si>
  <si>
    <r>
      <rPr>
        <b/>
        <i/>
        <u/>
        <sz val="10"/>
        <rFont val="Arial"/>
      </rPr>
      <t>Eyespot
kDNA copies/g Sample*</t>
    </r>
  </si>
  <si>
    <r>
      <rPr>
        <b/>
        <i/>
        <u/>
        <sz val="10"/>
        <rFont val="Arial"/>
      </rPr>
      <t>Pratylenchus neglectus
nematodes / g sample</t>
    </r>
  </si>
  <si>
    <r>
      <rPr>
        <b/>
        <i/>
        <u/>
        <sz val="10"/>
        <rFont val="Arial"/>
      </rPr>
      <t>Pratylenchus thornei
nematodes / g sample</t>
    </r>
  </si>
  <si>
    <r>
      <rPr>
        <b/>
        <i/>
        <u/>
        <sz val="10"/>
        <rFont val="Arial"/>
      </rPr>
      <t>Pratylenchus penetrans
nematodes / g sample</t>
    </r>
  </si>
  <si>
    <r>
      <rPr>
        <b/>
        <i/>
        <u/>
        <sz val="10"/>
        <rFont val="Arial"/>
      </rPr>
      <t>Pratylenchus quasitereoides
nematodes / g sample</t>
    </r>
  </si>
  <si>
    <r>
      <rPr>
        <b/>
        <i/>
        <u/>
        <sz val="10"/>
        <rFont val="Arial"/>
      </rPr>
      <t>Phytophthora medicaginis
kDNA copies/g Sample*</t>
    </r>
  </si>
  <si>
    <r>
      <rPr>
        <b/>
        <i/>
        <u/>
        <sz val="10"/>
        <rFont val="Arial"/>
      </rPr>
      <t>Didymella pinodes/Phoma pinodella
pgDNA/g Sample*</t>
    </r>
  </si>
  <si>
    <r>
      <rPr>
        <b/>
        <i/>
        <u/>
        <sz val="10"/>
        <rFont val="Arial"/>
      </rPr>
      <t>Phoma koolunga
pgDNA/g Sample*</t>
    </r>
  </si>
  <si>
    <r>
      <rPr>
        <b/>
        <i/>
        <u/>
        <sz val="10"/>
        <rFont val="Arial"/>
      </rPr>
      <t>Macrophomina phaseolina
kDNA copies/g Sample*</t>
    </r>
  </si>
  <si>
    <r>
      <rPr>
        <b/>
        <i/>
        <u/>
        <sz val="10"/>
        <rFont val="Arial"/>
      </rPr>
      <t>Phoma rabiei
kDNA copies/g Sample*</t>
    </r>
  </si>
  <si>
    <r>
      <rPr>
        <b/>
        <i/>
        <u/>
        <sz val="10"/>
        <rFont val="Arial"/>
      </rPr>
      <t>Sclerotinia sclerotiorum/S. minor
kDNA copies/g Sample*</t>
    </r>
  </si>
  <si>
    <t>BE21694</t>
  </si>
  <si>
    <t>Lateral cereal section only</t>
  </si>
  <si>
    <t>Screenings(%)</t>
  </si>
  <si>
    <t>Field site speedtilled to 3-5cm depth.</t>
  </si>
  <si>
    <t>Field site sprayed with Crucial (1.8L/ha) + Terrad'or (40g/ha)</t>
  </si>
  <si>
    <t>Applied 15mm irrigation via lateral to site to ensure germination</t>
  </si>
  <si>
    <t>Field site sprayed with Paratrooper at 1.8L/ha</t>
  </si>
  <si>
    <t>SD1 sprayed prior to sowing with Sakura 118g, avidex xtra 1.6L, TriflurX 1L, and Crucial 1L</t>
  </si>
  <si>
    <t>SD1 sown with 100kg Flut treated MAP</t>
  </si>
  <si>
    <t>All SDs spread with 100kg/ha of urea</t>
  </si>
  <si>
    <t>Cutouts sprayed 1.2L/ha crucial </t>
  </si>
  <si>
    <t>All SDs sprayed with AmistarXtra at 400ml/ha as fungicide</t>
  </si>
  <si>
    <t>Sprayed both SDs with prosaro at 300ml/ha as fungicide</t>
  </si>
  <si>
    <t>Sprayed with Aphidex 800 at 190g/ha for aphids.</t>
  </si>
  <si>
    <t>All SDs machine harvested</t>
  </si>
  <si>
    <t>Jordan</t>
  </si>
  <si>
    <t>Jordan &amp; Rick</t>
  </si>
  <si>
    <t>Brad</t>
  </si>
  <si>
    <t>Jordan &amp; Felicity</t>
  </si>
  <si>
    <t>Jordan, Mel, Felicity</t>
  </si>
  <si>
    <t>Mick</t>
  </si>
  <si>
    <t>Warren</t>
  </si>
  <si>
    <t>Trial</t>
  </si>
  <si>
    <t>CoreNumber</t>
  </si>
  <si>
    <t>Depth</t>
  </si>
  <si>
    <t>Barcode</t>
  </si>
  <si>
    <t>WetSoil(g)</t>
  </si>
  <si>
    <t>DrySoil(g)</t>
  </si>
  <si>
    <t>Gravimetric_Water_Content %</t>
  </si>
  <si>
    <t>0..10</t>
  </si>
  <si>
    <t>*1.0..10A*</t>
  </si>
  <si>
    <t>*2.0..10I*</t>
  </si>
  <si>
    <t>*3.0..10G*</t>
  </si>
  <si>
    <t>*4.0..10E*</t>
  </si>
  <si>
    <t>*5.0..10B*</t>
  </si>
  <si>
    <t>*6.0..10J*</t>
  </si>
  <si>
    <t>*7.0..10H*</t>
  </si>
  <si>
    <t>*8.0..10F*</t>
  </si>
  <si>
    <t>10..20</t>
  </si>
  <si>
    <t>*1.10..20E*</t>
  </si>
  <si>
    <t>*2.10..20D*</t>
  </si>
  <si>
    <t>*3.10..20C*</t>
  </si>
  <si>
    <t>*4.10..20B*</t>
  </si>
  <si>
    <t>*5.10..20A*</t>
  </si>
  <si>
    <t>*6.10..20J*</t>
  </si>
  <si>
    <t>*7.10..20I*</t>
  </si>
  <si>
    <t>*8.10..20H*</t>
  </si>
  <si>
    <t>100..120</t>
  </si>
  <si>
    <t>*1.100..120C*</t>
  </si>
  <si>
    <t>*2.100..120B*</t>
  </si>
  <si>
    <t>*3.100..120A*</t>
  </si>
  <si>
    <t>*4.100..120J*</t>
  </si>
  <si>
    <t>*5.100..120I*</t>
  </si>
  <si>
    <t>*6.100..120H*</t>
  </si>
  <si>
    <t>*7.100..120G*</t>
  </si>
  <si>
    <t>*8.100..120F*</t>
  </si>
  <si>
    <t>120..140</t>
  </si>
  <si>
    <t>*1.120..140G*</t>
  </si>
  <si>
    <t>*2.120..140F*</t>
  </si>
  <si>
    <t>*3.120..140E*</t>
  </si>
  <si>
    <t>*4.120..140D*</t>
  </si>
  <si>
    <t>*5.120..140C*</t>
  </si>
  <si>
    <t>*6.120..140B*</t>
  </si>
  <si>
    <t>*7.120..140A*</t>
  </si>
  <si>
    <t>*8.120..140J*</t>
  </si>
  <si>
    <t>140..160</t>
  </si>
  <si>
    <t>*1.140..160A*</t>
  </si>
  <si>
    <t>*2.140..160J*</t>
  </si>
  <si>
    <t>*3.140..160I*</t>
  </si>
  <si>
    <t>*4.140..160H*</t>
  </si>
  <si>
    <t>*5.140..160G*</t>
  </si>
  <si>
    <t>*6.140..160F*</t>
  </si>
  <si>
    <t>*7.140..160E*</t>
  </si>
  <si>
    <t>*8.140..160D*</t>
  </si>
  <si>
    <t>160..180</t>
  </si>
  <si>
    <t>*1.160..180D*</t>
  </si>
  <si>
    <t>*2.160..180C*</t>
  </si>
  <si>
    <t>*3.160..180B*</t>
  </si>
  <si>
    <t>*4.160..180A*</t>
  </si>
  <si>
    <t>*5.160..180J*</t>
  </si>
  <si>
    <t>*6.160..180I*</t>
  </si>
  <si>
    <t>*7.160..180H*</t>
  </si>
  <si>
    <t>*8.160..180G*</t>
  </si>
  <si>
    <t>20..40</t>
  </si>
  <si>
    <t>*1.20..40B*</t>
  </si>
  <si>
    <t>*2.20..40A*</t>
  </si>
  <si>
    <t>*3.20..40J*</t>
  </si>
  <si>
    <t>*4.20..40I*</t>
  </si>
  <si>
    <t>*5.20..40H*</t>
  </si>
  <si>
    <t>*6.20..40G*</t>
  </si>
  <si>
    <t>*7.20..40F*</t>
  </si>
  <si>
    <t>*8.20..40E*</t>
  </si>
  <si>
    <t>40..60</t>
  </si>
  <si>
    <t>*1.40..60H*</t>
  </si>
  <si>
    <t>*2.40..60G*</t>
  </si>
  <si>
    <t>*3.40..60F*</t>
  </si>
  <si>
    <t>*4.40..60E*</t>
  </si>
  <si>
    <t>*5.40..60D*</t>
  </si>
  <si>
    <t>*6.40..60C*</t>
  </si>
  <si>
    <t>*7.40..60B*</t>
  </si>
  <si>
    <t>*8.40..60A*</t>
  </si>
  <si>
    <t>60..80</t>
  </si>
  <si>
    <t>*1.60..80D*</t>
  </si>
  <si>
    <t>*2.60..80C*</t>
  </si>
  <si>
    <t>*3.60..80B*</t>
  </si>
  <si>
    <t>*4.60..80A*</t>
  </si>
  <si>
    <t>*5.60..80J*</t>
  </si>
  <si>
    <t>*6.60..80I*</t>
  </si>
  <si>
    <t>*7.60..80H*</t>
  </si>
  <si>
    <t>*8.60..80G*</t>
  </si>
  <si>
    <t>80..100</t>
  </si>
  <si>
    <t>*1.80..100C*</t>
  </si>
  <si>
    <t>*2.80..100A*</t>
  </si>
  <si>
    <t>*3.80..100I*</t>
  </si>
  <si>
    <t>*4.80..100G*</t>
  </si>
  <si>
    <t>*5.80..100D*</t>
  </si>
  <si>
    <t>*6.80..100B*</t>
  </si>
  <si>
    <t>*7.80..100J*</t>
  </si>
  <si>
    <t>*8.80..100H*</t>
  </si>
  <si>
    <t>Julian Day</t>
  </si>
  <si>
    <t>Plant Haun stage</t>
  </si>
  <si>
    <t>Plant</t>
  </si>
  <si>
    <t>Plant1</t>
  </si>
  <si>
    <t>Plant2</t>
  </si>
  <si>
    <t>Plant3</t>
  </si>
  <si>
    <t>Julian day</t>
  </si>
  <si>
    <t>`</t>
  </si>
  <si>
    <t>flag</t>
  </si>
  <si>
    <t>Fresh weight of single culm</t>
  </si>
  <si>
    <t>Fresh weight of single culm (g)</t>
  </si>
  <si>
    <t>MeanSterility (%)</t>
  </si>
  <si>
    <t>MeanSpikeletNumber(perSpike)</t>
  </si>
  <si>
    <t>20/11/24</t>
  </si>
  <si>
    <t>Trial site</t>
  </si>
  <si>
    <t>WAGGA WAGGA AMO</t>
  </si>
  <si>
    <t>Count 1 (1 m ruler)</t>
  </si>
  <si>
    <t>Count 2 (1 m ruler)</t>
  </si>
  <si>
    <t>Count 3 (1 m ruler)</t>
  </si>
  <si>
    <t>Count 4 (1 m ruler)</t>
  </si>
  <si>
    <t>Count 5 (1 m ruler)</t>
  </si>
  <si>
    <t>Count 6 (1 m ruler)</t>
  </si>
  <si>
    <t>Mean count (1 m ruler)</t>
  </si>
  <si>
    <t>Plant population density (plants/m2)</t>
  </si>
  <si>
    <t xml:space="preserve">Measurent date </t>
  </si>
  <si>
    <t>Flag leaf angle 1</t>
  </si>
  <si>
    <t>Flag-1 leaf angle 1</t>
  </si>
  <si>
    <t>Flag-2 leaf angle 1</t>
  </si>
  <si>
    <t>Flag leaf angle 2</t>
  </si>
  <si>
    <t>Flag-1 leaf angle 2</t>
  </si>
  <si>
    <t>Flag-2 leaf angle 2</t>
  </si>
  <si>
    <t>Flag leaf angle 3</t>
  </si>
  <si>
    <t>Flag-1 leaf angle 3</t>
  </si>
  <si>
    <t>Flag-2 leaf angle 3</t>
  </si>
  <si>
    <t>Flag leaf angle average</t>
  </si>
  <si>
    <t>Flag leaf-1 angle average</t>
  </si>
  <si>
    <t>Flag leaf-2 angle average</t>
  </si>
  <si>
    <t>Tiller Number m2</t>
  </si>
  <si>
    <t>Spike/leaf ratio</t>
  </si>
  <si>
    <t>Plant tissue moisture (%)</t>
  </si>
  <si>
    <t>Plot No</t>
  </si>
  <si>
    <t>Grain No</t>
  </si>
  <si>
    <t>Machine harvest sub-sample (calico bag) weight (kg)</t>
  </si>
  <si>
    <t>SD2 (springs) sown with 100kg/ha MAP treated with 2L flut after following pre-ems:  Sakura 118g, avidex xtra 1.6L, TriflurX 1L, and Crucial 1L.</t>
  </si>
  <si>
    <t>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</si>
</sst>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 \°\C"/>
    <numFmt numFmtId="167" formatCode="0.0000"/>
  </numFmts>
  <fonts count="31" x14ac:knownFonts="1">
    <font>
      <sz val="11"/>
      <color theme="1"/>
      <name val="Calibri"/>
      <family val="2"/>
      <scheme val="minor"/>
    </font>
    <font>
      <b/>
      <sz val="11"/>
      <color theme="1"/>
      <name val="Calibri"/>
      <family val="2"/>
      <scheme val="minor"/>
    </font>
    <font>
      <sz val="11"/>
      <color rgb="FF000000"/>
      <name val="Calibri"/>
      <family val="2"/>
    </font>
    <font>
      <sz val="11"/>
      <color theme="1"/>
      <name val="Calibri"/>
      <family val="2"/>
    </font>
    <font>
      <sz val="11"/>
      <name val="Calibri"/>
      <family val="2"/>
      <scheme val="minor"/>
    </font>
    <font>
      <sz val="10"/>
      <name val="Arial"/>
      <family val="2"/>
    </font>
    <font>
      <sz val="8"/>
      <name val="Calibri"/>
      <family val="2"/>
      <scheme val="minor"/>
    </font>
    <font>
      <sz val="11"/>
      <color rgb="FFFF0000"/>
      <name val="Calibri"/>
      <family val="2"/>
      <scheme val="minor"/>
    </font>
    <font>
      <b/>
      <sz val="11"/>
      <name val="Calibri"/>
      <family val="2"/>
      <scheme val="minor"/>
    </font>
    <font>
      <sz val="11"/>
      <color rgb="FFC00000"/>
      <name val="Calibri"/>
      <family val="2"/>
      <scheme val="minor"/>
    </font>
    <font>
      <sz val="11"/>
      <color rgb="FF000000"/>
      <name val="Arial"/>
      <family val="2"/>
    </font>
    <font>
      <sz val="11"/>
      <color rgb="FF002060"/>
      <name val="Calibri"/>
      <family val="2"/>
      <scheme val="minor"/>
    </font>
    <font>
      <b/>
      <sz val="11"/>
      <color theme="1"/>
      <name val="Calibri"/>
      <family val="2"/>
    </font>
    <font>
      <sz val="11"/>
      <name val="Calibri"/>
      <family val="2"/>
    </font>
    <font>
      <b/>
      <sz val="11"/>
      <color rgb="FF002060"/>
      <name val="Calibri"/>
      <family val="2"/>
      <scheme val="minor"/>
    </font>
    <font>
      <sz val="11"/>
      <color theme="1"/>
      <name val="Calibri"/>
      <family val="2"/>
      <scheme val="minor"/>
    </font>
    <font>
      <sz val="11"/>
      <color rgb="FF000000"/>
      <name val="Aptos Narrow"/>
      <family val="2"/>
    </font>
    <font>
      <sz val="11"/>
      <color rgb="FFFF0000"/>
      <name val="Aptos Narrow"/>
      <family val="2"/>
    </font>
    <font>
      <sz val="11"/>
      <color rgb="FFFF0000"/>
      <name val="Calibri"/>
      <family val="2"/>
    </font>
    <font>
      <b/>
      <sz val="14"/>
      <color theme="1"/>
      <name val="Calibri"/>
      <family val="2"/>
      <scheme val="minor"/>
    </font>
    <font>
      <b/>
      <sz val="16"/>
      <color theme="1"/>
      <name val="Calibri"/>
      <family val="2"/>
      <scheme val="minor"/>
    </font>
    <font>
      <sz val="8"/>
      <color theme="1"/>
      <name val="Calibri"/>
      <family val="2"/>
      <scheme val="minor"/>
    </font>
    <font>
      <sz val="11"/>
      <color rgb="FF000000"/>
      <name val="Calibri"/>
      <family val="2"/>
      <scheme val="minor"/>
    </font>
    <font>
      <b/>
      <sz val="12"/>
      <color theme="1"/>
      <name val="Calibri"/>
      <family val="2"/>
      <scheme val="minor"/>
    </font>
    <font>
      <b/>
      <sz val="16"/>
      <name val="Arial"/>
      <family val="2"/>
    </font>
    <font>
      <b/>
      <sz val="10"/>
      <name val="Arial"/>
      <family val="2"/>
    </font>
    <font>
      <b/>
      <i/>
      <u/>
      <sz val="10"/>
      <name val="Arial"/>
      <family val="2"/>
    </font>
    <font>
      <b/>
      <i/>
      <u/>
      <sz val="10"/>
      <name val="Arial"/>
    </font>
    <font>
      <sz val="11"/>
      <color rgb="FF000000"/>
      <name val="Calibri"/>
    </font>
    <font>
      <sz val="9"/>
      <color rgb="FF000000"/>
      <name val="Arial"/>
      <family val="2"/>
    </font>
    <font>
      <b/>
      <sz val="11"/>
      <color rgb="FFFF0000"/>
      <name val="Calibri"/>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8FC26C"/>
        <bgColor indexed="64"/>
      </patternFill>
    </fill>
    <fill>
      <patternFill patternType="solid">
        <fgColor theme="9"/>
        <bgColor indexed="64"/>
      </patternFill>
    </fill>
    <fill>
      <patternFill patternType="solid">
        <fgColor theme="0"/>
        <bgColor indexed="64"/>
      </patternFill>
    </fill>
    <fill>
      <patternFill patternType="solid">
        <fgColor rgb="FFFFC000"/>
        <bgColor indexed="64"/>
      </patternFill>
    </fill>
  </fills>
  <borders count="11">
    <border>
      <left/>
      <right/>
      <top/>
      <bottom/>
      <diagonal/>
    </border>
    <border>
      <left/>
      <right/>
      <top/>
      <bottom style="thin">
        <color theme="4" tint="0.399975585192419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3">
    <xf numFmtId="0" fontId="0" fillId="0" borderId="0"/>
    <xf numFmtId="0" fontId="15" fillId="0" borderId="0"/>
    <xf numFmtId="43" fontId="15" fillId="0" borderId="0" applyFont="0" applyFill="0" applyBorder="0" applyAlignment="0" applyProtection="0"/>
  </cellStyleXfs>
  <cellXfs count="153">
    <xf numFmtId="0" fontId="0" fillId="0" borderId="0" xfId="0"/>
    <xf numFmtId="0" fontId="1" fillId="0" borderId="0" xfId="0" applyFont="1"/>
    <xf numFmtId="0" fontId="2" fillId="0" borderId="0" xfId="0" applyFont="1"/>
    <xf numFmtId="0" fontId="1" fillId="0" borderId="0" xfId="0" applyFont="1" applyAlignment="1">
      <alignment wrapText="1"/>
    </xf>
    <xf numFmtId="0" fontId="1" fillId="0" borderId="0" xfId="0" applyFont="1" applyAlignment="1">
      <alignment horizontal="center" wrapText="1"/>
    </xf>
    <xf numFmtId="0" fontId="0" fillId="0" borderId="0" xfId="0" applyAlignment="1">
      <alignment horizontal="center"/>
    </xf>
    <xf numFmtId="0" fontId="3" fillId="0" borderId="0" xfId="0" applyFont="1"/>
    <xf numFmtId="165" fontId="0" fillId="0" borderId="0" xfId="0" applyNumberFormat="1" applyAlignment="1">
      <alignment horizontal="center"/>
    </xf>
    <xf numFmtId="1" fontId="0" fillId="0" borderId="0" xfId="0" applyNumberFormat="1" applyAlignment="1">
      <alignment horizontal="center"/>
    </xf>
    <xf numFmtId="165" fontId="1" fillId="0" borderId="0" xfId="0" applyNumberFormat="1" applyFont="1" applyAlignment="1">
      <alignment horizontal="center" wrapText="1"/>
    </xf>
    <xf numFmtId="1" fontId="1" fillId="0" borderId="0" xfId="0" applyNumberFormat="1" applyFont="1" applyAlignment="1">
      <alignment horizontal="center" wrapText="1"/>
    </xf>
    <xf numFmtId="164" fontId="1" fillId="0" borderId="0" xfId="0" applyNumberFormat="1" applyFont="1" applyAlignment="1">
      <alignment horizontal="center" wrapText="1"/>
    </xf>
    <xf numFmtId="164" fontId="0" fillId="0" borderId="0" xfId="0" applyNumberFormat="1"/>
    <xf numFmtId="14" fontId="0" fillId="0" borderId="0" xfId="0" applyNumberFormat="1"/>
    <xf numFmtId="0" fontId="1"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1" fillId="0" borderId="0" xfId="0" applyFont="1" applyAlignment="1">
      <alignment vertical="top"/>
    </xf>
    <xf numFmtId="14" fontId="0" fillId="0" borderId="0" xfId="0" applyNumberFormat="1" applyAlignment="1">
      <alignment vertical="top"/>
    </xf>
    <xf numFmtId="0" fontId="0" fillId="0" borderId="0" xfId="0" applyAlignment="1">
      <alignment vertical="top"/>
    </xf>
    <xf numFmtId="1" fontId="4" fillId="0" borderId="0" xfId="0" applyNumberFormat="1" applyFont="1" applyAlignment="1">
      <alignment horizontal="center"/>
    </xf>
    <xf numFmtId="1" fontId="0" fillId="0" borderId="0" xfId="0" applyNumberFormat="1"/>
    <xf numFmtId="14" fontId="0" fillId="0" borderId="0" xfId="0" applyNumberFormat="1" applyAlignment="1">
      <alignment wrapText="1"/>
    </xf>
    <xf numFmtId="2" fontId="1" fillId="0" borderId="0" xfId="0" applyNumberFormat="1" applyFont="1" applyAlignment="1">
      <alignment horizontal="center" wrapText="1"/>
    </xf>
    <xf numFmtId="2"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vertical="center" wrapText="1"/>
    </xf>
    <xf numFmtId="0" fontId="7" fillId="0" borderId="0" xfId="0" applyFont="1"/>
    <xf numFmtId="164" fontId="7" fillId="0" borderId="0" xfId="0" applyNumberFormat="1" applyFont="1"/>
    <xf numFmtId="2" fontId="0" fillId="0" borderId="0" xfId="0" applyNumberFormat="1"/>
    <xf numFmtId="164" fontId="4" fillId="0" borderId="0" xfId="0" applyNumberFormat="1" applyFont="1" applyAlignment="1">
      <alignment horizontal="center"/>
    </xf>
    <xf numFmtId="1" fontId="7" fillId="0" borderId="0" xfId="0" applyNumberFormat="1" applyFont="1"/>
    <xf numFmtId="0" fontId="1" fillId="0" borderId="0" xfId="0" applyFont="1" applyAlignment="1">
      <alignment horizontal="center"/>
    </xf>
    <xf numFmtId="0" fontId="8" fillId="0" borderId="0" xfId="0" applyFont="1" applyAlignment="1">
      <alignment horizontal="center" wrapText="1"/>
    </xf>
    <xf numFmtId="0" fontId="4" fillId="0" borderId="0" xfId="0" applyFont="1" applyAlignment="1">
      <alignment horizontal="center"/>
    </xf>
    <xf numFmtId="0" fontId="4" fillId="0" borderId="0" xfId="0" applyFont="1"/>
    <xf numFmtId="14" fontId="4" fillId="0" borderId="0" xfId="0" applyNumberFormat="1" applyFont="1" applyAlignment="1">
      <alignment horizontal="center"/>
    </xf>
    <xf numFmtId="2" fontId="4" fillId="0" borderId="0" xfId="0" applyNumberFormat="1" applyFont="1" applyAlignment="1">
      <alignment horizontal="center"/>
    </xf>
    <xf numFmtId="2" fontId="4" fillId="0" borderId="0" xfId="0" applyNumberFormat="1" applyFont="1"/>
    <xf numFmtId="1" fontId="4" fillId="0" borderId="0" xfId="0" applyNumberFormat="1" applyFont="1"/>
    <xf numFmtId="1" fontId="8" fillId="0" borderId="0" xfId="0" applyNumberFormat="1" applyFont="1" applyAlignment="1">
      <alignment horizontal="center"/>
    </xf>
    <xf numFmtId="1" fontId="1" fillId="0" borderId="0" xfId="0" applyNumberFormat="1" applyFont="1" applyAlignment="1">
      <alignment horizontal="center"/>
    </xf>
    <xf numFmtId="164" fontId="4" fillId="0" borderId="0" xfId="0" applyNumberFormat="1" applyFont="1"/>
    <xf numFmtId="14" fontId="4" fillId="0" borderId="0" xfId="0" applyNumberFormat="1" applyFont="1"/>
    <xf numFmtId="0" fontId="4" fillId="0" borderId="0" xfId="0" applyFont="1" applyAlignment="1">
      <alignment horizontal="right"/>
    </xf>
    <xf numFmtId="0" fontId="1" fillId="0" borderId="0" xfId="0" applyFont="1" applyAlignment="1">
      <alignment horizontal="right" wrapText="1"/>
    </xf>
    <xf numFmtId="0" fontId="0" fillId="0" borderId="0" xfId="0" applyAlignment="1">
      <alignment horizontal="right"/>
    </xf>
    <xf numFmtId="2" fontId="4" fillId="0" borderId="0" xfId="0" applyNumberFormat="1" applyFont="1" applyAlignment="1">
      <alignment horizontal="right"/>
    </xf>
    <xf numFmtId="164" fontId="4" fillId="0" borderId="0" xfId="0" applyNumberFormat="1" applyFont="1" applyAlignment="1">
      <alignment horizontal="right"/>
    </xf>
    <xf numFmtId="1" fontId="4" fillId="0" borderId="0" xfId="0" applyNumberFormat="1" applyFont="1" applyAlignment="1">
      <alignment horizontal="right"/>
    </xf>
    <xf numFmtId="1" fontId="8" fillId="0" borderId="0" xfId="0" applyNumberFormat="1" applyFont="1" applyAlignment="1">
      <alignment horizontal="right"/>
    </xf>
    <xf numFmtId="16" fontId="0" fillId="0" borderId="0" xfId="0" applyNumberFormat="1"/>
    <xf numFmtId="0" fontId="10" fillId="0" borderId="0" xfId="0" applyFont="1"/>
    <xf numFmtId="49" fontId="4" fillId="0" borderId="0" xfId="0" applyNumberFormat="1" applyFont="1" applyAlignment="1">
      <alignment horizontal="center"/>
    </xf>
    <xf numFmtId="0" fontId="11" fillId="0" borderId="0" xfId="0" applyFont="1" applyAlignment="1">
      <alignment horizontal="right"/>
    </xf>
    <xf numFmtId="0" fontId="9" fillId="0" borderId="0" xfId="0" applyFont="1"/>
    <xf numFmtId="0" fontId="4" fillId="0" borderId="0" xfId="0" applyFont="1" applyAlignment="1">
      <alignment vertical="top" wrapText="1"/>
    </xf>
    <xf numFmtId="0" fontId="3" fillId="0" borderId="0" xfId="0" applyFont="1" applyAlignment="1">
      <alignment vertical="center" wrapText="1"/>
    </xf>
    <xf numFmtId="0" fontId="9" fillId="0" borderId="0" xfId="0" applyFont="1" applyAlignment="1">
      <alignment horizontal="center"/>
    </xf>
    <xf numFmtId="2" fontId="8" fillId="0" borderId="0" xfId="0" applyNumberFormat="1" applyFont="1"/>
    <xf numFmtId="2" fontId="8" fillId="0" borderId="0" xfId="0" applyNumberFormat="1" applyFont="1" applyAlignment="1">
      <alignment horizontal="center" wrapText="1"/>
    </xf>
    <xf numFmtId="165" fontId="4" fillId="0" borderId="0" xfId="0" applyNumberFormat="1" applyFont="1"/>
    <xf numFmtId="2" fontId="7" fillId="0" borderId="0" xfId="0" applyNumberFormat="1" applyFont="1"/>
    <xf numFmtId="0" fontId="1" fillId="0" borderId="1" xfId="0" applyFont="1" applyBorder="1"/>
    <xf numFmtId="165" fontId="0" fillId="0" borderId="0" xfId="0" applyNumberFormat="1"/>
    <xf numFmtId="49" fontId="8" fillId="0" borderId="0" xfId="0" applyNumberFormat="1" applyFont="1" applyAlignment="1">
      <alignment horizontal="center" wrapText="1"/>
    </xf>
    <xf numFmtId="164" fontId="8" fillId="0" borderId="0" xfId="0" applyNumberFormat="1" applyFont="1" applyAlignment="1">
      <alignment horizontal="center" wrapText="1"/>
    </xf>
    <xf numFmtId="1" fontId="8" fillId="0" borderId="0" xfId="0" applyNumberFormat="1" applyFont="1" applyAlignment="1">
      <alignment horizontal="center" wrapText="1"/>
    </xf>
    <xf numFmtId="2" fontId="8" fillId="0" borderId="0" xfId="0" applyNumberFormat="1" applyFont="1" applyAlignment="1">
      <alignment horizontal="center"/>
    </xf>
    <xf numFmtId="0" fontId="12" fillId="0" borderId="0" xfId="0" applyFont="1" applyAlignment="1">
      <alignment horizontal="center" wrapText="1"/>
    </xf>
    <xf numFmtId="0" fontId="13" fillId="0" borderId="0" xfId="0" applyFont="1"/>
    <xf numFmtId="0" fontId="13" fillId="0" borderId="0" xfId="0" applyFont="1" applyAlignment="1">
      <alignment horizontal="right"/>
    </xf>
    <xf numFmtId="0" fontId="3" fillId="0" borderId="0" xfId="0" applyFont="1" applyAlignment="1">
      <alignment horizontal="right"/>
    </xf>
    <xf numFmtId="0" fontId="14" fillId="0" borderId="0" xfId="0" applyFont="1" applyAlignment="1">
      <alignment horizontal="right" wrapText="1"/>
    </xf>
    <xf numFmtId="0" fontId="15" fillId="0" borderId="0" xfId="1"/>
    <xf numFmtId="0" fontId="16" fillId="0" borderId="0" xfId="0" applyFont="1" applyAlignment="1">
      <alignment vertical="top" wrapText="1"/>
    </xf>
    <xf numFmtId="0" fontId="16" fillId="0" borderId="0" xfId="0" applyFont="1"/>
    <xf numFmtId="22" fontId="0" fillId="0" borderId="0" xfId="0" applyNumberFormat="1"/>
    <xf numFmtId="0" fontId="18" fillId="0" borderId="0" xfId="0" applyFont="1"/>
    <xf numFmtId="14" fontId="1" fillId="0" borderId="0" xfId="0" applyNumberFormat="1" applyFont="1"/>
    <xf numFmtId="0" fontId="19" fillId="0" borderId="0" xfId="0" applyFont="1"/>
    <xf numFmtId="0" fontId="20" fillId="0" borderId="0" xfId="0" applyFont="1"/>
    <xf numFmtId="0" fontId="0" fillId="0" borderId="0" xfId="0" applyAlignment="1">
      <alignment horizontal="left"/>
    </xf>
    <xf numFmtId="0" fontId="0" fillId="0" borderId="2" xfId="0" applyBorder="1"/>
    <xf numFmtId="0" fontId="21" fillId="2" borderId="3" xfId="0" applyFont="1" applyFill="1" applyBorder="1" applyAlignment="1">
      <alignment horizontal="center"/>
    </xf>
    <xf numFmtId="0" fontId="21" fillId="2" borderId="4" xfId="0" applyFont="1" applyFill="1" applyBorder="1" applyAlignment="1">
      <alignment horizontal="center"/>
    </xf>
    <xf numFmtId="0" fontId="21" fillId="3" borderId="3" xfId="0" applyFont="1" applyFill="1" applyBorder="1" applyAlignment="1">
      <alignment horizontal="center"/>
    </xf>
    <xf numFmtId="0" fontId="21" fillId="3" borderId="5" xfId="0" applyFont="1" applyFill="1" applyBorder="1" applyAlignment="1">
      <alignment horizontal="center"/>
    </xf>
    <xf numFmtId="0" fontId="0" fillId="0" borderId="6" xfId="0" applyBorder="1"/>
    <xf numFmtId="0" fontId="1" fillId="0" borderId="2" xfId="0" applyFont="1" applyBorder="1"/>
    <xf numFmtId="0" fontId="22" fillId="0" borderId="0" xfId="0" applyFont="1"/>
    <xf numFmtId="0" fontId="0" fillId="2" borderId="3" xfId="0" applyFill="1" applyBorder="1"/>
    <xf numFmtId="0" fontId="0" fillId="3" borderId="3" xfId="0" applyFill="1" applyBorder="1"/>
    <xf numFmtId="0" fontId="1" fillId="0" borderId="6" xfId="0" applyFont="1" applyBorder="1"/>
    <xf numFmtId="0" fontId="23" fillId="0" borderId="0" xfId="0" applyFont="1"/>
    <xf numFmtId="0" fontId="0" fillId="0" borderId="0" xfId="0" applyAlignment="1">
      <alignment horizontal="center" wrapText="1"/>
    </xf>
    <xf numFmtId="0" fontId="0" fillId="0" borderId="0" xfId="0" applyAlignment="1">
      <alignment horizontal="right" wrapText="1"/>
    </xf>
    <xf numFmtId="0" fontId="26" fillId="0" borderId="0" xfId="0" applyFont="1" applyAlignment="1">
      <alignment horizontal="center" wrapText="1"/>
    </xf>
    <xf numFmtId="0" fontId="26" fillId="0" borderId="0" xfId="0" applyFont="1" applyAlignment="1">
      <alignment wrapText="1"/>
    </xf>
    <xf numFmtId="1" fontId="0" fillId="0" borderId="0" xfId="0" applyNumberFormat="1" applyAlignment="1">
      <alignment horizontal="right" wrapText="1"/>
    </xf>
    <xf numFmtId="1" fontId="0" fillId="0" borderId="0" xfId="0" applyNumberFormat="1" applyAlignment="1">
      <alignment horizontal="center" wrapText="1"/>
    </xf>
    <xf numFmtId="1" fontId="0" fillId="0" borderId="0" xfId="0" applyNumberFormat="1" applyAlignment="1">
      <alignment wrapText="1"/>
    </xf>
    <xf numFmtId="2" fontId="0" fillId="0" borderId="0" xfId="0" applyNumberFormat="1" applyAlignment="1">
      <alignment horizontal="center" wrapText="1"/>
    </xf>
    <xf numFmtId="166" fontId="0" fillId="0" borderId="0" xfId="0" applyNumberFormat="1"/>
    <xf numFmtId="166" fontId="0" fillId="4" borderId="0" xfId="0" applyNumberFormat="1" applyFill="1"/>
    <xf numFmtId="17" fontId="3" fillId="0" borderId="0" xfId="0" applyNumberFormat="1" applyFont="1"/>
    <xf numFmtId="16" fontId="3" fillId="0" borderId="0" xfId="0" applyNumberFormat="1" applyFont="1"/>
    <xf numFmtId="14" fontId="7" fillId="0" borderId="0" xfId="0" applyNumberFormat="1" applyFont="1"/>
    <xf numFmtId="14" fontId="1" fillId="0" borderId="7" xfId="0" applyNumberFormat="1" applyFont="1" applyBorder="1"/>
    <xf numFmtId="0" fontId="0" fillId="0" borderId="7" xfId="0" applyBorder="1" applyAlignment="1">
      <alignment wrapText="1"/>
    </xf>
    <xf numFmtId="0" fontId="0" fillId="0" borderId="7" xfId="0" applyBorder="1"/>
    <xf numFmtId="14" fontId="1" fillId="0" borderId="8" xfId="0" applyNumberFormat="1" applyFont="1" applyBorder="1"/>
    <xf numFmtId="0" fontId="0" fillId="0" borderId="8" xfId="0" applyBorder="1" applyAlignment="1">
      <alignment vertical="top"/>
    </xf>
    <xf numFmtId="0" fontId="0" fillId="0" borderId="8" xfId="0" applyBorder="1"/>
    <xf numFmtId="0" fontId="0" fillId="0" borderId="8" xfId="0" applyBorder="1" applyAlignment="1">
      <alignment vertical="top" wrapText="1"/>
    </xf>
    <xf numFmtId="0" fontId="0" fillId="0" borderId="8" xfId="0" applyBorder="1" applyAlignment="1">
      <alignment vertical="center" wrapText="1"/>
    </xf>
    <xf numFmtId="0" fontId="0" fillId="0" borderId="7" xfId="0" applyBorder="1" applyAlignment="1">
      <alignment vertical="top"/>
    </xf>
    <xf numFmtId="0" fontId="0" fillId="0" borderId="7" xfId="0" applyBorder="1" applyAlignment="1">
      <alignment vertical="center" wrapText="1"/>
    </xf>
    <xf numFmtId="0" fontId="0" fillId="0" borderId="7" xfId="0" applyBorder="1" applyAlignment="1">
      <alignment vertical="top" wrapText="1"/>
    </xf>
    <xf numFmtId="0" fontId="0" fillId="0" borderId="8" xfId="0" applyBorder="1" applyAlignment="1">
      <alignment wrapText="1"/>
    </xf>
    <xf numFmtId="0" fontId="3" fillId="0" borderId="8" xfId="0" applyFont="1" applyBorder="1" applyAlignment="1">
      <alignment vertical="center" wrapText="1"/>
    </xf>
    <xf numFmtId="14" fontId="28" fillId="0" borderId="0" xfId="0" applyNumberFormat="1" applyFont="1"/>
    <xf numFmtId="16" fontId="1" fillId="0" borderId="0" xfId="0" applyNumberFormat="1" applyFont="1" applyAlignment="1">
      <alignment horizontal="center"/>
    </xf>
    <xf numFmtId="14" fontId="2" fillId="0" borderId="0" xfId="0" applyNumberFormat="1" applyFont="1"/>
    <xf numFmtId="0" fontId="0" fillId="0" borderId="3" xfId="0" applyBorder="1"/>
    <xf numFmtId="0" fontId="0" fillId="2" borderId="3" xfId="0" applyFill="1" applyBorder="1" applyAlignment="1">
      <alignment horizontal="center"/>
    </xf>
    <xf numFmtId="0" fontId="0" fillId="3" borderId="3" xfId="0" applyFill="1" applyBorder="1" applyAlignment="1">
      <alignment horizontal="center"/>
    </xf>
    <xf numFmtId="0" fontId="0" fillId="5" borderId="3" xfId="0" applyFill="1" applyBorder="1"/>
    <xf numFmtId="0" fontId="0" fillId="0" borderId="9" xfId="0" applyBorder="1"/>
    <xf numFmtId="0" fontId="0" fillId="0" borderId="10" xfId="0" applyBorder="1"/>
    <xf numFmtId="0" fontId="0" fillId="6" borderId="10" xfId="0" applyFill="1" applyBorder="1"/>
    <xf numFmtId="0" fontId="0" fillId="7" borderId="10" xfId="0" applyFill="1" applyBorder="1"/>
    <xf numFmtId="0" fontId="0" fillId="8" borderId="10" xfId="0" applyFill="1" applyBorder="1"/>
    <xf numFmtId="0" fontId="0" fillId="9" borderId="10" xfId="0" applyFill="1" applyBorder="1"/>
    <xf numFmtId="0" fontId="8" fillId="10" borderId="0" xfId="0" applyFont="1" applyFill="1" applyAlignment="1">
      <alignment horizontal="center" wrapText="1"/>
    </xf>
    <xf numFmtId="0" fontId="0" fillId="10" borderId="0" xfId="0" applyFill="1"/>
    <xf numFmtId="0" fontId="4" fillId="10" borderId="0" xfId="0" applyFont="1" applyFill="1" applyAlignment="1">
      <alignment horizontal="center"/>
    </xf>
    <xf numFmtId="0" fontId="1" fillId="10" borderId="0" xfId="0" applyFont="1" applyFill="1" applyAlignment="1">
      <alignment horizontal="center" wrapText="1"/>
    </xf>
    <xf numFmtId="164" fontId="11" fillId="0" borderId="0" xfId="0" applyNumberFormat="1" applyFont="1" applyAlignment="1">
      <alignment horizontal="right"/>
    </xf>
    <xf numFmtId="164" fontId="1" fillId="0" borderId="0" xfId="0" applyNumberFormat="1" applyFont="1" applyAlignment="1">
      <alignment horizontal="right"/>
    </xf>
    <xf numFmtId="165" fontId="5" fillId="0" borderId="0" xfId="0" applyNumberFormat="1" applyFont="1" applyAlignment="1">
      <alignment horizontal="center" vertical="center" wrapText="1"/>
    </xf>
    <xf numFmtId="0" fontId="8" fillId="0" borderId="0" xfId="0" applyFont="1" applyAlignment="1">
      <alignment horizontal="center"/>
    </xf>
    <xf numFmtId="167" fontId="4" fillId="0" borderId="0" xfId="0" applyNumberFormat="1" applyFont="1" applyAlignment="1">
      <alignment horizontal="center"/>
    </xf>
    <xf numFmtId="0" fontId="29" fillId="0" borderId="0" xfId="0" applyFont="1"/>
    <xf numFmtId="0" fontId="1" fillId="0" borderId="0" xfId="0" applyFont="1" applyAlignment="1">
      <alignment horizontal="left"/>
    </xf>
    <xf numFmtId="0" fontId="30" fillId="0" borderId="0" xfId="0" applyFont="1" applyAlignment="1">
      <alignment horizontal="center" wrapText="1"/>
    </xf>
    <xf numFmtId="0" fontId="25" fillId="0" borderId="0" xfId="0" applyFont="1" applyAlignment="1">
      <alignment horizontal="center" vertical="center" wrapText="1"/>
    </xf>
    <xf numFmtId="0" fontId="24" fillId="0" borderId="0" xfId="0" applyFont="1" applyAlignment="1">
      <alignment horizontal="center" wrapText="1"/>
    </xf>
    <xf numFmtId="0" fontId="25" fillId="0" borderId="0" xfId="0" applyFont="1" applyAlignment="1">
      <alignment horizontal="center" wrapText="1"/>
    </xf>
    <xf numFmtId="0" fontId="0" fillId="0" borderId="0" xfId="0" applyAlignment="1">
      <alignment horizontal="center" wrapText="1"/>
    </xf>
    <xf numFmtId="0" fontId="0" fillId="0" borderId="0" xfId="0" applyAlignment="1">
      <alignment horizontal="left" wrapText="1"/>
    </xf>
    <xf numFmtId="43" fontId="4" fillId="0" borderId="0" xfId="2" applyFont="1" applyAlignment="1">
      <alignment horizontal="center"/>
    </xf>
  </cellXfs>
  <cellStyles count="3">
    <cellStyle name="Comma" xfId="2" builtinId="3"/>
    <cellStyle name="Normal" xfId="0" builtinId="0"/>
    <cellStyle name="Normal 2" xfId="1" xr:uid="{9EC2B73B-67B8-4734-A90C-55ADD8252B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65834473604431"/>
          <c:y val="6.0185185185185182E-2"/>
          <c:w val="0.76048210935131544"/>
          <c:h val="0.74350320793234181"/>
        </c:manualLayout>
      </c:layout>
      <c:scatterChart>
        <c:scatterStyle val="lineMarker"/>
        <c:varyColors val="0"/>
        <c:ser>
          <c:idx val="1"/>
          <c:order val="0"/>
          <c:tx>
            <c:strRef>
              <c:f>'Machine harvest'!$Z$19</c:f>
              <c:strCache>
                <c:ptCount val="1"/>
              </c:strCache>
            </c:strRef>
          </c:tx>
          <c:spPr>
            <a:ln w="25400" cap="rnd">
              <a:noFill/>
              <a:round/>
            </a:ln>
            <a:effectLst/>
          </c:spPr>
          <c:marker>
            <c:symbol val="circle"/>
            <c:size val="5"/>
            <c:spPr>
              <a:noFill/>
              <a:ln w="9525">
                <a:solidFill>
                  <a:schemeClr val="tx1"/>
                </a:solidFill>
              </a:ln>
              <a:effectLst/>
            </c:spPr>
          </c:marker>
          <c:dLbls>
            <c:dLbl>
              <c:idx val="0"/>
              <c:layout>
                <c:manualLayout>
                  <c:x val="-4.1623309053069719E-2"/>
                  <c:y val="6.4814814814814853E-2"/>
                </c:manualLayout>
              </c:layout>
              <c:tx>
                <c:rich>
                  <a:bodyPr/>
                  <a:lstStyle/>
                  <a:p>
                    <a:fld id="{1C1B0E26-4C1E-4401-B08E-2F021C328D71}" type="CELLRANGE">
                      <a:rPr lang="en-US"/>
                      <a:pPr/>
                      <a:t>[CELLRANGE]</a:t>
                    </a:fld>
                    <a:endParaRPr lang="en-NZ"/>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61D-4080-A9BF-F8CF71E4AD08}"/>
                </c:ext>
              </c:extLst>
            </c:dLbl>
            <c:dLbl>
              <c:idx val="1"/>
              <c:layout>
                <c:manualLayout>
                  <c:x val="-6.2434963579604617E-2"/>
                  <c:y val="-4.6296296296296273E-2"/>
                </c:manualLayout>
              </c:layout>
              <c:tx>
                <c:rich>
                  <a:bodyPr/>
                  <a:lstStyle/>
                  <a:p>
                    <a:fld id="{9C4C781E-3A2C-4B5A-ACCD-5E0A27578379}" type="CELLRANGE">
                      <a:rPr lang="en-US"/>
                      <a:pPr/>
                      <a:t>[CELLRANGE]</a:t>
                    </a:fld>
                    <a:endParaRPr lang="en-NZ"/>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61D-4080-A9BF-F8CF71E4AD08}"/>
                </c:ext>
              </c:extLst>
            </c:dLbl>
            <c:dLbl>
              <c:idx val="2"/>
              <c:layout>
                <c:manualLayout>
                  <c:x val="-0.10822060353798127"/>
                  <c:y val="-4.1666666666666664E-2"/>
                </c:manualLayout>
              </c:layout>
              <c:tx>
                <c:rich>
                  <a:bodyPr/>
                  <a:lstStyle/>
                  <a:p>
                    <a:fld id="{1AD0FBD1-10E6-415F-8E16-4FAB47DF9763}" type="CELLRANGE">
                      <a:rPr lang="en-US"/>
                      <a:pPr/>
                      <a:t>[CELLRANGE]</a:t>
                    </a:fld>
                    <a:endParaRPr lang="en-NZ"/>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61D-4080-A9BF-F8CF71E4AD08}"/>
                </c:ext>
              </c:extLst>
            </c:dLbl>
            <c:dLbl>
              <c:idx val="3"/>
              <c:tx>
                <c:rich>
                  <a:bodyPr/>
                  <a:lstStyle/>
                  <a:p>
                    <a:endParaRPr lang="en-NZ"/>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F61D-4080-A9BF-F8CF71E4AD08}"/>
                </c:ext>
              </c:extLst>
            </c:dLbl>
            <c:dLbl>
              <c:idx val="4"/>
              <c:layout>
                <c:manualLayout>
                  <c:x val="-7.2840954714167488E-2"/>
                  <c:y val="3.7037037037037035E-2"/>
                </c:manualLayout>
              </c:layout>
              <c:tx>
                <c:rich>
                  <a:bodyPr/>
                  <a:lstStyle/>
                  <a:p>
                    <a:fld id="{8A41AFC4-EA25-46B9-A773-D7379ADC14CE}" type="CELLRANGE">
                      <a:rPr lang="en-US"/>
                      <a:pPr/>
                      <a:t>[CELLRANGE]</a:t>
                    </a:fld>
                    <a:endParaRPr lang="en-NZ"/>
                  </a:p>
                </c:rich>
              </c:tx>
              <c:showLegendKey val="0"/>
              <c:showVal val="0"/>
              <c:showCatName val="0"/>
              <c:showSerName val="0"/>
              <c:showPercent val="0"/>
              <c:showBubbleSize val="0"/>
              <c:extLst>
                <c:ext xmlns:c15="http://schemas.microsoft.com/office/drawing/2012/chart" uri="{CE6537A1-D6FC-4f65-9D91-7224C49458BB}">
                  <c15:layout>
                    <c:manualLayout>
                      <c:w val="0.32555654788728927"/>
                      <c:h val="0.11560185185185186"/>
                    </c:manualLayout>
                  </c15:layout>
                  <c15:dlblFieldTable/>
                  <c15:showDataLabelsRange val="1"/>
                </c:ext>
                <c:ext xmlns:c16="http://schemas.microsoft.com/office/drawing/2014/chart" uri="{C3380CC4-5D6E-409C-BE32-E72D297353CC}">
                  <c16:uniqueId val="{0000000A-F61D-4080-A9BF-F8CF71E4AD08}"/>
                </c:ext>
              </c:extLst>
            </c:dLbl>
            <c:dLbl>
              <c:idx val="5"/>
              <c:layout>
                <c:manualLayout>
                  <c:x val="-1.4568322039869887E-2"/>
                  <c:y val="9.7222222222222182E-2"/>
                </c:manualLayout>
              </c:layout>
              <c:tx>
                <c:rich>
                  <a:bodyPr/>
                  <a:lstStyle/>
                  <a:p>
                    <a:fld id="{F8B5FABC-9215-42B5-B048-FEFA208BD3B6}" type="CELLRANGE">
                      <a:rPr lang="en-US"/>
                      <a:pPr/>
                      <a:t>[CELLRANGE]</a:t>
                    </a:fld>
                    <a:endParaRPr lang="en-NZ"/>
                  </a:p>
                </c:rich>
              </c:tx>
              <c:showLegendKey val="0"/>
              <c:showVal val="0"/>
              <c:showCatName val="0"/>
              <c:showSerName val="0"/>
              <c:showPercent val="0"/>
              <c:showBubbleSize val="0"/>
              <c:extLst>
                <c:ext xmlns:c15="http://schemas.microsoft.com/office/drawing/2012/chart" uri="{CE6537A1-D6FC-4f65-9D91-7224C49458BB}">
                  <c15:layout>
                    <c:manualLayout>
                      <c:w val="0.27378829467336352"/>
                      <c:h val="0.11560185185185186"/>
                    </c:manualLayout>
                  </c15:layout>
                  <c15:dlblFieldTable/>
                  <c15:showDataLabelsRange val="1"/>
                </c:ext>
                <c:ext xmlns:c16="http://schemas.microsoft.com/office/drawing/2014/chart" uri="{C3380CC4-5D6E-409C-BE32-E72D297353CC}">
                  <c16:uniqueId val="{0000000B-F61D-4080-A9BF-F8CF71E4AD08}"/>
                </c:ext>
              </c:extLst>
            </c:dLbl>
            <c:dLbl>
              <c:idx val="6"/>
              <c:layout>
                <c:manualLayout>
                  <c:x val="0"/>
                  <c:y val="2.3148148148148105E-2"/>
                </c:manualLayout>
              </c:layout>
              <c:tx>
                <c:rich>
                  <a:bodyPr/>
                  <a:lstStyle/>
                  <a:p>
                    <a:fld id="{06214710-4CFE-4033-87A9-C81EB740E213}" type="CELLRANGE">
                      <a:rPr lang="en-US"/>
                      <a:pPr/>
                      <a:t>[CELLRANGE]</a:t>
                    </a:fld>
                    <a:endParaRPr lang="en-NZ"/>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61D-4080-A9BF-F8CF71E4AD08}"/>
                </c:ext>
              </c:extLst>
            </c:dLbl>
            <c:dLbl>
              <c:idx val="7"/>
              <c:layout>
                <c:manualLayout>
                  <c:x val="-2.0811818397830344E-2"/>
                  <c:y val="-4.6296296296296301E-2"/>
                </c:manualLayout>
              </c:layout>
              <c:tx>
                <c:rich>
                  <a:bodyPr/>
                  <a:lstStyle/>
                  <a:p>
                    <a:fld id="{4F05F4AC-D764-40EC-822A-33201D1FC493}" type="CELLRANGE">
                      <a:rPr lang="en-US"/>
                      <a:pPr/>
                      <a:t>[CELLRANGE]</a:t>
                    </a:fld>
                    <a:endParaRPr lang="en-NZ"/>
                  </a:p>
                </c:rich>
              </c:tx>
              <c:showLegendKey val="0"/>
              <c:showVal val="0"/>
              <c:showCatName val="0"/>
              <c:showSerName val="0"/>
              <c:showPercent val="0"/>
              <c:showBubbleSize val="0"/>
              <c:extLst>
                <c:ext xmlns:c15="http://schemas.microsoft.com/office/drawing/2012/chart" uri="{CE6537A1-D6FC-4f65-9D91-7224C49458BB}">
                  <c15:layout>
                    <c:manualLayout>
                      <c:w val="0.32287200832466179"/>
                      <c:h val="0.11560185185185186"/>
                    </c:manualLayout>
                  </c15:layout>
                  <c15:dlblFieldTable/>
                  <c15:showDataLabelsRange val="1"/>
                </c:ext>
                <c:ext xmlns:c16="http://schemas.microsoft.com/office/drawing/2014/chart" uri="{C3380CC4-5D6E-409C-BE32-E72D297353CC}">
                  <c16:uniqueId val="{0000000D-F61D-4080-A9BF-F8CF71E4AD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dispRSqr val="0"/>
            <c:dispEq val="0"/>
          </c:trendline>
          <c:trendline>
            <c:spPr>
              <a:ln w="19050" cap="rnd">
                <a:solidFill>
                  <a:schemeClr val="tx1"/>
                </a:solidFill>
                <a:prstDash val="sysDot"/>
              </a:ln>
              <a:effectLst/>
            </c:spPr>
            <c:trendlineType val="linear"/>
            <c:dispRSqr val="1"/>
            <c:dispEq val="1"/>
            <c:trendlineLbl>
              <c:layout>
                <c:manualLayout>
                  <c:x val="-0.12001044923654459"/>
                  <c:y val="0.381858662175898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'Machine harvest'!$AA$19:$AA$26</c:f>
              <c:numCache>
                <c:formatCode>General</c:formatCode>
                <c:ptCount val="8"/>
              </c:numCache>
            </c:numRef>
          </c:xVal>
          <c:yVal>
            <c:numRef>
              <c:f>'Machine harvest'!$AG$19:$AG$26</c:f>
              <c:numCache>
                <c:formatCode>0.00</c:formatCode>
                <c:ptCount val="8"/>
              </c:numCache>
            </c:numRef>
          </c:yVal>
          <c:smooth val="0"/>
          <c:extLst>
            <c:ext xmlns:c15="http://schemas.microsoft.com/office/drawing/2012/chart" uri="{02D57815-91ED-43cb-92C2-25804820EDAC}">
              <c15:datalabelsRange>
                <c15:f>'Machine harvest'!$AB$19:$AB$26</c15:f>
                <c15:dlblRangeCache>
                  <c:ptCount val="8"/>
                </c15:dlblRangeCache>
              </c15:datalabelsRange>
            </c:ext>
            <c:ext xmlns:c16="http://schemas.microsoft.com/office/drawing/2014/chart" uri="{C3380CC4-5D6E-409C-BE32-E72D297353CC}">
              <c16:uniqueId val="{00000005-F61D-4080-A9BF-F8CF71E4AD08}"/>
            </c:ext>
          </c:extLst>
        </c:ser>
        <c:dLbls>
          <c:showLegendKey val="0"/>
          <c:showVal val="0"/>
          <c:showCatName val="0"/>
          <c:showSerName val="0"/>
          <c:showPercent val="0"/>
          <c:showBubbleSize val="0"/>
        </c:dLbls>
        <c:axId val="1145367343"/>
        <c:axId val="1145349583"/>
      </c:scatterChart>
      <c:valAx>
        <c:axId val="1145367343"/>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a:solidFill>
                      <a:sysClr val="windowText" lastClr="000000"/>
                    </a:solidFill>
                  </a:rPr>
                  <a:t>Year of release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49583"/>
        <c:crosses val="autoZero"/>
        <c:crossBetween val="midCat"/>
      </c:valAx>
      <c:valAx>
        <c:axId val="1145349583"/>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AU" baseline="0">
                    <a:solidFill>
                      <a:sysClr val="windowText" lastClr="000000"/>
                    </a:solidFill>
                  </a:rPr>
                  <a:t>Machine harvest yield (t/ha)</a:t>
                </a:r>
                <a:endParaRPr lang="en-AU">
                  <a:solidFill>
                    <a:sysClr val="windowText" lastClr="000000"/>
                  </a:solidFill>
                </a:endParaRPr>
              </a:p>
            </c:rich>
          </c:tx>
          <c:layout>
            <c:manualLayout>
              <c:xMode val="edge"/>
              <c:yMode val="edge"/>
              <c:x val="3.6670135275754412E-2"/>
              <c:y val="0.1470523476232137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AU"/>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3673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19</xdr:col>
      <xdr:colOff>416985</xdr:colOff>
      <xdr:row>1</xdr:row>
      <xdr:rowOff>209550</xdr:rowOff>
    </xdr:from>
    <xdr:to>
      <xdr:col>25</xdr:col>
      <xdr:colOff>351532</xdr:colOff>
      <xdr:row>18</xdr:row>
      <xdr:rowOff>83344</xdr:rowOff>
    </xdr:to>
    <xdr:pic>
      <xdr:nvPicPr>
        <xdr:cNvPr id="2" name="Picture 2">
          <a:extLst>
            <a:ext uri="{FF2B5EF4-FFF2-40B4-BE49-F238E27FC236}">
              <a16:creationId xmlns:a16="http://schemas.microsoft.com/office/drawing/2014/main" id="{A1D5558B-77B0-48F4-99E3-A56B800AA12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370985" y="447675"/>
          <a:ext cx="3592147" cy="3057525"/>
        </a:xfrm>
        <a:prstGeom prst="rect">
          <a:avLst/>
        </a:prstGeom>
      </xdr:spPr>
    </xdr:pic>
    <xdr:clientData/>
  </xdr:twoCellAnchor>
  <xdr:twoCellAnchor>
    <xdr:from>
      <xdr:col>21</xdr:col>
      <xdr:colOff>104775</xdr:colOff>
      <xdr:row>14</xdr:row>
      <xdr:rowOff>142875</xdr:rowOff>
    </xdr:from>
    <xdr:to>
      <xdr:col>24</xdr:col>
      <xdr:colOff>209550</xdr:colOff>
      <xdr:row>16</xdr:row>
      <xdr:rowOff>9525</xdr:rowOff>
    </xdr:to>
    <xdr:sp macro="" textlink="">
      <xdr:nvSpPr>
        <xdr:cNvPr id="3" name="TextBox 2">
          <a:extLst>
            <a:ext uri="{FF2B5EF4-FFF2-40B4-BE49-F238E27FC236}">
              <a16:creationId xmlns:a16="http://schemas.microsoft.com/office/drawing/2014/main" id="{EA8B119A-1A16-4625-922D-AC2EE06EFE5A}"/>
            </a:ext>
          </a:extLst>
        </xdr:cNvPr>
        <xdr:cNvSpPr txBox="1"/>
      </xdr:nvSpPr>
      <xdr:spPr>
        <a:xfrm>
          <a:off x="14277975" y="2933700"/>
          <a:ext cx="19335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Winter variety design output</a:t>
          </a:r>
        </a:p>
      </xdr:txBody>
    </xdr:sp>
    <xdr:clientData/>
  </xdr:twoCellAnchor>
  <xdr:twoCellAnchor>
    <xdr:from>
      <xdr:col>20</xdr:col>
      <xdr:colOff>57150</xdr:colOff>
      <xdr:row>7</xdr:row>
      <xdr:rowOff>111125</xdr:rowOff>
    </xdr:from>
    <xdr:to>
      <xdr:col>20</xdr:col>
      <xdr:colOff>209550</xdr:colOff>
      <xdr:row>8</xdr:row>
      <xdr:rowOff>161925</xdr:rowOff>
    </xdr:to>
    <xdr:sp macro="" textlink="">
      <xdr:nvSpPr>
        <xdr:cNvPr id="4" name="TextBox 3">
          <a:extLst>
            <a:ext uri="{FF2B5EF4-FFF2-40B4-BE49-F238E27FC236}">
              <a16:creationId xmlns:a16="http://schemas.microsoft.com/office/drawing/2014/main" id="{D4C6F259-BD9B-4E6E-8FB5-BAEC1BAF04E0}"/>
            </a:ext>
          </a:extLst>
        </xdr:cNvPr>
        <xdr:cNvSpPr txBox="1"/>
      </xdr:nvSpPr>
      <xdr:spPr>
        <a:xfrm>
          <a:off x="13620750" y="1568450"/>
          <a:ext cx="152400"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3</a:t>
          </a:r>
        </a:p>
      </xdr:txBody>
    </xdr:sp>
    <xdr:clientData/>
  </xdr:twoCellAnchor>
  <xdr:twoCellAnchor>
    <xdr:from>
      <xdr:col>20</xdr:col>
      <xdr:colOff>57150</xdr:colOff>
      <xdr:row>10</xdr:row>
      <xdr:rowOff>9525</xdr:rowOff>
    </xdr:from>
    <xdr:to>
      <xdr:col>20</xdr:col>
      <xdr:colOff>209550</xdr:colOff>
      <xdr:row>11</xdr:row>
      <xdr:rowOff>53975</xdr:rowOff>
    </xdr:to>
    <xdr:sp macro="" textlink="">
      <xdr:nvSpPr>
        <xdr:cNvPr id="5" name="TextBox 4">
          <a:extLst>
            <a:ext uri="{FF2B5EF4-FFF2-40B4-BE49-F238E27FC236}">
              <a16:creationId xmlns:a16="http://schemas.microsoft.com/office/drawing/2014/main" id="{940BC466-4E60-4667-A4D2-88B82DD83E0A}"/>
            </a:ext>
          </a:extLst>
        </xdr:cNvPr>
        <xdr:cNvSpPr txBox="1"/>
      </xdr:nvSpPr>
      <xdr:spPr>
        <a:xfrm>
          <a:off x="13620750" y="2038350"/>
          <a:ext cx="152400" cy="2349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5</a:t>
          </a:r>
        </a:p>
      </xdr:txBody>
    </xdr:sp>
    <xdr:clientData/>
  </xdr:twoCellAnchor>
  <xdr:twoCellAnchor>
    <xdr:from>
      <xdr:col>20</xdr:col>
      <xdr:colOff>53975</xdr:colOff>
      <xdr:row>11</xdr:row>
      <xdr:rowOff>139700</xdr:rowOff>
    </xdr:from>
    <xdr:to>
      <xdr:col>20</xdr:col>
      <xdr:colOff>206375</xdr:colOff>
      <xdr:row>13</xdr:row>
      <xdr:rowOff>9525</xdr:rowOff>
    </xdr:to>
    <xdr:sp macro="" textlink="">
      <xdr:nvSpPr>
        <xdr:cNvPr id="6" name="TextBox 5">
          <a:extLst>
            <a:ext uri="{FF2B5EF4-FFF2-40B4-BE49-F238E27FC236}">
              <a16:creationId xmlns:a16="http://schemas.microsoft.com/office/drawing/2014/main" id="{CAC28C32-D599-46FE-8D82-D3D627F7AB8E}"/>
            </a:ext>
          </a:extLst>
        </xdr:cNvPr>
        <xdr:cNvSpPr txBox="1"/>
      </xdr:nvSpPr>
      <xdr:spPr>
        <a:xfrm>
          <a:off x="13617575" y="2359025"/>
          <a:ext cx="152400" cy="250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7</a:t>
          </a:r>
        </a:p>
      </xdr:txBody>
    </xdr:sp>
    <xdr:clientData/>
  </xdr:twoCellAnchor>
  <xdr:twoCellAnchor editAs="oneCell">
    <xdr:from>
      <xdr:col>19</xdr:col>
      <xdr:colOff>425450</xdr:colOff>
      <xdr:row>18</xdr:row>
      <xdr:rowOff>87669</xdr:rowOff>
    </xdr:from>
    <xdr:to>
      <xdr:col>25</xdr:col>
      <xdr:colOff>466724</xdr:colOff>
      <xdr:row>35</xdr:row>
      <xdr:rowOff>38098</xdr:rowOff>
    </xdr:to>
    <xdr:pic>
      <xdr:nvPicPr>
        <xdr:cNvPr id="7" name="Picture 6">
          <a:extLst>
            <a:ext uri="{FF2B5EF4-FFF2-40B4-BE49-F238E27FC236}">
              <a16:creationId xmlns:a16="http://schemas.microsoft.com/office/drawing/2014/main" id="{852F97A5-717F-43C3-8D57-0314DD367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9450" y="3640494"/>
          <a:ext cx="3698874" cy="3188929"/>
        </a:xfrm>
        <a:prstGeom prst="rect">
          <a:avLst/>
        </a:prstGeom>
      </xdr:spPr>
    </xdr:pic>
    <xdr:clientData/>
  </xdr:twoCellAnchor>
  <xdr:twoCellAnchor>
    <xdr:from>
      <xdr:col>20</xdr:col>
      <xdr:colOff>114300</xdr:colOff>
      <xdr:row>22</xdr:row>
      <xdr:rowOff>120650</xdr:rowOff>
    </xdr:from>
    <xdr:to>
      <xdr:col>20</xdr:col>
      <xdr:colOff>266700</xdr:colOff>
      <xdr:row>23</xdr:row>
      <xdr:rowOff>171450</xdr:rowOff>
    </xdr:to>
    <xdr:sp macro="" textlink="">
      <xdr:nvSpPr>
        <xdr:cNvPr id="8" name="TextBox 7">
          <a:extLst>
            <a:ext uri="{FF2B5EF4-FFF2-40B4-BE49-F238E27FC236}">
              <a16:creationId xmlns:a16="http://schemas.microsoft.com/office/drawing/2014/main" id="{D9B2C800-8879-4053-81A9-FE432BF530AF}"/>
            </a:ext>
          </a:extLst>
        </xdr:cNvPr>
        <xdr:cNvSpPr txBox="1"/>
      </xdr:nvSpPr>
      <xdr:spPr>
        <a:xfrm>
          <a:off x="13677900" y="4445000"/>
          <a:ext cx="152400" cy="2413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2</a:t>
          </a:r>
        </a:p>
      </xdr:txBody>
    </xdr:sp>
    <xdr:clientData/>
  </xdr:twoCellAnchor>
  <xdr:twoCellAnchor>
    <xdr:from>
      <xdr:col>20</xdr:col>
      <xdr:colOff>95251</xdr:colOff>
      <xdr:row>24</xdr:row>
      <xdr:rowOff>142875</xdr:rowOff>
    </xdr:from>
    <xdr:to>
      <xdr:col>20</xdr:col>
      <xdr:colOff>285751</xdr:colOff>
      <xdr:row>26</xdr:row>
      <xdr:rowOff>47625</xdr:rowOff>
    </xdr:to>
    <xdr:sp macro="" textlink="">
      <xdr:nvSpPr>
        <xdr:cNvPr id="9" name="TextBox 8">
          <a:extLst>
            <a:ext uri="{FF2B5EF4-FFF2-40B4-BE49-F238E27FC236}">
              <a16:creationId xmlns:a16="http://schemas.microsoft.com/office/drawing/2014/main" id="{5E0C33D3-C654-418A-AF59-802BCDCABCD9}"/>
            </a:ext>
          </a:extLst>
        </xdr:cNvPr>
        <xdr:cNvSpPr txBox="1"/>
      </xdr:nvSpPr>
      <xdr:spPr>
        <a:xfrm>
          <a:off x="13658851" y="4848225"/>
          <a:ext cx="190500" cy="285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4</a:t>
          </a:r>
        </a:p>
      </xdr:txBody>
    </xdr:sp>
    <xdr:clientData/>
  </xdr:twoCellAnchor>
  <xdr:twoCellAnchor>
    <xdr:from>
      <xdr:col>20</xdr:col>
      <xdr:colOff>123826</xdr:colOff>
      <xdr:row>26</xdr:row>
      <xdr:rowOff>177800</xdr:rowOff>
    </xdr:from>
    <xdr:to>
      <xdr:col>20</xdr:col>
      <xdr:colOff>276226</xdr:colOff>
      <xdr:row>28</xdr:row>
      <xdr:rowOff>44450</xdr:rowOff>
    </xdr:to>
    <xdr:sp macro="" textlink="">
      <xdr:nvSpPr>
        <xdr:cNvPr id="10" name="TextBox 9">
          <a:extLst>
            <a:ext uri="{FF2B5EF4-FFF2-40B4-BE49-F238E27FC236}">
              <a16:creationId xmlns:a16="http://schemas.microsoft.com/office/drawing/2014/main" id="{014906B4-1704-4D37-A418-953014B66E86}"/>
            </a:ext>
          </a:extLst>
        </xdr:cNvPr>
        <xdr:cNvSpPr txBox="1"/>
      </xdr:nvSpPr>
      <xdr:spPr>
        <a:xfrm>
          <a:off x="13687426" y="5264150"/>
          <a:ext cx="1524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6</a:t>
          </a:r>
        </a:p>
      </xdr:txBody>
    </xdr:sp>
    <xdr:clientData/>
  </xdr:twoCellAnchor>
  <xdr:twoCellAnchor>
    <xdr:from>
      <xdr:col>20</xdr:col>
      <xdr:colOff>120651</xdr:colOff>
      <xdr:row>29</xdr:row>
      <xdr:rowOff>0</xdr:rowOff>
    </xdr:from>
    <xdr:to>
      <xdr:col>20</xdr:col>
      <xdr:colOff>273051</xdr:colOff>
      <xdr:row>30</xdr:row>
      <xdr:rowOff>47625</xdr:rowOff>
    </xdr:to>
    <xdr:sp macro="" textlink="">
      <xdr:nvSpPr>
        <xdr:cNvPr id="11" name="TextBox 10">
          <a:extLst>
            <a:ext uri="{FF2B5EF4-FFF2-40B4-BE49-F238E27FC236}">
              <a16:creationId xmlns:a16="http://schemas.microsoft.com/office/drawing/2014/main" id="{6345CF7A-FD1A-4DA4-AD6D-F23184A2BD96}"/>
            </a:ext>
          </a:extLst>
        </xdr:cNvPr>
        <xdr:cNvSpPr txBox="1"/>
      </xdr:nvSpPr>
      <xdr:spPr>
        <a:xfrm>
          <a:off x="13684251" y="5657850"/>
          <a:ext cx="1524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b="1">
              <a:latin typeface="Microsoft Sans Serif" panose="020B0604020202020204" pitchFamily="34" charset="0"/>
              <a:ea typeface="Microsoft Sans Serif" panose="020B0604020202020204" pitchFamily="34" charset="0"/>
              <a:cs typeface="Microsoft Sans Serif" panose="020B0604020202020204" pitchFamily="34" charset="0"/>
            </a:rPr>
            <a:t>8</a:t>
          </a:r>
        </a:p>
      </xdr:txBody>
    </xdr:sp>
    <xdr:clientData/>
  </xdr:twoCellAnchor>
  <xdr:twoCellAnchor>
    <xdr:from>
      <xdr:col>21</xdr:col>
      <xdr:colOff>149225</xdr:colOff>
      <xdr:row>31</xdr:row>
      <xdr:rowOff>82550</xdr:rowOff>
    </xdr:from>
    <xdr:to>
      <xdr:col>24</xdr:col>
      <xdr:colOff>263525</xdr:colOff>
      <xdr:row>32</xdr:row>
      <xdr:rowOff>130175</xdr:rowOff>
    </xdr:to>
    <xdr:sp macro="" textlink="">
      <xdr:nvSpPr>
        <xdr:cNvPr id="12" name="TextBox 11">
          <a:extLst>
            <a:ext uri="{FF2B5EF4-FFF2-40B4-BE49-F238E27FC236}">
              <a16:creationId xmlns:a16="http://schemas.microsoft.com/office/drawing/2014/main" id="{CBA812D2-A364-40A4-AE04-9E2D73A1FB3C}"/>
            </a:ext>
          </a:extLst>
        </xdr:cNvPr>
        <xdr:cNvSpPr txBox="1"/>
      </xdr:nvSpPr>
      <xdr:spPr>
        <a:xfrm>
          <a:off x="14322425" y="6121400"/>
          <a:ext cx="1943100" cy="238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Spring variety design output</a:t>
          </a:r>
        </a:p>
      </xdr:txBody>
    </xdr:sp>
    <xdr:clientData/>
  </xdr:twoCellAnchor>
  <xdr:twoCellAnchor>
    <xdr:from>
      <xdr:col>10</xdr:col>
      <xdr:colOff>0</xdr:colOff>
      <xdr:row>1</xdr:row>
      <xdr:rowOff>142875</xdr:rowOff>
    </xdr:from>
    <xdr:to>
      <xdr:col>10</xdr:col>
      <xdr:colOff>504825</xdr:colOff>
      <xdr:row>1</xdr:row>
      <xdr:rowOff>142875</xdr:rowOff>
    </xdr:to>
    <xdr:cxnSp macro="">
      <xdr:nvCxnSpPr>
        <xdr:cNvPr id="13" name="Straight Arrow Connector 12">
          <a:extLst>
            <a:ext uri="{FF2B5EF4-FFF2-40B4-BE49-F238E27FC236}">
              <a16:creationId xmlns:a16="http://schemas.microsoft.com/office/drawing/2014/main" id="{5D5B4CF6-6FA3-4710-B8AE-C3B75A778473}"/>
            </a:ext>
          </a:extLst>
        </xdr:cNvPr>
        <xdr:cNvCxnSpPr/>
      </xdr:nvCxnSpPr>
      <xdr:spPr>
        <a:xfrm>
          <a:off x="7467600" y="381000"/>
          <a:ext cx="504825" cy="0"/>
        </a:xfrm>
        <a:prstGeom prst="straightConnector1">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36</xdr:col>
      <xdr:colOff>28575</xdr:colOff>
      <xdr:row>42</xdr:row>
      <xdr:rowOff>38100</xdr:rowOff>
    </xdr:from>
    <xdr:to>
      <xdr:col>37</xdr:col>
      <xdr:colOff>1422400</xdr:colOff>
      <xdr:row>56</xdr:row>
      <xdr:rowOff>114300</xdr:rowOff>
    </xdr:to>
    <xdr:graphicFrame macro="">
      <xdr:nvGraphicFramePr>
        <xdr:cNvPr id="5" name="Chart 4">
          <a:extLst>
            <a:ext uri="{FF2B5EF4-FFF2-40B4-BE49-F238E27FC236}">
              <a16:creationId xmlns:a16="http://schemas.microsoft.com/office/drawing/2014/main" id="{1A7FFE25-60AF-4853-B48E-43214453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Bathgate, Jordan" id="{AC867FD9-FBE7-4762-9736-DB6BB8FF41D8}" userId="S::jbathgate@csu.edu.au::97f604f2-6c3b-4ff6-bc3d-728951e8d867" providerId="AD"/>
  <person displayName="Juan Wang" id="{2B38A038-364D-4D21-828C-7BBDDEB1D735}" userId="S::juan.wang5@unimelb.edu.au::5ee9ba0d-76c4-4d0d-bbe1-a25307663a62" providerId="AD"/>
  <person displayName="Jordan Bathgate" id="{836D37B4-5D8B-4182-A978-217D5A9DE8E0}" userId="S::jordan.bathgate@dpie.nsw.gov.au::4972dab2-6011-4009-a0a4-3b368f5dba9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9" dT="2024-04-02T04:57:28.98" personId="{836D37B4-5D8B-4182-A978-217D5A9DE8E0}" id="{201BD4A9-486F-439A-9F23-3FE70DCECAE9}">
    <text>This design description is proabaly not correct but will hear from AAGI regarding the right one.</text>
  </threadedComment>
  <threadedComment ref="A10" dT="2024-04-02T05:01:26.21" personId="{836D37B4-5D8B-4182-A978-217D5A9DE8E0}" id="{41D624F5-C1CE-4C52-995F-F36594E5C364}">
    <text>We aim to coincide flower dates between treatments. Is this sufficient duration to achieve it at Wagga?</text>
  </threadedComment>
  <threadedComment ref="A10" dT="2025-05-27T05:43:55.69" personId="{AC867FD9-FBE7-4762-9736-DB6BB8FF41D8}" id="{9718F959-81BE-4511-BD5F-51129CA510FA}" parentId="{41D624F5-C1CE-4C52-995F-F36594E5C364}">
    <text>These dates are actual date sown</text>
  </threadedComment>
</ThreadedComments>
</file>

<file path=xl/threadedComments/threadedComment2.xml><?xml version="1.0" encoding="utf-8"?>
<ThreadedComments xmlns="http://schemas.microsoft.com/office/spreadsheetml/2018/threadedcomments" xmlns:x="http://schemas.openxmlformats.org/spreadsheetml/2006/main">
  <threadedComment ref="N343" dT="2025-05-01T23:24:04.91" personId="{2B38A038-364D-4D21-828C-7BBDDEB1D735}" id="{1294541E-6317-4E06-B120-AA2ADC089F28}">
    <text>Water stressed</text>
  </threadedComment>
  <threadedComment ref="N351" dT="2025-05-01T23:24:23.71" personId="{2B38A038-364D-4D21-828C-7BBDDEB1D735}" id="{BAB708E4-EA63-426C-AD0A-A2D07B0F7618}">
    <text>Water stressed</text>
  </threadedComment>
  <threadedComment ref="N555" dT="2025-05-01T23:26:00.77" personId="{2B38A038-364D-4D21-828C-7BBDDEB1D735}" id="{3BFAB854-4C49-4CE2-A7AF-0250DD983AAC}">
    <text>30% plants only leaf</text>
  </threadedComment>
  <threadedComment ref="N559" dT="2025-05-01T23:26:18.43" personId="{2B38A038-364D-4D21-828C-7BBDDEB1D735}" id="{E4ECAF00-CBC5-4B0D-925C-7DFF7ADC36DF}">
    <text>20% one leaf</text>
  </threadedComment>
  <threadedComment ref="N563" dT="2025-05-01T23:26:36.74" personId="{2B38A038-364D-4D21-828C-7BBDDEB1D735}" id="{B27189A1-92B4-4992-8D3A-0D4BD92E56BD}">
    <text>50% one leaf</text>
  </threadedComment>
  <threadedComment ref="N567" dT="2025-05-01T23:26:47.98" personId="{2B38A038-364D-4D21-828C-7BBDDEB1D735}" id="{38EC12F2-B603-48A7-8E27-1EC7858A726A}">
    <text>80% one leaf</text>
  </threadedComment>
</ThreadedComments>
</file>

<file path=xl/threadedComments/threadedComment3.xml><?xml version="1.0" encoding="utf-8"?>
<ThreadedComments xmlns="http://schemas.microsoft.com/office/spreadsheetml/2018/threadedcomments" xmlns:x="http://schemas.openxmlformats.org/spreadsheetml/2006/main">
  <threadedComment ref="M1" dT="2024-05-17T02:05:14.49" personId="{2B38A038-364D-4D21-828C-7BBDDEB1D735}" id="{39CF8549-641D-4921-8F2C-F2B35AF5554E}">
    <text>Plant No for 1 meter</text>
  </threadedComment>
</ThreadedComments>
</file>

<file path=xl/threadedComments/threadedComment4.xml><?xml version="1.0" encoding="utf-8"?>
<ThreadedComments xmlns="http://schemas.microsoft.com/office/spreadsheetml/2018/threadedcomments" xmlns:x="http://schemas.openxmlformats.org/spreadsheetml/2006/main">
  <threadedComment ref="K1" dT="2025-06-20T06:01:17.07" personId="{AC867FD9-FBE7-4762-9736-DB6BB8FF41D8}" id="{029A8878-4B25-4229-A6D7-6A148F9066EC}">
    <text>M2 of tillers</text>
  </threadedComment>
</ThreadedComments>
</file>

<file path=xl/threadedComments/threadedComment5.xml><?xml version="1.0" encoding="utf-8"?>
<ThreadedComments xmlns="http://schemas.microsoft.com/office/spreadsheetml/2018/threadedcomments" xmlns:x="http://schemas.openxmlformats.org/spreadsheetml/2006/main">
  <threadedComment ref="K1" dT="2025-07-02T01:42:03.20" personId="{AC867FD9-FBE7-4762-9736-DB6BB8FF41D8}" id="{CEF030F4-864A-486C-80B3-8E9B3ED29C3A}">
    <text>All NDVI recorded on 12th September due to shortage of labour</text>
  </threadedComment>
  <threadedComment ref="T1" dT="2025-06-26T04:22:16.79" personId="{AC867FD9-FBE7-4762-9736-DB6BB8FF41D8}" id="{2A1A59E2-405C-4E84-A306-435ACE2643F7}">
    <text>Ground level</text>
  </threadedComment>
  <threadedComment ref="AV1" dT="2025-06-26T04:49:44.21" personId="{AC867FD9-FBE7-4762-9736-DB6BB8FF41D8}" id="{52FE5890-428C-417D-954E-6D8CEA33C85A}">
    <text xml:space="preserve">Was 20 culms at wagga </text>
  </threadedComment>
</ThreadedComments>
</file>

<file path=xl/threadedComments/threadedComment6.xml><?xml version="1.0" encoding="utf-8"?>
<ThreadedComments xmlns="http://schemas.microsoft.com/office/spreadsheetml/2018/threadedcomments" xmlns:x="http://schemas.openxmlformats.org/spreadsheetml/2006/main">
  <threadedComment ref="M1" dT="2025-07-02T01:46:04.70" personId="{AC867FD9-FBE7-4762-9736-DB6BB8FF41D8}" id="{7D80235B-B4E6-4A0C-84D9-33A22E5E583A}">
    <text xml:space="preserve">All NDVI recorded at 6 October due to labour shortage </text>
  </threadedComment>
</ThreadedComments>
</file>

<file path=xl/threadedComments/threadedComment7.xml><?xml version="1.0" encoding="utf-8"?>
<ThreadedComments xmlns="http://schemas.microsoft.com/office/spreadsheetml/2018/threadedcomments" xmlns:x="http://schemas.openxmlformats.org/spreadsheetml/2006/main">
  <threadedComment ref="X1" dT="2025-04-01T22:53:26.92" personId="{2B38A038-364D-4D21-828C-7BBDDEB1D735}" id="{5942E60D-11CC-452E-8B7E-E989CA1EE27A}">
    <text>Number of spikelets that the first florets do not contain a grain</text>
  </threadedComment>
</ThreadedComments>
</file>

<file path=xl/threadedComments/threadedComment8.xml><?xml version="1.0" encoding="utf-8"?>
<ThreadedComments xmlns="http://schemas.microsoft.com/office/spreadsheetml/2018/threadedcomments" xmlns:x="http://schemas.openxmlformats.org/spreadsheetml/2006/main">
  <threadedComment ref="Q1" dT="2025-07-01T06:10:08.15" personId="{AC867FD9-FBE7-4762-9736-DB6BB8FF41D8}" id="{E8F1EEB7-178A-46BD-90A7-6A4CBC75EC16}">
    <text>Check these yellow ones</text>
  </threadedComment>
</ThreadedComment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 Id="rId4" Type="http://schemas.microsoft.com/office/2017/10/relationships/threadedComment" Target="../threadedComments/threadedComment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4.bin"/><Relationship Id="rId4" Type="http://schemas.microsoft.com/office/2017/10/relationships/threadedComment" Target="../threadedComments/threadedComment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5.bin"/><Relationship Id="rId4" Type="http://schemas.microsoft.com/office/2017/10/relationships/threadedComment" Target="../threadedComments/threadedComment7.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6.bin"/><Relationship Id="rId4" Type="http://schemas.microsoft.com/office/2017/10/relationships/threadedComment" Target="../threadedComments/threadedComment8.xml"/></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xml"/><Relationship Id="rId1" Type="http://schemas.openxmlformats.org/officeDocument/2006/relationships/printerSettings" Target="../printerSettings/printerSettings17.bin"/><Relationship Id="rId4" Type="http://schemas.openxmlformats.org/officeDocument/2006/relationships/comments" Target="../comments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2B1D2-0403-4737-969B-9F1BDBED32E5}">
  <sheetPr>
    <tabColor theme="9" tint="0.79998168889431442"/>
  </sheetPr>
  <dimension ref="A1:L129"/>
  <sheetViews>
    <sheetView workbookViewId="0">
      <selection activeCell="G13" sqref="G13"/>
    </sheetView>
  </sheetViews>
  <sheetFormatPr defaultRowHeight="14.5" x14ac:dyDescent="0.35"/>
  <cols>
    <col min="5" max="5" width="8.453125" customWidth="1"/>
    <col min="7" max="7" width="9.1796875" style="5"/>
    <col min="10" max="10" width="19.54296875" customWidth="1"/>
  </cols>
  <sheetData>
    <row r="1" spans="1:12" s="3" customFormat="1" ht="43.5" x14ac:dyDescent="0.35">
      <c r="A1" s="3" t="s">
        <v>44</v>
      </c>
      <c r="B1" s="3" t="s">
        <v>45</v>
      </c>
      <c r="C1" s="4" t="s">
        <v>46</v>
      </c>
      <c r="D1" s="3" t="s">
        <v>49</v>
      </c>
      <c r="E1" s="4" t="s">
        <v>50</v>
      </c>
      <c r="F1" s="4" t="s">
        <v>51</v>
      </c>
      <c r="G1" s="4" t="s">
        <v>53</v>
      </c>
      <c r="H1" s="4" t="s">
        <v>52</v>
      </c>
      <c r="I1" s="4" t="s">
        <v>54</v>
      </c>
      <c r="J1" s="3" t="s">
        <v>47</v>
      </c>
      <c r="K1" s="4" t="s">
        <v>48</v>
      </c>
    </row>
    <row r="2" spans="1:12" x14ac:dyDescent="0.35">
      <c r="A2" t="s">
        <v>24</v>
      </c>
      <c r="B2">
        <v>1</v>
      </c>
      <c r="D2">
        <v>1</v>
      </c>
      <c r="E2">
        <v>1</v>
      </c>
      <c r="F2">
        <v>1</v>
      </c>
      <c r="G2"/>
      <c r="I2" s="6">
        <v>1</v>
      </c>
      <c r="J2" t="s">
        <v>27</v>
      </c>
      <c r="K2">
        <v>1985</v>
      </c>
      <c r="L2" s="5"/>
    </row>
    <row r="3" spans="1:12" x14ac:dyDescent="0.35">
      <c r="A3" t="s">
        <v>24</v>
      </c>
      <c r="B3">
        <v>1</v>
      </c>
      <c r="D3">
        <v>1</v>
      </c>
      <c r="E3">
        <v>2</v>
      </c>
      <c r="F3">
        <v>1</v>
      </c>
      <c r="G3"/>
      <c r="I3" s="6">
        <v>2</v>
      </c>
      <c r="J3" t="s">
        <v>26</v>
      </c>
      <c r="K3">
        <v>1983</v>
      </c>
      <c r="L3" s="5"/>
    </row>
    <row r="4" spans="1:12" x14ac:dyDescent="0.35">
      <c r="A4" t="s">
        <v>24</v>
      </c>
      <c r="B4">
        <v>1</v>
      </c>
      <c r="D4">
        <v>1</v>
      </c>
      <c r="E4">
        <v>3</v>
      </c>
      <c r="F4">
        <v>1</v>
      </c>
      <c r="G4"/>
      <c r="I4" s="6">
        <v>3</v>
      </c>
      <c r="J4" t="s">
        <v>335</v>
      </c>
      <c r="K4">
        <v>2023</v>
      </c>
      <c r="L4" s="5"/>
    </row>
    <row r="5" spans="1:12" x14ac:dyDescent="0.35">
      <c r="A5" t="s">
        <v>24</v>
      </c>
      <c r="B5">
        <v>1</v>
      </c>
      <c r="D5">
        <v>1</v>
      </c>
      <c r="E5">
        <v>4</v>
      </c>
      <c r="F5">
        <v>1</v>
      </c>
      <c r="G5"/>
      <c r="I5" s="6">
        <v>4</v>
      </c>
      <c r="J5" t="s">
        <v>29</v>
      </c>
      <c r="K5">
        <v>1999</v>
      </c>
      <c r="L5" s="5"/>
    </row>
    <row r="6" spans="1:12" x14ac:dyDescent="0.35">
      <c r="A6" t="s">
        <v>24</v>
      </c>
      <c r="B6">
        <v>1</v>
      </c>
      <c r="D6">
        <v>1</v>
      </c>
      <c r="E6">
        <v>5</v>
      </c>
      <c r="F6">
        <v>1</v>
      </c>
      <c r="G6"/>
      <c r="I6" s="6">
        <v>5</v>
      </c>
      <c r="J6" t="s">
        <v>336</v>
      </c>
      <c r="K6">
        <v>2002</v>
      </c>
      <c r="L6" s="5"/>
    </row>
    <row r="7" spans="1:12" x14ac:dyDescent="0.35">
      <c r="A7" t="s">
        <v>24</v>
      </c>
      <c r="B7">
        <v>1</v>
      </c>
      <c r="D7">
        <v>1</v>
      </c>
      <c r="E7">
        <v>6</v>
      </c>
      <c r="F7">
        <v>1</v>
      </c>
      <c r="G7"/>
      <c r="I7" s="6">
        <v>6</v>
      </c>
      <c r="J7" t="s">
        <v>32</v>
      </c>
      <c r="K7">
        <v>2018</v>
      </c>
      <c r="L7" s="5"/>
    </row>
    <row r="8" spans="1:12" x14ac:dyDescent="0.35">
      <c r="A8" t="s">
        <v>24</v>
      </c>
      <c r="B8">
        <v>1</v>
      </c>
      <c r="D8">
        <v>1</v>
      </c>
      <c r="E8">
        <v>7</v>
      </c>
      <c r="F8">
        <v>1</v>
      </c>
      <c r="G8"/>
      <c r="I8" s="6">
        <v>7</v>
      </c>
      <c r="J8" t="s">
        <v>28</v>
      </c>
      <c r="K8">
        <v>1998</v>
      </c>
      <c r="L8" s="5"/>
    </row>
    <row r="9" spans="1:12" x14ac:dyDescent="0.35">
      <c r="A9" t="s">
        <v>24</v>
      </c>
      <c r="B9">
        <v>1</v>
      </c>
      <c r="D9">
        <v>1</v>
      </c>
      <c r="E9">
        <v>8</v>
      </c>
      <c r="F9">
        <v>1</v>
      </c>
      <c r="G9"/>
      <c r="I9" s="6">
        <v>8</v>
      </c>
      <c r="J9" t="s">
        <v>337</v>
      </c>
      <c r="K9">
        <v>2016</v>
      </c>
      <c r="L9" s="5"/>
    </row>
    <row r="10" spans="1:12" x14ac:dyDescent="0.35">
      <c r="A10" t="s">
        <v>34</v>
      </c>
      <c r="B10">
        <v>2</v>
      </c>
      <c r="D10">
        <v>1</v>
      </c>
      <c r="E10">
        <v>1</v>
      </c>
      <c r="F10">
        <v>2</v>
      </c>
      <c r="G10"/>
      <c r="I10" s="6">
        <v>9</v>
      </c>
      <c r="J10" t="s">
        <v>42</v>
      </c>
      <c r="K10">
        <v>2016</v>
      </c>
      <c r="L10" s="5"/>
    </row>
    <row r="11" spans="1:12" x14ac:dyDescent="0.35">
      <c r="A11" t="s">
        <v>34</v>
      </c>
      <c r="B11">
        <v>2</v>
      </c>
      <c r="D11">
        <v>1</v>
      </c>
      <c r="E11">
        <v>2</v>
      </c>
      <c r="F11">
        <v>2</v>
      </c>
      <c r="G11"/>
      <c r="I11" s="6">
        <v>10</v>
      </c>
      <c r="J11" t="s">
        <v>38</v>
      </c>
      <c r="K11">
        <v>1999</v>
      </c>
      <c r="L11" s="5"/>
    </row>
    <row r="12" spans="1:12" x14ac:dyDescent="0.35">
      <c r="A12" t="s">
        <v>34</v>
      </c>
      <c r="B12">
        <v>2</v>
      </c>
      <c r="D12">
        <v>1</v>
      </c>
      <c r="E12">
        <v>3</v>
      </c>
      <c r="F12">
        <v>2</v>
      </c>
      <c r="G12"/>
      <c r="I12" s="6">
        <v>11</v>
      </c>
      <c r="J12" t="s">
        <v>43</v>
      </c>
      <c r="K12">
        <v>2020</v>
      </c>
      <c r="L12" s="5"/>
    </row>
    <row r="13" spans="1:12" x14ac:dyDescent="0.35">
      <c r="A13" t="s">
        <v>34</v>
      </c>
      <c r="B13">
        <v>2</v>
      </c>
      <c r="D13">
        <v>1</v>
      </c>
      <c r="E13">
        <v>4</v>
      </c>
      <c r="F13">
        <v>2</v>
      </c>
      <c r="G13"/>
      <c r="I13" s="6">
        <v>12</v>
      </c>
      <c r="J13" t="s">
        <v>41</v>
      </c>
      <c r="K13">
        <v>2008</v>
      </c>
      <c r="L13" s="5"/>
    </row>
    <row r="14" spans="1:12" x14ac:dyDescent="0.35">
      <c r="A14" t="s">
        <v>34</v>
      </c>
      <c r="B14">
        <v>2</v>
      </c>
      <c r="D14">
        <v>1</v>
      </c>
      <c r="E14">
        <v>5</v>
      </c>
      <c r="F14">
        <v>2</v>
      </c>
      <c r="G14"/>
      <c r="I14" s="6">
        <v>13</v>
      </c>
      <c r="J14" t="s">
        <v>37</v>
      </c>
      <c r="K14">
        <v>1989</v>
      </c>
      <c r="L14" s="5"/>
    </row>
    <row r="15" spans="1:12" x14ac:dyDescent="0.35">
      <c r="A15" t="s">
        <v>34</v>
      </c>
      <c r="B15">
        <v>2</v>
      </c>
      <c r="D15">
        <v>1</v>
      </c>
      <c r="E15">
        <v>6</v>
      </c>
      <c r="F15">
        <v>2</v>
      </c>
      <c r="G15"/>
      <c r="I15" s="6">
        <v>14</v>
      </c>
      <c r="J15" t="s">
        <v>343</v>
      </c>
      <c r="K15">
        <v>2004</v>
      </c>
      <c r="L15" s="5"/>
    </row>
    <row r="16" spans="1:12" x14ac:dyDescent="0.35">
      <c r="A16" t="s">
        <v>34</v>
      </c>
      <c r="B16">
        <v>2</v>
      </c>
      <c r="D16">
        <v>1</v>
      </c>
      <c r="E16">
        <v>7</v>
      </c>
      <c r="F16">
        <v>2</v>
      </c>
      <c r="G16"/>
      <c r="I16" s="6">
        <v>15</v>
      </c>
      <c r="J16" t="s">
        <v>36</v>
      </c>
      <c r="K16">
        <v>1984</v>
      </c>
      <c r="L16" s="5"/>
    </row>
    <row r="17" spans="1:12" x14ac:dyDescent="0.35">
      <c r="A17" t="s">
        <v>34</v>
      </c>
      <c r="B17">
        <v>2</v>
      </c>
      <c r="D17">
        <v>1</v>
      </c>
      <c r="E17">
        <v>8</v>
      </c>
      <c r="F17">
        <v>2</v>
      </c>
      <c r="G17"/>
      <c r="I17" s="6">
        <v>16</v>
      </c>
      <c r="J17" t="s">
        <v>39</v>
      </c>
      <c r="K17">
        <v>2001</v>
      </c>
      <c r="L17" s="5"/>
    </row>
    <row r="18" spans="1:12" x14ac:dyDescent="0.35">
      <c r="A18" t="s">
        <v>24</v>
      </c>
      <c r="B18">
        <v>1</v>
      </c>
      <c r="D18">
        <v>2</v>
      </c>
      <c r="E18">
        <v>1</v>
      </c>
      <c r="F18">
        <v>3</v>
      </c>
      <c r="G18"/>
      <c r="I18" s="6">
        <v>17</v>
      </c>
      <c r="J18" t="s">
        <v>335</v>
      </c>
      <c r="K18">
        <v>2023</v>
      </c>
    </row>
    <row r="19" spans="1:12" x14ac:dyDescent="0.35">
      <c r="A19" t="s">
        <v>24</v>
      </c>
      <c r="B19">
        <v>1</v>
      </c>
      <c r="D19">
        <v>2</v>
      </c>
      <c r="E19">
        <v>2</v>
      </c>
      <c r="F19">
        <v>3</v>
      </c>
      <c r="G19"/>
      <c r="I19" s="6">
        <v>18</v>
      </c>
      <c r="J19" t="s">
        <v>28</v>
      </c>
      <c r="K19">
        <v>1998</v>
      </c>
    </row>
    <row r="20" spans="1:12" x14ac:dyDescent="0.35">
      <c r="A20" t="s">
        <v>24</v>
      </c>
      <c r="B20">
        <v>1</v>
      </c>
      <c r="D20">
        <v>2</v>
      </c>
      <c r="E20">
        <v>3</v>
      </c>
      <c r="F20">
        <v>3</v>
      </c>
      <c r="G20"/>
      <c r="I20" s="6">
        <v>19</v>
      </c>
      <c r="J20" t="s">
        <v>26</v>
      </c>
      <c r="K20">
        <v>1983</v>
      </c>
    </row>
    <row r="21" spans="1:12" x14ac:dyDescent="0.35">
      <c r="A21" t="s">
        <v>24</v>
      </c>
      <c r="B21">
        <v>1</v>
      </c>
      <c r="D21">
        <v>2</v>
      </c>
      <c r="E21">
        <v>4</v>
      </c>
      <c r="F21">
        <v>3</v>
      </c>
      <c r="G21"/>
      <c r="I21" s="6">
        <v>20</v>
      </c>
      <c r="J21" t="s">
        <v>336</v>
      </c>
      <c r="K21">
        <v>2002</v>
      </c>
    </row>
    <row r="22" spans="1:12" x14ac:dyDescent="0.35">
      <c r="A22" t="s">
        <v>24</v>
      </c>
      <c r="B22">
        <v>1</v>
      </c>
      <c r="D22">
        <v>2</v>
      </c>
      <c r="E22">
        <v>5</v>
      </c>
      <c r="F22">
        <v>3</v>
      </c>
      <c r="G22"/>
      <c r="I22" s="6">
        <v>21</v>
      </c>
      <c r="J22" t="s">
        <v>29</v>
      </c>
      <c r="K22">
        <v>1999</v>
      </c>
    </row>
    <row r="23" spans="1:12" x14ac:dyDescent="0.35">
      <c r="A23" t="s">
        <v>24</v>
      </c>
      <c r="B23">
        <v>1</v>
      </c>
      <c r="D23">
        <v>2</v>
      </c>
      <c r="E23">
        <v>6</v>
      </c>
      <c r="F23">
        <v>3</v>
      </c>
      <c r="G23"/>
      <c r="I23" s="6">
        <v>22</v>
      </c>
      <c r="J23" t="s">
        <v>337</v>
      </c>
      <c r="K23">
        <v>2016</v>
      </c>
    </row>
    <row r="24" spans="1:12" x14ac:dyDescent="0.35">
      <c r="A24" t="s">
        <v>24</v>
      </c>
      <c r="B24">
        <v>1</v>
      </c>
      <c r="D24">
        <v>2</v>
      </c>
      <c r="E24">
        <v>7</v>
      </c>
      <c r="F24">
        <v>3</v>
      </c>
      <c r="G24"/>
      <c r="I24" s="6">
        <v>23</v>
      </c>
      <c r="J24" t="s">
        <v>32</v>
      </c>
      <c r="K24">
        <v>2018</v>
      </c>
    </row>
    <row r="25" spans="1:12" x14ac:dyDescent="0.35">
      <c r="A25" t="s">
        <v>24</v>
      </c>
      <c r="B25">
        <v>1</v>
      </c>
      <c r="D25">
        <v>2</v>
      </c>
      <c r="E25">
        <v>8</v>
      </c>
      <c r="F25">
        <v>3</v>
      </c>
      <c r="G25"/>
      <c r="I25" s="6">
        <v>24</v>
      </c>
      <c r="J25" t="s">
        <v>27</v>
      </c>
      <c r="K25">
        <v>1985</v>
      </c>
    </row>
    <row r="26" spans="1:12" x14ac:dyDescent="0.35">
      <c r="A26" t="s">
        <v>34</v>
      </c>
      <c r="B26">
        <v>2</v>
      </c>
      <c r="D26">
        <v>2</v>
      </c>
      <c r="E26">
        <v>1</v>
      </c>
      <c r="F26">
        <v>4</v>
      </c>
      <c r="G26"/>
      <c r="I26" s="6">
        <v>25</v>
      </c>
      <c r="J26" t="s">
        <v>343</v>
      </c>
      <c r="K26">
        <v>2004</v>
      </c>
    </row>
    <row r="27" spans="1:12" x14ac:dyDescent="0.35">
      <c r="A27" t="s">
        <v>34</v>
      </c>
      <c r="B27">
        <v>2</v>
      </c>
      <c r="D27">
        <v>2</v>
      </c>
      <c r="E27">
        <v>2</v>
      </c>
      <c r="F27">
        <v>4</v>
      </c>
      <c r="G27"/>
      <c r="I27" s="6">
        <v>26</v>
      </c>
      <c r="J27" t="s">
        <v>43</v>
      </c>
      <c r="K27">
        <v>2020</v>
      </c>
    </row>
    <row r="28" spans="1:12" x14ac:dyDescent="0.35">
      <c r="A28" t="s">
        <v>34</v>
      </c>
      <c r="B28">
        <v>2</v>
      </c>
      <c r="D28">
        <v>2</v>
      </c>
      <c r="E28">
        <v>3</v>
      </c>
      <c r="F28">
        <v>4</v>
      </c>
      <c r="G28"/>
      <c r="I28" s="6">
        <v>27</v>
      </c>
      <c r="J28" t="s">
        <v>38</v>
      </c>
      <c r="K28">
        <v>1999</v>
      </c>
    </row>
    <row r="29" spans="1:12" x14ac:dyDescent="0.35">
      <c r="A29" t="s">
        <v>34</v>
      </c>
      <c r="B29">
        <v>2</v>
      </c>
      <c r="D29">
        <v>2</v>
      </c>
      <c r="E29">
        <v>4</v>
      </c>
      <c r="F29">
        <v>4</v>
      </c>
      <c r="G29"/>
      <c r="I29" s="6">
        <v>28</v>
      </c>
      <c r="J29" t="s">
        <v>39</v>
      </c>
      <c r="K29">
        <v>2001</v>
      </c>
    </row>
    <row r="30" spans="1:12" x14ac:dyDescent="0.35">
      <c r="A30" t="s">
        <v>34</v>
      </c>
      <c r="B30">
        <v>2</v>
      </c>
      <c r="D30">
        <v>2</v>
      </c>
      <c r="E30">
        <v>5</v>
      </c>
      <c r="F30">
        <v>4</v>
      </c>
      <c r="G30"/>
      <c r="I30" s="6">
        <v>29</v>
      </c>
      <c r="J30" t="s">
        <v>42</v>
      </c>
      <c r="K30">
        <v>2016</v>
      </c>
    </row>
    <row r="31" spans="1:12" x14ac:dyDescent="0.35">
      <c r="A31" t="s">
        <v>34</v>
      </c>
      <c r="B31">
        <v>2</v>
      </c>
      <c r="D31">
        <v>2</v>
      </c>
      <c r="E31">
        <v>6</v>
      </c>
      <c r="F31">
        <v>4</v>
      </c>
      <c r="G31"/>
      <c r="I31" s="6">
        <v>30</v>
      </c>
      <c r="J31" t="s">
        <v>36</v>
      </c>
      <c r="K31">
        <v>1984</v>
      </c>
    </row>
    <row r="32" spans="1:12" x14ac:dyDescent="0.35">
      <c r="A32" t="s">
        <v>34</v>
      </c>
      <c r="B32">
        <v>2</v>
      </c>
      <c r="D32">
        <v>2</v>
      </c>
      <c r="E32">
        <v>7</v>
      </c>
      <c r="F32">
        <v>4</v>
      </c>
      <c r="G32"/>
      <c r="I32" s="6">
        <v>31</v>
      </c>
      <c r="J32" t="s">
        <v>41</v>
      </c>
      <c r="K32">
        <v>2008</v>
      </c>
    </row>
    <row r="33" spans="1:11" x14ac:dyDescent="0.35">
      <c r="A33" t="s">
        <v>34</v>
      </c>
      <c r="B33">
        <v>2</v>
      </c>
      <c r="D33">
        <v>2</v>
      </c>
      <c r="E33">
        <v>8</v>
      </c>
      <c r="F33">
        <v>4</v>
      </c>
      <c r="G33"/>
      <c r="I33" s="6">
        <v>32</v>
      </c>
      <c r="J33" t="s">
        <v>37</v>
      </c>
      <c r="K33">
        <v>1989</v>
      </c>
    </row>
    <row r="34" spans="1:11" x14ac:dyDescent="0.35">
      <c r="A34" t="s">
        <v>24</v>
      </c>
      <c r="B34">
        <v>1</v>
      </c>
      <c r="D34">
        <v>3</v>
      </c>
      <c r="E34">
        <v>1</v>
      </c>
      <c r="F34">
        <v>5</v>
      </c>
      <c r="G34"/>
      <c r="I34" s="6">
        <v>33</v>
      </c>
      <c r="J34" t="s">
        <v>336</v>
      </c>
      <c r="K34">
        <v>2002</v>
      </c>
    </row>
    <row r="35" spans="1:11" x14ac:dyDescent="0.35">
      <c r="A35" t="s">
        <v>24</v>
      </c>
      <c r="B35">
        <v>1</v>
      </c>
      <c r="D35">
        <v>3</v>
      </c>
      <c r="E35">
        <v>2</v>
      </c>
      <c r="F35">
        <v>5</v>
      </c>
      <c r="G35"/>
      <c r="I35" s="6">
        <v>34</v>
      </c>
      <c r="J35" t="s">
        <v>337</v>
      </c>
      <c r="K35">
        <v>2016</v>
      </c>
    </row>
    <row r="36" spans="1:11" x14ac:dyDescent="0.35">
      <c r="A36" t="s">
        <v>24</v>
      </c>
      <c r="B36">
        <v>1</v>
      </c>
      <c r="D36">
        <v>3</v>
      </c>
      <c r="E36">
        <v>3</v>
      </c>
      <c r="F36">
        <v>5</v>
      </c>
      <c r="G36"/>
      <c r="I36" s="6">
        <v>35</v>
      </c>
      <c r="J36" t="s">
        <v>32</v>
      </c>
      <c r="K36">
        <v>2018</v>
      </c>
    </row>
    <row r="37" spans="1:11" x14ac:dyDescent="0.35">
      <c r="A37" t="s">
        <v>24</v>
      </c>
      <c r="B37">
        <v>1</v>
      </c>
      <c r="D37">
        <v>3</v>
      </c>
      <c r="E37">
        <v>4</v>
      </c>
      <c r="F37">
        <v>5</v>
      </c>
      <c r="G37"/>
      <c r="I37" s="6">
        <v>36</v>
      </c>
      <c r="J37" t="s">
        <v>28</v>
      </c>
      <c r="K37">
        <v>1998</v>
      </c>
    </row>
    <row r="38" spans="1:11" x14ac:dyDescent="0.35">
      <c r="A38" t="s">
        <v>24</v>
      </c>
      <c r="B38">
        <v>1</v>
      </c>
      <c r="D38">
        <v>3</v>
      </c>
      <c r="E38">
        <v>5</v>
      </c>
      <c r="F38">
        <v>5</v>
      </c>
      <c r="G38"/>
      <c r="I38" s="6">
        <v>37</v>
      </c>
      <c r="J38" t="s">
        <v>27</v>
      </c>
      <c r="K38">
        <v>1985</v>
      </c>
    </row>
    <row r="39" spans="1:11" x14ac:dyDescent="0.35">
      <c r="A39" t="s">
        <v>24</v>
      </c>
      <c r="B39">
        <v>1</v>
      </c>
      <c r="D39">
        <v>3</v>
      </c>
      <c r="E39">
        <v>6</v>
      </c>
      <c r="F39">
        <v>5</v>
      </c>
      <c r="G39"/>
      <c r="I39" s="6">
        <v>38</v>
      </c>
      <c r="J39" t="s">
        <v>335</v>
      </c>
      <c r="K39">
        <v>2023</v>
      </c>
    </row>
    <row r="40" spans="1:11" x14ac:dyDescent="0.35">
      <c r="A40" t="s">
        <v>24</v>
      </c>
      <c r="B40">
        <v>1</v>
      </c>
      <c r="D40">
        <v>3</v>
      </c>
      <c r="E40">
        <v>7</v>
      </c>
      <c r="F40">
        <v>5</v>
      </c>
      <c r="G40"/>
      <c r="I40" s="6">
        <v>39</v>
      </c>
      <c r="J40" t="s">
        <v>29</v>
      </c>
      <c r="K40">
        <v>1999</v>
      </c>
    </row>
    <row r="41" spans="1:11" x14ac:dyDescent="0.35">
      <c r="A41" t="s">
        <v>24</v>
      </c>
      <c r="B41">
        <v>1</v>
      </c>
      <c r="D41">
        <v>3</v>
      </c>
      <c r="E41">
        <v>8</v>
      </c>
      <c r="F41">
        <v>5</v>
      </c>
      <c r="G41"/>
      <c r="I41" s="6">
        <v>40</v>
      </c>
      <c r="J41" t="s">
        <v>26</v>
      </c>
      <c r="K41">
        <v>1983</v>
      </c>
    </row>
    <row r="42" spans="1:11" x14ac:dyDescent="0.35">
      <c r="A42" t="s">
        <v>34</v>
      </c>
      <c r="B42">
        <v>2</v>
      </c>
      <c r="D42">
        <v>3</v>
      </c>
      <c r="E42">
        <v>1</v>
      </c>
      <c r="F42">
        <v>6</v>
      </c>
      <c r="G42"/>
      <c r="I42" s="6">
        <v>41</v>
      </c>
      <c r="J42" t="s">
        <v>41</v>
      </c>
      <c r="K42">
        <v>2008</v>
      </c>
    </row>
    <row r="43" spans="1:11" x14ac:dyDescent="0.35">
      <c r="A43" t="s">
        <v>34</v>
      </c>
      <c r="B43">
        <v>2</v>
      </c>
      <c r="D43">
        <v>3</v>
      </c>
      <c r="E43">
        <v>2</v>
      </c>
      <c r="F43">
        <v>6</v>
      </c>
      <c r="G43"/>
      <c r="I43" s="6">
        <v>42</v>
      </c>
      <c r="J43" t="s">
        <v>36</v>
      </c>
      <c r="K43">
        <v>1984</v>
      </c>
    </row>
    <row r="44" spans="1:11" x14ac:dyDescent="0.35">
      <c r="A44" t="s">
        <v>34</v>
      </c>
      <c r="B44">
        <v>2</v>
      </c>
      <c r="D44">
        <v>3</v>
      </c>
      <c r="E44">
        <v>3</v>
      </c>
      <c r="F44">
        <v>6</v>
      </c>
      <c r="G44"/>
      <c r="I44" s="6">
        <v>43</v>
      </c>
      <c r="J44" t="s">
        <v>37</v>
      </c>
      <c r="K44">
        <v>1989</v>
      </c>
    </row>
    <row r="45" spans="1:11" x14ac:dyDescent="0.35">
      <c r="A45" t="s">
        <v>34</v>
      </c>
      <c r="B45">
        <v>2</v>
      </c>
      <c r="D45">
        <v>3</v>
      </c>
      <c r="E45">
        <v>4</v>
      </c>
      <c r="F45">
        <v>6</v>
      </c>
      <c r="G45"/>
      <c r="I45" s="6">
        <v>44</v>
      </c>
      <c r="J45" t="s">
        <v>42</v>
      </c>
      <c r="K45">
        <v>2016</v>
      </c>
    </row>
    <row r="46" spans="1:11" x14ac:dyDescent="0.35">
      <c r="A46" t="s">
        <v>34</v>
      </c>
      <c r="B46">
        <v>2</v>
      </c>
      <c r="D46">
        <v>3</v>
      </c>
      <c r="E46">
        <v>5</v>
      </c>
      <c r="F46">
        <v>6</v>
      </c>
      <c r="G46"/>
      <c r="I46" s="6">
        <v>45</v>
      </c>
      <c r="J46" t="s">
        <v>43</v>
      </c>
      <c r="K46">
        <v>2020</v>
      </c>
    </row>
    <row r="47" spans="1:11" x14ac:dyDescent="0.35">
      <c r="A47" t="s">
        <v>34</v>
      </c>
      <c r="B47">
        <v>2</v>
      </c>
      <c r="D47">
        <v>3</v>
      </c>
      <c r="E47">
        <v>6</v>
      </c>
      <c r="F47">
        <v>6</v>
      </c>
      <c r="G47"/>
      <c r="I47" s="6">
        <v>46</v>
      </c>
      <c r="J47" t="s">
        <v>39</v>
      </c>
      <c r="K47">
        <v>2001</v>
      </c>
    </row>
    <row r="48" spans="1:11" x14ac:dyDescent="0.35">
      <c r="A48" t="s">
        <v>34</v>
      </c>
      <c r="B48">
        <v>2</v>
      </c>
      <c r="D48">
        <v>3</v>
      </c>
      <c r="E48">
        <v>7</v>
      </c>
      <c r="F48">
        <v>6</v>
      </c>
      <c r="G48"/>
      <c r="I48" s="6">
        <v>47</v>
      </c>
      <c r="J48" t="s">
        <v>38</v>
      </c>
      <c r="K48">
        <v>1999</v>
      </c>
    </row>
    <row r="49" spans="1:11" x14ac:dyDescent="0.35">
      <c r="A49" t="s">
        <v>34</v>
      </c>
      <c r="B49">
        <v>2</v>
      </c>
      <c r="D49">
        <v>3</v>
      </c>
      <c r="E49">
        <v>8</v>
      </c>
      <c r="F49">
        <v>6</v>
      </c>
      <c r="G49"/>
      <c r="I49" s="6">
        <v>48</v>
      </c>
      <c r="J49" t="s">
        <v>343</v>
      </c>
      <c r="K49">
        <v>2004</v>
      </c>
    </row>
    <row r="50" spans="1:11" x14ac:dyDescent="0.35">
      <c r="A50" t="s">
        <v>24</v>
      </c>
      <c r="B50">
        <v>1</v>
      </c>
      <c r="D50">
        <v>4</v>
      </c>
      <c r="E50">
        <v>1</v>
      </c>
      <c r="F50">
        <v>7</v>
      </c>
      <c r="G50"/>
      <c r="I50" s="6">
        <v>49</v>
      </c>
      <c r="J50" t="s">
        <v>32</v>
      </c>
      <c r="K50">
        <v>2018</v>
      </c>
    </row>
    <row r="51" spans="1:11" x14ac:dyDescent="0.35">
      <c r="A51" t="s">
        <v>24</v>
      </c>
      <c r="B51">
        <v>1</v>
      </c>
      <c r="D51">
        <v>4</v>
      </c>
      <c r="E51">
        <v>2</v>
      </c>
      <c r="F51">
        <v>7</v>
      </c>
      <c r="G51"/>
      <c r="I51" s="72">
        <v>50</v>
      </c>
      <c r="J51" t="s">
        <v>29</v>
      </c>
      <c r="K51">
        <v>1999</v>
      </c>
    </row>
    <row r="52" spans="1:11" x14ac:dyDescent="0.35">
      <c r="A52" t="s">
        <v>24</v>
      </c>
      <c r="B52">
        <v>1</v>
      </c>
      <c r="D52">
        <v>4</v>
      </c>
      <c r="E52">
        <v>3</v>
      </c>
      <c r="F52">
        <v>7</v>
      </c>
      <c r="G52"/>
      <c r="I52" s="6">
        <v>51</v>
      </c>
      <c r="J52" t="s">
        <v>337</v>
      </c>
      <c r="K52">
        <v>2016</v>
      </c>
    </row>
    <row r="53" spans="1:11" x14ac:dyDescent="0.35">
      <c r="A53" t="s">
        <v>24</v>
      </c>
      <c r="B53">
        <v>1</v>
      </c>
      <c r="D53">
        <v>4</v>
      </c>
      <c r="E53">
        <v>4</v>
      </c>
      <c r="F53">
        <v>7</v>
      </c>
      <c r="G53"/>
      <c r="I53" s="6">
        <v>52</v>
      </c>
      <c r="J53" t="s">
        <v>27</v>
      </c>
      <c r="K53">
        <v>1985</v>
      </c>
    </row>
    <row r="54" spans="1:11" x14ac:dyDescent="0.35">
      <c r="A54" t="s">
        <v>24</v>
      </c>
      <c r="B54">
        <v>1</v>
      </c>
      <c r="D54">
        <v>4</v>
      </c>
      <c r="E54">
        <v>5</v>
      </c>
      <c r="F54">
        <v>7</v>
      </c>
      <c r="G54"/>
      <c r="I54" s="6">
        <v>53</v>
      </c>
      <c r="J54" t="s">
        <v>28</v>
      </c>
      <c r="K54">
        <v>1998</v>
      </c>
    </row>
    <row r="55" spans="1:11" x14ac:dyDescent="0.35">
      <c r="A55" t="s">
        <v>24</v>
      </c>
      <c r="B55">
        <v>1</v>
      </c>
      <c r="D55">
        <v>4</v>
      </c>
      <c r="E55">
        <v>6</v>
      </c>
      <c r="F55">
        <v>7</v>
      </c>
      <c r="G55"/>
      <c r="I55" s="6">
        <v>54</v>
      </c>
      <c r="J55" t="s">
        <v>26</v>
      </c>
      <c r="K55">
        <v>1983</v>
      </c>
    </row>
    <row r="56" spans="1:11" x14ac:dyDescent="0.35">
      <c r="A56" t="s">
        <v>24</v>
      </c>
      <c r="B56">
        <v>1</v>
      </c>
      <c r="D56">
        <v>4</v>
      </c>
      <c r="E56">
        <v>7</v>
      </c>
      <c r="F56">
        <v>7</v>
      </c>
      <c r="G56"/>
      <c r="I56" s="6">
        <v>55</v>
      </c>
      <c r="J56" t="s">
        <v>335</v>
      </c>
      <c r="K56">
        <v>2023</v>
      </c>
    </row>
    <row r="57" spans="1:11" x14ac:dyDescent="0.35">
      <c r="A57" t="s">
        <v>24</v>
      </c>
      <c r="B57">
        <v>1</v>
      </c>
      <c r="D57">
        <v>4</v>
      </c>
      <c r="E57">
        <v>8</v>
      </c>
      <c r="F57">
        <v>7</v>
      </c>
      <c r="G57"/>
      <c r="I57" s="6">
        <v>56</v>
      </c>
      <c r="J57" t="s">
        <v>336</v>
      </c>
      <c r="K57">
        <v>2002</v>
      </c>
    </row>
    <row r="58" spans="1:11" x14ac:dyDescent="0.35">
      <c r="A58" t="s">
        <v>34</v>
      </c>
      <c r="B58">
        <v>2</v>
      </c>
      <c r="D58">
        <v>4</v>
      </c>
      <c r="E58">
        <v>1</v>
      </c>
      <c r="F58">
        <v>8</v>
      </c>
      <c r="G58"/>
      <c r="I58" s="6">
        <v>57</v>
      </c>
      <c r="J58" t="s">
        <v>39</v>
      </c>
      <c r="K58">
        <v>2001</v>
      </c>
    </row>
    <row r="59" spans="1:11" x14ac:dyDescent="0.35">
      <c r="A59" t="s">
        <v>34</v>
      </c>
      <c r="B59">
        <v>2</v>
      </c>
      <c r="D59">
        <v>4</v>
      </c>
      <c r="E59">
        <v>2</v>
      </c>
      <c r="F59">
        <v>8</v>
      </c>
      <c r="G59"/>
      <c r="I59" s="6">
        <v>58</v>
      </c>
      <c r="J59" t="s">
        <v>37</v>
      </c>
      <c r="K59">
        <v>1989</v>
      </c>
    </row>
    <row r="60" spans="1:11" x14ac:dyDescent="0.35">
      <c r="A60" t="s">
        <v>34</v>
      </c>
      <c r="B60">
        <v>2</v>
      </c>
      <c r="D60">
        <v>4</v>
      </c>
      <c r="E60">
        <v>3</v>
      </c>
      <c r="F60">
        <v>8</v>
      </c>
      <c r="G60"/>
      <c r="I60" s="6">
        <v>59</v>
      </c>
      <c r="J60" t="s">
        <v>36</v>
      </c>
      <c r="K60">
        <v>1984</v>
      </c>
    </row>
    <row r="61" spans="1:11" x14ac:dyDescent="0.35">
      <c r="A61" t="s">
        <v>34</v>
      </c>
      <c r="B61">
        <v>2</v>
      </c>
      <c r="D61">
        <v>4</v>
      </c>
      <c r="E61">
        <v>4</v>
      </c>
      <c r="F61">
        <v>8</v>
      </c>
      <c r="G61"/>
      <c r="I61" s="6">
        <v>60</v>
      </c>
      <c r="J61" t="s">
        <v>343</v>
      </c>
      <c r="K61">
        <v>2004</v>
      </c>
    </row>
    <row r="62" spans="1:11" x14ac:dyDescent="0.35">
      <c r="A62" t="s">
        <v>34</v>
      </c>
      <c r="B62">
        <v>2</v>
      </c>
      <c r="D62">
        <v>4</v>
      </c>
      <c r="E62">
        <v>5</v>
      </c>
      <c r="F62">
        <v>8</v>
      </c>
      <c r="G62"/>
      <c r="I62" s="6">
        <v>61</v>
      </c>
      <c r="J62" t="s">
        <v>41</v>
      </c>
      <c r="K62">
        <v>2008</v>
      </c>
    </row>
    <row r="63" spans="1:11" x14ac:dyDescent="0.35">
      <c r="A63" t="s">
        <v>34</v>
      </c>
      <c r="B63">
        <v>2</v>
      </c>
      <c r="D63">
        <v>4</v>
      </c>
      <c r="E63">
        <v>6</v>
      </c>
      <c r="F63">
        <v>8</v>
      </c>
      <c r="G63"/>
      <c r="I63" s="6">
        <v>62</v>
      </c>
      <c r="J63" t="s">
        <v>38</v>
      </c>
      <c r="K63">
        <v>1999</v>
      </c>
    </row>
    <row r="64" spans="1:11" x14ac:dyDescent="0.35">
      <c r="A64" t="s">
        <v>34</v>
      </c>
      <c r="B64">
        <v>2</v>
      </c>
      <c r="D64">
        <v>4</v>
      </c>
      <c r="E64">
        <v>7</v>
      </c>
      <c r="F64">
        <v>8</v>
      </c>
      <c r="G64"/>
      <c r="I64" s="6">
        <v>63</v>
      </c>
      <c r="J64" t="s">
        <v>42</v>
      </c>
      <c r="K64">
        <v>2016</v>
      </c>
    </row>
    <row r="65" spans="1:11" x14ac:dyDescent="0.35">
      <c r="A65" t="s">
        <v>34</v>
      </c>
      <c r="B65">
        <v>2</v>
      </c>
      <c r="D65">
        <v>4</v>
      </c>
      <c r="E65">
        <v>8</v>
      </c>
      <c r="F65">
        <v>8</v>
      </c>
      <c r="G65"/>
      <c r="I65" s="6">
        <v>64</v>
      </c>
      <c r="J65" t="s">
        <v>43</v>
      </c>
      <c r="K65">
        <v>2020</v>
      </c>
    </row>
    <row r="66" spans="1:11" x14ac:dyDescent="0.35">
      <c r="G66"/>
      <c r="I66" s="36"/>
    </row>
    <row r="67" spans="1:11" x14ac:dyDescent="0.35">
      <c r="A67" s="36"/>
      <c r="B67" s="36"/>
      <c r="C67" s="35"/>
      <c r="D67" s="35"/>
      <c r="E67" s="36"/>
      <c r="F67" s="35"/>
      <c r="I67" s="36"/>
      <c r="J67" s="36"/>
      <c r="K67" s="36"/>
    </row>
    <row r="68" spans="1:11" x14ac:dyDescent="0.35">
      <c r="A68" s="36"/>
      <c r="B68" s="36"/>
      <c r="C68" s="35"/>
      <c r="D68" s="35"/>
      <c r="E68" s="36"/>
      <c r="F68" s="35"/>
      <c r="I68" s="36"/>
      <c r="J68" s="36"/>
      <c r="K68" s="36"/>
    </row>
    <row r="69" spans="1:11" x14ac:dyDescent="0.35">
      <c r="A69" s="36"/>
      <c r="B69" s="36"/>
      <c r="C69" s="35"/>
      <c r="D69" s="35"/>
      <c r="E69" s="36"/>
      <c r="F69" s="35"/>
      <c r="I69" s="36"/>
      <c r="J69" s="36"/>
      <c r="K69" s="36"/>
    </row>
    <row r="70" spans="1:11" x14ac:dyDescent="0.35">
      <c r="A70" s="36"/>
      <c r="B70" s="36"/>
      <c r="C70" s="35"/>
      <c r="D70" s="35"/>
      <c r="E70" s="36"/>
      <c r="F70" s="35"/>
      <c r="I70" s="36"/>
      <c r="J70" s="36"/>
      <c r="K70" s="36"/>
    </row>
    <row r="71" spans="1:11" x14ac:dyDescent="0.35">
      <c r="A71" s="36"/>
      <c r="B71" s="36"/>
      <c r="C71" s="35"/>
      <c r="D71" s="35"/>
      <c r="E71" s="36"/>
      <c r="F71" s="35"/>
      <c r="I71" s="36"/>
      <c r="J71" s="36"/>
      <c r="K71" s="36"/>
    </row>
    <row r="72" spans="1:11" x14ac:dyDescent="0.35">
      <c r="A72" s="36"/>
      <c r="B72" s="36"/>
      <c r="C72" s="35"/>
      <c r="D72" s="35"/>
      <c r="E72" s="36"/>
      <c r="F72" s="35"/>
      <c r="I72" s="36"/>
      <c r="J72" s="36"/>
      <c r="K72" s="36"/>
    </row>
    <row r="73" spans="1:11" x14ac:dyDescent="0.35">
      <c r="A73" s="36"/>
      <c r="B73" s="36"/>
      <c r="C73" s="35"/>
      <c r="D73" s="35"/>
      <c r="E73" s="36"/>
      <c r="F73" s="35"/>
      <c r="I73" s="36"/>
      <c r="J73" s="36"/>
      <c r="K73" s="36"/>
    </row>
    <row r="74" spans="1:11" x14ac:dyDescent="0.35">
      <c r="A74" s="36"/>
      <c r="B74" s="36"/>
      <c r="C74" s="35"/>
      <c r="D74" s="35"/>
      <c r="E74" s="36"/>
      <c r="F74" s="35"/>
      <c r="I74" s="36"/>
      <c r="J74" s="36"/>
      <c r="K74" s="36"/>
    </row>
    <row r="75" spans="1:11" x14ac:dyDescent="0.35">
      <c r="A75" s="36"/>
      <c r="B75" s="36"/>
      <c r="C75" s="35"/>
      <c r="D75" s="35"/>
      <c r="E75" s="36"/>
      <c r="F75" s="35"/>
      <c r="I75" s="36"/>
      <c r="J75" s="36"/>
      <c r="K75" s="36"/>
    </row>
    <row r="76" spans="1:11" x14ac:dyDescent="0.35">
      <c r="A76" s="36"/>
      <c r="B76" s="36"/>
      <c r="C76" s="35"/>
      <c r="D76" s="35"/>
      <c r="E76" s="36"/>
      <c r="F76" s="35"/>
      <c r="I76" s="36"/>
      <c r="J76" s="36"/>
      <c r="K76" s="36"/>
    </row>
    <row r="77" spans="1:11" x14ac:dyDescent="0.35">
      <c r="A77" s="36"/>
      <c r="B77" s="36"/>
      <c r="C77" s="35"/>
      <c r="D77" s="35"/>
      <c r="E77" s="36"/>
      <c r="F77" s="35"/>
      <c r="I77" s="36"/>
      <c r="J77" s="36"/>
      <c r="K77" s="36"/>
    </row>
    <row r="78" spans="1:11" x14ac:dyDescent="0.35">
      <c r="A78" s="36"/>
      <c r="B78" s="36"/>
      <c r="C78" s="35"/>
      <c r="D78" s="35"/>
      <c r="E78" s="36"/>
      <c r="F78" s="35"/>
      <c r="I78" s="36"/>
      <c r="J78" s="36"/>
      <c r="K78" s="36"/>
    </row>
    <row r="79" spans="1:11" x14ac:dyDescent="0.35">
      <c r="A79" s="36"/>
      <c r="B79" s="36"/>
      <c r="C79" s="35"/>
      <c r="D79" s="35"/>
      <c r="E79" s="36"/>
      <c r="F79" s="35"/>
      <c r="I79" s="36"/>
      <c r="J79" s="36"/>
      <c r="K79" s="36"/>
    </row>
    <row r="80" spans="1:11" x14ac:dyDescent="0.35">
      <c r="A80" s="36"/>
      <c r="B80" s="36"/>
      <c r="C80" s="35"/>
      <c r="D80" s="35"/>
      <c r="E80" s="36"/>
      <c r="F80" s="35"/>
      <c r="I80" s="36"/>
      <c r="J80" s="36"/>
      <c r="K80" s="36"/>
    </row>
    <row r="81" spans="1:11" x14ac:dyDescent="0.35">
      <c r="A81" s="36"/>
      <c r="B81" s="36"/>
      <c r="C81" s="35"/>
      <c r="D81" s="35"/>
      <c r="E81" s="36"/>
      <c r="F81" s="35"/>
      <c r="I81" s="36"/>
      <c r="J81" s="36"/>
      <c r="K81" s="36"/>
    </row>
    <row r="82" spans="1:11" x14ac:dyDescent="0.35">
      <c r="A82" s="36"/>
      <c r="B82" s="36"/>
      <c r="C82" s="35"/>
      <c r="D82" s="35"/>
      <c r="E82" s="36"/>
      <c r="F82" s="35"/>
      <c r="I82" s="36"/>
      <c r="J82" s="36"/>
      <c r="K82" s="36"/>
    </row>
    <row r="83" spans="1:11" x14ac:dyDescent="0.35">
      <c r="A83" s="36"/>
      <c r="B83" s="36"/>
      <c r="C83" s="35"/>
      <c r="D83" s="35"/>
      <c r="E83" s="36"/>
      <c r="F83" s="35"/>
      <c r="I83" s="36"/>
      <c r="J83" s="36"/>
      <c r="K83" s="36"/>
    </row>
    <row r="84" spans="1:11" x14ac:dyDescent="0.35">
      <c r="A84" s="36"/>
      <c r="B84" s="36"/>
      <c r="C84" s="35"/>
      <c r="D84" s="35"/>
      <c r="E84" s="36"/>
      <c r="F84" s="35"/>
      <c r="I84" s="36"/>
      <c r="J84" s="36"/>
      <c r="K84" s="36"/>
    </row>
    <row r="85" spans="1:11" x14ac:dyDescent="0.35">
      <c r="A85" s="36"/>
      <c r="B85" s="36"/>
      <c r="C85" s="35"/>
      <c r="D85" s="35"/>
      <c r="E85" s="36"/>
      <c r="F85" s="35"/>
      <c r="I85" s="36"/>
      <c r="J85" s="36"/>
      <c r="K85" s="36"/>
    </row>
    <row r="86" spans="1:11" x14ac:dyDescent="0.35">
      <c r="A86" s="36"/>
      <c r="B86" s="36"/>
      <c r="C86" s="35"/>
      <c r="D86" s="35"/>
      <c r="E86" s="36"/>
      <c r="F86" s="35"/>
      <c r="I86" s="36"/>
      <c r="J86" s="36"/>
      <c r="K86" s="36"/>
    </row>
    <row r="87" spans="1:11" x14ac:dyDescent="0.35">
      <c r="A87" s="36"/>
      <c r="B87" s="36"/>
      <c r="C87" s="35"/>
      <c r="D87" s="35"/>
      <c r="E87" s="36"/>
      <c r="F87" s="35"/>
      <c r="I87" s="36"/>
      <c r="J87" s="36"/>
      <c r="K87" s="36"/>
    </row>
    <row r="88" spans="1:11" x14ac:dyDescent="0.35">
      <c r="A88" s="36"/>
      <c r="B88" s="36"/>
      <c r="C88" s="35"/>
      <c r="D88" s="35"/>
      <c r="E88" s="36"/>
      <c r="F88" s="35"/>
      <c r="I88" s="36"/>
      <c r="J88" s="36"/>
      <c r="K88" s="36"/>
    </row>
    <row r="89" spans="1:11" x14ac:dyDescent="0.35">
      <c r="A89" s="36"/>
      <c r="B89" s="36"/>
      <c r="C89" s="35"/>
      <c r="D89" s="35"/>
      <c r="E89" s="36"/>
      <c r="F89" s="35"/>
      <c r="I89" s="36"/>
      <c r="J89" s="36"/>
      <c r="K89" s="36"/>
    </row>
    <row r="90" spans="1:11" x14ac:dyDescent="0.35">
      <c r="A90" s="36"/>
      <c r="B90" s="36"/>
      <c r="C90" s="35"/>
      <c r="D90" s="35"/>
      <c r="E90" s="36"/>
      <c r="F90" s="35"/>
      <c r="I90" s="36"/>
      <c r="J90" s="36"/>
      <c r="K90" s="36"/>
    </row>
    <row r="91" spans="1:11" x14ac:dyDescent="0.35">
      <c r="A91" s="36"/>
      <c r="B91" s="36"/>
      <c r="C91" s="35"/>
      <c r="D91" s="35"/>
      <c r="E91" s="36"/>
      <c r="F91" s="35"/>
      <c r="I91" s="36"/>
      <c r="J91" s="36"/>
      <c r="K91" s="36"/>
    </row>
    <row r="92" spans="1:11" x14ac:dyDescent="0.35">
      <c r="A92" s="36"/>
      <c r="B92" s="36"/>
      <c r="C92" s="35"/>
      <c r="D92" s="35"/>
      <c r="E92" s="36"/>
      <c r="F92" s="35"/>
      <c r="I92" s="36"/>
      <c r="J92" s="36"/>
      <c r="K92" s="36"/>
    </row>
    <row r="93" spans="1:11" x14ac:dyDescent="0.35">
      <c r="A93" s="36"/>
      <c r="B93" s="36"/>
      <c r="C93" s="35"/>
      <c r="D93" s="35"/>
      <c r="E93" s="36"/>
      <c r="F93" s="35"/>
      <c r="I93" s="36"/>
      <c r="J93" s="36"/>
      <c r="K93" s="36"/>
    </row>
    <row r="94" spans="1:11" x14ac:dyDescent="0.35">
      <c r="A94" s="36"/>
      <c r="B94" s="36"/>
      <c r="C94" s="35"/>
      <c r="D94" s="35"/>
      <c r="E94" s="36"/>
      <c r="F94" s="35"/>
      <c r="I94" s="36"/>
      <c r="J94" s="36"/>
      <c r="K94" s="36"/>
    </row>
    <row r="95" spans="1:11" x14ac:dyDescent="0.35">
      <c r="A95" s="36"/>
      <c r="B95" s="36"/>
      <c r="C95" s="35"/>
      <c r="D95" s="35"/>
      <c r="E95" s="36"/>
      <c r="F95" s="35"/>
      <c r="I95" s="36"/>
      <c r="J95" s="36"/>
      <c r="K95" s="36"/>
    </row>
    <row r="96" spans="1:11" x14ac:dyDescent="0.35">
      <c r="A96" s="36"/>
      <c r="B96" s="36"/>
      <c r="C96" s="35"/>
      <c r="D96" s="35"/>
      <c r="E96" s="36"/>
      <c r="F96" s="35"/>
      <c r="I96" s="36"/>
      <c r="J96" s="36"/>
      <c r="K96" s="36"/>
    </row>
    <row r="97" spans="1:11" x14ac:dyDescent="0.35">
      <c r="A97" s="36"/>
      <c r="B97" s="36"/>
      <c r="C97" s="35"/>
      <c r="D97" s="35"/>
      <c r="E97" s="36"/>
      <c r="F97" s="35"/>
      <c r="I97" s="36"/>
      <c r="J97" s="36"/>
      <c r="K97" s="36"/>
    </row>
    <row r="98" spans="1:11" x14ac:dyDescent="0.35">
      <c r="A98" s="36"/>
      <c r="B98" s="36"/>
      <c r="C98" s="35"/>
      <c r="D98" s="35"/>
      <c r="E98" s="36"/>
      <c r="F98" s="35"/>
      <c r="I98" s="36"/>
      <c r="J98" s="36"/>
      <c r="K98" s="36"/>
    </row>
    <row r="99" spans="1:11" x14ac:dyDescent="0.35">
      <c r="A99" s="36"/>
      <c r="B99" s="36"/>
      <c r="C99" s="35"/>
      <c r="D99" s="35"/>
      <c r="E99" s="36"/>
      <c r="F99" s="35"/>
      <c r="I99" s="36"/>
      <c r="J99" s="36"/>
      <c r="K99" s="36"/>
    </row>
    <row r="100" spans="1:11" x14ac:dyDescent="0.35">
      <c r="A100" s="36"/>
      <c r="B100" s="36"/>
      <c r="C100" s="35"/>
      <c r="D100" s="35"/>
      <c r="E100" s="36"/>
      <c r="F100" s="35"/>
      <c r="I100" s="36"/>
      <c r="J100" s="36"/>
      <c r="K100" s="36"/>
    </row>
    <row r="101" spans="1:11" x14ac:dyDescent="0.35">
      <c r="A101" s="36"/>
      <c r="B101" s="36"/>
      <c r="C101" s="35"/>
      <c r="D101" s="35"/>
      <c r="E101" s="36"/>
      <c r="F101" s="35"/>
      <c r="I101" s="36"/>
      <c r="J101" s="36"/>
      <c r="K101" s="36"/>
    </row>
    <row r="102" spans="1:11" x14ac:dyDescent="0.35">
      <c r="A102" s="36"/>
      <c r="B102" s="36"/>
      <c r="C102" s="35"/>
      <c r="D102" s="35"/>
      <c r="E102" s="36"/>
      <c r="F102" s="35"/>
      <c r="I102" s="36"/>
      <c r="J102" s="36"/>
      <c r="K102" s="36"/>
    </row>
    <row r="103" spans="1:11" x14ac:dyDescent="0.35">
      <c r="A103" s="36"/>
      <c r="B103" s="36"/>
      <c r="C103" s="35"/>
      <c r="D103" s="35"/>
      <c r="E103" s="36"/>
      <c r="F103" s="35"/>
      <c r="I103" s="36"/>
      <c r="J103" s="36"/>
      <c r="K103" s="36"/>
    </row>
    <row r="104" spans="1:11" x14ac:dyDescent="0.35">
      <c r="A104" s="36"/>
      <c r="B104" s="36"/>
      <c r="C104" s="35"/>
      <c r="D104" s="35"/>
      <c r="E104" s="36"/>
      <c r="F104" s="35"/>
      <c r="I104" s="36"/>
      <c r="J104" s="36"/>
      <c r="K104" s="36"/>
    </row>
    <row r="105" spans="1:11" x14ac:dyDescent="0.35">
      <c r="A105" s="36"/>
      <c r="B105" s="36"/>
      <c r="C105" s="35"/>
      <c r="D105" s="35"/>
      <c r="E105" s="36"/>
      <c r="F105" s="35"/>
      <c r="I105" s="36"/>
      <c r="J105" s="36"/>
      <c r="K105" s="36"/>
    </row>
    <row r="106" spans="1:11" x14ac:dyDescent="0.35">
      <c r="A106" s="36"/>
      <c r="B106" s="36"/>
      <c r="C106" s="35"/>
      <c r="D106" s="35"/>
      <c r="E106" s="36"/>
      <c r="F106" s="35"/>
      <c r="I106" s="36"/>
      <c r="J106" s="36"/>
      <c r="K106" s="36"/>
    </row>
    <row r="107" spans="1:11" x14ac:dyDescent="0.35">
      <c r="A107" s="36"/>
      <c r="B107" s="36"/>
      <c r="C107" s="35"/>
      <c r="D107" s="35"/>
      <c r="E107" s="36"/>
      <c r="F107" s="35"/>
      <c r="I107" s="36"/>
      <c r="J107" s="36"/>
      <c r="K107" s="36"/>
    </row>
    <row r="108" spans="1:11" x14ac:dyDescent="0.35">
      <c r="A108" s="36"/>
      <c r="B108" s="36"/>
      <c r="C108" s="35"/>
      <c r="D108" s="35"/>
      <c r="E108" s="36"/>
      <c r="F108" s="35"/>
      <c r="I108" s="36"/>
      <c r="J108" s="36"/>
      <c r="K108" s="36"/>
    </row>
    <row r="109" spans="1:11" x14ac:dyDescent="0.35">
      <c r="A109" s="36"/>
      <c r="B109" s="36"/>
      <c r="C109" s="35"/>
      <c r="D109" s="35"/>
      <c r="E109" s="36"/>
      <c r="F109" s="35"/>
      <c r="I109" s="36"/>
      <c r="J109" s="36"/>
      <c r="K109" s="36"/>
    </row>
    <row r="110" spans="1:11" x14ac:dyDescent="0.35">
      <c r="A110" s="36"/>
      <c r="B110" s="36"/>
      <c r="C110" s="35"/>
      <c r="D110" s="35"/>
      <c r="E110" s="36"/>
      <c r="F110" s="35"/>
      <c r="I110" s="36"/>
      <c r="J110" s="36"/>
      <c r="K110" s="36"/>
    </row>
    <row r="111" spans="1:11" x14ac:dyDescent="0.35">
      <c r="A111" s="36"/>
      <c r="B111" s="36"/>
      <c r="C111" s="35"/>
      <c r="D111" s="35"/>
      <c r="E111" s="36"/>
      <c r="F111" s="35"/>
      <c r="I111" s="36"/>
      <c r="J111" s="36"/>
      <c r="K111" s="36"/>
    </row>
    <row r="112" spans="1:11" x14ac:dyDescent="0.35">
      <c r="A112" s="36"/>
      <c r="B112" s="36"/>
      <c r="C112" s="35"/>
      <c r="D112" s="35"/>
      <c r="E112" s="36"/>
      <c r="F112" s="35"/>
      <c r="I112" s="36"/>
      <c r="J112" s="36"/>
      <c r="K112" s="36"/>
    </row>
    <row r="113" spans="1:11" x14ac:dyDescent="0.35">
      <c r="A113" s="36"/>
      <c r="B113" s="36"/>
      <c r="C113" s="35"/>
      <c r="D113" s="35"/>
      <c r="E113" s="36"/>
      <c r="F113" s="35"/>
      <c r="I113" s="36"/>
      <c r="J113" s="36"/>
      <c r="K113" s="36"/>
    </row>
    <row r="114" spans="1:11" x14ac:dyDescent="0.35">
      <c r="A114" s="36"/>
      <c r="B114" s="36"/>
      <c r="C114" s="35"/>
      <c r="D114" s="35"/>
      <c r="E114" s="36"/>
      <c r="F114" s="35"/>
      <c r="I114" s="36"/>
      <c r="J114" s="36"/>
      <c r="K114" s="36"/>
    </row>
    <row r="115" spans="1:11" x14ac:dyDescent="0.35">
      <c r="A115" s="36"/>
      <c r="B115" s="36"/>
      <c r="C115" s="35"/>
      <c r="D115" s="35"/>
      <c r="E115" s="36"/>
      <c r="F115" s="35"/>
      <c r="I115" s="36"/>
      <c r="J115" s="36"/>
      <c r="K115" s="36"/>
    </row>
    <row r="116" spans="1:11" x14ac:dyDescent="0.35">
      <c r="A116" s="36"/>
      <c r="B116" s="36"/>
      <c r="C116" s="35"/>
      <c r="D116" s="35"/>
      <c r="E116" s="36"/>
      <c r="F116" s="35"/>
      <c r="I116" s="36"/>
      <c r="J116" s="36"/>
      <c r="K116" s="36"/>
    </row>
    <row r="117" spans="1:11" x14ac:dyDescent="0.35">
      <c r="A117" s="36"/>
      <c r="B117" s="36"/>
      <c r="C117" s="35"/>
      <c r="D117" s="35"/>
      <c r="E117" s="36"/>
      <c r="F117" s="35"/>
      <c r="I117" s="36"/>
      <c r="J117" s="36"/>
      <c r="K117" s="36"/>
    </row>
    <row r="118" spans="1:11" x14ac:dyDescent="0.35">
      <c r="A118" s="36"/>
      <c r="B118" s="36"/>
      <c r="C118" s="35"/>
      <c r="D118" s="35"/>
      <c r="E118" s="36"/>
      <c r="F118" s="35"/>
      <c r="I118" s="36"/>
      <c r="J118" s="36"/>
      <c r="K118" s="36"/>
    </row>
    <row r="119" spans="1:11" x14ac:dyDescent="0.35">
      <c r="A119" s="36"/>
      <c r="B119" s="36"/>
      <c r="C119" s="35"/>
      <c r="D119" s="35"/>
      <c r="E119" s="36"/>
      <c r="F119" s="35"/>
      <c r="I119" s="36"/>
      <c r="J119" s="36"/>
      <c r="K119" s="36"/>
    </row>
    <row r="120" spans="1:11" x14ac:dyDescent="0.35">
      <c r="A120" s="36"/>
      <c r="B120" s="36"/>
      <c r="C120" s="35"/>
      <c r="D120" s="35"/>
      <c r="E120" s="36"/>
      <c r="F120" s="35"/>
      <c r="I120" s="36"/>
      <c r="J120" s="36"/>
      <c r="K120" s="36"/>
    </row>
    <row r="121" spans="1:11" x14ac:dyDescent="0.35">
      <c r="A121" s="36"/>
      <c r="B121" s="36"/>
      <c r="C121" s="35"/>
      <c r="D121" s="35"/>
      <c r="E121" s="36"/>
      <c r="F121" s="35"/>
      <c r="I121" s="36"/>
      <c r="J121" s="36"/>
      <c r="K121" s="36"/>
    </row>
    <row r="122" spans="1:11" x14ac:dyDescent="0.35">
      <c r="A122" s="36"/>
      <c r="B122" s="36"/>
      <c r="C122" s="35"/>
      <c r="D122" s="35"/>
      <c r="E122" s="36"/>
      <c r="F122" s="35"/>
      <c r="I122" s="36"/>
      <c r="J122" s="36"/>
      <c r="K122" s="36"/>
    </row>
    <row r="123" spans="1:11" x14ac:dyDescent="0.35">
      <c r="A123" s="36"/>
      <c r="B123" s="36"/>
      <c r="C123" s="35"/>
      <c r="D123" s="35"/>
      <c r="E123" s="36"/>
      <c r="F123" s="35"/>
      <c r="I123" s="36"/>
      <c r="J123" s="36"/>
      <c r="K123" s="36"/>
    </row>
    <row r="124" spans="1:11" x14ac:dyDescent="0.35">
      <c r="A124" s="36"/>
      <c r="B124" s="36"/>
      <c r="C124" s="35"/>
      <c r="D124" s="35"/>
      <c r="E124" s="36"/>
      <c r="F124" s="35"/>
      <c r="I124" s="36"/>
      <c r="J124" s="36"/>
      <c r="K124" s="36"/>
    </row>
    <row r="125" spans="1:11" x14ac:dyDescent="0.35">
      <c r="A125" s="36"/>
      <c r="B125" s="36"/>
      <c r="C125" s="35"/>
      <c r="D125" s="35"/>
      <c r="E125" s="36"/>
      <c r="F125" s="35"/>
      <c r="I125" s="36"/>
      <c r="J125" s="36"/>
      <c r="K125" s="36"/>
    </row>
    <row r="126" spans="1:11" x14ac:dyDescent="0.35">
      <c r="A126" s="36"/>
      <c r="B126" s="36"/>
      <c r="C126" s="35"/>
      <c r="D126" s="35"/>
      <c r="E126" s="36"/>
      <c r="F126" s="35"/>
      <c r="I126" s="36"/>
      <c r="J126" s="36"/>
      <c r="K126" s="36"/>
    </row>
    <row r="127" spans="1:11" x14ac:dyDescent="0.35">
      <c r="A127" s="36"/>
      <c r="B127" s="36"/>
      <c r="C127" s="35"/>
      <c r="D127" s="35"/>
      <c r="E127" s="36"/>
      <c r="F127" s="35"/>
      <c r="I127" s="36"/>
      <c r="J127" s="36"/>
      <c r="K127" s="36"/>
    </row>
    <row r="128" spans="1:11" x14ac:dyDescent="0.35">
      <c r="A128" s="36"/>
      <c r="B128" s="36"/>
      <c r="C128" s="35"/>
      <c r="D128" s="35"/>
      <c r="E128" s="36"/>
      <c r="F128" s="35"/>
      <c r="I128" s="36"/>
      <c r="J128" s="36"/>
      <c r="K128" s="36"/>
    </row>
    <row r="129" spans="1:11" x14ac:dyDescent="0.35">
      <c r="A129" s="36"/>
      <c r="B129" s="36"/>
      <c r="C129" s="35"/>
      <c r="D129" s="35"/>
      <c r="E129" s="36"/>
      <c r="F129" s="35"/>
      <c r="I129" s="36"/>
      <c r="J129" s="36"/>
      <c r="K129" s="36"/>
    </row>
  </sheetData>
  <sortState xmlns:xlrd2="http://schemas.microsoft.com/office/spreadsheetml/2017/richdata2" ref="A2:L129">
    <sortCondition ref="F2:F129"/>
    <sortCondition ref="E2:E129"/>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8C8-D23A-491E-8058-1F085EF8C902}">
  <dimension ref="A1:C8"/>
  <sheetViews>
    <sheetView workbookViewId="0">
      <selection activeCell="B10" sqref="B10"/>
    </sheetView>
  </sheetViews>
  <sheetFormatPr defaultRowHeight="14.5" x14ac:dyDescent="0.35"/>
  <cols>
    <col min="1" max="1" width="33.453125" bestFit="1" customWidth="1"/>
    <col min="2" max="2" width="15.453125" customWidth="1"/>
  </cols>
  <sheetData>
    <row r="1" spans="1:3" x14ac:dyDescent="0.35">
      <c r="A1" s="1" t="s">
        <v>0</v>
      </c>
      <c r="B1" t="s">
        <v>313</v>
      </c>
    </row>
    <row r="2" spans="1:3" x14ac:dyDescent="0.35">
      <c r="A2" s="1" t="s">
        <v>1</v>
      </c>
      <c r="B2" t="s">
        <v>314</v>
      </c>
    </row>
    <row r="3" spans="1:3" x14ac:dyDescent="0.35">
      <c r="A3" s="1" t="s">
        <v>2</v>
      </c>
    </row>
    <row r="4" spans="1:3" x14ac:dyDescent="0.35">
      <c r="A4" s="1" t="s">
        <v>3</v>
      </c>
      <c r="B4">
        <v>-35.040999999999997</v>
      </c>
      <c r="C4">
        <v>147.31899999999999</v>
      </c>
    </row>
    <row r="5" spans="1:3" x14ac:dyDescent="0.35">
      <c r="A5" s="1" t="s">
        <v>4</v>
      </c>
      <c r="B5" t="s">
        <v>748</v>
      </c>
    </row>
    <row r="6" spans="1:3" x14ac:dyDescent="0.35">
      <c r="A6" s="1" t="s">
        <v>5</v>
      </c>
      <c r="B6" s="144" t="s">
        <v>749</v>
      </c>
    </row>
    <row r="7" spans="1:3" x14ac:dyDescent="0.35">
      <c r="A7" s="1" t="s">
        <v>6</v>
      </c>
      <c r="B7" s="2"/>
    </row>
    <row r="8" spans="1:3" x14ac:dyDescent="0.35">
      <c r="A8"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86BE2-8008-4C3E-8D5E-5627D50BB021}">
  <sheetPr filterMode="1"/>
  <dimension ref="A1:F24"/>
  <sheetViews>
    <sheetView workbookViewId="0">
      <selection activeCell="E9" sqref="E9:E16"/>
    </sheetView>
  </sheetViews>
  <sheetFormatPr defaultRowHeight="14.5" x14ac:dyDescent="0.35"/>
  <cols>
    <col min="1" max="1" width="17.453125" bestFit="1" customWidth="1"/>
    <col min="5" max="5" width="14.54296875" bestFit="1" customWidth="1"/>
  </cols>
  <sheetData>
    <row r="1" spans="1:6" x14ac:dyDescent="0.35">
      <c r="A1" s="1" t="s">
        <v>8</v>
      </c>
      <c r="B1" t="s">
        <v>9</v>
      </c>
    </row>
    <row r="2" spans="1:6" x14ac:dyDescent="0.35">
      <c r="A2" s="1" t="s">
        <v>10</v>
      </c>
    </row>
    <row r="3" spans="1:6" x14ac:dyDescent="0.35">
      <c r="A3" s="1" t="s">
        <v>11</v>
      </c>
      <c r="B3" t="s">
        <v>12</v>
      </c>
    </row>
    <row r="4" spans="1:6" x14ac:dyDescent="0.35">
      <c r="A4" s="1" t="s">
        <v>13</v>
      </c>
      <c r="B4" t="s">
        <v>14</v>
      </c>
    </row>
    <row r="5" spans="1:6" x14ac:dyDescent="0.35">
      <c r="A5" s="1"/>
      <c r="B5" t="s">
        <v>15</v>
      </c>
    </row>
    <row r="6" spans="1:6" x14ac:dyDescent="0.35">
      <c r="A6" s="1"/>
      <c r="B6" t="s">
        <v>16</v>
      </c>
    </row>
    <row r="7" spans="1:6" x14ac:dyDescent="0.35">
      <c r="A7" s="1" t="s">
        <v>17</v>
      </c>
      <c r="B7" t="s">
        <v>18</v>
      </c>
    </row>
    <row r="8" spans="1:6" x14ac:dyDescent="0.35">
      <c r="B8" s="1" t="s">
        <v>19</v>
      </c>
      <c r="C8" s="1" t="s">
        <v>20</v>
      </c>
      <c r="D8" s="1" t="s">
        <v>21</v>
      </c>
      <c r="E8" s="1" t="s">
        <v>22</v>
      </c>
      <c r="F8" s="1" t="s">
        <v>23</v>
      </c>
    </row>
    <row r="9" spans="1:6" x14ac:dyDescent="0.35">
      <c r="B9" t="s">
        <v>24</v>
      </c>
      <c r="C9" t="s">
        <v>25</v>
      </c>
      <c r="D9" s="5">
        <v>1</v>
      </c>
      <c r="E9" t="s">
        <v>26</v>
      </c>
      <c r="F9">
        <v>1983</v>
      </c>
    </row>
    <row r="10" spans="1:6" x14ac:dyDescent="0.35">
      <c r="B10" t="s">
        <v>24</v>
      </c>
      <c r="C10" t="s">
        <v>25</v>
      </c>
      <c r="D10" s="5">
        <v>1</v>
      </c>
      <c r="E10" t="s">
        <v>27</v>
      </c>
      <c r="F10">
        <v>1985</v>
      </c>
    </row>
    <row r="11" spans="1:6" x14ac:dyDescent="0.35">
      <c r="B11" t="s">
        <v>24</v>
      </c>
      <c r="C11" t="s">
        <v>25</v>
      </c>
      <c r="D11" s="5">
        <v>1</v>
      </c>
      <c r="E11" t="s">
        <v>28</v>
      </c>
      <c r="F11">
        <v>1998</v>
      </c>
    </row>
    <row r="12" spans="1:6" x14ac:dyDescent="0.35">
      <c r="B12" t="s">
        <v>24</v>
      </c>
      <c r="C12" t="s">
        <v>25</v>
      </c>
      <c r="D12" s="5">
        <v>1</v>
      </c>
      <c r="E12" t="s">
        <v>29</v>
      </c>
      <c r="F12">
        <v>1999</v>
      </c>
    </row>
    <row r="13" spans="1:6" x14ac:dyDescent="0.35">
      <c r="B13" t="s">
        <v>24</v>
      </c>
      <c r="C13" t="s">
        <v>25</v>
      </c>
      <c r="D13" s="5">
        <v>1</v>
      </c>
      <c r="E13" t="s">
        <v>30</v>
      </c>
      <c r="F13">
        <v>2002</v>
      </c>
    </row>
    <row r="14" spans="1:6" x14ac:dyDescent="0.35">
      <c r="B14" t="s">
        <v>24</v>
      </c>
      <c r="C14" t="s">
        <v>25</v>
      </c>
      <c r="D14" s="5">
        <v>1</v>
      </c>
      <c r="E14" t="s">
        <v>31</v>
      </c>
      <c r="F14">
        <v>2016</v>
      </c>
    </row>
    <row r="15" spans="1:6" x14ac:dyDescent="0.35">
      <c r="B15" t="s">
        <v>24</v>
      </c>
      <c r="C15" t="s">
        <v>25</v>
      </c>
      <c r="D15" s="5">
        <v>1</v>
      </c>
      <c r="E15" t="s">
        <v>32</v>
      </c>
      <c r="F15">
        <v>2018</v>
      </c>
    </row>
    <row r="16" spans="1:6" x14ac:dyDescent="0.35">
      <c r="B16" t="s">
        <v>24</v>
      </c>
      <c r="C16" t="s">
        <v>25</v>
      </c>
      <c r="D16" s="5">
        <v>1</v>
      </c>
      <c r="E16" t="s">
        <v>33</v>
      </c>
      <c r="F16">
        <v>2023</v>
      </c>
    </row>
    <row r="17" spans="2:6" hidden="1" x14ac:dyDescent="0.35">
      <c r="B17" t="s">
        <v>34</v>
      </c>
      <c r="C17" t="s">
        <v>35</v>
      </c>
      <c r="D17" s="5">
        <f t="shared" ref="D17:D24" si="0">D9+1</f>
        <v>2</v>
      </c>
      <c r="E17" t="s">
        <v>36</v>
      </c>
      <c r="F17">
        <v>1984</v>
      </c>
    </row>
    <row r="18" spans="2:6" hidden="1" x14ac:dyDescent="0.35">
      <c r="B18" t="s">
        <v>34</v>
      </c>
      <c r="C18" t="s">
        <v>35</v>
      </c>
      <c r="D18" s="5">
        <f t="shared" si="0"/>
        <v>2</v>
      </c>
      <c r="E18" t="s">
        <v>37</v>
      </c>
      <c r="F18">
        <v>1989</v>
      </c>
    </row>
    <row r="19" spans="2:6" hidden="1" x14ac:dyDescent="0.35">
      <c r="B19" t="s">
        <v>34</v>
      </c>
      <c r="C19" t="s">
        <v>35</v>
      </c>
      <c r="D19" s="5">
        <f t="shared" si="0"/>
        <v>2</v>
      </c>
      <c r="E19" t="s">
        <v>38</v>
      </c>
      <c r="F19">
        <v>1999</v>
      </c>
    </row>
    <row r="20" spans="2:6" hidden="1" x14ac:dyDescent="0.35">
      <c r="B20" t="s">
        <v>34</v>
      </c>
      <c r="C20" t="s">
        <v>35</v>
      </c>
      <c r="D20" s="5">
        <f t="shared" si="0"/>
        <v>2</v>
      </c>
      <c r="E20" t="s">
        <v>39</v>
      </c>
      <c r="F20">
        <v>2001</v>
      </c>
    </row>
    <row r="21" spans="2:6" hidden="1" x14ac:dyDescent="0.35">
      <c r="B21" t="s">
        <v>34</v>
      </c>
      <c r="C21" t="s">
        <v>35</v>
      </c>
      <c r="D21" s="5">
        <f t="shared" si="0"/>
        <v>2</v>
      </c>
      <c r="E21" t="s">
        <v>40</v>
      </c>
      <c r="F21">
        <v>2004</v>
      </c>
    </row>
    <row r="22" spans="2:6" hidden="1" x14ac:dyDescent="0.35">
      <c r="B22" t="s">
        <v>34</v>
      </c>
      <c r="C22" t="s">
        <v>35</v>
      </c>
      <c r="D22" s="5">
        <f t="shared" si="0"/>
        <v>2</v>
      </c>
      <c r="E22" t="s">
        <v>41</v>
      </c>
      <c r="F22">
        <v>2008</v>
      </c>
    </row>
    <row r="23" spans="2:6" hidden="1" x14ac:dyDescent="0.35">
      <c r="B23" t="s">
        <v>34</v>
      </c>
      <c r="C23" t="s">
        <v>35</v>
      </c>
      <c r="D23" s="5">
        <f t="shared" si="0"/>
        <v>2</v>
      </c>
      <c r="E23" t="s">
        <v>42</v>
      </c>
      <c r="F23">
        <v>2016</v>
      </c>
    </row>
    <row r="24" spans="2:6" hidden="1" x14ac:dyDescent="0.35">
      <c r="B24" t="s">
        <v>34</v>
      </c>
      <c r="C24" t="s">
        <v>35</v>
      </c>
      <c r="D24" s="5">
        <f t="shared" si="0"/>
        <v>2</v>
      </c>
      <c r="E24" t="s">
        <v>43</v>
      </c>
      <c r="F24">
        <v>2023</v>
      </c>
    </row>
  </sheetData>
  <autoFilter ref="B8:F24" xr:uid="{B8586BE2-8008-4C3E-8D5E-5627D50BB021}">
    <filterColumn colId="1">
      <filters>
        <filter val="mid April"/>
      </filters>
    </filterColumn>
  </autoFilter>
  <sortState xmlns:xlrd2="http://schemas.microsoft.com/office/spreadsheetml/2017/richdata2" ref="B9:F24">
    <sortCondition ref="D9:D24"/>
    <sortCondition ref="F9:F24"/>
  </sortState>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29CD-B37D-4F72-9337-A3640D8AD211}">
  <sheetPr>
    <tabColor theme="9" tint="0.59999389629810485"/>
    <pageSetUpPr fitToPage="1"/>
  </sheetPr>
  <dimension ref="A1:T30"/>
  <sheetViews>
    <sheetView zoomScale="80" zoomScaleNormal="80" workbookViewId="0">
      <selection activeCell="C33" sqref="C33"/>
    </sheetView>
  </sheetViews>
  <sheetFormatPr defaultRowHeight="14.5" x14ac:dyDescent="0.35"/>
  <cols>
    <col min="1" max="1" width="29.7265625" customWidth="1"/>
  </cols>
  <sheetData>
    <row r="1" spans="1:20" ht="18.5" x14ac:dyDescent="0.45">
      <c r="A1" s="81" t="s">
        <v>327</v>
      </c>
    </row>
    <row r="2" spans="1:20" ht="21" x14ac:dyDescent="0.5">
      <c r="A2" s="81" t="s">
        <v>328</v>
      </c>
      <c r="L2" s="81" t="s">
        <v>329</v>
      </c>
      <c r="N2" s="82" t="s">
        <v>330</v>
      </c>
    </row>
    <row r="4" spans="1:20" x14ac:dyDescent="0.35">
      <c r="S4" s="47" t="s">
        <v>331</v>
      </c>
      <c r="T4" s="83"/>
    </row>
    <row r="5" spans="1:20" x14ac:dyDescent="0.35">
      <c r="K5" t="s">
        <v>332</v>
      </c>
      <c r="L5" t="s">
        <v>332</v>
      </c>
      <c r="M5" t="s">
        <v>332</v>
      </c>
      <c r="N5" t="s">
        <v>332</v>
      </c>
      <c r="O5" t="s">
        <v>332</v>
      </c>
      <c r="P5" t="s">
        <v>332</v>
      </c>
      <c r="Q5" t="s">
        <v>332</v>
      </c>
      <c r="R5" s="84" t="s">
        <v>332</v>
      </c>
      <c r="T5" s="83">
        <v>1</v>
      </c>
    </row>
    <row r="6" spans="1:20" x14ac:dyDescent="0.35">
      <c r="A6" s="1" t="s">
        <v>333</v>
      </c>
      <c r="C6" t="s">
        <v>334</v>
      </c>
      <c r="J6">
        <v>1</v>
      </c>
      <c r="K6" s="85" t="s">
        <v>27</v>
      </c>
      <c r="L6" s="85" t="s">
        <v>26</v>
      </c>
      <c r="M6" s="85" t="s">
        <v>335</v>
      </c>
      <c r="N6" s="85" t="s">
        <v>29</v>
      </c>
      <c r="O6" s="85" t="s">
        <v>336</v>
      </c>
      <c r="P6" s="85" t="s">
        <v>32</v>
      </c>
      <c r="Q6" s="85" t="s">
        <v>28</v>
      </c>
      <c r="R6" s="86" t="s">
        <v>337</v>
      </c>
      <c r="T6" s="83">
        <v>2</v>
      </c>
    </row>
    <row r="7" spans="1:20" x14ac:dyDescent="0.35">
      <c r="A7" s="1" t="s">
        <v>338</v>
      </c>
      <c r="C7" t="s">
        <v>339</v>
      </c>
      <c r="K7" t="s">
        <v>332</v>
      </c>
      <c r="L7" t="s">
        <v>332</v>
      </c>
      <c r="M7" t="s">
        <v>332</v>
      </c>
      <c r="N7" t="s">
        <v>332</v>
      </c>
      <c r="O7" t="s">
        <v>332</v>
      </c>
      <c r="P7" t="s">
        <v>332</v>
      </c>
      <c r="Q7" t="s">
        <v>332</v>
      </c>
      <c r="R7" s="84" t="s">
        <v>332</v>
      </c>
      <c r="S7" s="1" t="s">
        <v>340</v>
      </c>
      <c r="T7" s="83">
        <v>3</v>
      </c>
    </row>
    <row r="8" spans="1:20" ht="12.65" customHeight="1" x14ac:dyDescent="0.35">
      <c r="A8" s="1" t="s">
        <v>341</v>
      </c>
      <c r="C8">
        <v>4</v>
      </c>
      <c r="K8" t="s">
        <v>332</v>
      </c>
      <c r="L8" t="s">
        <v>332</v>
      </c>
      <c r="M8" t="s">
        <v>332</v>
      </c>
      <c r="N8" t="s">
        <v>332</v>
      </c>
      <c r="O8" t="s">
        <v>332</v>
      </c>
      <c r="P8" t="s">
        <v>332</v>
      </c>
      <c r="Q8" t="s">
        <v>332</v>
      </c>
      <c r="R8" s="84" t="s">
        <v>332</v>
      </c>
      <c r="T8" s="83">
        <v>4</v>
      </c>
    </row>
    <row r="9" spans="1:20" x14ac:dyDescent="0.35">
      <c r="A9" s="1" t="s">
        <v>17</v>
      </c>
      <c r="C9" t="s">
        <v>342</v>
      </c>
      <c r="J9">
        <v>2</v>
      </c>
      <c r="K9" s="87" t="s">
        <v>42</v>
      </c>
      <c r="L9" s="87" t="s">
        <v>38</v>
      </c>
      <c r="M9" s="87" t="s">
        <v>43</v>
      </c>
      <c r="N9" s="87" t="s">
        <v>41</v>
      </c>
      <c r="O9" s="87" t="s">
        <v>37</v>
      </c>
      <c r="P9" s="87" t="s">
        <v>343</v>
      </c>
      <c r="Q9" s="87" t="s">
        <v>36</v>
      </c>
      <c r="R9" s="88" t="s">
        <v>39</v>
      </c>
      <c r="S9" s="89"/>
      <c r="T9" s="83">
        <v>5</v>
      </c>
    </row>
    <row r="10" spans="1:20" x14ac:dyDescent="0.35">
      <c r="A10" s="1" t="s">
        <v>344</v>
      </c>
      <c r="C10" t="s">
        <v>345</v>
      </c>
      <c r="K10" t="s">
        <v>332</v>
      </c>
      <c r="L10" t="s">
        <v>332</v>
      </c>
      <c r="M10" t="s">
        <v>332</v>
      </c>
      <c r="N10" t="s">
        <v>332</v>
      </c>
      <c r="O10" t="s">
        <v>332</v>
      </c>
      <c r="P10" t="s">
        <v>332</v>
      </c>
      <c r="Q10" t="s">
        <v>332</v>
      </c>
      <c r="R10" s="84" t="s">
        <v>332</v>
      </c>
      <c r="T10" s="83">
        <v>6</v>
      </c>
    </row>
    <row r="11" spans="1:20" x14ac:dyDescent="0.35">
      <c r="A11" s="1" t="s">
        <v>346</v>
      </c>
      <c r="C11" t="s">
        <v>347</v>
      </c>
      <c r="I11" s="84"/>
      <c r="K11" t="s">
        <v>332</v>
      </c>
      <c r="L11" t="s">
        <v>332</v>
      </c>
      <c r="M11" t="s">
        <v>332</v>
      </c>
      <c r="N11" t="s">
        <v>332</v>
      </c>
      <c r="O11" t="s">
        <v>332</v>
      </c>
      <c r="P11" t="s">
        <v>332</v>
      </c>
      <c r="Q11" t="s">
        <v>332</v>
      </c>
      <c r="R11" t="s">
        <v>332</v>
      </c>
      <c r="T11" s="83">
        <v>7</v>
      </c>
    </row>
    <row r="12" spans="1:20" x14ac:dyDescent="0.35">
      <c r="A12" s="1" t="s">
        <v>348</v>
      </c>
      <c r="C12" t="s">
        <v>349</v>
      </c>
      <c r="I12" s="84"/>
      <c r="J12">
        <v>3</v>
      </c>
      <c r="K12" s="85" t="s">
        <v>335</v>
      </c>
      <c r="L12" s="85" t="s">
        <v>28</v>
      </c>
      <c r="M12" s="85" t="s">
        <v>26</v>
      </c>
      <c r="N12" s="85" t="s">
        <v>336</v>
      </c>
      <c r="O12" s="85" t="s">
        <v>29</v>
      </c>
      <c r="P12" s="85" t="s">
        <v>337</v>
      </c>
      <c r="Q12" s="85" t="s">
        <v>32</v>
      </c>
      <c r="R12" s="85" t="s">
        <v>27</v>
      </c>
      <c r="T12" s="83">
        <v>8</v>
      </c>
    </row>
    <row r="13" spans="1:20" x14ac:dyDescent="0.35">
      <c r="I13" s="90" t="s">
        <v>350</v>
      </c>
      <c r="K13" t="s">
        <v>332</v>
      </c>
      <c r="L13" t="s">
        <v>332</v>
      </c>
      <c r="M13" t="s">
        <v>332</v>
      </c>
      <c r="N13" t="s">
        <v>332</v>
      </c>
      <c r="O13" t="s">
        <v>332</v>
      </c>
      <c r="P13" t="s">
        <v>332</v>
      </c>
      <c r="Q13" t="s">
        <v>332</v>
      </c>
      <c r="R13" t="s">
        <v>332</v>
      </c>
      <c r="T13" s="83">
        <v>9</v>
      </c>
    </row>
    <row r="14" spans="1:20" x14ac:dyDescent="0.35">
      <c r="I14" s="84"/>
      <c r="K14" t="s">
        <v>332</v>
      </c>
      <c r="L14" t="s">
        <v>332</v>
      </c>
      <c r="M14" t="s">
        <v>332</v>
      </c>
      <c r="N14" t="s">
        <v>332</v>
      </c>
      <c r="O14" t="s">
        <v>332</v>
      </c>
      <c r="P14" t="s">
        <v>332</v>
      </c>
      <c r="Q14" t="s">
        <v>332</v>
      </c>
      <c r="R14" t="s">
        <v>332</v>
      </c>
      <c r="S14" s="91"/>
      <c r="T14" s="83">
        <v>10</v>
      </c>
    </row>
    <row r="15" spans="1:20" x14ac:dyDescent="0.35">
      <c r="A15" s="92" t="s">
        <v>351</v>
      </c>
      <c r="H15" s="1" t="s">
        <v>352</v>
      </c>
      <c r="I15" s="84"/>
      <c r="J15">
        <v>4</v>
      </c>
      <c r="K15" s="87" t="s">
        <v>343</v>
      </c>
      <c r="L15" s="87" t="s">
        <v>43</v>
      </c>
      <c r="M15" s="87" t="s">
        <v>38</v>
      </c>
      <c r="N15" s="87" t="s">
        <v>39</v>
      </c>
      <c r="O15" s="87" t="s">
        <v>42</v>
      </c>
      <c r="P15" s="87" t="s">
        <v>36</v>
      </c>
      <c r="Q15" s="87" t="s">
        <v>41</v>
      </c>
      <c r="R15" s="87" t="s">
        <v>37</v>
      </c>
      <c r="T15" s="83">
        <v>11</v>
      </c>
    </row>
    <row r="16" spans="1:20" x14ac:dyDescent="0.35">
      <c r="I16" s="84"/>
      <c r="K16" t="s">
        <v>332</v>
      </c>
      <c r="L16" t="s">
        <v>332</v>
      </c>
      <c r="M16" t="s">
        <v>332</v>
      </c>
      <c r="N16" t="s">
        <v>332</v>
      </c>
      <c r="O16" t="s">
        <v>332</v>
      </c>
      <c r="P16" t="s">
        <v>332</v>
      </c>
      <c r="Q16" t="s">
        <v>332</v>
      </c>
      <c r="R16" t="s">
        <v>332</v>
      </c>
      <c r="T16" s="83">
        <v>12</v>
      </c>
    </row>
    <row r="17" spans="1:20" x14ac:dyDescent="0.35">
      <c r="A17" s="93" t="s">
        <v>353</v>
      </c>
      <c r="K17" t="s">
        <v>332</v>
      </c>
      <c r="L17" t="s">
        <v>332</v>
      </c>
      <c r="M17" t="s">
        <v>332</v>
      </c>
      <c r="N17" t="s">
        <v>332</v>
      </c>
      <c r="O17" t="s">
        <v>332</v>
      </c>
      <c r="P17" t="s">
        <v>332</v>
      </c>
      <c r="Q17" t="s">
        <v>332</v>
      </c>
      <c r="R17" t="s">
        <v>332</v>
      </c>
      <c r="S17" s="89"/>
      <c r="T17" s="83">
        <v>13</v>
      </c>
    </row>
    <row r="18" spans="1:20" x14ac:dyDescent="0.35">
      <c r="J18">
        <v>5</v>
      </c>
      <c r="K18" s="85" t="s">
        <v>336</v>
      </c>
      <c r="L18" s="85" t="s">
        <v>337</v>
      </c>
      <c r="M18" s="85" t="s">
        <v>32</v>
      </c>
      <c r="N18" s="85" t="s">
        <v>28</v>
      </c>
      <c r="O18" s="85" t="s">
        <v>27</v>
      </c>
      <c r="P18" s="85" t="s">
        <v>335</v>
      </c>
      <c r="Q18" s="85" t="s">
        <v>29</v>
      </c>
      <c r="R18" s="85" t="s">
        <v>26</v>
      </c>
      <c r="S18" s="89"/>
      <c r="T18" s="83">
        <v>14</v>
      </c>
    </row>
    <row r="19" spans="1:20" x14ac:dyDescent="0.35">
      <c r="K19" t="s">
        <v>332</v>
      </c>
      <c r="L19" t="s">
        <v>332</v>
      </c>
      <c r="M19" t="s">
        <v>332</v>
      </c>
      <c r="N19" t="s">
        <v>332</v>
      </c>
      <c r="O19" t="s">
        <v>332</v>
      </c>
      <c r="P19" t="s">
        <v>332</v>
      </c>
      <c r="Q19" t="s">
        <v>332</v>
      </c>
      <c r="R19" t="s">
        <v>332</v>
      </c>
      <c r="S19" s="94" t="s">
        <v>354</v>
      </c>
      <c r="T19" s="83">
        <v>15</v>
      </c>
    </row>
    <row r="20" spans="1:20" ht="15.5" x14ac:dyDescent="0.35">
      <c r="H20" s="95" t="s">
        <v>355</v>
      </c>
      <c r="K20" t="s">
        <v>332</v>
      </c>
      <c r="L20" t="s">
        <v>332</v>
      </c>
      <c r="M20" t="s">
        <v>332</v>
      </c>
      <c r="N20" t="s">
        <v>332</v>
      </c>
      <c r="O20" t="s">
        <v>332</v>
      </c>
      <c r="P20" t="s">
        <v>332</v>
      </c>
      <c r="Q20" t="s">
        <v>332</v>
      </c>
      <c r="R20" t="s">
        <v>332</v>
      </c>
      <c r="S20" s="89"/>
      <c r="T20" s="83">
        <v>16</v>
      </c>
    </row>
    <row r="21" spans="1:20" x14ac:dyDescent="0.35">
      <c r="J21">
        <v>6</v>
      </c>
      <c r="K21" s="87" t="s">
        <v>41</v>
      </c>
      <c r="L21" s="87" t="s">
        <v>36</v>
      </c>
      <c r="M21" s="87" t="s">
        <v>37</v>
      </c>
      <c r="N21" s="87" t="s">
        <v>42</v>
      </c>
      <c r="O21" s="87" t="s">
        <v>43</v>
      </c>
      <c r="P21" s="87" t="s">
        <v>39</v>
      </c>
      <c r="Q21" s="87" t="s">
        <v>38</v>
      </c>
      <c r="R21" s="87" t="s">
        <v>343</v>
      </c>
      <c r="S21" s="89"/>
      <c r="T21" s="83">
        <v>17</v>
      </c>
    </row>
    <row r="22" spans="1:20" x14ac:dyDescent="0.35">
      <c r="K22" t="s">
        <v>332</v>
      </c>
      <c r="L22" t="s">
        <v>332</v>
      </c>
      <c r="M22" t="s">
        <v>332</v>
      </c>
      <c r="N22" t="s">
        <v>332</v>
      </c>
      <c r="O22" t="s">
        <v>332</v>
      </c>
      <c r="P22" t="s">
        <v>332</v>
      </c>
      <c r="Q22" t="s">
        <v>332</v>
      </c>
      <c r="R22" t="s">
        <v>332</v>
      </c>
      <c r="S22" s="89"/>
      <c r="T22" s="83">
        <v>18</v>
      </c>
    </row>
    <row r="23" spans="1:20" x14ac:dyDescent="0.35">
      <c r="I23" s="84"/>
      <c r="K23" t="s">
        <v>332</v>
      </c>
      <c r="L23" t="s">
        <v>332</v>
      </c>
      <c r="M23" t="s">
        <v>332</v>
      </c>
      <c r="N23" t="s">
        <v>332</v>
      </c>
      <c r="O23" t="s">
        <v>332</v>
      </c>
      <c r="P23" t="s">
        <v>332</v>
      </c>
      <c r="Q23" t="s">
        <v>332</v>
      </c>
      <c r="R23" t="s">
        <v>332</v>
      </c>
      <c r="T23" s="83">
        <v>19</v>
      </c>
    </row>
    <row r="24" spans="1:20" x14ac:dyDescent="0.35">
      <c r="I24" s="84"/>
      <c r="J24">
        <v>7</v>
      </c>
      <c r="K24" s="85" t="s">
        <v>32</v>
      </c>
      <c r="L24" s="85" t="s">
        <v>29</v>
      </c>
      <c r="M24" s="85" t="s">
        <v>337</v>
      </c>
      <c r="N24" s="85" t="s">
        <v>27</v>
      </c>
      <c r="O24" s="85" t="s">
        <v>28</v>
      </c>
      <c r="P24" s="85" t="s">
        <v>26</v>
      </c>
      <c r="Q24" s="85" t="s">
        <v>335</v>
      </c>
      <c r="R24" s="85" t="s">
        <v>336</v>
      </c>
      <c r="T24" s="83">
        <v>20</v>
      </c>
    </row>
    <row r="25" spans="1:20" x14ac:dyDescent="0.35">
      <c r="I25" s="90" t="s">
        <v>356</v>
      </c>
      <c r="K25" t="s">
        <v>332</v>
      </c>
      <c r="L25" t="s">
        <v>332</v>
      </c>
      <c r="M25" t="s">
        <v>332</v>
      </c>
      <c r="N25" t="s">
        <v>332</v>
      </c>
      <c r="O25" t="s">
        <v>332</v>
      </c>
      <c r="P25" t="s">
        <v>332</v>
      </c>
      <c r="Q25" t="s">
        <v>332</v>
      </c>
      <c r="R25" t="s">
        <v>332</v>
      </c>
      <c r="T25" s="83">
        <v>21</v>
      </c>
    </row>
    <row r="26" spans="1:20" x14ac:dyDescent="0.35">
      <c r="I26" s="84"/>
      <c r="K26" t="s">
        <v>332</v>
      </c>
      <c r="L26" t="s">
        <v>332</v>
      </c>
      <c r="M26" t="s">
        <v>332</v>
      </c>
      <c r="N26" t="s">
        <v>332</v>
      </c>
      <c r="O26" t="s">
        <v>332</v>
      </c>
      <c r="P26" t="s">
        <v>332</v>
      </c>
      <c r="Q26" t="s">
        <v>332</v>
      </c>
      <c r="R26" t="s">
        <v>332</v>
      </c>
      <c r="T26" s="83">
        <v>22</v>
      </c>
    </row>
    <row r="27" spans="1:20" x14ac:dyDescent="0.35">
      <c r="I27" s="84"/>
      <c r="J27">
        <v>8</v>
      </c>
      <c r="K27" s="87" t="s">
        <v>39</v>
      </c>
      <c r="L27" s="87" t="s">
        <v>37</v>
      </c>
      <c r="M27" s="87" t="s">
        <v>36</v>
      </c>
      <c r="N27" s="87" t="s">
        <v>343</v>
      </c>
      <c r="O27" s="87" t="s">
        <v>41</v>
      </c>
      <c r="P27" s="87" t="s">
        <v>38</v>
      </c>
      <c r="Q27" s="87" t="s">
        <v>42</v>
      </c>
      <c r="R27" s="87" t="s">
        <v>43</v>
      </c>
      <c r="T27" s="83">
        <v>23</v>
      </c>
    </row>
    <row r="28" spans="1:20" x14ac:dyDescent="0.35">
      <c r="I28" s="84"/>
      <c r="K28" t="s">
        <v>332</v>
      </c>
      <c r="L28" t="s">
        <v>332</v>
      </c>
      <c r="M28" t="s">
        <v>332</v>
      </c>
      <c r="N28" t="s">
        <v>332</v>
      </c>
      <c r="O28" t="s">
        <v>332</v>
      </c>
      <c r="P28" t="s">
        <v>332</v>
      </c>
      <c r="Q28" t="s">
        <v>332</v>
      </c>
      <c r="R28" t="s">
        <v>332</v>
      </c>
      <c r="T28" s="83">
        <v>24</v>
      </c>
    </row>
    <row r="29" spans="1:20" x14ac:dyDescent="0.35">
      <c r="T29" s="83"/>
    </row>
    <row r="30" spans="1:20" x14ac:dyDescent="0.35">
      <c r="O30" s="1" t="s">
        <v>352</v>
      </c>
    </row>
  </sheetData>
  <pageMargins left="0.23622047244094491" right="0.23622047244094491" top="0.74803149606299213" bottom="0.74803149606299213" header="0.31496062992125984" footer="0.31496062992125984"/>
  <pageSetup paperSize="9"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30B9-135F-4A78-AEF5-C45B8356D33F}">
  <sheetPr>
    <tabColor theme="9" tint="0.79998168889431442"/>
  </sheetPr>
  <dimension ref="A1:S131"/>
  <sheetViews>
    <sheetView workbookViewId="0">
      <selection activeCell="C29" sqref="C29"/>
    </sheetView>
  </sheetViews>
  <sheetFormatPr defaultRowHeight="14.5" x14ac:dyDescent="0.35"/>
  <cols>
    <col min="1" max="1" width="14.1796875" style="19" customWidth="1"/>
    <col min="2" max="2" width="20.81640625" style="19" customWidth="1"/>
    <col min="3" max="3" width="18.1796875" style="15" customWidth="1"/>
    <col min="4" max="4" width="58.54296875" style="15" customWidth="1"/>
    <col min="19" max="19" width="30.453125" customWidth="1"/>
  </cols>
  <sheetData>
    <row r="1" spans="1:4" x14ac:dyDescent="0.35">
      <c r="A1" s="17" t="s">
        <v>55</v>
      </c>
      <c r="B1" s="17" t="s">
        <v>56</v>
      </c>
      <c r="C1" s="14" t="s">
        <v>57</v>
      </c>
      <c r="D1" s="14" t="s">
        <v>58</v>
      </c>
    </row>
    <row r="2" spans="1:4" s="111" customFormat="1" x14ac:dyDescent="0.35">
      <c r="A2" s="109">
        <v>45383</v>
      </c>
      <c r="B2" s="110" t="s">
        <v>630</v>
      </c>
      <c r="C2" s="111" t="s">
        <v>618</v>
      </c>
      <c r="D2" s="110"/>
    </row>
    <row r="3" spans="1:4" s="114" customFormat="1" x14ac:dyDescent="0.35">
      <c r="A3" s="112">
        <v>45392</v>
      </c>
      <c r="B3" s="110" t="s">
        <v>630</v>
      </c>
      <c r="C3" s="114" t="s">
        <v>619</v>
      </c>
      <c r="D3" s="115"/>
    </row>
    <row r="4" spans="1:4" s="114" customFormat="1" x14ac:dyDescent="0.35">
      <c r="A4" s="112">
        <v>45399</v>
      </c>
      <c r="B4" s="120" t="s">
        <v>630</v>
      </c>
      <c r="C4" s="114" t="s">
        <v>620</v>
      </c>
      <c r="D4" s="116"/>
    </row>
    <row r="5" spans="1:4" x14ac:dyDescent="0.35">
      <c r="A5" s="80">
        <v>45401</v>
      </c>
      <c r="B5" s="16" t="s">
        <v>631</v>
      </c>
      <c r="C5" t="s">
        <v>316</v>
      </c>
      <c r="D5" s="27"/>
    </row>
    <row r="6" spans="1:4" s="111" customFormat="1" x14ac:dyDescent="0.35">
      <c r="A6" s="109"/>
      <c r="B6" s="117" t="s">
        <v>632</v>
      </c>
      <c r="C6" s="111" t="s">
        <v>317</v>
      </c>
      <c r="D6" s="118"/>
    </row>
    <row r="7" spans="1:4" x14ac:dyDescent="0.35">
      <c r="A7" s="80">
        <v>45404</v>
      </c>
      <c r="B7" s="16" t="s">
        <v>633</v>
      </c>
      <c r="C7" t="s">
        <v>621</v>
      </c>
      <c r="D7" s="27"/>
    </row>
    <row r="8" spans="1:4" x14ac:dyDescent="0.35">
      <c r="A8" s="80"/>
      <c r="C8" t="s">
        <v>622</v>
      </c>
      <c r="D8" s="27"/>
    </row>
    <row r="9" spans="1:4" s="111" customFormat="1" x14ac:dyDescent="0.35">
      <c r="A9" s="109"/>
      <c r="B9" s="117"/>
      <c r="C9" s="111" t="s">
        <v>623</v>
      </c>
      <c r="D9" s="118"/>
    </row>
    <row r="10" spans="1:4" x14ac:dyDescent="0.35">
      <c r="A10" s="80">
        <v>45406</v>
      </c>
      <c r="B10" s="16" t="s">
        <v>630</v>
      </c>
      <c r="C10" t="s">
        <v>318</v>
      </c>
    </row>
    <row r="11" spans="1:4" s="111" customFormat="1" x14ac:dyDescent="0.35">
      <c r="A11" s="109"/>
      <c r="B11" s="117"/>
      <c r="C11" s="111" t="s">
        <v>319</v>
      </c>
      <c r="D11" s="119"/>
    </row>
    <row r="12" spans="1:4" s="114" customFormat="1" x14ac:dyDescent="0.35">
      <c r="A12" s="112">
        <v>45425</v>
      </c>
      <c r="B12" s="110" t="s">
        <v>634</v>
      </c>
      <c r="C12" s="114" t="s">
        <v>777</v>
      </c>
      <c r="D12" s="121"/>
    </row>
    <row r="13" spans="1:4" s="114" customFormat="1" x14ac:dyDescent="0.35">
      <c r="A13" s="112">
        <v>45426</v>
      </c>
      <c r="B13" s="120" t="s">
        <v>635</v>
      </c>
      <c r="C13" s="114" t="s">
        <v>320</v>
      </c>
      <c r="D13" s="121"/>
    </row>
    <row r="14" spans="1:4" s="114" customFormat="1" x14ac:dyDescent="0.35">
      <c r="A14" s="112">
        <v>45439</v>
      </c>
      <c r="B14" s="113" t="s">
        <v>630</v>
      </c>
      <c r="C14" s="114" t="s">
        <v>321</v>
      </c>
      <c r="D14" s="115"/>
    </row>
    <row r="15" spans="1:4" s="114" customFormat="1" x14ac:dyDescent="0.35">
      <c r="A15" s="112">
        <v>45460</v>
      </c>
      <c r="B15" s="113" t="s">
        <v>636</v>
      </c>
      <c r="C15" s="114" t="s">
        <v>624</v>
      </c>
      <c r="D15" s="120"/>
    </row>
    <row r="16" spans="1:4" x14ac:dyDescent="0.35">
      <c r="A16" s="80">
        <v>45461</v>
      </c>
      <c r="B16" s="19" t="s">
        <v>630</v>
      </c>
      <c r="C16" t="s">
        <v>322</v>
      </c>
    </row>
    <row r="17" spans="1:4" x14ac:dyDescent="0.35">
      <c r="A17" s="80"/>
      <c r="C17" t="s">
        <v>323</v>
      </c>
    </row>
    <row r="18" spans="1:4" s="111" customFormat="1" x14ac:dyDescent="0.35">
      <c r="A18" s="109"/>
      <c r="B18" s="117"/>
      <c r="C18" s="111" t="s">
        <v>625</v>
      </c>
      <c r="D18" s="119"/>
    </row>
    <row r="19" spans="1:4" x14ac:dyDescent="0.35">
      <c r="A19" s="80">
        <v>45476</v>
      </c>
      <c r="B19" s="19" t="s">
        <v>636</v>
      </c>
      <c r="C19" t="s">
        <v>324</v>
      </c>
    </row>
    <row r="20" spans="1:4" s="111" customFormat="1" x14ac:dyDescent="0.35">
      <c r="A20" s="109"/>
      <c r="B20" s="117" t="s">
        <v>630</v>
      </c>
      <c r="C20" s="111" t="s">
        <v>325</v>
      </c>
      <c r="D20" s="119"/>
    </row>
    <row r="21" spans="1:4" x14ac:dyDescent="0.35">
      <c r="A21" s="80">
        <v>45496</v>
      </c>
      <c r="B21" s="19" t="s">
        <v>630</v>
      </c>
      <c r="C21" s="111" t="s">
        <v>326</v>
      </c>
    </row>
    <row r="22" spans="1:4" s="114" customFormat="1" x14ac:dyDescent="0.35">
      <c r="A22" s="112">
        <v>45513</v>
      </c>
      <c r="B22" s="113" t="s">
        <v>630</v>
      </c>
      <c r="C22" s="114" t="s">
        <v>626</v>
      </c>
      <c r="D22" s="115"/>
    </row>
    <row r="23" spans="1:4" s="114" customFormat="1" x14ac:dyDescent="0.35">
      <c r="A23" s="112">
        <v>45540</v>
      </c>
      <c r="B23" s="113" t="s">
        <v>630</v>
      </c>
      <c r="C23" s="114" t="s">
        <v>627</v>
      </c>
      <c r="D23" s="115"/>
    </row>
    <row r="24" spans="1:4" s="114" customFormat="1" x14ac:dyDescent="0.35">
      <c r="A24" s="112">
        <v>45545</v>
      </c>
      <c r="B24" s="113" t="s">
        <v>636</v>
      </c>
      <c r="C24" s="114" t="s">
        <v>628</v>
      </c>
      <c r="D24" s="115"/>
    </row>
    <row r="25" spans="1:4" s="114" customFormat="1" ht="29" x14ac:dyDescent="0.35">
      <c r="A25" s="112">
        <v>45621</v>
      </c>
      <c r="B25" s="113" t="s">
        <v>633</v>
      </c>
      <c r="C25" s="115" t="s">
        <v>629</v>
      </c>
      <c r="D25" s="115"/>
    </row>
    <row r="26" spans="1:4" x14ac:dyDescent="0.35">
      <c r="A26" s="18"/>
    </row>
    <row r="27" spans="1:4" x14ac:dyDescent="0.35">
      <c r="A27" s="18"/>
    </row>
    <row r="28" spans="1:4" x14ac:dyDescent="0.35">
      <c r="A28" s="18"/>
    </row>
    <row r="29" spans="1:4" x14ac:dyDescent="0.35">
      <c r="A29" s="18"/>
    </row>
    <row r="30" spans="1:4" x14ac:dyDescent="0.35">
      <c r="A30" s="18"/>
    </row>
    <row r="31" spans="1:4" x14ac:dyDescent="0.35">
      <c r="A31" s="18"/>
    </row>
    <row r="32" spans="1:4" x14ac:dyDescent="0.35">
      <c r="A32" s="18"/>
    </row>
    <row r="33" spans="1:1" x14ac:dyDescent="0.35">
      <c r="A33" s="18"/>
    </row>
    <row r="34" spans="1:1" x14ac:dyDescent="0.35">
      <c r="A34" s="18"/>
    </row>
    <row r="35" spans="1:1" x14ac:dyDescent="0.35">
      <c r="A35" s="18"/>
    </row>
    <row r="36" spans="1:1" x14ac:dyDescent="0.35">
      <c r="A36" s="18"/>
    </row>
    <row r="37" spans="1:1" x14ac:dyDescent="0.35">
      <c r="A37" s="18"/>
    </row>
    <row r="38" spans="1:1" x14ac:dyDescent="0.35">
      <c r="A38" s="18"/>
    </row>
    <row r="39" spans="1:1" x14ac:dyDescent="0.35">
      <c r="A39" s="18"/>
    </row>
    <row r="40" spans="1:1" x14ac:dyDescent="0.35">
      <c r="A40" s="18"/>
    </row>
    <row r="41" spans="1:1" x14ac:dyDescent="0.35">
      <c r="A41" s="18"/>
    </row>
    <row r="42" spans="1:1" ht="37.5" customHeight="1" x14ac:dyDescent="0.35">
      <c r="A42" s="18"/>
    </row>
    <row r="43" spans="1:1" x14ac:dyDescent="0.35">
      <c r="A43" s="18"/>
    </row>
    <row r="44" spans="1:1" x14ac:dyDescent="0.35">
      <c r="A44" s="18"/>
    </row>
    <row r="45" spans="1:1" x14ac:dyDescent="0.35">
      <c r="A45" s="18"/>
    </row>
    <row r="46" spans="1:1" x14ac:dyDescent="0.35">
      <c r="A46" s="18"/>
    </row>
    <row r="47" spans="1:1" x14ac:dyDescent="0.35">
      <c r="A47" s="18"/>
    </row>
    <row r="48" spans="1:1" x14ac:dyDescent="0.35">
      <c r="A48" s="18"/>
    </row>
    <row r="49" spans="1:4" x14ac:dyDescent="0.35">
      <c r="A49" s="18"/>
    </row>
    <row r="50" spans="1:4" x14ac:dyDescent="0.35">
      <c r="A50" s="18"/>
    </row>
    <row r="51" spans="1:4" x14ac:dyDescent="0.35">
      <c r="A51" s="18"/>
    </row>
    <row r="52" spans="1:4" x14ac:dyDescent="0.35">
      <c r="A52" s="18"/>
    </row>
    <row r="53" spans="1:4" ht="241.5" customHeight="1" x14ac:dyDescent="0.35">
      <c r="A53" s="18"/>
    </row>
    <row r="54" spans="1:4" x14ac:dyDescent="0.35">
      <c r="A54" s="18"/>
    </row>
    <row r="55" spans="1:4" x14ac:dyDescent="0.35">
      <c r="A55" s="18"/>
    </row>
    <row r="56" spans="1:4" x14ac:dyDescent="0.35">
      <c r="A56" s="18"/>
    </row>
    <row r="57" spans="1:4" x14ac:dyDescent="0.35">
      <c r="A57" s="22"/>
      <c r="B57" s="16"/>
      <c r="C57" s="16"/>
      <c r="D57" s="16"/>
    </row>
    <row r="58" spans="1:4" x14ac:dyDescent="0.35">
      <c r="A58" s="22"/>
      <c r="B58" s="16"/>
      <c r="C58" s="16"/>
      <c r="D58" s="16"/>
    </row>
    <row r="59" spans="1:4" ht="27" customHeight="1" x14ac:dyDescent="0.35">
      <c r="A59" s="22"/>
      <c r="B59" s="16"/>
      <c r="C59" s="16"/>
      <c r="D59" s="16"/>
    </row>
    <row r="60" spans="1:4" x14ac:dyDescent="0.35">
      <c r="A60" s="22"/>
      <c r="B60" s="16"/>
      <c r="C60" s="16"/>
      <c r="D60" s="16"/>
    </row>
    <row r="61" spans="1:4" x14ac:dyDescent="0.35">
      <c r="A61" s="22"/>
      <c r="B61" s="16"/>
      <c r="C61" s="16"/>
      <c r="D61" s="16"/>
    </row>
    <row r="62" spans="1:4" x14ac:dyDescent="0.35">
      <c r="A62" s="22"/>
      <c r="B62" s="16"/>
      <c r="C62" s="16"/>
      <c r="D62" s="16"/>
    </row>
    <row r="63" spans="1:4" x14ac:dyDescent="0.35">
      <c r="A63" s="18"/>
    </row>
    <row r="64" spans="1:4" x14ac:dyDescent="0.35">
      <c r="A64" s="18"/>
    </row>
    <row r="65" spans="1:19" x14ac:dyDescent="0.35">
      <c r="A65" s="18"/>
    </row>
    <row r="66" spans="1:19" x14ac:dyDescent="0.35">
      <c r="A66" s="18"/>
    </row>
    <row r="67" spans="1:19" ht="48" customHeight="1" x14ac:dyDescent="0.35">
      <c r="A67" s="18"/>
    </row>
    <row r="68" spans="1:19" x14ac:dyDescent="0.35">
      <c r="A68" s="18"/>
      <c r="K68" s="5"/>
      <c r="N68" s="5"/>
      <c r="O68" s="5"/>
      <c r="P68" s="5"/>
      <c r="Q68" s="5"/>
      <c r="R68" s="5"/>
      <c r="S68" s="26"/>
    </row>
    <row r="69" spans="1:19" x14ac:dyDescent="0.35">
      <c r="A69" s="18"/>
      <c r="K69" s="5"/>
      <c r="N69" s="5"/>
      <c r="O69" s="5"/>
      <c r="P69" s="5"/>
      <c r="Q69" s="5"/>
      <c r="R69" s="5"/>
      <c r="S69" s="26"/>
    </row>
    <row r="70" spans="1:19" x14ac:dyDescent="0.35">
      <c r="A70" s="18"/>
      <c r="K70" s="5"/>
      <c r="N70" s="5"/>
      <c r="O70" s="5"/>
      <c r="P70" s="5"/>
      <c r="Q70" s="5"/>
      <c r="R70" s="5"/>
      <c r="S70" s="26"/>
    </row>
    <row r="71" spans="1:19" x14ac:dyDescent="0.35">
      <c r="A71" s="18"/>
      <c r="K71" s="5"/>
      <c r="N71" s="5"/>
      <c r="O71" s="5"/>
      <c r="P71" s="5"/>
      <c r="Q71" s="5"/>
      <c r="R71" s="5"/>
      <c r="S71" s="26"/>
    </row>
    <row r="72" spans="1:19" x14ac:dyDescent="0.35">
      <c r="A72" s="22"/>
      <c r="B72" s="16"/>
      <c r="C72" s="16"/>
      <c r="D72" s="16"/>
      <c r="K72" s="5"/>
      <c r="N72" s="5"/>
      <c r="O72" s="5"/>
      <c r="P72" s="5"/>
      <c r="Q72" s="5"/>
      <c r="R72" s="5"/>
      <c r="S72" s="26"/>
    </row>
    <row r="73" spans="1:19" x14ac:dyDescent="0.35">
      <c r="A73" s="22"/>
      <c r="B73" s="16"/>
      <c r="C73" s="16"/>
      <c r="D73" s="16"/>
      <c r="K73" s="5"/>
      <c r="N73" s="5"/>
      <c r="O73" s="5"/>
      <c r="P73" s="5"/>
      <c r="Q73" s="5"/>
      <c r="R73" s="5"/>
      <c r="S73" s="26"/>
    </row>
    <row r="74" spans="1:19" x14ac:dyDescent="0.35">
      <c r="A74" s="22"/>
      <c r="B74" s="16"/>
      <c r="C74" s="16"/>
      <c r="D74" s="16"/>
      <c r="K74" s="5"/>
      <c r="N74" s="5"/>
      <c r="O74" s="5"/>
      <c r="P74" s="5"/>
      <c r="Q74" s="5"/>
      <c r="R74" s="5"/>
      <c r="S74" s="26"/>
    </row>
    <row r="75" spans="1:19" x14ac:dyDescent="0.35">
      <c r="A75" s="22"/>
      <c r="B75" s="16"/>
      <c r="C75" s="16"/>
      <c r="D75" s="16"/>
      <c r="K75" s="5"/>
      <c r="N75" s="5"/>
      <c r="O75" s="5"/>
      <c r="P75" s="5"/>
      <c r="Q75" s="5"/>
      <c r="R75" s="5"/>
      <c r="S75" s="26"/>
    </row>
    <row r="76" spans="1:19" x14ac:dyDescent="0.35">
      <c r="A76" s="22"/>
      <c r="B76" s="16"/>
      <c r="C76" s="16"/>
      <c r="D76" s="16"/>
      <c r="K76" s="5"/>
      <c r="N76" s="5"/>
      <c r="O76" s="5"/>
      <c r="P76" s="5"/>
      <c r="Q76" s="5"/>
      <c r="R76" s="5"/>
      <c r="S76" s="26"/>
    </row>
    <row r="77" spans="1:19" x14ac:dyDescent="0.35">
      <c r="A77" s="22"/>
      <c r="B77" s="16"/>
      <c r="C77" s="16"/>
      <c r="D77" s="16"/>
      <c r="K77" s="5"/>
      <c r="N77" s="5"/>
      <c r="O77" s="5"/>
      <c r="P77" s="5"/>
      <c r="Q77" s="5"/>
      <c r="R77" s="5"/>
      <c r="S77" s="26"/>
    </row>
    <row r="78" spans="1:19" x14ac:dyDescent="0.35">
      <c r="A78" s="18"/>
      <c r="C78" s="16"/>
      <c r="K78" s="5"/>
      <c r="N78" s="5"/>
      <c r="O78" s="5"/>
      <c r="P78" s="5"/>
      <c r="Q78" s="5"/>
      <c r="R78" s="5"/>
      <c r="S78" s="26"/>
    </row>
    <row r="79" spans="1:19" x14ac:dyDescent="0.35">
      <c r="A79" s="18"/>
      <c r="C79" s="16"/>
      <c r="K79" s="5"/>
      <c r="N79" s="5"/>
      <c r="O79" s="5"/>
      <c r="P79" s="5"/>
      <c r="Q79" s="5"/>
      <c r="R79" s="5"/>
      <c r="S79" s="26"/>
    </row>
    <row r="80" spans="1:19" x14ac:dyDescent="0.35">
      <c r="A80" s="18"/>
      <c r="C80" s="16"/>
      <c r="K80" s="5"/>
      <c r="N80" s="5"/>
      <c r="O80" s="5"/>
      <c r="P80" s="5"/>
      <c r="Q80" s="5"/>
      <c r="R80" s="5"/>
      <c r="S80" s="26"/>
    </row>
    <row r="81" spans="1:19" x14ac:dyDescent="0.35">
      <c r="A81" s="18"/>
      <c r="C81" s="16"/>
      <c r="K81" s="5"/>
      <c r="N81" s="5"/>
      <c r="O81" s="5"/>
      <c r="P81" s="5"/>
      <c r="Q81" s="5"/>
      <c r="R81" s="5"/>
      <c r="S81" s="26"/>
    </row>
    <row r="82" spans="1:19" x14ac:dyDescent="0.35">
      <c r="A82" s="18"/>
      <c r="K82" s="5"/>
      <c r="N82" s="5"/>
      <c r="O82" s="5"/>
      <c r="P82" s="5"/>
      <c r="Q82" s="5"/>
      <c r="R82" s="5"/>
      <c r="S82" s="26"/>
    </row>
    <row r="83" spans="1:19" x14ac:dyDescent="0.35">
      <c r="A83" s="18"/>
      <c r="K83" s="5"/>
      <c r="N83" s="5"/>
      <c r="O83" s="5"/>
      <c r="P83" s="5"/>
      <c r="Q83" s="5"/>
      <c r="R83" s="5"/>
      <c r="S83" s="26"/>
    </row>
    <row r="84" spans="1:19" x14ac:dyDescent="0.35">
      <c r="A84" s="18"/>
      <c r="D84" s="16"/>
      <c r="K84" s="5"/>
      <c r="N84" s="5"/>
      <c r="O84" s="5"/>
      <c r="P84" s="5"/>
      <c r="Q84" s="5"/>
      <c r="R84" s="5"/>
      <c r="S84" s="26"/>
    </row>
    <row r="85" spans="1:19" x14ac:dyDescent="0.35">
      <c r="A85" s="18"/>
      <c r="K85" s="5"/>
      <c r="N85" s="5"/>
      <c r="O85" s="5"/>
      <c r="P85" s="5"/>
      <c r="Q85" s="5"/>
      <c r="R85" s="5"/>
      <c r="S85" s="26"/>
    </row>
    <row r="86" spans="1:19" x14ac:dyDescent="0.35">
      <c r="A86" s="18"/>
      <c r="K86" s="5"/>
      <c r="N86" s="5"/>
      <c r="O86" s="5"/>
      <c r="P86" s="5"/>
      <c r="Q86" s="5"/>
      <c r="R86" s="5"/>
      <c r="S86" s="26"/>
    </row>
    <row r="87" spans="1:19" x14ac:dyDescent="0.35">
      <c r="K87" s="5"/>
      <c r="N87" s="5"/>
      <c r="O87" s="5"/>
      <c r="P87" s="5"/>
      <c r="Q87" s="5"/>
      <c r="R87" s="5"/>
      <c r="S87" s="26"/>
    </row>
    <row r="88" spans="1:19" x14ac:dyDescent="0.35">
      <c r="A88" s="18"/>
      <c r="K88" s="5"/>
      <c r="N88" s="5"/>
      <c r="O88" s="5"/>
      <c r="P88" s="5"/>
      <c r="Q88" s="5"/>
      <c r="R88" s="5"/>
      <c r="S88" s="26"/>
    </row>
    <row r="89" spans="1:19" x14ac:dyDescent="0.35">
      <c r="A89" s="22"/>
      <c r="B89" s="16"/>
      <c r="C89" s="16"/>
      <c r="D89" s="57"/>
      <c r="K89" s="5"/>
      <c r="N89" s="5"/>
      <c r="O89" s="5"/>
      <c r="P89" s="5"/>
      <c r="Q89" s="5"/>
      <c r="R89" s="5"/>
      <c r="S89" s="26"/>
    </row>
    <row r="90" spans="1:19" x14ac:dyDescent="0.35">
      <c r="A90" s="22"/>
      <c r="B90" s="16"/>
      <c r="C90" s="16"/>
      <c r="D90" s="58"/>
      <c r="K90" s="5"/>
      <c r="N90" s="5"/>
      <c r="O90" s="5"/>
      <c r="P90" s="5"/>
      <c r="Q90" s="5"/>
      <c r="R90" s="5"/>
      <c r="S90" s="26"/>
    </row>
    <row r="91" spans="1:19" x14ac:dyDescent="0.35">
      <c r="A91" s="18"/>
      <c r="B91" s="15"/>
      <c r="K91" s="5"/>
      <c r="N91" s="5"/>
      <c r="O91" s="5"/>
      <c r="P91" s="5"/>
      <c r="Q91" s="5"/>
      <c r="R91" s="35"/>
      <c r="S91" s="37"/>
    </row>
    <row r="92" spans="1:19" x14ac:dyDescent="0.35">
      <c r="K92" s="5"/>
      <c r="N92" s="5"/>
      <c r="O92" s="5"/>
      <c r="P92" s="5"/>
      <c r="Q92" s="5"/>
      <c r="R92" s="5"/>
      <c r="S92" s="26"/>
    </row>
    <row r="93" spans="1:19" x14ac:dyDescent="0.35">
      <c r="K93" s="5"/>
      <c r="N93" s="5"/>
      <c r="O93" s="5"/>
      <c r="P93" s="5"/>
      <c r="Q93" s="5"/>
      <c r="R93" s="5"/>
      <c r="S93" s="26"/>
    </row>
    <row r="94" spans="1:19" x14ac:dyDescent="0.35">
      <c r="K94" s="5"/>
      <c r="N94" s="5"/>
      <c r="O94" s="5"/>
      <c r="P94" s="5"/>
      <c r="Q94" s="5"/>
      <c r="R94" s="5"/>
      <c r="S94" s="26"/>
    </row>
    <row r="95" spans="1:19" x14ac:dyDescent="0.35">
      <c r="K95" s="5"/>
      <c r="N95" s="5"/>
      <c r="O95" s="5"/>
      <c r="P95" s="5"/>
      <c r="Q95" s="5"/>
      <c r="R95" s="5"/>
      <c r="S95" s="26"/>
    </row>
    <row r="96" spans="1:19" x14ac:dyDescent="0.35">
      <c r="K96" s="5"/>
      <c r="N96" s="5"/>
      <c r="O96" s="5"/>
      <c r="P96" s="5"/>
      <c r="Q96" s="5"/>
      <c r="R96" s="5"/>
      <c r="S96" s="26"/>
    </row>
    <row r="97" spans="11:19" x14ac:dyDescent="0.35">
      <c r="K97" s="5"/>
      <c r="N97" s="5"/>
      <c r="O97" s="5"/>
      <c r="P97" s="5"/>
      <c r="Q97" s="5"/>
      <c r="R97" s="5"/>
      <c r="S97" s="26"/>
    </row>
    <row r="98" spans="11:19" x14ac:dyDescent="0.35">
      <c r="K98" s="5"/>
      <c r="N98" s="5"/>
      <c r="O98" s="5"/>
      <c r="P98" s="5"/>
      <c r="Q98" s="5"/>
      <c r="R98" s="5"/>
      <c r="S98" s="26"/>
    </row>
    <row r="99" spans="11:19" x14ac:dyDescent="0.35">
      <c r="K99" s="5"/>
      <c r="N99" s="5"/>
      <c r="O99" s="5"/>
      <c r="P99" s="5"/>
      <c r="Q99" s="5"/>
      <c r="R99" s="5"/>
      <c r="S99" s="26"/>
    </row>
    <row r="100" spans="11:19" x14ac:dyDescent="0.35">
      <c r="K100" s="5"/>
      <c r="N100" s="5"/>
      <c r="O100" s="5"/>
      <c r="P100" s="5"/>
      <c r="Q100" s="5"/>
      <c r="R100" s="5"/>
      <c r="S100" s="26"/>
    </row>
    <row r="101" spans="11:19" x14ac:dyDescent="0.35">
      <c r="K101" s="5"/>
      <c r="N101" s="5"/>
      <c r="O101" s="5"/>
      <c r="P101" s="5"/>
      <c r="Q101" s="5"/>
      <c r="R101" s="5"/>
      <c r="S101" s="26"/>
    </row>
    <row r="102" spans="11:19" x14ac:dyDescent="0.35">
      <c r="K102" s="5"/>
      <c r="N102" s="5"/>
      <c r="O102" s="5"/>
      <c r="P102" s="5"/>
      <c r="Q102" s="5"/>
      <c r="R102" s="5"/>
      <c r="S102" s="26"/>
    </row>
    <row r="103" spans="11:19" x14ac:dyDescent="0.35">
      <c r="K103" s="5"/>
      <c r="N103" s="5"/>
      <c r="O103" s="5"/>
      <c r="P103" s="5"/>
      <c r="Q103" s="5"/>
      <c r="R103" s="5"/>
      <c r="S103" s="26"/>
    </row>
    <row r="104" spans="11:19" x14ac:dyDescent="0.35">
      <c r="K104" s="5"/>
      <c r="N104" s="5"/>
      <c r="O104" s="5"/>
      <c r="P104" s="5"/>
      <c r="Q104" s="5"/>
      <c r="R104" s="5"/>
      <c r="S104" s="26"/>
    </row>
    <row r="105" spans="11:19" x14ac:dyDescent="0.35">
      <c r="K105" s="5"/>
      <c r="N105" s="5"/>
      <c r="O105" s="5"/>
      <c r="P105" s="5"/>
      <c r="Q105" s="5"/>
      <c r="R105" s="5"/>
      <c r="S105" s="26"/>
    </row>
    <row r="106" spans="11:19" x14ac:dyDescent="0.35">
      <c r="K106" s="5"/>
      <c r="N106" s="5"/>
      <c r="O106" s="5"/>
      <c r="P106" s="5"/>
      <c r="Q106" s="5"/>
      <c r="R106" s="5"/>
      <c r="S106" s="26"/>
    </row>
    <row r="107" spans="11:19" x14ac:dyDescent="0.35">
      <c r="K107" s="5"/>
      <c r="N107" s="5"/>
      <c r="O107" s="5"/>
      <c r="P107" s="5"/>
      <c r="Q107" s="5"/>
      <c r="R107" s="5"/>
      <c r="S107" s="26"/>
    </row>
    <row r="108" spans="11:19" x14ac:dyDescent="0.35">
      <c r="K108" s="5"/>
      <c r="N108" s="5"/>
      <c r="O108" s="5"/>
      <c r="P108" s="5"/>
      <c r="Q108" s="5"/>
      <c r="R108" s="5"/>
      <c r="S108" s="26"/>
    </row>
    <row r="109" spans="11:19" x14ac:dyDescent="0.35">
      <c r="K109" s="5"/>
      <c r="N109" s="5"/>
      <c r="O109" s="5"/>
      <c r="P109" s="5"/>
      <c r="Q109" s="5"/>
      <c r="R109" s="5"/>
      <c r="S109" s="26"/>
    </row>
    <row r="110" spans="11:19" x14ac:dyDescent="0.35">
      <c r="K110" s="5"/>
      <c r="N110" s="5"/>
      <c r="O110" s="5"/>
      <c r="P110" s="5"/>
      <c r="Q110" s="5"/>
      <c r="R110" s="5"/>
      <c r="S110" s="26"/>
    </row>
    <row r="111" spans="11:19" x14ac:dyDescent="0.35">
      <c r="K111" s="5"/>
      <c r="N111" s="5"/>
      <c r="O111" s="5"/>
      <c r="P111" s="5"/>
      <c r="Q111" s="5"/>
      <c r="R111" s="5"/>
      <c r="S111" s="26"/>
    </row>
    <row r="112" spans="11:19" x14ac:dyDescent="0.35">
      <c r="K112" s="5"/>
      <c r="N112" s="5"/>
      <c r="O112" s="5"/>
      <c r="P112" s="5"/>
      <c r="Q112" s="5"/>
      <c r="R112" s="5"/>
      <c r="S112" s="26"/>
    </row>
    <row r="113" spans="11:19" x14ac:dyDescent="0.35">
      <c r="K113" s="5"/>
      <c r="N113" s="5"/>
      <c r="O113" s="5"/>
      <c r="P113" s="5"/>
      <c r="Q113" s="5"/>
      <c r="R113" s="5"/>
      <c r="S113" s="26"/>
    </row>
    <row r="114" spans="11:19" x14ac:dyDescent="0.35">
      <c r="K114" s="5"/>
      <c r="N114" s="5"/>
      <c r="O114" s="5"/>
      <c r="P114" s="5"/>
      <c r="Q114" s="5"/>
      <c r="R114" s="5"/>
      <c r="S114" s="26"/>
    </row>
    <row r="115" spans="11:19" x14ac:dyDescent="0.35">
      <c r="K115" s="5"/>
      <c r="N115" s="5"/>
      <c r="O115" s="5"/>
      <c r="P115" s="5"/>
      <c r="Q115" s="5"/>
      <c r="R115" s="5"/>
      <c r="S115" s="26"/>
    </row>
    <row r="116" spans="11:19" x14ac:dyDescent="0.35">
      <c r="K116" s="5"/>
      <c r="N116" s="5"/>
      <c r="O116" s="5"/>
      <c r="P116" s="5"/>
      <c r="Q116" s="5"/>
      <c r="R116" s="5"/>
      <c r="S116" s="26"/>
    </row>
    <row r="117" spans="11:19" x14ac:dyDescent="0.35">
      <c r="K117" s="5"/>
      <c r="N117" s="5"/>
      <c r="O117" s="5"/>
      <c r="P117" s="5"/>
      <c r="Q117" s="5"/>
      <c r="R117" s="5"/>
      <c r="S117" s="26"/>
    </row>
    <row r="118" spans="11:19" x14ac:dyDescent="0.35">
      <c r="K118" s="5"/>
      <c r="N118" s="5"/>
      <c r="O118" s="5"/>
      <c r="P118" s="5"/>
      <c r="Q118" s="5"/>
      <c r="R118" s="5"/>
      <c r="S118" s="26"/>
    </row>
    <row r="119" spans="11:19" x14ac:dyDescent="0.35">
      <c r="K119" s="5"/>
      <c r="N119" s="5"/>
      <c r="O119" s="5"/>
      <c r="P119" s="5"/>
      <c r="Q119" s="5"/>
      <c r="R119" s="5"/>
      <c r="S119" s="26"/>
    </row>
    <row r="120" spans="11:19" x14ac:dyDescent="0.35">
      <c r="K120" s="5"/>
      <c r="N120" s="5"/>
      <c r="O120" s="5"/>
      <c r="P120" s="5"/>
      <c r="Q120" s="5"/>
      <c r="R120" s="5"/>
      <c r="S120" s="26"/>
    </row>
    <row r="121" spans="11:19" x14ac:dyDescent="0.35">
      <c r="K121" s="5"/>
      <c r="N121" s="5"/>
      <c r="O121" s="5"/>
      <c r="P121" s="5"/>
      <c r="Q121" s="5"/>
      <c r="R121" s="5"/>
      <c r="S121" s="26"/>
    </row>
    <row r="122" spans="11:19" x14ac:dyDescent="0.35">
      <c r="K122" s="5"/>
      <c r="N122" s="5"/>
      <c r="O122" s="5"/>
      <c r="P122" s="5"/>
      <c r="Q122" s="5"/>
      <c r="R122" s="5"/>
      <c r="S122" s="26"/>
    </row>
    <row r="123" spans="11:19" x14ac:dyDescent="0.35">
      <c r="K123" s="5"/>
      <c r="N123" s="5"/>
      <c r="O123" s="5"/>
      <c r="P123" s="5"/>
      <c r="Q123" s="5"/>
      <c r="R123" s="5"/>
      <c r="S123" s="26"/>
    </row>
    <row r="124" spans="11:19" x14ac:dyDescent="0.35">
      <c r="K124" s="5"/>
      <c r="N124" s="5"/>
      <c r="O124" s="5"/>
      <c r="P124" s="5"/>
      <c r="Q124" s="5"/>
      <c r="R124" s="5"/>
      <c r="S124" s="26"/>
    </row>
    <row r="125" spans="11:19" x14ac:dyDescent="0.35">
      <c r="K125" s="5"/>
      <c r="N125" s="5"/>
      <c r="O125" s="5"/>
      <c r="P125" s="5"/>
      <c r="Q125" s="5"/>
      <c r="R125" s="5"/>
      <c r="S125" s="26"/>
    </row>
    <row r="126" spans="11:19" x14ac:dyDescent="0.35">
      <c r="K126" s="5"/>
      <c r="N126" s="5"/>
      <c r="O126" s="5"/>
      <c r="P126" s="5"/>
      <c r="Q126" s="5"/>
      <c r="R126" s="5"/>
      <c r="S126" s="26"/>
    </row>
    <row r="127" spans="11:19" x14ac:dyDescent="0.35">
      <c r="K127" s="5"/>
      <c r="N127" s="5"/>
      <c r="O127" s="5"/>
      <c r="P127" s="5"/>
      <c r="Q127" s="5"/>
      <c r="R127" s="5"/>
      <c r="S127" s="26"/>
    </row>
    <row r="128" spans="11:19" x14ac:dyDescent="0.35">
      <c r="K128" s="5"/>
      <c r="N128" s="5"/>
      <c r="O128" s="5"/>
      <c r="P128" s="5"/>
      <c r="Q128" s="5"/>
      <c r="R128" s="5"/>
      <c r="S128" s="44"/>
    </row>
    <row r="129" spans="11:19" x14ac:dyDescent="0.35">
      <c r="K129" s="5"/>
      <c r="N129" s="5"/>
      <c r="O129" s="5"/>
      <c r="P129" s="5"/>
      <c r="Q129" s="5"/>
      <c r="R129" s="5"/>
      <c r="S129" s="26"/>
    </row>
    <row r="130" spans="11:19" x14ac:dyDescent="0.35">
      <c r="K130" s="5"/>
      <c r="N130" s="5"/>
      <c r="O130" s="5"/>
      <c r="P130" s="5"/>
      <c r="Q130" s="5"/>
      <c r="R130" s="5"/>
      <c r="S130" s="44"/>
    </row>
    <row r="131" spans="11:19" x14ac:dyDescent="0.35">
      <c r="K131" s="5"/>
      <c r="N131" s="5"/>
      <c r="O131" s="5"/>
      <c r="P131" s="5"/>
      <c r="Q131" s="5"/>
      <c r="R131" s="5"/>
      <c r="S131" s="26"/>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540E-6C51-40BB-A955-C02F6C3159C5}">
  <sheetPr>
    <tabColor theme="9" tint="0.79998168889431442"/>
  </sheetPr>
  <dimension ref="A1:M22"/>
  <sheetViews>
    <sheetView workbookViewId="0">
      <selection activeCell="G36" sqref="G36"/>
    </sheetView>
  </sheetViews>
  <sheetFormatPr defaultRowHeight="14.5" x14ac:dyDescent="0.35"/>
  <cols>
    <col min="1" max="1" width="9.54296875" bestFit="1" customWidth="1"/>
    <col min="2" max="2" width="14" customWidth="1"/>
    <col min="5" max="5" width="8.54296875" style="7"/>
    <col min="6" max="6" width="11.54296875" customWidth="1"/>
    <col min="8" max="11" width="8.54296875" style="5"/>
  </cols>
  <sheetData>
    <row r="1" spans="1:13" s="3" customFormat="1" ht="43.5" x14ac:dyDescent="0.35">
      <c r="A1" s="3" t="s">
        <v>19</v>
      </c>
      <c r="B1" s="3" t="s">
        <v>22</v>
      </c>
      <c r="C1" s="3" t="s">
        <v>59</v>
      </c>
      <c r="D1" s="3" t="s">
        <v>60</v>
      </c>
      <c r="E1" s="9" t="s">
        <v>61</v>
      </c>
      <c r="F1" s="10" t="s">
        <v>62</v>
      </c>
      <c r="G1" s="11" t="s">
        <v>63</v>
      </c>
      <c r="H1" s="4" t="s">
        <v>64</v>
      </c>
      <c r="I1" s="4" t="s">
        <v>65</v>
      </c>
      <c r="J1" s="4" t="s">
        <v>66</v>
      </c>
      <c r="K1" s="4" t="s">
        <v>67</v>
      </c>
    </row>
    <row r="2" spans="1:13" x14ac:dyDescent="0.35">
      <c r="A2" t="s">
        <v>34</v>
      </c>
      <c r="B2" t="s">
        <v>36</v>
      </c>
      <c r="C2">
        <v>1984</v>
      </c>
      <c r="D2" t="s">
        <v>68</v>
      </c>
      <c r="E2" s="65">
        <v>3.7702351485148514E-2</v>
      </c>
      <c r="F2" s="5">
        <v>200</v>
      </c>
      <c r="G2" s="12">
        <f>F2*E2</f>
        <v>7.5404702970297031</v>
      </c>
      <c r="H2" s="5">
        <v>6</v>
      </c>
      <c r="I2" s="5">
        <v>1.5</v>
      </c>
      <c r="J2" s="5">
        <v>9</v>
      </c>
      <c r="K2" s="20">
        <f>G2*J2</f>
        <v>67.864232673267324</v>
      </c>
      <c r="M2" s="5"/>
    </row>
    <row r="3" spans="1:13" x14ac:dyDescent="0.35">
      <c r="A3" t="s">
        <v>34</v>
      </c>
      <c r="B3" t="s">
        <v>37</v>
      </c>
      <c r="C3">
        <v>1989</v>
      </c>
      <c r="D3" t="s">
        <v>68</v>
      </c>
      <c r="E3" s="65">
        <v>3.9613490099009899E-2</v>
      </c>
      <c r="F3" s="5">
        <v>200</v>
      </c>
      <c r="G3" s="12">
        <f t="shared" ref="G3:G17" si="0">F3*E3</f>
        <v>7.9226980198019801</v>
      </c>
      <c r="H3" s="5">
        <v>6</v>
      </c>
      <c r="I3" s="5">
        <v>1.5</v>
      </c>
      <c r="J3" s="5">
        <v>9</v>
      </c>
      <c r="K3" s="20">
        <f t="shared" ref="K3:K17" si="1">G3*J3</f>
        <v>71.304282178217818</v>
      </c>
      <c r="M3" s="5"/>
    </row>
    <row r="4" spans="1:13" x14ac:dyDescent="0.35">
      <c r="A4" t="s">
        <v>34</v>
      </c>
      <c r="B4" t="s">
        <v>38</v>
      </c>
      <c r="C4">
        <v>1999</v>
      </c>
      <c r="D4" t="s">
        <v>69</v>
      </c>
      <c r="E4" s="65">
        <v>4.7244801980198023E-2</v>
      </c>
      <c r="F4" s="5">
        <v>200</v>
      </c>
      <c r="G4" s="12">
        <f t="shared" si="0"/>
        <v>9.4489603960396042</v>
      </c>
      <c r="H4" s="5">
        <v>6</v>
      </c>
      <c r="I4" s="5">
        <v>1.5</v>
      </c>
      <c r="J4" s="5">
        <v>9</v>
      </c>
      <c r="K4" s="20">
        <f t="shared" si="1"/>
        <v>85.040643564356444</v>
      </c>
    </row>
    <row r="5" spans="1:13" x14ac:dyDescent="0.35">
      <c r="A5" t="s">
        <v>34</v>
      </c>
      <c r="B5" t="s">
        <v>39</v>
      </c>
      <c r="C5">
        <v>2001</v>
      </c>
      <c r="D5" t="s">
        <v>70</v>
      </c>
      <c r="E5" s="65">
        <v>4.6322475493818044E-2</v>
      </c>
      <c r="F5" s="5">
        <v>200</v>
      </c>
      <c r="G5" s="12">
        <f t="shared" si="0"/>
        <v>9.264495098763609</v>
      </c>
      <c r="H5" s="5">
        <v>6</v>
      </c>
      <c r="I5" s="5">
        <v>1.5</v>
      </c>
      <c r="J5" s="5">
        <v>9</v>
      </c>
      <c r="K5" s="20">
        <f t="shared" si="1"/>
        <v>83.380455888872476</v>
      </c>
    </row>
    <row r="6" spans="1:13" x14ac:dyDescent="0.35">
      <c r="A6" t="s">
        <v>34</v>
      </c>
      <c r="B6" t="s">
        <v>40</v>
      </c>
      <c r="C6">
        <v>2004</v>
      </c>
      <c r="D6" t="s">
        <v>69</v>
      </c>
      <c r="E6" s="65">
        <v>4.2481902985074621E-2</v>
      </c>
      <c r="F6" s="5">
        <v>200</v>
      </c>
      <c r="G6" s="12">
        <f t="shared" si="0"/>
        <v>8.4963805970149249</v>
      </c>
      <c r="H6" s="5">
        <v>6</v>
      </c>
      <c r="I6" s="5">
        <v>1.5</v>
      </c>
      <c r="J6" s="5">
        <v>9</v>
      </c>
      <c r="K6" s="20">
        <f t="shared" si="1"/>
        <v>76.467425373134319</v>
      </c>
    </row>
    <row r="7" spans="1:13" x14ac:dyDescent="0.35">
      <c r="A7" t="s">
        <v>34</v>
      </c>
      <c r="B7" t="s">
        <v>41</v>
      </c>
      <c r="C7">
        <v>2008</v>
      </c>
      <c r="D7" t="s">
        <v>69</v>
      </c>
      <c r="E7" s="65">
        <v>4.3977599009900989E-2</v>
      </c>
      <c r="F7" s="5">
        <v>200</v>
      </c>
      <c r="G7" s="12">
        <f t="shared" si="0"/>
        <v>8.7955198019801983</v>
      </c>
      <c r="H7" s="5">
        <v>6</v>
      </c>
      <c r="I7" s="5">
        <v>1.5</v>
      </c>
      <c r="J7" s="5">
        <v>9</v>
      </c>
      <c r="K7" s="20">
        <f t="shared" si="1"/>
        <v>79.159678217821778</v>
      </c>
    </row>
    <row r="8" spans="1:13" x14ac:dyDescent="0.35">
      <c r="A8" t="s">
        <v>34</v>
      </c>
      <c r="B8" t="s">
        <v>42</v>
      </c>
      <c r="C8">
        <v>2016</v>
      </c>
      <c r="D8" t="s">
        <v>69</v>
      </c>
      <c r="E8" s="65">
        <v>4.9001305970149255E-2</v>
      </c>
      <c r="F8" s="5">
        <v>200</v>
      </c>
      <c r="G8" s="12">
        <f t="shared" si="0"/>
        <v>9.8002611940298507</v>
      </c>
      <c r="H8" s="5">
        <v>6</v>
      </c>
      <c r="I8" s="5">
        <v>1.5</v>
      </c>
      <c r="J8" s="5">
        <v>9</v>
      </c>
      <c r="K8" s="20">
        <f t="shared" si="1"/>
        <v>88.20235074626865</v>
      </c>
    </row>
    <row r="9" spans="1:13" x14ac:dyDescent="0.35">
      <c r="A9" t="s">
        <v>34</v>
      </c>
      <c r="B9" t="s">
        <v>43</v>
      </c>
      <c r="C9">
        <v>2020</v>
      </c>
      <c r="D9" t="s">
        <v>69</v>
      </c>
      <c r="E9" s="65">
        <v>4.1517241379310343E-2</v>
      </c>
      <c r="F9" s="5">
        <v>200</v>
      </c>
      <c r="G9" s="12">
        <f t="shared" si="0"/>
        <v>8.3034482758620687</v>
      </c>
      <c r="H9" s="5">
        <v>6</v>
      </c>
      <c r="I9" s="5">
        <v>1.5</v>
      </c>
      <c r="J9" s="5">
        <v>9</v>
      </c>
      <c r="K9" s="20">
        <f t="shared" si="1"/>
        <v>74.731034482758616</v>
      </c>
    </row>
    <row r="10" spans="1:13" x14ac:dyDescent="0.35">
      <c r="A10" t="s">
        <v>24</v>
      </c>
      <c r="B10" t="s">
        <v>26</v>
      </c>
      <c r="C10">
        <v>1983</v>
      </c>
      <c r="D10" t="s">
        <v>71</v>
      </c>
      <c r="E10" s="65">
        <v>3.8316915422885574E-2</v>
      </c>
      <c r="F10" s="5">
        <v>200</v>
      </c>
      <c r="G10" s="12">
        <f t="shared" si="0"/>
        <v>7.6633830845771147</v>
      </c>
      <c r="H10" s="5">
        <v>6</v>
      </c>
      <c r="I10" s="5">
        <v>1.5</v>
      </c>
      <c r="J10" s="5">
        <v>9</v>
      </c>
      <c r="K10" s="20">
        <f t="shared" si="1"/>
        <v>68.970447761194038</v>
      </c>
    </row>
    <row r="11" spans="1:13" x14ac:dyDescent="0.35">
      <c r="A11" t="s">
        <v>24</v>
      </c>
      <c r="B11" t="s">
        <v>27</v>
      </c>
      <c r="C11">
        <v>1985</v>
      </c>
      <c r="D11" t="s">
        <v>71</v>
      </c>
      <c r="E11" s="65">
        <v>4.1454872912664399E-2</v>
      </c>
      <c r="F11" s="5">
        <v>200</v>
      </c>
      <c r="G11" s="12">
        <f t="shared" si="0"/>
        <v>8.2909745825328791</v>
      </c>
      <c r="H11" s="5">
        <v>6</v>
      </c>
      <c r="I11" s="5">
        <v>1.5</v>
      </c>
      <c r="J11" s="5">
        <v>9</v>
      </c>
      <c r="K11" s="20">
        <f t="shared" si="1"/>
        <v>74.618771242795916</v>
      </c>
    </row>
    <row r="12" spans="1:13" x14ac:dyDescent="0.35">
      <c r="A12" t="s">
        <v>24</v>
      </c>
      <c r="B12" t="s">
        <v>28</v>
      </c>
      <c r="C12">
        <v>1998</v>
      </c>
      <c r="D12" t="s">
        <v>71</v>
      </c>
      <c r="E12" s="65">
        <v>4.1526193651917939E-2</v>
      </c>
      <c r="F12" s="5">
        <v>200</v>
      </c>
      <c r="G12" s="12">
        <f t="shared" si="0"/>
        <v>8.3052387303835875</v>
      </c>
      <c r="H12" s="5">
        <v>6</v>
      </c>
      <c r="I12" s="5">
        <v>1.5</v>
      </c>
      <c r="J12" s="5">
        <v>9</v>
      </c>
      <c r="K12" s="20">
        <f t="shared" si="1"/>
        <v>74.747148573452293</v>
      </c>
    </row>
    <row r="13" spans="1:13" x14ac:dyDescent="0.35">
      <c r="A13" t="s">
        <v>24</v>
      </c>
      <c r="B13" t="s">
        <v>29</v>
      </c>
      <c r="C13">
        <v>1999</v>
      </c>
      <c r="D13" t="s">
        <v>71</v>
      </c>
      <c r="E13" s="65">
        <v>3.9887499999999999E-2</v>
      </c>
      <c r="F13" s="5">
        <v>200</v>
      </c>
      <c r="G13" s="12">
        <f t="shared" si="0"/>
        <v>7.9775</v>
      </c>
      <c r="H13" s="5">
        <v>6</v>
      </c>
      <c r="I13" s="5">
        <v>1.5</v>
      </c>
      <c r="J13" s="5">
        <v>9</v>
      </c>
      <c r="K13" s="20">
        <f t="shared" si="1"/>
        <v>71.797499999999999</v>
      </c>
    </row>
    <row r="14" spans="1:13" x14ac:dyDescent="0.35">
      <c r="A14" t="s">
        <v>24</v>
      </c>
      <c r="B14" t="s">
        <v>30</v>
      </c>
      <c r="C14">
        <v>2002</v>
      </c>
      <c r="D14" t="s">
        <v>69</v>
      </c>
      <c r="E14" s="65">
        <v>4.1491877247426236E-2</v>
      </c>
      <c r="F14" s="5">
        <v>200</v>
      </c>
      <c r="G14" s="12">
        <f t="shared" si="0"/>
        <v>8.2983754494852473</v>
      </c>
      <c r="H14" s="5">
        <v>6</v>
      </c>
      <c r="I14" s="5">
        <v>1.5</v>
      </c>
      <c r="J14" s="5">
        <v>9</v>
      </c>
      <c r="K14" s="20">
        <f t="shared" si="1"/>
        <v>74.685379045367227</v>
      </c>
    </row>
    <row r="15" spans="1:13" x14ac:dyDescent="0.35">
      <c r="A15" t="s">
        <v>24</v>
      </c>
      <c r="B15" t="s">
        <v>31</v>
      </c>
      <c r="C15">
        <v>2016</v>
      </c>
      <c r="D15" t="s">
        <v>69</v>
      </c>
      <c r="E15" s="65">
        <v>4.5641417910447762E-2</v>
      </c>
      <c r="F15" s="5">
        <v>200</v>
      </c>
      <c r="G15" s="12">
        <f t="shared" si="0"/>
        <v>9.1282835820895531</v>
      </c>
      <c r="H15" s="5">
        <v>6</v>
      </c>
      <c r="I15" s="5">
        <v>1.5</v>
      </c>
      <c r="J15" s="5">
        <v>9</v>
      </c>
      <c r="K15" s="20">
        <f t="shared" si="1"/>
        <v>82.154552238805977</v>
      </c>
    </row>
    <row r="16" spans="1:13" x14ac:dyDescent="0.35">
      <c r="A16" t="s">
        <v>24</v>
      </c>
      <c r="B16" t="s">
        <v>32</v>
      </c>
      <c r="C16">
        <v>2018</v>
      </c>
      <c r="D16" t="s">
        <v>69</v>
      </c>
      <c r="E16" s="65">
        <v>4.2560036945812812E-2</v>
      </c>
      <c r="F16" s="5">
        <v>200</v>
      </c>
      <c r="G16" s="12">
        <f t="shared" si="0"/>
        <v>8.5120073891625623</v>
      </c>
      <c r="H16" s="5">
        <v>6</v>
      </c>
      <c r="I16" s="5">
        <v>1.5</v>
      </c>
      <c r="J16" s="5">
        <v>9</v>
      </c>
      <c r="K16" s="20">
        <f t="shared" si="1"/>
        <v>76.60806650246306</v>
      </c>
    </row>
    <row r="17" spans="1:11" x14ac:dyDescent="0.35">
      <c r="A17" t="s">
        <v>24</v>
      </c>
      <c r="B17" t="s">
        <v>72</v>
      </c>
      <c r="C17">
        <v>2023</v>
      </c>
      <c r="D17" t="s">
        <v>73</v>
      </c>
      <c r="E17" s="65">
        <v>4.4867247918821726E-2</v>
      </c>
      <c r="F17" s="5">
        <v>200</v>
      </c>
      <c r="G17" s="12">
        <f t="shared" si="0"/>
        <v>8.9734495837643458</v>
      </c>
      <c r="H17" s="5">
        <v>6</v>
      </c>
      <c r="I17" s="5">
        <v>1.5</v>
      </c>
      <c r="J17" s="5">
        <v>9</v>
      </c>
      <c r="K17" s="20">
        <f t="shared" si="1"/>
        <v>80.761046253879115</v>
      </c>
    </row>
    <row r="19" spans="1:11" x14ac:dyDescent="0.35">
      <c r="A19" s="13"/>
    </row>
    <row r="20" spans="1:11" x14ac:dyDescent="0.35">
      <c r="F20" s="1"/>
    </row>
    <row r="21" spans="1:11" x14ac:dyDescent="0.35">
      <c r="F21" s="1"/>
    </row>
    <row r="22" spans="1:11" x14ac:dyDescent="0.35">
      <c r="F22" s="1"/>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32E8-630A-4DFB-B8B1-4CCD7042BFC7}">
  <dimension ref="A1:A97"/>
  <sheetViews>
    <sheetView workbookViewId="0">
      <selection activeCell="I30" sqref="I30"/>
    </sheetView>
  </sheetViews>
  <sheetFormatPr defaultRowHeight="14.5" x14ac:dyDescent="0.35"/>
  <cols>
    <col min="1" max="1" width="13.26953125" customWidth="1"/>
  </cols>
  <sheetData>
    <row r="1" spans="1:1" x14ac:dyDescent="0.35">
      <c r="A1" s="80"/>
    </row>
    <row r="4" spans="1:1" x14ac:dyDescent="0.35">
      <c r="A4" s="80"/>
    </row>
    <row r="7" spans="1:1" x14ac:dyDescent="0.35">
      <c r="A7" s="80"/>
    </row>
    <row r="12" spans="1:1" x14ac:dyDescent="0.35">
      <c r="A12" s="80"/>
    </row>
    <row r="16" spans="1:1" x14ac:dyDescent="0.35">
      <c r="A16" s="80"/>
    </row>
    <row r="23" spans="1:1" x14ac:dyDescent="0.35">
      <c r="A23" s="80"/>
    </row>
    <row r="28" spans="1:1" x14ac:dyDescent="0.35">
      <c r="A28" s="80"/>
    </row>
    <row r="31" spans="1:1" x14ac:dyDescent="0.35">
      <c r="A31" s="80"/>
    </row>
    <row r="36" spans="1:1" x14ac:dyDescent="0.35">
      <c r="A36" s="80"/>
    </row>
    <row r="42" spans="1:1" x14ac:dyDescent="0.35">
      <c r="A42" s="80"/>
    </row>
    <row r="48" spans="1:1" x14ac:dyDescent="0.35">
      <c r="A48" s="80"/>
    </row>
    <row r="54" spans="1:1" x14ac:dyDescent="0.35">
      <c r="A54" s="80"/>
    </row>
    <row r="70" spans="1:1" x14ac:dyDescent="0.35">
      <c r="A70" s="80"/>
    </row>
    <row r="80" spans="1:1" x14ac:dyDescent="0.35">
      <c r="A80" s="80"/>
    </row>
    <row r="87" spans="1:1" x14ac:dyDescent="0.35">
      <c r="A87" s="80"/>
    </row>
    <row r="90" spans="1:1" x14ac:dyDescent="0.35">
      <c r="A90" s="80"/>
    </row>
    <row r="93" spans="1:1" x14ac:dyDescent="0.35">
      <c r="A93" s="80"/>
    </row>
    <row r="97" spans="1:1" x14ac:dyDescent="0.35">
      <c r="A97" s="8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F85DB-E24A-4CDA-9044-877B1A3704B4}">
  <sheetPr>
    <tabColor theme="9" tint="0.59999389629810485"/>
  </sheetPr>
  <dimension ref="A1:F18"/>
  <sheetViews>
    <sheetView topLeftCell="A12" workbookViewId="0">
      <selection activeCell="J3" sqref="J3"/>
    </sheetView>
  </sheetViews>
  <sheetFormatPr defaultRowHeight="14.5" x14ac:dyDescent="0.35"/>
  <cols>
    <col min="1" max="1" width="16.453125" style="15" customWidth="1"/>
    <col min="2" max="2" width="61.453125" style="15" customWidth="1"/>
    <col min="3" max="3" width="14.54296875" style="15" customWidth="1"/>
    <col min="4" max="4" width="16.453125" style="15" customWidth="1"/>
    <col min="5" max="5" width="21.54296875" style="15" customWidth="1"/>
  </cols>
  <sheetData>
    <row r="1" spans="1:6" ht="43.5" x14ac:dyDescent="0.35">
      <c r="A1" s="14" t="s">
        <v>74</v>
      </c>
      <c r="B1" s="14" t="s">
        <v>75</v>
      </c>
      <c r="C1" s="14" t="s">
        <v>76</v>
      </c>
      <c r="D1" s="14" t="s">
        <v>77</v>
      </c>
      <c r="E1" s="14" t="s">
        <v>78</v>
      </c>
    </row>
    <row r="2" spans="1:6" ht="154.5" customHeight="1" x14ac:dyDescent="0.35">
      <c r="A2" s="15" t="s">
        <v>79</v>
      </c>
      <c r="B2" s="15" t="s">
        <v>80</v>
      </c>
      <c r="C2" s="15" t="s">
        <v>81</v>
      </c>
      <c r="D2" s="15" t="s">
        <v>82</v>
      </c>
      <c r="E2" s="15" t="s">
        <v>83</v>
      </c>
    </row>
    <row r="3" spans="1:6" ht="163.4" customHeight="1" x14ac:dyDescent="0.35">
      <c r="A3" s="15" t="s">
        <v>84</v>
      </c>
      <c r="B3" s="15" t="s">
        <v>85</v>
      </c>
      <c r="C3" s="15" t="s">
        <v>86</v>
      </c>
      <c r="D3" s="15" t="s">
        <v>87</v>
      </c>
      <c r="E3" s="15" t="s">
        <v>88</v>
      </c>
    </row>
    <row r="4" spans="1:6" ht="87" x14ac:dyDescent="0.35">
      <c r="A4" s="15" t="s">
        <v>89</v>
      </c>
      <c r="B4" s="15" t="s">
        <v>90</v>
      </c>
      <c r="D4" s="15" t="s">
        <v>91</v>
      </c>
      <c r="E4" s="15" t="s">
        <v>88</v>
      </c>
    </row>
    <row r="5" spans="1:6" ht="58" x14ac:dyDescent="0.35">
      <c r="A5" s="15" t="s">
        <v>92</v>
      </c>
      <c r="B5" s="15" t="s">
        <v>93</v>
      </c>
      <c r="C5" s="15" t="s">
        <v>94</v>
      </c>
      <c r="D5" s="15" t="s">
        <v>95</v>
      </c>
      <c r="E5" s="15" t="s">
        <v>96</v>
      </c>
    </row>
    <row r="6" spans="1:6" ht="136.9" customHeight="1" x14ac:dyDescent="0.35">
      <c r="A6" s="15" t="s">
        <v>97</v>
      </c>
      <c r="B6" s="15" t="s">
        <v>312</v>
      </c>
      <c r="C6" s="15" t="s">
        <v>98</v>
      </c>
      <c r="D6" s="15" t="s">
        <v>99</v>
      </c>
      <c r="E6" s="15" t="s">
        <v>100</v>
      </c>
    </row>
    <row r="7" spans="1:6" ht="43.5" x14ac:dyDescent="0.35">
      <c r="A7" s="15" t="s">
        <v>101</v>
      </c>
      <c r="B7" s="15" t="s">
        <v>102</v>
      </c>
      <c r="C7" s="15" t="s">
        <v>103</v>
      </c>
      <c r="D7" s="15" t="s">
        <v>104</v>
      </c>
      <c r="E7" s="15" t="s">
        <v>105</v>
      </c>
    </row>
    <row r="8" spans="1:6" ht="59.9" customHeight="1" x14ac:dyDescent="0.35">
      <c r="A8" s="15" t="s">
        <v>106</v>
      </c>
      <c r="B8" s="15" t="s">
        <v>107</v>
      </c>
      <c r="C8" s="15" t="s">
        <v>94</v>
      </c>
      <c r="D8" s="15" t="s">
        <v>108</v>
      </c>
      <c r="E8" s="15" t="s">
        <v>109</v>
      </c>
    </row>
    <row r="9" spans="1:6" ht="72.5" x14ac:dyDescent="0.35">
      <c r="A9" s="15" t="s">
        <v>110</v>
      </c>
      <c r="B9" s="15" t="s">
        <v>111</v>
      </c>
      <c r="C9" s="15" t="s">
        <v>112</v>
      </c>
      <c r="D9" s="15" t="s">
        <v>113</v>
      </c>
      <c r="E9" s="15" t="s">
        <v>114</v>
      </c>
    </row>
    <row r="10" spans="1:6" ht="145" x14ac:dyDescent="0.35">
      <c r="A10" s="15" t="s">
        <v>115</v>
      </c>
      <c r="B10" s="15" t="s">
        <v>116</v>
      </c>
      <c r="C10" s="15" t="s">
        <v>117</v>
      </c>
      <c r="D10" s="15" t="s">
        <v>118</v>
      </c>
      <c r="E10" s="15" t="s">
        <v>119</v>
      </c>
    </row>
    <row r="11" spans="1:6" ht="130.5" x14ac:dyDescent="0.35">
      <c r="A11" s="15" t="s">
        <v>120</v>
      </c>
      <c r="B11" s="15" t="s">
        <v>121</v>
      </c>
      <c r="C11" s="15" t="s">
        <v>122</v>
      </c>
      <c r="D11" s="15" t="s">
        <v>118</v>
      </c>
      <c r="E11" s="15" t="s">
        <v>123</v>
      </c>
    </row>
    <row r="12" spans="1:6" ht="333.5" x14ac:dyDescent="0.35">
      <c r="A12" s="15" t="s">
        <v>124</v>
      </c>
      <c r="B12" s="76" t="s">
        <v>125</v>
      </c>
      <c r="C12" s="15" t="s">
        <v>126</v>
      </c>
      <c r="D12" s="15" t="s">
        <v>127</v>
      </c>
      <c r="E12" s="15" t="s">
        <v>128</v>
      </c>
    </row>
    <row r="14" spans="1:6" ht="348" x14ac:dyDescent="0.35">
      <c r="A14" s="15" t="s">
        <v>129</v>
      </c>
      <c r="B14" s="76" t="s">
        <v>130</v>
      </c>
      <c r="C14" s="15" t="s">
        <v>131</v>
      </c>
      <c r="D14" s="15" t="s">
        <v>127</v>
      </c>
      <c r="E14" s="15" t="s">
        <v>132</v>
      </c>
    </row>
    <row r="15" spans="1:6" ht="72.5" x14ac:dyDescent="0.35">
      <c r="A15" s="76" t="s">
        <v>133</v>
      </c>
      <c r="B15" s="76" t="s">
        <v>134</v>
      </c>
      <c r="C15" s="76" t="s">
        <v>135</v>
      </c>
      <c r="D15" s="76" t="s">
        <v>136</v>
      </c>
      <c r="E15" s="76" t="s">
        <v>137</v>
      </c>
      <c r="F15" s="77"/>
    </row>
    <row r="16" spans="1:6" ht="202.5" customHeight="1" x14ac:dyDescent="0.35">
      <c r="A16" s="15" t="s">
        <v>138</v>
      </c>
      <c r="B16" s="76" t="s">
        <v>139</v>
      </c>
      <c r="C16" s="15" t="s">
        <v>140</v>
      </c>
      <c r="D16" s="15" t="s">
        <v>127</v>
      </c>
      <c r="E16" s="15" t="s">
        <v>141</v>
      </c>
    </row>
    <row r="17" spans="1:5" ht="72.5" x14ac:dyDescent="0.35">
      <c r="A17" s="15" t="s">
        <v>142</v>
      </c>
      <c r="B17" s="15" t="s">
        <v>143</v>
      </c>
      <c r="C17" s="15" t="s">
        <v>140</v>
      </c>
      <c r="D17" s="15" t="s">
        <v>144</v>
      </c>
      <c r="E17" s="15" t="s">
        <v>141</v>
      </c>
    </row>
    <row r="18" spans="1:5" ht="72.5" x14ac:dyDescent="0.35">
      <c r="A18" s="15" t="s">
        <v>145</v>
      </c>
      <c r="B18" s="15" t="s">
        <v>146</v>
      </c>
      <c r="C18" s="15" t="s">
        <v>147</v>
      </c>
      <c r="D18" s="15" t="s">
        <v>144</v>
      </c>
      <c r="E18" s="15" t="s">
        <v>148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1700-C50E-614E-BAD0-9FFEE65CBDBB}">
  <sheetPr>
    <tabColor theme="9" tint="0.79998168889431442"/>
  </sheetPr>
  <dimension ref="A1:A8"/>
  <sheetViews>
    <sheetView zoomScaleNormal="100" zoomScaleSheetLayoutView="100" workbookViewId="0">
      <selection activeCell="D16" sqref="D16"/>
    </sheetView>
  </sheetViews>
  <sheetFormatPr defaultRowHeight="14.5" x14ac:dyDescent="0.35"/>
  <cols>
    <col min="1" max="1" width="19.453125" customWidth="1"/>
    <col min="5" max="5" width="12.453125" customWidth="1"/>
  </cols>
  <sheetData>
    <row r="1" spans="1:1" x14ac:dyDescent="0.35">
      <c r="A1" s="80">
        <v>45399</v>
      </c>
    </row>
    <row r="2" spans="1:1" x14ac:dyDescent="0.35">
      <c r="A2" t="s">
        <v>315</v>
      </c>
    </row>
    <row r="3" spans="1:1" x14ac:dyDescent="0.35">
      <c r="A3" s="78"/>
    </row>
    <row r="4" spans="1:1" x14ac:dyDescent="0.35">
      <c r="A4" s="80">
        <v>45426</v>
      </c>
    </row>
    <row r="5" spans="1:1" x14ac:dyDescent="0.35">
      <c r="A5" t="s">
        <v>320</v>
      </c>
    </row>
    <row r="7" spans="1:1" x14ac:dyDescent="0.35">
      <c r="A7" s="80">
        <v>45439</v>
      </c>
    </row>
    <row r="8" spans="1:1" x14ac:dyDescent="0.35">
      <c r="A8" t="s">
        <v>321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24D5B-AE8F-4861-99F1-6217E53D0C7E}">
  <sheetPr>
    <tabColor theme="9" tint="0.79998168889431442"/>
  </sheetPr>
  <dimension ref="A1:GX71"/>
  <sheetViews>
    <sheetView workbookViewId="0">
      <selection activeCell="I29" sqref="I29"/>
    </sheetView>
  </sheetViews>
  <sheetFormatPr defaultRowHeight="14.5" x14ac:dyDescent="0.35"/>
  <cols>
    <col min="9" max="9" width="13.453125" customWidth="1"/>
    <col min="12" max="12" width="12" customWidth="1"/>
    <col min="13" max="13" width="11.81640625" customWidth="1"/>
  </cols>
  <sheetData>
    <row r="1" spans="1:206" x14ac:dyDescent="0.35">
      <c r="A1" t="s">
        <v>357</v>
      </c>
      <c r="B1" t="s">
        <v>358</v>
      </c>
      <c r="C1" t="s">
        <v>359</v>
      </c>
      <c r="D1" t="s">
        <v>360</v>
      </c>
      <c r="E1" t="s">
        <v>361</v>
      </c>
      <c r="F1" t="s">
        <v>362</v>
      </c>
      <c r="G1" t="s">
        <v>363</v>
      </c>
      <c r="H1" t="s">
        <v>364</v>
      </c>
      <c r="I1" t="s">
        <v>365</v>
      </c>
      <c r="J1" t="s">
        <v>366</v>
      </c>
      <c r="K1" t="s">
        <v>367</v>
      </c>
      <c r="L1" t="s">
        <v>368</v>
      </c>
      <c r="M1" t="s">
        <v>369</v>
      </c>
      <c r="N1" t="s">
        <v>370</v>
      </c>
      <c r="O1" t="s">
        <v>371</v>
      </c>
      <c r="P1" t="s">
        <v>372</v>
      </c>
      <c r="Q1" t="s">
        <v>373</v>
      </c>
      <c r="R1" t="s">
        <v>374</v>
      </c>
      <c r="S1" t="s">
        <v>375</v>
      </c>
      <c r="T1" t="s">
        <v>376</v>
      </c>
      <c r="U1" t="s">
        <v>377</v>
      </c>
      <c r="V1" t="s">
        <v>377</v>
      </c>
      <c r="W1" t="s">
        <v>378</v>
      </c>
      <c r="X1" t="s">
        <v>378</v>
      </c>
      <c r="Y1" t="s">
        <v>379</v>
      </c>
      <c r="Z1" t="s">
        <v>380</v>
      </c>
      <c r="AA1" t="s">
        <v>381</v>
      </c>
      <c r="AB1" t="s">
        <v>382</v>
      </c>
      <c r="AC1" t="s">
        <v>383</v>
      </c>
      <c r="AD1" t="s">
        <v>384</v>
      </c>
      <c r="AE1" t="s">
        <v>385</v>
      </c>
      <c r="AF1" t="s">
        <v>386</v>
      </c>
      <c r="AG1" t="s">
        <v>387</v>
      </c>
      <c r="AH1" t="s">
        <v>388</v>
      </c>
      <c r="AI1" t="s">
        <v>389</v>
      </c>
      <c r="AJ1" t="s">
        <v>390</v>
      </c>
      <c r="AK1" t="s">
        <v>391</v>
      </c>
      <c r="AL1" t="s">
        <v>392</v>
      </c>
      <c r="AM1" t="s">
        <v>393</v>
      </c>
      <c r="AN1" t="s">
        <v>394</v>
      </c>
      <c r="AO1" t="s">
        <v>395</v>
      </c>
      <c r="AP1" t="s">
        <v>396</v>
      </c>
      <c r="AQ1" t="s">
        <v>397</v>
      </c>
      <c r="AR1" t="s">
        <v>398</v>
      </c>
      <c r="AS1" t="s">
        <v>399</v>
      </c>
      <c r="AT1" t="s">
        <v>400</v>
      </c>
      <c r="AU1" t="s">
        <v>401</v>
      </c>
      <c r="AV1" t="s">
        <v>402</v>
      </c>
      <c r="AW1" t="s">
        <v>403</v>
      </c>
      <c r="AX1" t="s">
        <v>404</v>
      </c>
      <c r="AY1" t="s">
        <v>405</v>
      </c>
      <c r="AZ1" t="s">
        <v>406</v>
      </c>
      <c r="BA1" t="s">
        <v>407</v>
      </c>
      <c r="BB1" t="s">
        <v>408</v>
      </c>
      <c r="BC1" t="s">
        <v>409</v>
      </c>
      <c r="BD1" t="s">
        <v>410</v>
      </c>
      <c r="BE1" t="s">
        <v>411</v>
      </c>
      <c r="BF1" t="s">
        <v>412</v>
      </c>
      <c r="BG1" t="s">
        <v>413</v>
      </c>
      <c r="BH1" t="s">
        <v>414</v>
      </c>
      <c r="BI1" t="s">
        <v>415</v>
      </c>
      <c r="BJ1" t="s">
        <v>416</v>
      </c>
      <c r="BK1" t="s">
        <v>417</v>
      </c>
      <c r="BL1" t="s">
        <v>418</v>
      </c>
      <c r="BM1" t="s">
        <v>419</v>
      </c>
      <c r="BN1" t="s">
        <v>420</v>
      </c>
      <c r="BO1" t="s">
        <v>421</v>
      </c>
      <c r="BP1" t="s">
        <v>422</v>
      </c>
      <c r="BQ1" t="s">
        <v>423</v>
      </c>
      <c r="BR1" t="s">
        <v>377</v>
      </c>
      <c r="BS1" t="s">
        <v>424</v>
      </c>
      <c r="BT1" t="s">
        <v>425</v>
      </c>
      <c r="BU1" t="s">
        <v>426</v>
      </c>
      <c r="BV1" t="s">
        <v>427</v>
      </c>
      <c r="BW1" t="s">
        <v>379</v>
      </c>
      <c r="BX1" t="s">
        <v>428</v>
      </c>
      <c r="BY1" t="s">
        <v>429</v>
      </c>
      <c r="BZ1" t="s">
        <v>430</v>
      </c>
      <c r="CA1" t="s">
        <v>431</v>
      </c>
      <c r="CB1" t="s">
        <v>432</v>
      </c>
      <c r="CC1" t="s">
        <v>433</v>
      </c>
      <c r="CD1" t="s">
        <v>434</v>
      </c>
      <c r="CE1" t="s">
        <v>435</v>
      </c>
      <c r="CF1" t="s">
        <v>436</v>
      </c>
      <c r="CG1" t="s">
        <v>437</v>
      </c>
      <c r="CH1" t="s">
        <v>438</v>
      </c>
      <c r="CI1" t="s">
        <v>439</v>
      </c>
      <c r="CJ1" t="s">
        <v>440</v>
      </c>
      <c r="CK1" t="s">
        <v>441</v>
      </c>
      <c r="CL1" t="s">
        <v>442</v>
      </c>
      <c r="CM1" t="s">
        <v>382</v>
      </c>
      <c r="CN1" t="s">
        <v>443</v>
      </c>
      <c r="CO1" t="s">
        <v>444</v>
      </c>
      <c r="CP1" t="s">
        <v>445</v>
      </c>
      <c r="CQ1" t="s">
        <v>446</v>
      </c>
      <c r="CR1" t="s">
        <v>447</v>
      </c>
      <c r="CS1" t="s">
        <v>424</v>
      </c>
      <c r="CT1" t="s">
        <v>448</v>
      </c>
      <c r="CU1" t="s">
        <v>449</v>
      </c>
      <c r="CV1" t="s">
        <v>450</v>
      </c>
      <c r="CW1" t="s">
        <v>451</v>
      </c>
      <c r="CX1" t="s">
        <v>452</v>
      </c>
      <c r="CY1" t="s">
        <v>453</v>
      </c>
      <c r="CZ1" t="s">
        <v>454</v>
      </c>
      <c r="DA1" t="s">
        <v>455</v>
      </c>
      <c r="DB1" t="s">
        <v>456</v>
      </c>
      <c r="DC1" t="s">
        <v>456</v>
      </c>
      <c r="DD1" t="s">
        <v>457</v>
      </c>
      <c r="DE1" t="s">
        <v>457</v>
      </c>
      <c r="DF1" t="s">
        <v>458</v>
      </c>
      <c r="DG1" t="s">
        <v>459</v>
      </c>
      <c r="DH1" t="s">
        <v>460</v>
      </c>
      <c r="DI1" t="s">
        <v>461</v>
      </c>
      <c r="DJ1" t="s">
        <v>462</v>
      </c>
      <c r="DK1" t="s">
        <v>463</v>
      </c>
      <c r="DL1" t="s">
        <v>464</v>
      </c>
      <c r="DM1" t="s">
        <v>465</v>
      </c>
      <c r="DN1" t="s">
        <v>466</v>
      </c>
      <c r="DO1" t="s">
        <v>467</v>
      </c>
      <c r="DP1" t="s">
        <v>468</v>
      </c>
      <c r="DQ1" t="s">
        <v>378</v>
      </c>
      <c r="DR1" t="s">
        <v>469</v>
      </c>
      <c r="DS1" t="s">
        <v>470</v>
      </c>
      <c r="DT1" t="s">
        <v>471</v>
      </c>
      <c r="DU1" t="s">
        <v>472</v>
      </c>
      <c r="DV1" t="s">
        <v>473</v>
      </c>
      <c r="DW1" t="s">
        <v>474</v>
      </c>
      <c r="DX1" t="s">
        <v>475</v>
      </c>
      <c r="DY1" t="s">
        <v>476</v>
      </c>
      <c r="DZ1" t="s">
        <v>477</v>
      </c>
      <c r="EA1" t="s">
        <v>478</v>
      </c>
      <c r="EB1" t="s">
        <v>479</v>
      </c>
      <c r="EC1" t="s">
        <v>480</v>
      </c>
      <c r="ED1" t="s">
        <v>481</v>
      </c>
      <c r="EE1" t="s">
        <v>482</v>
      </c>
      <c r="EF1" t="s">
        <v>483</v>
      </c>
      <c r="EG1" t="s">
        <v>484</v>
      </c>
      <c r="EH1" t="s">
        <v>485</v>
      </c>
      <c r="EI1" t="s">
        <v>486</v>
      </c>
      <c r="EJ1" t="s">
        <v>487</v>
      </c>
      <c r="EK1" t="s">
        <v>488</v>
      </c>
      <c r="EL1" t="s">
        <v>489</v>
      </c>
      <c r="EM1" t="s">
        <v>490</v>
      </c>
      <c r="EN1" t="s">
        <v>491</v>
      </c>
      <c r="EO1" t="s">
        <v>492</v>
      </c>
      <c r="EP1" t="s">
        <v>414</v>
      </c>
      <c r="EQ1" t="s">
        <v>415</v>
      </c>
      <c r="ER1" t="s">
        <v>493</v>
      </c>
      <c r="ES1" t="s">
        <v>421</v>
      </c>
      <c r="ET1" t="s">
        <v>494</v>
      </c>
      <c r="EU1" t="s">
        <v>495</v>
      </c>
      <c r="EV1" t="s">
        <v>496</v>
      </c>
      <c r="EW1" t="s">
        <v>497</v>
      </c>
      <c r="EX1" t="s">
        <v>498</v>
      </c>
      <c r="EY1" t="s">
        <v>499</v>
      </c>
      <c r="EZ1" t="s">
        <v>500</v>
      </c>
      <c r="FA1" t="s">
        <v>501</v>
      </c>
      <c r="FB1" t="s">
        <v>502</v>
      </c>
      <c r="FC1" t="s">
        <v>503</v>
      </c>
      <c r="FD1" t="s">
        <v>504</v>
      </c>
      <c r="FE1" t="s">
        <v>505</v>
      </c>
      <c r="FF1" t="s">
        <v>506</v>
      </c>
      <c r="FG1" t="s">
        <v>507</v>
      </c>
      <c r="FH1" t="s">
        <v>508</v>
      </c>
      <c r="FI1" t="s">
        <v>371</v>
      </c>
      <c r="FJ1" t="s">
        <v>509</v>
      </c>
      <c r="FK1" t="s">
        <v>507</v>
      </c>
      <c r="FL1" t="s">
        <v>456</v>
      </c>
      <c r="FM1" t="s">
        <v>456</v>
      </c>
      <c r="FN1" t="s">
        <v>510</v>
      </c>
      <c r="FO1" t="s">
        <v>457</v>
      </c>
      <c r="FP1" t="s">
        <v>457</v>
      </c>
      <c r="FQ1" t="s">
        <v>511</v>
      </c>
      <c r="FR1" t="s">
        <v>512</v>
      </c>
      <c r="FS1" t="s">
        <v>513</v>
      </c>
      <c r="FT1" t="s">
        <v>514</v>
      </c>
      <c r="FU1" t="s">
        <v>515</v>
      </c>
      <c r="FV1" t="s">
        <v>413</v>
      </c>
      <c r="FW1" t="s">
        <v>516</v>
      </c>
      <c r="FX1" t="s">
        <v>517</v>
      </c>
      <c r="FY1" t="s">
        <v>518</v>
      </c>
      <c r="FZ1" t="s">
        <v>519</v>
      </c>
      <c r="GA1" t="s">
        <v>520</v>
      </c>
      <c r="GB1" t="s">
        <v>521</v>
      </c>
      <c r="GC1" t="s">
        <v>522</v>
      </c>
      <c r="GD1" t="s">
        <v>523</v>
      </c>
      <c r="GE1" t="s">
        <v>460</v>
      </c>
      <c r="GF1" t="s">
        <v>461</v>
      </c>
      <c r="GG1" t="s">
        <v>524</v>
      </c>
      <c r="GH1" t="s">
        <v>525</v>
      </c>
      <c r="GI1" t="s">
        <v>469</v>
      </c>
      <c r="GJ1" t="s">
        <v>526</v>
      </c>
      <c r="GK1" t="s">
        <v>527</v>
      </c>
      <c r="GL1" t="s">
        <v>528</v>
      </c>
      <c r="GM1" t="s">
        <v>529</v>
      </c>
      <c r="GN1" t="s">
        <v>530</v>
      </c>
      <c r="GO1" t="s">
        <v>531</v>
      </c>
      <c r="GP1" t="s">
        <v>391</v>
      </c>
      <c r="GQ1" t="s">
        <v>532</v>
      </c>
      <c r="GR1" t="s">
        <v>533</v>
      </c>
      <c r="GS1" t="s">
        <v>534</v>
      </c>
      <c r="GT1" t="s">
        <v>535</v>
      </c>
      <c r="GU1" t="s">
        <v>529</v>
      </c>
      <c r="GV1" t="s">
        <v>531</v>
      </c>
      <c r="GW1" t="s">
        <v>530</v>
      </c>
      <c r="GX1" t="s">
        <v>536</v>
      </c>
    </row>
    <row r="2" spans="1:206" x14ac:dyDescent="0.35">
      <c r="P2" t="s">
        <v>537</v>
      </c>
      <c r="Q2" t="s">
        <v>537</v>
      </c>
      <c r="R2" t="s">
        <v>538</v>
      </c>
      <c r="S2" t="s">
        <v>538</v>
      </c>
      <c r="T2" t="s">
        <v>538</v>
      </c>
      <c r="U2" t="s">
        <v>539</v>
      </c>
      <c r="V2" t="s">
        <v>539</v>
      </c>
      <c r="W2" t="s">
        <v>539</v>
      </c>
      <c r="X2" t="s">
        <v>539</v>
      </c>
      <c r="Y2" t="s">
        <v>538</v>
      </c>
      <c r="Z2" t="s">
        <v>538</v>
      </c>
      <c r="AA2" t="s">
        <v>538</v>
      </c>
      <c r="AC2" t="s">
        <v>538</v>
      </c>
      <c r="AD2" t="s">
        <v>540</v>
      </c>
      <c r="AE2" t="s">
        <v>540</v>
      </c>
      <c r="AF2" t="s">
        <v>540</v>
      </c>
      <c r="AG2" t="s">
        <v>540</v>
      </c>
      <c r="AH2" t="s">
        <v>540</v>
      </c>
      <c r="AJ2" t="s">
        <v>539</v>
      </c>
      <c r="AK2" t="s">
        <v>540</v>
      </c>
      <c r="AL2" t="s">
        <v>540</v>
      </c>
      <c r="AM2" t="s">
        <v>539</v>
      </c>
      <c r="AN2" t="s">
        <v>539</v>
      </c>
      <c r="AO2" t="s">
        <v>538</v>
      </c>
      <c r="AP2" t="s">
        <v>538</v>
      </c>
      <c r="AQ2" t="s">
        <v>538</v>
      </c>
      <c r="AR2" t="s">
        <v>538</v>
      </c>
      <c r="AS2" t="s">
        <v>538</v>
      </c>
      <c r="AT2" t="s">
        <v>538</v>
      </c>
      <c r="AU2" t="s">
        <v>538</v>
      </c>
      <c r="AV2" t="s">
        <v>539</v>
      </c>
      <c r="AW2" t="s">
        <v>538</v>
      </c>
      <c r="AX2" t="s">
        <v>538</v>
      </c>
      <c r="AY2" t="s">
        <v>538</v>
      </c>
      <c r="AZ2" t="s">
        <v>538</v>
      </c>
      <c r="BA2" t="s">
        <v>540</v>
      </c>
      <c r="BG2" t="s">
        <v>539</v>
      </c>
      <c r="BH2" t="s">
        <v>539</v>
      </c>
      <c r="BI2" t="s">
        <v>539</v>
      </c>
      <c r="BJ2" t="s">
        <v>539</v>
      </c>
      <c r="BK2" t="s">
        <v>539</v>
      </c>
      <c r="BL2" t="s">
        <v>539</v>
      </c>
      <c r="BM2" t="s">
        <v>538</v>
      </c>
      <c r="BQ2" t="s">
        <v>539</v>
      </c>
      <c r="BR2" t="s">
        <v>539</v>
      </c>
      <c r="BT2" t="s">
        <v>541</v>
      </c>
      <c r="BU2" t="s">
        <v>538</v>
      </c>
      <c r="BV2" t="s">
        <v>538</v>
      </c>
      <c r="BW2" t="s">
        <v>538</v>
      </c>
      <c r="BX2" t="s">
        <v>538</v>
      </c>
      <c r="BZ2" t="s">
        <v>538</v>
      </c>
      <c r="CA2" t="s">
        <v>538</v>
      </c>
      <c r="CB2" t="s">
        <v>538</v>
      </c>
      <c r="CC2" t="s">
        <v>538</v>
      </c>
      <c r="CD2" t="s">
        <v>538</v>
      </c>
      <c r="CE2" t="s">
        <v>538</v>
      </c>
      <c r="CF2" t="s">
        <v>538</v>
      </c>
      <c r="CG2" t="s">
        <v>538</v>
      </c>
      <c r="CH2" t="s">
        <v>538</v>
      </c>
      <c r="CI2" t="s">
        <v>538</v>
      </c>
      <c r="CJ2" t="s">
        <v>538</v>
      </c>
      <c r="CK2" t="s">
        <v>538</v>
      </c>
      <c r="CN2" t="s">
        <v>537</v>
      </c>
      <c r="CO2" t="s">
        <v>542</v>
      </c>
      <c r="CP2" t="s">
        <v>542</v>
      </c>
      <c r="CQ2" t="s">
        <v>542</v>
      </c>
      <c r="CR2" t="s">
        <v>542</v>
      </c>
      <c r="CT2" t="s">
        <v>539</v>
      </c>
      <c r="CU2" t="s">
        <v>539</v>
      </c>
      <c r="CV2" t="s">
        <v>539</v>
      </c>
      <c r="CW2" t="s">
        <v>540</v>
      </c>
      <c r="CX2" t="s">
        <v>540</v>
      </c>
      <c r="CY2" t="s">
        <v>540</v>
      </c>
      <c r="CZ2" t="s">
        <v>540</v>
      </c>
      <c r="DA2" t="s">
        <v>540</v>
      </c>
      <c r="DB2" t="s">
        <v>539</v>
      </c>
      <c r="DC2" t="s">
        <v>539</v>
      </c>
      <c r="DD2" t="s">
        <v>539</v>
      </c>
      <c r="DE2" t="s">
        <v>539</v>
      </c>
      <c r="DF2" t="s">
        <v>539</v>
      </c>
      <c r="DG2" t="s">
        <v>539</v>
      </c>
      <c r="DH2" t="s">
        <v>538</v>
      </c>
      <c r="DI2" t="s">
        <v>538</v>
      </c>
      <c r="DJ2" t="s">
        <v>538</v>
      </c>
      <c r="DK2" t="s">
        <v>538</v>
      </c>
      <c r="DL2" t="s">
        <v>539</v>
      </c>
      <c r="DM2" t="s">
        <v>539</v>
      </c>
      <c r="DN2" t="s">
        <v>538</v>
      </c>
      <c r="DO2" t="s">
        <v>539</v>
      </c>
      <c r="DP2" t="s">
        <v>538</v>
      </c>
      <c r="DQ2" t="s">
        <v>539</v>
      </c>
      <c r="DR2" t="s">
        <v>538</v>
      </c>
      <c r="DS2" t="s">
        <v>539</v>
      </c>
      <c r="DT2" t="s">
        <v>538</v>
      </c>
      <c r="DU2" t="s">
        <v>540</v>
      </c>
      <c r="DV2" t="s">
        <v>540</v>
      </c>
      <c r="DW2" t="s">
        <v>540</v>
      </c>
      <c r="DX2" t="s">
        <v>540</v>
      </c>
      <c r="DY2" t="s">
        <v>540</v>
      </c>
      <c r="DZ2" t="s">
        <v>540</v>
      </c>
      <c r="EA2" t="s">
        <v>539</v>
      </c>
      <c r="EB2" t="s">
        <v>539</v>
      </c>
      <c r="EC2" t="s">
        <v>539</v>
      </c>
      <c r="ED2" t="s">
        <v>539</v>
      </c>
      <c r="EE2" t="s">
        <v>539</v>
      </c>
      <c r="EF2" t="s">
        <v>540</v>
      </c>
      <c r="EG2" t="s">
        <v>540</v>
      </c>
      <c r="EH2" t="s">
        <v>540</v>
      </c>
      <c r="EI2" t="s">
        <v>540</v>
      </c>
      <c r="EL2" t="s">
        <v>539</v>
      </c>
      <c r="EM2" t="s">
        <v>539</v>
      </c>
      <c r="EN2" t="s">
        <v>538</v>
      </c>
      <c r="EO2" t="s">
        <v>539</v>
      </c>
      <c r="EP2" t="s">
        <v>539</v>
      </c>
      <c r="EQ2" t="s">
        <v>539</v>
      </c>
      <c r="ER2" t="s">
        <v>539</v>
      </c>
      <c r="ET2" t="s">
        <v>540</v>
      </c>
      <c r="EU2" t="s">
        <v>538</v>
      </c>
      <c r="EV2" t="s">
        <v>538</v>
      </c>
      <c r="EW2" t="s">
        <v>538</v>
      </c>
      <c r="EX2" t="s">
        <v>538</v>
      </c>
      <c r="EY2" t="s">
        <v>543</v>
      </c>
      <c r="EZ2" t="s">
        <v>543</v>
      </c>
      <c r="FA2" t="s">
        <v>539</v>
      </c>
      <c r="FC2" t="s">
        <v>542</v>
      </c>
      <c r="FD2" t="s">
        <v>542</v>
      </c>
      <c r="FE2" t="s">
        <v>542</v>
      </c>
      <c r="FF2" t="s">
        <v>538</v>
      </c>
      <c r="FG2" t="s">
        <v>539</v>
      </c>
      <c r="FH2" t="s">
        <v>539</v>
      </c>
      <c r="FJ2" t="s">
        <v>538</v>
      </c>
      <c r="FK2" t="s">
        <v>539</v>
      </c>
      <c r="FL2" t="s">
        <v>539</v>
      </c>
      <c r="FM2" t="s">
        <v>539</v>
      </c>
      <c r="FO2" t="s">
        <v>539</v>
      </c>
      <c r="FP2" t="s">
        <v>539</v>
      </c>
      <c r="FQ2" t="s">
        <v>544</v>
      </c>
      <c r="FR2" t="s">
        <v>538</v>
      </c>
      <c r="FS2" t="s">
        <v>539</v>
      </c>
      <c r="FT2" t="s">
        <v>543</v>
      </c>
      <c r="FU2" t="s">
        <v>543</v>
      </c>
      <c r="FV2" t="s">
        <v>539</v>
      </c>
      <c r="FW2" t="s">
        <v>543</v>
      </c>
      <c r="FX2" t="s">
        <v>539</v>
      </c>
      <c r="FY2" t="s">
        <v>539</v>
      </c>
      <c r="FZ2" t="s">
        <v>539</v>
      </c>
      <c r="GA2" t="s">
        <v>539</v>
      </c>
      <c r="GB2" t="s">
        <v>539</v>
      </c>
      <c r="GC2" t="s">
        <v>543</v>
      </c>
      <c r="GD2" t="s">
        <v>538</v>
      </c>
      <c r="GE2" t="s">
        <v>538</v>
      </c>
      <c r="GF2" t="s">
        <v>538</v>
      </c>
      <c r="GG2" t="s">
        <v>538</v>
      </c>
      <c r="GH2" t="s">
        <v>538</v>
      </c>
      <c r="GI2" t="s">
        <v>538</v>
      </c>
      <c r="GJ2" t="s">
        <v>538</v>
      </c>
      <c r="GK2" t="s">
        <v>538</v>
      </c>
      <c r="GL2" t="s">
        <v>545</v>
      </c>
      <c r="GM2" t="s">
        <v>546</v>
      </c>
      <c r="GN2" t="s">
        <v>546</v>
      </c>
      <c r="GO2" t="s">
        <v>546</v>
      </c>
      <c r="GP2" t="s">
        <v>538</v>
      </c>
      <c r="GQ2" t="s">
        <v>543</v>
      </c>
      <c r="GR2" t="s">
        <v>543</v>
      </c>
      <c r="GS2" t="s">
        <v>543</v>
      </c>
      <c r="GT2" t="s">
        <v>543</v>
      </c>
      <c r="GU2" t="s">
        <v>547</v>
      </c>
      <c r="GV2" t="s">
        <v>547</v>
      </c>
      <c r="GW2" t="s">
        <v>547</v>
      </c>
    </row>
    <row r="3" spans="1:206" x14ac:dyDescent="0.35">
      <c r="A3">
        <v>140003919</v>
      </c>
      <c r="B3" t="s">
        <v>548</v>
      </c>
      <c r="C3" t="s">
        <v>328</v>
      </c>
      <c r="D3" t="s">
        <v>549</v>
      </c>
      <c r="E3">
        <v>0</v>
      </c>
      <c r="F3">
        <v>10</v>
      </c>
      <c r="G3" t="s">
        <v>550</v>
      </c>
      <c r="H3" t="s">
        <v>551</v>
      </c>
      <c r="I3" s="13">
        <v>45610</v>
      </c>
      <c r="J3" s="13">
        <v>45610</v>
      </c>
      <c r="K3">
        <v>781041</v>
      </c>
      <c r="L3" s="13">
        <v>45622</v>
      </c>
      <c r="M3" t="s">
        <v>552</v>
      </c>
      <c r="N3">
        <v>7.1</v>
      </c>
      <c r="O3">
        <v>6.6</v>
      </c>
      <c r="P3">
        <v>0.11</v>
      </c>
      <c r="Q3">
        <v>0.7</v>
      </c>
      <c r="R3" t="s">
        <v>553</v>
      </c>
      <c r="S3">
        <v>25</v>
      </c>
      <c r="T3">
        <v>4.5999999999999996</v>
      </c>
      <c r="Y3">
        <v>37</v>
      </c>
      <c r="AB3">
        <v>53</v>
      </c>
      <c r="AD3">
        <v>5.9</v>
      </c>
      <c r="AE3">
        <v>0.74</v>
      </c>
      <c r="AF3">
        <v>0.56000000000000005</v>
      </c>
      <c r="AG3">
        <v>3.6999999999999998E-2</v>
      </c>
      <c r="AI3">
        <v>11</v>
      </c>
      <c r="AK3" t="s">
        <v>554</v>
      </c>
      <c r="AL3">
        <v>7.26</v>
      </c>
      <c r="AM3">
        <v>0.51</v>
      </c>
      <c r="AN3" t="s">
        <v>555</v>
      </c>
      <c r="AT3">
        <v>11</v>
      </c>
      <c r="AV3">
        <v>0.54</v>
      </c>
      <c r="BB3" t="s">
        <v>556</v>
      </c>
      <c r="BC3" t="s">
        <v>415</v>
      </c>
      <c r="BU3">
        <v>290</v>
      </c>
      <c r="FM3">
        <v>0.63</v>
      </c>
      <c r="FN3">
        <v>9.3000000000000007</v>
      </c>
      <c r="FO3">
        <v>6.8000000000000005E-2</v>
      </c>
      <c r="GP3" t="s">
        <v>557</v>
      </c>
    </row>
    <row r="4" spans="1:206" x14ac:dyDescent="0.35">
      <c r="A4">
        <v>140003920</v>
      </c>
      <c r="B4" t="s">
        <v>548</v>
      </c>
      <c r="C4" t="s">
        <v>328</v>
      </c>
      <c r="D4" t="s">
        <v>558</v>
      </c>
      <c r="E4">
        <v>0</v>
      </c>
      <c r="F4">
        <v>10</v>
      </c>
      <c r="G4" t="s">
        <v>550</v>
      </c>
      <c r="H4" t="s">
        <v>551</v>
      </c>
      <c r="I4" s="13">
        <v>45610</v>
      </c>
      <c r="J4" s="13">
        <v>45610</v>
      </c>
      <c r="K4">
        <v>781042</v>
      </c>
      <c r="L4" s="13">
        <v>45622</v>
      </c>
      <c r="M4" t="s">
        <v>552</v>
      </c>
      <c r="N4">
        <v>7.1</v>
      </c>
      <c r="O4">
        <v>6.5</v>
      </c>
      <c r="P4">
        <v>0.09</v>
      </c>
      <c r="Q4">
        <v>0.7</v>
      </c>
      <c r="R4" t="s">
        <v>553</v>
      </c>
      <c r="S4">
        <v>24</v>
      </c>
      <c r="T4">
        <v>3.3</v>
      </c>
      <c r="Y4">
        <v>36</v>
      </c>
      <c r="AB4">
        <v>44</v>
      </c>
      <c r="AD4">
        <v>5.2</v>
      </c>
      <c r="AE4">
        <v>0.6</v>
      </c>
      <c r="AF4">
        <v>0.35</v>
      </c>
      <c r="AG4" t="s">
        <v>559</v>
      </c>
      <c r="AI4">
        <v>15</v>
      </c>
      <c r="AK4">
        <v>0.11</v>
      </c>
      <c r="AL4">
        <v>6.26</v>
      </c>
      <c r="AM4" t="s">
        <v>555</v>
      </c>
      <c r="AN4">
        <v>1.8</v>
      </c>
      <c r="AT4">
        <v>6.9</v>
      </c>
      <c r="AV4">
        <v>0.51</v>
      </c>
      <c r="BB4" t="s">
        <v>556</v>
      </c>
      <c r="BC4" t="s">
        <v>560</v>
      </c>
      <c r="BU4">
        <v>230</v>
      </c>
      <c r="FM4">
        <v>0.6</v>
      </c>
      <c r="FN4">
        <v>9.4</v>
      </c>
      <c r="FO4">
        <v>6.4000000000000001E-2</v>
      </c>
      <c r="GP4">
        <v>10</v>
      </c>
    </row>
    <row r="5" spans="1:206" x14ac:dyDescent="0.35">
      <c r="A5">
        <v>140003921</v>
      </c>
      <c r="B5" t="s">
        <v>548</v>
      </c>
      <c r="C5" t="s">
        <v>328</v>
      </c>
      <c r="D5" t="s">
        <v>561</v>
      </c>
      <c r="E5">
        <v>0</v>
      </c>
      <c r="F5">
        <v>10</v>
      </c>
      <c r="G5" t="s">
        <v>550</v>
      </c>
      <c r="H5" t="s">
        <v>551</v>
      </c>
      <c r="I5" s="13">
        <v>45610</v>
      </c>
      <c r="J5" s="13">
        <v>45610</v>
      </c>
      <c r="K5">
        <v>781043</v>
      </c>
      <c r="L5" s="13">
        <v>45622</v>
      </c>
      <c r="M5" t="s">
        <v>552</v>
      </c>
      <c r="N5">
        <v>7.3</v>
      </c>
      <c r="O5">
        <v>6.7</v>
      </c>
      <c r="P5">
        <v>0.1</v>
      </c>
      <c r="Q5">
        <v>0.8</v>
      </c>
      <c r="R5" t="s">
        <v>553</v>
      </c>
      <c r="S5">
        <v>22</v>
      </c>
      <c r="T5">
        <v>4.5999999999999996</v>
      </c>
      <c r="Y5">
        <v>59</v>
      </c>
      <c r="AB5">
        <v>44</v>
      </c>
      <c r="AD5">
        <v>5.9</v>
      </c>
      <c r="AE5">
        <v>0.91</v>
      </c>
      <c r="AF5">
        <v>0.34</v>
      </c>
      <c r="AG5" t="s">
        <v>559</v>
      </c>
      <c r="AI5">
        <v>17</v>
      </c>
      <c r="AK5">
        <v>0.12</v>
      </c>
      <c r="AL5">
        <v>7.31</v>
      </c>
      <c r="AM5" t="s">
        <v>555</v>
      </c>
      <c r="AN5">
        <v>1.6</v>
      </c>
      <c r="AT5">
        <v>4.7</v>
      </c>
      <c r="AV5">
        <v>0.75</v>
      </c>
      <c r="BB5" t="s">
        <v>556</v>
      </c>
      <c r="BC5" t="s">
        <v>560</v>
      </c>
      <c r="BU5">
        <v>360</v>
      </c>
      <c r="FM5">
        <v>0.82</v>
      </c>
      <c r="FN5">
        <v>11</v>
      </c>
      <c r="FO5">
        <v>7.5999999999999998E-2</v>
      </c>
      <c r="GP5">
        <v>11</v>
      </c>
    </row>
    <row r="6" spans="1:206" x14ac:dyDescent="0.35">
      <c r="A6">
        <v>140003922</v>
      </c>
      <c r="B6" t="s">
        <v>548</v>
      </c>
      <c r="C6" t="s">
        <v>328</v>
      </c>
      <c r="D6" t="s">
        <v>562</v>
      </c>
      <c r="E6">
        <v>0</v>
      </c>
      <c r="F6">
        <v>10</v>
      </c>
      <c r="G6" t="s">
        <v>550</v>
      </c>
      <c r="H6" t="s">
        <v>551</v>
      </c>
      <c r="I6" s="13">
        <v>45610</v>
      </c>
      <c r="J6" s="13">
        <v>45610</v>
      </c>
      <c r="K6">
        <v>781044</v>
      </c>
      <c r="L6" s="13">
        <v>45622</v>
      </c>
      <c r="M6" t="s">
        <v>552</v>
      </c>
      <c r="N6">
        <v>7.5</v>
      </c>
      <c r="O6">
        <v>6.9</v>
      </c>
      <c r="P6">
        <v>0.1</v>
      </c>
      <c r="Q6">
        <v>0.8</v>
      </c>
      <c r="R6" t="s">
        <v>553</v>
      </c>
      <c r="S6">
        <v>18</v>
      </c>
      <c r="T6">
        <v>3.6</v>
      </c>
      <c r="Y6">
        <v>74</v>
      </c>
      <c r="AB6">
        <v>52</v>
      </c>
      <c r="AD6">
        <v>6.5</v>
      </c>
      <c r="AE6">
        <v>0.88</v>
      </c>
      <c r="AF6">
        <v>0.38</v>
      </c>
      <c r="AG6">
        <v>2.1999999999999999E-2</v>
      </c>
      <c r="AI6">
        <v>17</v>
      </c>
      <c r="AK6" t="s">
        <v>554</v>
      </c>
      <c r="AL6">
        <v>7.73</v>
      </c>
      <c r="AM6">
        <v>0.28999999999999998</v>
      </c>
      <c r="AN6" t="s">
        <v>555</v>
      </c>
      <c r="AT6">
        <v>10</v>
      </c>
      <c r="AV6">
        <v>0.72</v>
      </c>
      <c r="BB6" t="s">
        <v>556</v>
      </c>
      <c r="BC6" t="s">
        <v>560</v>
      </c>
      <c r="BU6">
        <v>350</v>
      </c>
      <c r="FM6">
        <v>0.76</v>
      </c>
      <c r="FN6">
        <v>9.6999999999999993</v>
      </c>
      <c r="FO6">
        <v>7.8E-2</v>
      </c>
      <c r="GP6" t="s">
        <v>557</v>
      </c>
    </row>
    <row r="7" spans="1:206" x14ac:dyDescent="0.35">
      <c r="A7">
        <v>140003923</v>
      </c>
      <c r="B7" t="s">
        <v>548</v>
      </c>
      <c r="C7" t="s">
        <v>328</v>
      </c>
      <c r="D7" t="s">
        <v>563</v>
      </c>
      <c r="E7">
        <v>0</v>
      </c>
      <c r="F7">
        <v>10</v>
      </c>
      <c r="G7" t="s">
        <v>550</v>
      </c>
      <c r="H7" t="s">
        <v>551</v>
      </c>
      <c r="I7" s="13">
        <v>45610</v>
      </c>
      <c r="J7" s="13">
        <v>45610</v>
      </c>
      <c r="K7">
        <v>781045</v>
      </c>
      <c r="L7" s="13">
        <v>45622</v>
      </c>
      <c r="M7" t="s">
        <v>552</v>
      </c>
      <c r="N7">
        <v>6.8</v>
      </c>
      <c r="O7">
        <v>6.2</v>
      </c>
      <c r="P7">
        <v>0.12</v>
      </c>
      <c r="Q7">
        <v>0.7</v>
      </c>
      <c r="R7" t="s">
        <v>553</v>
      </c>
      <c r="S7">
        <v>20</v>
      </c>
      <c r="T7">
        <v>4.7</v>
      </c>
      <c r="Y7">
        <v>62</v>
      </c>
      <c r="AB7">
        <v>48</v>
      </c>
      <c r="AD7">
        <v>5.5</v>
      </c>
      <c r="AE7">
        <v>0.85</v>
      </c>
      <c r="AF7">
        <v>0.37</v>
      </c>
      <c r="AG7" t="s">
        <v>559</v>
      </c>
      <c r="AI7">
        <v>15</v>
      </c>
      <c r="AK7" t="s">
        <v>554</v>
      </c>
      <c r="AL7">
        <v>6.73</v>
      </c>
      <c r="AM7" t="s">
        <v>555</v>
      </c>
      <c r="AN7" t="s">
        <v>555</v>
      </c>
      <c r="AT7">
        <v>7.7</v>
      </c>
      <c r="AV7">
        <v>0.79</v>
      </c>
      <c r="BB7" t="s">
        <v>556</v>
      </c>
      <c r="BC7" t="s">
        <v>415</v>
      </c>
      <c r="BU7">
        <v>330</v>
      </c>
      <c r="FM7">
        <v>0.88</v>
      </c>
      <c r="FN7">
        <v>9.6999999999999993</v>
      </c>
      <c r="FO7">
        <v>9.0999999999999998E-2</v>
      </c>
      <c r="GP7" t="s">
        <v>557</v>
      </c>
    </row>
    <row r="8" spans="1:206" x14ac:dyDescent="0.35">
      <c r="A8">
        <v>140003924</v>
      </c>
      <c r="B8" t="s">
        <v>548</v>
      </c>
      <c r="C8" t="s">
        <v>328</v>
      </c>
      <c r="D8" t="s">
        <v>564</v>
      </c>
      <c r="E8">
        <v>0</v>
      </c>
      <c r="F8">
        <v>10</v>
      </c>
      <c r="G8" t="s">
        <v>550</v>
      </c>
      <c r="H8" t="s">
        <v>551</v>
      </c>
      <c r="I8" s="13">
        <v>45610</v>
      </c>
      <c r="J8" s="13">
        <v>45610</v>
      </c>
      <c r="K8">
        <v>781046</v>
      </c>
      <c r="L8" s="13">
        <v>45622</v>
      </c>
      <c r="M8" t="s">
        <v>552</v>
      </c>
      <c r="N8">
        <v>7</v>
      </c>
      <c r="O8">
        <v>6.4</v>
      </c>
      <c r="P8">
        <v>0.11</v>
      </c>
      <c r="Q8">
        <v>0.9</v>
      </c>
      <c r="R8" t="s">
        <v>553</v>
      </c>
      <c r="S8">
        <v>46</v>
      </c>
      <c r="T8">
        <v>9.6</v>
      </c>
      <c r="Y8">
        <v>55</v>
      </c>
      <c r="AB8">
        <v>41</v>
      </c>
      <c r="AD8">
        <v>5.9</v>
      </c>
      <c r="AE8">
        <v>0.81</v>
      </c>
      <c r="AF8">
        <v>0.4</v>
      </c>
      <c r="AG8">
        <v>2.8000000000000001E-2</v>
      </c>
      <c r="AI8">
        <v>15</v>
      </c>
      <c r="AK8" t="s">
        <v>554</v>
      </c>
      <c r="AL8">
        <v>7.11</v>
      </c>
      <c r="AM8">
        <v>0.4</v>
      </c>
      <c r="AN8" t="s">
        <v>555</v>
      </c>
      <c r="AT8">
        <v>27</v>
      </c>
      <c r="AV8">
        <v>0.84</v>
      </c>
      <c r="BB8" t="s">
        <v>556</v>
      </c>
      <c r="BC8" t="s">
        <v>560</v>
      </c>
      <c r="BU8">
        <v>320</v>
      </c>
      <c r="FM8">
        <v>1</v>
      </c>
      <c r="FN8">
        <v>11</v>
      </c>
      <c r="FO8">
        <v>9.0999999999999998E-2</v>
      </c>
      <c r="GP8" t="s">
        <v>557</v>
      </c>
    </row>
    <row r="9" spans="1:206" x14ac:dyDescent="0.35">
      <c r="A9">
        <v>140003925</v>
      </c>
      <c r="B9" t="s">
        <v>548</v>
      </c>
      <c r="C9" t="s">
        <v>328</v>
      </c>
      <c r="D9" t="s">
        <v>565</v>
      </c>
      <c r="E9">
        <v>0</v>
      </c>
      <c r="F9">
        <v>10</v>
      </c>
      <c r="G9" t="s">
        <v>550</v>
      </c>
      <c r="H9" t="s">
        <v>551</v>
      </c>
      <c r="I9" s="13">
        <v>45610</v>
      </c>
      <c r="J9" s="13">
        <v>45610</v>
      </c>
      <c r="K9">
        <v>781047</v>
      </c>
      <c r="L9" s="13">
        <v>45622</v>
      </c>
      <c r="M9" t="s">
        <v>552</v>
      </c>
      <c r="N9">
        <v>6.6</v>
      </c>
      <c r="O9">
        <v>6.1</v>
      </c>
      <c r="P9">
        <v>0.16</v>
      </c>
      <c r="Q9">
        <v>1.3</v>
      </c>
      <c r="R9" t="s">
        <v>553</v>
      </c>
      <c r="S9">
        <v>25</v>
      </c>
      <c r="T9">
        <v>6</v>
      </c>
      <c r="Y9">
        <v>71</v>
      </c>
      <c r="AB9">
        <v>48</v>
      </c>
      <c r="AD9">
        <v>6.1</v>
      </c>
      <c r="AE9">
        <v>0.85</v>
      </c>
      <c r="AF9">
        <v>0.4</v>
      </c>
      <c r="AG9">
        <v>2.9000000000000001E-2</v>
      </c>
      <c r="AI9">
        <v>15</v>
      </c>
      <c r="AK9" t="s">
        <v>554</v>
      </c>
      <c r="AL9">
        <v>7.42</v>
      </c>
      <c r="AM9">
        <v>0.39</v>
      </c>
      <c r="AN9" t="s">
        <v>555</v>
      </c>
      <c r="AT9">
        <v>10</v>
      </c>
      <c r="AV9">
        <v>0.83</v>
      </c>
      <c r="BB9" t="s">
        <v>566</v>
      </c>
      <c r="BC9" t="s">
        <v>560</v>
      </c>
      <c r="BU9">
        <v>330</v>
      </c>
      <c r="FM9">
        <v>0.99</v>
      </c>
      <c r="FN9">
        <v>11</v>
      </c>
      <c r="FO9">
        <v>0.09</v>
      </c>
      <c r="GP9" t="s">
        <v>557</v>
      </c>
    </row>
    <row r="10" spans="1:206" x14ac:dyDescent="0.35">
      <c r="A10">
        <v>140003926</v>
      </c>
      <c r="B10" t="s">
        <v>548</v>
      </c>
      <c r="C10" t="s">
        <v>328</v>
      </c>
      <c r="D10" t="s">
        <v>567</v>
      </c>
      <c r="E10">
        <v>0</v>
      </c>
      <c r="F10">
        <v>10</v>
      </c>
      <c r="G10" t="s">
        <v>550</v>
      </c>
      <c r="H10" t="s">
        <v>551</v>
      </c>
      <c r="I10" s="13">
        <v>45610</v>
      </c>
      <c r="J10" s="13">
        <v>45610</v>
      </c>
      <c r="K10">
        <v>781048</v>
      </c>
      <c r="L10" s="13">
        <v>45622</v>
      </c>
      <c r="M10" t="s">
        <v>552</v>
      </c>
      <c r="N10">
        <v>6.6</v>
      </c>
      <c r="O10">
        <v>5.9</v>
      </c>
      <c r="P10">
        <v>0.1</v>
      </c>
      <c r="Q10">
        <v>0.8</v>
      </c>
      <c r="R10" t="s">
        <v>553</v>
      </c>
      <c r="S10">
        <v>22</v>
      </c>
      <c r="T10">
        <v>11</v>
      </c>
      <c r="Y10">
        <v>54</v>
      </c>
      <c r="AB10">
        <v>49</v>
      </c>
      <c r="AD10">
        <v>5.6</v>
      </c>
      <c r="AE10">
        <v>0.96</v>
      </c>
      <c r="AF10">
        <v>0.4</v>
      </c>
      <c r="AG10" t="s">
        <v>559</v>
      </c>
      <c r="AI10">
        <v>14</v>
      </c>
      <c r="AK10" t="s">
        <v>554</v>
      </c>
      <c r="AL10">
        <v>7</v>
      </c>
      <c r="AM10" t="s">
        <v>555</v>
      </c>
      <c r="AN10" t="s">
        <v>555</v>
      </c>
      <c r="AT10">
        <v>12</v>
      </c>
      <c r="AV10">
        <v>0.81</v>
      </c>
      <c r="BB10" t="s">
        <v>556</v>
      </c>
      <c r="BC10" t="s">
        <v>560</v>
      </c>
      <c r="BU10">
        <v>370</v>
      </c>
      <c r="FM10">
        <v>0.99</v>
      </c>
      <c r="FN10">
        <v>11</v>
      </c>
      <c r="FO10">
        <v>9.2999999999999999E-2</v>
      </c>
      <c r="GP10" t="s">
        <v>557</v>
      </c>
    </row>
    <row r="11" spans="1:206" x14ac:dyDescent="0.35">
      <c r="A11">
        <v>140003927</v>
      </c>
      <c r="B11" t="s">
        <v>548</v>
      </c>
      <c r="C11" t="s">
        <v>328</v>
      </c>
      <c r="D11" t="s">
        <v>549</v>
      </c>
      <c r="E11">
        <v>10</v>
      </c>
      <c r="F11">
        <v>20</v>
      </c>
      <c r="G11" t="s">
        <v>550</v>
      </c>
      <c r="H11" t="s">
        <v>551</v>
      </c>
      <c r="I11" s="13">
        <v>45610</v>
      </c>
      <c r="J11" s="13">
        <v>45610</v>
      </c>
      <c r="K11">
        <v>781049</v>
      </c>
      <c r="L11" s="13">
        <v>45622</v>
      </c>
      <c r="M11" t="s">
        <v>552</v>
      </c>
      <c r="N11">
        <v>6.6</v>
      </c>
      <c r="O11">
        <v>6</v>
      </c>
      <c r="P11">
        <v>0.09</v>
      </c>
      <c r="Q11">
        <v>0.6</v>
      </c>
      <c r="R11" t="s">
        <v>553</v>
      </c>
      <c r="S11">
        <v>25</v>
      </c>
      <c r="T11">
        <v>5.0999999999999996</v>
      </c>
      <c r="Y11">
        <v>11</v>
      </c>
      <c r="AB11">
        <v>65</v>
      </c>
      <c r="AD11">
        <v>5.6</v>
      </c>
      <c r="AE11">
        <v>0.86</v>
      </c>
      <c r="AF11">
        <v>0.9</v>
      </c>
      <c r="AG11" t="s">
        <v>559</v>
      </c>
      <c r="AI11">
        <v>6.2</v>
      </c>
      <c r="AK11" t="s">
        <v>554</v>
      </c>
      <c r="AL11">
        <v>7.34</v>
      </c>
      <c r="AM11" t="s">
        <v>555</v>
      </c>
      <c r="AN11" t="s">
        <v>555</v>
      </c>
      <c r="AT11">
        <v>16</v>
      </c>
      <c r="AV11">
        <v>0.24</v>
      </c>
      <c r="BB11" t="s">
        <v>568</v>
      </c>
      <c r="BC11" t="s">
        <v>415</v>
      </c>
      <c r="BU11">
        <v>340</v>
      </c>
      <c r="FM11">
        <v>0.32</v>
      </c>
      <c r="FN11">
        <v>6.4</v>
      </c>
      <c r="FO11" t="s">
        <v>569</v>
      </c>
      <c r="GP11" t="s">
        <v>557</v>
      </c>
    </row>
    <row r="12" spans="1:206" x14ac:dyDescent="0.35">
      <c r="A12">
        <v>140003928</v>
      </c>
      <c r="B12" t="s">
        <v>548</v>
      </c>
      <c r="C12" t="s">
        <v>328</v>
      </c>
      <c r="D12" t="s">
        <v>558</v>
      </c>
      <c r="E12">
        <v>10</v>
      </c>
      <c r="F12">
        <v>20</v>
      </c>
      <c r="G12" t="s">
        <v>550</v>
      </c>
      <c r="H12" t="s">
        <v>551</v>
      </c>
      <c r="I12" s="13">
        <v>45610</v>
      </c>
      <c r="J12" s="13">
        <v>45610</v>
      </c>
      <c r="K12">
        <v>781050</v>
      </c>
      <c r="L12" s="13">
        <v>45622</v>
      </c>
      <c r="M12" t="s">
        <v>552</v>
      </c>
      <c r="N12">
        <v>6</v>
      </c>
      <c r="O12">
        <v>5.3</v>
      </c>
      <c r="P12">
        <v>7.0000000000000007E-2</v>
      </c>
      <c r="Q12">
        <v>0.4</v>
      </c>
      <c r="R12" t="s">
        <v>553</v>
      </c>
      <c r="S12">
        <v>22</v>
      </c>
      <c r="T12">
        <v>5.0999999999999996</v>
      </c>
      <c r="Y12">
        <v>6.7</v>
      </c>
      <c r="AB12">
        <v>61</v>
      </c>
      <c r="AD12">
        <v>4.0999999999999996</v>
      </c>
      <c r="AE12">
        <v>0.55000000000000004</v>
      </c>
      <c r="AF12">
        <v>0.82</v>
      </c>
      <c r="AG12" t="s">
        <v>559</v>
      </c>
      <c r="AI12">
        <v>5</v>
      </c>
      <c r="AK12">
        <v>0.11</v>
      </c>
      <c r="AL12">
        <v>5.58</v>
      </c>
      <c r="AM12" t="s">
        <v>555</v>
      </c>
      <c r="AN12">
        <v>1.9</v>
      </c>
      <c r="AT12">
        <v>11</v>
      </c>
      <c r="AV12">
        <v>0.22</v>
      </c>
      <c r="BB12" t="s">
        <v>568</v>
      </c>
      <c r="BC12" t="s">
        <v>415</v>
      </c>
      <c r="BU12">
        <v>210</v>
      </c>
      <c r="FM12">
        <v>0.33</v>
      </c>
      <c r="FN12">
        <v>6.6</v>
      </c>
      <c r="FO12" t="s">
        <v>569</v>
      </c>
      <c r="GP12">
        <v>9.5</v>
      </c>
    </row>
    <row r="13" spans="1:206" x14ac:dyDescent="0.35">
      <c r="A13">
        <v>140003929</v>
      </c>
      <c r="B13" t="s">
        <v>548</v>
      </c>
      <c r="C13" t="s">
        <v>328</v>
      </c>
      <c r="D13" t="s">
        <v>561</v>
      </c>
      <c r="E13">
        <v>10</v>
      </c>
      <c r="F13">
        <v>20</v>
      </c>
      <c r="G13" t="s">
        <v>550</v>
      </c>
      <c r="H13" t="s">
        <v>551</v>
      </c>
      <c r="I13" s="13">
        <v>45610</v>
      </c>
      <c r="J13" s="13">
        <v>45610</v>
      </c>
      <c r="K13">
        <v>781051</v>
      </c>
      <c r="L13" s="13">
        <v>45622</v>
      </c>
      <c r="M13" t="s">
        <v>552</v>
      </c>
      <c r="N13">
        <v>6.1</v>
      </c>
      <c r="O13">
        <v>5.5</v>
      </c>
      <c r="P13">
        <v>0.09</v>
      </c>
      <c r="Q13">
        <v>0.6</v>
      </c>
      <c r="R13" t="s">
        <v>553</v>
      </c>
      <c r="S13">
        <v>26</v>
      </c>
      <c r="T13">
        <v>4.5</v>
      </c>
      <c r="Y13">
        <v>13</v>
      </c>
      <c r="AB13">
        <v>43</v>
      </c>
      <c r="AD13">
        <v>3.9</v>
      </c>
      <c r="AE13">
        <v>0.7</v>
      </c>
      <c r="AF13">
        <v>0.39</v>
      </c>
      <c r="AG13" t="s">
        <v>559</v>
      </c>
      <c r="AI13">
        <v>10</v>
      </c>
      <c r="AK13" t="s">
        <v>554</v>
      </c>
      <c r="AL13">
        <v>5</v>
      </c>
      <c r="AM13" t="s">
        <v>555</v>
      </c>
      <c r="AN13" t="s">
        <v>555</v>
      </c>
      <c r="AT13">
        <v>12</v>
      </c>
      <c r="AV13">
        <v>0.22</v>
      </c>
      <c r="BB13" t="s">
        <v>568</v>
      </c>
      <c r="BC13" t="s">
        <v>415</v>
      </c>
      <c r="BU13">
        <v>270</v>
      </c>
      <c r="FM13">
        <v>0.33</v>
      </c>
      <c r="FN13">
        <v>6.6</v>
      </c>
      <c r="FO13" t="s">
        <v>569</v>
      </c>
      <c r="GP13" t="s">
        <v>557</v>
      </c>
    </row>
    <row r="14" spans="1:206" x14ac:dyDescent="0.35">
      <c r="A14">
        <v>140003930</v>
      </c>
      <c r="B14" t="s">
        <v>548</v>
      </c>
      <c r="C14" t="s">
        <v>328</v>
      </c>
      <c r="D14" t="s">
        <v>562</v>
      </c>
      <c r="E14">
        <v>10</v>
      </c>
      <c r="F14">
        <v>20</v>
      </c>
      <c r="G14" t="s">
        <v>550</v>
      </c>
      <c r="H14" t="s">
        <v>551</v>
      </c>
      <c r="I14" s="13">
        <v>45610</v>
      </c>
      <c r="J14" s="13">
        <v>45610</v>
      </c>
      <c r="K14">
        <v>781052</v>
      </c>
      <c r="L14" s="13">
        <v>45622</v>
      </c>
      <c r="M14" t="s">
        <v>552</v>
      </c>
      <c r="N14">
        <v>5.7</v>
      </c>
      <c r="O14">
        <v>5</v>
      </c>
      <c r="P14">
        <v>0.12</v>
      </c>
      <c r="Q14">
        <v>1</v>
      </c>
      <c r="R14" t="s">
        <v>553</v>
      </c>
      <c r="S14">
        <v>33</v>
      </c>
      <c r="T14">
        <v>4.0999999999999996</v>
      </c>
      <c r="Y14">
        <v>20</v>
      </c>
      <c r="AB14">
        <v>53</v>
      </c>
      <c r="AD14">
        <v>4.3</v>
      </c>
      <c r="AE14">
        <v>0.71</v>
      </c>
      <c r="AF14">
        <v>0.43</v>
      </c>
      <c r="AG14" t="s">
        <v>559</v>
      </c>
      <c r="AI14">
        <v>10</v>
      </c>
      <c r="AK14">
        <v>0.11</v>
      </c>
      <c r="AL14">
        <v>5.56</v>
      </c>
      <c r="AM14" t="s">
        <v>555</v>
      </c>
      <c r="AN14">
        <v>2</v>
      </c>
      <c r="AT14">
        <v>29</v>
      </c>
      <c r="AV14">
        <v>0.33</v>
      </c>
      <c r="BB14" t="s">
        <v>568</v>
      </c>
      <c r="BC14" t="s">
        <v>560</v>
      </c>
      <c r="BU14">
        <v>280</v>
      </c>
      <c r="FM14">
        <v>0.43</v>
      </c>
      <c r="FN14">
        <v>7.8</v>
      </c>
      <c r="FO14">
        <v>5.5E-2</v>
      </c>
      <c r="GP14">
        <v>10</v>
      </c>
    </row>
    <row r="15" spans="1:206" x14ac:dyDescent="0.35">
      <c r="A15">
        <v>140003931</v>
      </c>
      <c r="B15" t="s">
        <v>548</v>
      </c>
      <c r="C15" t="s">
        <v>328</v>
      </c>
      <c r="D15" t="s">
        <v>563</v>
      </c>
      <c r="E15">
        <v>10</v>
      </c>
      <c r="F15">
        <v>20</v>
      </c>
      <c r="G15" t="s">
        <v>550</v>
      </c>
      <c r="H15" t="s">
        <v>551</v>
      </c>
      <c r="I15" s="13">
        <v>45610</v>
      </c>
      <c r="J15" s="13">
        <v>45610</v>
      </c>
      <c r="K15">
        <v>781053</v>
      </c>
      <c r="L15" s="13">
        <v>45622</v>
      </c>
      <c r="M15" t="s">
        <v>552</v>
      </c>
      <c r="N15">
        <v>5.8</v>
      </c>
      <c r="O15">
        <v>5</v>
      </c>
      <c r="P15">
        <v>0.09</v>
      </c>
      <c r="Q15">
        <v>0.6</v>
      </c>
      <c r="R15" t="s">
        <v>553</v>
      </c>
      <c r="S15">
        <v>23</v>
      </c>
      <c r="T15">
        <v>2.2999999999999998</v>
      </c>
      <c r="Y15">
        <v>16</v>
      </c>
      <c r="AB15">
        <v>48</v>
      </c>
      <c r="AD15">
        <v>4.4000000000000004</v>
      </c>
      <c r="AE15">
        <v>0.68</v>
      </c>
      <c r="AF15">
        <v>0.61</v>
      </c>
      <c r="AG15" t="s">
        <v>559</v>
      </c>
      <c r="AI15">
        <v>7.2</v>
      </c>
      <c r="AK15">
        <v>0.11</v>
      </c>
      <c r="AL15">
        <v>5.84</v>
      </c>
      <c r="AM15" t="s">
        <v>555</v>
      </c>
      <c r="AN15">
        <v>1.9</v>
      </c>
      <c r="AT15">
        <v>17</v>
      </c>
      <c r="AV15">
        <v>0.37</v>
      </c>
      <c r="BB15" t="s">
        <v>568</v>
      </c>
      <c r="BC15" t="s">
        <v>415</v>
      </c>
      <c r="BU15">
        <v>270</v>
      </c>
      <c r="FM15">
        <v>0.46</v>
      </c>
      <c r="FN15">
        <v>7.7</v>
      </c>
      <c r="FO15">
        <v>0.06</v>
      </c>
      <c r="GP15">
        <v>9.9</v>
      </c>
    </row>
    <row r="16" spans="1:206" x14ac:dyDescent="0.35">
      <c r="A16">
        <v>140003932</v>
      </c>
      <c r="B16" t="s">
        <v>548</v>
      </c>
      <c r="C16" t="s">
        <v>328</v>
      </c>
      <c r="D16" t="s">
        <v>564</v>
      </c>
      <c r="E16">
        <v>10</v>
      </c>
      <c r="F16">
        <v>20</v>
      </c>
      <c r="G16" t="s">
        <v>550</v>
      </c>
      <c r="H16" t="s">
        <v>551</v>
      </c>
      <c r="I16" s="13">
        <v>45610</v>
      </c>
      <c r="J16" s="13">
        <v>45610</v>
      </c>
      <c r="K16">
        <v>781054</v>
      </c>
      <c r="L16" s="13">
        <v>45622</v>
      </c>
      <c r="M16" t="s">
        <v>552</v>
      </c>
      <c r="N16">
        <v>5.6</v>
      </c>
      <c r="O16">
        <v>5</v>
      </c>
      <c r="P16">
        <v>0.13</v>
      </c>
      <c r="Q16">
        <v>0.8</v>
      </c>
      <c r="R16" t="s">
        <v>553</v>
      </c>
      <c r="S16">
        <v>40</v>
      </c>
      <c r="T16">
        <v>3.3</v>
      </c>
      <c r="Y16">
        <v>16</v>
      </c>
      <c r="AB16">
        <v>45</v>
      </c>
      <c r="AD16">
        <v>4.0999999999999996</v>
      </c>
      <c r="AE16">
        <v>0.7</v>
      </c>
      <c r="AF16">
        <v>0.52</v>
      </c>
      <c r="AG16">
        <v>2.1999999999999999E-2</v>
      </c>
      <c r="AI16">
        <v>7.9</v>
      </c>
      <c r="AK16">
        <v>0.11</v>
      </c>
      <c r="AL16">
        <v>5.42</v>
      </c>
      <c r="AM16">
        <v>0.41</v>
      </c>
      <c r="AN16">
        <v>2</v>
      </c>
      <c r="AT16">
        <v>34</v>
      </c>
      <c r="AV16">
        <v>0.32</v>
      </c>
      <c r="BB16" t="s">
        <v>568</v>
      </c>
      <c r="BC16" t="s">
        <v>415</v>
      </c>
      <c r="BU16">
        <v>270</v>
      </c>
      <c r="FM16">
        <v>0.37</v>
      </c>
      <c r="FN16">
        <v>5.8</v>
      </c>
      <c r="FO16">
        <v>6.4000000000000001E-2</v>
      </c>
      <c r="GP16">
        <v>9.9</v>
      </c>
    </row>
    <row r="17" spans="1:198" x14ac:dyDescent="0.35">
      <c r="A17">
        <v>140003933</v>
      </c>
      <c r="B17" t="s">
        <v>548</v>
      </c>
      <c r="C17" t="s">
        <v>328</v>
      </c>
      <c r="D17" t="s">
        <v>565</v>
      </c>
      <c r="E17">
        <v>10</v>
      </c>
      <c r="F17">
        <v>20</v>
      </c>
      <c r="G17" t="s">
        <v>550</v>
      </c>
      <c r="H17" t="s">
        <v>551</v>
      </c>
      <c r="I17" s="13">
        <v>45610</v>
      </c>
      <c r="J17" s="13">
        <v>45610</v>
      </c>
      <c r="K17">
        <v>781055</v>
      </c>
      <c r="L17" s="13">
        <v>45622</v>
      </c>
      <c r="M17" t="s">
        <v>552</v>
      </c>
      <c r="N17">
        <v>6.3</v>
      </c>
      <c r="O17">
        <v>5.5</v>
      </c>
      <c r="P17">
        <v>7.0000000000000007E-2</v>
      </c>
      <c r="Q17">
        <v>0.4</v>
      </c>
      <c r="R17" t="s">
        <v>553</v>
      </c>
      <c r="S17">
        <v>20</v>
      </c>
      <c r="T17">
        <v>2.1</v>
      </c>
      <c r="Y17">
        <v>15</v>
      </c>
      <c r="AB17">
        <v>50</v>
      </c>
      <c r="AD17">
        <v>4.0999999999999996</v>
      </c>
      <c r="AE17">
        <v>0.57999999999999996</v>
      </c>
      <c r="AF17">
        <v>0.5</v>
      </c>
      <c r="AG17" t="s">
        <v>559</v>
      </c>
      <c r="AI17">
        <v>8.1999999999999993</v>
      </c>
      <c r="AK17" t="s">
        <v>554</v>
      </c>
      <c r="AL17">
        <v>5.21</v>
      </c>
      <c r="AM17" t="s">
        <v>555</v>
      </c>
      <c r="AN17" t="s">
        <v>555</v>
      </c>
      <c r="AT17">
        <v>11</v>
      </c>
      <c r="AV17">
        <v>0.36</v>
      </c>
      <c r="BB17" t="s">
        <v>568</v>
      </c>
      <c r="BC17" t="s">
        <v>415</v>
      </c>
      <c r="BU17">
        <v>230</v>
      </c>
      <c r="FM17">
        <v>0.47</v>
      </c>
      <c r="FN17">
        <v>7.8</v>
      </c>
      <c r="FO17">
        <v>0.06</v>
      </c>
      <c r="GP17" t="s">
        <v>557</v>
      </c>
    </row>
    <row r="18" spans="1:198" x14ac:dyDescent="0.35">
      <c r="A18">
        <v>140003934</v>
      </c>
      <c r="B18" t="s">
        <v>548</v>
      </c>
      <c r="C18" t="s">
        <v>328</v>
      </c>
      <c r="D18" t="s">
        <v>567</v>
      </c>
      <c r="E18">
        <v>10</v>
      </c>
      <c r="F18">
        <v>20</v>
      </c>
      <c r="G18" t="s">
        <v>550</v>
      </c>
      <c r="H18" t="s">
        <v>551</v>
      </c>
      <c r="I18" s="13">
        <v>45610</v>
      </c>
      <c r="J18" s="13">
        <v>45610</v>
      </c>
      <c r="K18">
        <v>781056</v>
      </c>
      <c r="L18" s="13">
        <v>45622</v>
      </c>
      <c r="M18" t="s">
        <v>552</v>
      </c>
      <c r="N18">
        <v>5.7</v>
      </c>
      <c r="O18">
        <v>4.9000000000000004</v>
      </c>
      <c r="P18">
        <v>0.08</v>
      </c>
      <c r="Q18">
        <v>0.5</v>
      </c>
      <c r="R18" t="s">
        <v>553</v>
      </c>
      <c r="S18">
        <v>18</v>
      </c>
      <c r="T18">
        <v>1.9</v>
      </c>
      <c r="Y18">
        <v>13</v>
      </c>
      <c r="AB18">
        <v>62</v>
      </c>
      <c r="AD18">
        <v>4.3</v>
      </c>
      <c r="AE18">
        <v>0.75</v>
      </c>
      <c r="AF18">
        <v>0.53</v>
      </c>
      <c r="AG18">
        <v>4.8000000000000001E-2</v>
      </c>
      <c r="AI18">
        <v>8.1</v>
      </c>
      <c r="AK18">
        <v>0.11</v>
      </c>
      <c r="AL18">
        <v>5.78</v>
      </c>
      <c r="AM18">
        <v>0.84</v>
      </c>
      <c r="AN18">
        <v>1.9</v>
      </c>
      <c r="AT18">
        <v>17</v>
      </c>
      <c r="AV18">
        <v>0.28000000000000003</v>
      </c>
      <c r="BB18" t="s">
        <v>568</v>
      </c>
      <c r="BC18" t="s">
        <v>415</v>
      </c>
      <c r="BU18">
        <v>290</v>
      </c>
      <c r="FM18">
        <v>0.38</v>
      </c>
      <c r="FN18">
        <v>7.5</v>
      </c>
      <c r="FO18">
        <v>5.0999999999999997E-2</v>
      </c>
      <c r="GP18">
        <v>9.6</v>
      </c>
    </row>
    <row r="19" spans="1:198" x14ac:dyDescent="0.35">
      <c r="A19">
        <v>140003935</v>
      </c>
      <c r="B19" t="s">
        <v>548</v>
      </c>
      <c r="C19" t="s">
        <v>328</v>
      </c>
      <c r="D19" t="s">
        <v>549</v>
      </c>
      <c r="E19">
        <v>100</v>
      </c>
      <c r="F19">
        <v>120</v>
      </c>
      <c r="G19" t="s">
        <v>550</v>
      </c>
      <c r="H19" t="s">
        <v>551</v>
      </c>
      <c r="I19" s="13">
        <v>45610</v>
      </c>
      <c r="J19" s="13">
        <v>45610</v>
      </c>
      <c r="K19">
        <v>781057</v>
      </c>
      <c r="L19" s="13">
        <v>45622</v>
      </c>
      <c r="M19" t="s">
        <v>552</v>
      </c>
      <c r="N19">
        <v>8.1999999999999993</v>
      </c>
      <c r="O19">
        <v>7.3</v>
      </c>
      <c r="P19">
        <v>7.0000000000000007E-2</v>
      </c>
      <c r="Q19">
        <v>0.4</v>
      </c>
      <c r="R19" t="s">
        <v>553</v>
      </c>
      <c r="S19">
        <v>4.5999999999999996</v>
      </c>
      <c r="T19">
        <v>2.5</v>
      </c>
      <c r="Y19" t="s">
        <v>570</v>
      </c>
      <c r="AB19">
        <v>130</v>
      </c>
      <c r="AD19">
        <v>12</v>
      </c>
      <c r="AE19">
        <v>1.9</v>
      </c>
      <c r="AF19">
        <v>7.1</v>
      </c>
      <c r="AG19">
        <v>0.1</v>
      </c>
      <c r="AI19">
        <v>1.7</v>
      </c>
      <c r="AK19" t="s">
        <v>554</v>
      </c>
      <c r="AL19">
        <v>21.1</v>
      </c>
      <c r="AM19">
        <v>0.48</v>
      </c>
      <c r="AN19" t="s">
        <v>555</v>
      </c>
      <c r="AT19">
        <v>1.9</v>
      </c>
      <c r="AV19" t="s">
        <v>571</v>
      </c>
      <c r="BB19" t="s">
        <v>572</v>
      </c>
      <c r="BC19" t="s">
        <v>415</v>
      </c>
      <c r="BU19">
        <v>750</v>
      </c>
      <c r="FM19" t="s">
        <v>571</v>
      </c>
      <c r="FN19">
        <v>3</v>
      </c>
      <c r="FO19" t="s">
        <v>569</v>
      </c>
      <c r="GP19" t="s">
        <v>557</v>
      </c>
    </row>
    <row r="20" spans="1:198" x14ac:dyDescent="0.35">
      <c r="A20">
        <v>140003936</v>
      </c>
      <c r="B20" t="s">
        <v>548</v>
      </c>
      <c r="C20" t="s">
        <v>328</v>
      </c>
      <c r="D20" t="s">
        <v>558</v>
      </c>
      <c r="E20">
        <v>100</v>
      </c>
      <c r="F20">
        <v>120</v>
      </c>
      <c r="G20" t="s">
        <v>550</v>
      </c>
      <c r="H20" t="s">
        <v>551</v>
      </c>
      <c r="I20" s="13">
        <v>45610</v>
      </c>
      <c r="J20" s="13">
        <v>45610</v>
      </c>
      <c r="K20">
        <v>781058</v>
      </c>
      <c r="L20" s="13">
        <v>45622</v>
      </c>
      <c r="M20" t="s">
        <v>552</v>
      </c>
      <c r="N20">
        <v>6.2</v>
      </c>
      <c r="O20">
        <v>5.0999999999999996</v>
      </c>
      <c r="P20">
        <v>0.04</v>
      </c>
      <c r="Q20">
        <v>0.2</v>
      </c>
      <c r="R20" t="s">
        <v>553</v>
      </c>
      <c r="S20">
        <v>3.1</v>
      </c>
      <c r="T20">
        <v>7.1</v>
      </c>
      <c r="Y20" t="s">
        <v>570</v>
      </c>
      <c r="AB20">
        <v>150</v>
      </c>
      <c r="AD20">
        <v>5.9</v>
      </c>
      <c r="AE20">
        <v>0.83</v>
      </c>
      <c r="AF20">
        <v>5.4</v>
      </c>
      <c r="AG20">
        <v>0.27</v>
      </c>
      <c r="AI20">
        <v>1.1000000000000001</v>
      </c>
      <c r="AK20">
        <v>0.14000000000000001</v>
      </c>
      <c r="AL20">
        <v>12.5</v>
      </c>
      <c r="AM20">
        <v>2.1</v>
      </c>
      <c r="AN20">
        <v>1.1000000000000001</v>
      </c>
      <c r="AT20">
        <v>2</v>
      </c>
      <c r="AV20" t="s">
        <v>571</v>
      </c>
      <c r="BB20" t="s">
        <v>572</v>
      </c>
      <c r="BC20" t="s">
        <v>415</v>
      </c>
      <c r="BU20">
        <v>320</v>
      </c>
      <c r="FM20" t="s">
        <v>571</v>
      </c>
      <c r="FN20">
        <v>3</v>
      </c>
      <c r="FO20" t="s">
        <v>569</v>
      </c>
      <c r="GP20">
        <v>13</v>
      </c>
    </row>
    <row r="21" spans="1:198" x14ac:dyDescent="0.35">
      <c r="A21">
        <v>140003937</v>
      </c>
      <c r="B21" t="s">
        <v>548</v>
      </c>
      <c r="C21" t="s">
        <v>328</v>
      </c>
      <c r="D21" t="s">
        <v>561</v>
      </c>
      <c r="E21">
        <v>100</v>
      </c>
      <c r="F21">
        <v>120</v>
      </c>
      <c r="G21" t="s">
        <v>550</v>
      </c>
      <c r="H21" t="s">
        <v>551</v>
      </c>
      <c r="I21" s="13">
        <v>45610</v>
      </c>
      <c r="J21" s="13">
        <v>45610</v>
      </c>
      <c r="K21">
        <v>781059</v>
      </c>
      <c r="L21" s="13">
        <v>45622</v>
      </c>
      <c r="M21" t="s">
        <v>552</v>
      </c>
      <c r="N21">
        <v>7.1</v>
      </c>
      <c r="O21">
        <v>6.1</v>
      </c>
      <c r="P21">
        <v>0.05</v>
      </c>
      <c r="Q21">
        <v>0.3</v>
      </c>
      <c r="R21" t="s">
        <v>553</v>
      </c>
      <c r="S21">
        <v>3.4</v>
      </c>
      <c r="T21">
        <v>1.3</v>
      </c>
      <c r="Y21" t="s">
        <v>570</v>
      </c>
      <c r="AB21">
        <v>110</v>
      </c>
      <c r="AD21">
        <v>7.5</v>
      </c>
      <c r="AE21">
        <v>1.2</v>
      </c>
      <c r="AF21">
        <v>5.5</v>
      </c>
      <c r="AG21">
        <v>0.18</v>
      </c>
      <c r="AI21">
        <v>1.4</v>
      </c>
      <c r="AK21">
        <v>0.11</v>
      </c>
      <c r="AL21">
        <v>14.5</v>
      </c>
      <c r="AM21">
        <v>1.3</v>
      </c>
      <c r="AN21">
        <v>0.75</v>
      </c>
      <c r="AT21">
        <v>10</v>
      </c>
      <c r="AV21" t="s">
        <v>571</v>
      </c>
      <c r="BB21" t="s">
        <v>572</v>
      </c>
      <c r="BC21" t="s">
        <v>415</v>
      </c>
      <c r="BU21">
        <v>480</v>
      </c>
      <c r="FM21" t="s">
        <v>571</v>
      </c>
      <c r="FN21">
        <v>3</v>
      </c>
      <c r="FO21" t="s">
        <v>569</v>
      </c>
      <c r="GP21">
        <v>9.8000000000000007</v>
      </c>
    </row>
    <row r="22" spans="1:198" x14ac:dyDescent="0.35">
      <c r="A22">
        <v>140003938</v>
      </c>
      <c r="B22" t="s">
        <v>548</v>
      </c>
      <c r="C22" t="s">
        <v>328</v>
      </c>
      <c r="D22" t="s">
        <v>562</v>
      </c>
      <c r="E22">
        <v>100</v>
      </c>
      <c r="F22">
        <v>120</v>
      </c>
      <c r="G22" t="s">
        <v>550</v>
      </c>
      <c r="H22" t="s">
        <v>551</v>
      </c>
      <c r="I22" s="13">
        <v>45610</v>
      </c>
      <c r="J22" s="13">
        <v>45610</v>
      </c>
      <c r="K22">
        <v>781060</v>
      </c>
      <c r="L22" s="13">
        <v>45622</v>
      </c>
      <c r="M22" t="s">
        <v>552</v>
      </c>
      <c r="N22">
        <v>7.6</v>
      </c>
      <c r="O22">
        <v>6.6</v>
      </c>
      <c r="P22">
        <v>0.04</v>
      </c>
      <c r="Q22">
        <v>0.2</v>
      </c>
      <c r="R22" t="s">
        <v>553</v>
      </c>
      <c r="S22">
        <v>2.4</v>
      </c>
      <c r="T22">
        <v>1.5</v>
      </c>
      <c r="Y22" t="s">
        <v>570</v>
      </c>
      <c r="AB22">
        <v>100</v>
      </c>
      <c r="AD22">
        <v>9.6999999999999993</v>
      </c>
      <c r="AE22">
        <v>1.5</v>
      </c>
      <c r="AF22">
        <v>5.6</v>
      </c>
      <c r="AG22">
        <v>0.09</v>
      </c>
      <c r="AI22">
        <v>1.7</v>
      </c>
      <c r="AK22">
        <v>0.11</v>
      </c>
      <c r="AL22">
        <v>16.899999999999999</v>
      </c>
      <c r="AM22">
        <v>0.53</v>
      </c>
      <c r="AN22">
        <v>0.64</v>
      </c>
      <c r="AT22">
        <v>3.5</v>
      </c>
      <c r="AV22" t="s">
        <v>571</v>
      </c>
      <c r="BB22" t="s">
        <v>572</v>
      </c>
      <c r="BC22" t="s">
        <v>415</v>
      </c>
      <c r="BU22">
        <v>570</v>
      </c>
      <c r="FM22" t="s">
        <v>571</v>
      </c>
      <c r="FN22">
        <v>3</v>
      </c>
      <c r="FO22" t="s">
        <v>569</v>
      </c>
      <c r="GP22">
        <v>9.6999999999999993</v>
      </c>
    </row>
    <row r="23" spans="1:198" x14ac:dyDescent="0.35">
      <c r="A23">
        <v>140003939</v>
      </c>
      <c r="B23" t="s">
        <v>548</v>
      </c>
      <c r="C23" t="s">
        <v>328</v>
      </c>
      <c r="D23" t="s">
        <v>563</v>
      </c>
      <c r="E23">
        <v>100</v>
      </c>
      <c r="F23">
        <v>120</v>
      </c>
      <c r="G23" t="s">
        <v>550</v>
      </c>
      <c r="H23" t="s">
        <v>551</v>
      </c>
      <c r="I23" s="13">
        <v>45610</v>
      </c>
      <c r="J23" s="13">
        <v>45610</v>
      </c>
      <c r="K23">
        <v>781061</v>
      </c>
      <c r="L23" s="13">
        <v>45622</v>
      </c>
      <c r="M23" t="s">
        <v>552</v>
      </c>
      <c r="N23">
        <v>7.9</v>
      </c>
      <c r="O23">
        <v>7</v>
      </c>
      <c r="P23">
        <v>0.08</v>
      </c>
      <c r="Q23">
        <v>0.5</v>
      </c>
      <c r="R23" t="s">
        <v>553</v>
      </c>
      <c r="S23">
        <v>3.1</v>
      </c>
      <c r="T23">
        <v>6.4</v>
      </c>
      <c r="Y23" t="s">
        <v>570</v>
      </c>
      <c r="AB23">
        <v>160</v>
      </c>
      <c r="AD23">
        <v>11</v>
      </c>
      <c r="AE23">
        <v>1.8</v>
      </c>
      <c r="AF23">
        <v>7.1</v>
      </c>
      <c r="AG23">
        <v>0.17</v>
      </c>
      <c r="AI23">
        <v>1.5</v>
      </c>
      <c r="AK23" t="s">
        <v>554</v>
      </c>
      <c r="AL23">
        <v>20.399999999999999</v>
      </c>
      <c r="AM23">
        <v>0.84</v>
      </c>
      <c r="AN23" t="s">
        <v>555</v>
      </c>
      <c r="AT23">
        <v>4.9000000000000004</v>
      </c>
      <c r="AV23" t="s">
        <v>571</v>
      </c>
      <c r="BB23" t="s">
        <v>572</v>
      </c>
      <c r="BC23" t="s">
        <v>415</v>
      </c>
      <c r="BU23">
        <v>710</v>
      </c>
      <c r="FM23" t="s">
        <v>571</v>
      </c>
      <c r="FN23">
        <v>3</v>
      </c>
      <c r="FO23" t="s">
        <v>569</v>
      </c>
      <c r="GP23" t="s">
        <v>557</v>
      </c>
    </row>
    <row r="24" spans="1:198" x14ac:dyDescent="0.35">
      <c r="A24">
        <v>140003940</v>
      </c>
      <c r="B24" t="s">
        <v>548</v>
      </c>
      <c r="C24" t="s">
        <v>328</v>
      </c>
      <c r="D24" t="s">
        <v>564</v>
      </c>
      <c r="E24">
        <v>100</v>
      </c>
      <c r="F24">
        <v>120</v>
      </c>
      <c r="G24" t="s">
        <v>550</v>
      </c>
      <c r="H24" t="s">
        <v>551</v>
      </c>
      <c r="I24" s="13">
        <v>45610</v>
      </c>
      <c r="J24" s="13">
        <v>45610</v>
      </c>
      <c r="K24">
        <v>781062</v>
      </c>
      <c r="L24" s="13">
        <v>45622</v>
      </c>
      <c r="M24" t="s">
        <v>552</v>
      </c>
      <c r="N24">
        <v>8.1999999999999993</v>
      </c>
      <c r="O24">
        <v>7.4</v>
      </c>
      <c r="P24">
        <v>7.0000000000000007E-2</v>
      </c>
      <c r="Q24">
        <v>0.4</v>
      </c>
      <c r="R24" t="s">
        <v>553</v>
      </c>
      <c r="S24">
        <v>4.4000000000000004</v>
      </c>
      <c r="T24">
        <v>1.8</v>
      </c>
      <c r="Y24" t="s">
        <v>570</v>
      </c>
      <c r="AB24">
        <v>130</v>
      </c>
      <c r="AD24">
        <v>11</v>
      </c>
      <c r="AE24">
        <v>2</v>
      </c>
      <c r="AF24">
        <v>9.1</v>
      </c>
      <c r="AG24">
        <v>0.22</v>
      </c>
      <c r="AI24">
        <v>1.2</v>
      </c>
      <c r="AK24" t="s">
        <v>554</v>
      </c>
      <c r="AL24">
        <v>22.6</v>
      </c>
      <c r="AM24">
        <v>0.95</v>
      </c>
      <c r="AN24" t="s">
        <v>555</v>
      </c>
      <c r="AT24">
        <v>4.2</v>
      </c>
      <c r="AV24" t="s">
        <v>571</v>
      </c>
      <c r="BB24" t="s">
        <v>572</v>
      </c>
      <c r="BC24" t="s">
        <v>415</v>
      </c>
      <c r="BU24">
        <v>770</v>
      </c>
      <c r="FM24" t="s">
        <v>571</v>
      </c>
      <c r="FN24">
        <v>3</v>
      </c>
      <c r="FO24" t="s">
        <v>569</v>
      </c>
      <c r="GP24" t="s">
        <v>557</v>
      </c>
    </row>
    <row r="25" spans="1:198" x14ac:dyDescent="0.35">
      <c r="A25">
        <v>140003941</v>
      </c>
      <c r="B25" t="s">
        <v>548</v>
      </c>
      <c r="C25" t="s">
        <v>328</v>
      </c>
      <c r="D25" t="s">
        <v>565</v>
      </c>
      <c r="E25">
        <v>100</v>
      </c>
      <c r="F25">
        <v>120</v>
      </c>
      <c r="G25" t="s">
        <v>550</v>
      </c>
      <c r="H25" t="s">
        <v>551</v>
      </c>
      <c r="I25" s="13">
        <v>45610</v>
      </c>
      <c r="J25" s="13">
        <v>45610</v>
      </c>
      <c r="K25">
        <v>781063</v>
      </c>
      <c r="L25" s="13">
        <v>45622</v>
      </c>
      <c r="M25" t="s">
        <v>552</v>
      </c>
      <c r="N25">
        <v>6.7</v>
      </c>
      <c r="O25">
        <v>5.3</v>
      </c>
      <c r="P25">
        <v>0.03</v>
      </c>
      <c r="Q25">
        <v>0.2</v>
      </c>
      <c r="R25" t="s">
        <v>553</v>
      </c>
      <c r="S25">
        <v>2.4</v>
      </c>
      <c r="T25">
        <v>1.8</v>
      </c>
      <c r="Y25" t="s">
        <v>570</v>
      </c>
      <c r="AB25">
        <v>60</v>
      </c>
      <c r="AD25">
        <v>4.8</v>
      </c>
      <c r="AE25">
        <v>0.89</v>
      </c>
      <c r="AF25">
        <v>5.3</v>
      </c>
      <c r="AG25">
        <v>0.37</v>
      </c>
      <c r="AI25">
        <v>0.91</v>
      </c>
      <c r="AK25">
        <v>0.12</v>
      </c>
      <c r="AL25">
        <v>11.5</v>
      </c>
      <c r="AM25">
        <v>3.2</v>
      </c>
      <c r="AN25">
        <v>1</v>
      </c>
      <c r="AT25">
        <v>3.8</v>
      </c>
      <c r="AV25" t="s">
        <v>571</v>
      </c>
      <c r="BB25" t="s">
        <v>572</v>
      </c>
      <c r="BC25" t="s">
        <v>415</v>
      </c>
      <c r="BU25">
        <v>350</v>
      </c>
      <c r="FM25" t="s">
        <v>571</v>
      </c>
      <c r="FN25">
        <v>3</v>
      </c>
      <c r="FO25" t="s">
        <v>569</v>
      </c>
      <c r="GP25">
        <v>11</v>
      </c>
    </row>
    <row r="26" spans="1:198" x14ac:dyDescent="0.35">
      <c r="A26">
        <v>140003942</v>
      </c>
      <c r="B26" t="s">
        <v>548</v>
      </c>
      <c r="C26" t="s">
        <v>328</v>
      </c>
      <c r="D26" t="s">
        <v>567</v>
      </c>
      <c r="E26">
        <v>100</v>
      </c>
      <c r="F26">
        <v>120</v>
      </c>
      <c r="G26" t="s">
        <v>550</v>
      </c>
      <c r="H26" t="s">
        <v>551</v>
      </c>
      <c r="I26" s="13">
        <v>45610</v>
      </c>
      <c r="J26" s="13">
        <v>45610</v>
      </c>
      <c r="K26">
        <v>781064</v>
      </c>
      <c r="L26" s="13">
        <v>45622</v>
      </c>
      <c r="M26" t="s">
        <v>552</v>
      </c>
      <c r="N26">
        <v>7.9</v>
      </c>
      <c r="O26">
        <v>6.9</v>
      </c>
      <c r="P26">
        <v>0.05</v>
      </c>
      <c r="Q26">
        <v>0.3</v>
      </c>
      <c r="R26" t="s">
        <v>553</v>
      </c>
      <c r="S26">
        <v>2.1</v>
      </c>
      <c r="T26">
        <v>1.6</v>
      </c>
      <c r="Y26" t="s">
        <v>570</v>
      </c>
      <c r="AB26">
        <v>140</v>
      </c>
      <c r="AD26">
        <v>11</v>
      </c>
      <c r="AE26">
        <v>1.8</v>
      </c>
      <c r="AF26">
        <v>6.4</v>
      </c>
      <c r="AG26">
        <v>0.17</v>
      </c>
      <c r="AI26">
        <v>1.7</v>
      </c>
      <c r="AK26" t="s">
        <v>554</v>
      </c>
      <c r="AL26">
        <v>18.899999999999999</v>
      </c>
      <c r="AM26">
        <v>0.89</v>
      </c>
      <c r="AN26" t="s">
        <v>555</v>
      </c>
      <c r="AT26">
        <v>5.5</v>
      </c>
      <c r="AV26" t="s">
        <v>571</v>
      </c>
      <c r="BB26" t="s">
        <v>572</v>
      </c>
      <c r="BC26" t="s">
        <v>415</v>
      </c>
      <c r="BU26">
        <v>690</v>
      </c>
      <c r="FM26" t="s">
        <v>571</v>
      </c>
      <c r="FN26">
        <v>3</v>
      </c>
      <c r="FO26" t="s">
        <v>569</v>
      </c>
      <c r="GP26" t="s">
        <v>557</v>
      </c>
    </row>
    <row r="27" spans="1:198" x14ac:dyDescent="0.35">
      <c r="A27">
        <v>140003943</v>
      </c>
      <c r="B27" t="s">
        <v>548</v>
      </c>
      <c r="C27" t="s">
        <v>328</v>
      </c>
      <c r="D27" t="s">
        <v>549</v>
      </c>
      <c r="E27">
        <v>120</v>
      </c>
      <c r="F27">
        <v>140</v>
      </c>
      <c r="G27" t="s">
        <v>550</v>
      </c>
      <c r="H27" t="s">
        <v>551</v>
      </c>
      <c r="I27" s="13">
        <v>45610</v>
      </c>
      <c r="J27" s="13">
        <v>45610</v>
      </c>
      <c r="K27">
        <v>781065</v>
      </c>
      <c r="L27" s="13">
        <v>45622</v>
      </c>
      <c r="M27" t="s">
        <v>552</v>
      </c>
      <c r="N27">
        <v>8.1999999999999993</v>
      </c>
      <c r="O27">
        <v>7.3</v>
      </c>
      <c r="P27">
        <v>7.0000000000000007E-2</v>
      </c>
      <c r="Q27">
        <v>0.4</v>
      </c>
      <c r="R27" t="s">
        <v>553</v>
      </c>
      <c r="S27">
        <v>4.2</v>
      </c>
      <c r="T27">
        <v>2.2999999999999998</v>
      </c>
      <c r="Y27" t="s">
        <v>570</v>
      </c>
      <c r="AB27">
        <v>89</v>
      </c>
      <c r="AD27">
        <v>12</v>
      </c>
      <c r="AE27">
        <v>2</v>
      </c>
      <c r="AF27">
        <v>7.4</v>
      </c>
      <c r="AG27">
        <v>0.13</v>
      </c>
      <c r="AI27">
        <v>1.6</v>
      </c>
      <c r="AK27" t="s">
        <v>554</v>
      </c>
      <c r="AL27">
        <v>22</v>
      </c>
      <c r="AM27">
        <v>0.57999999999999996</v>
      </c>
      <c r="AN27" t="s">
        <v>555</v>
      </c>
      <c r="AT27">
        <v>1.9</v>
      </c>
      <c r="AV27" t="s">
        <v>571</v>
      </c>
      <c r="BB27" t="s">
        <v>572</v>
      </c>
      <c r="BC27" t="s">
        <v>415</v>
      </c>
      <c r="BU27">
        <v>780</v>
      </c>
      <c r="FM27" t="s">
        <v>571</v>
      </c>
      <c r="FN27">
        <v>3</v>
      </c>
      <c r="FO27" t="s">
        <v>569</v>
      </c>
      <c r="GP27" t="s">
        <v>557</v>
      </c>
    </row>
    <row r="28" spans="1:198" x14ac:dyDescent="0.35">
      <c r="A28">
        <v>140003944</v>
      </c>
      <c r="B28" t="s">
        <v>548</v>
      </c>
      <c r="C28" t="s">
        <v>328</v>
      </c>
      <c r="D28" t="s">
        <v>558</v>
      </c>
      <c r="E28">
        <v>120</v>
      </c>
      <c r="F28">
        <v>140</v>
      </c>
      <c r="G28" t="s">
        <v>550</v>
      </c>
      <c r="H28" t="s">
        <v>551</v>
      </c>
      <c r="I28" s="13">
        <v>45610</v>
      </c>
      <c r="J28" s="13">
        <v>45610</v>
      </c>
      <c r="K28">
        <v>781066</v>
      </c>
      <c r="L28" s="13">
        <v>45622</v>
      </c>
      <c r="M28" t="s">
        <v>552</v>
      </c>
      <c r="N28">
        <v>6.8</v>
      </c>
      <c r="O28">
        <v>5.5</v>
      </c>
      <c r="P28">
        <v>0.03</v>
      </c>
      <c r="Q28">
        <v>0.2</v>
      </c>
      <c r="R28" t="s">
        <v>553</v>
      </c>
      <c r="S28">
        <v>1.7</v>
      </c>
      <c r="T28">
        <v>3.4</v>
      </c>
      <c r="Y28" t="s">
        <v>570</v>
      </c>
      <c r="AB28">
        <v>110</v>
      </c>
      <c r="AD28">
        <v>7.7</v>
      </c>
      <c r="AE28">
        <v>1</v>
      </c>
      <c r="AF28">
        <v>6.7</v>
      </c>
      <c r="AG28">
        <v>0.43</v>
      </c>
      <c r="AI28">
        <v>1.1000000000000001</v>
      </c>
      <c r="AK28" t="s">
        <v>554</v>
      </c>
      <c r="AL28">
        <v>15.9</v>
      </c>
      <c r="AM28">
        <v>2.7</v>
      </c>
      <c r="AN28" t="s">
        <v>555</v>
      </c>
      <c r="AT28" t="s">
        <v>573</v>
      </c>
      <c r="AV28" t="s">
        <v>571</v>
      </c>
      <c r="BB28" t="s">
        <v>572</v>
      </c>
      <c r="BC28" t="s">
        <v>415</v>
      </c>
      <c r="BU28">
        <v>400</v>
      </c>
      <c r="FM28" t="s">
        <v>571</v>
      </c>
      <c r="FN28">
        <v>3</v>
      </c>
      <c r="FO28" t="s">
        <v>569</v>
      </c>
      <c r="GP28" t="s">
        <v>557</v>
      </c>
    </row>
    <row r="29" spans="1:198" x14ac:dyDescent="0.35">
      <c r="A29">
        <v>140003945</v>
      </c>
      <c r="B29" t="s">
        <v>548</v>
      </c>
      <c r="C29" t="s">
        <v>328</v>
      </c>
      <c r="D29" t="s">
        <v>561</v>
      </c>
      <c r="E29">
        <v>120</v>
      </c>
      <c r="F29">
        <v>140</v>
      </c>
      <c r="G29" t="s">
        <v>550</v>
      </c>
      <c r="H29" t="s">
        <v>551</v>
      </c>
      <c r="I29" s="13">
        <v>45610</v>
      </c>
      <c r="J29" s="13">
        <v>45610</v>
      </c>
      <c r="K29">
        <v>781067</v>
      </c>
      <c r="L29" s="13">
        <v>45622</v>
      </c>
      <c r="M29" t="s">
        <v>552</v>
      </c>
      <c r="N29">
        <v>7.2</v>
      </c>
      <c r="O29">
        <v>6.1</v>
      </c>
      <c r="P29">
        <v>0.05</v>
      </c>
      <c r="Q29">
        <v>0.3</v>
      </c>
      <c r="R29" t="s">
        <v>553</v>
      </c>
      <c r="S29">
        <v>3.2</v>
      </c>
      <c r="T29">
        <v>2.5</v>
      </c>
      <c r="Y29" t="s">
        <v>570</v>
      </c>
      <c r="AB29">
        <v>75</v>
      </c>
      <c r="AD29">
        <v>9.1</v>
      </c>
      <c r="AE29">
        <v>1.5</v>
      </c>
      <c r="AF29">
        <v>6.9</v>
      </c>
      <c r="AG29">
        <v>0.28999999999999998</v>
      </c>
      <c r="AI29">
        <v>1.3</v>
      </c>
      <c r="AK29" t="s">
        <v>554</v>
      </c>
      <c r="AL29">
        <v>17.7</v>
      </c>
      <c r="AM29">
        <v>1.6</v>
      </c>
      <c r="AN29" t="s">
        <v>555</v>
      </c>
      <c r="AT29">
        <v>6.7</v>
      </c>
      <c r="AV29" t="s">
        <v>571</v>
      </c>
      <c r="BB29" t="s">
        <v>572</v>
      </c>
      <c r="BC29" t="s">
        <v>415</v>
      </c>
      <c r="BU29">
        <v>590</v>
      </c>
      <c r="FM29" t="s">
        <v>571</v>
      </c>
      <c r="FN29">
        <v>3</v>
      </c>
      <c r="FO29" t="s">
        <v>569</v>
      </c>
      <c r="GP29" t="s">
        <v>557</v>
      </c>
    </row>
    <row r="30" spans="1:198" x14ac:dyDescent="0.35">
      <c r="A30">
        <v>140003946</v>
      </c>
      <c r="B30" t="s">
        <v>548</v>
      </c>
      <c r="C30" t="s">
        <v>328</v>
      </c>
      <c r="D30" t="s">
        <v>562</v>
      </c>
      <c r="E30">
        <v>120</v>
      </c>
      <c r="F30">
        <v>140</v>
      </c>
      <c r="G30" t="s">
        <v>550</v>
      </c>
      <c r="H30" t="s">
        <v>551</v>
      </c>
      <c r="I30" s="13">
        <v>45610</v>
      </c>
      <c r="J30" s="13">
        <v>45610</v>
      </c>
      <c r="K30">
        <v>781068</v>
      </c>
      <c r="L30" s="13">
        <v>45622</v>
      </c>
      <c r="M30" t="s">
        <v>552</v>
      </c>
      <c r="N30">
        <v>7.8</v>
      </c>
      <c r="O30">
        <v>6.8</v>
      </c>
      <c r="P30">
        <v>0.05</v>
      </c>
      <c r="Q30">
        <v>0.3</v>
      </c>
      <c r="R30" t="s">
        <v>553</v>
      </c>
      <c r="S30">
        <v>2.4</v>
      </c>
      <c r="T30">
        <v>1.6</v>
      </c>
      <c r="Y30">
        <v>5.2</v>
      </c>
      <c r="AB30">
        <v>95</v>
      </c>
      <c r="AD30">
        <v>9.8000000000000007</v>
      </c>
      <c r="AE30">
        <v>1.5</v>
      </c>
      <c r="AF30">
        <v>5.7</v>
      </c>
      <c r="AG30">
        <v>0.11</v>
      </c>
      <c r="AI30">
        <v>1.7</v>
      </c>
      <c r="AK30" t="s">
        <v>554</v>
      </c>
      <c r="AL30">
        <v>17</v>
      </c>
      <c r="AM30">
        <v>0.64</v>
      </c>
      <c r="AN30" t="s">
        <v>555</v>
      </c>
      <c r="AT30">
        <v>2.9</v>
      </c>
      <c r="AV30" t="s">
        <v>571</v>
      </c>
      <c r="BB30" t="s">
        <v>572</v>
      </c>
      <c r="BC30" t="s">
        <v>415</v>
      </c>
      <c r="BU30">
        <v>570</v>
      </c>
      <c r="FM30" t="s">
        <v>571</v>
      </c>
      <c r="FN30">
        <v>3</v>
      </c>
      <c r="FO30" t="s">
        <v>569</v>
      </c>
      <c r="GP30" t="s">
        <v>557</v>
      </c>
    </row>
    <row r="31" spans="1:198" x14ac:dyDescent="0.35">
      <c r="A31">
        <v>140003947</v>
      </c>
      <c r="B31" t="s">
        <v>548</v>
      </c>
      <c r="C31" t="s">
        <v>328</v>
      </c>
      <c r="D31" t="s">
        <v>563</v>
      </c>
      <c r="E31">
        <v>120</v>
      </c>
      <c r="F31">
        <v>140</v>
      </c>
      <c r="G31" t="s">
        <v>550</v>
      </c>
      <c r="H31" t="s">
        <v>551</v>
      </c>
      <c r="I31" s="13">
        <v>45610</v>
      </c>
      <c r="J31" s="13">
        <v>45610</v>
      </c>
      <c r="K31">
        <v>781069</v>
      </c>
      <c r="L31" s="13">
        <v>45622</v>
      </c>
      <c r="M31" t="s">
        <v>552</v>
      </c>
      <c r="N31">
        <v>8</v>
      </c>
      <c r="O31">
        <v>7</v>
      </c>
      <c r="P31">
        <v>0.05</v>
      </c>
      <c r="Q31">
        <v>0.3</v>
      </c>
      <c r="R31" t="s">
        <v>553</v>
      </c>
      <c r="S31">
        <v>2.4</v>
      </c>
      <c r="T31">
        <v>2.9</v>
      </c>
      <c r="Y31" t="s">
        <v>570</v>
      </c>
      <c r="AB31">
        <v>110</v>
      </c>
      <c r="AD31">
        <v>9.6999999999999993</v>
      </c>
      <c r="AE31">
        <v>1.6</v>
      </c>
      <c r="AF31">
        <v>6.4</v>
      </c>
      <c r="AG31">
        <v>0.21</v>
      </c>
      <c r="AI31">
        <v>1.5</v>
      </c>
      <c r="AK31" t="s">
        <v>554</v>
      </c>
      <c r="AL31">
        <v>17.899999999999999</v>
      </c>
      <c r="AM31">
        <v>1.2</v>
      </c>
      <c r="AN31" t="s">
        <v>555</v>
      </c>
      <c r="AT31">
        <v>2.8</v>
      </c>
      <c r="AV31" t="s">
        <v>571</v>
      </c>
      <c r="BB31" t="s">
        <v>572</v>
      </c>
      <c r="BC31" t="s">
        <v>415</v>
      </c>
      <c r="BU31">
        <v>630</v>
      </c>
      <c r="FM31" t="s">
        <v>571</v>
      </c>
      <c r="FN31">
        <v>3</v>
      </c>
      <c r="FO31" t="s">
        <v>569</v>
      </c>
      <c r="GP31" t="s">
        <v>557</v>
      </c>
    </row>
    <row r="32" spans="1:198" x14ac:dyDescent="0.35">
      <c r="A32">
        <v>140003948</v>
      </c>
      <c r="B32" t="s">
        <v>548</v>
      </c>
      <c r="C32" t="s">
        <v>328</v>
      </c>
      <c r="D32" t="s">
        <v>564</v>
      </c>
      <c r="E32">
        <v>120</v>
      </c>
      <c r="F32">
        <v>140</v>
      </c>
      <c r="G32" t="s">
        <v>550</v>
      </c>
      <c r="H32" t="s">
        <v>551</v>
      </c>
      <c r="I32" s="13">
        <v>45610</v>
      </c>
      <c r="J32" s="13">
        <v>45610</v>
      </c>
      <c r="K32">
        <v>781070</v>
      </c>
      <c r="L32" s="13">
        <v>45622</v>
      </c>
      <c r="M32" t="s">
        <v>552</v>
      </c>
      <c r="N32">
        <v>8.1999999999999993</v>
      </c>
      <c r="O32">
        <v>7.3</v>
      </c>
      <c r="P32">
        <v>7.0000000000000007E-2</v>
      </c>
      <c r="Q32">
        <v>0.4</v>
      </c>
      <c r="R32" t="s">
        <v>553</v>
      </c>
      <c r="S32">
        <v>4.8</v>
      </c>
      <c r="T32">
        <v>4.4000000000000004</v>
      </c>
      <c r="Y32" t="s">
        <v>570</v>
      </c>
      <c r="AB32">
        <v>100</v>
      </c>
      <c r="AD32">
        <v>11</v>
      </c>
      <c r="AE32">
        <v>1.9</v>
      </c>
      <c r="AF32">
        <v>9.3000000000000007</v>
      </c>
      <c r="AG32">
        <v>0.31</v>
      </c>
      <c r="AI32">
        <v>1.2</v>
      </c>
      <c r="AK32" t="s">
        <v>554</v>
      </c>
      <c r="AL32">
        <v>22.3</v>
      </c>
      <c r="AM32">
        <v>1.4</v>
      </c>
      <c r="AN32" t="s">
        <v>555</v>
      </c>
      <c r="AT32">
        <v>2</v>
      </c>
      <c r="AV32" t="s">
        <v>571</v>
      </c>
      <c r="BB32" t="s">
        <v>572</v>
      </c>
      <c r="BC32" t="s">
        <v>415</v>
      </c>
      <c r="BU32">
        <v>750</v>
      </c>
      <c r="FM32" t="s">
        <v>571</v>
      </c>
      <c r="FN32">
        <v>3</v>
      </c>
      <c r="FO32" t="s">
        <v>569</v>
      </c>
      <c r="GP32" t="s">
        <v>557</v>
      </c>
    </row>
    <row r="33" spans="1:198" x14ac:dyDescent="0.35">
      <c r="A33">
        <v>140003949</v>
      </c>
      <c r="B33" t="s">
        <v>548</v>
      </c>
      <c r="C33" t="s">
        <v>328</v>
      </c>
      <c r="D33" t="s">
        <v>565</v>
      </c>
      <c r="E33">
        <v>120</v>
      </c>
      <c r="F33">
        <v>140</v>
      </c>
      <c r="G33" t="s">
        <v>550</v>
      </c>
      <c r="H33" t="s">
        <v>551</v>
      </c>
      <c r="I33" s="13">
        <v>45610</v>
      </c>
      <c r="J33" s="13">
        <v>45610</v>
      </c>
      <c r="K33">
        <v>781071</v>
      </c>
      <c r="L33" s="13">
        <v>45622</v>
      </c>
      <c r="M33" t="s">
        <v>552</v>
      </c>
      <c r="N33">
        <v>7.4</v>
      </c>
      <c r="O33">
        <v>6</v>
      </c>
      <c r="P33">
        <v>0.04</v>
      </c>
      <c r="Q33">
        <v>0.2</v>
      </c>
      <c r="R33" t="s">
        <v>553</v>
      </c>
      <c r="S33">
        <v>3</v>
      </c>
      <c r="T33">
        <v>2.5</v>
      </c>
      <c r="Y33" t="s">
        <v>570</v>
      </c>
      <c r="AB33">
        <v>53</v>
      </c>
      <c r="AD33">
        <v>6</v>
      </c>
      <c r="AE33">
        <v>1.1000000000000001</v>
      </c>
      <c r="AF33">
        <v>6.6</v>
      </c>
      <c r="AG33">
        <v>0.56999999999999995</v>
      </c>
      <c r="AI33">
        <v>0.91</v>
      </c>
      <c r="AK33" t="s">
        <v>554</v>
      </c>
      <c r="AL33">
        <v>14.2</v>
      </c>
      <c r="AM33">
        <v>4</v>
      </c>
      <c r="AN33" t="s">
        <v>555</v>
      </c>
      <c r="AT33">
        <v>1.9</v>
      </c>
      <c r="AV33" t="s">
        <v>571</v>
      </c>
      <c r="BB33" t="s">
        <v>572</v>
      </c>
      <c r="BC33" t="s">
        <v>415</v>
      </c>
      <c r="BU33">
        <v>410</v>
      </c>
      <c r="FM33" t="s">
        <v>571</v>
      </c>
      <c r="FN33">
        <v>3</v>
      </c>
      <c r="FO33" t="s">
        <v>569</v>
      </c>
      <c r="GP33" t="s">
        <v>557</v>
      </c>
    </row>
    <row r="34" spans="1:198" x14ac:dyDescent="0.35">
      <c r="A34">
        <v>140003950</v>
      </c>
      <c r="B34" t="s">
        <v>548</v>
      </c>
      <c r="C34" t="s">
        <v>328</v>
      </c>
      <c r="D34" t="s">
        <v>567</v>
      </c>
      <c r="E34">
        <v>120</v>
      </c>
      <c r="F34">
        <v>140</v>
      </c>
      <c r="G34" t="s">
        <v>550</v>
      </c>
      <c r="H34" t="s">
        <v>551</v>
      </c>
      <c r="I34" s="13">
        <v>45610</v>
      </c>
      <c r="J34" s="13">
        <v>45610</v>
      </c>
      <c r="K34">
        <v>781072</v>
      </c>
      <c r="L34" s="13">
        <v>45622</v>
      </c>
      <c r="M34" t="s">
        <v>552</v>
      </c>
      <c r="N34">
        <v>7.8</v>
      </c>
      <c r="O34">
        <v>6.8</v>
      </c>
      <c r="P34">
        <v>0.05</v>
      </c>
      <c r="Q34">
        <v>0.3</v>
      </c>
      <c r="R34" t="s">
        <v>553</v>
      </c>
      <c r="S34">
        <v>1.6</v>
      </c>
      <c r="T34">
        <v>2.1</v>
      </c>
      <c r="Y34" t="s">
        <v>570</v>
      </c>
      <c r="AB34">
        <v>99</v>
      </c>
      <c r="AD34">
        <v>11</v>
      </c>
      <c r="AE34">
        <v>1.8</v>
      </c>
      <c r="AF34">
        <v>7.2</v>
      </c>
      <c r="AG34">
        <v>0.23</v>
      </c>
      <c r="AI34">
        <v>1.5</v>
      </c>
      <c r="AK34" t="s">
        <v>554</v>
      </c>
      <c r="AL34">
        <v>20.399999999999999</v>
      </c>
      <c r="AM34">
        <v>1.1000000000000001</v>
      </c>
      <c r="AN34" t="s">
        <v>555</v>
      </c>
      <c r="AT34">
        <v>4.3</v>
      </c>
      <c r="AV34" t="s">
        <v>571</v>
      </c>
      <c r="BB34" t="s">
        <v>572</v>
      </c>
      <c r="BC34" t="s">
        <v>415</v>
      </c>
      <c r="BU34">
        <v>710</v>
      </c>
      <c r="FM34" t="s">
        <v>571</v>
      </c>
      <c r="FN34">
        <v>3</v>
      </c>
      <c r="FO34" t="s">
        <v>569</v>
      </c>
      <c r="GP34" t="s">
        <v>557</v>
      </c>
    </row>
    <row r="35" spans="1:198" x14ac:dyDescent="0.35">
      <c r="A35">
        <v>140003951</v>
      </c>
      <c r="B35" t="s">
        <v>548</v>
      </c>
      <c r="C35" t="s">
        <v>328</v>
      </c>
      <c r="D35" t="s">
        <v>558</v>
      </c>
      <c r="E35">
        <v>140</v>
      </c>
      <c r="F35">
        <v>160</v>
      </c>
      <c r="G35" t="s">
        <v>550</v>
      </c>
      <c r="H35" t="s">
        <v>551</v>
      </c>
      <c r="I35" s="13">
        <v>45610</v>
      </c>
      <c r="J35" s="13">
        <v>45610</v>
      </c>
      <c r="K35">
        <v>781073</v>
      </c>
      <c r="L35" s="13">
        <v>45622</v>
      </c>
      <c r="M35" t="s">
        <v>552</v>
      </c>
      <c r="N35">
        <v>7.2</v>
      </c>
      <c r="O35">
        <v>5.8</v>
      </c>
      <c r="P35">
        <v>7.0000000000000007E-2</v>
      </c>
      <c r="Q35">
        <v>0.4</v>
      </c>
      <c r="R35" t="s">
        <v>553</v>
      </c>
      <c r="S35">
        <v>1.5</v>
      </c>
      <c r="T35">
        <v>3.8</v>
      </c>
      <c r="Y35" t="s">
        <v>570</v>
      </c>
      <c r="AB35">
        <v>90</v>
      </c>
      <c r="AD35">
        <v>8.1</v>
      </c>
      <c r="AE35">
        <v>1</v>
      </c>
      <c r="AF35">
        <v>6.9</v>
      </c>
      <c r="AG35">
        <v>0.53</v>
      </c>
      <c r="AI35">
        <v>1.2</v>
      </c>
      <c r="AK35" t="s">
        <v>554</v>
      </c>
      <c r="AL35">
        <v>16.5</v>
      </c>
      <c r="AM35">
        <v>3.2</v>
      </c>
      <c r="AN35" t="s">
        <v>555</v>
      </c>
      <c r="AT35" t="s">
        <v>573</v>
      </c>
      <c r="AV35" t="s">
        <v>571</v>
      </c>
      <c r="BB35" t="s">
        <v>572</v>
      </c>
      <c r="BC35" t="s">
        <v>415</v>
      </c>
      <c r="BU35">
        <v>400</v>
      </c>
      <c r="FM35" t="s">
        <v>571</v>
      </c>
      <c r="FN35">
        <v>3</v>
      </c>
      <c r="FO35" t="s">
        <v>569</v>
      </c>
      <c r="GP35" t="s">
        <v>557</v>
      </c>
    </row>
    <row r="36" spans="1:198" x14ac:dyDescent="0.35">
      <c r="A36">
        <v>140003952</v>
      </c>
      <c r="B36" t="s">
        <v>548</v>
      </c>
      <c r="C36" t="s">
        <v>328</v>
      </c>
      <c r="D36" t="s">
        <v>561</v>
      </c>
      <c r="E36">
        <v>140</v>
      </c>
      <c r="F36">
        <v>160</v>
      </c>
      <c r="G36" t="s">
        <v>550</v>
      </c>
      <c r="H36" t="s">
        <v>551</v>
      </c>
      <c r="I36" s="13">
        <v>45610</v>
      </c>
      <c r="J36" s="13">
        <v>45610</v>
      </c>
      <c r="K36">
        <v>781074</v>
      </c>
      <c r="L36" s="13">
        <v>45622</v>
      </c>
      <c r="M36" t="s">
        <v>552</v>
      </c>
      <c r="N36">
        <v>7.3</v>
      </c>
      <c r="O36">
        <v>6.3</v>
      </c>
      <c r="P36">
        <v>7.0000000000000007E-2</v>
      </c>
      <c r="Q36">
        <v>0.4</v>
      </c>
      <c r="R36" t="s">
        <v>553</v>
      </c>
      <c r="S36">
        <v>3.1</v>
      </c>
      <c r="T36">
        <v>8.1999999999999993</v>
      </c>
      <c r="Y36" t="s">
        <v>570</v>
      </c>
      <c r="AB36">
        <v>70</v>
      </c>
      <c r="AD36">
        <v>9.8000000000000007</v>
      </c>
      <c r="AE36">
        <v>1.7</v>
      </c>
      <c r="AF36">
        <v>7.4</v>
      </c>
      <c r="AG36">
        <v>0.39</v>
      </c>
      <c r="AI36">
        <v>1.3</v>
      </c>
      <c r="AK36" t="s">
        <v>554</v>
      </c>
      <c r="AL36">
        <v>19.2</v>
      </c>
      <c r="AM36">
        <v>2</v>
      </c>
      <c r="AN36" t="s">
        <v>555</v>
      </c>
      <c r="AT36">
        <v>4.5</v>
      </c>
      <c r="AV36" t="s">
        <v>571</v>
      </c>
      <c r="BB36" t="s">
        <v>572</v>
      </c>
      <c r="BC36" t="s">
        <v>415</v>
      </c>
      <c r="BU36">
        <v>650</v>
      </c>
      <c r="FM36" t="s">
        <v>571</v>
      </c>
      <c r="FN36">
        <v>3</v>
      </c>
      <c r="FO36" t="s">
        <v>569</v>
      </c>
      <c r="GP36" t="s">
        <v>557</v>
      </c>
    </row>
    <row r="37" spans="1:198" x14ac:dyDescent="0.35">
      <c r="A37">
        <v>140003953</v>
      </c>
      <c r="B37" t="s">
        <v>548</v>
      </c>
      <c r="C37" t="s">
        <v>328</v>
      </c>
      <c r="D37" t="s">
        <v>562</v>
      </c>
      <c r="E37">
        <v>140</v>
      </c>
      <c r="F37">
        <v>160</v>
      </c>
      <c r="G37" t="s">
        <v>550</v>
      </c>
      <c r="H37" t="s">
        <v>551</v>
      </c>
      <c r="I37" s="13">
        <v>45610</v>
      </c>
      <c r="J37" s="13">
        <v>45610</v>
      </c>
      <c r="K37">
        <v>781075</v>
      </c>
      <c r="L37" s="13">
        <v>45622</v>
      </c>
      <c r="M37" t="s">
        <v>552</v>
      </c>
      <c r="N37">
        <v>7.9</v>
      </c>
      <c r="O37">
        <v>6.9</v>
      </c>
      <c r="P37">
        <v>0.05</v>
      </c>
      <c r="Q37">
        <v>0.3</v>
      </c>
      <c r="R37" t="s">
        <v>553</v>
      </c>
      <c r="S37">
        <v>2.2000000000000002</v>
      </c>
      <c r="T37">
        <v>2.5</v>
      </c>
      <c r="Y37" t="s">
        <v>570</v>
      </c>
      <c r="AB37">
        <v>82</v>
      </c>
      <c r="AD37">
        <v>10</v>
      </c>
      <c r="AE37">
        <v>1.6</v>
      </c>
      <c r="AF37">
        <v>6</v>
      </c>
      <c r="AG37">
        <v>0.13</v>
      </c>
      <c r="AI37">
        <v>1.7</v>
      </c>
      <c r="AK37" t="s">
        <v>554</v>
      </c>
      <c r="AL37">
        <v>18</v>
      </c>
      <c r="AM37">
        <v>0.73</v>
      </c>
      <c r="AN37" t="s">
        <v>555</v>
      </c>
      <c r="AT37">
        <v>2.5</v>
      </c>
      <c r="AV37" t="s">
        <v>571</v>
      </c>
      <c r="BB37" t="s">
        <v>572</v>
      </c>
      <c r="BC37" t="s">
        <v>415</v>
      </c>
      <c r="BU37">
        <v>610</v>
      </c>
      <c r="FM37" t="s">
        <v>571</v>
      </c>
      <c r="FN37">
        <v>3</v>
      </c>
      <c r="FO37" t="s">
        <v>569</v>
      </c>
      <c r="GP37" t="s">
        <v>557</v>
      </c>
    </row>
    <row r="38" spans="1:198" x14ac:dyDescent="0.35">
      <c r="A38">
        <v>140003954</v>
      </c>
      <c r="B38" t="s">
        <v>548</v>
      </c>
      <c r="C38" t="s">
        <v>328</v>
      </c>
      <c r="D38" t="s">
        <v>563</v>
      </c>
      <c r="E38">
        <v>140</v>
      </c>
      <c r="F38">
        <v>160</v>
      </c>
      <c r="G38" t="s">
        <v>550</v>
      </c>
      <c r="H38" t="s">
        <v>551</v>
      </c>
      <c r="I38" s="13">
        <v>45610</v>
      </c>
      <c r="J38" s="13">
        <v>45610</v>
      </c>
      <c r="K38">
        <v>781076</v>
      </c>
      <c r="L38" s="13">
        <v>45622</v>
      </c>
      <c r="M38" t="s">
        <v>552</v>
      </c>
      <c r="N38">
        <v>8</v>
      </c>
      <c r="O38">
        <v>7</v>
      </c>
      <c r="P38">
        <v>0.05</v>
      </c>
      <c r="Q38">
        <v>0.3</v>
      </c>
      <c r="R38" t="s">
        <v>553</v>
      </c>
      <c r="S38">
        <v>2.2999999999999998</v>
      </c>
      <c r="T38">
        <v>4.8</v>
      </c>
      <c r="Y38" t="s">
        <v>570</v>
      </c>
      <c r="AB38">
        <v>81</v>
      </c>
      <c r="AD38">
        <v>9.8000000000000007</v>
      </c>
      <c r="AE38">
        <v>1.6</v>
      </c>
      <c r="AF38">
        <v>6.5</v>
      </c>
      <c r="AG38">
        <v>0.27</v>
      </c>
      <c r="AI38">
        <v>1.5</v>
      </c>
      <c r="AK38" t="s">
        <v>554</v>
      </c>
      <c r="AL38">
        <v>18.2</v>
      </c>
      <c r="AM38">
        <v>1.5</v>
      </c>
      <c r="AN38" t="s">
        <v>555</v>
      </c>
      <c r="AT38">
        <v>2.4</v>
      </c>
      <c r="AV38" t="s">
        <v>571</v>
      </c>
      <c r="BB38" t="s">
        <v>572</v>
      </c>
      <c r="BC38" t="s">
        <v>415</v>
      </c>
      <c r="BU38">
        <v>640</v>
      </c>
      <c r="FM38" t="s">
        <v>571</v>
      </c>
      <c r="FN38">
        <v>3</v>
      </c>
      <c r="FO38" t="s">
        <v>569</v>
      </c>
      <c r="GP38" t="s">
        <v>557</v>
      </c>
    </row>
    <row r="39" spans="1:198" x14ac:dyDescent="0.35">
      <c r="A39">
        <v>140003955</v>
      </c>
      <c r="B39" t="s">
        <v>548</v>
      </c>
      <c r="C39" t="s">
        <v>328</v>
      </c>
      <c r="D39" t="s">
        <v>564</v>
      </c>
      <c r="E39">
        <v>140</v>
      </c>
      <c r="F39">
        <v>160</v>
      </c>
      <c r="G39" t="s">
        <v>550</v>
      </c>
      <c r="H39" t="s">
        <v>551</v>
      </c>
      <c r="I39" s="13">
        <v>45610</v>
      </c>
      <c r="J39" s="13">
        <v>45610</v>
      </c>
      <c r="K39">
        <v>781077</v>
      </c>
      <c r="L39" s="13">
        <v>45622</v>
      </c>
      <c r="M39" t="s">
        <v>552</v>
      </c>
      <c r="N39">
        <v>8.4</v>
      </c>
      <c r="O39">
        <v>7.3</v>
      </c>
      <c r="P39">
        <v>0.05</v>
      </c>
      <c r="Q39">
        <v>0.3</v>
      </c>
      <c r="R39" t="s">
        <v>553</v>
      </c>
      <c r="S39">
        <v>3.3</v>
      </c>
      <c r="T39">
        <v>1.9</v>
      </c>
      <c r="Y39" t="s">
        <v>570</v>
      </c>
      <c r="AB39">
        <v>68</v>
      </c>
      <c r="AD39">
        <v>8.8000000000000007</v>
      </c>
      <c r="AE39">
        <v>1.5</v>
      </c>
      <c r="AF39">
        <v>7.8</v>
      </c>
      <c r="AG39">
        <v>0.3</v>
      </c>
      <c r="AI39">
        <v>1.1000000000000001</v>
      </c>
      <c r="AK39" t="s">
        <v>554</v>
      </c>
      <c r="AL39">
        <v>18.3</v>
      </c>
      <c r="AM39">
        <v>1.6</v>
      </c>
      <c r="AN39" t="s">
        <v>555</v>
      </c>
      <c r="AT39">
        <v>3.5</v>
      </c>
      <c r="AV39" t="s">
        <v>571</v>
      </c>
      <c r="BB39" t="s">
        <v>572</v>
      </c>
      <c r="BC39" t="s">
        <v>415</v>
      </c>
      <c r="BU39">
        <v>580</v>
      </c>
      <c r="FM39" t="s">
        <v>571</v>
      </c>
      <c r="FN39">
        <v>3</v>
      </c>
      <c r="FO39" t="s">
        <v>569</v>
      </c>
      <c r="GP39" t="s">
        <v>557</v>
      </c>
    </row>
    <row r="40" spans="1:198" x14ac:dyDescent="0.35">
      <c r="A40">
        <v>140003956</v>
      </c>
      <c r="B40" t="s">
        <v>548</v>
      </c>
      <c r="C40" t="s">
        <v>328</v>
      </c>
      <c r="D40" t="s">
        <v>549</v>
      </c>
      <c r="E40">
        <v>20</v>
      </c>
      <c r="F40">
        <v>40</v>
      </c>
      <c r="G40" t="s">
        <v>550</v>
      </c>
      <c r="H40" t="s">
        <v>551</v>
      </c>
      <c r="I40" s="13">
        <v>45610</v>
      </c>
      <c r="J40" s="13">
        <v>45610</v>
      </c>
      <c r="K40">
        <v>781078</v>
      </c>
      <c r="L40" s="13">
        <v>45622</v>
      </c>
      <c r="M40" t="s">
        <v>552</v>
      </c>
      <c r="N40">
        <v>7.2</v>
      </c>
      <c r="O40">
        <v>6.5</v>
      </c>
      <c r="P40">
        <v>0.09</v>
      </c>
      <c r="Q40">
        <v>0.6</v>
      </c>
      <c r="R40" t="s">
        <v>553</v>
      </c>
      <c r="S40">
        <v>17</v>
      </c>
      <c r="T40">
        <v>2.8</v>
      </c>
      <c r="Y40">
        <v>11</v>
      </c>
      <c r="AB40">
        <v>87</v>
      </c>
      <c r="AD40">
        <v>7.7</v>
      </c>
      <c r="AE40">
        <v>1.1000000000000001</v>
      </c>
      <c r="AF40">
        <v>2.1</v>
      </c>
      <c r="AG40" t="s">
        <v>559</v>
      </c>
      <c r="AI40">
        <v>3.7</v>
      </c>
      <c r="AK40" t="s">
        <v>554</v>
      </c>
      <c r="AL40">
        <v>10.9</v>
      </c>
      <c r="AM40" t="s">
        <v>555</v>
      </c>
      <c r="AN40" t="s">
        <v>555</v>
      </c>
      <c r="AT40">
        <v>16</v>
      </c>
      <c r="AV40">
        <v>0.34</v>
      </c>
      <c r="BB40" t="s">
        <v>568</v>
      </c>
      <c r="BC40" t="s">
        <v>415</v>
      </c>
      <c r="BU40">
        <v>440</v>
      </c>
      <c r="FM40">
        <v>0.35</v>
      </c>
      <c r="FN40">
        <v>5.9</v>
      </c>
      <c r="FO40">
        <v>5.8999999999999997E-2</v>
      </c>
      <c r="GP40" t="s">
        <v>557</v>
      </c>
    </row>
    <row r="41" spans="1:198" x14ac:dyDescent="0.35">
      <c r="A41">
        <v>140003957</v>
      </c>
      <c r="B41" t="s">
        <v>548</v>
      </c>
      <c r="C41" t="s">
        <v>328</v>
      </c>
      <c r="D41" t="s">
        <v>558</v>
      </c>
      <c r="E41">
        <v>20</v>
      </c>
      <c r="F41">
        <v>40</v>
      </c>
      <c r="G41" t="s">
        <v>550</v>
      </c>
      <c r="H41" t="s">
        <v>551</v>
      </c>
      <c r="I41" s="13">
        <v>45610</v>
      </c>
      <c r="J41" s="13">
        <v>45610</v>
      </c>
      <c r="K41">
        <v>781079</v>
      </c>
      <c r="L41" s="13">
        <v>45622</v>
      </c>
      <c r="M41" t="s">
        <v>552</v>
      </c>
      <c r="N41">
        <v>6.5</v>
      </c>
      <c r="O41">
        <v>5.7</v>
      </c>
      <c r="P41">
        <v>7.0000000000000007E-2</v>
      </c>
      <c r="Q41">
        <v>0.4</v>
      </c>
      <c r="R41" t="s">
        <v>553</v>
      </c>
      <c r="S41">
        <v>16</v>
      </c>
      <c r="T41">
        <v>3.3</v>
      </c>
      <c r="Y41" t="s">
        <v>570</v>
      </c>
      <c r="AB41">
        <v>90</v>
      </c>
      <c r="AD41">
        <v>5.7</v>
      </c>
      <c r="AE41">
        <v>0.75</v>
      </c>
      <c r="AF41">
        <v>2.6</v>
      </c>
      <c r="AG41">
        <v>2.7E-2</v>
      </c>
      <c r="AI41">
        <v>2.2000000000000002</v>
      </c>
      <c r="AK41" t="s">
        <v>554</v>
      </c>
      <c r="AL41">
        <v>9.02</v>
      </c>
      <c r="AM41">
        <v>0.28999999999999998</v>
      </c>
      <c r="AN41" t="s">
        <v>555</v>
      </c>
      <c r="AT41">
        <v>11</v>
      </c>
      <c r="AV41">
        <v>0.28999999999999998</v>
      </c>
      <c r="BB41" t="s">
        <v>568</v>
      </c>
      <c r="BC41" t="s">
        <v>415</v>
      </c>
      <c r="BU41">
        <v>290</v>
      </c>
      <c r="FM41">
        <v>0.31</v>
      </c>
      <c r="FN41">
        <v>6.2</v>
      </c>
      <c r="FO41" t="s">
        <v>569</v>
      </c>
      <c r="GP41" t="s">
        <v>557</v>
      </c>
    </row>
    <row r="42" spans="1:198" x14ac:dyDescent="0.35">
      <c r="A42">
        <v>140003958</v>
      </c>
      <c r="B42" t="s">
        <v>548</v>
      </c>
      <c r="C42" t="s">
        <v>328</v>
      </c>
      <c r="D42" t="s">
        <v>561</v>
      </c>
      <c r="E42">
        <v>20</v>
      </c>
      <c r="F42">
        <v>40</v>
      </c>
      <c r="G42" t="s">
        <v>550</v>
      </c>
      <c r="H42" t="s">
        <v>551</v>
      </c>
      <c r="I42" s="13">
        <v>45610</v>
      </c>
      <c r="J42" s="13">
        <v>45610</v>
      </c>
      <c r="K42">
        <v>781080</v>
      </c>
      <c r="L42" s="13">
        <v>45622</v>
      </c>
      <c r="M42" t="s">
        <v>552</v>
      </c>
      <c r="N42">
        <v>6.9</v>
      </c>
      <c r="O42">
        <v>6.2</v>
      </c>
      <c r="P42">
        <v>7.0000000000000007E-2</v>
      </c>
      <c r="Q42">
        <v>0.4</v>
      </c>
      <c r="R42" t="s">
        <v>553</v>
      </c>
      <c r="S42">
        <v>15</v>
      </c>
      <c r="T42">
        <v>1.5</v>
      </c>
      <c r="Y42" t="s">
        <v>570</v>
      </c>
      <c r="AB42">
        <v>75</v>
      </c>
      <c r="AD42">
        <v>5.8</v>
      </c>
      <c r="AE42">
        <v>0.9</v>
      </c>
      <c r="AF42">
        <v>1.8</v>
      </c>
      <c r="AG42" t="s">
        <v>559</v>
      </c>
      <c r="AI42">
        <v>3.2</v>
      </c>
      <c r="AK42" t="s">
        <v>554</v>
      </c>
      <c r="AL42">
        <v>8.5399999999999991</v>
      </c>
      <c r="AM42" t="s">
        <v>555</v>
      </c>
      <c r="AN42" t="s">
        <v>555</v>
      </c>
      <c r="AT42">
        <v>9.8000000000000007</v>
      </c>
      <c r="AV42">
        <v>0.23</v>
      </c>
      <c r="BB42" t="s">
        <v>568</v>
      </c>
      <c r="BC42" t="s">
        <v>415</v>
      </c>
      <c r="BU42">
        <v>350</v>
      </c>
      <c r="FM42">
        <v>0.22</v>
      </c>
      <c r="FN42">
        <v>4.4000000000000004</v>
      </c>
      <c r="FO42" t="s">
        <v>569</v>
      </c>
      <c r="GP42" t="s">
        <v>557</v>
      </c>
    </row>
    <row r="43" spans="1:198" x14ac:dyDescent="0.35">
      <c r="A43">
        <v>140003959</v>
      </c>
      <c r="B43" t="s">
        <v>548</v>
      </c>
      <c r="C43" t="s">
        <v>328</v>
      </c>
      <c r="D43" t="s">
        <v>562</v>
      </c>
      <c r="E43">
        <v>20</v>
      </c>
      <c r="F43">
        <v>40</v>
      </c>
      <c r="G43" t="s">
        <v>550</v>
      </c>
      <c r="H43" t="s">
        <v>551</v>
      </c>
      <c r="I43" s="13">
        <v>45610</v>
      </c>
      <c r="J43" s="13">
        <v>45610</v>
      </c>
      <c r="K43">
        <v>781081</v>
      </c>
      <c r="L43" s="13">
        <v>45622</v>
      </c>
      <c r="M43" t="s">
        <v>552</v>
      </c>
      <c r="N43">
        <v>6.1</v>
      </c>
      <c r="O43">
        <v>5.6</v>
      </c>
      <c r="P43">
        <v>0.13</v>
      </c>
      <c r="Q43">
        <v>0.8</v>
      </c>
      <c r="R43" t="s">
        <v>553</v>
      </c>
      <c r="S43">
        <v>20</v>
      </c>
      <c r="T43">
        <v>1.8</v>
      </c>
      <c r="Y43" t="s">
        <v>570</v>
      </c>
      <c r="AB43">
        <v>82</v>
      </c>
      <c r="AD43">
        <v>5.6</v>
      </c>
      <c r="AE43">
        <v>0.82</v>
      </c>
      <c r="AF43">
        <v>1.7</v>
      </c>
      <c r="AG43" t="s">
        <v>559</v>
      </c>
      <c r="AI43">
        <v>3.3</v>
      </c>
      <c r="AK43" t="s">
        <v>554</v>
      </c>
      <c r="AL43">
        <v>8.06</v>
      </c>
      <c r="AM43" t="s">
        <v>555</v>
      </c>
      <c r="AN43" t="s">
        <v>555</v>
      </c>
      <c r="AT43">
        <v>42</v>
      </c>
      <c r="AV43">
        <v>0.22</v>
      </c>
      <c r="BB43" t="s">
        <v>568</v>
      </c>
      <c r="BC43" t="s">
        <v>415</v>
      </c>
      <c r="BU43">
        <v>320</v>
      </c>
      <c r="FM43">
        <v>0.25</v>
      </c>
      <c r="FN43">
        <v>5</v>
      </c>
      <c r="FO43" t="s">
        <v>569</v>
      </c>
      <c r="GP43" t="s">
        <v>557</v>
      </c>
    </row>
    <row r="44" spans="1:198" x14ac:dyDescent="0.35">
      <c r="A44">
        <v>140003960</v>
      </c>
      <c r="B44" t="s">
        <v>548</v>
      </c>
      <c r="C44" t="s">
        <v>328</v>
      </c>
      <c r="D44" t="s">
        <v>563</v>
      </c>
      <c r="E44">
        <v>20</v>
      </c>
      <c r="F44">
        <v>40</v>
      </c>
      <c r="G44" t="s">
        <v>550</v>
      </c>
      <c r="H44" t="s">
        <v>551</v>
      </c>
      <c r="I44" s="13">
        <v>45610</v>
      </c>
      <c r="J44" s="13">
        <v>45610</v>
      </c>
      <c r="K44">
        <v>781082</v>
      </c>
      <c r="L44" s="13">
        <v>45622</v>
      </c>
      <c r="M44" t="s">
        <v>552</v>
      </c>
      <c r="N44">
        <v>6.9</v>
      </c>
      <c r="O44">
        <v>6.2</v>
      </c>
      <c r="P44">
        <v>0.08</v>
      </c>
      <c r="Q44">
        <v>0.5</v>
      </c>
      <c r="R44" t="s">
        <v>553</v>
      </c>
      <c r="S44">
        <v>12</v>
      </c>
      <c r="T44">
        <v>2.5</v>
      </c>
      <c r="Y44" t="s">
        <v>570</v>
      </c>
      <c r="AB44">
        <v>76</v>
      </c>
      <c r="AD44">
        <v>6.9</v>
      </c>
      <c r="AE44">
        <v>1</v>
      </c>
      <c r="AF44">
        <v>2.2999999999999998</v>
      </c>
      <c r="AG44" t="s">
        <v>559</v>
      </c>
      <c r="AI44">
        <v>3</v>
      </c>
      <c r="AK44" t="s">
        <v>554</v>
      </c>
      <c r="AL44">
        <v>10.199999999999999</v>
      </c>
      <c r="AM44" t="s">
        <v>555</v>
      </c>
      <c r="AN44" t="s">
        <v>555</v>
      </c>
      <c r="AT44">
        <v>15</v>
      </c>
      <c r="AV44">
        <v>0.26</v>
      </c>
      <c r="BB44" t="s">
        <v>568</v>
      </c>
      <c r="BC44" t="s">
        <v>415</v>
      </c>
      <c r="BU44">
        <v>390</v>
      </c>
      <c r="FM44">
        <v>0.23</v>
      </c>
      <c r="FN44">
        <v>4.5999999999999996</v>
      </c>
      <c r="FO44" t="s">
        <v>569</v>
      </c>
      <c r="GP44" t="s">
        <v>557</v>
      </c>
    </row>
    <row r="45" spans="1:198" x14ac:dyDescent="0.35">
      <c r="A45">
        <v>140003961</v>
      </c>
      <c r="B45" t="s">
        <v>548</v>
      </c>
      <c r="C45" t="s">
        <v>328</v>
      </c>
      <c r="D45" t="s">
        <v>564</v>
      </c>
      <c r="E45">
        <v>20</v>
      </c>
      <c r="F45">
        <v>40</v>
      </c>
      <c r="G45" t="s">
        <v>550</v>
      </c>
      <c r="H45" t="s">
        <v>551</v>
      </c>
      <c r="I45" s="13">
        <v>45610</v>
      </c>
      <c r="J45" s="13">
        <v>45610</v>
      </c>
      <c r="K45">
        <v>781083</v>
      </c>
      <c r="L45" s="13">
        <v>45622</v>
      </c>
      <c r="M45" t="s">
        <v>552</v>
      </c>
      <c r="N45">
        <v>7.1</v>
      </c>
      <c r="O45">
        <v>6.4</v>
      </c>
      <c r="P45">
        <v>0.09</v>
      </c>
      <c r="Q45">
        <v>0.6</v>
      </c>
      <c r="R45" t="s">
        <v>553</v>
      </c>
      <c r="S45">
        <v>17</v>
      </c>
      <c r="T45">
        <v>2.6</v>
      </c>
      <c r="Y45" t="s">
        <v>570</v>
      </c>
      <c r="AB45">
        <v>67</v>
      </c>
      <c r="AD45">
        <v>5.7</v>
      </c>
      <c r="AE45">
        <v>0.96</v>
      </c>
      <c r="AF45">
        <v>1.4</v>
      </c>
      <c r="AG45" t="s">
        <v>559</v>
      </c>
      <c r="AI45">
        <v>4.0999999999999996</v>
      </c>
      <c r="AK45" t="s">
        <v>554</v>
      </c>
      <c r="AL45">
        <v>8.0299999999999994</v>
      </c>
      <c r="AM45" t="s">
        <v>555</v>
      </c>
      <c r="AN45" t="s">
        <v>555</v>
      </c>
      <c r="AT45">
        <v>21</v>
      </c>
      <c r="AV45">
        <v>0.19</v>
      </c>
      <c r="BB45" t="s">
        <v>568</v>
      </c>
      <c r="BC45" t="s">
        <v>415</v>
      </c>
      <c r="BU45">
        <v>370</v>
      </c>
      <c r="FM45" t="s">
        <v>571</v>
      </c>
      <c r="FN45">
        <v>3</v>
      </c>
      <c r="FO45" t="s">
        <v>569</v>
      </c>
      <c r="GP45" t="s">
        <v>557</v>
      </c>
    </row>
    <row r="46" spans="1:198" x14ac:dyDescent="0.35">
      <c r="A46">
        <v>140003962</v>
      </c>
      <c r="B46" t="s">
        <v>548</v>
      </c>
      <c r="C46" t="s">
        <v>328</v>
      </c>
      <c r="D46" t="s">
        <v>565</v>
      </c>
      <c r="E46">
        <v>20</v>
      </c>
      <c r="F46">
        <v>40</v>
      </c>
      <c r="G46" t="s">
        <v>550</v>
      </c>
      <c r="H46" t="s">
        <v>551</v>
      </c>
      <c r="I46" s="13">
        <v>45610</v>
      </c>
      <c r="J46" s="13">
        <v>45610</v>
      </c>
      <c r="K46">
        <v>781084</v>
      </c>
      <c r="L46" s="13">
        <v>45622</v>
      </c>
      <c r="M46" t="s">
        <v>552</v>
      </c>
      <c r="N46">
        <v>7</v>
      </c>
      <c r="O46">
        <v>6.2</v>
      </c>
      <c r="P46">
        <v>7.0000000000000007E-2</v>
      </c>
      <c r="Q46">
        <v>0.4</v>
      </c>
      <c r="R46" t="s">
        <v>553</v>
      </c>
      <c r="S46">
        <v>12</v>
      </c>
      <c r="T46">
        <v>3.9</v>
      </c>
      <c r="Y46" t="s">
        <v>570</v>
      </c>
      <c r="AB46">
        <v>71</v>
      </c>
      <c r="AD46">
        <v>5.0999999999999996</v>
      </c>
      <c r="AE46">
        <v>0.65</v>
      </c>
      <c r="AF46">
        <v>1.7</v>
      </c>
      <c r="AG46">
        <v>3.6999999999999998E-2</v>
      </c>
      <c r="AI46">
        <v>3</v>
      </c>
      <c r="AK46" t="s">
        <v>554</v>
      </c>
      <c r="AL46">
        <v>7.48</v>
      </c>
      <c r="AM46">
        <v>0.5</v>
      </c>
      <c r="AN46" t="s">
        <v>555</v>
      </c>
      <c r="AT46">
        <v>14</v>
      </c>
      <c r="AV46">
        <v>0.22</v>
      </c>
      <c r="BB46" t="s">
        <v>568</v>
      </c>
      <c r="BC46" t="s">
        <v>415</v>
      </c>
      <c r="BU46">
        <v>250</v>
      </c>
      <c r="FM46">
        <v>0.19</v>
      </c>
      <c r="FN46">
        <v>3.8</v>
      </c>
      <c r="FO46" t="s">
        <v>569</v>
      </c>
      <c r="GP46" t="s">
        <v>557</v>
      </c>
    </row>
    <row r="47" spans="1:198" x14ac:dyDescent="0.35">
      <c r="A47">
        <v>140003963</v>
      </c>
      <c r="B47" t="s">
        <v>548</v>
      </c>
      <c r="C47" t="s">
        <v>328</v>
      </c>
      <c r="D47" t="s">
        <v>567</v>
      </c>
      <c r="E47">
        <v>20</v>
      </c>
      <c r="F47">
        <v>40</v>
      </c>
      <c r="G47" t="s">
        <v>550</v>
      </c>
      <c r="H47" t="s">
        <v>551</v>
      </c>
      <c r="I47" s="13">
        <v>45610</v>
      </c>
      <c r="J47" s="13">
        <v>45610</v>
      </c>
      <c r="K47">
        <v>781173</v>
      </c>
      <c r="L47" s="13">
        <v>45623</v>
      </c>
      <c r="M47" t="s">
        <v>552</v>
      </c>
      <c r="N47">
        <v>7.4</v>
      </c>
      <c r="O47">
        <v>6.6</v>
      </c>
      <c r="P47">
        <v>0.08</v>
      </c>
      <c r="Q47">
        <v>0.5</v>
      </c>
      <c r="R47" t="s">
        <v>553</v>
      </c>
      <c r="S47">
        <v>14</v>
      </c>
      <c r="T47">
        <v>1.8</v>
      </c>
      <c r="Y47" t="s">
        <v>570</v>
      </c>
      <c r="AB47">
        <v>85</v>
      </c>
      <c r="AD47">
        <v>7.3</v>
      </c>
      <c r="AE47">
        <v>1.2</v>
      </c>
      <c r="AF47">
        <v>1.9</v>
      </c>
      <c r="AG47" t="s">
        <v>559</v>
      </c>
      <c r="AI47">
        <v>3.8</v>
      </c>
      <c r="AK47" t="s">
        <v>554</v>
      </c>
      <c r="AL47">
        <v>10.4</v>
      </c>
      <c r="AM47" t="s">
        <v>555</v>
      </c>
      <c r="AN47" t="s">
        <v>555</v>
      </c>
      <c r="AT47">
        <v>15</v>
      </c>
      <c r="AV47">
        <v>0.24</v>
      </c>
      <c r="BB47" t="s">
        <v>568</v>
      </c>
      <c r="BC47" t="s">
        <v>415</v>
      </c>
      <c r="BU47">
        <v>470</v>
      </c>
      <c r="FM47">
        <v>0.24</v>
      </c>
      <c r="FN47">
        <v>4.8</v>
      </c>
      <c r="FO47" t="s">
        <v>569</v>
      </c>
      <c r="GP47" t="s">
        <v>557</v>
      </c>
    </row>
    <row r="48" spans="1:198" x14ac:dyDescent="0.35">
      <c r="A48">
        <v>140003964</v>
      </c>
      <c r="B48" t="s">
        <v>548</v>
      </c>
      <c r="C48" t="s">
        <v>328</v>
      </c>
      <c r="D48" t="s">
        <v>549</v>
      </c>
      <c r="E48">
        <v>40</v>
      </c>
      <c r="F48">
        <v>60</v>
      </c>
      <c r="G48" t="s">
        <v>550</v>
      </c>
      <c r="H48" t="s">
        <v>551</v>
      </c>
      <c r="I48" s="13">
        <v>45610</v>
      </c>
      <c r="J48" s="13">
        <v>45610</v>
      </c>
      <c r="K48">
        <v>781174</v>
      </c>
      <c r="L48" s="13">
        <v>45623</v>
      </c>
      <c r="M48" t="s">
        <v>552</v>
      </c>
      <c r="N48">
        <v>7.5</v>
      </c>
      <c r="O48">
        <v>6.9</v>
      </c>
      <c r="P48">
        <v>0.11</v>
      </c>
      <c r="Q48">
        <v>0.7</v>
      </c>
      <c r="R48" t="s">
        <v>553</v>
      </c>
      <c r="S48">
        <v>16</v>
      </c>
      <c r="T48">
        <v>4.7</v>
      </c>
      <c r="Y48" t="s">
        <v>570</v>
      </c>
      <c r="AB48">
        <v>180</v>
      </c>
      <c r="AD48">
        <v>10</v>
      </c>
      <c r="AE48">
        <v>1.5</v>
      </c>
      <c r="AF48">
        <v>4.2</v>
      </c>
      <c r="AG48">
        <v>2.7E-2</v>
      </c>
      <c r="AI48">
        <v>2.4</v>
      </c>
      <c r="AK48" t="s">
        <v>554</v>
      </c>
      <c r="AL48">
        <v>16.2</v>
      </c>
      <c r="AM48">
        <v>0.16</v>
      </c>
      <c r="AN48" t="s">
        <v>555</v>
      </c>
      <c r="AT48">
        <v>18</v>
      </c>
      <c r="AV48">
        <v>0.3</v>
      </c>
      <c r="BB48" t="s">
        <v>568</v>
      </c>
      <c r="BC48" t="s">
        <v>415</v>
      </c>
      <c r="BU48">
        <v>600</v>
      </c>
      <c r="FM48">
        <v>0.33</v>
      </c>
      <c r="FN48">
        <v>6.6</v>
      </c>
      <c r="FO48" t="s">
        <v>569</v>
      </c>
      <c r="GP48" t="s">
        <v>557</v>
      </c>
    </row>
    <row r="49" spans="1:198" x14ac:dyDescent="0.35">
      <c r="A49">
        <v>140003965</v>
      </c>
      <c r="B49" t="s">
        <v>548</v>
      </c>
      <c r="C49" t="s">
        <v>328</v>
      </c>
      <c r="D49" t="s">
        <v>558</v>
      </c>
      <c r="E49">
        <v>40</v>
      </c>
      <c r="F49">
        <v>60</v>
      </c>
      <c r="G49" t="s">
        <v>550</v>
      </c>
      <c r="H49" t="s">
        <v>551</v>
      </c>
      <c r="I49" s="13">
        <v>45610</v>
      </c>
      <c r="J49" s="13">
        <v>45610</v>
      </c>
      <c r="K49">
        <v>781175</v>
      </c>
      <c r="L49" s="13">
        <v>45623</v>
      </c>
      <c r="M49" t="s">
        <v>552</v>
      </c>
      <c r="N49">
        <v>6.1</v>
      </c>
      <c r="O49">
        <v>5.4</v>
      </c>
      <c r="P49">
        <v>0.1</v>
      </c>
      <c r="Q49">
        <v>0.6</v>
      </c>
      <c r="R49" t="s">
        <v>553</v>
      </c>
      <c r="S49">
        <v>8.3000000000000007</v>
      </c>
      <c r="T49">
        <v>2</v>
      </c>
      <c r="Y49">
        <v>7</v>
      </c>
      <c r="AB49">
        <v>180</v>
      </c>
      <c r="AD49">
        <v>7</v>
      </c>
      <c r="AE49">
        <v>1</v>
      </c>
      <c r="AF49">
        <v>5</v>
      </c>
      <c r="AG49">
        <v>6.2E-2</v>
      </c>
      <c r="AI49">
        <v>1.4</v>
      </c>
      <c r="AK49" t="s">
        <v>554</v>
      </c>
      <c r="AL49">
        <v>13</v>
      </c>
      <c r="AM49">
        <v>0.48</v>
      </c>
      <c r="AN49" t="s">
        <v>555</v>
      </c>
      <c r="AT49">
        <v>32</v>
      </c>
      <c r="AV49">
        <v>0.33</v>
      </c>
      <c r="BB49" t="s">
        <v>568</v>
      </c>
      <c r="BC49" t="s">
        <v>415</v>
      </c>
      <c r="BU49">
        <v>390</v>
      </c>
      <c r="FM49">
        <v>0.34</v>
      </c>
      <c r="FN49">
        <v>6.8</v>
      </c>
      <c r="FO49" t="s">
        <v>569</v>
      </c>
      <c r="GP49" t="s">
        <v>557</v>
      </c>
    </row>
    <row r="50" spans="1:198" x14ac:dyDescent="0.35">
      <c r="A50">
        <v>140003966</v>
      </c>
      <c r="B50" t="s">
        <v>548</v>
      </c>
      <c r="C50" t="s">
        <v>328</v>
      </c>
      <c r="D50" t="s">
        <v>561</v>
      </c>
      <c r="E50">
        <v>40</v>
      </c>
      <c r="F50">
        <v>60</v>
      </c>
      <c r="G50" t="s">
        <v>550</v>
      </c>
      <c r="H50" t="s">
        <v>551</v>
      </c>
      <c r="I50" s="13">
        <v>45610</v>
      </c>
      <c r="J50" s="13">
        <v>45610</v>
      </c>
      <c r="K50">
        <v>781176</v>
      </c>
      <c r="L50" s="13">
        <v>45623</v>
      </c>
      <c r="M50" t="s">
        <v>552</v>
      </c>
      <c r="N50">
        <v>7.3</v>
      </c>
      <c r="O50">
        <v>6.6</v>
      </c>
      <c r="P50">
        <v>0.09</v>
      </c>
      <c r="Q50">
        <v>0.6</v>
      </c>
      <c r="R50" t="s">
        <v>553</v>
      </c>
      <c r="S50">
        <v>7.9</v>
      </c>
      <c r="T50">
        <v>1.6</v>
      </c>
      <c r="Y50" t="s">
        <v>570</v>
      </c>
      <c r="AB50">
        <v>190</v>
      </c>
      <c r="AD50">
        <v>8.6</v>
      </c>
      <c r="AE50">
        <v>1.3</v>
      </c>
      <c r="AF50">
        <v>4.5</v>
      </c>
      <c r="AG50">
        <v>4.2999999999999997E-2</v>
      </c>
      <c r="AI50">
        <v>1.9</v>
      </c>
      <c r="AK50" t="s">
        <v>554</v>
      </c>
      <c r="AL50">
        <v>14.4</v>
      </c>
      <c r="AM50">
        <v>0.3</v>
      </c>
      <c r="AN50" t="s">
        <v>555</v>
      </c>
      <c r="AT50">
        <v>19</v>
      </c>
      <c r="AV50">
        <v>0.2</v>
      </c>
      <c r="BB50" t="s">
        <v>568</v>
      </c>
      <c r="BC50" t="s">
        <v>415</v>
      </c>
      <c r="BU50">
        <v>510</v>
      </c>
      <c r="FM50">
        <v>0.23</v>
      </c>
      <c r="FN50">
        <v>4.5999999999999996</v>
      </c>
      <c r="FO50" t="s">
        <v>569</v>
      </c>
      <c r="GP50" t="s">
        <v>557</v>
      </c>
    </row>
    <row r="51" spans="1:198" x14ac:dyDescent="0.35">
      <c r="A51">
        <v>140003967</v>
      </c>
      <c r="B51" t="s">
        <v>548</v>
      </c>
      <c r="C51" t="s">
        <v>328</v>
      </c>
      <c r="D51" t="s">
        <v>562</v>
      </c>
      <c r="E51">
        <v>40</v>
      </c>
      <c r="F51">
        <v>60</v>
      </c>
      <c r="G51" t="s">
        <v>550</v>
      </c>
      <c r="H51" t="s">
        <v>551</v>
      </c>
      <c r="I51" s="13">
        <v>45610</v>
      </c>
      <c r="J51" s="13">
        <v>45610</v>
      </c>
      <c r="K51">
        <v>781177</v>
      </c>
      <c r="L51" s="13">
        <v>45623</v>
      </c>
      <c r="M51" t="s">
        <v>552</v>
      </c>
      <c r="N51">
        <v>6.5</v>
      </c>
      <c r="O51">
        <v>5.9</v>
      </c>
      <c r="P51">
        <v>0.16</v>
      </c>
      <c r="Q51">
        <v>1</v>
      </c>
      <c r="R51" t="s">
        <v>553</v>
      </c>
      <c r="S51">
        <v>9.1999999999999993</v>
      </c>
      <c r="T51">
        <v>2.4</v>
      </c>
      <c r="Y51" t="s">
        <v>570</v>
      </c>
      <c r="AB51">
        <v>160</v>
      </c>
      <c r="AD51">
        <v>8.9</v>
      </c>
      <c r="AE51">
        <v>1.2</v>
      </c>
      <c r="AF51">
        <v>4.3</v>
      </c>
      <c r="AG51">
        <v>0.04</v>
      </c>
      <c r="AI51">
        <v>2.1</v>
      </c>
      <c r="AK51" t="s">
        <v>554</v>
      </c>
      <c r="AL51">
        <v>14.5</v>
      </c>
      <c r="AM51">
        <v>0.28000000000000003</v>
      </c>
      <c r="AN51" t="s">
        <v>555</v>
      </c>
      <c r="AT51">
        <v>61</v>
      </c>
      <c r="AV51">
        <v>0.26</v>
      </c>
      <c r="BB51" t="s">
        <v>568</v>
      </c>
      <c r="BC51" t="s">
        <v>415</v>
      </c>
      <c r="BU51">
        <v>470</v>
      </c>
      <c r="FM51">
        <v>0.36</v>
      </c>
      <c r="FN51">
        <v>7.2</v>
      </c>
      <c r="FO51" t="s">
        <v>569</v>
      </c>
      <c r="GP51" t="s">
        <v>557</v>
      </c>
    </row>
    <row r="52" spans="1:198" x14ac:dyDescent="0.35">
      <c r="A52">
        <v>140003968</v>
      </c>
      <c r="B52" t="s">
        <v>548</v>
      </c>
      <c r="C52" t="s">
        <v>328</v>
      </c>
      <c r="D52" t="s">
        <v>563</v>
      </c>
      <c r="E52">
        <v>40</v>
      </c>
      <c r="F52">
        <v>60</v>
      </c>
      <c r="G52" t="s">
        <v>550</v>
      </c>
      <c r="H52" t="s">
        <v>551</v>
      </c>
      <c r="I52" s="13">
        <v>45610</v>
      </c>
      <c r="J52" s="13">
        <v>45610</v>
      </c>
      <c r="K52">
        <v>781178</v>
      </c>
      <c r="L52" s="13">
        <v>45623</v>
      </c>
      <c r="M52" t="s">
        <v>552</v>
      </c>
      <c r="N52">
        <v>7.4</v>
      </c>
      <c r="O52">
        <v>6.6</v>
      </c>
      <c r="P52">
        <v>0.09</v>
      </c>
      <c r="Q52">
        <v>0.6</v>
      </c>
      <c r="R52" t="s">
        <v>553</v>
      </c>
      <c r="S52">
        <v>6.5</v>
      </c>
      <c r="T52">
        <v>2.2000000000000002</v>
      </c>
      <c r="Y52" t="s">
        <v>570</v>
      </c>
      <c r="AB52">
        <v>190</v>
      </c>
      <c r="AD52">
        <v>11</v>
      </c>
      <c r="AE52">
        <v>1.6</v>
      </c>
      <c r="AF52">
        <v>5.0999999999999996</v>
      </c>
      <c r="AG52">
        <v>5.3999999999999999E-2</v>
      </c>
      <c r="AI52">
        <v>2.2000000000000002</v>
      </c>
      <c r="AK52" t="s">
        <v>554</v>
      </c>
      <c r="AL52">
        <v>17.600000000000001</v>
      </c>
      <c r="AM52">
        <v>0.31</v>
      </c>
      <c r="AN52" t="s">
        <v>555</v>
      </c>
      <c r="AT52">
        <v>18</v>
      </c>
      <c r="AV52">
        <v>0.28000000000000003</v>
      </c>
      <c r="BB52" t="s">
        <v>574</v>
      </c>
      <c r="BC52" t="s">
        <v>415</v>
      </c>
      <c r="BU52">
        <v>630</v>
      </c>
      <c r="FM52">
        <v>0.3</v>
      </c>
      <c r="FN52">
        <v>6</v>
      </c>
      <c r="FO52" t="s">
        <v>569</v>
      </c>
      <c r="GP52" t="s">
        <v>557</v>
      </c>
    </row>
    <row r="53" spans="1:198" x14ac:dyDescent="0.35">
      <c r="A53">
        <v>140003969</v>
      </c>
      <c r="B53" t="s">
        <v>548</v>
      </c>
      <c r="C53" t="s">
        <v>328</v>
      </c>
      <c r="D53" t="s">
        <v>564</v>
      </c>
      <c r="E53">
        <v>40</v>
      </c>
      <c r="F53">
        <v>60</v>
      </c>
      <c r="G53" t="s">
        <v>550</v>
      </c>
      <c r="H53" t="s">
        <v>551</v>
      </c>
      <c r="I53" s="13">
        <v>45610</v>
      </c>
      <c r="J53" s="13">
        <v>45610</v>
      </c>
      <c r="K53">
        <v>781179</v>
      </c>
      <c r="L53" s="13">
        <v>45623</v>
      </c>
      <c r="M53" t="s">
        <v>552</v>
      </c>
      <c r="N53">
        <v>7.5</v>
      </c>
      <c r="O53">
        <v>6.8</v>
      </c>
      <c r="P53">
        <v>0.11</v>
      </c>
      <c r="Q53">
        <v>0.7</v>
      </c>
      <c r="R53" t="s">
        <v>553</v>
      </c>
      <c r="S53">
        <v>10</v>
      </c>
      <c r="T53">
        <v>1.6</v>
      </c>
      <c r="Y53" t="s">
        <v>570</v>
      </c>
      <c r="AB53">
        <v>150</v>
      </c>
      <c r="AD53">
        <v>8.9</v>
      </c>
      <c r="AE53">
        <v>1.4</v>
      </c>
      <c r="AF53">
        <v>3.5</v>
      </c>
      <c r="AG53">
        <v>3.1E-2</v>
      </c>
      <c r="AI53">
        <v>2.5</v>
      </c>
      <c r="AK53">
        <v>0.13</v>
      </c>
      <c r="AL53">
        <v>14</v>
      </c>
      <c r="AM53">
        <v>0.22</v>
      </c>
      <c r="AN53">
        <v>0.95</v>
      </c>
      <c r="AT53">
        <v>31</v>
      </c>
      <c r="AV53">
        <v>0.22</v>
      </c>
      <c r="BB53" t="s">
        <v>568</v>
      </c>
      <c r="BC53" t="s">
        <v>415</v>
      </c>
      <c r="BU53">
        <v>560</v>
      </c>
      <c r="FM53">
        <v>0.21</v>
      </c>
      <c r="FN53">
        <v>4.2</v>
      </c>
      <c r="FO53" t="s">
        <v>569</v>
      </c>
      <c r="GP53">
        <v>12</v>
      </c>
    </row>
    <row r="54" spans="1:198" x14ac:dyDescent="0.35">
      <c r="A54">
        <v>140003970</v>
      </c>
      <c r="B54" t="s">
        <v>548</v>
      </c>
      <c r="C54" t="s">
        <v>328</v>
      </c>
      <c r="D54" t="s">
        <v>565</v>
      </c>
      <c r="E54">
        <v>40</v>
      </c>
      <c r="F54">
        <v>60</v>
      </c>
      <c r="G54" t="s">
        <v>550</v>
      </c>
      <c r="H54" t="s">
        <v>551</v>
      </c>
      <c r="I54" s="13">
        <v>45610</v>
      </c>
      <c r="J54" s="13">
        <v>45610</v>
      </c>
      <c r="K54">
        <v>781180</v>
      </c>
      <c r="L54" s="13">
        <v>45623</v>
      </c>
      <c r="M54" t="s">
        <v>552</v>
      </c>
      <c r="N54">
        <v>7.1</v>
      </c>
      <c r="O54">
        <v>6.4</v>
      </c>
      <c r="P54">
        <v>0.11</v>
      </c>
      <c r="Q54">
        <v>0.7</v>
      </c>
      <c r="R54" t="s">
        <v>553</v>
      </c>
      <c r="S54">
        <v>5.8</v>
      </c>
      <c r="T54">
        <v>1.8</v>
      </c>
      <c r="Y54">
        <v>5.6</v>
      </c>
      <c r="AB54">
        <v>170</v>
      </c>
      <c r="AD54">
        <v>6.4</v>
      </c>
      <c r="AE54">
        <v>0.81</v>
      </c>
      <c r="AF54">
        <v>4.2</v>
      </c>
      <c r="AG54">
        <v>0.13</v>
      </c>
      <c r="AI54">
        <v>1.5</v>
      </c>
      <c r="AK54" t="s">
        <v>554</v>
      </c>
      <c r="AL54">
        <v>11.5</v>
      </c>
      <c r="AM54">
        <v>1.2</v>
      </c>
      <c r="AN54" t="s">
        <v>555</v>
      </c>
      <c r="AT54">
        <v>38</v>
      </c>
      <c r="AV54">
        <v>0.2</v>
      </c>
      <c r="BB54" t="s">
        <v>568</v>
      </c>
      <c r="BC54" t="s">
        <v>415</v>
      </c>
      <c r="BU54">
        <v>310</v>
      </c>
      <c r="FM54">
        <v>0.22</v>
      </c>
      <c r="FN54">
        <v>4.4000000000000004</v>
      </c>
      <c r="FO54" t="s">
        <v>569</v>
      </c>
      <c r="GP54" t="s">
        <v>557</v>
      </c>
    </row>
    <row r="55" spans="1:198" x14ac:dyDescent="0.35">
      <c r="A55">
        <v>140003971</v>
      </c>
      <c r="B55" t="s">
        <v>548</v>
      </c>
      <c r="C55" t="s">
        <v>328</v>
      </c>
      <c r="D55" t="s">
        <v>567</v>
      </c>
      <c r="E55">
        <v>40</v>
      </c>
      <c r="F55">
        <v>60</v>
      </c>
      <c r="G55" t="s">
        <v>550</v>
      </c>
      <c r="H55" t="s">
        <v>551</v>
      </c>
      <c r="I55" s="13">
        <v>45610</v>
      </c>
      <c r="J55" s="13">
        <v>45610</v>
      </c>
      <c r="K55">
        <v>781181</v>
      </c>
      <c r="L55" s="13">
        <v>45623</v>
      </c>
      <c r="M55" t="s">
        <v>552</v>
      </c>
      <c r="N55">
        <v>7.8</v>
      </c>
      <c r="O55">
        <v>7.1</v>
      </c>
      <c r="P55">
        <v>0.13</v>
      </c>
      <c r="Q55">
        <v>0.8</v>
      </c>
      <c r="R55" t="s">
        <v>553</v>
      </c>
      <c r="S55">
        <v>10</v>
      </c>
      <c r="T55">
        <v>1.3</v>
      </c>
      <c r="Y55">
        <v>5.2</v>
      </c>
      <c r="AB55">
        <v>210</v>
      </c>
      <c r="AD55">
        <v>9.8000000000000007</v>
      </c>
      <c r="AE55">
        <v>1.7</v>
      </c>
      <c r="AF55">
        <v>4</v>
      </c>
      <c r="AG55">
        <v>6.8000000000000005E-2</v>
      </c>
      <c r="AI55">
        <v>2.5</v>
      </c>
      <c r="AK55" t="s">
        <v>554</v>
      </c>
      <c r="AL55">
        <v>15.6</v>
      </c>
      <c r="AM55">
        <v>0.44</v>
      </c>
      <c r="AN55" t="s">
        <v>555</v>
      </c>
      <c r="AT55">
        <v>31</v>
      </c>
      <c r="AV55">
        <v>0.25</v>
      </c>
      <c r="BB55" t="s">
        <v>568</v>
      </c>
      <c r="BC55" t="s">
        <v>415</v>
      </c>
      <c r="BU55">
        <v>660</v>
      </c>
      <c r="FM55">
        <v>0.25</v>
      </c>
      <c r="FN55">
        <v>5</v>
      </c>
      <c r="FO55" t="s">
        <v>569</v>
      </c>
      <c r="GP55" t="s">
        <v>557</v>
      </c>
    </row>
    <row r="56" spans="1:198" x14ac:dyDescent="0.35">
      <c r="A56">
        <v>140003972</v>
      </c>
      <c r="B56" t="s">
        <v>548</v>
      </c>
      <c r="C56" t="s">
        <v>328</v>
      </c>
      <c r="D56" t="s">
        <v>549</v>
      </c>
      <c r="E56">
        <v>60</v>
      </c>
      <c r="F56">
        <v>80</v>
      </c>
      <c r="G56" t="s">
        <v>550</v>
      </c>
      <c r="H56" t="s">
        <v>551</v>
      </c>
      <c r="I56" s="13">
        <v>45610</v>
      </c>
      <c r="J56" s="13">
        <v>45610</v>
      </c>
      <c r="K56">
        <v>781182</v>
      </c>
      <c r="L56" s="13">
        <v>45623</v>
      </c>
      <c r="M56" t="s">
        <v>552</v>
      </c>
      <c r="N56">
        <v>8</v>
      </c>
      <c r="O56">
        <v>7.2</v>
      </c>
      <c r="P56">
        <v>0.08</v>
      </c>
      <c r="Q56">
        <v>0.5</v>
      </c>
      <c r="R56" t="s">
        <v>553</v>
      </c>
      <c r="S56">
        <v>6.4</v>
      </c>
      <c r="T56">
        <v>2.9</v>
      </c>
      <c r="Y56" t="s">
        <v>570</v>
      </c>
      <c r="AB56">
        <v>200</v>
      </c>
      <c r="AD56">
        <v>9.1</v>
      </c>
      <c r="AE56">
        <v>1.4</v>
      </c>
      <c r="AF56">
        <v>4.5999999999999996</v>
      </c>
      <c r="AG56">
        <v>3.5999999999999997E-2</v>
      </c>
      <c r="AI56">
        <v>2</v>
      </c>
      <c r="AK56" t="s">
        <v>554</v>
      </c>
      <c r="AL56">
        <v>15</v>
      </c>
      <c r="AM56">
        <v>0.24</v>
      </c>
      <c r="AN56" t="s">
        <v>555</v>
      </c>
      <c r="AT56">
        <v>7.9</v>
      </c>
      <c r="AV56">
        <v>0.17</v>
      </c>
      <c r="BB56" t="s">
        <v>568</v>
      </c>
      <c r="BC56" t="s">
        <v>415</v>
      </c>
      <c r="BU56">
        <v>540</v>
      </c>
      <c r="FM56" t="s">
        <v>571</v>
      </c>
      <c r="FN56">
        <v>3</v>
      </c>
      <c r="FO56" t="s">
        <v>569</v>
      </c>
      <c r="GP56" t="s">
        <v>557</v>
      </c>
    </row>
    <row r="57" spans="1:198" x14ac:dyDescent="0.35">
      <c r="A57">
        <v>140003973</v>
      </c>
      <c r="B57" t="s">
        <v>548</v>
      </c>
      <c r="C57" t="s">
        <v>328</v>
      </c>
      <c r="D57" t="s">
        <v>558</v>
      </c>
      <c r="E57">
        <v>60</v>
      </c>
      <c r="F57">
        <v>80</v>
      </c>
      <c r="G57" t="s">
        <v>550</v>
      </c>
      <c r="H57" t="s">
        <v>551</v>
      </c>
      <c r="I57" s="13">
        <v>45610</v>
      </c>
      <c r="J57" s="13">
        <v>45610</v>
      </c>
      <c r="K57">
        <v>781183</v>
      </c>
      <c r="L57" s="13">
        <v>45623</v>
      </c>
      <c r="M57" t="s">
        <v>552</v>
      </c>
      <c r="N57">
        <v>5.6</v>
      </c>
      <c r="O57">
        <v>4.9000000000000004</v>
      </c>
      <c r="P57">
        <v>0.09</v>
      </c>
      <c r="Q57">
        <v>0.6</v>
      </c>
      <c r="R57" t="s">
        <v>553</v>
      </c>
      <c r="S57">
        <v>4.7</v>
      </c>
      <c r="T57">
        <v>1.3</v>
      </c>
      <c r="Y57" t="s">
        <v>570</v>
      </c>
      <c r="AB57">
        <v>200</v>
      </c>
      <c r="AD57">
        <v>6</v>
      </c>
      <c r="AE57">
        <v>0.88</v>
      </c>
      <c r="AF57">
        <v>5.8</v>
      </c>
      <c r="AG57">
        <v>0.11</v>
      </c>
      <c r="AI57">
        <v>1</v>
      </c>
      <c r="AK57">
        <v>0.23</v>
      </c>
      <c r="AL57">
        <v>13</v>
      </c>
      <c r="AM57">
        <v>0.88</v>
      </c>
      <c r="AN57">
        <v>1.8</v>
      </c>
      <c r="AT57">
        <v>36</v>
      </c>
      <c r="AV57">
        <v>0.19</v>
      </c>
      <c r="BB57" t="s">
        <v>568</v>
      </c>
      <c r="BC57" t="s">
        <v>415</v>
      </c>
      <c r="BU57">
        <v>340</v>
      </c>
      <c r="FM57">
        <v>0.16</v>
      </c>
      <c r="FN57">
        <v>3.2</v>
      </c>
      <c r="FO57" t="s">
        <v>569</v>
      </c>
      <c r="GP57">
        <v>21</v>
      </c>
    </row>
    <row r="58" spans="1:198" x14ac:dyDescent="0.35">
      <c r="A58">
        <v>140003974</v>
      </c>
      <c r="B58" t="s">
        <v>548</v>
      </c>
      <c r="C58" t="s">
        <v>328</v>
      </c>
      <c r="D58" t="s">
        <v>561</v>
      </c>
      <c r="E58">
        <v>60</v>
      </c>
      <c r="F58">
        <v>80</v>
      </c>
      <c r="G58" t="s">
        <v>550</v>
      </c>
      <c r="H58" t="s">
        <v>551</v>
      </c>
      <c r="I58" s="13">
        <v>45610</v>
      </c>
      <c r="J58" s="13">
        <v>45610</v>
      </c>
      <c r="K58">
        <v>781184</v>
      </c>
      <c r="L58" s="13">
        <v>45623</v>
      </c>
      <c r="M58" t="s">
        <v>552</v>
      </c>
      <c r="N58">
        <v>7.4</v>
      </c>
      <c r="O58">
        <v>6.7</v>
      </c>
      <c r="P58">
        <v>0.1</v>
      </c>
      <c r="Q58">
        <v>0.6</v>
      </c>
      <c r="R58" t="s">
        <v>553</v>
      </c>
      <c r="S58">
        <v>6.9</v>
      </c>
      <c r="T58">
        <v>4.2</v>
      </c>
      <c r="Y58" t="s">
        <v>570</v>
      </c>
      <c r="AB58">
        <v>230</v>
      </c>
      <c r="AD58">
        <v>8.8000000000000007</v>
      </c>
      <c r="AE58">
        <v>1.4</v>
      </c>
      <c r="AF58">
        <v>5.7</v>
      </c>
      <c r="AG58">
        <v>8.8999999999999996E-2</v>
      </c>
      <c r="AI58">
        <v>1.5</v>
      </c>
      <c r="AK58" t="s">
        <v>554</v>
      </c>
      <c r="AL58">
        <v>16</v>
      </c>
      <c r="AM58">
        <v>0.56000000000000005</v>
      </c>
      <c r="AN58" t="s">
        <v>555</v>
      </c>
      <c r="AT58">
        <v>25</v>
      </c>
      <c r="AV58">
        <v>0.18</v>
      </c>
      <c r="BB58" t="s">
        <v>568</v>
      </c>
      <c r="BC58" t="s">
        <v>415</v>
      </c>
      <c r="BU58">
        <v>550</v>
      </c>
      <c r="FM58" t="s">
        <v>571</v>
      </c>
      <c r="FN58">
        <v>3</v>
      </c>
      <c r="FO58" t="s">
        <v>569</v>
      </c>
      <c r="GP58" t="s">
        <v>557</v>
      </c>
    </row>
    <row r="59" spans="1:198" x14ac:dyDescent="0.35">
      <c r="A59">
        <v>140003975</v>
      </c>
      <c r="B59" t="s">
        <v>548</v>
      </c>
      <c r="C59" t="s">
        <v>328</v>
      </c>
      <c r="D59" t="s">
        <v>562</v>
      </c>
      <c r="E59">
        <v>60</v>
      </c>
      <c r="F59">
        <v>80</v>
      </c>
      <c r="G59" t="s">
        <v>550</v>
      </c>
      <c r="H59" t="s">
        <v>551</v>
      </c>
      <c r="I59" s="13">
        <v>45610</v>
      </c>
      <c r="J59" s="13">
        <v>45610</v>
      </c>
      <c r="K59">
        <v>781185</v>
      </c>
      <c r="L59" s="13">
        <v>45623</v>
      </c>
      <c r="M59" t="s">
        <v>552</v>
      </c>
      <c r="N59">
        <v>6.8</v>
      </c>
      <c r="O59">
        <v>6</v>
      </c>
      <c r="P59">
        <v>7.0000000000000007E-2</v>
      </c>
      <c r="Q59">
        <v>0.4</v>
      </c>
      <c r="R59" t="s">
        <v>553</v>
      </c>
      <c r="S59">
        <v>3.5</v>
      </c>
      <c r="T59">
        <v>1.6</v>
      </c>
      <c r="Y59" t="s">
        <v>570</v>
      </c>
      <c r="AB59">
        <v>160</v>
      </c>
      <c r="AD59">
        <v>8.4</v>
      </c>
      <c r="AE59">
        <v>1.2</v>
      </c>
      <c r="AF59">
        <v>4.5</v>
      </c>
      <c r="AG59">
        <v>5.2999999999999999E-2</v>
      </c>
      <c r="AI59">
        <v>1.9</v>
      </c>
      <c r="AK59" t="s">
        <v>554</v>
      </c>
      <c r="AL59">
        <v>14.2</v>
      </c>
      <c r="AM59">
        <v>0.37</v>
      </c>
      <c r="AN59" t="s">
        <v>555</v>
      </c>
      <c r="AT59">
        <v>18</v>
      </c>
      <c r="AV59">
        <v>0.24</v>
      </c>
      <c r="BB59" t="s">
        <v>568</v>
      </c>
      <c r="BC59" t="s">
        <v>415</v>
      </c>
      <c r="BU59">
        <v>470</v>
      </c>
      <c r="FM59">
        <v>0.2</v>
      </c>
      <c r="FN59">
        <v>4</v>
      </c>
      <c r="FO59" t="s">
        <v>569</v>
      </c>
      <c r="GP59" t="s">
        <v>557</v>
      </c>
    </row>
    <row r="60" spans="1:198" x14ac:dyDescent="0.35">
      <c r="A60">
        <v>140003976</v>
      </c>
      <c r="B60" t="s">
        <v>548</v>
      </c>
      <c r="C60" t="s">
        <v>328</v>
      </c>
      <c r="D60" t="s">
        <v>563</v>
      </c>
      <c r="E60">
        <v>60</v>
      </c>
      <c r="F60">
        <v>80</v>
      </c>
      <c r="G60" t="s">
        <v>550</v>
      </c>
      <c r="H60" t="s">
        <v>551</v>
      </c>
      <c r="I60" s="13">
        <v>45610</v>
      </c>
      <c r="J60" s="13">
        <v>45610</v>
      </c>
      <c r="K60">
        <v>781186</v>
      </c>
      <c r="L60" s="13">
        <v>45623</v>
      </c>
      <c r="M60" t="s">
        <v>552</v>
      </c>
      <c r="N60">
        <v>7.7</v>
      </c>
      <c r="O60">
        <v>6.9</v>
      </c>
      <c r="P60">
        <v>0.08</v>
      </c>
      <c r="Q60">
        <v>0.5</v>
      </c>
      <c r="R60" t="s">
        <v>553</v>
      </c>
      <c r="S60">
        <v>5.4</v>
      </c>
      <c r="T60">
        <v>1.8</v>
      </c>
      <c r="Y60" t="s">
        <v>570</v>
      </c>
      <c r="AB60">
        <v>240</v>
      </c>
      <c r="AD60">
        <v>10</v>
      </c>
      <c r="AE60">
        <v>1.6</v>
      </c>
      <c r="AF60">
        <v>5.4</v>
      </c>
      <c r="AG60">
        <v>7.0000000000000007E-2</v>
      </c>
      <c r="AI60">
        <v>1.9</v>
      </c>
      <c r="AK60" t="s">
        <v>554</v>
      </c>
      <c r="AL60">
        <v>17.399999999999999</v>
      </c>
      <c r="AM60">
        <v>0.4</v>
      </c>
      <c r="AN60" t="s">
        <v>555</v>
      </c>
      <c r="AT60">
        <v>11</v>
      </c>
      <c r="AV60">
        <v>0.23</v>
      </c>
      <c r="BB60" t="s">
        <v>568</v>
      </c>
      <c r="BC60" t="s">
        <v>415</v>
      </c>
      <c r="BU60">
        <v>630</v>
      </c>
      <c r="FM60">
        <v>0.22</v>
      </c>
      <c r="FN60">
        <v>4.4000000000000004</v>
      </c>
      <c r="FO60" t="s">
        <v>569</v>
      </c>
      <c r="GP60" t="s">
        <v>557</v>
      </c>
    </row>
    <row r="61" spans="1:198" x14ac:dyDescent="0.35">
      <c r="A61">
        <v>140003977</v>
      </c>
      <c r="B61" t="s">
        <v>548</v>
      </c>
      <c r="C61" t="s">
        <v>328</v>
      </c>
      <c r="D61" t="s">
        <v>564</v>
      </c>
      <c r="E61">
        <v>60</v>
      </c>
      <c r="F61">
        <v>80</v>
      </c>
      <c r="G61" t="s">
        <v>550</v>
      </c>
      <c r="H61" t="s">
        <v>551</v>
      </c>
      <c r="I61" s="13">
        <v>45610</v>
      </c>
      <c r="J61" s="13">
        <v>45610</v>
      </c>
      <c r="K61">
        <v>781187</v>
      </c>
      <c r="L61" s="13">
        <v>45623</v>
      </c>
      <c r="M61" t="s">
        <v>552</v>
      </c>
      <c r="N61">
        <v>7.8</v>
      </c>
      <c r="O61">
        <v>7.2</v>
      </c>
      <c r="P61">
        <v>0.13</v>
      </c>
      <c r="Q61">
        <v>0.8</v>
      </c>
      <c r="R61" t="s">
        <v>553</v>
      </c>
      <c r="S61">
        <v>5.5</v>
      </c>
      <c r="T61">
        <v>7.3</v>
      </c>
      <c r="Y61" t="s">
        <v>570</v>
      </c>
      <c r="AB61">
        <v>190</v>
      </c>
      <c r="AD61">
        <v>9.6999999999999993</v>
      </c>
      <c r="AE61">
        <v>1.5</v>
      </c>
      <c r="AF61">
        <v>5.3</v>
      </c>
      <c r="AG61">
        <v>7.9000000000000001E-2</v>
      </c>
      <c r="AI61">
        <v>1.8</v>
      </c>
      <c r="AK61" t="s">
        <v>554</v>
      </c>
      <c r="AL61">
        <v>16.5</v>
      </c>
      <c r="AM61">
        <v>0.48</v>
      </c>
      <c r="AN61" t="s">
        <v>555</v>
      </c>
      <c r="AT61">
        <v>30</v>
      </c>
      <c r="AV61">
        <v>0.18</v>
      </c>
      <c r="BB61" t="s">
        <v>568</v>
      </c>
      <c r="BC61" t="s">
        <v>415</v>
      </c>
      <c r="BU61">
        <v>590</v>
      </c>
      <c r="FM61">
        <v>0.16</v>
      </c>
      <c r="FN61">
        <v>3.2</v>
      </c>
      <c r="FO61" t="s">
        <v>569</v>
      </c>
      <c r="GP61" t="s">
        <v>557</v>
      </c>
    </row>
    <row r="62" spans="1:198" x14ac:dyDescent="0.35">
      <c r="A62">
        <v>140003978</v>
      </c>
      <c r="B62" t="s">
        <v>548</v>
      </c>
      <c r="C62" t="s">
        <v>328</v>
      </c>
      <c r="D62" t="s">
        <v>565</v>
      </c>
      <c r="E62">
        <v>60</v>
      </c>
      <c r="F62">
        <v>80</v>
      </c>
      <c r="G62" t="s">
        <v>550</v>
      </c>
      <c r="H62" t="s">
        <v>551</v>
      </c>
      <c r="I62" s="13">
        <v>45610</v>
      </c>
      <c r="J62" s="13">
        <v>45610</v>
      </c>
      <c r="K62">
        <v>781188</v>
      </c>
      <c r="L62" s="13">
        <v>45623</v>
      </c>
      <c r="M62" t="s">
        <v>552</v>
      </c>
      <c r="N62">
        <v>6.2</v>
      </c>
      <c r="O62">
        <v>5.5</v>
      </c>
      <c r="P62">
        <v>0.11</v>
      </c>
      <c r="Q62">
        <v>0.7</v>
      </c>
      <c r="R62" t="s">
        <v>553</v>
      </c>
      <c r="S62">
        <v>3.8</v>
      </c>
      <c r="T62">
        <v>2.7</v>
      </c>
      <c r="Y62">
        <v>5.7</v>
      </c>
      <c r="AB62">
        <v>180</v>
      </c>
      <c r="AD62">
        <v>6.4</v>
      </c>
      <c r="AE62">
        <v>0.97</v>
      </c>
      <c r="AF62">
        <v>5.5</v>
      </c>
      <c r="AG62">
        <v>0.23</v>
      </c>
      <c r="AI62">
        <v>1.2</v>
      </c>
      <c r="AK62" t="s">
        <v>554</v>
      </c>
      <c r="AL62">
        <v>13.1</v>
      </c>
      <c r="AM62">
        <v>1.8</v>
      </c>
      <c r="AN62" t="s">
        <v>555</v>
      </c>
      <c r="AT62">
        <v>40</v>
      </c>
      <c r="AV62">
        <v>0.16</v>
      </c>
      <c r="BB62" t="s">
        <v>568</v>
      </c>
      <c r="BC62" t="s">
        <v>415</v>
      </c>
      <c r="BU62">
        <v>380</v>
      </c>
      <c r="FM62" t="s">
        <v>571</v>
      </c>
      <c r="FN62">
        <v>3</v>
      </c>
      <c r="FO62" t="s">
        <v>569</v>
      </c>
      <c r="GP62" t="s">
        <v>557</v>
      </c>
    </row>
    <row r="63" spans="1:198" x14ac:dyDescent="0.35">
      <c r="A63">
        <v>140003979</v>
      </c>
      <c r="B63" t="s">
        <v>548</v>
      </c>
      <c r="C63" t="s">
        <v>328</v>
      </c>
      <c r="D63" t="s">
        <v>567</v>
      </c>
      <c r="E63">
        <v>60</v>
      </c>
      <c r="F63">
        <v>80</v>
      </c>
      <c r="G63" t="s">
        <v>550</v>
      </c>
      <c r="H63" t="s">
        <v>551</v>
      </c>
      <c r="I63" s="13">
        <v>45610</v>
      </c>
      <c r="J63" s="13">
        <v>45610</v>
      </c>
      <c r="K63">
        <v>781189</v>
      </c>
      <c r="L63" s="13">
        <v>45623</v>
      </c>
      <c r="M63" t="s">
        <v>552</v>
      </c>
      <c r="N63">
        <v>8.1</v>
      </c>
      <c r="O63">
        <v>7.3</v>
      </c>
      <c r="P63">
        <v>0.1</v>
      </c>
      <c r="Q63">
        <v>0.6</v>
      </c>
      <c r="R63" t="s">
        <v>553</v>
      </c>
      <c r="S63">
        <v>6.5</v>
      </c>
      <c r="T63">
        <v>2.2000000000000002</v>
      </c>
      <c r="Y63" t="s">
        <v>570</v>
      </c>
      <c r="AB63">
        <v>250</v>
      </c>
      <c r="AD63">
        <v>11</v>
      </c>
      <c r="AE63">
        <v>1.8</v>
      </c>
      <c r="AF63">
        <v>5.3</v>
      </c>
      <c r="AG63">
        <v>9.0999999999999998E-2</v>
      </c>
      <c r="AI63">
        <v>2.1</v>
      </c>
      <c r="AK63" t="s">
        <v>554</v>
      </c>
      <c r="AL63">
        <v>18.100000000000001</v>
      </c>
      <c r="AM63">
        <v>0.5</v>
      </c>
      <c r="AN63" t="s">
        <v>555</v>
      </c>
      <c r="AT63">
        <v>15</v>
      </c>
      <c r="AV63">
        <v>0.22</v>
      </c>
      <c r="BB63" t="s">
        <v>568</v>
      </c>
      <c r="BC63" t="s">
        <v>415</v>
      </c>
      <c r="BU63">
        <v>720</v>
      </c>
      <c r="FM63">
        <v>0.16</v>
      </c>
      <c r="FN63">
        <v>3.2</v>
      </c>
      <c r="FO63" t="s">
        <v>569</v>
      </c>
      <c r="GP63" t="s">
        <v>557</v>
      </c>
    </row>
    <row r="64" spans="1:198" x14ac:dyDescent="0.35">
      <c r="A64">
        <v>140003980</v>
      </c>
      <c r="B64" t="s">
        <v>548</v>
      </c>
      <c r="C64" t="s">
        <v>328</v>
      </c>
      <c r="D64" t="s">
        <v>549</v>
      </c>
      <c r="E64">
        <v>80</v>
      </c>
      <c r="F64">
        <v>100</v>
      </c>
      <c r="G64" t="s">
        <v>550</v>
      </c>
      <c r="H64" t="s">
        <v>551</v>
      </c>
      <c r="I64" s="13">
        <v>45610</v>
      </c>
      <c r="J64" s="13">
        <v>45610</v>
      </c>
      <c r="K64">
        <v>781190</v>
      </c>
      <c r="L64" s="13">
        <v>45623</v>
      </c>
      <c r="M64" t="s">
        <v>552</v>
      </c>
      <c r="N64">
        <v>8.1</v>
      </c>
      <c r="O64">
        <v>7.3</v>
      </c>
      <c r="P64">
        <v>7.0000000000000007E-2</v>
      </c>
      <c r="Q64">
        <v>0.4</v>
      </c>
      <c r="R64" t="s">
        <v>553</v>
      </c>
      <c r="S64">
        <v>4.2</v>
      </c>
      <c r="T64">
        <v>3.8</v>
      </c>
      <c r="Y64" t="s">
        <v>570</v>
      </c>
      <c r="AB64">
        <v>140</v>
      </c>
      <c r="AD64">
        <v>9.3000000000000007</v>
      </c>
      <c r="AE64">
        <v>1.4</v>
      </c>
      <c r="AF64">
        <v>5.0999999999999996</v>
      </c>
      <c r="AG64">
        <v>6.8000000000000005E-2</v>
      </c>
      <c r="AI64">
        <v>1.8</v>
      </c>
      <c r="AK64" t="s">
        <v>554</v>
      </c>
      <c r="AL64">
        <v>15.9</v>
      </c>
      <c r="AM64">
        <v>0.43</v>
      </c>
      <c r="AN64" t="s">
        <v>555</v>
      </c>
      <c r="AT64">
        <v>3</v>
      </c>
      <c r="AV64" t="s">
        <v>571</v>
      </c>
      <c r="BB64" t="s">
        <v>572</v>
      </c>
      <c r="BC64" t="s">
        <v>415</v>
      </c>
      <c r="BU64">
        <v>560</v>
      </c>
      <c r="FM64" t="s">
        <v>571</v>
      </c>
      <c r="FN64">
        <v>3</v>
      </c>
      <c r="FO64" t="s">
        <v>569</v>
      </c>
      <c r="GP64" t="s">
        <v>557</v>
      </c>
    </row>
    <row r="65" spans="1:198" x14ac:dyDescent="0.35">
      <c r="A65">
        <v>140003981</v>
      </c>
      <c r="B65" t="s">
        <v>548</v>
      </c>
      <c r="C65" t="s">
        <v>328</v>
      </c>
      <c r="D65" t="s">
        <v>558</v>
      </c>
      <c r="E65">
        <v>80</v>
      </c>
      <c r="F65">
        <v>100</v>
      </c>
      <c r="G65" t="s">
        <v>550</v>
      </c>
      <c r="H65" t="s">
        <v>551</v>
      </c>
      <c r="I65" s="13">
        <v>45610</v>
      </c>
      <c r="J65" s="13">
        <v>45610</v>
      </c>
      <c r="K65">
        <v>781191</v>
      </c>
      <c r="L65" s="13">
        <v>45623</v>
      </c>
      <c r="M65" t="s">
        <v>552</v>
      </c>
      <c r="N65">
        <v>5.8</v>
      </c>
      <c r="O65">
        <v>4.9000000000000004</v>
      </c>
      <c r="P65">
        <v>0.05</v>
      </c>
      <c r="Q65">
        <v>0.3</v>
      </c>
      <c r="R65" t="s">
        <v>553</v>
      </c>
      <c r="S65">
        <v>3.9</v>
      </c>
      <c r="T65">
        <v>3.2</v>
      </c>
      <c r="Y65" t="s">
        <v>570</v>
      </c>
      <c r="AB65">
        <v>140</v>
      </c>
      <c r="AD65">
        <v>4.9000000000000004</v>
      </c>
      <c r="AE65">
        <v>0.71</v>
      </c>
      <c r="AF65">
        <v>4.9000000000000004</v>
      </c>
      <c r="AG65">
        <v>0.17</v>
      </c>
      <c r="AI65">
        <v>1</v>
      </c>
      <c r="AK65">
        <v>0.19</v>
      </c>
      <c r="AL65">
        <v>10.8</v>
      </c>
      <c r="AM65">
        <v>1.6</v>
      </c>
      <c r="AN65">
        <v>1.7</v>
      </c>
      <c r="AT65">
        <v>11</v>
      </c>
      <c r="AV65" t="s">
        <v>571</v>
      </c>
      <c r="BB65" t="s">
        <v>568</v>
      </c>
      <c r="BC65" t="s">
        <v>415</v>
      </c>
      <c r="BU65">
        <v>280</v>
      </c>
      <c r="FM65" t="s">
        <v>571</v>
      </c>
      <c r="FN65">
        <v>3</v>
      </c>
      <c r="FO65" t="s">
        <v>569</v>
      </c>
      <c r="GP65">
        <v>17</v>
      </c>
    </row>
    <row r="66" spans="1:198" x14ac:dyDescent="0.35">
      <c r="A66">
        <v>140003982</v>
      </c>
      <c r="B66" t="s">
        <v>548</v>
      </c>
      <c r="C66" t="s">
        <v>328</v>
      </c>
      <c r="D66" t="s">
        <v>561</v>
      </c>
      <c r="E66">
        <v>80</v>
      </c>
      <c r="F66">
        <v>100</v>
      </c>
      <c r="G66" t="s">
        <v>550</v>
      </c>
      <c r="H66" t="s">
        <v>551</v>
      </c>
      <c r="I66" s="13">
        <v>45610</v>
      </c>
      <c r="J66" s="13">
        <v>45610</v>
      </c>
      <c r="K66">
        <v>781192</v>
      </c>
      <c r="L66" s="13">
        <v>45623</v>
      </c>
      <c r="M66" t="s">
        <v>552</v>
      </c>
      <c r="N66">
        <v>7.4</v>
      </c>
      <c r="O66">
        <v>6.5</v>
      </c>
      <c r="P66">
        <v>0.08</v>
      </c>
      <c r="Q66">
        <v>0.5</v>
      </c>
      <c r="R66" t="s">
        <v>553</v>
      </c>
      <c r="S66">
        <v>5.5</v>
      </c>
      <c r="T66">
        <v>2.1</v>
      </c>
      <c r="Y66" t="s">
        <v>570</v>
      </c>
      <c r="AB66">
        <v>190</v>
      </c>
      <c r="AD66">
        <v>8.1999999999999993</v>
      </c>
      <c r="AE66">
        <v>1.4</v>
      </c>
      <c r="AF66">
        <v>5.7</v>
      </c>
      <c r="AG66">
        <v>0.15</v>
      </c>
      <c r="AI66">
        <v>1.4</v>
      </c>
      <c r="AK66" t="s">
        <v>554</v>
      </c>
      <c r="AL66">
        <v>15.4</v>
      </c>
      <c r="AM66">
        <v>0.96</v>
      </c>
      <c r="AN66" t="s">
        <v>555</v>
      </c>
      <c r="AT66">
        <v>15</v>
      </c>
      <c r="AV66" t="s">
        <v>571</v>
      </c>
      <c r="BB66" t="s">
        <v>568</v>
      </c>
      <c r="BC66" t="s">
        <v>415</v>
      </c>
      <c r="BU66">
        <v>530</v>
      </c>
      <c r="FM66" t="s">
        <v>571</v>
      </c>
      <c r="FN66">
        <v>3</v>
      </c>
      <c r="FO66" t="s">
        <v>569</v>
      </c>
      <c r="GP66" t="s">
        <v>557</v>
      </c>
    </row>
    <row r="67" spans="1:198" x14ac:dyDescent="0.35">
      <c r="A67">
        <v>140003983</v>
      </c>
      <c r="B67" t="s">
        <v>548</v>
      </c>
      <c r="C67" t="s">
        <v>328</v>
      </c>
      <c r="D67" t="s">
        <v>562</v>
      </c>
      <c r="E67">
        <v>80</v>
      </c>
      <c r="F67">
        <v>100</v>
      </c>
      <c r="G67" t="s">
        <v>550</v>
      </c>
      <c r="H67" t="s">
        <v>551</v>
      </c>
      <c r="I67" s="13">
        <v>45610</v>
      </c>
      <c r="J67" s="13">
        <v>45610</v>
      </c>
      <c r="K67">
        <v>781193</v>
      </c>
      <c r="L67" s="13">
        <v>45623</v>
      </c>
      <c r="M67" t="s">
        <v>552</v>
      </c>
      <c r="N67">
        <v>7.1</v>
      </c>
      <c r="O67">
        <v>6.2</v>
      </c>
      <c r="P67">
        <v>0.05</v>
      </c>
      <c r="Q67">
        <v>0.3</v>
      </c>
      <c r="R67" t="s">
        <v>553</v>
      </c>
      <c r="S67">
        <v>2.4</v>
      </c>
      <c r="T67">
        <v>3</v>
      </c>
      <c r="Y67" t="s">
        <v>570</v>
      </c>
      <c r="AB67">
        <v>120</v>
      </c>
      <c r="AD67">
        <v>7.3</v>
      </c>
      <c r="AE67">
        <v>1</v>
      </c>
      <c r="AF67">
        <v>4.2</v>
      </c>
      <c r="AG67">
        <v>7.4999999999999997E-2</v>
      </c>
      <c r="AI67">
        <v>1.7</v>
      </c>
      <c r="AK67" t="s">
        <v>554</v>
      </c>
      <c r="AL67">
        <v>12.6</v>
      </c>
      <c r="AM67">
        <v>0.6</v>
      </c>
      <c r="AN67" t="s">
        <v>555</v>
      </c>
      <c r="AT67">
        <v>7.2</v>
      </c>
      <c r="AV67" t="s">
        <v>571</v>
      </c>
      <c r="BB67" t="s">
        <v>568</v>
      </c>
      <c r="BC67" t="s">
        <v>415</v>
      </c>
      <c r="BU67">
        <v>410</v>
      </c>
      <c r="FM67" t="s">
        <v>571</v>
      </c>
      <c r="FN67">
        <v>3</v>
      </c>
      <c r="FO67" t="s">
        <v>569</v>
      </c>
      <c r="GP67" t="s">
        <v>557</v>
      </c>
    </row>
    <row r="68" spans="1:198" x14ac:dyDescent="0.35">
      <c r="A68">
        <v>140003984</v>
      </c>
      <c r="B68" t="s">
        <v>548</v>
      </c>
      <c r="C68" t="s">
        <v>328</v>
      </c>
      <c r="D68" t="s">
        <v>563</v>
      </c>
      <c r="E68">
        <v>80</v>
      </c>
      <c r="F68">
        <v>100</v>
      </c>
      <c r="G68" t="s">
        <v>550</v>
      </c>
      <c r="H68" t="s">
        <v>551</v>
      </c>
      <c r="I68" s="13">
        <v>45610</v>
      </c>
      <c r="J68" s="13">
        <v>45610</v>
      </c>
      <c r="K68">
        <v>781194</v>
      </c>
      <c r="L68" s="13">
        <v>45623</v>
      </c>
      <c r="M68" t="s">
        <v>552</v>
      </c>
      <c r="N68">
        <v>7.9</v>
      </c>
      <c r="O68">
        <v>7</v>
      </c>
      <c r="P68">
        <v>0.06</v>
      </c>
      <c r="Q68">
        <v>0.4</v>
      </c>
      <c r="R68" t="s">
        <v>553</v>
      </c>
      <c r="S68">
        <v>3.6</v>
      </c>
      <c r="T68">
        <v>2.4</v>
      </c>
      <c r="Y68" t="s">
        <v>570</v>
      </c>
      <c r="AB68">
        <v>200</v>
      </c>
      <c r="AD68">
        <v>9.4</v>
      </c>
      <c r="AE68">
        <v>1.5</v>
      </c>
      <c r="AF68">
        <v>5.7</v>
      </c>
      <c r="AG68">
        <v>0.13</v>
      </c>
      <c r="AI68">
        <v>1.6</v>
      </c>
      <c r="AK68" t="s">
        <v>554</v>
      </c>
      <c r="AL68">
        <v>16.7</v>
      </c>
      <c r="AM68">
        <v>0.8</v>
      </c>
      <c r="AN68" t="s">
        <v>555</v>
      </c>
      <c r="AT68">
        <v>6.7</v>
      </c>
      <c r="AV68">
        <v>0.17</v>
      </c>
      <c r="BB68" t="s">
        <v>572</v>
      </c>
      <c r="BC68" t="s">
        <v>415</v>
      </c>
      <c r="BU68">
        <v>600</v>
      </c>
      <c r="FM68" t="s">
        <v>571</v>
      </c>
      <c r="FN68">
        <v>3</v>
      </c>
      <c r="FO68" t="s">
        <v>569</v>
      </c>
      <c r="GP68" t="s">
        <v>557</v>
      </c>
    </row>
    <row r="69" spans="1:198" x14ac:dyDescent="0.35">
      <c r="A69">
        <v>140004283</v>
      </c>
      <c r="B69" t="s">
        <v>548</v>
      </c>
      <c r="C69" t="s">
        <v>328</v>
      </c>
      <c r="D69" t="s">
        <v>564</v>
      </c>
      <c r="E69">
        <v>80</v>
      </c>
      <c r="F69">
        <v>100</v>
      </c>
      <c r="G69" t="s">
        <v>550</v>
      </c>
      <c r="H69" t="s">
        <v>551</v>
      </c>
      <c r="I69" s="13">
        <v>45610</v>
      </c>
      <c r="J69" s="13">
        <v>45610</v>
      </c>
      <c r="K69">
        <v>781195</v>
      </c>
      <c r="L69" s="13">
        <v>45623</v>
      </c>
      <c r="M69" t="s">
        <v>552</v>
      </c>
      <c r="N69">
        <v>8.3000000000000007</v>
      </c>
      <c r="O69">
        <v>7.5</v>
      </c>
      <c r="P69">
        <v>0.08</v>
      </c>
      <c r="Q69">
        <v>0.5</v>
      </c>
      <c r="R69" t="s">
        <v>553</v>
      </c>
      <c r="S69">
        <v>3.6</v>
      </c>
      <c r="T69">
        <v>1.7</v>
      </c>
      <c r="Y69" t="s">
        <v>570</v>
      </c>
      <c r="AB69">
        <v>190</v>
      </c>
      <c r="AD69">
        <v>9.3000000000000007</v>
      </c>
      <c r="AE69">
        <v>1.6</v>
      </c>
      <c r="AF69">
        <v>6.5</v>
      </c>
      <c r="AG69">
        <v>0.13</v>
      </c>
      <c r="AI69">
        <v>1.4</v>
      </c>
      <c r="AK69" t="s">
        <v>554</v>
      </c>
      <c r="AL69">
        <v>17.5</v>
      </c>
      <c r="AM69">
        <v>0.73</v>
      </c>
      <c r="AN69" t="s">
        <v>555</v>
      </c>
      <c r="AT69">
        <v>11</v>
      </c>
      <c r="AV69" t="s">
        <v>571</v>
      </c>
      <c r="BB69" t="s">
        <v>572</v>
      </c>
      <c r="BC69" t="s">
        <v>415</v>
      </c>
      <c r="BU69">
        <v>620</v>
      </c>
      <c r="FM69" t="s">
        <v>571</v>
      </c>
      <c r="FN69">
        <v>3</v>
      </c>
      <c r="FO69" t="s">
        <v>569</v>
      </c>
      <c r="GP69" t="s">
        <v>557</v>
      </c>
    </row>
    <row r="70" spans="1:198" x14ac:dyDescent="0.35">
      <c r="A70">
        <v>140004284</v>
      </c>
      <c r="B70" t="s">
        <v>548</v>
      </c>
      <c r="C70" t="s">
        <v>328</v>
      </c>
      <c r="D70" t="s">
        <v>565</v>
      </c>
      <c r="E70">
        <v>80</v>
      </c>
      <c r="F70">
        <v>100</v>
      </c>
      <c r="G70" t="s">
        <v>550</v>
      </c>
      <c r="H70" t="s">
        <v>551</v>
      </c>
      <c r="I70" s="13">
        <v>45610</v>
      </c>
      <c r="J70" s="13">
        <v>45610</v>
      </c>
      <c r="K70">
        <v>781196</v>
      </c>
      <c r="L70" s="13">
        <v>45623</v>
      </c>
      <c r="M70" t="s">
        <v>552</v>
      </c>
      <c r="N70">
        <v>5.9</v>
      </c>
      <c r="O70">
        <v>5.0999999999999996</v>
      </c>
      <c r="P70">
        <v>0.05</v>
      </c>
      <c r="Q70">
        <v>0.3</v>
      </c>
      <c r="R70" t="s">
        <v>553</v>
      </c>
      <c r="S70">
        <v>1.5</v>
      </c>
      <c r="T70">
        <v>2.9</v>
      </c>
      <c r="Y70" t="s">
        <v>570</v>
      </c>
      <c r="AB70">
        <v>98</v>
      </c>
      <c r="AD70">
        <v>3.9</v>
      </c>
      <c r="AE70">
        <v>0.72</v>
      </c>
      <c r="AF70">
        <v>4.0999999999999996</v>
      </c>
      <c r="AG70">
        <v>0.21</v>
      </c>
      <c r="AI70">
        <v>0.95</v>
      </c>
      <c r="AK70">
        <v>0.14000000000000001</v>
      </c>
      <c r="AL70">
        <v>9.06</v>
      </c>
      <c r="AM70">
        <v>2.2999999999999998</v>
      </c>
      <c r="AN70">
        <v>1.5</v>
      </c>
      <c r="AT70">
        <v>15</v>
      </c>
      <c r="AV70" t="s">
        <v>571</v>
      </c>
      <c r="BB70" t="s">
        <v>568</v>
      </c>
      <c r="BC70" t="s">
        <v>415</v>
      </c>
      <c r="BU70">
        <v>280</v>
      </c>
      <c r="FM70" t="s">
        <v>571</v>
      </c>
      <c r="FN70">
        <v>3</v>
      </c>
      <c r="FO70" t="s">
        <v>569</v>
      </c>
      <c r="GP70">
        <v>13</v>
      </c>
    </row>
    <row r="71" spans="1:198" x14ac:dyDescent="0.35">
      <c r="A71">
        <v>140004285</v>
      </c>
      <c r="B71" t="s">
        <v>548</v>
      </c>
      <c r="C71" t="s">
        <v>328</v>
      </c>
      <c r="D71" t="s">
        <v>567</v>
      </c>
      <c r="E71">
        <v>80</v>
      </c>
      <c r="F71">
        <v>100</v>
      </c>
      <c r="G71" t="s">
        <v>550</v>
      </c>
      <c r="H71" t="s">
        <v>551</v>
      </c>
      <c r="I71" s="13">
        <v>45610</v>
      </c>
      <c r="J71" s="13">
        <v>45610</v>
      </c>
      <c r="K71">
        <v>781197</v>
      </c>
      <c r="L71" s="13">
        <v>45623</v>
      </c>
      <c r="M71" t="s">
        <v>552</v>
      </c>
      <c r="N71">
        <v>8.1</v>
      </c>
      <c r="O71">
        <v>7.3</v>
      </c>
      <c r="P71">
        <v>0.08</v>
      </c>
      <c r="Q71">
        <v>0.5</v>
      </c>
      <c r="R71" t="s">
        <v>553</v>
      </c>
      <c r="S71">
        <v>3.1</v>
      </c>
      <c r="T71">
        <v>2</v>
      </c>
      <c r="Y71" t="s">
        <v>570</v>
      </c>
      <c r="AB71">
        <v>220</v>
      </c>
      <c r="AD71">
        <v>10</v>
      </c>
      <c r="AE71">
        <v>1.7</v>
      </c>
      <c r="AF71">
        <v>5.7</v>
      </c>
      <c r="AG71">
        <v>0.11</v>
      </c>
      <c r="AI71">
        <v>1.8</v>
      </c>
      <c r="AK71" t="s">
        <v>554</v>
      </c>
      <c r="AL71">
        <v>17.899999999999999</v>
      </c>
      <c r="AM71">
        <v>0.63</v>
      </c>
      <c r="AN71" t="s">
        <v>555</v>
      </c>
      <c r="AT71">
        <v>8.6</v>
      </c>
      <c r="AV71">
        <v>0.18</v>
      </c>
      <c r="BB71" t="s">
        <v>568</v>
      </c>
      <c r="BC71" t="s">
        <v>415</v>
      </c>
      <c r="BU71">
        <v>680</v>
      </c>
      <c r="FM71" t="s">
        <v>571</v>
      </c>
      <c r="FN71">
        <v>3</v>
      </c>
      <c r="FO71" t="s">
        <v>569</v>
      </c>
      <c r="GP71" t="s">
        <v>557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9EED-3935-4F70-8670-A2C06584A7A7}">
  <sheetPr>
    <tabColor theme="9" tint="0.79998168889431442"/>
  </sheetPr>
  <dimension ref="A1:IV99"/>
  <sheetViews>
    <sheetView workbookViewId="0">
      <selection activeCell="E15" sqref="E15"/>
    </sheetView>
  </sheetViews>
  <sheetFormatPr defaultColWidth="9" defaultRowHeight="14.5" x14ac:dyDescent="0.35"/>
  <cols>
    <col min="1" max="1" width="15.7265625" style="97" customWidth="1"/>
    <col min="2" max="2" width="24.453125" style="97" customWidth="1"/>
    <col min="3" max="3" width="11.81640625" style="97" customWidth="1"/>
    <col min="4" max="4" width="18" style="96" customWidth="1"/>
    <col min="5" max="5" width="10.7265625" style="96" customWidth="1"/>
    <col min="6" max="6" width="11.26953125" style="96" customWidth="1"/>
    <col min="7" max="56" width="22.7265625" style="96" customWidth="1"/>
    <col min="57" max="71" width="10" style="96" customWidth="1"/>
    <col min="72" max="218" width="23.7265625" style="96" customWidth="1"/>
    <col min="219" max="228" width="23.7265625" style="16" customWidth="1"/>
    <col min="229" max="256" width="9" style="16"/>
    <col min="257" max="257" width="15.7265625" style="16" customWidth="1"/>
    <col min="258" max="258" width="24.453125" style="16" customWidth="1"/>
    <col min="259" max="259" width="11.81640625" style="16" customWidth="1"/>
    <col min="260" max="260" width="18" style="16" customWidth="1"/>
    <col min="261" max="261" width="10.7265625" style="16" customWidth="1"/>
    <col min="262" max="262" width="11.26953125" style="16" customWidth="1"/>
    <col min="263" max="312" width="22.7265625" style="16" customWidth="1"/>
    <col min="313" max="327" width="10" style="16" customWidth="1"/>
    <col min="328" max="484" width="23.7265625" style="16" customWidth="1"/>
    <col min="485" max="512" width="9" style="16"/>
    <col min="513" max="513" width="15.7265625" style="16" customWidth="1"/>
    <col min="514" max="514" width="24.453125" style="16" customWidth="1"/>
    <col min="515" max="515" width="11.81640625" style="16" customWidth="1"/>
    <col min="516" max="516" width="18" style="16" customWidth="1"/>
    <col min="517" max="517" width="10.7265625" style="16" customWidth="1"/>
    <col min="518" max="518" width="11.26953125" style="16" customWidth="1"/>
    <col min="519" max="568" width="22.7265625" style="16" customWidth="1"/>
    <col min="569" max="583" width="10" style="16" customWidth="1"/>
    <col min="584" max="740" width="23.7265625" style="16" customWidth="1"/>
    <col min="741" max="768" width="9" style="16"/>
    <col min="769" max="769" width="15.7265625" style="16" customWidth="1"/>
    <col min="770" max="770" width="24.453125" style="16" customWidth="1"/>
    <col min="771" max="771" width="11.81640625" style="16" customWidth="1"/>
    <col min="772" max="772" width="18" style="16" customWidth="1"/>
    <col min="773" max="773" width="10.7265625" style="16" customWidth="1"/>
    <col min="774" max="774" width="11.26953125" style="16" customWidth="1"/>
    <col min="775" max="824" width="22.7265625" style="16" customWidth="1"/>
    <col min="825" max="839" width="10" style="16" customWidth="1"/>
    <col min="840" max="996" width="23.7265625" style="16" customWidth="1"/>
    <col min="997" max="1024" width="9" style="16"/>
    <col min="1025" max="1025" width="15.7265625" style="16" customWidth="1"/>
    <col min="1026" max="1026" width="24.453125" style="16" customWidth="1"/>
    <col min="1027" max="1027" width="11.81640625" style="16" customWidth="1"/>
    <col min="1028" max="1028" width="18" style="16" customWidth="1"/>
    <col min="1029" max="1029" width="10.7265625" style="16" customWidth="1"/>
    <col min="1030" max="1030" width="11.26953125" style="16" customWidth="1"/>
    <col min="1031" max="1080" width="22.7265625" style="16" customWidth="1"/>
    <col min="1081" max="1095" width="10" style="16" customWidth="1"/>
    <col min="1096" max="1252" width="23.7265625" style="16" customWidth="1"/>
    <col min="1253" max="1280" width="9" style="16"/>
    <col min="1281" max="1281" width="15.7265625" style="16" customWidth="1"/>
    <col min="1282" max="1282" width="24.453125" style="16" customWidth="1"/>
    <col min="1283" max="1283" width="11.81640625" style="16" customWidth="1"/>
    <col min="1284" max="1284" width="18" style="16" customWidth="1"/>
    <col min="1285" max="1285" width="10.7265625" style="16" customWidth="1"/>
    <col min="1286" max="1286" width="11.26953125" style="16" customWidth="1"/>
    <col min="1287" max="1336" width="22.7265625" style="16" customWidth="1"/>
    <col min="1337" max="1351" width="10" style="16" customWidth="1"/>
    <col min="1352" max="1508" width="23.7265625" style="16" customWidth="1"/>
    <col min="1509" max="1536" width="9" style="16"/>
    <col min="1537" max="1537" width="15.7265625" style="16" customWidth="1"/>
    <col min="1538" max="1538" width="24.453125" style="16" customWidth="1"/>
    <col min="1539" max="1539" width="11.81640625" style="16" customWidth="1"/>
    <col min="1540" max="1540" width="18" style="16" customWidth="1"/>
    <col min="1541" max="1541" width="10.7265625" style="16" customWidth="1"/>
    <col min="1542" max="1542" width="11.26953125" style="16" customWidth="1"/>
    <col min="1543" max="1592" width="22.7265625" style="16" customWidth="1"/>
    <col min="1593" max="1607" width="10" style="16" customWidth="1"/>
    <col min="1608" max="1764" width="23.7265625" style="16" customWidth="1"/>
    <col min="1765" max="1792" width="9" style="16"/>
    <col min="1793" max="1793" width="15.7265625" style="16" customWidth="1"/>
    <col min="1794" max="1794" width="24.453125" style="16" customWidth="1"/>
    <col min="1795" max="1795" width="11.81640625" style="16" customWidth="1"/>
    <col min="1796" max="1796" width="18" style="16" customWidth="1"/>
    <col min="1797" max="1797" width="10.7265625" style="16" customWidth="1"/>
    <col min="1798" max="1798" width="11.26953125" style="16" customWidth="1"/>
    <col min="1799" max="1848" width="22.7265625" style="16" customWidth="1"/>
    <col min="1849" max="1863" width="10" style="16" customWidth="1"/>
    <col min="1864" max="2020" width="23.7265625" style="16" customWidth="1"/>
    <col min="2021" max="2048" width="9" style="16"/>
    <col min="2049" max="2049" width="15.7265625" style="16" customWidth="1"/>
    <col min="2050" max="2050" width="24.453125" style="16" customWidth="1"/>
    <col min="2051" max="2051" width="11.81640625" style="16" customWidth="1"/>
    <col min="2052" max="2052" width="18" style="16" customWidth="1"/>
    <col min="2053" max="2053" width="10.7265625" style="16" customWidth="1"/>
    <col min="2054" max="2054" width="11.26953125" style="16" customWidth="1"/>
    <col min="2055" max="2104" width="22.7265625" style="16" customWidth="1"/>
    <col min="2105" max="2119" width="10" style="16" customWidth="1"/>
    <col min="2120" max="2276" width="23.7265625" style="16" customWidth="1"/>
    <col min="2277" max="2304" width="9" style="16"/>
    <col min="2305" max="2305" width="15.7265625" style="16" customWidth="1"/>
    <col min="2306" max="2306" width="24.453125" style="16" customWidth="1"/>
    <col min="2307" max="2307" width="11.81640625" style="16" customWidth="1"/>
    <col min="2308" max="2308" width="18" style="16" customWidth="1"/>
    <col min="2309" max="2309" width="10.7265625" style="16" customWidth="1"/>
    <col min="2310" max="2310" width="11.26953125" style="16" customWidth="1"/>
    <col min="2311" max="2360" width="22.7265625" style="16" customWidth="1"/>
    <col min="2361" max="2375" width="10" style="16" customWidth="1"/>
    <col min="2376" max="2532" width="23.7265625" style="16" customWidth="1"/>
    <col min="2533" max="2560" width="9" style="16"/>
    <col min="2561" max="2561" width="15.7265625" style="16" customWidth="1"/>
    <col min="2562" max="2562" width="24.453125" style="16" customWidth="1"/>
    <col min="2563" max="2563" width="11.81640625" style="16" customWidth="1"/>
    <col min="2564" max="2564" width="18" style="16" customWidth="1"/>
    <col min="2565" max="2565" width="10.7265625" style="16" customWidth="1"/>
    <col min="2566" max="2566" width="11.26953125" style="16" customWidth="1"/>
    <col min="2567" max="2616" width="22.7265625" style="16" customWidth="1"/>
    <col min="2617" max="2631" width="10" style="16" customWidth="1"/>
    <col min="2632" max="2788" width="23.7265625" style="16" customWidth="1"/>
    <col min="2789" max="2816" width="9" style="16"/>
    <col min="2817" max="2817" width="15.7265625" style="16" customWidth="1"/>
    <col min="2818" max="2818" width="24.453125" style="16" customWidth="1"/>
    <col min="2819" max="2819" width="11.81640625" style="16" customWidth="1"/>
    <col min="2820" max="2820" width="18" style="16" customWidth="1"/>
    <col min="2821" max="2821" width="10.7265625" style="16" customWidth="1"/>
    <col min="2822" max="2822" width="11.26953125" style="16" customWidth="1"/>
    <col min="2823" max="2872" width="22.7265625" style="16" customWidth="1"/>
    <col min="2873" max="2887" width="10" style="16" customWidth="1"/>
    <col min="2888" max="3044" width="23.7265625" style="16" customWidth="1"/>
    <col min="3045" max="3072" width="9" style="16"/>
    <col min="3073" max="3073" width="15.7265625" style="16" customWidth="1"/>
    <col min="3074" max="3074" width="24.453125" style="16" customWidth="1"/>
    <col min="3075" max="3075" width="11.81640625" style="16" customWidth="1"/>
    <col min="3076" max="3076" width="18" style="16" customWidth="1"/>
    <col min="3077" max="3077" width="10.7265625" style="16" customWidth="1"/>
    <col min="3078" max="3078" width="11.26953125" style="16" customWidth="1"/>
    <col min="3079" max="3128" width="22.7265625" style="16" customWidth="1"/>
    <col min="3129" max="3143" width="10" style="16" customWidth="1"/>
    <col min="3144" max="3300" width="23.7265625" style="16" customWidth="1"/>
    <col min="3301" max="3328" width="9" style="16"/>
    <col min="3329" max="3329" width="15.7265625" style="16" customWidth="1"/>
    <col min="3330" max="3330" width="24.453125" style="16" customWidth="1"/>
    <col min="3331" max="3331" width="11.81640625" style="16" customWidth="1"/>
    <col min="3332" max="3332" width="18" style="16" customWidth="1"/>
    <col min="3333" max="3333" width="10.7265625" style="16" customWidth="1"/>
    <col min="3334" max="3334" width="11.26953125" style="16" customWidth="1"/>
    <col min="3335" max="3384" width="22.7265625" style="16" customWidth="1"/>
    <col min="3385" max="3399" width="10" style="16" customWidth="1"/>
    <col min="3400" max="3556" width="23.7265625" style="16" customWidth="1"/>
    <col min="3557" max="3584" width="9" style="16"/>
    <col min="3585" max="3585" width="15.7265625" style="16" customWidth="1"/>
    <col min="3586" max="3586" width="24.453125" style="16" customWidth="1"/>
    <col min="3587" max="3587" width="11.81640625" style="16" customWidth="1"/>
    <col min="3588" max="3588" width="18" style="16" customWidth="1"/>
    <col min="3589" max="3589" width="10.7265625" style="16" customWidth="1"/>
    <col min="3590" max="3590" width="11.26953125" style="16" customWidth="1"/>
    <col min="3591" max="3640" width="22.7265625" style="16" customWidth="1"/>
    <col min="3641" max="3655" width="10" style="16" customWidth="1"/>
    <col min="3656" max="3812" width="23.7265625" style="16" customWidth="1"/>
    <col min="3813" max="3840" width="9" style="16"/>
    <col min="3841" max="3841" width="15.7265625" style="16" customWidth="1"/>
    <col min="3842" max="3842" width="24.453125" style="16" customWidth="1"/>
    <col min="3843" max="3843" width="11.81640625" style="16" customWidth="1"/>
    <col min="3844" max="3844" width="18" style="16" customWidth="1"/>
    <col min="3845" max="3845" width="10.7265625" style="16" customWidth="1"/>
    <col min="3846" max="3846" width="11.26953125" style="16" customWidth="1"/>
    <col min="3847" max="3896" width="22.7265625" style="16" customWidth="1"/>
    <col min="3897" max="3911" width="10" style="16" customWidth="1"/>
    <col min="3912" max="4068" width="23.7265625" style="16" customWidth="1"/>
    <col min="4069" max="4096" width="9" style="16"/>
    <col min="4097" max="4097" width="15.7265625" style="16" customWidth="1"/>
    <col min="4098" max="4098" width="24.453125" style="16" customWidth="1"/>
    <col min="4099" max="4099" width="11.81640625" style="16" customWidth="1"/>
    <col min="4100" max="4100" width="18" style="16" customWidth="1"/>
    <col min="4101" max="4101" width="10.7265625" style="16" customWidth="1"/>
    <col min="4102" max="4102" width="11.26953125" style="16" customWidth="1"/>
    <col min="4103" max="4152" width="22.7265625" style="16" customWidth="1"/>
    <col min="4153" max="4167" width="10" style="16" customWidth="1"/>
    <col min="4168" max="4324" width="23.7265625" style="16" customWidth="1"/>
    <col min="4325" max="4352" width="9" style="16"/>
    <col min="4353" max="4353" width="15.7265625" style="16" customWidth="1"/>
    <col min="4354" max="4354" width="24.453125" style="16" customWidth="1"/>
    <col min="4355" max="4355" width="11.81640625" style="16" customWidth="1"/>
    <col min="4356" max="4356" width="18" style="16" customWidth="1"/>
    <col min="4357" max="4357" width="10.7265625" style="16" customWidth="1"/>
    <col min="4358" max="4358" width="11.26953125" style="16" customWidth="1"/>
    <col min="4359" max="4408" width="22.7265625" style="16" customWidth="1"/>
    <col min="4409" max="4423" width="10" style="16" customWidth="1"/>
    <col min="4424" max="4580" width="23.7265625" style="16" customWidth="1"/>
    <col min="4581" max="4608" width="9" style="16"/>
    <col min="4609" max="4609" width="15.7265625" style="16" customWidth="1"/>
    <col min="4610" max="4610" width="24.453125" style="16" customWidth="1"/>
    <col min="4611" max="4611" width="11.81640625" style="16" customWidth="1"/>
    <col min="4612" max="4612" width="18" style="16" customWidth="1"/>
    <col min="4613" max="4613" width="10.7265625" style="16" customWidth="1"/>
    <col min="4614" max="4614" width="11.26953125" style="16" customWidth="1"/>
    <col min="4615" max="4664" width="22.7265625" style="16" customWidth="1"/>
    <col min="4665" max="4679" width="10" style="16" customWidth="1"/>
    <col min="4680" max="4836" width="23.7265625" style="16" customWidth="1"/>
    <col min="4837" max="4864" width="9" style="16"/>
    <col min="4865" max="4865" width="15.7265625" style="16" customWidth="1"/>
    <col min="4866" max="4866" width="24.453125" style="16" customWidth="1"/>
    <col min="4867" max="4867" width="11.81640625" style="16" customWidth="1"/>
    <col min="4868" max="4868" width="18" style="16" customWidth="1"/>
    <col min="4869" max="4869" width="10.7265625" style="16" customWidth="1"/>
    <col min="4870" max="4870" width="11.26953125" style="16" customWidth="1"/>
    <col min="4871" max="4920" width="22.7265625" style="16" customWidth="1"/>
    <col min="4921" max="4935" width="10" style="16" customWidth="1"/>
    <col min="4936" max="5092" width="23.7265625" style="16" customWidth="1"/>
    <col min="5093" max="5120" width="9" style="16"/>
    <col min="5121" max="5121" width="15.7265625" style="16" customWidth="1"/>
    <col min="5122" max="5122" width="24.453125" style="16" customWidth="1"/>
    <col min="5123" max="5123" width="11.81640625" style="16" customWidth="1"/>
    <col min="5124" max="5124" width="18" style="16" customWidth="1"/>
    <col min="5125" max="5125" width="10.7265625" style="16" customWidth="1"/>
    <col min="5126" max="5126" width="11.26953125" style="16" customWidth="1"/>
    <col min="5127" max="5176" width="22.7265625" style="16" customWidth="1"/>
    <col min="5177" max="5191" width="10" style="16" customWidth="1"/>
    <col min="5192" max="5348" width="23.7265625" style="16" customWidth="1"/>
    <col min="5349" max="5376" width="9" style="16"/>
    <col min="5377" max="5377" width="15.7265625" style="16" customWidth="1"/>
    <col min="5378" max="5378" width="24.453125" style="16" customWidth="1"/>
    <col min="5379" max="5379" width="11.81640625" style="16" customWidth="1"/>
    <col min="5380" max="5380" width="18" style="16" customWidth="1"/>
    <col min="5381" max="5381" width="10.7265625" style="16" customWidth="1"/>
    <col min="5382" max="5382" width="11.26953125" style="16" customWidth="1"/>
    <col min="5383" max="5432" width="22.7265625" style="16" customWidth="1"/>
    <col min="5433" max="5447" width="10" style="16" customWidth="1"/>
    <col min="5448" max="5604" width="23.7265625" style="16" customWidth="1"/>
    <col min="5605" max="5632" width="9" style="16"/>
    <col min="5633" max="5633" width="15.7265625" style="16" customWidth="1"/>
    <col min="5634" max="5634" width="24.453125" style="16" customWidth="1"/>
    <col min="5635" max="5635" width="11.81640625" style="16" customWidth="1"/>
    <col min="5636" max="5636" width="18" style="16" customWidth="1"/>
    <col min="5637" max="5637" width="10.7265625" style="16" customWidth="1"/>
    <col min="5638" max="5638" width="11.26953125" style="16" customWidth="1"/>
    <col min="5639" max="5688" width="22.7265625" style="16" customWidth="1"/>
    <col min="5689" max="5703" width="10" style="16" customWidth="1"/>
    <col min="5704" max="5860" width="23.7265625" style="16" customWidth="1"/>
    <col min="5861" max="5888" width="9" style="16"/>
    <col min="5889" max="5889" width="15.7265625" style="16" customWidth="1"/>
    <col min="5890" max="5890" width="24.453125" style="16" customWidth="1"/>
    <col min="5891" max="5891" width="11.81640625" style="16" customWidth="1"/>
    <col min="5892" max="5892" width="18" style="16" customWidth="1"/>
    <col min="5893" max="5893" width="10.7265625" style="16" customWidth="1"/>
    <col min="5894" max="5894" width="11.26953125" style="16" customWidth="1"/>
    <col min="5895" max="5944" width="22.7265625" style="16" customWidth="1"/>
    <col min="5945" max="5959" width="10" style="16" customWidth="1"/>
    <col min="5960" max="6116" width="23.7265625" style="16" customWidth="1"/>
    <col min="6117" max="6144" width="9" style="16"/>
    <col min="6145" max="6145" width="15.7265625" style="16" customWidth="1"/>
    <col min="6146" max="6146" width="24.453125" style="16" customWidth="1"/>
    <col min="6147" max="6147" width="11.81640625" style="16" customWidth="1"/>
    <col min="6148" max="6148" width="18" style="16" customWidth="1"/>
    <col min="6149" max="6149" width="10.7265625" style="16" customWidth="1"/>
    <col min="6150" max="6150" width="11.26953125" style="16" customWidth="1"/>
    <col min="6151" max="6200" width="22.7265625" style="16" customWidth="1"/>
    <col min="6201" max="6215" width="10" style="16" customWidth="1"/>
    <col min="6216" max="6372" width="23.7265625" style="16" customWidth="1"/>
    <col min="6373" max="6400" width="9" style="16"/>
    <col min="6401" max="6401" width="15.7265625" style="16" customWidth="1"/>
    <col min="6402" max="6402" width="24.453125" style="16" customWidth="1"/>
    <col min="6403" max="6403" width="11.81640625" style="16" customWidth="1"/>
    <col min="6404" max="6404" width="18" style="16" customWidth="1"/>
    <col min="6405" max="6405" width="10.7265625" style="16" customWidth="1"/>
    <col min="6406" max="6406" width="11.26953125" style="16" customWidth="1"/>
    <col min="6407" max="6456" width="22.7265625" style="16" customWidth="1"/>
    <col min="6457" max="6471" width="10" style="16" customWidth="1"/>
    <col min="6472" max="6628" width="23.7265625" style="16" customWidth="1"/>
    <col min="6629" max="6656" width="9" style="16"/>
    <col min="6657" max="6657" width="15.7265625" style="16" customWidth="1"/>
    <col min="6658" max="6658" width="24.453125" style="16" customWidth="1"/>
    <col min="6659" max="6659" width="11.81640625" style="16" customWidth="1"/>
    <col min="6660" max="6660" width="18" style="16" customWidth="1"/>
    <col min="6661" max="6661" width="10.7265625" style="16" customWidth="1"/>
    <col min="6662" max="6662" width="11.26953125" style="16" customWidth="1"/>
    <col min="6663" max="6712" width="22.7265625" style="16" customWidth="1"/>
    <col min="6713" max="6727" width="10" style="16" customWidth="1"/>
    <col min="6728" max="6884" width="23.7265625" style="16" customWidth="1"/>
    <col min="6885" max="6912" width="9" style="16"/>
    <col min="6913" max="6913" width="15.7265625" style="16" customWidth="1"/>
    <col min="6914" max="6914" width="24.453125" style="16" customWidth="1"/>
    <col min="6915" max="6915" width="11.81640625" style="16" customWidth="1"/>
    <col min="6916" max="6916" width="18" style="16" customWidth="1"/>
    <col min="6917" max="6917" width="10.7265625" style="16" customWidth="1"/>
    <col min="6918" max="6918" width="11.26953125" style="16" customWidth="1"/>
    <col min="6919" max="6968" width="22.7265625" style="16" customWidth="1"/>
    <col min="6969" max="6983" width="10" style="16" customWidth="1"/>
    <col min="6984" max="7140" width="23.7265625" style="16" customWidth="1"/>
    <col min="7141" max="7168" width="9" style="16"/>
    <col min="7169" max="7169" width="15.7265625" style="16" customWidth="1"/>
    <col min="7170" max="7170" width="24.453125" style="16" customWidth="1"/>
    <col min="7171" max="7171" width="11.81640625" style="16" customWidth="1"/>
    <col min="7172" max="7172" width="18" style="16" customWidth="1"/>
    <col min="7173" max="7173" width="10.7265625" style="16" customWidth="1"/>
    <col min="7174" max="7174" width="11.26953125" style="16" customWidth="1"/>
    <col min="7175" max="7224" width="22.7265625" style="16" customWidth="1"/>
    <col min="7225" max="7239" width="10" style="16" customWidth="1"/>
    <col min="7240" max="7396" width="23.7265625" style="16" customWidth="1"/>
    <col min="7397" max="7424" width="9" style="16"/>
    <col min="7425" max="7425" width="15.7265625" style="16" customWidth="1"/>
    <col min="7426" max="7426" width="24.453125" style="16" customWidth="1"/>
    <col min="7427" max="7427" width="11.81640625" style="16" customWidth="1"/>
    <col min="7428" max="7428" width="18" style="16" customWidth="1"/>
    <col min="7429" max="7429" width="10.7265625" style="16" customWidth="1"/>
    <col min="7430" max="7430" width="11.26953125" style="16" customWidth="1"/>
    <col min="7431" max="7480" width="22.7265625" style="16" customWidth="1"/>
    <col min="7481" max="7495" width="10" style="16" customWidth="1"/>
    <col min="7496" max="7652" width="23.7265625" style="16" customWidth="1"/>
    <col min="7653" max="7680" width="9" style="16"/>
    <col min="7681" max="7681" width="15.7265625" style="16" customWidth="1"/>
    <col min="7682" max="7682" width="24.453125" style="16" customWidth="1"/>
    <col min="7683" max="7683" width="11.81640625" style="16" customWidth="1"/>
    <col min="7684" max="7684" width="18" style="16" customWidth="1"/>
    <col min="7685" max="7685" width="10.7265625" style="16" customWidth="1"/>
    <col min="7686" max="7686" width="11.26953125" style="16" customWidth="1"/>
    <col min="7687" max="7736" width="22.7265625" style="16" customWidth="1"/>
    <col min="7737" max="7751" width="10" style="16" customWidth="1"/>
    <col min="7752" max="7908" width="23.7265625" style="16" customWidth="1"/>
    <col min="7909" max="7936" width="9" style="16"/>
    <col min="7937" max="7937" width="15.7265625" style="16" customWidth="1"/>
    <col min="7938" max="7938" width="24.453125" style="16" customWidth="1"/>
    <col min="7939" max="7939" width="11.81640625" style="16" customWidth="1"/>
    <col min="7940" max="7940" width="18" style="16" customWidth="1"/>
    <col min="7941" max="7941" width="10.7265625" style="16" customWidth="1"/>
    <col min="7942" max="7942" width="11.26953125" style="16" customWidth="1"/>
    <col min="7943" max="7992" width="22.7265625" style="16" customWidth="1"/>
    <col min="7993" max="8007" width="10" style="16" customWidth="1"/>
    <col min="8008" max="8164" width="23.7265625" style="16" customWidth="1"/>
    <col min="8165" max="8192" width="9" style="16"/>
    <col min="8193" max="8193" width="15.7265625" style="16" customWidth="1"/>
    <col min="8194" max="8194" width="24.453125" style="16" customWidth="1"/>
    <col min="8195" max="8195" width="11.81640625" style="16" customWidth="1"/>
    <col min="8196" max="8196" width="18" style="16" customWidth="1"/>
    <col min="8197" max="8197" width="10.7265625" style="16" customWidth="1"/>
    <col min="8198" max="8198" width="11.26953125" style="16" customWidth="1"/>
    <col min="8199" max="8248" width="22.7265625" style="16" customWidth="1"/>
    <col min="8249" max="8263" width="10" style="16" customWidth="1"/>
    <col min="8264" max="8420" width="23.7265625" style="16" customWidth="1"/>
    <col min="8421" max="8448" width="9" style="16"/>
    <col min="8449" max="8449" width="15.7265625" style="16" customWidth="1"/>
    <col min="8450" max="8450" width="24.453125" style="16" customWidth="1"/>
    <col min="8451" max="8451" width="11.81640625" style="16" customWidth="1"/>
    <col min="8452" max="8452" width="18" style="16" customWidth="1"/>
    <col min="8453" max="8453" width="10.7265625" style="16" customWidth="1"/>
    <col min="8454" max="8454" width="11.26953125" style="16" customWidth="1"/>
    <col min="8455" max="8504" width="22.7265625" style="16" customWidth="1"/>
    <col min="8505" max="8519" width="10" style="16" customWidth="1"/>
    <col min="8520" max="8676" width="23.7265625" style="16" customWidth="1"/>
    <col min="8677" max="8704" width="9" style="16"/>
    <col min="8705" max="8705" width="15.7265625" style="16" customWidth="1"/>
    <col min="8706" max="8706" width="24.453125" style="16" customWidth="1"/>
    <col min="8707" max="8707" width="11.81640625" style="16" customWidth="1"/>
    <col min="8708" max="8708" width="18" style="16" customWidth="1"/>
    <col min="8709" max="8709" width="10.7265625" style="16" customWidth="1"/>
    <col min="8710" max="8710" width="11.26953125" style="16" customWidth="1"/>
    <col min="8711" max="8760" width="22.7265625" style="16" customWidth="1"/>
    <col min="8761" max="8775" width="10" style="16" customWidth="1"/>
    <col min="8776" max="8932" width="23.7265625" style="16" customWidth="1"/>
    <col min="8933" max="8960" width="9" style="16"/>
    <col min="8961" max="8961" width="15.7265625" style="16" customWidth="1"/>
    <col min="8962" max="8962" width="24.453125" style="16" customWidth="1"/>
    <col min="8963" max="8963" width="11.81640625" style="16" customWidth="1"/>
    <col min="8964" max="8964" width="18" style="16" customWidth="1"/>
    <col min="8965" max="8965" width="10.7265625" style="16" customWidth="1"/>
    <col min="8966" max="8966" width="11.26953125" style="16" customWidth="1"/>
    <col min="8967" max="9016" width="22.7265625" style="16" customWidth="1"/>
    <col min="9017" max="9031" width="10" style="16" customWidth="1"/>
    <col min="9032" max="9188" width="23.7265625" style="16" customWidth="1"/>
    <col min="9189" max="9216" width="9" style="16"/>
    <col min="9217" max="9217" width="15.7265625" style="16" customWidth="1"/>
    <col min="9218" max="9218" width="24.453125" style="16" customWidth="1"/>
    <col min="9219" max="9219" width="11.81640625" style="16" customWidth="1"/>
    <col min="9220" max="9220" width="18" style="16" customWidth="1"/>
    <col min="9221" max="9221" width="10.7265625" style="16" customWidth="1"/>
    <col min="9222" max="9222" width="11.26953125" style="16" customWidth="1"/>
    <col min="9223" max="9272" width="22.7265625" style="16" customWidth="1"/>
    <col min="9273" max="9287" width="10" style="16" customWidth="1"/>
    <col min="9288" max="9444" width="23.7265625" style="16" customWidth="1"/>
    <col min="9445" max="9472" width="9" style="16"/>
    <col min="9473" max="9473" width="15.7265625" style="16" customWidth="1"/>
    <col min="9474" max="9474" width="24.453125" style="16" customWidth="1"/>
    <col min="9475" max="9475" width="11.81640625" style="16" customWidth="1"/>
    <col min="9476" max="9476" width="18" style="16" customWidth="1"/>
    <col min="9477" max="9477" width="10.7265625" style="16" customWidth="1"/>
    <col min="9478" max="9478" width="11.26953125" style="16" customWidth="1"/>
    <col min="9479" max="9528" width="22.7265625" style="16" customWidth="1"/>
    <col min="9529" max="9543" width="10" style="16" customWidth="1"/>
    <col min="9544" max="9700" width="23.7265625" style="16" customWidth="1"/>
    <col min="9701" max="9728" width="9" style="16"/>
    <col min="9729" max="9729" width="15.7265625" style="16" customWidth="1"/>
    <col min="9730" max="9730" width="24.453125" style="16" customWidth="1"/>
    <col min="9731" max="9731" width="11.81640625" style="16" customWidth="1"/>
    <col min="9732" max="9732" width="18" style="16" customWidth="1"/>
    <col min="9733" max="9733" width="10.7265625" style="16" customWidth="1"/>
    <col min="9734" max="9734" width="11.26953125" style="16" customWidth="1"/>
    <col min="9735" max="9784" width="22.7265625" style="16" customWidth="1"/>
    <col min="9785" max="9799" width="10" style="16" customWidth="1"/>
    <col min="9800" max="9956" width="23.7265625" style="16" customWidth="1"/>
    <col min="9957" max="9984" width="9" style="16"/>
    <col min="9985" max="9985" width="15.7265625" style="16" customWidth="1"/>
    <col min="9986" max="9986" width="24.453125" style="16" customWidth="1"/>
    <col min="9987" max="9987" width="11.81640625" style="16" customWidth="1"/>
    <col min="9988" max="9988" width="18" style="16" customWidth="1"/>
    <col min="9989" max="9989" width="10.7265625" style="16" customWidth="1"/>
    <col min="9990" max="9990" width="11.26953125" style="16" customWidth="1"/>
    <col min="9991" max="10040" width="22.7265625" style="16" customWidth="1"/>
    <col min="10041" max="10055" width="10" style="16" customWidth="1"/>
    <col min="10056" max="10212" width="23.7265625" style="16" customWidth="1"/>
    <col min="10213" max="10240" width="9" style="16"/>
    <col min="10241" max="10241" width="15.7265625" style="16" customWidth="1"/>
    <col min="10242" max="10242" width="24.453125" style="16" customWidth="1"/>
    <col min="10243" max="10243" width="11.81640625" style="16" customWidth="1"/>
    <col min="10244" max="10244" width="18" style="16" customWidth="1"/>
    <col min="10245" max="10245" width="10.7265625" style="16" customWidth="1"/>
    <col min="10246" max="10246" width="11.26953125" style="16" customWidth="1"/>
    <col min="10247" max="10296" width="22.7265625" style="16" customWidth="1"/>
    <col min="10297" max="10311" width="10" style="16" customWidth="1"/>
    <col min="10312" max="10468" width="23.7265625" style="16" customWidth="1"/>
    <col min="10469" max="10496" width="9" style="16"/>
    <col min="10497" max="10497" width="15.7265625" style="16" customWidth="1"/>
    <col min="10498" max="10498" width="24.453125" style="16" customWidth="1"/>
    <col min="10499" max="10499" width="11.81640625" style="16" customWidth="1"/>
    <col min="10500" max="10500" width="18" style="16" customWidth="1"/>
    <col min="10501" max="10501" width="10.7265625" style="16" customWidth="1"/>
    <col min="10502" max="10502" width="11.26953125" style="16" customWidth="1"/>
    <col min="10503" max="10552" width="22.7265625" style="16" customWidth="1"/>
    <col min="10553" max="10567" width="10" style="16" customWidth="1"/>
    <col min="10568" max="10724" width="23.7265625" style="16" customWidth="1"/>
    <col min="10725" max="10752" width="9" style="16"/>
    <col min="10753" max="10753" width="15.7265625" style="16" customWidth="1"/>
    <col min="10754" max="10754" width="24.453125" style="16" customWidth="1"/>
    <col min="10755" max="10755" width="11.81640625" style="16" customWidth="1"/>
    <col min="10756" max="10756" width="18" style="16" customWidth="1"/>
    <col min="10757" max="10757" width="10.7265625" style="16" customWidth="1"/>
    <col min="10758" max="10758" width="11.26953125" style="16" customWidth="1"/>
    <col min="10759" max="10808" width="22.7265625" style="16" customWidth="1"/>
    <col min="10809" max="10823" width="10" style="16" customWidth="1"/>
    <col min="10824" max="10980" width="23.7265625" style="16" customWidth="1"/>
    <col min="10981" max="11008" width="9" style="16"/>
    <col min="11009" max="11009" width="15.7265625" style="16" customWidth="1"/>
    <col min="11010" max="11010" width="24.453125" style="16" customWidth="1"/>
    <col min="11011" max="11011" width="11.81640625" style="16" customWidth="1"/>
    <col min="11012" max="11012" width="18" style="16" customWidth="1"/>
    <col min="11013" max="11013" width="10.7265625" style="16" customWidth="1"/>
    <col min="11014" max="11014" width="11.26953125" style="16" customWidth="1"/>
    <col min="11015" max="11064" width="22.7265625" style="16" customWidth="1"/>
    <col min="11065" max="11079" width="10" style="16" customWidth="1"/>
    <col min="11080" max="11236" width="23.7265625" style="16" customWidth="1"/>
    <col min="11237" max="11264" width="9" style="16"/>
    <col min="11265" max="11265" width="15.7265625" style="16" customWidth="1"/>
    <col min="11266" max="11266" width="24.453125" style="16" customWidth="1"/>
    <col min="11267" max="11267" width="11.81640625" style="16" customWidth="1"/>
    <col min="11268" max="11268" width="18" style="16" customWidth="1"/>
    <col min="11269" max="11269" width="10.7265625" style="16" customWidth="1"/>
    <col min="11270" max="11270" width="11.26953125" style="16" customWidth="1"/>
    <col min="11271" max="11320" width="22.7265625" style="16" customWidth="1"/>
    <col min="11321" max="11335" width="10" style="16" customWidth="1"/>
    <col min="11336" max="11492" width="23.7265625" style="16" customWidth="1"/>
    <col min="11493" max="11520" width="9" style="16"/>
    <col min="11521" max="11521" width="15.7265625" style="16" customWidth="1"/>
    <col min="11522" max="11522" width="24.453125" style="16" customWidth="1"/>
    <col min="11523" max="11523" width="11.81640625" style="16" customWidth="1"/>
    <col min="11524" max="11524" width="18" style="16" customWidth="1"/>
    <col min="11525" max="11525" width="10.7265625" style="16" customWidth="1"/>
    <col min="11526" max="11526" width="11.26953125" style="16" customWidth="1"/>
    <col min="11527" max="11576" width="22.7265625" style="16" customWidth="1"/>
    <col min="11577" max="11591" width="10" style="16" customWidth="1"/>
    <col min="11592" max="11748" width="23.7265625" style="16" customWidth="1"/>
    <col min="11749" max="11776" width="9" style="16"/>
    <col min="11777" max="11777" width="15.7265625" style="16" customWidth="1"/>
    <col min="11778" max="11778" width="24.453125" style="16" customWidth="1"/>
    <col min="11779" max="11779" width="11.81640625" style="16" customWidth="1"/>
    <col min="11780" max="11780" width="18" style="16" customWidth="1"/>
    <col min="11781" max="11781" width="10.7265625" style="16" customWidth="1"/>
    <col min="11782" max="11782" width="11.26953125" style="16" customWidth="1"/>
    <col min="11783" max="11832" width="22.7265625" style="16" customWidth="1"/>
    <col min="11833" max="11847" width="10" style="16" customWidth="1"/>
    <col min="11848" max="12004" width="23.7265625" style="16" customWidth="1"/>
    <col min="12005" max="12032" width="9" style="16"/>
    <col min="12033" max="12033" width="15.7265625" style="16" customWidth="1"/>
    <col min="12034" max="12034" width="24.453125" style="16" customWidth="1"/>
    <col min="12035" max="12035" width="11.81640625" style="16" customWidth="1"/>
    <col min="12036" max="12036" width="18" style="16" customWidth="1"/>
    <col min="12037" max="12037" width="10.7265625" style="16" customWidth="1"/>
    <col min="12038" max="12038" width="11.26953125" style="16" customWidth="1"/>
    <col min="12039" max="12088" width="22.7265625" style="16" customWidth="1"/>
    <col min="12089" max="12103" width="10" style="16" customWidth="1"/>
    <col min="12104" max="12260" width="23.7265625" style="16" customWidth="1"/>
    <col min="12261" max="12288" width="9" style="16"/>
    <col min="12289" max="12289" width="15.7265625" style="16" customWidth="1"/>
    <col min="12290" max="12290" width="24.453125" style="16" customWidth="1"/>
    <col min="12291" max="12291" width="11.81640625" style="16" customWidth="1"/>
    <col min="12292" max="12292" width="18" style="16" customWidth="1"/>
    <col min="12293" max="12293" width="10.7265625" style="16" customWidth="1"/>
    <col min="12294" max="12294" width="11.26953125" style="16" customWidth="1"/>
    <col min="12295" max="12344" width="22.7265625" style="16" customWidth="1"/>
    <col min="12345" max="12359" width="10" style="16" customWidth="1"/>
    <col min="12360" max="12516" width="23.7265625" style="16" customWidth="1"/>
    <col min="12517" max="12544" width="9" style="16"/>
    <col min="12545" max="12545" width="15.7265625" style="16" customWidth="1"/>
    <col min="12546" max="12546" width="24.453125" style="16" customWidth="1"/>
    <col min="12547" max="12547" width="11.81640625" style="16" customWidth="1"/>
    <col min="12548" max="12548" width="18" style="16" customWidth="1"/>
    <col min="12549" max="12549" width="10.7265625" style="16" customWidth="1"/>
    <col min="12550" max="12550" width="11.26953125" style="16" customWidth="1"/>
    <col min="12551" max="12600" width="22.7265625" style="16" customWidth="1"/>
    <col min="12601" max="12615" width="10" style="16" customWidth="1"/>
    <col min="12616" max="12772" width="23.7265625" style="16" customWidth="1"/>
    <col min="12773" max="12800" width="9" style="16"/>
    <col min="12801" max="12801" width="15.7265625" style="16" customWidth="1"/>
    <col min="12802" max="12802" width="24.453125" style="16" customWidth="1"/>
    <col min="12803" max="12803" width="11.81640625" style="16" customWidth="1"/>
    <col min="12804" max="12804" width="18" style="16" customWidth="1"/>
    <col min="12805" max="12805" width="10.7265625" style="16" customWidth="1"/>
    <col min="12806" max="12806" width="11.26953125" style="16" customWidth="1"/>
    <col min="12807" max="12856" width="22.7265625" style="16" customWidth="1"/>
    <col min="12857" max="12871" width="10" style="16" customWidth="1"/>
    <col min="12872" max="13028" width="23.7265625" style="16" customWidth="1"/>
    <col min="13029" max="13056" width="9" style="16"/>
    <col min="13057" max="13057" width="15.7265625" style="16" customWidth="1"/>
    <col min="13058" max="13058" width="24.453125" style="16" customWidth="1"/>
    <col min="13059" max="13059" width="11.81640625" style="16" customWidth="1"/>
    <col min="13060" max="13060" width="18" style="16" customWidth="1"/>
    <col min="13061" max="13061" width="10.7265625" style="16" customWidth="1"/>
    <col min="13062" max="13062" width="11.26953125" style="16" customWidth="1"/>
    <col min="13063" max="13112" width="22.7265625" style="16" customWidth="1"/>
    <col min="13113" max="13127" width="10" style="16" customWidth="1"/>
    <col min="13128" max="13284" width="23.7265625" style="16" customWidth="1"/>
    <col min="13285" max="13312" width="9" style="16"/>
    <col min="13313" max="13313" width="15.7265625" style="16" customWidth="1"/>
    <col min="13314" max="13314" width="24.453125" style="16" customWidth="1"/>
    <col min="13315" max="13315" width="11.81640625" style="16" customWidth="1"/>
    <col min="13316" max="13316" width="18" style="16" customWidth="1"/>
    <col min="13317" max="13317" width="10.7265625" style="16" customWidth="1"/>
    <col min="13318" max="13318" width="11.26953125" style="16" customWidth="1"/>
    <col min="13319" max="13368" width="22.7265625" style="16" customWidth="1"/>
    <col min="13369" max="13383" width="10" style="16" customWidth="1"/>
    <col min="13384" max="13540" width="23.7265625" style="16" customWidth="1"/>
    <col min="13541" max="13568" width="9" style="16"/>
    <col min="13569" max="13569" width="15.7265625" style="16" customWidth="1"/>
    <col min="13570" max="13570" width="24.453125" style="16" customWidth="1"/>
    <col min="13571" max="13571" width="11.81640625" style="16" customWidth="1"/>
    <col min="13572" max="13572" width="18" style="16" customWidth="1"/>
    <col min="13573" max="13573" width="10.7265625" style="16" customWidth="1"/>
    <col min="13574" max="13574" width="11.26953125" style="16" customWidth="1"/>
    <col min="13575" max="13624" width="22.7265625" style="16" customWidth="1"/>
    <col min="13625" max="13639" width="10" style="16" customWidth="1"/>
    <col min="13640" max="13796" width="23.7265625" style="16" customWidth="1"/>
    <col min="13797" max="13824" width="9" style="16"/>
    <col min="13825" max="13825" width="15.7265625" style="16" customWidth="1"/>
    <col min="13826" max="13826" width="24.453125" style="16" customWidth="1"/>
    <col min="13827" max="13827" width="11.81640625" style="16" customWidth="1"/>
    <col min="13828" max="13828" width="18" style="16" customWidth="1"/>
    <col min="13829" max="13829" width="10.7265625" style="16" customWidth="1"/>
    <col min="13830" max="13830" width="11.26953125" style="16" customWidth="1"/>
    <col min="13831" max="13880" width="22.7265625" style="16" customWidth="1"/>
    <col min="13881" max="13895" width="10" style="16" customWidth="1"/>
    <col min="13896" max="14052" width="23.7265625" style="16" customWidth="1"/>
    <col min="14053" max="14080" width="9" style="16"/>
    <col min="14081" max="14081" width="15.7265625" style="16" customWidth="1"/>
    <col min="14082" max="14082" width="24.453125" style="16" customWidth="1"/>
    <col min="14083" max="14083" width="11.81640625" style="16" customWidth="1"/>
    <col min="14084" max="14084" width="18" style="16" customWidth="1"/>
    <col min="14085" max="14085" width="10.7265625" style="16" customWidth="1"/>
    <col min="14086" max="14086" width="11.26953125" style="16" customWidth="1"/>
    <col min="14087" max="14136" width="22.7265625" style="16" customWidth="1"/>
    <col min="14137" max="14151" width="10" style="16" customWidth="1"/>
    <col min="14152" max="14308" width="23.7265625" style="16" customWidth="1"/>
    <col min="14309" max="14336" width="9" style="16"/>
    <col min="14337" max="14337" width="15.7265625" style="16" customWidth="1"/>
    <col min="14338" max="14338" width="24.453125" style="16" customWidth="1"/>
    <col min="14339" max="14339" width="11.81640625" style="16" customWidth="1"/>
    <col min="14340" max="14340" width="18" style="16" customWidth="1"/>
    <col min="14341" max="14341" width="10.7265625" style="16" customWidth="1"/>
    <col min="14342" max="14342" width="11.26953125" style="16" customWidth="1"/>
    <col min="14343" max="14392" width="22.7265625" style="16" customWidth="1"/>
    <col min="14393" max="14407" width="10" style="16" customWidth="1"/>
    <col min="14408" max="14564" width="23.7265625" style="16" customWidth="1"/>
    <col min="14565" max="14592" width="9" style="16"/>
    <col min="14593" max="14593" width="15.7265625" style="16" customWidth="1"/>
    <col min="14594" max="14594" width="24.453125" style="16" customWidth="1"/>
    <col min="14595" max="14595" width="11.81640625" style="16" customWidth="1"/>
    <col min="14596" max="14596" width="18" style="16" customWidth="1"/>
    <col min="14597" max="14597" width="10.7265625" style="16" customWidth="1"/>
    <col min="14598" max="14598" width="11.26953125" style="16" customWidth="1"/>
    <col min="14599" max="14648" width="22.7265625" style="16" customWidth="1"/>
    <col min="14649" max="14663" width="10" style="16" customWidth="1"/>
    <col min="14664" max="14820" width="23.7265625" style="16" customWidth="1"/>
    <col min="14821" max="14848" width="9" style="16"/>
    <col min="14849" max="14849" width="15.7265625" style="16" customWidth="1"/>
    <col min="14850" max="14850" width="24.453125" style="16" customWidth="1"/>
    <col min="14851" max="14851" width="11.81640625" style="16" customWidth="1"/>
    <col min="14852" max="14852" width="18" style="16" customWidth="1"/>
    <col min="14853" max="14853" width="10.7265625" style="16" customWidth="1"/>
    <col min="14854" max="14854" width="11.26953125" style="16" customWidth="1"/>
    <col min="14855" max="14904" width="22.7265625" style="16" customWidth="1"/>
    <col min="14905" max="14919" width="10" style="16" customWidth="1"/>
    <col min="14920" max="15076" width="23.7265625" style="16" customWidth="1"/>
    <col min="15077" max="15104" width="9" style="16"/>
    <col min="15105" max="15105" width="15.7265625" style="16" customWidth="1"/>
    <col min="15106" max="15106" width="24.453125" style="16" customWidth="1"/>
    <col min="15107" max="15107" width="11.81640625" style="16" customWidth="1"/>
    <col min="15108" max="15108" width="18" style="16" customWidth="1"/>
    <col min="15109" max="15109" width="10.7265625" style="16" customWidth="1"/>
    <col min="15110" max="15110" width="11.26953125" style="16" customWidth="1"/>
    <col min="15111" max="15160" width="22.7265625" style="16" customWidth="1"/>
    <col min="15161" max="15175" width="10" style="16" customWidth="1"/>
    <col min="15176" max="15332" width="23.7265625" style="16" customWidth="1"/>
    <col min="15333" max="15360" width="9" style="16"/>
    <col min="15361" max="15361" width="15.7265625" style="16" customWidth="1"/>
    <col min="15362" max="15362" width="24.453125" style="16" customWidth="1"/>
    <col min="15363" max="15363" width="11.81640625" style="16" customWidth="1"/>
    <col min="15364" max="15364" width="18" style="16" customWidth="1"/>
    <col min="15365" max="15365" width="10.7265625" style="16" customWidth="1"/>
    <col min="15366" max="15366" width="11.26953125" style="16" customWidth="1"/>
    <col min="15367" max="15416" width="22.7265625" style="16" customWidth="1"/>
    <col min="15417" max="15431" width="10" style="16" customWidth="1"/>
    <col min="15432" max="15588" width="23.7265625" style="16" customWidth="1"/>
    <col min="15589" max="15616" width="9" style="16"/>
    <col min="15617" max="15617" width="15.7265625" style="16" customWidth="1"/>
    <col min="15618" max="15618" width="24.453125" style="16" customWidth="1"/>
    <col min="15619" max="15619" width="11.81640625" style="16" customWidth="1"/>
    <col min="15620" max="15620" width="18" style="16" customWidth="1"/>
    <col min="15621" max="15621" width="10.7265625" style="16" customWidth="1"/>
    <col min="15622" max="15622" width="11.26953125" style="16" customWidth="1"/>
    <col min="15623" max="15672" width="22.7265625" style="16" customWidth="1"/>
    <col min="15673" max="15687" width="10" style="16" customWidth="1"/>
    <col min="15688" max="15844" width="23.7265625" style="16" customWidth="1"/>
    <col min="15845" max="15872" width="9" style="16"/>
    <col min="15873" max="15873" width="15.7265625" style="16" customWidth="1"/>
    <col min="15874" max="15874" width="24.453125" style="16" customWidth="1"/>
    <col min="15875" max="15875" width="11.81640625" style="16" customWidth="1"/>
    <col min="15876" max="15876" width="18" style="16" customWidth="1"/>
    <col min="15877" max="15877" width="10.7265625" style="16" customWidth="1"/>
    <col min="15878" max="15878" width="11.26953125" style="16" customWidth="1"/>
    <col min="15879" max="15928" width="22.7265625" style="16" customWidth="1"/>
    <col min="15929" max="15943" width="10" style="16" customWidth="1"/>
    <col min="15944" max="16100" width="23.7265625" style="16" customWidth="1"/>
    <col min="16101" max="16128" width="9" style="16"/>
    <col min="16129" max="16129" width="15.7265625" style="16" customWidth="1"/>
    <col min="16130" max="16130" width="24.453125" style="16" customWidth="1"/>
    <col min="16131" max="16131" width="11.81640625" style="16" customWidth="1"/>
    <col min="16132" max="16132" width="18" style="16" customWidth="1"/>
    <col min="16133" max="16133" width="10.7265625" style="16" customWidth="1"/>
    <col min="16134" max="16134" width="11.26953125" style="16" customWidth="1"/>
    <col min="16135" max="16184" width="22.7265625" style="16" customWidth="1"/>
    <col min="16185" max="16199" width="10" style="16" customWidth="1"/>
    <col min="16200" max="16356" width="23.7265625" style="16" customWidth="1"/>
    <col min="16357" max="16384" width="9" style="16"/>
  </cols>
  <sheetData>
    <row r="1" spans="1:256" ht="30" customHeight="1" x14ac:dyDescent="0.4">
      <c r="A1" s="148" t="s">
        <v>575</v>
      </c>
      <c r="B1" s="148"/>
      <c r="C1" s="148"/>
      <c r="D1" s="149" t="s">
        <v>576</v>
      </c>
      <c r="E1" s="149"/>
      <c r="F1" s="149"/>
      <c r="HH1" s="16"/>
      <c r="HI1" s="16"/>
      <c r="HJ1" s="16"/>
    </row>
    <row r="2" spans="1:256" x14ac:dyDescent="0.35">
      <c r="D2" s="96" t="s">
        <v>577</v>
      </c>
      <c r="E2" s="150" t="s">
        <v>578</v>
      </c>
      <c r="F2" s="150"/>
      <c r="HH2" s="16"/>
      <c r="HI2" s="16"/>
      <c r="HJ2" s="16"/>
    </row>
    <row r="3" spans="1:256" x14ac:dyDescent="0.35">
      <c r="A3" s="96" t="s">
        <v>579</v>
      </c>
      <c r="B3" s="151" t="s">
        <v>580</v>
      </c>
      <c r="C3" s="151"/>
      <c r="D3" s="96" t="s">
        <v>581</v>
      </c>
      <c r="E3" s="150"/>
      <c r="F3" s="150"/>
      <c r="HH3" s="16"/>
      <c r="HI3" s="16"/>
      <c r="HJ3" s="16"/>
    </row>
    <row r="4" spans="1:256" ht="23.25" customHeight="1" x14ac:dyDescent="0.35">
      <c r="A4" s="96" t="s">
        <v>582</v>
      </c>
      <c r="B4" s="150" t="s">
        <v>583</v>
      </c>
      <c r="C4" s="150"/>
      <c r="D4" s="150"/>
      <c r="G4" s="147" t="s">
        <v>584</v>
      </c>
      <c r="H4" s="147"/>
      <c r="I4" s="147"/>
      <c r="J4" s="147"/>
    </row>
    <row r="5" spans="1:256" s="98" customFormat="1" ht="65" x14ac:dyDescent="0.3">
      <c r="A5" s="98" t="s">
        <v>585</v>
      </c>
      <c r="B5" s="98" t="s">
        <v>586</v>
      </c>
      <c r="C5" s="98" t="s">
        <v>587</v>
      </c>
      <c r="D5" s="98" t="s">
        <v>588</v>
      </c>
      <c r="E5" s="98" t="s">
        <v>589</v>
      </c>
      <c r="F5" s="98" t="s">
        <v>590</v>
      </c>
      <c r="G5" s="96" t="s">
        <v>591</v>
      </c>
      <c r="H5" s="96" t="s">
        <v>592</v>
      </c>
      <c r="I5" s="96" t="s">
        <v>593</v>
      </c>
      <c r="J5" s="96" t="s">
        <v>594</v>
      </c>
      <c r="K5" s="96" t="s">
        <v>595</v>
      </c>
      <c r="L5" s="96" t="s">
        <v>596</v>
      </c>
      <c r="M5" s="96" t="s">
        <v>597</v>
      </c>
      <c r="N5" s="96" t="s">
        <v>598</v>
      </c>
      <c r="O5" s="96" t="s">
        <v>599</v>
      </c>
      <c r="P5" s="96" t="s">
        <v>600</v>
      </c>
      <c r="Q5" s="96" t="s">
        <v>601</v>
      </c>
      <c r="R5" s="96" t="s">
        <v>602</v>
      </c>
      <c r="S5" s="96" t="s">
        <v>603</v>
      </c>
      <c r="T5" s="96" t="s">
        <v>604</v>
      </c>
      <c r="U5" s="96" t="s">
        <v>605</v>
      </c>
      <c r="V5" s="96" t="s">
        <v>606</v>
      </c>
      <c r="W5" s="96" t="s">
        <v>607</v>
      </c>
      <c r="X5" s="96" t="s">
        <v>608</v>
      </c>
      <c r="Y5" s="96" t="s">
        <v>609</v>
      </c>
      <c r="Z5" s="96" t="s">
        <v>610</v>
      </c>
      <c r="AA5" s="96" t="s">
        <v>611</v>
      </c>
      <c r="AB5" s="96" t="s">
        <v>612</v>
      </c>
      <c r="AC5" s="96" t="s">
        <v>613</v>
      </c>
      <c r="AD5" s="96" t="s">
        <v>614</v>
      </c>
      <c r="HK5" s="99"/>
      <c r="HL5" s="99"/>
      <c r="HM5" s="99"/>
      <c r="HN5" s="99"/>
      <c r="HO5" s="99"/>
      <c r="HP5" s="99"/>
      <c r="HQ5" s="99"/>
      <c r="HR5" s="99"/>
      <c r="HS5" s="99"/>
      <c r="HT5" s="99"/>
      <c r="HU5" s="99"/>
      <c r="HV5" s="99"/>
      <c r="HW5" s="99"/>
      <c r="HX5" s="99"/>
      <c r="HY5" s="99"/>
      <c r="HZ5" s="99"/>
      <c r="IA5" s="99"/>
      <c r="IB5" s="99"/>
      <c r="IC5" s="99"/>
      <c r="ID5" s="99"/>
      <c r="IE5" s="99"/>
      <c r="IF5" s="99"/>
      <c r="IG5" s="99"/>
      <c r="IH5" s="99"/>
      <c r="II5" s="99"/>
      <c r="IJ5" s="99"/>
      <c r="IK5" s="99"/>
      <c r="IL5" s="99"/>
      <c r="IM5" s="99"/>
      <c r="IN5" s="99"/>
      <c r="IO5" s="99"/>
      <c r="IP5" s="99"/>
      <c r="IQ5" s="99"/>
      <c r="IR5" s="99"/>
      <c r="IS5" s="99"/>
      <c r="IT5" s="99"/>
      <c r="IU5" s="99"/>
      <c r="IV5" s="99"/>
    </row>
    <row r="6" spans="1:256" s="101" customFormat="1" x14ac:dyDescent="0.35">
      <c r="A6" s="100" t="s">
        <v>615</v>
      </c>
      <c r="B6" s="100" t="s">
        <v>616</v>
      </c>
      <c r="C6" s="100"/>
      <c r="D6" s="96"/>
      <c r="E6" s="8">
        <v>525.9</v>
      </c>
      <c r="F6" s="8">
        <v>473.5</v>
      </c>
      <c r="G6" s="8">
        <v>0</v>
      </c>
      <c r="H6" s="8">
        <v>0</v>
      </c>
      <c r="I6" s="8">
        <v>13.321</v>
      </c>
      <c r="J6" s="8">
        <v>0</v>
      </c>
      <c r="K6" s="8">
        <v>0</v>
      </c>
      <c r="L6" s="8">
        <v>0.64600000000000002</v>
      </c>
      <c r="M6" s="8">
        <v>0</v>
      </c>
      <c r="N6" s="8">
        <v>0</v>
      </c>
      <c r="O6" s="8">
        <v>0</v>
      </c>
      <c r="P6" s="8">
        <v>0</v>
      </c>
      <c r="Q6" s="8">
        <v>45.834000000000003</v>
      </c>
      <c r="R6" s="8">
        <v>0</v>
      </c>
      <c r="S6" s="8">
        <v>0</v>
      </c>
      <c r="T6" s="8">
        <v>0</v>
      </c>
      <c r="U6" s="8">
        <v>0.33300000000000002</v>
      </c>
      <c r="V6" s="8">
        <v>0</v>
      </c>
      <c r="W6" s="8">
        <v>0</v>
      </c>
      <c r="X6" s="8">
        <v>0</v>
      </c>
      <c r="Y6" s="8">
        <v>0</v>
      </c>
      <c r="Z6" s="8">
        <v>350.57299999999998</v>
      </c>
      <c r="AA6" s="8">
        <v>3.9620000000000002</v>
      </c>
      <c r="AB6" s="8">
        <v>337.71199999999999</v>
      </c>
      <c r="AC6" s="8">
        <v>0.16200000000000001</v>
      </c>
      <c r="AD6" s="8">
        <v>0</v>
      </c>
      <c r="HK6" s="102"/>
      <c r="HL6" s="102"/>
      <c r="HM6" s="102"/>
      <c r="HN6" s="102"/>
      <c r="HO6" s="102"/>
      <c r="HP6" s="102"/>
      <c r="HQ6" s="102"/>
      <c r="HR6" s="102"/>
      <c r="HS6" s="102"/>
      <c r="HT6" s="102"/>
      <c r="HU6" s="102"/>
      <c r="HV6" s="102"/>
      <c r="HW6" s="102"/>
      <c r="HX6" s="102"/>
      <c r="HY6" s="102"/>
      <c r="HZ6" s="102"/>
      <c r="IA6" s="102"/>
      <c r="IB6" s="102"/>
      <c r="IC6" s="102"/>
      <c r="ID6" s="102"/>
      <c r="IE6" s="102"/>
      <c r="IF6" s="102"/>
      <c r="IG6" s="102"/>
      <c r="IH6" s="102"/>
      <c r="II6" s="102"/>
      <c r="IJ6" s="102"/>
      <c r="IK6" s="102"/>
      <c r="IL6" s="102"/>
      <c r="IM6" s="102"/>
      <c r="IN6" s="102"/>
      <c r="IO6" s="102"/>
      <c r="IP6" s="102"/>
      <c r="IQ6" s="102"/>
      <c r="IR6" s="102"/>
      <c r="IS6" s="102"/>
      <c r="IT6" s="102"/>
      <c r="IU6" s="102"/>
      <c r="IV6" s="102"/>
    </row>
    <row r="7" spans="1:256" s="101" customFormat="1" x14ac:dyDescent="0.35">
      <c r="A7" s="100"/>
      <c r="B7" s="100"/>
      <c r="C7" s="100"/>
      <c r="D7" s="96"/>
      <c r="E7" s="8"/>
      <c r="F7" s="8"/>
      <c r="G7" s="8"/>
      <c r="H7" s="8"/>
      <c r="I7" s="8"/>
      <c r="J7" s="8"/>
      <c r="K7" s="8"/>
      <c r="L7" s="8"/>
      <c r="M7" s="8"/>
      <c r="N7" s="8"/>
      <c r="O7" s="8"/>
      <c r="P7" s="8"/>
      <c r="Q7" s="8"/>
      <c r="R7" s="8"/>
      <c r="S7" s="8"/>
      <c r="T7" s="8"/>
      <c r="U7" s="8"/>
      <c r="V7" s="8"/>
      <c r="W7" s="8"/>
      <c r="X7" s="8"/>
      <c r="Y7" s="8"/>
      <c r="Z7" s="8"/>
      <c r="AA7" s="8"/>
      <c r="AB7" s="8"/>
      <c r="AC7" s="8"/>
      <c r="AD7" s="8"/>
      <c r="HK7" s="102"/>
      <c r="HL7" s="102"/>
      <c r="HM7" s="102"/>
      <c r="HN7" s="102"/>
      <c r="HO7" s="102"/>
      <c r="HP7" s="102"/>
      <c r="HQ7" s="102"/>
      <c r="HR7" s="102"/>
      <c r="HS7" s="102"/>
      <c r="HT7" s="102"/>
      <c r="HU7" s="102"/>
      <c r="HV7" s="102"/>
      <c r="HW7" s="102"/>
      <c r="HX7" s="102"/>
      <c r="HY7" s="102"/>
      <c r="HZ7" s="102"/>
      <c r="IA7" s="102"/>
      <c r="IB7" s="102"/>
      <c r="IC7" s="102"/>
      <c r="ID7" s="102"/>
      <c r="IE7" s="102"/>
      <c r="IF7" s="102"/>
      <c r="IG7" s="102"/>
      <c r="IH7" s="102"/>
      <c r="II7" s="102"/>
      <c r="IJ7" s="102"/>
      <c r="IK7" s="102"/>
      <c r="IL7" s="102"/>
      <c r="IM7" s="102"/>
      <c r="IN7" s="102"/>
      <c r="IO7" s="102"/>
      <c r="IP7" s="102"/>
      <c r="IQ7" s="102"/>
      <c r="IR7" s="102"/>
      <c r="IS7" s="102"/>
      <c r="IT7" s="102"/>
      <c r="IU7" s="102"/>
      <c r="IV7" s="102"/>
    </row>
    <row r="8" spans="1:256" s="101" customFormat="1" x14ac:dyDescent="0.35">
      <c r="A8" s="100"/>
      <c r="B8" s="100"/>
      <c r="C8" s="100"/>
      <c r="D8" s="96"/>
      <c r="E8" s="8"/>
      <c r="F8" s="8"/>
      <c r="G8" s="8"/>
      <c r="H8" s="8"/>
      <c r="I8" s="8"/>
      <c r="J8" s="8"/>
      <c r="K8" s="8"/>
      <c r="L8" s="8"/>
      <c r="M8" s="8"/>
      <c r="N8" s="8"/>
      <c r="O8" s="8"/>
      <c r="P8" s="8"/>
      <c r="Q8" s="8"/>
      <c r="R8" s="8"/>
      <c r="S8" s="8"/>
      <c r="T8" s="8"/>
      <c r="U8" s="8"/>
      <c r="V8" s="8"/>
      <c r="W8" s="8"/>
      <c r="X8" s="8"/>
      <c r="Y8" s="8"/>
      <c r="Z8" s="8"/>
      <c r="AA8" s="8"/>
      <c r="AB8" s="8"/>
      <c r="AC8" s="8"/>
      <c r="AD8" s="8"/>
      <c r="HK8" s="102"/>
      <c r="HL8" s="102"/>
      <c r="HM8" s="102"/>
      <c r="HN8" s="102"/>
      <c r="HO8" s="102"/>
      <c r="HP8" s="102"/>
      <c r="HQ8" s="102"/>
      <c r="HR8" s="102"/>
      <c r="HS8" s="102"/>
      <c r="HT8" s="102"/>
      <c r="HU8" s="102"/>
      <c r="HV8" s="102"/>
      <c r="HW8" s="102"/>
      <c r="HX8" s="102"/>
      <c r="HY8" s="102"/>
      <c r="HZ8" s="102"/>
      <c r="IA8" s="102"/>
      <c r="IB8" s="102"/>
      <c r="IC8" s="102"/>
      <c r="ID8" s="102"/>
      <c r="IE8" s="102"/>
      <c r="IF8" s="102"/>
      <c r="IG8" s="102"/>
      <c r="IH8" s="102"/>
      <c r="II8" s="102"/>
      <c r="IJ8" s="102"/>
      <c r="IK8" s="102"/>
      <c r="IL8" s="102"/>
      <c r="IM8" s="102"/>
      <c r="IN8" s="102"/>
      <c r="IO8" s="102"/>
      <c r="IP8" s="102"/>
      <c r="IQ8" s="102"/>
      <c r="IR8" s="102"/>
      <c r="IS8" s="102"/>
      <c r="IT8" s="102"/>
      <c r="IU8" s="102"/>
      <c r="IV8" s="102"/>
    </row>
    <row r="9" spans="1:256" s="101" customFormat="1" x14ac:dyDescent="0.35">
      <c r="A9" s="100"/>
      <c r="B9" s="100"/>
      <c r="C9" s="100"/>
      <c r="D9" s="96"/>
      <c r="E9" s="8"/>
      <c r="F9" s="8"/>
      <c r="G9" s="8"/>
      <c r="H9" s="8"/>
      <c r="I9" s="8"/>
      <c r="J9" s="8"/>
      <c r="K9" s="8"/>
      <c r="L9" s="8"/>
      <c r="M9" s="8"/>
      <c r="N9" s="8"/>
      <c r="O9" s="8"/>
      <c r="P9" s="8"/>
      <c r="Q9" s="8"/>
      <c r="R9" s="8"/>
      <c r="S9" s="8"/>
      <c r="T9" s="8"/>
      <c r="U9" s="8"/>
      <c r="V9" s="8"/>
      <c r="W9" s="8"/>
      <c r="X9" s="8"/>
      <c r="Y9" s="8"/>
      <c r="Z9" s="8"/>
      <c r="AA9" s="8"/>
      <c r="AB9" s="8"/>
      <c r="AC9" s="8"/>
      <c r="AD9" s="8"/>
      <c r="HK9" s="102"/>
      <c r="HL9" s="102"/>
      <c r="HM9" s="102"/>
      <c r="HN9" s="102"/>
      <c r="HO9" s="102"/>
      <c r="HP9" s="102"/>
      <c r="HQ9" s="102"/>
      <c r="HR9" s="102"/>
      <c r="HS9" s="102"/>
      <c r="HT9" s="102"/>
      <c r="HU9" s="102"/>
      <c r="HV9" s="102"/>
      <c r="HW9" s="102"/>
      <c r="HX9" s="102"/>
      <c r="HY9" s="102"/>
      <c r="HZ9" s="102"/>
      <c r="IA9" s="102"/>
      <c r="IB9" s="102"/>
      <c r="IC9" s="102"/>
      <c r="ID9" s="102"/>
      <c r="IE9" s="102"/>
      <c r="IF9" s="102"/>
      <c r="IG9" s="102"/>
      <c r="IH9" s="102"/>
      <c r="II9" s="102"/>
      <c r="IJ9" s="102"/>
      <c r="IK9" s="102"/>
      <c r="IL9" s="102"/>
      <c r="IM9" s="102"/>
      <c r="IN9" s="102"/>
      <c r="IO9" s="102"/>
      <c r="IP9" s="102"/>
      <c r="IQ9" s="102"/>
      <c r="IR9" s="102"/>
      <c r="IS9" s="102"/>
      <c r="IT9" s="102"/>
      <c r="IU9" s="102"/>
      <c r="IV9" s="102"/>
    </row>
    <row r="10" spans="1:256" s="101" customFormat="1" x14ac:dyDescent="0.35">
      <c r="A10" s="100"/>
      <c r="B10" s="100"/>
      <c r="C10" s="100"/>
      <c r="D10" s="96"/>
      <c r="E10" s="8"/>
      <c r="F10" s="8"/>
      <c r="G10" s="8"/>
      <c r="H10" s="8"/>
      <c r="I10" s="8"/>
      <c r="J10" s="8"/>
      <c r="K10" s="8"/>
      <c r="L10" s="8"/>
      <c r="M10" s="8"/>
      <c r="N10" s="8"/>
      <c r="O10" s="8"/>
      <c r="P10" s="8"/>
      <c r="Q10" s="8"/>
      <c r="R10" s="8"/>
      <c r="S10" s="8"/>
      <c r="T10" s="8"/>
      <c r="U10" s="8"/>
      <c r="V10" s="8"/>
      <c r="W10" s="8"/>
      <c r="X10" s="8"/>
      <c r="Y10" s="8"/>
      <c r="Z10" s="8"/>
      <c r="AA10" s="8"/>
      <c r="AB10" s="8"/>
      <c r="AC10" s="8"/>
      <c r="AD10" s="8"/>
      <c r="HK10" s="102"/>
      <c r="HL10" s="102"/>
      <c r="HM10" s="102"/>
      <c r="HN10" s="102"/>
      <c r="HO10" s="102"/>
      <c r="HP10" s="102"/>
      <c r="HQ10" s="102"/>
      <c r="HR10" s="102"/>
      <c r="HS10" s="102"/>
      <c r="HT10" s="102"/>
      <c r="HU10" s="102"/>
      <c r="HV10" s="102"/>
      <c r="HW10" s="102"/>
      <c r="HX10" s="102"/>
      <c r="HY10" s="102"/>
      <c r="HZ10" s="102"/>
      <c r="IA10" s="102"/>
      <c r="IB10" s="102"/>
      <c r="IC10" s="102"/>
      <c r="ID10" s="102"/>
      <c r="IE10" s="102"/>
      <c r="IF10" s="102"/>
      <c r="IG10" s="102"/>
      <c r="IH10" s="102"/>
      <c r="II10" s="102"/>
      <c r="IJ10" s="102"/>
      <c r="IK10" s="102"/>
      <c r="IL10" s="102"/>
      <c r="IM10" s="102"/>
      <c r="IN10" s="102"/>
      <c r="IO10" s="102"/>
      <c r="IP10" s="102"/>
      <c r="IQ10" s="102"/>
      <c r="IR10" s="102"/>
      <c r="IS10" s="102"/>
      <c r="IT10" s="102"/>
      <c r="IU10" s="102"/>
      <c r="IV10" s="102"/>
    </row>
    <row r="11" spans="1:256" s="101" customFormat="1" x14ac:dyDescent="0.35">
      <c r="A11" s="100"/>
      <c r="B11" s="100"/>
      <c r="C11" s="100"/>
      <c r="D11" s="96"/>
      <c r="E11" s="8"/>
      <c r="F11" s="8"/>
      <c r="G11" s="8"/>
      <c r="H11" s="8"/>
      <c r="I11" s="8"/>
      <c r="J11" s="8"/>
      <c r="K11" s="8"/>
      <c r="L11" s="8"/>
      <c r="M11" s="8"/>
      <c r="N11" s="8"/>
      <c r="O11" s="8"/>
      <c r="P11" s="8"/>
      <c r="Q11" s="8"/>
      <c r="R11" s="8"/>
      <c r="S11" s="8"/>
      <c r="T11" s="8"/>
      <c r="U11" s="8"/>
      <c r="V11" s="8"/>
      <c r="W11" s="8"/>
      <c r="X11" s="8"/>
      <c r="Y11" s="8"/>
      <c r="Z11" s="8"/>
      <c r="AA11" s="8"/>
      <c r="AB11" s="8"/>
      <c r="AC11" s="8"/>
      <c r="AD11" s="8"/>
      <c r="HK11" s="102"/>
      <c r="HL11" s="102"/>
      <c r="HM11" s="102"/>
      <c r="HN11" s="102"/>
      <c r="HO11" s="102"/>
      <c r="HP11" s="102"/>
      <c r="HQ11" s="102"/>
      <c r="HR11" s="102"/>
      <c r="HS11" s="102"/>
      <c r="HT11" s="102"/>
      <c r="HU11" s="102"/>
      <c r="HV11" s="102"/>
      <c r="HW11" s="102"/>
      <c r="HX11" s="102"/>
      <c r="HY11" s="102"/>
      <c r="HZ11" s="102"/>
      <c r="IA11" s="102"/>
      <c r="IB11" s="102"/>
      <c r="IC11" s="102"/>
      <c r="ID11" s="102"/>
      <c r="IE11" s="102"/>
      <c r="IF11" s="102"/>
      <c r="IG11" s="102"/>
      <c r="IH11" s="102"/>
      <c r="II11" s="102"/>
      <c r="IJ11" s="102"/>
      <c r="IK11" s="102"/>
      <c r="IL11" s="102"/>
      <c r="IM11" s="102"/>
      <c r="IN11" s="102"/>
      <c r="IO11" s="102"/>
      <c r="IP11" s="102"/>
      <c r="IQ11" s="102"/>
      <c r="IR11" s="102"/>
      <c r="IS11" s="102"/>
      <c r="IT11" s="102"/>
      <c r="IU11" s="102"/>
      <c r="IV11" s="102"/>
    </row>
    <row r="12" spans="1:256" s="101" customFormat="1" x14ac:dyDescent="0.35">
      <c r="A12" s="100"/>
      <c r="B12" s="100"/>
      <c r="C12" s="100"/>
      <c r="D12" s="96"/>
      <c r="E12" s="8"/>
      <c r="F12" s="8"/>
      <c r="G12" s="8"/>
      <c r="H12" s="8"/>
      <c r="I12" s="8"/>
      <c r="J12" s="8"/>
      <c r="K12" s="8"/>
      <c r="L12" s="8"/>
      <c r="M12" s="8"/>
      <c r="N12" s="8"/>
      <c r="O12" s="8"/>
      <c r="P12" s="8"/>
      <c r="Q12" s="8"/>
      <c r="R12" s="8"/>
      <c r="S12" s="8"/>
      <c r="T12" s="8"/>
      <c r="U12" s="8"/>
      <c r="V12" s="8"/>
      <c r="W12" s="8"/>
      <c r="X12" s="8"/>
      <c r="Y12" s="8"/>
      <c r="Z12" s="8"/>
      <c r="AA12" s="8"/>
      <c r="AB12" s="8"/>
      <c r="AC12" s="8"/>
      <c r="AD12" s="8"/>
      <c r="HK12" s="102"/>
      <c r="HL12" s="102"/>
      <c r="HM12" s="102"/>
      <c r="HN12" s="102"/>
      <c r="HO12" s="102"/>
      <c r="HP12" s="102"/>
      <c r="HQ12" s="102"/>
      <c r="HR12" s="102"/>
      <c r="HS12" s="102"/>
      <c r="HT12" s="102"/>
      <c r="HU12" s="102"/>
      <c r="HV12" s="102"/>
      <c r="HW12" s="102"/>
      <c r="HX12" s="102"/>
      <c r="HY12" s="102"/>
      <c r="HZ12" s="102"/>
      <c r="IA12" s="102"/>
      <c r="IB12" s="102"/>
      <c r="IC12" s="102"/>
      <c r="ID12" s="102"/>
      <c r="IE12" s="102"/>
      <c r="IF12" s="102"/>
      <c r="IG12" s="102"/>
      <c r="IH12" s="102"/>
      <c r="II12" s="102"/>
      <c r="IJ12" s="102"/>
      <c r="IK12" s="102"/>
      <c r="IL12" s="102"/>
      <c r="IM12" s="102"/>
      <c r="IN12" s="102"/>
      <c r="IO12" s="102"/>
      <c r="IP12" s="102"/>
      <c r="IQ12" s="102"/>
      <c r="IR12" s="102"/>
      <c r="IS12" s="102"/>
      <c r="IT12" s="102"/>
      <c r="IU12" s="102"/>
      <c r="IV12" s="102"/>
    </row>
    <row r="13" spans="1:256" s="101" customFormat="1" x14ac:dyDescent="0.35">
      <c r="A13" s="100"/>
      <c r="B13" s="100"/>
      <c r="C13" s="100"/>
      <c r="D13" s="96"/>
      <c r="E13" s="8"/>
      <c r="F13" s="8"/>
      <c r="G13" s="8"/>
      <c r="H13" s="8"/>
      <c r="I13" s="8"/>
      <c r="J13" s="8"/>
      <c r="K13" s="8"/>
      <c r="L13" s="8"/>
      <c r="M13" s="8"/>
      <c r="N13" s="8"/>
      <c r="O13" s="8"/>
      <c r="P13" s="8"/>
      <c r="Q13" s="8"/>
      <c r="R13" s="8"/>
      <c r="S13" s="8"/>
      <c r="T13" s="8"/>
      <c r="U13" s="8"/>
      <c r="V13" s="8"/>
      <c r="W13" s="8"/>
      <c r="X13" s="8"/>
      <c r="Y13" s="8"/>
      <c r="Z13" s="8"/>
      <c r="AA13" s="8"/>
      <c r="AB13" s="8"/>
      <c r="AC13" s="8"/>
      <c r="AD13" s="8"/>
      <c r="HK13" s="102"/>
      <c r="HL13" s="102"/>
      <c r="HM13" s="102"/>
      <c r="HN13" s="102"/>
      <c r="HO13" s="102"/>
      <c r="HP13" s="102"/>
      <c r="HQ13" s="102"/>
      <c r="HR13" s="102"/>
      <c r="HS13" s="102"/>
      <c r="HT13" s="102"/>
      <c r="HU13" s="102"/>
      <c r="HV13" s="102"/>
      <c r="HW13" s="102"/>
      <c r="HX13" s="102"/>
      <c r="HY13" s="102"/>
      <c r="HZ13" s="102"/>
      <c r="IA13" s="102"/>
      <c r="IB13" s="102"/>
      <c r="IC13" s="102"/>
      <c r="ID13" s="102"/>
      <c r="IE13" s="102"/>
      <c r="IF13" s="102"/>
      <c r="IG13" s="102"/>
      <c r="IH13" s="102"/>
      <c r="II13" s="102"/>
      <c r="IJ13" s="102"/>
      <c r="IK13" s="102"/>
      <c r="IL13" s="102"/>
      <c r="IM13" s="102"/>
      <c r="IN13" s="102"/>
      <c r="IO13" s="102"/>
      <c r="IP13" s="102"/>
      <c r="IQ13" s="102"/>
      <c r="IR13" s="102"/>
      <c r="IS13" s="102"/>
      <c r="IT13" s="102"/>
      <c r="IU13" s="102"/>
      <c r="IV13" s="102"/>
    </row>
    <row r="14" spans="1:256" s="101" customFormat="1" x14ac:dyDescent="0.35">
      <c r="A14" s="100"/>
      <c r="B14" s="100"/>
      <c r="C14" s="100"/>
      <c r="D14" s="96"/>
      <c r="E14" s="8"/>
      <c r="F14" s="8"/>
      <c r="G14" s="8"/>
      <c r="H14" s="8"/>
      <c r="I14" s="8"/>
      <c r="J14" s="8"/>
      <c r="K14" s="8"/>
      <c r="L14" s="8"/>
      <c r="M14" s="8"/>
      <c r="N14" s="8"/>
      <c r="O14" s="8"/>
      <c r="P14" s="8"/>
      <c r="Q14" s="8"/>
      <c r="R14" s="8"/>
      <c r="S14" s="8"/>
      <c r="T14" s="8"/>
      <c r="U14" s="8"/>
      <c r="V14" s="8"/>
      <c r="W14" s="8"/>
      <c r="X14" s="8"/>
      <c r="Y14" s="8"/>
      <c r="Z14" s="8"/>
      <c r="AA14" s="8"/>
      <c r="AB14" s="8"/>
      <c r="AC14" s="8"/>
      <c r="AD14" s="8"/>
      <c r="HK14" s="102"/>
      <c r="HL14" s="102"/>
      <c r="HM14" s="102"/>
      <c r="HN14" s="102"/>
      <c r="HO14" s="102"/>
      <c r="HP14" s="102"/>
      <c r="HQ14" s="102"/>
      <c r="HR14" s="102"/>
      <c r="HS14" s="102"/>
      <c r="HT14" s="102"/>
      <c r="HU14" s="102"/>
      <c r="HV14" s="102"/>
      <c r="HW14" s="102"/>
      <c r="HX14" s="102"/>
      <c r="HY14" s="102"/>
      <c r="HZ14" s="102"/>
      <c r="IA14" s="102"/>
      <c r="IB14" s="102"/>
      <c r="IC14" s="102"/>
      <c r="ID14" s="102"/>
      <c r="IE14" s="102"/>
      <c r="IF14" s="102"/>
      <c r="IG14" s="102"/>
      <c r="IH14" s="102"/>
      <c r="II14" s="102"/>
      <c r="IJ14" s="102"/>
      <c r="IK14" s="102"/>
      <c r="IL14" s="102"/>
      <c r="IM14" s="102"/>
      <c r="IN14" s="102"/>
      <c r="IO14" s="102"/>
      <c r="IP14" s="102"/>
      <c r="IQ14" s="102"/>
      <c r="IR14" s="102"/>
      <c r="IS14" s="102"/>
      <c r="IT14" s="102"/>
      <c r="IU14" s="102"/>
      <c r="IV14" s="102"/>
    </row>
    <row r="15" spans="1:256" s="101" customFormat="1" x14ac:dyDescent="0.35">
      <c r="A15" s="100"/>
      <c r="B15" s="100"/>
      <c r="C15" s="100"/>
      <c r="D15" s="96"/>
      <c r="E15" s="8"/>
      <c r="F15" s="8"/>
      <c r="G15" s="8"/>
      <c r="H15" s="8"/>
      <c r="I15" s="8"/>
      <c r="J15" s="8"/>
      <c r="K15" s="8"/>
      <c r="L15" s="8"/>
      <c r="M15" s="8"/>
      <c r="N15" s="8"/>
      <c r="O15" s="8"/>
      <c r="P15" s="8"/>
      <c r="Q15" s="8"/>
      <c r="R15" s="8"/>
      <c r="S15" s="8"/>
      <c r="T15" s="8"/>
      <c r="U15" s="8"/>
      <c r="V15" s="8"/>
      <c r="W15" s="8"/>
      <c r="X15" s="8"/>
      <c r="Y15" s="8"/>
      <c r="Z15" s="8"/>
      <c r="AA15" s="8"/>
      <c r="AB15" s="8"/>
      <c r="AC15" s="8"/>
      <c r="AD15" s="8"/>
      <c r="HK15" s="102"/>
      <c r="HL15" s="102"/>
      <c r="HM15" s="102"/>
      <c r="HN15" s="102"/>
      <c r="HO15" s="102"/>
      <c r="HP15" s="102"/>
      <c r="HQ15" s="102"/>
      <c r="HR15" s="102"/>
      <c r="HS15" s="102"/>
      <c r="HT15" s="102"/>
      <c r="HU15" s="102"/>
      <c r="HV15" s="102"/>
      <c r="HW15" s="102"/>
      <c r="HX15" s="102"/>
      <c r="HY15" s="102"/>
      <c r="HZ15" s="102"/>
      <c r="IA15" s="102"/>
      <c r="IB15" s="102"/>
      <c r="IC15" s="102"/>
      <c r="ID15" s="102"/>
      <c r="IE15" s="102"/>
      <c r="IF15" s="102"/>
      <c r="IG15" s="102"/>
      <c r="IH15" s="102"/>
      <c r="II15" s="102"/>
      <c r="IJ15" s="102"/>
      <c r="IK15" s="102"/>
      <c r="IL15" s="102"/>
      <c r="IM15" s="102"/>
      <c r="IN15" s="102"/>
      <c r="IO15" s="102"/>
      <c r="IP15" s="102"/>
      <c r="IQ15" s="102"/>
      <c r="IR15" s="102"/>
      <c r="IS15" s="102"/>
      <c r="IT15" s="102"/>
      <c r="IU15" s="102"/>
      <c r="IV15" s="102"/>
    </row>
    <row r="16" spans="1:256" s="101" customFormat="1" x14ac:dyDescent="0.35">
      <c r="A16" s="100"/>
      <c r="B16" s="100"/>
      <c r="C16" s="100"/>
      <c r="HK16" s="102"/>
      <c r="HL16" s="102"/>
      <c r="HM16" s="102"/>
      <c r="HN16" s="102"/>
      <c r="HO16" s="102"/>
      <c r="HP16" s="102"/>
      <c r="HQ16" s="102"/>
      <c r="HR16" s="102"/>
      <c r="HS16" s="102"/>
      <c r="HT16" s="102"/>
      <c r="HU16" s="102"/>
      <c r="HV16" s="102"/>
      <c r="HW16" s="102"/>
      <c r="HX16" s="102"/>
      <c r="HY16" s="102"/>
      <c r="HZ16" s="102"/>
      <c r="IA16" s="102"/>
      <c r="IB16" s="102"/>
      <c r="IC16" s="102"/>
      <c r="ID16" s="102"/>
      <c r="IE16" s="102"/>
      <c r="IF16" s="102"/>
      <c r="IG16" s="102"/>
      <c r="IH16" s="102"/>
      <c r="II16" s="102"/>
      <c r="IJ16" s="102"/>
      <c r="IK16" s="102"/>
      <c r="IL16" s="102"/>
      <c r="IM16" s="102"/>
      <c r="IN16" s="102"/>
      <c r="IO16" s="102"/>
      <c r="IP16" s="102"/>
      <c r="IQ16" s="102"/>
      <c r="IR16" s="102"/>
      <c r="IS16" s="102"/>
      <c r="IT16" s="102"/>
      <c r="IU16" s="102"/>
      <c r="IV16" s="102"/>
    </row>
    <row r="17" spans="1:256" s="101" customFormat="1" x14ac:dyDescent="0.35">
      <c r="A17" s="100"/>
      <c r="B17" s="100"/>
      <c r="C17" s="100"/>
      <c r="HK17" s="102"/>
      <c r="HL17" s="102"/>
      <c r="HM17" s="102"/>
      <c r="HN17" s="102"/>
      <c r="HO17" s="102"/>
      <c r="HP17" s="102"/>
      <c r="HQ17" s="102"/>
      <c r="HR17" s="102"/>
      <c r="HS17" s="102"/>
      <c r="HT17" s="102"/>
      <c r="HU17" s="102"/>
      <c r="HV17" s="102"/>
      <c r="HW17" s="102"/>
      <c r="HX17" s="102"/>
      <c r="HY17" s="102"/>
      <c r="HZ17" s="102"/>
      <c r="IA17" s="102"/>
      <c r="IB17" s="102"/>
      <c r="IC17" s="102"/>
      <c r="ID17" s="102"/>
      <c r="IE17" s="102"/>
      <c r="IF17" s="102"/>
      <c r="IG17" s="102"/>
      <c r="IH17" s="102"/>
      <c r="II17" s="102"/>
      <c r="IJ17" s="102"/>
      <c r="IK17" s="102"/>
      <c r="IL17" s="102"/>
      <c r="IM17" s="102"/>
      <c r="IN17" s="102"/>
      <c r="IO17" s="102"/>
      <c r="IP17" s="102"/>
      <c r="IQ17" s="102"/>
      <c r="IR17" s="102"/>
      <c r="IS17" s="102"/>
      <c r="IT17" s="102"/>
      <c r="IU17" s="102"/>
      <c r="IV17" s="102"/>
    </row>
    <row r="18" spans="1:256" s="101" customFormat="1" x14ac:dyDescent="0.35">
      <c r="A18" s="100"/>
      <c r="B18" s="100"/>
      <c r="C18" s="100"/>
      <c r="HK18" s="102"/>
      <c r="HL18" s="102"/>
      <c r="HM18" s="102"/>
      <c r="HN18" s="102"/>
      <c r="HO18" s="102"/>
      <c r="HP18" s="102"/>
      <c r="HQ18" s="102"/>
      <c r="HR18" s="102"/>
      <c r="HS18" s="102"/>
      <c r="HT18" s="102"/>
      <c r="HU18" s="102"/>
      <c r="HV18" s="102"/>
      <c r="HW18" s="102"/>
      <c r="HX18" s="102"/>
      <c r="HY18" s="102"/>
      <c r="HZ18" s="102"/>
      <c r="IA18" s="102"/>
      <c r="IB18" s="102"/>
      <c r="IC18" s="102"/>
      <c r="ID18" s="102"/>
      <c r="IE18" s="102"/>
      <c r="IF18" s="102"/>
      <c r="IG18" s="102"/>
      <c r="IH18" s="102"/>
      <c r="II18" s="102"/>
      <c r="IJ18" s="102"/>
      <c r="IK18" s="102"/>
      <c r="IL18" s="102"/>
      <c r="IM18" s="102"/>
      <c r="IN18" s="102"/>
      <c r="IO18" s="102"/>
      <c r="IP18" s="102"/>
      <c r="IQ18" s="102"/>
      <c r="IR18" s="102"/>
      <c r="IS18" s="102"/>
      <c r="IT18" s="102"/>
      <c r="IU18" s="102"/>
      <c r="IV18" s="102"/>
    </row>
    <row r="19" spans="1:256" s="101" customFormat="1" x14ac:dyDescent="0.35">
      <c r="A19" s="100"/>
      <c r="B19" s="100"/>
      <c r="C19" s="100"/>
      <c r="HK19" s="102"/>
      <c r="HL19" s="102"/>
      <c r="HM19" s="102"/>
      <c r="HN19" s="102"/>
      <c r="HO19" s="102"/>
      <c r="HP19" s="102"/>
      <c r="HQ19" s="102"/>
      <c r="HR19" s="102"/>
      <c r="HS19" s="102"/>
      <c r="HT19" s="102"/>
      <c r="HU19" s="102"/>
      <c r="HV19" s="102"/>
      <c r="HW19" s="102"/>
      <c r="HX19" s="102"/>
      <c r="HY19" s="102"/>
      <c r="HZ19" s="102"/>
      <c r="IA19" s="102"/>
      <c r="IB19" s="102"/>
      <c r="IC19" s="102"/>
      <c r="ID19" s="102"/>
      <c r="IE19" s="102"/>
      <c r="IF19" s="102"/>
      <c r="IG19" s="102"/>
      <c r="IH19" s="102"/>
      <c r="II19" s="102"/>
      <c r="IJ19" s="102"/>
      <c r="IK19" s="102"/>
      <c r="IL19" s="102"/>
      <c r="IM19" s="102"/>
      <c r="IN19" s="102"/>
      <c r="IO19" s="102"/>
      <c r="IP19" s="102"/>
      <c r="IQ19" s="102"/>
      <c r="IR19" s="102"/>
      <c r="IS19" s="102"/>
      <c r="IT19" s="102"/>
      <c r="IU19" s="102"/>
      <c r="IV19" s="102"/>
    </row>
    <row r="20" spans="1:256" s="101" customFormat="1" x14ac:dyDescent="0.35">
      <c r="A20" s="100"/>
      <c r="B20" s="100"/>
      <c r="C20" s="100"/>
      <c r="HK20" s="102"/>
      <c r="HL20" s="102"/>
      <c r="HM20" s="102"/>
      <c r="HN20" s="102"/>
      <c r="HO20" s="102"/>
      <c r="HP20" s="102"/>
      <c r="HQ20" s="102"/>
      <c r="HR20" s="102"/>
      <c r="HS20" s="102"/>
      <c r="HT20" s="102"/>
      <c r="HU20" s="102"/>
      <c r="HV20" s="102"/>
      <c r="HW20" s="102"/>
      <c r="HX20" s="102"/>
      <c r="HY20" s="102"/>
      <c r="HZ20" s="102"/>
      <c r="IA20" s="102"/>
      <c r="IB20" s="102"/>
      <c r="IC20" s="102"/>
      <c r="ID20" s="102"/>
      <c r="IE20" s="102"/>
      <c r="IF20" s="102"/>
      <c r="IG20" s="102"/>
      <c r="IH20" s="102"/>
      <c r="II20" s="102"/>
      <c r="IJ20" s="102"/>
      <c r="IK20" s="102"/>
      <c r="IL20" s="102"/>
      <c r="IM20" s="102"/>
      <c r="IN20" s="102"/>
      <c r="IO20" s="102"/>
      <c r="IP20" s="102"/>
      <c r="IQ20" s="102"/>
      <c r="IR20" s="102"/>
      <c r="IS20" s="102"/>
      <c r="IT20" s="102"/>
      <c r="IU20" s="102"/>
      <c r="IV20" s="102"/>
    </row>
    <row r="21" spans="1:256" s="101" customFormat="1" x14ac:dyDescent="0.35">
      <c r="A21" s="100"/>
      <c r="B21" s="100"/>
      <c r="C21" s="100"/>
      <c r="HK21" s="102"/>
      <c r="HL21" s="102"/>
      <c r="HM21" s="102"/>
      <c r="HN21" s="102"/>
      <c r="HO21" s="102"/>
      <c r="HP21" s="102"/>
      <c r="HQ21" s="102"/>
      <c r="HR21" s="102"/>
      <c r="HS21" s="102"/>
      <c r="HT21" s="102"/>
      <c r="HU21" s="102"/>
      <c r="HV21" s="102"/>
      <c r="HW21" s="102"/>
      <c r="HX21" s="102"/>
      <c r="HY21" s="102"/>
      <c r="HZ21" s="102"/>
      <c r="IA21" s="102"/>
      <c r="IB21" s="102"/>
      <c r="IC21" s="102"/>
      <c r="ID21" s="102"/>
      <c r="IE21" s="102"/>
      <c r="IF21" s="102"/>
      <c r="IG21" s="102"/>
      <c r="IH21" s="102"/>
      <c r="II21" s="102"/>
      <c r="IJ21" s="102"/>
      <c r="IK21" s="102"/>
      <c r="IL21" s="102"/>
      <c r="IM21" s="102"/>
      <c r="IN21" s="102"/>
      <c r="IO21" s="102"/>
      <c r="IP21" s="102"/>
      <c r="IQ21" s="102"/>
      <c r="IR21" s="102"/>
      <c r="IS21" s="102"/>
      <c r="IT21" s="102"/>
      <c r="IU21" s="102"/>
      <c r="IV21" s="102"/>
    </row>
    <row r="22" spans="1:256" s="101" customFormat="1" x14ac:dyDescent="0.35">
      <c r="A22" s="100"/>
      <c r="B22" s="100"/>
      <c r="C22" s="100"/>
      <c r="HK22" s="102"/>
      <c r="HL22" s="102"/>
      <c r="HM22" s="102"/>
      <c r="HN22" s="102"/>
      <c r="HO22" s="102"/>
      <c r="HP22" s="102"/>
      <c r="HQ22" s="102"/>
      <c r="HR22" s="102"/>
      <c r="HS22" s="102"/>
      <c r="HT22" s="102"/>
      <c r="HU22" s="102"/>
      <c r="HV22" s="102"/>
      <c r="HW22" s="102"/>
      <c r="HX22" s="102"/>
      <c r="HY22" s="102"/>
      <c r="HZ22" s="102"/>
      <c r="IA22" s="102"/>
      <c r="IB22" s="102"/>
      <c r="IC22" s="102"/>
      <c r="ID22" s="102"/>
      <c r="IE22" s="102"/>
      <c r="IF22" s="102"/>
      <c r="IG22" s="102"/>
      <c r="IH22" s="102"/>
      <c r="II22" s="102"/>
      <c r="IJ22" s="102"/>
      <c r="IK22" s="102"/>
      <c r="IL22" s="102"/>
      <c r="IM22" s="102"/>
      <c r="IN22" s="102"/>
      <c r="IO22" s="102"/>
      <c r="IP22" s="102"/>
      <c r="IQ22" s="102"/>
      <c r="IR22" s="102"/>
      <c r="IS22" s="102"/>
      <c r="IT22" s="102"/>
      <c r="IU22" s="102"/>
      <c r="IV22" s="102"/>
    </row>
    <row r="23" spans="1:256" s="101" customFormat="1" x14ac:dyDescent="0.35">
      <c r="A23" s="100"/>
      <c r="B23" s="100"/>
      <c r="C23" s="100"/>
      <c r="HK23" s="102"/>
      <c r="HL23" s="102"/>
      <c r="HM23" s="102"/>
      <c r="HN23" s="102"/>
      <c r="HO23" s="102"/>
      <c r="HP23" s="102"/>
      <c r="HQ23" s="102"/>
      <c r="HR23" s="102"/>
      <c r="HS23" s="102"/>
      <c r="HT23" s="102"/>
      <c r="HU23" s="102"/>
      <c r="HV23" s="102"/>
      <c r="HW23" s="102"/>
      <c r="HX23" s="102"/>
      <c r="HY23" s="102"/>
      <c r="HZ23" s="102"/>
      <c r="IA23" s="102"/>
      <c r="IB23" s="102"/>
      <c r="IC23" s="102"/>
      <c r="ID23" s="102"/>
      <c r="IE23" s="102"/>
      <c r="IF23" s="102"/>
      <c r="IG23" s="102"/>
      <c r="IH23" s="102"/>
      <c r="II23" s="102"/>
      <c r="IJ23" s="102"/>
      <c r="IK23" s="102"/>
      <c r="IL23" s="102"/>
      <c r="IM23" s="102"/>
      <c r="IN23" s="102"/>
      <c r="IO23" s="102"/>
      <c r="IP23" s="102"/>
      <c r="IQ23" s="102"/>
      <c r="IR23" s="102"/>
      <c r="IS23" s="102"/>
      <c r="IT23" s="102"/>
      <c r="IU23" s="102"/>
      <c r="IV23" s="102"/>
    </row>
    <row r="24" spans="1:256" s="101" customFormat="1" x14ac:dyDescent="0.35">
      <c r="A24" s="100"/>
      <c r="B24" s="100"/>
      <c r="C24" s="100"/>
      <c r="HK24" s="102"/>
      <c r="HL24" s="102"/>
      <c r="HM24" s="102"/>
      <c r="HN24" s="102"/>
      <c r="HO24" s="102"/>
      <c r="HP24" s="102"/>
      <c r="HQ24" s="102"/>
      <c r="HR24" s="102"/>
      <c r="HS24" s="102"/>
      <c r="HT24" s="102"/>
      <c r="HU24" s="102"/>
      <c r="HV24" s="102"/>
      <c r="HW24" s="102"/>
      <c r="HX24" s="102"/>
      <c r="HY24" s="102"/>
      <c r="HZ24" s="102"/>
      <c r="IA24" s="102"/>
      <c r="IB24" s="102"/>
      <c r="IC24" s="102"/>
      <c r="ID24" s="102"/>
      <c r="IE24" s="102"/>
      <c r="IF24" s="102"/>
      <c r="IG24" s="102"/>
      <c r="IH24" s="102"/>
      <c r="II24" s="102"/>
      <c r="IJ24" s="102"/>
      <c r="IK24" s="102"/>
      <c r="IL24" s="102"/>
      <c r="IM24" s="102"/>
      <c r="IN24" s="102"/>
      <c r="IO24" s="102"/>
      <c r="IP24" s="102"/>
      <c r="IQ24" s="102"/>
      <c r="IR24" s="102"/>
      <c r="IS24" s="102"/>
      <c r="IT24" s="102"/>
      <c r="IU24" s="102"/>
      <c r="IV24" s="102"/>
    </row>
    <row r="25" spans="1:256" s="101" customFormat="1" x14ac:dyDescent="0.35">
      <c r="A25" s="100"/>
      <c r="B25" s="100"/>
      <c r="C25" s="100"/>
      <c r="HK25" s="102"/>
      <c r="HL25" s="102"/>
      <c r="HM25" s="102"/>
      <c r="HN25" s="102"/>
      <c r="HO25" s="102"/>
      <c r="HP25" s="102"/>
      <c r="HQ25" s="102"/>
      <c r="HR25" s="102"/>
      <c r="HS25" s="102"/>
      <c r="HT25" s="102"/>
      <c r="HU25" s="102"/>
      <c r="HV25" s="102"/>
      <c r="HW25" s="102"/>
      <c r="HX25" s="102"/>
      <c r="HY25" s="102"/>
      <c r="HZ25" s="102"/>
      <c r="IA25" s="102"/>
      <c r="IB25" s="102"/>
      <c r="IC25" s="102"/>
      <c r="ID25" s="102"/>
      <c r="IE25" s="102"/>
      <c r="IF25" s="102"/>
      <c r="IG25" s="102"/>
      <c r="IH25" s="102"/>
      <c r="II25" s="102"/>
      <c r="IJ25" s="102"/>
      <c r="IK25" s="102"/>
      <c r="IL25" s="102"/>
      <c r="IM25" s="102"/>
      <c r="IN25" s="102"/>
      <c r="IO25" s="102"/>
      <c r="IP25" s="102"/>
      <c r="IQ25" s="102"/>
      <c r="IR25" s="102"/>
      <c r="IS25" s="102"/>
      <c r="IT25" s="102"/>
      <c r="IU25" s="102"/>
      <c r="IV25" s="102"/>
    </row>
    <row r="26" spans="1:256" s="101" customFormat="1" x14ac:dyDescent="0.35">
      <c r="A26" s="100"/>
      <c r="B26" s="100"/>
      <c r="C26" s="100"/>
      <c r="HK26" s="102"/>
      <c r="HL26" s="102"/>
      <c r="HM26" s="102"/>
      <c r="HN26" s="102"/>
      <c r="HO26" s="102"/>
      <c r="HP26" s="102"/>
      <c r="HQ26" s="102"/>
      <c r="HR26" s="102"/>
      <c r="HS26" s="102"/>
      <c r="HT26" s="102"/>
      <c r="HU26" s="102"/>
      <c r="HV26" s="102"/>
      <c r="HW26" s="102"/>
      <c r="HX26" s="102"/>
      <c r="HY26" s="102"/>
      <c r="HZ26" s="102"/>
      <c r="IA26" s="102"/>
      <c r="IB26" s="102"/>
      <c r="IC26" s="102"/>
      <c r="ID26" s="102"/>
      <c r="IE26" s="102"/>
      <c r="IF26" s="102"/>
      <c r="IG26" s="102"/>
      <c r="IH26" s="102"/>
      <c r="II26" s="102"/>
      <c r="IJ26" s="102"/>
      <c r="IK26" s="102"/>
      <c r="IL26" s="102"/>
      <c r="IM26" s="102"/>
      <c r="IN26" s="102"/>
      <c r="IO26" s="102"/>
      <c r="IP26" s="102"/>
      <c r="IQ26" s="102"/>
      <c r="IR26" s="102"/>
      <c r="IS26" s="102"/>
      <c r="IT26" s="102"/>
      <c r="IU26" s="102"/>
      <c r="IV26" s="102"/>
    </row>
    <row r="27" spans="1:256" s="101" customFormat="1" x14ac:dyDescent="0.35">
      <c r="A27" s="100"/>
      <c r="B27" s="100"/>
      <c r="C27" s="100"/>
      <c r="HK27" s="102"/>
      <c r="HL27" s="102"/>
      <c r="HM27" s="102"/>
      <c r="HN27" s="102"/>
      <c r="HO27" s="102"/>
      <c r="HP27" s="102"/>
      <c r="HQ27" s="102"/>
      <c r="HR27" s="102"/>
      <c r="HS27" s="102"/>
      <c r="HT27" s="102"/>
      <c r="HU27" s="102"/>
      <c r="HV27" s="102"/>
      <c r="HW27" s="102"/>
      <c r="HX27" s="102"/>
      <c r="HY27" s="102"/>
      <c r="HZ27" s="102"/>
      <c r="IA27" s="102"/>
      <c r="IB27" s="102"/>
      <c r="IC27" s="102"/>
      <c r="ID27" s="102"/>
      <c r="IE27" s="102"/>
      <c r="IF27" s="102"/>
      <c r="IG27" s="102"/>
      <c r="IH27" s="102"/>
      <c r="II27" s="102"/>
      <c r="IJ27" s="102"/>
      <c r="IK27" s="102"/>
      <c r="IL27" s="102"/>
      <c r="IM27" s="102"/>
      <c r="IN27" s="102"/>
      <c r="IO27" s="102"/>
      <c r="IP27" s="102"/>
      <c r="IQ27" s="102"/>
      <c r="IR27" s="102"/>
      <c r="IS27" s="102"/>
      <c r="IT27" s="102"/>
      <c r="IU27" s="102"/>
      <c r="IV27" s="102"/>
    </row>
    <row r="28" spans="1:256" s="101" customFormat="1" x14ac:dyDescent="0.35">
      <c r="A28" s="100"/>
      <c r="B28" s="100"/>
      <c r="C28" s="100"/>
      <c r="HK28" s="102"/>
      <c r="HL28" s="102"/>
      <c r="HM28" s="102"/>
      <c r="HN28" s="102"/>
      <c r="HO28" s="102"/>
      <c r="HP28" s="102"/>
      <c r="HQ28" s="102"/>
      <c r="HR28" s="102"/>
      <c r="HS28" s="102"/>
      <c r="HT28" s="102"/>
      <c r="HU28" s="102"/>
      <c r="HV28" s="102"/>
      <c r="HW28" s="102"/>
      <c r="HX28" s="102"/>
      <c r="HY28" s="102"/>
      <c r="HZ28" s="102"/>
      <c r="IA28" s="102"/>
      <c r="IB28" s="102"/>
      <c r="IC28" s="102"/>
      <c r="ID28" s="102"/>
      <c r="IE28" s="102"/>
      <c r="IF28" s="102"/>
      <c r="IG28" s="102"/>
      <c r="IH28" s="102"/>
      <c r="II28" s="102"/>
      <c r="IJ28" s="102"/>
      <c r="IK28" s="102"/>
      <c r="IL28" s="102"/>
      <c r="IM28" s="102"/>
      <c r="IN28" s="102"/>
      <c r="IO28" s="102"/>
      <c r="IP28" s="102"/>
      <c r="IQ28" s="102"/>
      <c r="IR28" s="102"/>
      <c r="IS28" s="102"/>
      <c r="IT28" s="102"/>
      <c r="IU28" s="102"/>
      <c r="IV28" s="102"/>
    </row>
    <row r="29" spans="1:256" s="101" customFormat="1" x14ac:dyDescent="0.35">
      <c r="A29" s="100"/>
      <c r="B29" s="100"/>
      <c r="C29" s="100"/>
      <c r="HK29" s="102"/>
      <c r="HL29" s="102"/>
      <c r="HM29" s="102"/>
      <c r="HN29" s="102"/>
      <c r="HO29" s="102"/>
      <c r="HP29" s="102"/>
      <c r="HQ29" s="102"/>
      <c r="HR29" s="102"/>
      <c r="HS29" s="102"/>
      <c r="HT29" s="102"/>
      <c r="HU29" s="102"/>
      <c r="HV29" s="102"/>
      <c r="HW29" s="102"/>
      <c r="HX29" s="102"/>
      <c r="HY29" s="102"/>
      <c r="HZ29" s="102"/>
      <c r="IA29" s="102"/>
      <c r="IB29" s="102"/>
      <c r="IC29" s="102"/>
      <c r="ID29" s="102"/>
      <c r="IE29" s="102"/>
      <c r="IF29" s="102"/>
      <c r="IG29" s="102"/>
      <c r="IH29" s="102"/>
      <c r="II29" s="102"/>
      <c r="IJ29" s="102"/>
      <c r="IK29" s="102"/>
      <c r="IL29" s="102"/>
      <c r="IM29" s="102"/>
      <c r="IN29" s="102"/>
      <c r="IO29" s="102"/>
      <c r="IP29" s="102"/>
      <c r="IQ29" s="102"/>
      <c r="IR29" s="102"/>
      <c r="IS29" s="102"/>
      <c r="IT29" s="102"/>
      <c r="IU29" s="102"/>
      <c r="IV29" s="102"/>
    </row>
    <row r="30" spans="1:256" s="101" customFormat="1" x14ac:dyDescent="0.35">
      <c r="A30" s="100"/>
      <c r="B30" s="100"/>
      <c r="C30" s="100"/>
      <c r="HK30" s="102"/>
      <c r="HL30" s="102"/>
      <c r="HM30" s="102"/>
      <c r="HN30" s="102"/>
      <c r="HO30" s="102"/>
      <c r="HP30" s="102"/>
      <c r="HQ30" s="102"/>
      <c r="HR30" s="102"/>
      <c r="HS30" s="102"/>
      <c r="HT30" s="102"/>
      <c r="HU30" s="102"/>
      <c r="HV30" s="102"/>
      <c r="HW30" s="102"/>
      <c r="HX30" s="102"/>
      <c r="HY30" s="102"/>
      <c r="HZ30" s="102"/>
      <c r="IA30" s="102"/>
      <c r="IB30" s="102"/>
      <c r="IC30" s="102"/>
      <c r="ID30" s="102"/>
      <c r="IE30" s="102"/>
      <c r="IF30" s="102"/>
      <c r="IG30" s="102"/>
      <c r="IH30" s="102"/>
      <c r="II30" s="102"/>
      <c r="IJ30" s="102"/>
      <c r="IK30" s="102"/>
      <c r="IL30" s="102"/>
      <c r="IM30" s="102"/>
      <c r="IN30" s="102"/>
      <c r="IO30" s="102"/>
      <c r="IP30" s="102"/>
      <c r="IQ30" s="102"/>
      <c r="IR30" s="102"/>
      <c r="IS30" s="102"/>
      <c r="IT30" s="102"/>
      <c r="IU30" s="102"/>
      <c r="IV30" s="102"/>
    </row>
    <row r="31" spans="1:256" s="101" customFormat="1" x14ac:dyDescent="0.35">
      <c r="A31" s="100"/>
      <c r="B31" s="100"/>
      <c r="C31" s="100"/>
      <c r="HK31" s="102"/>
      <c r="HL31" s="102"/>
      <c r="HM31" s="102"/>
      <c r="HN31" s="102"/>
      <c r="HO31" s="102"/>
      <c r="HP31" s="102"/>
      <c r="HQ31" s="102"/>
      <c r="HR31" s="102"/>
      <c r="HS31" s="102"/>
      <c r="HT31" s="102"/>
      <c r="HU31" s="102"/>
      <c r="HV31" s="102"/>
      <c r="HW31" s="102"/>
      <c r="HX31" s="102"/>
      <c r="HY31" s="102"/>
      <c r="HZ31" s="102"/>
      <c r="IA31" s="102"/>
      <c r="IB31" s="102"/>
      <c r="IC31" s="102"/>
      <c r="ID31" s="102"/>
      <c r="IE31" s="102"/>
      <c r="IF31" s="102"/>
      <c r="IG31" s="102"/>
      <c r="IH31" s="102"/>
      <c r="II31" s="102"/>
      <c r="IJ31" s="102"/>
      <c r="IK31" s="102"/>
      <c r="IL31" s="102"/>
      <c r="IM31" s="102"/>
      <c r="IN31" s="102"/>
      <c r="IO31" s="102"/>
      <c r="IP31" s="102"/>
      <c r="IQ31" s="102"/>
      <c r="IR31" s="102"/>
      <c r="IS31" s="102"/>
      <c r="IT31" s="102"/>
      <c r="IU31" s="102"/>
      <c r="IV31" s="102"/>
    </row>
    <row r="32" spans="1:256" s="101" customFormat="1" x14ac:dyDescent="0.35">
      <c r="A32" s="100"/>
      <c r="B32" s="100"/>
      <c r="C32" s="100"/>
      <c r="HK32" s="102"/>
      <c r="HL32" s="102"/>
      <c r="HM32" s="102"/>
      <c r="HN32" s="102"/>
      <c r="HO32" s="102"/>
      <c r="HP32" s="102"/>
      <c r="HQ32" s="102"/>
      <c r="HR32" s="102"/>
      <c r="HS32" s="102"/>
      <c r="HT32" s="102"/>
      <c r="HU32" s="102"/>
      <c r="HV32" s="102"/>
      <c r="HW32" s="102"/>
      <c r="HX32" s="102"/>
      <c r="HY32" s="102"/>
      <c r="HZ32" s="102"/>
      <c r="IA32" s="102"/>
      <c r="IB32" s="102"/>
      <c r="IC32" s="102"/>
      <c r="ID32" s="102"/>
      <c r="IE32" s="102"/>
      <c r="IF32" s="102"/>
      <c r="IG32" s="102"/>
      <c r="IH32" s="102"/>
      <c r="II32" s="102"/>
      <c r="IJ32" s="102"/>
      <c r="IK32" s="102"/>
      <c r="IL32" s="102"/>
      <c r="IM32" s="102"/>
      <c r="IN32" s="102"/>
      <c r="IO32" s="102"/>
      <c r="IP32" s="102"/>
      <c r="IQ32" s="102"/>
      <c r="IR32" s="102"/>
      <c r="IS32" s="102"/>
      <c r="IT32" s="102"/>
      <c r="IU32" s="102"/>
      <c r="IV32" s="102"/>
    </row>
    <row r="33" spans="1:256" s="101" customFormat="1" x14ac:dyDescent="0.35">
      <c r="A33" s="100"/>
      <c r="B33" s="100"/>
      <c r="C33" s="100"/>
      <c r="HK33" s="102"/>
      <c r="HL33" s="102"/>
      <c r="HM33" s="102"/>
      <c r="HN33" s="102"/>
      <c r="HO33" s="102"/>
      <c r="HP33" s="102"/>
      <c r="HQ33" s="102"/>
      <c r="HR33" s="102"/>
      <c r="HS33" s="102"/>
      <c r="HT33" s="102"/>
      <c r="HU33" s="102"/>
      <c r="HV33" s="102"/>
      <c r="HW33" s="102"/>
      <c r="HX33" s="102"/>
      <c r="HY33" s="102"/>
      <c r="HZ33" s="102"/>
      <c r="IA33" s="102"/>
      <c r="IB33" s="102"/>
      <c r="IC33" s="102"/>
      <c r="ID33" s="102"/>
      <c r="IE33" s="102"/>
      <c r="IF33" s="102"/>
      <c r="IG33" s="102"/>
      <c r="IH33" s="102"/>
      <c r="II33" s="102"/>
      <c r="IJ33" s="102"/>
      <c r="IK33" s="102"/>
      <c r="IL33" s="102"/>
      <c r="IM33" s="102"/>
      <c r="IN33" s="102"/>
      <c r="IO33" s="102"/>
      <c r="IP33" s="102"/>
      <c r="IQ33" s="102"/>
      <c r="IR33" s="102"/>
      <c r="IS33" s="102"/>
      <c r="IT33" s="102"/>
      <c r="IU33" s="102"/>
      <c r="IV33" s="102"/>
    </row>
    <row r="34" spans="1:256" s="101" customFormat="1" x14ac:dyDescent="0.35">
      <c r="A34" s="100"/>
      <c r="B34" s="100"/>
      <c r="C34" s="100"/>
      <c r="HK34" s="102"/>
      <c r="HL34" s="102"/>
      <c r="HM34" s="102"/>
      <c r="HN34" s="102"/>
      <c r="HO34" s="102"/>
      <c r="HP34" s="102"/>
      <c r="HQ34" s="102"/>
      <c r="HR34" s="102"/>
      <c r="HS34" s="102"/>
      <c r="HT34" s="102"/>
      <c r="HU34" s="102"/>
      <c r="HV34" s="102"/>
      <c r="HW34" s="102"/>
      <c r="HX34" s="102"/>
      <c r="HY34" s="102"/>
      <c r="HZ34" s="102"/>
      <c r="IA34" s="102"/>
      <c r="IB34" s="102"/>
      <c r="IC34" s="102"/>
      <c r="ID34" s="102"/>
      <c r="IE34" s="102"/>
      <c r="IF34" s="102"/>
      <c r="IG34" s="102"/>
      <c r="IH34" s="102"/>
      <c r="II34" s="102"/>
      <c r="IJ34" s="102"/>
      <c r="IK34" s="102"/>
      <c r="IL34" s="102"/>
      <c r="IM34" s="102"/>
      <c r="IN34" s="102"/>
      <c r="IO34" s="102"/>
      <c r="IP34" s="102"/>
      <c r="IQ34" s="102"/>
      <c r="IR34" s="102"/>
      <c r="IS34" s="102"/>
      <c r="IT34" s="102"/>
      <c r="IU34" s="102"/>
      <c r="IV34" s="102"/>
    </row>
    <row r="35" spans="1:256" s="101" customFormat="1" x14ac:dyDescent="0.35">
      <c r="A35" s="100"/>
      <c r="B35" s="100"/>
      <c r="C35" s="100"/>
      <c r="HK35" s="102"/>
      <c r="HL35" s="102"/>
      <c r="HM35" s="102"/>
      <c r="HN35" s="102"/>
      <c r="HO35" s="102"/>
      <c r="HP35" s="102"/>
      <c r="HQ35" s="102"/>
      <c r="HR35" s="102"/>
      <c r="HS35" s="102"/>
      <c r="HT35" s="102"/>
      <c r="HU35" s="102"/>
      <c r="HV35" s="102"/>
      <c r="HW35" s="102"/>
      <c r="HX35" s="102"/>
      <c r="HY35" s="102"/>
      <c r="HZ35" s="102"/>
      <c r="IA35" s="102"/>
      <c r="IB35" s="102"/>
      <c r="IC35" s="102"/>
      <c r="ID35" s="102"/>
      <c r="IE35" s="102"/>
      <c r="IF35" s="102"/>
      <c r="IG35" s="102"/>
      <c r="IH35" s="102"/>
      <c r="II35" s="102"/>
      <c r="IJ35" s="102"/>
      <c r="IK35" s="102"/>
      <c r="IL35" s="102"/>
      <c r="IM35" s="102"/>
      <c r="IN35" s="102"/>
      <c r="IO35" s="102"/>
      <c r="IP35" s="102"/>
      <c r="IQ35" s="102"/>
      <c r="IR35" s="102"/>
      <c r="IS35" s="102"/>
      <c r="IT35" s="102"/>
      <c r="IU35" s="102"/>
      <c r="IV35" s="102"/>
    </row>
    <row r="36" spans="1:256" s="101" customFormat="1" x14ac:dyDescent="0.35">
      <c r="A36" s="100"/>
      <c r="B36" s="100"/>
      <c r="C36" s="100"/>
      <c r="HK36" s="102"/>
      <c r="HL36" s="102"/>
      <c r="HM36" s="102"/>
      <c r="HN36" s="102"/>
      <c r="HO36" s="102"/>
      <c r="HP36" s="102"/>
      <c r="HQ36" s="102"/>
      <c r="HR36" s="102"/>
      <c r="HS36" s="102"/>
      <c r="HT36" s="102"/>
      <c r="HU36" s="102"/>
      <c r="HV36" s="102"/>
      <c r="HW36" s="102"/>
      <c r="HX36" s="102"/>
      <c r="HY36" s="102"/>
      <c r="HZ36" s="102"/>
      <c r="IA36" s="102"/>
      <c r="IB36" s="102"/>
      <c r="IC36" s="102"/>
      <c r="ID36" s="102"/>
      <c r="IE36" s="102"/>
      <c r="IF36" s="102"/>
      <c r="IG36" s="102"/>
      <c r="IH36" s="102"/>
      <c r="II36" s="102"/>
      <c r="IJ36" s="102"/>
      <c r="IK36" s="102"/>
      <c r="IL36" s="102"/>
      <c r="IM36" s="102"/>
      <c r="IN36" s="102"/>
      <c r="IO36" s="102"/>
      <c r="IP36" s="102"/>
      <c r="IQ36" s="102"/>
      <c r="IR36" s="102"/>
      <c r="IS36" s="102"/>
      <c r="IT36" s="102"/>
      <c r="IU36" s="102"/>
      <c r="IV36" s="102"/>
    </row>
    <row r="37" spans="1:256" s="101" customFormat="1" x14ac:dyDescent="0.35">
      <c r="A37" s="100"/>
      <c r="B37" s="100"/>
      <c r="C37" s="100"/>
      <c r="P37" s="103"/>
      <c r="HK37" s="102"/>
      <c r="HL37" s="102"/>
      <c r="HM37" s="102"/>
      <c r="HN37" s="102"/>
      <c r="HO37" s="102"/>
      <c r="HP37" s="102"/>
      <c r="HQ37" s="102"/>
      <c r="HR37" s="102"/>
      <c r="HS37" s="102"/>
      <c r="HT37" s="102"/>
      <c r="HU37" s="102"/>
      <c r="HV37" s="102"/>
      <c r="HW37" s="102"/>
      <c r="HX37" s="102"/>
      <c r="HY37" s="102"/>
      <c r="HZ37" s="102"/>
      <c r="IA37" s="102"/>
      <c r="IB37" s="102"/>
      <c r="IC37" s="102"/>
      <c r="ID37" s="102"/>
      <c r="IE37" s="102"/>
      <c r="IF37" s="102"/>
      <c r="IG37" s="102"/>
      <c r="IH37" s="102"/>
      <c r="II37" s="102"/>
      <c r="IJ37" s="102"/>
      <c r="IK37" s="102"/>
      <c r="IL37" s="102"/>
      <c r="IM37" s="102"/>
      <c r="IN37" s="102"/>
      <c r="IO37" s="102"/>
      <c r="IP37" s="102"/>
      <c r="IQ37" s="102"/>
      <c r="IR37" s="102"/>
      <c r="IS37" s="102"/>
      <c r="IT37" s="102"/>
      <c r="IU37" s="102"/>
      <c r="IV37" s="102"/>
    </row>
    <row r="38" spans="1:256" s="101" customFormat="1" x14ac:dyDescent="0.35">
      <c r="A38" s="100"/>
      <c r="B38" s="100"/>
      <c r="C38" s="100"/>
      <c r="HK38" s="102"/>
      <c r="HL38" s="102"/>
      <c r="HM38" s="102"/>
      <c r="HN38" s="102"/>
      <c r="HO38" s="102"/>
      <c r="HP38" s="102"/>
      <c r="HQ38" s="102"/>
      <c r="HR38" s="102"/>
      <c r="HS38" s="102"/>
      <c r="HT38" s="102"/>
      <c r="HU38" s="102"/>
      <c r="HV38" s="102"/>
      <c r="HW38" s="102"/>
      <c r="HX38" s="102"/>
      <c r="HY38" s="102"/>
      <c r="HZ38" s="102"/>
      <c r="IA38" s="102"/>
      <c r="IB38" s="102"/>
      <c r="IC38" s="102"/>
      <c r="ID38" s="102"/>
      <c r="IE38" s="102"/>
      <c r="IF38" s="102"/>
      <c r="IG38" s="102"/>
      <c r="IH38" s="102"/>
      <c r="II38" s="102"/>
      <c r="IJ38" s="102"/>
      <c r="IK38" s="102"/>
      <c r="IL38" s="102"/>
      <c r="IM38" s="102"/>
      <c r="IN38" s="102"/>
      <c r="IO38" s="102"/>
      <c r="IP38" s="102"/>
      <c r="IQ38" s="102"/>
      <c r="IR38" s="102"/>
      <c r="IS38" s="102"/>
      <c r="IT38" s="102"/>
      <c r="IU38" s="102"/>
      <c r="IV38" s="102"/>
    </row>
    <row r="39" spans="1:256" s="101" customFormat="1" x14ac:dyDescent="0.35">
      <c r="A39" s="100"/>
      <c r="B39" s="100"/>
      <c r="C39" s="100"/>
      <c r="HK39" s="102"/>
      <c r="HL39" s="102"/>
      <c r="HM39" s="102"/>
      <c r="HN39" s="102"/>
      <c r="HO39" s="102"/>
      <c r="HP39" s="102"/>
      <c r="HQ39" s="102"/>
      <c r="HR39" s="102"/>
      <c r="HS39" s="102"/>
      <c r="HT39" s="102"/>
      <c r="HU39" s="102"/>
      <c r="HV39" s="102"/>
      <c r="HW39" s="102"/>
      <c r="HX39" s="102"/>
      <c r="HY39" s="102"/>
      <c r="HZ39" s="102"/>
      <c r="IA39" s="102"/>
      <c r="IB39" s="102"/>
      <c r="IC39" s="102"/>
      <c r="ID39" s="102"/>
      <c r="IE39" s="102"/>
      <c r="IF39" s="102"/>
      <c r="IG39" s="102"/>
      <c r="IH39" s="102"/>
      <c r="II39" s="102"/>
      <c r="IJ39" s="102"/>
      <c r="IK39" s="102"/>
      <c r="IL39" s="102"/>
      <c r="IM39" s="102"/>
      <c r="IN39" s="102"/>
      <c r="IO39" s="102"/>
      <c r="IP39" s="102"/>
      <c r="IQ39" s="102"/>
      <c r="IR39" s="102"/>
      <c r="IS39" s="102"/>
      <c r="IT39" s="102"/>
      <c r="IU39" s="102"/>
      <c r="IV39" s="102"/>
    </row>
    <row r="40" spans="1:256" s="101" customFormat="1" x14ac:dyDescent="0.35">
      <c r="A40" s="100"/>
      <c r="B40" s="100"/>
      <c r="C40" s="100"/>
      <c r="HK40" s="102"/>
      <c r="HL40" s="102"/>
      <c r="HM40" s="102"/>
      <c r="HN40" s="102"/>
      <c r="HO40" s="102"/>
      <c r="HP40" s="102"/>
      <c r="HQ40" s="102"/>
      <c r="HR40" s="102"/>
      <c r="HS40" s="102"/>
      <c r="HT40" s="102"/>
      <c r="HU40" s="102"/>
      <c r="HV40" s="102"/>
      <c r="HW40" s="102"/>
      <c r="HX40" s="102"/>
      <c r="HY40" s="102"/>
      <c r="HZ40" s="102"/>
      <c r="IA40" s="102"/>
      <c r="IB40" s="102"/>
      <c r="IC40" s="102"/>
      <c r="ID40" s="102"/>
      <c r="IE40" s="102"/>
      <c r="IF40" s="102"/>
      <c r="IG40" s="102"/>
      <c r="IH40" s="102"/>
      <c r="II40" s="102"/>
      <c r="IJ40" s="102"/>
      <c r="IK40" s="102"/>
      <c r="IL40" s="102"/>
      <c r="IM40" s="102"/>
      <c r="IN40" s="102"/>
      <c r="IO40" s="102"/>
      <c r="IP40" s="102"/>
      <c r="IQ40" s="102"/>
      <c r="IR40" s="102"/>
      <c r="IS40" s="102"/>
      <c r="IT40" s="102"/>
      <c r="IU40" s="102"/>
      <c r="IV40" s="102"/>
    </row>
    <row r="41" spans="1:256" s="101" customFormat="1" x14ac:dyDescent="0.35">
      <c r="A41" s="100"/>
      <c r="B41" s="100"/>
      <c r="C41" s="100"/>
      <c r="HK41" s="102"/>
      <c r="HL41" s="102"/>
      <c r="HM41" s="102"/>
      <c r="HN41" s="102"/>
      <c r="HO41" s="102"/>
      <c r="HP41" s="102"/>
      <c r="HQ41" s="102"/>
      <c r="HR41" s="102"/>
      <c r="HS41" s="102"/>
      <c r="HT41" s="102"/>
      <c r="HU41" s="102"/>
      <c r="HV41" s="102"/>
      <c r="HW41" s="102"/>
      <c r="HX41" s="102"/>
      <c r="HY41" s="102"/>
      <c r="HZ41" s="102"/>
      <c r="IA41" s="102"/>
      <c r="IB41" s="102"/>
      <c r="IC41" s="102"/>
      <c r="ID41" s="102"/>
      <c r="IE41" s="102"/>
      <c r="IF41" s="102"/>
      <c r="IG41" s="102"/>
      <c r="IH41" s="102"/>
      <c r="II41" s="102"/>
      <c r="IJ41" s="102"/>
      <c r="IK41" s="102"/>
      <c r="IL41" s="102"/>
      <c r="IM41" s="102"/>
      <c r="IN41" s="102"/>
      <c r="IO41" s="102"/>
      <c r="IP41" s="102"/>
      <c r="IQ41" s="102"/>
      <c r="IR41" s="102"/>
      <c r="IS41" s="102"/>
      <c r="IT41" s="102"/>
      <c r="IU41" s="102"/>
      <c r="IV41" s="102"/>
    </row>
    <row r="42" spans="1:256" s="101" customFormat="1" x14ac:dyDescent="0.35">
      <c r="A42" s="100"/>
      <c r="B42" s="100"/>
      <c r="C42" s="100"/>
      <c r="HK42" s="102"/>
      <c r="HL42" s="102"/>
      <c r="HM42" s="102"/>
      <c r="HN42" s="102"/>
      <c r="HO42" s="102"/>
      <c r="HP42" s="102"/>
      <c r="HQ42" s="102"/>
      <c r="HR42" s="102"/>
      <c r="HS42" s="102"/>
      <c r="HT42" s="102"/>
      <c r="HU42" s="102"/>
      <c r="HV42" s="102"/>
      <c r="HW42" s="102"/>
      <c r="HX42" s="102"/>
      <c r="HY42" s="102"/>
      <c r="HZ42" s="102"/>
      <c r="IA42" s="102"/>
      <c r="IB42" s="102"/>
      <c r="IC42" s="102"/>
      <c r="ID42" s="102"/>
      <c r="IE42" s="102"/>
      <c r="IF42" s="102"/>
      <c r="IG42" s="102"/>
      <c r="IH42" s="102"/>
      <c r="II42" s="102"/>
      <c r="IJ42" s="102"/>
      <c r="IK42" s="102"/>
      <c r="IL42" s="102"/>
      <c r="IM42" s="102"/>
      <c r="IN42" s="102"/>
      <c r="IO42" s="102"/>
      <c r="IP42" s="102"/>
      <c r="IQ42" s="102"/>
      <c r="IR42" s="102"/>
      <c r="IS42" s="102"/>
      <c r="IT42" s="102"/>
      <c r="IU42" s="102"/>
      <c r="IV42" s="102"/>
    </row>
    <row r="43" spans="1:256" s="101" customFormat="1" x14ac:dyDescent="0.35">
      <c r="A43" s="100"/>
      <c r="B43" s="100"/>
      <c r="C43" s="100"/>
      <c r="HK43" s="102"/>
      <c r="HL43" s="102"/>
      <c r="HM43" s="102"/>
      <c r="HN43" s="102"/>
      <c r="HO43" s="102"/>
      <c r="HP43" s="102"/>
      <c r="HQ43" s="102"/>
      <c r="HR43" s="102"/>
      <c r="HS43" s="102"/>
      <c r="HT43" s="102"/>
      <c r="HU43" s="102"/>
      <c r="HV43" s="102"/>
      <c r="HW43" s="102"/>
      <c r="HX43" s="102"/>
      <c r="HY43" s="102"/>
      <c r="HZ43" s="102"/>
      <c r="IA43" s="102"/>
      <c r="IB43" s="102"/>
      <c r="IC43" s="102"/>
      <c r="ID43" s="102"/>
      <c r="IE43" s="102"/>
      <c r="IF43" s="102"/>
      <c r="IG43" s="102"/>
      <c r="IH43" s="102"/>
      <c r="II43" s="102"/>
      <c r="IJ43" s="102"/>
      <c r="IK43" s="102"/>
      <c r="IL43" s="102"/>
      <c r="IM43" s="102"/>
      <c r="IN43" s="102"/>
      <c r="IO43" s="102"/>
      <c r="IP43" s="102"/>
      <c r="IQ43" s="102"/>
      <c r="IR43" s="102"/>
      <c r="IS43" s="102"/>
      <c r="IT43" s="102"/>
      <c r="IU43" s="102"/>
      <c r="IV43" s="102"/>
    </row>
    <row r="44" spans="1:256" s="101" customFormat="1" x14ac:dyDescent="0.35">
      <c r="A44" s="100"/>
      <c r="B44" s="100"/>
      <c r="C44" s="100"/>
      <c r="HK44" s="102"/>
      <c r="HL44" s="102"/>
      <c r="HM44" s="102"/>
      <c r="HN44" s="102"/>
      <c r="HO44" s="102"/>
      <c r="HP44" s="102"/>
      <c r="HQ44" s="102"/>
      <c r="HR44" s="102"/>
      <c r="HS44" s="102"/>
      <c r="HT44" s="102"/>
      <c r="HU44" s="102"/>
      <c r="HV44" s="102"/>
      <c r="HW44" s="102"/>
      <c r="HX44" s="102"/>
      <c r="HY44" s="102"/>
      <c r="HZ44" s="102"/>
      <c r="IA44" s="102"/>
      <c r="IB44" s="102"/>
      <c r="IC44" s="102"/>
      <c r="ID44" s="102"/>
      <c r="IE44" s="102"/>
      <c r="IF44" s="102"/>
      <c r="IG44" s="102"/>
      <c r="IH44" s="102"/>
      <c r="II44" s="102"/>
      <c r="IJ44" s="102"/>
      <c r="IK44" s="102"/>
      <c r="IL44" s="102"/>
      <c r="IM44" s="102"/>
      <c r="IN44" s="102"/>
      <c r="IO44" s="102"/>
      <c r="IP44" s="102"/>
      <c r="IQ44" s="102"/>
      <c r="IR44" s="102"/>
      <c r="IS44" s="102"/>
      <c r="IT44" s="102"/>
      <c r="IU44" s="102"/>
      <c r="IV44" s="102"/>
    </row>
    <row r="45" spans="1:256" s="101" customFormat="1" x14ac:dyDescent="0.35">
      <c r="A45" s="100"/>
      <c r="B45" s="100"/>
      <c r="C45" s="100"/>
      <c r="HK45" s="102"/>
      <c r="HL45" s="102"/>
      <c r="HM45" s="102"/>
      <c r="HN45" s="102"/>
      <c r="HO45" s="102"/>
      <c r="HP45" s="102"/>
      <c r="HQ45" s="102"/>
      <c r="HR45" s="102"/>
      <c r="HS45" s="102"/>
      <c r="HT45" s="102"/>
      <c r="HU45" s="102"/>
      <c r="HV45" s="102"/>
      <c r="HW45" s="102"/>
      <c r="HX45" s="102"/>
      <c r="HY45" s="102"/>
      <c r="HZ45" s="102"/>
      <c r="IA45" s="102"/>
      <c r="IB45" s="102"/>
      <c r="IC45" s="102"/>
      <c r="ID45" s="102"/>
      <c r="IE45" s="102"/>
      <c r="IF45" s="102"/>
      <c r="IG45" s="102"/>
      <c r="IH45" s="102"/>
      <c r="II45" s="102"/>
      <c r="IJ45" s="102"/>
      <c r="IK45" s="102"/>
      <c r="IL45" s="102"/>
      <c r="IM45" s="102"/>
      <c r="IN45" s="102"/>
      <c r="IO45" s="102"/>
      <c r="IP45" s="102"/>
      <c r="IQ45" s="102"/>
      <c r="IR45" s="102"/>
      <c r="IS45" s="102"/>
      <c r="IT45" s="102"/>
      <c r="IU45" s="102"/>
      <c r="IV45" s="102"/>
    </row>
    <row r="46" spans="1:256" s="101" customFormat="1" x14ac:dyDescent="0.35">
      <c r="A46" s="100"/>
      <c r="B46" s="100"/>
      <c r="C46" s="100"/>
      <c r="HK46" s="102"/>
      <c r="HL46" s="102"/>
      <c r="HM46" s="102"/>
      <c r="HN46" s="102"/>
      <c r="HO46" s="102"/>
      <c r="HP46" s="102"/>
      <c r="HQ46" s="102"/>
      <c r="HR46" s="102"/>
      <c r="HS46" s="102"/>
      <c r="HT46" s="102"/>
      <c r="HU46" s="102"/>
      <c r="HV46" s="102"/>
      <c r="HW46" s="102"/>
      <c r="HX46" s="102"/>
      <c r="HY46" s="102"/>
      <c r="HZ46" s="102"/>
      <c r="IA46" s="102"/>
      <c r="IB46" s="102"/>
      <c r="IC46" s="102"/>
      <c r="ID46" s="102"/>
      <c r="IE46" s="102"/>
      <c r="IF46" s="102"/>
      <c r="IG46" s="102"/>
      <c r="IH46" s="102"/>
      <c r="II46" s="102"/>
      <c r="IJ46" s="102"/>
      <c r="IK46" s="102"/>
      <c r="IL46" s="102"/>
      <c r="IM46" s="102"/>
      <c r="IN46" s="102"/>
      <c r="IO46" s="102"/>
      <c r="IP46" s="102"/>
      <c r="IQ46" s="102"/>
      <c r="IR46" s="102"/>
      <c r="IS46" s="102"/>
      <c r="IT46" s="102"/>
      <c r="IU46" s="102"/>
      <c r="IV46" s="102"/>
    </row>
    <row r="47" spans="1:256" s="101" customFormat="1" x14ac:dyDescent="0.35">
      <c r="A47" s="100"/>
      <c r="B47" s="100"/>
      <c r="C47" s="100"/>
      <c r="HK47" s="102"/>
      <c r="HL47" s="102"/>
      <c r="HM47" s="102"/>
      <c r="HN47" s="102"/>
      <c r="HO47" s="102"/>
      <c r="HP47" s="102"/>
      <c r="HQ47" s="102"/>
      <c r="HR47" s="102"/>
      <c r="HS47" s="102"/>
      <c r="HT47" s="102"/>
      <c r="HU47" s="102"/>
      <c r="HV47" s="102"/>
      <c r="HW47" s="102"/>
      <c r="HX47" s="102"/>
      <c r="HY47" s="102"/>
      <c r="HZ47" s="102"/>
      <c r="IA47" s="102"/>
      <c r="IB47" s="102"/>
      <c r="IC47" s="102"/>
      <c r="ID47" s="102"/>
      <c r="IE47" s="102"/>
      <c r="IF47" s="102"/>
      <c r="IG47" s="102"/>
      <c r="IH47" s="102"/>
      <c r="II47" s="102"/>
      <c r="IJ47" s="102"/>
      <c r="IK47" s="102"/>
      <c r="IL47" s="102"/>
      <c r="IM47" s="102"/>
      <c r="IN47" s="102"/>
      <c r="IO47" s="102"/>
      <c r="IP47" s="102"/>
      <c r="IQ47" s="102"/>
      <c r="IR47" s="102"/>
      <c r="IS47" s="102"/>
      <c r="IT47" s="102"/>
      <c r="IU47" s="102"/>
      <c r="IV47" s="102"/>
    </row>
    <row r="48" spans="1:256" s="101" customFormat="1" x14ac:dyDescent="0.35">
      <c r="A48" s="100"/>
      <c r="B48" s="100"/>
      <c r="C48" s="100"/>
      <c r="HK48" s="102"/>
      <c r="HL48" s="102"/>
      <c r="HM48" s="102"/>
      <c r="HN48" s="102"/>
      <c r="HO48" s="102"/>
      <c r="HP48" s="102"/>
      <c r="HQ48" s="102"/>
      <c r="HR48" s="102"/>
      <c r="HS48" s="102"/>
      <c r="HT48" s="102"/>
      <c r="HU48" s="102"/>
      <c r="HV48" s="102"/>
      <c r="HW48" s="102"/>
      <c r="HX48" s="102"/>
      <c r="HY48" s="102"/>
      <c r="HZ48" s="102"/>
      <c r="IA48" s="102"/>
      <c r="IB48" s="102"/>
      <c r="IC48" s="102"/>
      <c r="ID48" s="102"/>
      <c r="IE48" s="102"/>
      <c r="IF48" s="102"/>
      <c r="IG48" s="102"/>
      <c r="IH48" s="102"/>
      <c r="II48" s="102"/>
      <c r="IJ48" s="102"/>
      <c r="IK48" s="102"/>
      <c r="IL48" s="102"/>
      <c r="IM48" s="102"/>
      <c r="IN48" s="102"/>
      <c r="IO48" s="102"/>
      <c r="IP48" s="102"/>
      <c r="IQ48" s="102"/>
      <c r="IR48" s="102"/>
      <c r="IS48" s="102"/>
      <c r="IT48" s="102"/>
      <c r="IU48" s="102"/>
      <c r="IV48" s="102"/>
    </row>
    <row r="49" spans="1:256" s="101" customFormat="1" x14ac:dyDescent="0.35">
      <c r="A49" s="100"/>
      <c r="B49" s="100"/>
      <c r="C49" s="100"/>
      <c r="HK49" s="102"/>
      <c r="HL49" s="102"/>
      <c r="HM49" s="102"/>
      <c r="HN49" s="102"/>
      <c r="HO49" s="102"/>
      <c r="HP49" s="102"/>
      <c r="HQ49" s="102"/>
      <c r="HR49" s="102"/>
      <c r="HS49" s="102"/>
      <c r="HT49" s="102"/>
      <c r="HU49" s="102"/>
      <c r="HV49" s="102"/>
      <c r="HW49" s="102"/>
      <c r="HX49" s="102"/>
      <c r="HY49" s="102"/>
      <c r="HZ49" s="102"/>
      <c r="IA49" s="102"/>
      <c r="IB49" s="102"/>
      <c r="IC49" s="102"/>
      <c r="ID49" s="102"/>
      <c r="IE49" s="102"/>
      <c r="IF49" s="102"/>
      <c r="IG49" s="102"/>
      <c r="IH49" s="102"/>
      <c r="II49" s="102"/>
      <c r="IJ49" s="102"/>
      <c r="IK49" s="102"/>
      <c r="IL49" s="102"/>
      <c r="IM49" s="102"/>
      <c r="IN49" s="102"/>
      <c r="IO49" s="102"/>
      <c r="IP49" s="102"/>
      <c r="IQ49" s="102"/>
      <c r="IR49" s="102"/>
      <c r="IS49" s="102"/>
      <c r="IT49" s="102"/>
      <c r="IU49" s="102"/>
      <c r="IV49" s="102"/>
    </row>
    <row r="50" spans="1:256" s="101" customFormat="1" x14ac:dyDescent="0.35">
      <c r="A50" s="100"/>
      <c r="B50" s="100"/>
      <c r="C50" s="100"/>
      <c r="HK50" s="102"/>
      <c r="HL50" s="102"/>
      <c r="HM50" s="102"/>
      <c r="HN50" s="102"/>
      <c r="HO50" s="102"/>
      <c r="HP50" s="102"/>
      <c r="HQ50" s="102"/>
      <c r="HR50" s="102"/>
      <c r="HS50" s="102"/>
      <c r="HT50" s="102"/>
      <c r="HU50" s="102"/>
      <c r="HV50" s="102"/>
      <c r="HW50" s="102"/>
      <c r="HX50" s="102"/>
      <c r="HY50" s="102"/>
      <c r="HZ50" s="102"/>
      <c r="IA50" s="102"/>
      <c r="IB50" s="102"/>
      <c r="IC50" s="102"/>
      <c r="ID50" s="102"/>
      <c r="IE50" s="102"/>
      <c r="IF50" s="102"/>
      <c r="IG50" s="102"/>
      <c r="IH50" s="102"/>
      <c r="II50" s="102"/>
      <c r="IJ50" s="102"/>
      <c r="IK50" s="102"/>
      <c r="IL50" s="102"/>
      <c r="IM50" s="102"/>
      <c r="IN50" s="102"/>
      <c r="IO50" s="102"/>
      <c r="IP50" s="102"/>
      <c r="IQ50" s="102"/>
      <c r="IR50" s="102"/>
      <c r="IS50" s="102"/>
      <c r="IT50" s="102"/>
      <c r="IU50" s="102"/>
      <c r="IV50" s="102"/>
    </row>
    <row r="51" spans="1:256" s="101" customFormat="1" x14ac:dyDescent="0.35">
      <c r="A51" s="100"/>
      <c r="B51" s="100"/>
      <c r="C51" s="100"/>
      <c r="HK51" s="102"/>
      <c r="HL51" s="102"/>
      <c r="HM51" s="102"/>
      <c r="HN51" s="102"/>
      <c r="HO51" s="102"/>
      <c r="HP51" s="102"/>
      <c r="HQ51" s="102"/>
      <c r="HR51" s="102"/>
      <c r="HS51" s="102"/>
      <c r="HT51" s="102"/>
      <c r="HU51" s="102"/>
      <c r="HV51" s="102"/>
      <c r="HW51" s="102"/>
      <c r="HX51" s="102"/>
      <c r="HY51" s="102"/>
      <c r="HZ51" s="102"/>
      <c r="IA51" s="102"/>
      <c r="IB51" s="102"/>
      <c r="IC51" s="102"/>
      <c r="ID51" s="102"/>
      <c r="IE51" s="102"/>
      <c r="IF51" s="102"/>
      <c r="IG51" s="102"/>
      <c r="IH51" s="102"/>
      <c r="II51" s="102"/>
      <c r="IJ51" s="102"/>
      <c r="IK51" s="102"/>
      <c r="IL51" s="102"/>
      <c r="IM51" s="102"/>
      <c r="IN51" s="102"/>
      <c r="IO51" s="102"/>
      <c r="IP51" s="102"/>
      <c r="IQ51" s="102"/>
      <c r="IR51" s="102"/>
      <c r="IS51" s="102"/>
      <c r="IT51" s="102"/>
      <c r="IU51" s="102"/>
      <c r="IV51" s="102"/>
    </row>
    <row r="52" spans="1:256" s="101" customFormat="1" x14ac:dyDescent="0.35">
      <c r="A52" s="100"/>
      <c r="B52" s="100"/>
      <c r="C52" s="100"/>
      <c r="HK52" s="102"/>
      <c r="HL52" s="102"/>
      <c r="HM52" s="102"/>
      <c r="HN52" s="102"/>
      <c r="HO52" s="102"/>
      <c r="HP52" s="102"/>
      <c r="HQ52" s="102"/>
      <c r="HR52" s="102"/>
      <c r="HS52" s="102"/>
      <c r="HT52" s="102"/>
      <c r="HU52" s="102"/>
      <c r="HV52" s="102"/>
      <c r="HW52" s="102"/>
      <c r="HX52" s="102"/>
      <c r="HY52" s="102"/>
      <c r="HZ52" s="102"/>
      <c r="IA52" s="102"/>
      <c r="IB52" s="102"/>
      <c r="IC52" s="102"/>
      <c r="ID52" s="102"/>
      <c r="IE52" s="102"/>
      <c r="IF52" s="102"/>
      <c r="IG52" s="102"/>
      <c r="IH52" s="102"/>
      <c r="II52" s="102"/>
      <c r="IJ52" s="102"/>
      <c r="IK52" s="102"/>
      <c r="IL52" s="102"/>
      <c r="IM52" s="102"/>
      <c r="IN52" s="102"/>
      <c r="IO52" s="102"/>
      <c r="IP52" s="102"/>
      <c r="IQ52" s="102"/>
      <c r="IR52" s="102"/>
      <c r="IS52" s="102"/>
      <c r="IT52" s="102"/>
      <c r="IU52" s="102"/>
      <c r="IV52" s="102"/>
    </row>
    <row r="53" spans="1:256" s="101" customFormat="1" x14ac:dyDescent="0.35">
      <c r="A53" s="100"/>
      <c r="B53" s="100"/>
      <c r="C53" s="100"/>
      <c r="HK53" s="102"/>
      <c r="HL53" s="102"/>
      <c r="HM53" s="102"/>
      <c r="HN53" s="102"/>
      <c r="HO53" s="102"/>
      <c r="HP53" s="102"/>
      <c r="HQ53" s="102"/>
      <c r="HR53" s="102"/>
      <c r="HS53" s="102"/>
      <c r="HT53" s="102"/>
      <c r="HU53" s="102"/>
      <c r="HV53" s="102"/>
      <c r="HW53" s="102"/>
      <c r="HX53" s="102"/>
      <c r="HY53" s="102"/>
      <c r="HZ53" s="102"/>
      <c r="IA53" s="102"/>
      <c r="IB53" s="102"/>
      <c r="IC53" s="102"/>
      <c r="ID53" s="102"/>
      <c r="IE53" s="102"/>
      <c r="IF53" s="102"/>
      <c r="IG53" s="102"/>
      <c r="IH53" s="102"/>
      <c r="II53" s="102"/>
      <c r="IJ53" s="102"/>
      <c r="IK53" s="102"/>
      <c r="IL53" s="102"/>
      <c r="IM53" s="102"/>
      <c r="IN53" s="102"/>
      <c r="IO53" s="102"/>
      <c r="IP53" s="102"/>
      <c r="IQ53" s="102"/>
      <c r="IR53" s="102"/>
      <c r="IS53" s="102"/>
      <c r="IT53" s="102"/>
      <c r="IU53" s="102"/>
      <c r="IV53" s="102"/>
    </row>
    <row r="54" spans="1:256" s="101" customFormat="1" x14ac:dyDescent="0.35">
      <c r="A54" s="100"/>
      <c r="B54" s="100"/>
      <c r="C54" s="100"/>
      <c r="HK54" s="102"/>
      <c r="HL54" s="102"/>
      <c r="HM54" s="102"/>
      <c r="HN54" s="102"/>
      <c r="HO54" s="102"/>
      <c r="HP54" s="102"/>
      <c r="HQ54" s="102"/>
      <c r="HR54" s="102"/>
      <c r="HS54" s="102"/>
      <c r="HT54" s="102"/>
      <c r="HU54" s="102"/>
      <c r="HV54" s="102"/>
      <c r="HW54" s="102"/>
      <c r="HX54" s="102"/>
      <c r="HY54" s="102"/>
      <c r="HZ54" s="102"/>
      <c r="IA54" s="102"/>
      <c r="IB54" s="102"/>
      <c r="IC54" s="102"/>
      <c r="ID54" s="102"/>
      <c r="IE54" s="102"/>
      <c r="IF54" s="102"/>
      <c r="IG54" s="102"/>
      <c r="IH54" s="102"/>
      <c r="II54" s="102"/>
      <c r="IJ54" s="102"/>
      <c r="IK54" s="102"/>
      <c r="IL54" s="102"/>
      <c r="IM54" s="102"/>
      <c r="IN54" s="102"/>
      <c r="IO54" s="102"/>
      <c r="IP54" s="102"/>
      <c r="IQ54" s="102"/>
      <c r="IR54" s="102"/>
      <c r="IS54" s="102"/>
      <c r="IT54" s="102"/>
      <c r="IU54" s="102"/>
      <c r="IV54" s="102"/>
    </row>
    <row r="55" spans="1:256" s="101" customFormat="1" x14ac:dyDescent="0.35">
      <c r="A55" s="100"/>
      <c r="B55" s="100"/>
      <c r="C55" s="100"/>
      <c r="HK55" s="102"/>
      <c r="HL55" s="102"/>
      <c r="HM55" s="102"/>
      <c r="HN55" s="102"/>
      <c r="HO55" s="102"/>
      <c r="HP55" s="102"/>
      <c r="HQ55" s="102"/>
      <c r="HR55" s="102"/>
      <c r="HS55" s="102"/>
      <c r="HT55" s="102"/>
      <c r="HU55" s="102"/>
      <c r="HV55" s="102"/>
      <c r="HW55" s="102"/>
      <c r="HX55" s="102"/>
      <c r="HY55" s="102"/>
      <c r="HZ55" s="102"/>
      <c r="IA55" s="102"/>
      <c r="IB55" s="102"/>
      <c r="IC55" s="102"/>
      <c r="ID55" s="102"/>
      <c r="IE55" s="102"/>
      <c r="IF55" s="102"/>
      <c r="IG55" s="102"/>
      <c r="IH55" s="102"/>
      <c r="II55" s="102"/>
      <c r="IJ55" s="102"/>
      <c r="IK55" s="102"/>
      <c r="IL55" s="102"/>
      <c r="IM55" s="102"/>
      <c r="IN55" s="102"/>
      <c r="IO55" s="102"/>
      <c r="IP55" s="102"/>
      <c r="IQ55" s="102"/>
      <c r="IR55" s="102"/>
      <c r="IS55" s="102"/>
      <c r="IT55" s="102"/>
      <c r="IU55" s="102"/>
      <c r="IV55" s="102"/>
    </row>
    <row r="56" spans="1:256" s="101" customFormat="1" x14ac:dyDescent="0.35">
      <c r="A56" s="100"/>
      <c r="B56" s="100"/>
      <c r="C56" s="100"/>
      <c r="HK56" s="102"/>
      <c r="HL56" s="102"/>
      <c r="HM56" s="102"/>
      <c r="HN56" s="102"/>
      <c r="HO56" s="102"/>
      <c r="HP56" s="102"/>
      <c r="HQ56" s="102"/>
      <c r="HR56" s="102"/>
      <c r="HS56" s="102"/>
      <c r="HT56" s="102"/>
      <c r="HU56" s="102"/>
      <c r="HV56" s="102"/>
      <c r="HW56" s="102"/>
      <c r="HX56" s="102"/>
      <c r="HY56" s="102"/>
      <c r="HZ56" s="102"/>
      <c r="IA56" s="102"/>
      <c r="IB56" s="102"/>
      <c r="IC56" s="102"/>
      <c r="ID56" s="102"/>
      <c r="IE56" s="102"/>
      <c r="IF56" s="102"/>
      <c r="IG56" s="102"/>
      <c r="IH56" s="102"/>
      <c r="II56" s="102"/>
      <c r="IJ56" s="102"/>
      <c r="IK56" s="102"/>
      <c r="IL56" s="102"/>
      <c r="IM56" s="102"/>
      <c r="IN56" s="102"/>
      <c r="IO56" s="102"/>
      <c r="IP56" s="102"/>
      <c r="IQ56" s="102"/>
      <c r="IR56" s="102"/>
      <c r="IS56" s="102"/>
      <c r="IT56" s="102"/>
      <c r="IU56" s="102"/>
      <c r="IV56" s="102"/>
    </row>
    <row r="57" spans="1:256" s="101" customFormat="1" x14ac:dyDescent="0.35">
      <c r="A57" s="100"/>
      <c r="B57" s="100"/>
      <c r="C57" s="100"/>
      <c r="HK57" s="102"/>
      <c r="HL57" s="102"/>
      <c r="HM57" s="102"/>
      <c r="HN57" s="102"/>
      <c r="HO57" s="102"/>
      <c r="HP57" s="102"/>
      <c r="HQ57" s="102"/>
      <c r="HR57" s="102"/>
      <c r="HS57" s="102"/>
      <c r="HT57" s="102"/>
      <c r="HU57" s="102"/>
      <c r="HV57" s="102"/>
      <c r="HW57" s="102"/>
      <c r="HX57" s="102"/>
      <c r="HY57" s="102"/>
      <c r="HZ57" s="102"/>
      <c r="IA57" s="102"/>
      <c r="IB57" s="102"/>
      <c r="IC57" s="102"/>
      <c r="ID57" s="102"/>
      <c r="IE57" s="102"/>
      <c r="IF57" s="102"/>
      <c r="IG57" s="102"/>
      <c r="IH57" s="102"/>
      <c r="II57" s="102"/>
      <c r="IJ57" s="102"/>
      <c r="IK57" s="102"/>
      <c r="IL57" s="102"/>
      <c r="IM57" s="102"/>
      <c r="IN57" s="102"/>
      <c r="IO57" s="102"/>
      <c r="IP57" s="102"/>
      <c r="IQ57" s="102"/>
      <c r="IR57" s="102"/>
      <c r="IS57" s="102"/>
      <c r="IT57" s="102"/>
      <c r="IU57" s="102"/>
      <c r="IV57" s="102"/>
    </row>
    <row r="58" spans="1:256" s="101" customFormat="1" x14ac:dyDescent="0.35">
      <c r="A58" s="100"/>
      <c r="B58" s="100"/>
      <c r="C58" s="100"/>
      <c r="HK58" s="102"/>
      <c r="HL58" s="102"/>
      <c r="HM58" s="102"/>
      <c r="HN58" s="102"/>
      <c r="HO58" s="102"/>
      <c r="HP58" s="102"/>
      <c r="HQ58" s="102"/>
      <c r="HR58" s="102"/>
      <c r="HS58" s="102"/>
      <c r="HT58" s="102"/>
      <c r="HU58" s="102"/>
      <c r="HV58" s="102"/>
      <c r="HW58" s="102"/>
      <c r="HX58" s="102"/>
      <c r="HY58" s="102"/>
      <c r="HZ58" s="102"/>
      <c r="IA58" s="102"/>
      <c r="IB58" s="102"/>
      <c r="IC58" s="102"/>
      <c r="ID58" s="102"/>
      <c r="IE58" s="102"/>
      <c r="IF58" s="102"/>
      <c r="IG58" s="102"/>
      <c r="IH58" s="102"/>
      <c r="II58" s="102"/>
      <c r="IJ58" s="102"/>
      <c r="IK58" s="102"/>
      <c r="IL58" s="102"/>
      <c r="IM58" s="102"/>
      <c r="IN58" s="102"/>
      <c r="IO58" s="102"/>
      <c r="IP58" s="102"/>
      <c r="IQ58" s="102"/>
      <c r="IR58" s="102"/>
      <c r="IS58" s="102"/>
      <c r="IT58" s="102"/>
      <c r="IU58" s="102"/>
      <c r="IV58" s="102"/>
    </row>
    <row r="59" spans="1:256" s="101" customFormat="1" x14ac:dyDescent="0.35">
      <c r="A59" s="100"/>
      <c r="B59" s="100"/>
      <c r="C59" s="100"/>
      <c r="HK59" s="102"/>
      <c r="HL59" s="102"/>
      <c r="HM59" s="102"/>
      <c r="HN59" s="102"/>
      <c r="HO59" s="102"/>
      <c r="HP59" s="102"/>
      <c r="HQ59" s="102"/>
      <c r="HR59" s="102"/>
      <c r="HS59" s="102"/>
      <c r="HT59" s="102"/>
      <c r="HU59" s="102"/>
      <c r="HV59" s="102"/>
      <c r="HW59" s="102"/>
      <c r="HX59" s="102"/>
      <c r="HY59" s="102"/>
      <c r="HZ59" s="102"/>
      <c r="IA59" s="102"/>
      <c r="IB59" s="102"/>
      <c r="IC59" s="102"/>
      <c r="ID59" s="102"/>
      <c r="IE59" s="102"/>
      <c r="IF59" s="102"/>
      <c r="IG59" s="102"/>
      <c r="IH59" s="102"/>
      <c r="II59" s="102"/>
      <c r="IJ59" s="102"/>
      <c r="IK59" s="102"/>
      <c r="IL59" s="102"/>
      <c r="IM59" s="102"/>
      <c r="IN59" s="102"/>
      <c r="IO59" s="102"/>
      <c r="IP59" s="102"/>
      <c r="IQ59" s="102"/>
      <c r="IR59" s="102"/>
      <c r="IS59" s="102"/>
      <c r="IT59" s="102"/>
      <c r="IU59" s="102"/>
      <c r="IV59" s="102"/>
    </row>
    <row r="60" spans="1:256" s="101" customFormat="1" x14ac:dyDescent="0.35">
      <c r="A60" s="100"/>
      <c r="B60" s="100"/>
      <c r="C60" s="100"/>
      <c r="HK60" s="102"/>
      <c r="HL60" s="102"/>
      <c r="HM60" s="102"/>
      <c r="HN60" s="102"/>
      <c r="HO60" s="102"/>
      <c r="HP60" s="102"/>
      <c r="HQ60" s="102"/>
      <c r="HR60" s="102"/>
      <c r="HS60" s="102"/>
      <c r="HT60" s="102"/>
      <c r="HU60" s="102"/>
      <c r="HV60" s="102"/>
      <c r="HW60" s="102"/>
      <c r="HX60" s="102"/>
      <c r="HY60" s="102"/>
      <c r="HZ60" s="102"/>
      <c r="IA60" s="102"/>
      <c r="IB60" s="102"/>
      <c r="IC60" s="102"/>
      <c r="ID60" s="102"/>
      <c r="IE60" s="102"/>
      <c r="IF60" s="102"/>
      <c r="IG60" s="102"/>
      <c r="IH60" s="102"/>
      <c r="II60" s="102"/>
      <c r="IJ60" s="102"/>
      <c r="IK60" s="102"/>
      <c r="IL60" s="102"/>
      <c r="IM60" s="102"/>
      <c r="IN60" s="102"/>
      <c r="IO60" s="102"/>
      <c r="IP60" s="102"/>
      <c r="IQ60" s="102"/>
      <c r="IR60" s="102"/>
      <c r="IS60" s="102"/>
      <c r="IT60" s="102"/>
      <c r="IU60" s="102"/>
      <c r="IV60" s="102"/>
    </row>
    <row r="61" spans="1:256" s="101" customFormat="1" x14ac:dyDescent="0.35">
      <c r="A61" s="100"/>
      <c r="B61" s="100"/>
      <c r="C61" s="100"/>
      <c r="HK61" s="102"/>
      <c r="HL61" s="102"/>
      <c r="HM61" s="102"/>
      <c r="HN61" s="102"/>
      <c r="HO61" s="102"/>
      <c r="HP61" s="102"/>
      <c r="HQ61" s="102"/>
      <c r="HR61" s="102"/>
      <c r="HS61" s="102"/>
      <c r="HT61" s="102"/>
      <c r="HU61" s="102"/>
      <c r="HV61" s="102"/>
      <c r="HW61" s="102"/>
      <c r="HX61" s="102"/>
      <c r="HY61" s="102"/>
      <c r="HZ61" s="102"/>
      <c r="IA61" s="102"/>
      <c r="IB61" s="102"/>
      <c r="IC61" s="102"/>
      <c r="ID61" s="102"/>
      <c r="IE61" s="102"/>
      <c r="IF61" s="102"/>
      <c r="IG61" s="102"/>
      <c r="IH61" s="102"/>
      <c r="II61" s="102"/>
      <c r="IJ61" s="102"/>
      <c r="IK61" s="102"/>
      <c r="IL61" s="102"/>
      <c r="IM61" s="102"/>
      <c r="IN61" s="102"/>
      <c r="IO61" s="102"/>
      <c r="IP61" s="102"/>
      <c r="IQ61" s="102"/>
      <c r="IR61" s="102"/>
      <c r="IS61" s="102"/>
      <c r="IT61" s="102"/>
      <c r="IU61" s="102"/>
      <c r="IV61" s="102"/>
    </row>
    <row r="62" spans="1:256" s="101" customFormat="1" x14ac:dyDescent="0.35">
      <c r="A62" s="100"/>
      <c r="B62" s="100"/>
      <c r="C62" s="100"/>
      <c r="HK62" s="102"/>
      <c r="HL62" s="102"/>
      <c r="HM62" s="102"/>
      <c r="HN62" s="102"/>
      <c r="HO62" s="102"/>
      <c r="HP62" s="102"/>
      <c r="HQ62" s="102"/>
      <c r="HR62" s="102"/>
      <c r="HS62" s="102"/>
      <c r="HT62" s="102"/>
      <c r="HU62" s="102"/>
      <c r="HV62" s="102"/>
      <c r="HW62" s="102"/>
      <c r="HX62" s="102"/>
      <c r="HY62" s="102"/>
      <c r="HZ62" s="102"/>
      <c r="IA62" s="102"/>
      <c r="IB62" s="102"/>
      <c r="IC62" s="102"/>
      <c r="ID62" s="102"/>
      <c r="IE62" s="102"/>
      <c r="IF62" s="102"/>
      <c r="IG62" s="102"/>
      <c r="IH62" s="102"/>
      <c r="II62" s="102"/>
      <c r="IJ62" s="102"/>
      <c r="IK62" s="102"/>
      <c r="IL62" s="102"/>
      <c r="IM62" s="102"/>
      <c r="IN62" s="102"/>
      <c r="IO62" s="102"/>
      <c r="IP62" s="102"/>
      <c r="IQ62" s="102"/>
      <c r="IR62" s="102"/>
      <c r="IS62" s="102"/>
      <c r="IT62" s="102"/>
      <c r="IU62" s="102"/>
      <c r="IV62" s="102"/>
    </row>
    <row r="63" spans="1:256" s="101" customFormat="1" x14ac:dyDescent="0.35">
      <c r="A63" s="100"/>
      <c r="B63" s="100"/>
      <c r="C63" s="100"/>
      <c r="HK63" s="102"/>
      <c r="HL63" s="102"/>
      <c r="HM63" s="102"/>
      <c r="HN63" s="102"/>
      <c r="HO63" s="102"/>
      <c r="HP63" s="102"/>
      <c r="HQ63" s="102"/>
      <c r="HR63" s="102"/>
      <c r="HS63" s="102"/>
      <c r="HT63" s="102"/>
      <c r="HU63" s="102"/>
      <c r="HV63" s="102"/>
      <c r="HW63" s="102"/>
      <c r="HX63" s="102"/>
      <c r="HY63" s="102"/>
      <c r="HZ63" s="102"/>
      <c r="IA63" s="102"/>
      <c r="IB63" s="102"/>
      <c r="IC63" s="102"/>
      <c r="ID63" s="102"/>
      <c r="IE63" s="102"/>
      <c r="IF63" s="102"/>
      <c r="IG63" s="102"/>
      <c r="IH63" s="102"/>
      <c r="II63" s="102"/>
      <c r="IJ63" s="102"/>
      <c r="IK63" s="102"/>
      <c r="IL63" s="102"/>
      <c r="IM63" s="102"/>
      <c r="IN63" s="102"/>
      <c r="IO63" s="102"/>
      <c r="IP63" s="102"/>
      <c r="IQ63" s="102"/>
      <c r="IR63" s="102"/>
      <c r="IS63" s="102"/>
      <c r="IT63" s="102"/>
      <c r="IU63" s="102"/>
      <c r="IV63" s="102"/>
    </row>
    <row r="64" spans="1:256" s="101" customFormat="1" x14ac:dyDescent="0.35">
      <c r="A64" s="100"/>
      <c r="B64" s="100"/>
      <c r="C64" s="100"/>
      <c r="HK64" s="102"/>
      <c r="HL64" s="102"/>
      <c r="HM64" s="102"/>
      <c r="HN64" s="102"/>
      <c r="HO64" s="102"/>
      <c r="HP64" s="102"/>
      <c r="HQ64" s="102"/>
      <c r="HR64" s="102"/>
      <c r="HS64" s="102"/>
      <c r="HT64" s="102"/>
      <c r="HU64" s="102"/>
      <c r="HV64" s="102"/>
      <c r="HW64" s="102"/>
      <c r="HX64" s="102"/>
      <c r="HY64" s="102"/>
      <c r="HZ64" s="102"/>
      <c r="IA64" s="102"/>
      <c r="IB64" s="102"/>
      <c r="IC64" s="102"/>
      <c r="ID64" s="102"/>
      <c r="IE64" s="102"/>
      <c r="IF64" s="102"/>
      <c r="IG64" s="102"/>
      <c r="IH64" s="102"/>
      <c r="II64" s="102"/>
      <c r="IJ64" s="102"/>
      <c r="IK64" s="102"/>
      <c r="IL64" s="102"/>
      <c r="IM64" s="102"/>
      <c r="IN64" s="102"/>
      <c r="IO64" s="102"/>
      <c r="IP64" s="102"/>
      <c r="IQ64" s="102"/>
      <c r="IR64" s="102"/>
      <c r="IS64" s="102"/>
      <c r="IT64" s="102"/>
      <c r="IU64" s="102"/>
      <c r="IV64" s="102"/>
    </row>
    <row r="65" spans="1:256" s="101" customFormat="1" x14ac:dyDescent="0.35">
      <c r="A65" s="100"/>
      <c r="B65" s="100"/>
      <c r="C65" s="100"/>
      <c r="HK65" s="102"/>
      <c r="HL65" s="102"/>
      <c r="HM65" s="102"/>
      <c r="HN65" s="102"/>
      <c r="HO65" s="102"/>
      <c r="HP65" s="102"/>
      <c r="HQ65" s="102"/>
      <c r="HR65" s="102"/>
      <c r="HS65" s="102"/>
      <c r="HT65" s="102"/>
      <c r="HU65" s="102"/>
      <c r="HV65" s="102"/>
      <c r="HW65" s="102"/>
      <c r="HX65" s="102"/>
      <c r="HY65" s="102"/>
      <c r="HZ65" s="102"/>
      <c r="IA65" s="102"/>
      <c r="IB65" s="102"/>
      <c r="IC65" s="102"/>
      <c r="ID65" s="102"/>
      <c r="IE65" s="102"/>
      <c r="IF65" s="102"/>
      <c r="IG65" s="102"/>
      <c r="IH65" s="102"/>
      <c r="II65" s="102"/>
      <c r="IJ65" s="102"/>
      <c r="IK65" s="102"/>
      <c r="IL65" s="102"/>
      <c r="IM65" s="102"/>
      <c r="IN65" s="102"/>
      <c r="IO65" s="102"/>
      <c r="IP65" s="102"/>
      <c r="IQ65" s="102"/>
      <c r="IR65" s="102"/>
      <c r="IS65" s="102"/>
      <c r="IT65" s="102"/>
      <c r="IU65" s="102"/>
      <c r="IV65" s="102"/>
    </row>
    <row r="66" spans="1:256" s="101" customFormat="1" x14ac:dyDescent="0.35">
      <c r="A66" s="100"/>
      <c r="B66" s="100"/>
      <c r="C66" s="100"/>
      <c r="HK66" s="102"/>
      <c r="HL66" s="102"/>
      <c r="HM66" s="102"/>
      <c r="HN66" s="102"/>
      <c r="HO66" s="102"/>
      <c r="HP66" s="102"/>
      <c r="HQ66" s="102"/>
      <c r="HR66" s="102"/>
      <c r="HS66" s="102"/>
      <c r="HT66" s="102"/>
      <c r="HU66" s="102"/>
      <c r="HV66" s="102"/>
      <c r="HW66" s="102"/>
      <c r="HX66" s="102"/>
      <c r="HY66" s="102"/>
      <c r="HZ66" s="102"/>
      <c r="IA66" s="102"/>
      <c r="IB66" s="102"/>
      <c r="IC66" s="102"/>
      <c r="ID66" s="102"/>
      <c r="IE66" s="102"/>
      <c r="IF66" s="102"/>
      <c r="IG66" s="102"/>
      <c r="IH66" s="102"/>
      <c r="II66" s="102"/>
      <c r="IJ66" s="102"/>
      <c r="IK66" s="102"/>
      <c r="IL66" s="102"/>
      <c r="IM66" s="102"/>
      <c r="IN66" s="102"/>
      <c r="IO66" s="102"/>
      <c r="IP66" s="102"/>
      <c r="IQ66" s="102"/>
      <c r="IR66" s="102"/>
      <c r="IS66" s="102"/>
      <c r="IT66" s="102"/>
      <c r="IU66" s="102"/>
      <c r="IV66" s="102"/>
    </row>
    <row r="67" spans="1:256" s="101" customFormat="1" x14ac:dyDescent="0.35">
      <c r="A67" s="100"/>
      <c r="B67" s="100"/>
      <c r="C67" s="100"/>
      <c r="HK67" s="102"/>
      <c r="HL67" s="102"/>
      <c r="HM67" s="102"/>
      <c r="HN67" s="102"/>
      <c r="HO67" s="102"/>
      <c r="HP67" s="102"/>
      <c r="HQ67" s="102"/>
      <c r="HR67" s="102"/>
      <c r="HS67" s="102"/>
      <c r="HT67" s="102"/>
      <c r="HU67" s="102"/>
      <c r="HV67" s="102"/>
      <c r="HW67" s="102"/>
      <c r="HX67" s="102"/>
      <c r="HY67" s="102"/>
      <c r="HZ67" s="102"/>
      <c r="IA67" s="102"/>
      <c r="IB67" s="102"/>
      <c r="IC67" s="102"/>
      <c r="ID67" s="102"/>
      <c r="IE67" s="102"/>
      <c r="IF67" s="102"/>
      <c r="IG67" s="102"/>
      <c r="IH67" s="102"/>
      <c r="II67" s="102"/>
      <c r="IJ67" s="102"/>
      <c r="IK67" s="102"/>
      <c r="IL67" s="102"/>
      <c r="IM67" s="102"/>
      <c r="IN67" s="102"/>
      <c r="IO67" s="102"/>
      <c r="IP67" s="102"/>
      <c r="IQ67" s="102"/>
      <c r="IR67" s="102"/>
      <c r="IS67" s="102"/>
      <c r="IT67" s="102"/>
      <c r="IU67" s="102"/>
      <c r="IV67" s="102"/>
    </row>
    <row r="68" spans="1:256" s="101" customFormat="1" x14ac:dyDescent="0.35">
      <c r="A68" s="100"/>
      <c r="B68" s="100"/>
      <c r="C68" s="100"/>
      <c r="HK68" s="102"/>
      <c r="HL68" s="102"/>
      <c r="HM68" s="102"/>
      <c r="HN68" s="102"/>
      <c r="HO68" s="102"/>
      <c r="HP68" s="102"/>
      <c r="HQ68" s="102"/>
      <c r="HR68" s="102"/>
      <c r="HS68" s="102"/>
      <c r="HT68" s="102"/>
      <c r="HU68" s="102"/>
      <c r="HV68" s="102"/>
      <c r="HW68" s="102"/>
      <c r="HX68" s="102"/>
      <c r="HY68" s="102"/>
      <c r="HZ68" s="102"/>
      <c r="IA68" s="102"/>
      <c r="IB68" s="102"/>
      <c r="IC68" s="102"/>
      <c r="ID68" s="102"/>
      <c r="IE68" s="102"/>
      <c r="IF68" s="102"/>
      <c r="IG68" s="102"/>
      <c r="IH68" s="102"/>
      <c r="II68" s="102"/>
      <c r="IJ68" s="102"/>
      <c r="IK68" s="102"/>
      <c r="IL68" s="102"/>
      <c r="IM68" s="102"/>
      <c r="IN68" s="102"/>
      <c r="IO68" s="102"/>
      <c r="IP68" s="102"/>
      <c r="IQ68" s="102"/>
      <c r="IR68" s="102"/>
      <c r="IS68" s="102"/>
      <c r="IT68" s="102"/>
      <c r="IU68" s="102"/>
      <c r="IV68" s="102"/>
    </row>
    <row r="69" spans="1:256" s="101" customFormat="1" x14ac:dyDescent="0.35">
      <c r="A69" s="100"/>
      <c r="B69" s="100"/>
      <c r="C69" s="100"/>
      <c r="HK69" s="102"/>
      <c r="HL69" s="102"/>
      <c r="HM69" s="102"/>
      <c r="HN69" s="102"/>
      <c r="HO69" s="102"/>
      <c r="HP69" s="102"/>
      <c r="HQ69" s="102"/>
      <c r="HR69" s="102"/>
      <c r="HS69" s="102"/>
      <c r="HT69" s="102"/>
      <c r="HU69" s="102"/>
      <c r="HV69" s="102"/>
      <c r="HW69" s="102"/>
      <c r="HX69" s="102"/>
      <c r="HY69" s="102"/>
      <c r="HZ69" s="102"/>
      <c r="IA69" s="102"/>
      <c r="IB69" s="102"/>
      <c r="IC69" s="102"/>
      <c r="ID69" s="102"/>
      <c r="IE69" s="102"/>
      <c r="IF69" s="102"/>
      <c r="IG69" s="102"/>
      <c r="IH69" s="102"/>
      <c r="II69" s="102"/>
      <c r="IJ69" s="102"/>
      <c r="IK69" s="102"/>
      <c r="IL69" s="102"/>
      <c r="IM69" s="102"/>
      <c r="IN69" s="102"/>
      <c r="IO69" s="102"/>
      <c r="IP69" s="102"/>
      <c r="IQ69" s="102"/>
      <c r="IR69" s="102"/>
      <c r="IS69" s="102"/>
      <c r="IT69" s="102"/>
      <c r="IU69" s="102"/>
      <c r="IV69" s="102"/>
    </row>
    <row r="70" spans="1:256" s="101" customFormat="1" x14ac:dyDescent="0.35">
      <c r="A70" s="100"/>
      <c r="B70" s="100"/>
      <c r="C70" s="100"/>
      <c r="HK70" s="102"/>
      <c r="HL70" s="102"/>
      <c r="HM70" s="102"/>
      <c r="HN70" s="102"/>
      <c r="HO70" s="102"/>
      <c r="HP70" s="102"/>
      <c r="HQ70" s="102"/>
      <c r="HR70" s="102"/>
      <c r="HS70" s="102"/>
      <c r="HT70" s="102"/>
      <c r="HU70" s="102"/>
      <c r="HV70" s="102"/>
      <c r="HW70" s="102"/>
      <c r="HX70" s="102"/>
      <c r="HY70" s="102"/>
      <c r="HZ70" s="102"/>
      <c r="IA70" s="102"/>
      <c r="IB70" s="102"/>
      <c r="IC70" s="102"/>
      <c r="ID70" s="102"/>
      <c r="IE70" s="102"/>
      <c r="IF70" s="102"/>
      <c r="IG70" s="102"/>
      <c r="IH70" s="102"/>
      <c r="II70" s="102"/>
      <c r="IJ70" s="102"/>
      <c r="IK70" s="102"/>
      <c r="IL70" s="102"/>
      <c r="IM70" s="102"/>
      <c r="IN70" s="102"/>
      <c r="IO70" s="102"/>
      <c r="IP70" s="102"/>
      <c r="IQ70" s="102"/>
      <c r="IR70" s="102"/>
      <c r="IS70" s="102"/>
      <c r="IT70" s="102"/>
      <c r="IU70" s="102"/>
      <c r="IV70" s="102"/>
    </row>
    <row r="71" spans="1:256" s="101" customFormat="1" x14ac:dyDescent="0.35">
      <c r="A71" s="100"/>
      <c r="B71" s="100"/>
      <c r="C71" s="100"/>
      <c r="HK71" s="102"/>
      <c r="HL71" s="102"/>
      <c r="HM71" s="102"/>
      <c r="HN71" s="102"/>
      <c r="HO71" s="102"/>
      <c r="HP71" s="102"/>
      <c r="HQ71" s="102"/>
      <c r="HR71" s="102"/>
      <c r="HS71" s="102"/>
      <c r="HT71" s="102"/>
      <c r="HU71" s="102"/>
      <c r="HV71" s="102"/>
      <c r="HW71" s="102"/>
      <c r="HX71" s="102"/>
      <c r="HY71" s="102"/>
      <c r="HZ71" s="102"/>
      <c r="IA71" s="102"/>
      <c r="IB71" s="102"/>
      <c r="IC71" s="102"/>
      <c r="ID71" s="102"/>
      <c r="IE71" s="102"/>
      <c r="IF71" s="102"/>
      <c r="IG71" s="102"/>
      <c r="IH71" s="102"/>
      <c r="II71" s="102"/>
      <c r="IJ71" s="102"/>
      <c r="IK71" s="102"/>
      <c r="IL71" s="102"/>
      <c r="IM71" s="102"/>
      <c r="IN71" s="102"/>
      <c r="IO71" s="102"/>
      <c r="IP71" s="102"/>
      <c r="IQ71" s="102"/>
      <c r="IR71" s="102"/>
      <c r="IS71" s="102"/>
      <c r="IT71" s="102"/>
      <c r="IU71" s="102"/>
      <c r="IV71" s="102"/>
    </row>
    <row r="72" spans="1:256" s="101" customFormat="1" x14ac:dyDescent="0.35">
      <c r="A72" s="100"/>
      <c r="B72" s="100"/>
      <c r="C72" s="100"/>
      <c r="HK72" s="102"/>
      <c r="HL72" s="102"/>
      <c r="HM72" s="102"/>
      <c r="HN72" s="102"/>
      <c r="HO72" s="102"/>
      <c r="HP72" s="102"/>
      <c r="HQ72" s="102"/>
      <c r="HR72" s="102"/>
      <c r="HS72" s="102"/>
      <c r="HT72" s="102"/>
      <c r="HU72" s="102"/>
      <c r="HV72" s="102"/>
      <c r="HW72" s="102"/>
      <c r="HX72" s="102"/>
      <c r="HY72" s="102"/>
      <c r="HZ72" s="102"/>
      <c r="IA72" s="102"/>
      <c r="IB72" s="102"/>
      <c r="IC72" s="102"/>
      <c r="ID72" s="102"/>
      <c r="IE72" s="102"/>
      <c r="IF72" s="102"/>
      <c r="IG72" s="102"/>
      <c r="IH72" s="102"/>
      <c r="II72" s="102"/>
      <c r="IJ72" s="102"/>
      <c r="IK72" s="102"/>
      <c r="IL72" s="102"/>
      <c r="IM72" s="102"/>
      <c r="IN72" s="102"/>
      <c r="IO72" s="102"/>
      <c r="IP72" s="102"/>
      <c r="IQ72" s="102"/>
      <c r="IR72" s="102"/>
      <c r="IS72" s="102"/>
      <c r="IT72" s="102"/>
      <c r="IU72" s="102"/>
      <c r="IV72" s="102"/>
    </row>
    <row r="73" spans="1:256" s="101" customFormat="1" x14ac:dyDescent="0.35">
      <c r="A73" s="100"/>
      <c r="B73" s="100"/>
      <c r="C73" s="100"/>
      <c r="HK73" s="102"/>
      <c r="HL73" s="102"/>
      <c r="HM73" s="102"/>
      <c r="HN73" s="102"/>
      <c r="HO73" s="102"/>
      <c r="HP73" s="102"/>
      <c r="HQ73" s="102"/>
      <c r="HR73" s="102"/>
      <c r="HS73" s="102"/>
      <c r="HT73" s="102"/>
      <c r="HU73" s="102"/>
      <c r="HV73" s="102"/>
      <c r="HW73" s="102"/>
      <c r="HX73" s="102"/>
      <c r="HY73" s="102"/>
      <c r="HZ73" s="102"/>
      <c r="IA73" s="102"/>
      <c r="IB73" s="102"/>
      <c r="IC73" s="102"/>
      <c r="ID73" s="102"/>
      <c r="IE73" s="102"/>
      <c r="IF73" s="102"/>
      <c r="IG73" s="102"/>
      <c r="IH73" s="102"/>
      <c r="II73" s="102"/>
      <c r="IJ73" s="102"/>
      <c r="IK73" s="102"/>
      <c r="IL73" s="102"/>
      <c r="IM73" s="102"/>
      <c r="IN73" s="102"/>
      <c r="IO73" s="102"/>
      <c r="IP73" s="102"/>
      <c r="IQ73" s="102"/>
      <c r="IR73" s="102"/>
      <c r="IS73" s="102"/>
      <c r="IT73" s="102"/>
      <c r="IU73" s="102"/>
      <c r="IV73" s="102"/>
    </row>
    <row r="74" spans="1:256" s="101" customFormat="1" x14ac:dyDescent="0.35">
      <c r="A74" s="100"/>
      <c r="B74" s="100"/>
      <c r="C74" s="100"/>
      <c r="HK74" s="102"/>
      <c r="HL74" s="102"/>
      <c r="HM74" s="102"/>
      <c r="HN74" s="102"/>
      <c r="HO74" s="102"/>
      <c r="HP74" s="102"/>
      <c r="HQ74" s="102"/>
      <c r="HR74" s="102"/>
      <c r="HS74" s="102"/>
      <c r="HT74" s="102"/>
      <c r="HU74" s="102"/>
      <c r="HV74" s="102"/>
      <c r="HW74" s="102"/>
      <c r="HX74" s="102"/>
      <c r="HY74" s="102"/>
      <c r="HZ74" s="102"/>
      <c r="IA74" s="102"/>
      <c r="IB74" s="102"/>
      <c r="IC74" s="102"/>
      <c r="ID74" s="102"/>
      <c r="IE74" s="102"/>
      <c r="IF74" s="102"/>
      <c r="IG74" s="102"/>
      <c r="IH74" s="102"/>
      <c r="II74" s="102"/>
      <c r="IJ74" s="102"/>
      <c r="IK74" s="102"/>
      <c r="IL74" s="102"/>
      <c r="IM74" s="102"/>
      <c r="IN74" s="102"/>
      <c r="IO74" s="102"/>
      <c r="IP74" s="102"/>
      <c r="IQ74" s="102"/>
      <c r="IR74" s="102"/>
      <c r="IS74" s="102"/>
      <c r="IT74" s="102"/>
      <c r="IU74" s="102"/>
      <c r="IV74" s="102"/>
    </row>
    <row r="75" spans="1:256" s="101" customFormat="1" x14ac:dyDescent="0.35">
      <c r="A75" s="100"/>
      <c r="B75" s="100"/>
      <c r="C75" s="100"/>
      <c r="HK75" s="102"/>
      <c r="HL75" s="102"/>
      <c r="HM75" s="102"/>
      <c r="HN75" s="102"/>
      <c r="HO75" s="102"/>
      <c r="HP75" s="102"/>
      <c r="HQ75" s="102"/>
      <c r="HR75" s="102"/>
      <c r="HS75" s="102"/>
      <c r="HT75" s="102"/>
      <c r="HU75" s="102"/>
      <c r="HV75" s="102"/>
      <c r="HW75" s="102"/>
      <c r="HX75" s="102"/>
      <c r="HY75" s="102"/>
      <c r="HZ75" s="102"/>
      <c r="IA75" s="102"/>
      <c r="IB75" s="102"/>
      <c r="IC75" s="102"/>
      <c r="ID75" s="102"/>
      <c r="IE75" s="102"/>
      <c r="IF75" s="102"/>
      <c r="IG75" s="102"/>
      <c r="IH75" s="102"/>
      <c r="II75" s="102"/>
      <c r="IJ75" s="102"/>
      <c r="IK75" s="102"/>
      <c r="IL75" s="102"/>
      <c r="IM75" s="102"/>
      <c r="IN75" s="102"/>
      <c r="IO75" s="102"/>
      <c r="IP75" s="102"/>
      <c r="IQ75" s="102"/>
      <c r="IR75" s="102"/>
      <c r="IS75" s="102"/>
      <c r="IT75" s="102"/>
      <c r="IU75" s="102"/>
      <c r="IV75" s="102"/>
    </row>
    <row r="76" spans="1:256" s="101" customFormat="1" x14ac:dyDescent="0.35">
      <c r="A76" s="100"/>
      <c r="B76" s="100"/>
      <c r="C76" s="100"/>
      <c r="HK76" s="102"/>
      <c r="HL76" s="102"/>
      <c r="HM76" s="102"/>
      <c r="HN76" s="102"/>
      <c r="HO76" s="102"/>
      <c r="HP76" s="102"/>
      <c r="HQ76" s="102"/>
      <c r="HR76" s="102"/>
      <c r="HS76" s="102"/>
      <c r="HT76" s="102"/>
      <c r="HU76" s="102"/>
      <c r="HV76" s="102"/>
      <c r="HW76" s="102"/>
      <c r="HX76" s="102"/>
      <c r="HY76" s="102"/>
      <c r="HZ76" s="102"/>
      <c r="IA76" s="102"/>
      <c r="IB76" s="102"/>
      <c r="IC76" s="102"/>
      <c r="ID76" s="102"/>
      <c r="IE76" s="102"/>
      <c r="IF76" s="102"/>
      <c r="IG76" s="102"/>
      <c r="IH76" s="102"/>
      <c r="II76" s="102"/>
      <c r="IJ76" s="102"/>
      <c r="IK76" s="102"/>
      <c r="IL76" s="102"/>
      <c r="IM76" s="102"/>
      <c r="IN76" s="102"/>
      <c r="IO76" s="102"/>
      <c r="IP76" s="102"/>
      <c r="IQ76" s="102"/>
      <c r="IR76" s="102"/>
      <c r="IS76" s="102"/>
      <c r="IT76" s="102"/>
      <c r="IU76" s="102"/>
      <c r="IV76" s="102"/>
    </row>
    <row r="77" spans="1:256" s="101" customFormat="1" x14ac:dyDescent="0.35">
      <c r="A77" s="100"/>
      <c r="B77" s="100"/>
      <c r="C77" s="100"/>
      <c r="HK77" s="102"/>
      <c r="HL77" s="102"/>
      <c r="HM77" s="102"/>
      <c r="HN77" s="102"/>
      <c r="HO77" s="102"/>
      <c r="HP77" s="102"/>
      <c r="HQ77" s="102"/>
      <c r="HR77" s="102"/>
      <c r="HS77" s="102"/>
      <c r="HT77" s="102"/>
      <c r="HU77" s="102"/>
      <c r="HV77" s="102"/>
      <c r="HW77" s="102"/>
      <c r="HX77" s="102"/>
      <c r="HY77" s="102"/>
      <c r="HZ77" s="102"/>
      <c r="IA77" s="102"/>
      <c r="IB77" s="102"/>
      <c r="IC77" s="102"/>
      <c r="ID77" s="102"/>
      <c r="IE77" s="102"/>
      <c r="IF77" s="102"/>
      <c r="IG77" s="102"/>
      <c r="IH77" s="102"/>
      <c r="II77" s="102"/>
      <c r="IJ77" s="102"/>
      <c r="IK77" s="102"/>
      <c r="IL77" s="102"/>
      <c r="IM77" s="102"/>
      <c r="IN77" s="102"/>
      <c r="IO77" s="102"/>
      <c r="IP77" s="102"/>
      <c r="IQ77" s="102"/>
      <c r="IR77" s="102"/>
      <c r="IS77" s="102"/>
      <c r="IT77" s="102"/>
      <c r="IU77" s="102"/>
      <c r="IV77" s="102"/>
    </row>
    <row r="78" spans="1:256" s="101" customFormat="1" x14ac:dyDescent="0.35">
      <c r="A78" s="100"/>
      <c r="B78" s="100"/>
      <c r="C78" s="100"/>
      <c r="HK78" s="102"/>
      <c r="HL78" s="102"/>
      <c r="HM78" s="102"/>
      <c r="HN78" s="102"/>
      <c r="HO78" s="102"/>
      <c r="HP78" s="102"/>
      <c r="HQ78" s="102"/>
      <c r="HR78" s="102"/>
      <c r="HS78" s="102"/>
      <c r="HT78" s="102"/>
      <c r="HU78" s="102"/>
      <c r="HV78" s="102"/>
      <c r="HW78" s="102"/>
      <c r="HX78" s="102"/>
      <c r="HY78" s="102"/>
      <c r="HZ78" s="102"/>
      <c r="IA78" s="102"/>
      <c r="IB78" s="102"/>
      <c r="IC78" s="102"/>
      <c r="ID78" s="102"/>
      <c r="IE78" s="102"/>
      <c r="IF78" s="102"/>
      <c r="IG78" s="102"/>
      <c r="IH78" s="102"/>
      <c r="II78" s="102"/>
      <c r="IJ78" s="102"/>
      <c r="IK78" s="102"/>
      <c r="IL78" s="102"/>
      <c r="IM78" s="102"/>
      <c r="IN78" s="102"/>
      <c r="IO78" s="102"/>
      <c r="IP78" s="102"/>
      <c r="IQ78" s="102"/>
      <c r="IR78" s="102"/>
      <c r="IS78" s="102"/>
      <c r="IT78" s="102"/>
      <c r="IU78" s="102"/>
      <c r="IV78" s="102"/>
    </row>
    <row r="79" spans="1:256" s="101" customFormat="1" x14ac:dyDescent="0.35">
      <c r="A79" s="100"/>
      <c r="B79" s="100"/>
      <c r="C79" s="100"/>
      <c r="HK79" s="102"/>
      <c r="HL79" s="102"/>
      <c r="HM79" s="102"/>
      <c r="HN79" s="102"/>
      <c r="HO79" s="102"/>
      <c r="HP79" s="102"/>
      <c r="HQ79" s="102"/>
      <c r="HR79" s="102"/>
      <c r="HS79" s="102"/>
      <c r="HT79" s="102"/>
      <c r="HU79" s="102"/>
      <c r="HV79" s="102"/>
      <c r="HW79" s="102"/>
      <c r="HX79" s="102"/>
      <c r="HY79" s="102"/>
      <c r="HZ79" s="102"/>
      <c r="IA79" s="102"/>
      <c r="IB79" s="102"/>
      <c r="IC79" s="102"/>
      <c r="ID79" s="102"/>
      <c r="IE79" s="102"/>
      <c r="IF79" s="102"/>
      <c r="IG79" s="102"/>
      <c r="IH79" s="102"/>
      <c r="II79" s="102"/>
      <c r="IJ79" s="102"/>
      <c r="IK79" s="102"/>
      <c r="IL79" s="102"/>
      <c r="IM79" s="102"/>
      <c r="IN79" s="102"/>
      <c r="IO79" s="102"/>
      <c r="IP79" s="102"/>
      <c r="IQ79" s="102"/>
      <c r="IR79" s="102"/>
      <c r="IS79" s="102"/>
      <c r="IT79" s="102"/>
      <c r="IU79" s="102"/>
      <c r="IV79" s="102"/>
    </row>
    <row r="80" spans="1:256" s="101" customFormat="1" x14ac:dyDescent="0.35">
      <c r="A80" s="100"/>
      <c r="B80" s="100"/>
      <c r="C80" s="100"/>
      <c r="HK80" s="102"/>
      <c r="HL80" s="102"/>
      <c r="HM80" s="102"/>
      <c r="HN80" s="102"/>
      <c r="HO80" s="102"/>
      <c r="HP80" s="102"/>
      <c r="HQ80" s="102"/>
      <c r="HR80" s="102"/>
      <c r="HS80" s="102"/>
      <c r="HT80" s="102"/>
      <c r="HU80" s="102"/>
      <c r="HV80" s="102"/>
      <c r="HW80" s="102"/>
      <c r="HX80" s="102"/>
      <c r="HY80" s="102"/>
      <c r="HZ80" s="102"/>
      <c r="IA80" s="102"/>
      <c r="IB80" s="102"/>
      <c r="IC80" s="102"/>
      <c r="ID80" s="102"/>
      <c r="IE80" s="102"/>
      <c r="IF80" s="102"/>
      <c r="IG80" s="102"/>
      <c r="IH80" s="102"/>
      <c r="II80" s="102"/>
      <c r="IJ80" s="102"/>
      <c r="IK80" s="102"/>
      <c r="IL80" s="102"/>
      <c r="IM80" s="102"/>
      <c r="IN80" s="102"/>
      <c r="IO80" s="102"/>
      <c r="IP80" s="102"/>
      <c r="IQ80" s="102"/>
      <c r="IR80" s="102"/>
      <c r="IS80" s="102"/>
      <c r="IT80" s="102"/>
      <c r="IU80" s="102"/>
      <c r="IV80" s="102"/>
    </row>
    <row r="81" spans="1:256" s="101" customFormat="1" x14ac:dyDescent="0.35">
      <c r="A81" s="100"/>
      <c r="B81" s="100"/>
      <c r="C81" s="100"/>
      <c r="HK81" s="102"/>
      <c r="HL81" s="102"/>
      <c r="HM81" s="102"/>
      <c r="HN81" s="102"/>
      <c r="HO81" s="102"/>
      <c r="HP81" s="102"/>
      <c r="HQ81" s="102"/>
      <c r="HR81" s="102"/>
      <c r="HS81" s="102"/>
      <c r="HT81" s="102"/>
      <c r="HU81" s="102"/>
      <c r="HV81" s="102"/>
      <c r="HW81" s="102"/>
      <c r="HX81" s="102"/>
      <c r="HY81" s="102"/>
      <c r="HZ81" s="102"/>
      <c r="IA81" s="102"/>
      <c r="IB81" s="102"/>
      <c r="IC81" s="102"/>
      <c r="ID81" s="102"/>
      <c r="IE81" s="102"/>
      <c r="IF81" s="102"/>
      <c r="IG81" s="102"/>
      <c r="IH81" s="102"/>
      <c r="II81" s="102"/>
      <c r="IJ81" s="102"/>
      <c r="IK81" s="102"/>
      <c r="IL81" s="102"/>
      <c r="IM81" s="102"/>
      <c r="IN81" s="102"/>
      <c r="IO81" s="102"/>
      <c r="IP81" s="102"/>
      <c r="IQ81" s="102"/>
      <c r="IR81" s="102"/>
      <c r="IS81" s="102"/>
      <c r="IT81" s="102"/>
      <c r="IU81" s="102"/>
      <c r="IV81" s="102"/>
    </row>
    <row r="82" spans="1:256" s="101" customFormat="1" x14ac:dyDescent="0.35">
      <c r="A82" s="100"/>
      <c r="B82" s="100"/>
      <c r="C82" s="100"/>
      <c r="HK82" s="102"/>
      <c r="HL82" s="102"/>
      <c r="HM82" s="102"/>
      <c r="HN82" s="102"/>
      <c r="HO82" s="102"/>
      <c r="HP82" s="102"/>
      <c r="HQ82" s="102"/>
      <c r="HR82" s="102"/>
      <c r="HS82" s="102"/>
      <c r="HT82" s="102"/>
      <c r="HU82" s="102"/>
      <c r="HV82" s="102"/>
      <c r="HW82" s="102"/>
      <c r="HX82" s="102"/>
      <c r="HY82" s="102"/>
      <c r="HZ82" s="102"/>
      <c r="IA82" s="102"/>
      <c r="IB82" s="102"/>
      <c r="IC82" s="102"/>
      <c r="ID82" s="102"/>
      <c r="IE82" s="102"/>
      <c r="IF82" s="102"/>
      <c r="IG82" s="102"/>
      <c r="IH82" s="102"/>
      <c r="II82" s="102"/>
      <c r="IJ82" s="102"/>
      <c r="IK82" s="102"/>
      <c r="IL82" s="102"/>
      <c r="IM82" s="102"/>
      <c r="IN82" s="102"/>
      <c r="IO82" s="102"/>
      <c r="IP82" s="102"/>
      <c r="IQ82" s="102"/>
      <c r="IR82" s="102"/>
      <c r="IS82" s="102"/>
      <c r="IT82" s="102"/>
      <c r="IU82" s="102"/>
      <c r="IV82" s="102"/>
    </row>
    <row r="83" spans="1:256" s="101" customFormat="1" x14ac:dyDescent="0.35">
      <c r="A83" s="100"/>
      <c r="B83" s="100"/>
      <c r="C83" s="100"/>
      <c r="HK83" s="102"/>
      <c r="HL83" s="102"/>
      <c r="HM83" s="102"/>
      <c r="HN83" s="102"/>
      <c r="HO83" s="102"/>
      <c r="HP83" s="102"/>
      <c r="HQ83" s="102"/>
      <c r="HR83" s="102"/>
      <c r="HS83" s="102"/>
      <c r="HT83" s="102"/>
      <c r="HU83" s="102"/>
      <c r="HV83" s="102"/>
      <c r="HW83" s="102"/>
      <c r="HX83" s="102"/>
      <c r="HY83" s="102"/>
      <c r="HZ83" s="102"/>
      <c r="IA83" s="102"/>
      <c r="IB83" s="102"/>
      <c r="IC83" s="102"/>
      <c r="ID83" s="102"/>
      <c r="IE83" s="102"/>
      <c r="IF83" s="102"/>
      <c r="IG83" s="102"/>
      <c r="IH83" s="102"/>
      <c r="II83" s="102"/>
      <c r="IJ83" s="102"/>
      <c r="IK83" s="102"/>
      <c r="IL83" s="102"/>
      <c r="IM83" s="102"/>
      <c r="IN83" s="102"/>
      <c r="IO83" s="102"/>
      <c r="IP83" s="102"/>
      <c r="IQ83" s="102"/>
      <c r="IR83" s="102"/>
      <c r="IS83" s="102"/>
      <c r="IT83" s="102"/>
      <c r="IU83" s="102"/>
      <c r="IV83" s="102"/>
    </row>
    <row r="84" spans="1:256" s="101" customFormat="1" x14ac:dyDescent="0.35">
      <c r="A84" s="100"/>
      <c r="B84" s="100"/>
      <c r="C84" s="100"/>
      <c r="HK84" s="102"/>
      <c r="HL84" s="102"/>
      <c r="HM84" s="102"/>
      <c r="HN84" s="102"/>
      <c r="HO84" s="102"/>
      <c r="HP84" s="102"/>
      <c r="HQ84" s="102"/>
      <c r="HR84" s="102"/>
      <c r="HS84" s="102"/>
      <c r="HT84" s="102"/>
      <c r="HU84" s="102"/>
      <c r="HV84" s="102"/>
      <c r="HW84" s="102"/>
      <c r="HX84" s="102"/>
      <c r="HY84" s="102"/>
      <c r="HZ84" s="102"/>
      <c r="IA84" s="102"/>
      <c r="IB84" s="102"/>
      <c r="IC84" s="102"/>
      <c r="ID84" s="102"/>
      <c r="IE84" s="102"/>
      <c r="IF84" s="102"/>
      <c r="IG84" s="102"/>
      <c r="IH84" s="102"/>
      <c r="II84" s="102"/>
      <c r="IJ84" s="102"/>
      <c r="IK84" s="102"/>
      <c r="IL84" s="102"/>
      <c r="IM84" s="102"/>
      <c r="IN84" s="102"/>
      <c r="IO84" s="102"/>
      <c r="IP84" s="102"/>
      <c r="IQ84" s="102"/>
      <c r="IR84" s="102"/>
      <c r="IS84" s="102"/>
      <c r="IT84" s="102"/>
      <c r="IU84" s="102"/>
      <c r="IV84" s="102"/>
    </row>
    <row r="85" spans="1:256" s="101" customFormat="1" x14ac:dyDescent="0.35">
      <c r="A85" s="100"/>
      <c r="B85" s="100"/>
      <c r="C85" s="100"/>
      <c r="HK85" s="102"/>
      <c r="HL85" s="102"/>
      <c r="HM85" s="102"/>
      <c r="HN85" s="102"/>
      <c r="HO85" s="102"/>
      <c r="HP85" s="102"/>
      <c r="HQ85" s="102"/>
      <c r="HR85" s="102"/>
      <c r="HS85" s="102"/>
      <c r="HT85" s="102"/>
      <c r="HU85" s="102"/>
      <c r="HV85" s="102"/>
      <c r="HW85" s="102"/>
      <c r="HX85" s="102"/>
      <c r="HY85" s="102"/>
      <c r="HZ85" s="102"/>
      <c r="IA85" s="102"/>
      <c r="IB85" s="102"/>
      <c r="IC85" s="102"/>
      <c r="ID85" s="102"/>
      <c r="IE85" s="102"/>
      <c r="IF85" s="102"/>
      <c r="IG85" s="102"/>
      <c r="IH85" s="102"/>
      <c r="II85" s="102"/>
      <c r="IJ85" s="102"/>
      <c r="IK85" s="102"/>
      <c r="IL85" s="102"/>
      <c r="IM85" s="102"/>
      <c r="IN85" s="102"/>
      <c r="IO85" s="102"/>
      <c r="IP85" s="102"/>
      <c r="IQ85" s="102"/>
      <c r="IR85" s="102"/>
      <c r="IS85" s="102"/>
      <c r="IT85" s="102"/>
      <c r="IU85" s="102"/>
      <c r="IV85" s="102"/>
    </row>
    <row r="86" spans="1:256" s="101" customFormat="1" x14ac:dyDescent="0.35">
      <c r="A86" s="100"/>
      <c r="B86" s="100"/>
      <c r="C86" s="100"/>
      <c r="HK86" s="102"/>
      <c r="HL86" s="102"/>
      <c r="HM86" s="102"/>
      <c r="HN86" s="102"/>
      <c r="HO86" s="102"/>
      <c r="HP86" s="102"/>
      <c r="HQ86" s="102"/>
      <c r="HR86" s="102"/>
      <c r="HS86" s="102"/>
      <c r="HT86" s="102"/>
      <c r="HU86" s="102"/>
      <c r="HV86" s="102"/>
      <c r="HW86" s="102"/>
      <c r="HX86" s="102"/>
      <c r="HY86" s="102"/>
      <c r="HZ86" s="102"/>
      <c r="IA86" s="102"/>
      <c r="IB86" s="102"/>
      <c r="IC86" s="102"/>
      <c r="ID86" s="102"/>
      <c r="IE86" s="102"/>
      <c r="IF86" s="102"/>
      <c r="IG86" s="102"/>
      <c r="IH86" s="102"/>
      <c r="II86" s="102"/>
      <c r="IJ86" s="102"/>
      <c r="IK86" s="102"/>
      <c r="IL86" s="102"/>
      <c r="IM86" s="102"/>
      <c r="IN86" s="102"/>
      <c r="IO86" s="102"/>
      <c r="IP86" s="102"/>
      <c r="IQ86" s="102"/>
      <c r="IR86" s="102"/>
      <c r="IS86" s="102"/>
      <c r="IT86" s="102"/>
      <c r="IU86" s="102"/>
      <c r="IV86" s="102"/>
    </row>
    <row r="87" spans="1:256" s="101" customFormat="1" x14ac:dyDescent="0.35">
      <c r="A87" s="100"/>
      <c r="B87" s="100"/>
      <c r="C87" s="100"/>
      <c r="HK87" s="102"/>
      <c r="HL87" s="102"/>
      <c r="HM87" s="102"/>
      <c r="HN87" s="102"/>
      <c r="HO87" s="102"/>
      <c r="HP87" s="102"/>
      <c r="HQ87" s="102"/>
      <c r="HR87" s="102"/>
      <c r="HS87" s="102"/>
      <c r="HT87" s="102"/>
      <c r="HU87" s="102"/>
      <c r="HV87" s="102"/>
      <c r="HW87" s="102"/>
      <c r="HX87" s="102"/>
      <c r="HY87" s="102"/>
      <c r="HZ87" s="102"/>
      <c r="IA87" s="102"/>
      <c r="IB87" s="102"/>
      <c r="IC87" s="102"/>
      <c r="ID87" s="102"/>
      <c r="IE87" s="102"/>
      <c r="IF87" s="102"/>
      <c r="IG87" s="102"/>
      <c r="IH87" s="102"/>
      <c r="II87" s="102"/>
      <c r="IJ87" s="102"/>
      <c r="IK87" s="102"/>
      <c r="IL87" s="102"/>
      <c r="IM87" s="102"/>
      <c r="IN87" s="102"/>
      <c r="IO87" s="102"/>
      <c r="IP87" s="102"/>
      <c r="IQ87" s="102"/>
      <c r="IR87" s="102"/>
      <c r="IS87" s="102"/>
      <c r="IT87" s="102"/>
      <c r="IU87" s="102"/>
      <c r="IV87" s="102"/>
    </row>
    <row r="88" spans="1:256" s="101" customFormat="1" x14ac:dyDescent="0.35">
      <c r="A88" s="100"/>
      <c r="B88" s="100"/>
      <c r="C88" s="100"/>
      <c r="HK88" s="102"/>
      <c r="HL88" s="102"/>
      <c r="HM88" s="102"/>
      <c r="HN88" s="102"/>
      <c r="HO88" s="102"/>
      <c r="HP88" s="102"/>
      <c r="HQ88" s="102"/>
      <c r="HR88" s="102"/>
      <c r="HS88" s="102"/>
      <c r="HT88" s="102"/>
      <c r="HU88" s="102"/>
      <c r="HV88" s="102"/>
      <c r="HW88" s="102"/>
      <c r="HX88" s="102"/>
      <c r="HY88" s="102"/>
      <c r="HZ88" s="102"/>
      <c r="IA88" s="102"/>
      <c r="IB88" s="102"/>
      <c r="IC88" s="102"/>
      <c r="ID88" s="102"/>
      <c r="IE88" s="102"/>
      <c r="IF88" s="102"/>
      <c r="IG88" s="102"/>
      <c r="IH88" s="102"/>
      <c r="II88" s="102"/>
      <c r="IJ88" s="102"/>
      <c r="IK88" s="102"/>
      <c r="IL88" s="102"/>
      <c r="IM88" s="102"/>
      <c r="IN88" s="102"/>
      <c r="IO88" s="102"/>
      <c r="IP88" s="102"/>
      <c r="IQ88" s="102"/>
      <c r="IR88" s="102"/>
      <c r="IS88" s="102"/>
      <c r="IT88" s="102"/>
      <c r="IU88" s="102"/>
      <c r="IV88" s="102"/>
    </row>
    <row r="89" spans="1:256" s="101" customFormat="1" x14ac:dyDescent="0.35">
      <c r="A89" s="100"/>
      <c r="B89" s="100"/>
      <c r="C89" s="100"/>
      <c r="HK89" s="102"/>
      <c r="HL89" s="102"/>
      <c r="HM89" s="102"/>
      <c r="HN89" s="102"/>
      <c r="HO89" s="102"/>
      <c r="HP89" s="102"/>
      <c r="HQ89" s="102"/>
      <c r="HR89" s="102"/>
      <c r="HS89" s="102"/>
      <c r="HT89" s="102"/>
      <c r="HU89" s="102"/>
      <c r="HV89" s="102"/>
      <c r="HW89" s="102"/>
      <c r="HX89" s="102"/>
      <c r="HY89" s="102"/>
      <c r="HZ89" s="102"/>
      <c r="IA89" s="102"/>
      <c r="IB89" s="102"/>
      <c r="IC89" s="102"/>
      <c r="ID89" s="102"/>
      <c r="IE89" s="102"/>
      <c r="IF89" s="102"/>
      <c r="IG89" s="102"/>
      <c r="IH89" s="102"/>
      <c r="II89" s="102"/>
      <c r="IJ89" s="102"/>
      <c r="IK89" s="102"/>
      <c r="IL89" s="102"/>
      <c r="IM89" s="102"/>
      <c r="IN89" s="102"/>
      <c r="IO89" s="102"/>
      <c r="IP89" s="102"/>
      <c r="IQ89" s="102"/>
      <c r="IR89" s="102"/>
      <c r="IS89" s="102"/>
      <c r="IT89" s="102"/>
      <c r="IU89" s="102"/>
      <c r="IV89" s="102"/>
    </row>
    <row r="90" spans="1:256" s="101" customFormat="1" x14ac:dyDescent="0.35">
      <c r="A90" s="100"/>
      <c r="B90" s="100"/>
      <c r="C90" s="100"/>
      <c r="HK90" s="102"/>
      <c r="HL90" s="102"/>
      <c r="HM90" s="102"/>
      <c r="HN90" s="102"/>
      <c r="HO90" s="102"/>
      <c r="HP90" s="102"/>
      <c r="HQ90" s="102"/>
      <c r="HR90" s="102"/>
      <c r="HS90" s="102"/>
      <c r="HT90" s="102"/>
      <c r="HU90" s="102"/>
      <c r="HV90" s="102"/>
      <c r="HW90" s="102"/>
      <c r="HX90" s="102"/>
      <c r="HY90" s="102"/>
      <c r="HZ90" s="102"/>
      <c r="IA90" s="102"/>
      <c r="IB90" s="102"/>
      <c r="IC90" s="102"/>
      <c r="ID90" s="102"/>
      <c r="IE90" s="102"/>
      <c r="IF90" s="102"/>
      <c r="IG90" s="102"/>
      <c r="IH90" s="102"/>
      <c r="II90" s="102"/>
      <c r="IJ90" s="102"/>
      <c r="IK90" s="102"/>
      <c r="IL90" s="102"/>
      <c r="IM90" s="102"/>
      <c r="IN90" s="102"/>
      <c r="IO90" s="102"/>
      <c r="IP90" s="102"/>
      <c r="IQ90" s="102"/>
      <c r="IR90" s="102"/>
      <c r="IS90" s="102"/>
      <c r="IT90" s="102"/>
      <c r="IU90" s="102"/>
      <c r="IV90" s="102"/>
    </row>
    <row r="91" spans="1:256" s="101" customFormat="1" x14ac:dyDescent="0.35">
      <c r="A91" s="100"/>
      <c r="B91" s="100"/>
      <c r="C91" s="100"/>
      <c r="HK91" s="102"/>
      <c r="HL91" s="102"/>
      <c r="HM91" s="102"/>
      <c r="HN91" s="102"/>
      <c r="HO91" s="102"/>
      <c r="HP91" s="102"/>
      <c r="HQ91" s="102"/>
      <c r="HR91" s="102"/>
      <c r="HS91" s="102"/>
      <c r="HT91" s="102"/>
      <c r="HU91" s="102"/>
      <c r="HV91" s="102"/>
      <c r="HW91" s="102"/>
      <c r="HX91" s="102"/>
      <c r="HY91" s="102"/>
      <c r="HZ91" s="102"/>
      <c r="IA91" s="102"/>
      <c r="IB91" s="102"/>
      <c r="IC91" s="102"/>
      <c r="ID91" s="102"/>
      <c r="IE91" s="102"/>
      <c r="IF91" s="102"/>
      <c r="IG91" s="102"/>
      <c r="IH91" s="102"/>
      <c r="II91" s="102"/>
      <c r="IJ91" s="102"/>
      <c r="IK91" s="102"/>
      <c r="IL91" s="102"/>
      <c r="IM91" s="102"/>
      <c r="IN91" s="102"/>
      <c r="IO91" s="102"/>
      <c r="IP91" s="102"/>
      <c r="IQ91" s="102"/>
      <c r="IR91" s="102"/>
      <c r="IS91" s="102"/>
      <c r="IT91" s="102"/>
      <c r="IU91" s="102"/>
      <c r="IV91" s="102"/>
    </row>
    <row r="92" spans="1:256" s="101" customFormat="1" x14ac:dyDescent="0.35">
      <c r="A92" s="100"/>
      <c r="B92" s="100"/>
      <c r="C92" s="100"/>
      <c r="HK92" s="102"/>
      <c r="HL92" s="102"/>
      <c r="HM92" s="102"/>
      <c r="HN92" s="102"/>
      <c r="HO92" s="102"/>
      <c r="HP92" s="102"/>
      <c r="HQ92" s="102"/>
      <c r="HR92" s="102"/>
      <c r="HS92" s="102"/>
      <c r="HT92" s="102"/>
      <c r="HU92" s="102"/>
      <c r="HV92" s="102"/>
      <c r="HW92" s="102"/>
      <c r="HX92" s="102"/>
      <c r="HY92" s="102"/>
      <c r="HZ92" s="102"/>
      <c r="IA92" s="102"/>
      <c r="IB92" s="102"/>
      <c r="IC92" s="102"/>
      <c r="ID92" s="102"/>
      <c r="IE92" s="102"/>
      <c r="IF92" s="102"/>
      <c r="IG92" s="102"/>
      <c r="IH92" s="102"/>
      <c r="II92" s="102"/>
      <c r="IJ92" s="102"/>
      <c r="IK92" s="102"/>
      <c r="IL92" s="102"/>
      <c r="IM92" s="102"/>
      <c r="IN92" s="102"/>
      <c r="IO92" s="102"/>
      <c r="IP92" s="102"/>
      <c r="IQ92" s="102"/>
      <c r="IR92" s="102"/>
      <c r="IS92" s="102"/>
      <c r="IT92" s="102"/>
      <c r="IU92" s="102"/>
      <c r="IV92" s="102"/>
    </row>
    <row r="93" spans="1:256" s="101" customFormat="1" x14ac:dyDescent="0.35">
      <c r="A93" s="100"/>
      <c r="B93" s="100"/>
      <c r="C93" s="100"/>
      <c r="HK93" s="102"/>
      <c r="HL93" s="102"/>
      <c r="HM93" s="102"/>
      <c r="HN93" s="102"/>
      <c r="HO93" s="102"/>
      <c r="HP93" s="102"/>
      <c r="HQ93" s="102"/>
      <c r="HR93" s="102"/>
      <c r="HS93" s="102"/>
      <c r="HT93" s="102"/>
      <c r="HU93" s="102"/>
      <c r="HV93" s="102"/>
      <c r="HW93" s="102"/>
      <c r="HX93" s="102"/>
      <c r="HY93" s="102"/>
      <c r="HZ93" s="102"/>
      <c r="IA93" s="102"/>
      <c r="IB93" s="102"/>
      <c r="IC93" s="102"/>
      <c r="ID93" s="102"/>
      <c r="IE93" s="102"/>
      <c r="IF93" s="102"/>
      <c r="IG93" s="102"/>
      <c r="IH93" s="102"/>
      <c r="II93" s="102"/>
      <c r="IJ93" s="102"/>
      <c r="IK93" s="102"/>
      <c r="IL93" s="102"/>
      <c r="IM93" s="102"/>
      <c r="IN93" s="102"/>
      <c r="IO93" s="102"/>
      <c r="IP93" s="102"/>
      <c r="IQ93" s="102"/>
      <c r="IR93" s="102"/>
      <c r="IS93" s="102"/>
      <c r="IT93" s="102"/>
      <c r="IU93" s="102"/>
      <c r="IV93" s="102"/>
    </row>
    <row r="94" spans="1:256" s="101" customFormat="1" x14ac:dyDescent="0.35">
      <c r="A94" s="100"/>
      <c r="B94" s="100"/>
      <c r="C94" s="100"/>
      <c r="HK94" s="102"/>
      <c r="HL94" s="102"/>
      <c r="HM94" s="102"/>
      <c r="HN94" s="102"/>
      <c r="HO94" s="102"/>
      <c r="HP94" s="102"/>
      <c r="HQ94" s="102"/>
      <c r="HR94" s="102"/>
      <c r="HS94" s="102"/>
      <c r="HT94" s="102"/>
      <c r="HU94" s="102"/>
      <c r="HV94" s="102"/>
      <c r="HW94" s="102"/>
      <c r="HX94" s="102"/>
      <c r="HY94" s="102"/>
      <c r="HZ94" s="102"/>
      <c r="IA94" s="102"/>
      <c r="IB94" s="102"/>
      <c r="IC94" s="102"/>
      <c r="ID94" s="102"/>
      <c r="IE94" s="102"/>
      <c r="IF94" s="102"/>
      <c r="IG94" s="102"/>
      <c r="IH94" s="102"/>
      <c r="II94" s="102"/>
      <c r="IJ94" s="102"/>
      <c r="IK94" s="102"/>
      <c r="IL94" s="102"/>
      <c r="IM94" s="102"/>
      <c r="IN94" s="102"/>
      <c r="IO94" s="102"/>
      <c r="IP94" s="102"/>
      <c r="IQ94" s="102"/>
      <c r="IR94" s="102"/>
      <c r="IS94" s="102"/>
      <c r="IT94" s="102"/>
      <c r="IU94" s="102"/>
      <c r="IV94" s="102"/>
    </row>
    <row r="95" spans="1:256" s="101" customFormat="1" x14ac:dyDescent="0.35">
      <c r="A95" s="100"/>
      <c r="B95" s="100"/>
      <c r="C95" s="100"/>
      <c r="HK95" s="102"/>
      <c r="HL95" s="102"/>
      <c r="HM95" s="102"/>
      <c r="HN95" s="102"/>
      <c r="HO95" s="102"/>
      <c r="HP95" s="102"/>
      <c r="HQ95" s="102"/>
      <c r="HR95" s="102"/>
      <c r="HS95" s="102"/>
      <c r="HT95" s="102"/>
      <c r="HU95" s="102"/>
      <c r="HV95" s="102"/>
      <c r="HW95" s="102"/>
      <c r="HX95" s="102"/>
      <c r="HY95" s="102"/>
      <c r="HZ95" s="102"/>
      <c r="IA95" s="102"/>
      <c r="IB95" s="102"/>
      <c r="IC95" s="102"/>
      <c r="ID95" s="102"/>
      <c r="IE95" s="102"/>
      <c r="IF95" s="102"/>
      <c r="IG95" s="102"/>
      <c r="IH95" s="102"/>
      <c r="II95" s="102"/>
      <c r="IJ95" s="102"/>
      <c r="IK95" s="102"/>
      <c r="IL95" s="102"/>
      <c r="IM95" s="102"/>
      <c r="IN95" s="102"/>
      <c r="IO95" s="102"/>
      <c r="IP95" s="102"/>
      <c r="IQ95" s="102"/>
      <c r="IR95" s="102"/>
      <c r="IS95" s="102"/>
      <c r="IT95" s="102"/>
      <c r="IU95" s="102"/>
      <c r="IV95" s="102"/>
    </row>
    <row r="96" spans="1:256" s="101" customFormat="1" x14ac:dyDescent="0.35">
      <c r="A96" s="100"/>
      <c r="B96" s="100"/>
      <c r="C96" s="100"/>
      <c r="HK96" s="102"/>
      <c r="HL96" s="102"/>
      <c r="HM96" s="102"/>
      <c r="HN96" s="102"/>
      <c r="HO96" s="102"/>
      <c r="HP96" s="102"/>
      <c r="HQ96" s="102"/>
      <c r="HR96" s="102"/>
      <c r="HS96" s="102"/>
      <c r="HT96" s="102"/>
      <c r="HU96" s="102"/>
      <c r="HV96" s="102"/>
      <c r="HW96" s="102"/>
      <c r="HX96" s="102"/>
      <c r="HY96" s="102"/>
      <c r="HZ96" s="102"/>
      <c r="IA96" s="102"/>
      <c r="IB96" s="102"/>
      <c r="IC96" s="102"/>
      <c r="ID96" s="102"/>
      <c r="IE96" s="102"/>
      <c r="IF96" s="102"/>
      <c r="IG96" s="102"/>
      <c r="IH96" s="102"/>
      <c r="II96" s="102"/>
      <c r="IJ96" s="102"/>
      <c r="IK96" s="102"/>
      <c r="IL96" s="102"/>
      <c r="IM96" s="102"/>
      <c r="IN96" s="102"/>
      <c r="IO96" s="102"/>
      <c r="IP96" s="102"/>
      <c r="IQ96" s="102"/>
      <c r="IR96" s="102"/>
      <c r="IS96" s="102"/>
      <c r="IT96" s="102"/>
      <c r="IU96" s="102"/>
      <c r="IV96" s="102"/>
    </row>
    <row r="97" spans="1:256" s="101" customFormat="1" x14ac:dyDescent="0.35">
      <c r="A97" s="100"/>
      <c r="B97" s="100"/>
      <c r="C97" s="100"/>
      <c r="HK97" s="102"/>
      <c r="HL97" s="102"/>
      <c r="HM97" s="102"/>
      <c r="HN97" s="102"/>
      <c r="HO97" s="102"/>
      <c r="HP97" s="102"/>
      <c r="HQ97" s="102"/>
      <c r="HR97" s="102"/>
      <c r="HS97" s="102"/>
      <c r="HT97" s="102"/>
      <c r="HU97" s="102"/>
      <c r="HV97" s="102"/>
      <c r="HW97" s="102"/>
      <c r="HX97" s="102"/>
      <c r="HY97" s="102"/>
      <c r="HZ97" s="102"/>
      <c r="IA97" s="102"/>
      <c r="IB97" s="102"/>
      <c r="IC97" s="102"/>
      <c r="ID97" s="102"/>
      <c r="IE97" s="102"/>
      <c r="IF97" s="102"/>
      <c r="IG97" s="102"/>
      <c r="IH97" s="102"/>
      <c r="II97" s="102"/>
      <c r="IJ97" s="102"/>
      <c r="IK97" s="102"/>
      <c r="IL97" s="102"/>
      <c r="IM97" s="102"/>
      <c r="IN97" s="102"/>
      <c r="IO97" s="102"/>
      <c r="IP97" s="102"/>
      <c r="IQ97" s="102"/>
      <c r="IR97" s="102"/>
      <c r="IS97" s="102"/>
      <c r="IT97" s="102"/>
      <c r="IU97" s="102"/>
      <c r="IV97" s="102"/>
    </row>
    <row r="98" spans="1:256" s="101" customFormat="1" x14ac:dyDescent="0.35">
      <c r="A98" s="100"/>
      <c r="B98" s="100"/>
      <c r="C98" s="100"/>
      <c r="HK98" s="102"/>
      <c r="HL98" s="102"/>
      <c r="HM98" s="102"/>
      <c r="HN98" s="102"/>
      <c r="HO98" s="102"/>
      <c r="HP98" s="102"/>
      <c r="HQ98" s="102"/>
      <c r="HR98" s="102"/>
      <c r="HS98" s="102"/>
      <c r="HT98" s="102"/>
      <c r="HU98" s="102"/>
      <c r="HV98" s="102"/>
      <c r="HW98" s="102"/>
      <c r="HX98" s="102"/>
      <c r="HY98" s="102"/>
      <c r="HZ98" s="102"/>
      <c r="IA98" s="102"/>
      <c r="IB98" s="102"/>
      <c r="IC98" s="102"/>
      <c r="ID98" s="102"/>
      <c r="IE98" s="102"/>
      <c r="IF98" s="102"/>
      <c r="IG98" s="102"/>
      <c r="IH98" s="102"/>
      <c r="II98" s="102"/>
      <c r="IJ98" s="102"/>
      <c r="IK98" s="102"/>
      <c r="IL98" s="102"/>
      <c r="IM98" s="102"/>
      <c r="IN98" s="102"/>
      <c r="IO98" s="102"/>
      <c r="IP98" s="102"/>
      <c r="IQ98" s="102"/>
      <c r="IR98" s="102"/>
      <c r="IS98" s="102"/>
      <c r="IT98" s="102"/>
      <c r="IU98" s="102"/>
      <c r="IV98" s="102"/>
    </row>
    <row r="99" spans="1:256" s="101" customFormat="1" x14ac:dyDescent="0.35">
      <c r="A99" s="100"/>
      <c r="B99" s="100"/>
      <c r="C99" s="100"/>
      <c r="HK99" s="102"/>
      <c r="HL99" s="102"/>
      <c r="HM99" s="102"/>
      <c r="HN99" s="102"/>
      <c r="HO99" s="102"/>
      <c r="HP99" s="102"/>
      <c r="HQ99" s="102"/>
      <c r="HR99" s="102"/>
      <c r="HS99" s="102"/>
      <c r="HT99" s="102"/>
      <c r="HU99" s="102"/>
      <c r="HV99" s="102"/>
      <c r="HW99" s="102"/>
      <c r="HX99" s="102"/>
      <c r="HY99" s="102"/>
      <c r="HZ99" s="102"/>
      <c r="IA99" s="102"/>
      <c r="IB99" s="102"/>
      <c r="IC99" s="102"/>
      <c r="ID99" s="102"/>
      <c r="IE99" s="102"/>
      <c r="IF99" s="102"/>
      <c r="IG99" s="102"/>
      <c r="IH99" s="102"/>
      <c r="II99" s="102"/>
      <c r="IJ99" s="102"/>
      <c r="IK99" s="102"/>
      <c r="IL99" s="102"/>
      <c r="IM99" s="102"/>
      <c r="IN99" s="102"/>
      <c r="IO99" s="102"/>
      <c r="IP99" s="102"/>
      <c r="IQ99" s="102"/>
      <c r="IR99" s="102"/>
      <c r="IS99" s="102"/>
      <c r="IT99" s="102"/>
      <c r="IU99" s="102"/>
      <c r="IV99" s="102"/>
    </row>
  </sheetData>
  <mergeCells count="7">
    <mergeCell ref="G4:J4"/>
    <mergeCell ref="A1:C1"/>
    <mergeCell ref="D1:F1"/>
    <mergeCell ref="E2:F2"/>
    <mergeCell ref="B3:C3"/>
    <mergeCell ref="E3:F3"/>
    <mergeCell ref="B4:D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188C0-1031-4E3B-B584-B569A4E16334}">
  <sheetPr>
    <tabColor theme="9" tint="0.79998168889431442"/>
  </sheetPr>
  <dimension ref="A1:K226"/>
  <sheetViews>
    <sheetView workbookViewId="0">
      <selection activeCell="D2" sqref="D2:G2"/>
    </sheetView>
  </sheetViews>
  <sheetFormatPr defaultRowHeight="14.5" x14ac:dyDescent="0.35"/>
  <cols>
    <col min="1" max="1" width="10.7265625" bestFit="1" customWidth="1"/>
    <col min="2" max="2" width="8.453125" customWidth="1"/>
    <col min="3" max="3" width="10" customWidth="1"/>
    <col min="4" max="4" width="22.54296875" customWidth="1"/>
    <col min="5" max="5" width="26" customWidth="1"/>
    <col min="6" max="7" width="25.54296875" customWidth="1"/>
    <col min="8" max="8" width="12" customWidth="1"/>
  </cols>
  <sheetData>
    <row r="1" spans="1:11" x14ac:dyDescent="0.35">
      <c r="A1" s="145" t="s">
        <v>55</v>
      </c>
      <c r="B1" s="145" t="s">
        <v>149</v>
      </c>
      <c r="C1" s="145" t="s">
        <v>150</v>
      </c>
      <c r="D1" s="145" t="s">
        <v>151</v>
      </c>
      <c r="E1" s="145" t="s">
        <v>152</v>
      </c>
      <c r="F1" s="145" t="s">
        <v>153</v>
      </c>
      <c r="G1" s="1" t="s">
        <v>154</v>
      </c>
      <c r="H1" s="75"/>
      <c r="I1" s="1"/>
      <c r="J1" s="1"/>
      <c r="K1" s="1"/>
    </row>
    <row r="2" spans="1:11" x14ac:dyDescent="0.35">
      <c r="A2" s="13">
        <v>45404</v>
      </c>
      <c r="B2">
        <v>2024</v>
      </c>
      <c r="C2">
        <v>113</v>
      </c>
      <c r="D2">
        <v>15</v>
      </c>
      <c r="E2" s="104">
        <v>25.213000000000001</v>
      </c>
      <c r="F2" s="104">
        <v>5.0339999999999998</v>
      </c>
      <c r="G2">
        <v>0</v>
      </c>
    </row>
    <row r="3" spans="1:11" x14ac:dyDescent="0.35">
      <c r="A3" s="13">
        <v>45405</v>
      </c>
      <c r="B3">
        <v>2024</v>
      </c>
      <c r="C3">
        <v>114</v>
      </c>
      <c r="D3">
        <v>14.8</v>
      </c>
      <c r="E3" s="104">
        <v>25.437000000000001</v>
      </c>
      <c r="F3" s="104">
        <v>6.8860000000000001</v>
      </c>
      <c r="G3">
        <v>0</v>
      </c>
    </row>
    <row r="4" spans="1:11" x14ac:dyDescent="0.35">
      <c r="A4" s="13">
        <v>45406</v>
      </c>
      <c r="B4">
        <v>2024</v>
      </c>
      <c r="C4">
        <v>115</v>
      </c>
      <c r="D4">
        <v>14.7</v>
      </c>
      <c r="E4" s="104">
        <v>20.321999999999999</v>
      </c>
      <c r="F4" s="104">
        <v>9.4260000000000002</v>
      </c>
      <c r="G4">
        <v>0</v>
      </c>
    </row>
    <row r="5" spans="1:11" x14ac:dyDescent="0.35">
      <c r="A5" s="13">
        <v>45407</v>
      </c>
      <c r="B5">
        <v>2024</v>
      </c>
      <c r="C5">
        <v>116</v>
      </c>
      <c r="D5">
        <v>14.5</v>
      </c>
      <c r="E5" s="104">
        <v>20.137</v>
      </c>
      <c r="F5" s="104">
        <v>3.63</v>
      </c>
      <c r="G5">
        <v>0</v>
      </c>
    </row>
    <row r="6" spans="1:11" x14ac:dyDescent="0.35">
      <c r="A6" s="13">
        <v>45408</v>
      </c>
      <c r="B6">
        <v>2024</v>
      </c>
      <c r="C6">
        <v>117</v>
      </c>
      <c r="D6">
        <v>14.4</v>
      </c>
      <c r="E6" s="104">
        <v>21.556999999999999</v>
      </c>
      <c r="F6" s="104">
        <v>2.6680000000000001</v>
      </c>
      <c r="G6">
        <v>0</v>
      </c>
    </row>
    <row r="7" spans="1:11" x14ac:dyDescent="0.35">
      <c r="A7" s="13">
        <v>45409</v>
      </c>
      <c r="B7">
        <v>2024</v>
      </c>
      <c r="C7">
        <v>118</v>
      </c>
      <c r="D7">
        <v>14.2</v>
      </c>
      <c r="E7" s="104">
        <v>24.8</v>
      </c>
      <c r="F7" s="104">
        <v>3.407</v>
      </c>
      <c r="G7">
        <v>0</v>
      </c>
    </row>
    <row r="8" spans="1:11" x14ac:dyDescent="0.35">
      <c r="A8" s="13">
        <v>45410</v>
      </c>
      <c r="B8">
        <v>2024</v>
      </c>
      <c r="C8">
        <v>119</v>
      </c>
      <c r="D8">
        <v>12.9</v>
      </c>
      <c r="E8" s="104">
        <v>26.140999999999998</v>
      </c>
      <c r="F8" s="104">
        <v>5.0919999999999996</v>
      </c>
      <c r="G8">
        <v>0</v>
      </c>
    </row>
    <row r="9" spans="1:11" x14ac:dyDescent="0.35">
      <c r="A9" s="13">
        <v>45411</v>
      </c>
      <c r="B9">
        <v>2024</v>
      </c>
      <c r="C9">
        <v>120</v>
      </c>
      <c r="D9">
        <v>10.1</v>
      </c>
      <c r="E9" s="104">
        <v>24.300999999999998</v>
      </c>
      <c r="F9" s="104">
        <v>9.0869999999999997</v>
      </c>
      <c r="G9">
        <v>0</v>
      </c>
    </row>
    <row r="10" spans="1:11" x14ac:dyDescent="0.35">
      <c r="A10" s="13">
        <v>45412</v>
      </c>
      <c r="B10">
        <v>2024</v>
      </c>
      <c r="C10">
        <v>121</v>
      </c>
      <c r="D10">
        <v>13.1</v>
      </c>
      <c r="E10" s="104">
        <v>23.859000000000002</v>
      </c>
      <c r="F10" s="104">
        <v>5.35</v>
      </c>
      <c r="G10">
        <v>0</v>
      </c>
    </row>
    <row r="11" spans="1:11" x14ac:dyDescent="0.35">
      <c r="A11" s="13">
        <v>45413</v>
      </c>
      <c r="B11">
        <v>2024</v>
      </c>
      <c r="C11">
        <v>122</v>
      </c>
      <c r="D11">
        <v>13.7</v>
      </c>
      <c r="E11" s="104">
        <v>21.902999999999999</v>
      </c>
      <c r="F11" s="104">
        <v>6.1379999999999999</v>
      </c>
      <c r="G11">
        <v>0</v>
      </c>
    </row>
    <row r="12" spans="1:11" x14ac:dyDescent="0.35">
      <c r="A12" s="13">
        <v>45414</v>
      </c>
      <c r="B12">
        <v>2024</v>
      </c>
      <c r="C12">
        <v>123</v>
      </c>
      <c r="D12">
        <v>13.4</v>
      </c>
      <c r="E12" s="104">
        <v>22.483000000000001</v>
      </c>
      <c r="F12" s="104">
        <v>3.698</v>
      </c>
      <c r="G12">
        <v>0</v>
      </c>
    </row>
    <row r="13" spans="1:11" x14ac:dyDescent="0.35">
      <c r="A13" s="13">
        <v>45415</v>
      </c>
      <c r="B13">
        <v>2024</v>
      </c>
      <c r="C13">
        <v>124</v>
      </c>
      <c r="D13">
        <v>9.6999999999999993</v>
      </c>
      <c r="E13" s="104">
        <v>21.766999999999999</v>
      </c>
      <c r="F13" s="104">
        <v>6.5880000000000001</v>
      </c>
      <c r="G13">
        <v>0</v>
      </c>
    </row>
    <row r="14" spans="1:11" x14ac:dyDescent="0.35">
      <c r="A14" s="13">
        <v>45416</v>
      </c>
      <c r="B14">
        <v>2024</v>
      </c>
      <c r="C14">
        <v>125</v>
      </c>
      <c r="D14">
        <v>7.8</v>
      </c>
      <c r="E14" s="104">
        <v>20.719000000000001</v>
      </c>
      <c r="F14" s="104">
        <v>10.971</v>
      </c>
      <c r="G14">
        <v>0.2</v>
      </c>
    </row>
    <row r="15" spans="1:11" x14ac:dyDescent="0.35">
      <c r="A15" s="13">
        <v>45417</v>
      </c>
      <c r="B15">
        <v>2024</v>
      </c>
      <c r="C15">
        <v>126</v>
      </c>
      <c r="D15">
        <v>11.6</v>
      </c>
      <c r="E15" s="104">
        <v>26.302</v>
      </c>
      <c r="F15" s="104">
        <v>7.6319999999999997</v>
      </c>
      <c r="G15">
        <v>0.60000000000000009</v>
      </c>
    </row>
    <row r="16" spans="1:11" x14ac:dyDescent="0.35">
      <c r="A16" s="13">
        <v>45418</v>
      </c>
      <c r="B16">
        <v>2024</v>
      </c>
      <c r="C16">
        <v>127</v>
      </c>
      <c r="D16">
        <v>13.1</v>
      </c>
      <c r="E16" s="104">
        <v>25.433</v>
      </c>
      <c r="F16" s="104">
        <v>3.3180000000000001</v>
      </c>
      <c r="G16">
        <v>0</v>
      </c>
    </row>
    <row r="17" spans="1:7" x14ac:dyDescent="0.35">
      <c r="A17" s="13">
        <v>45419</v>
      </c>
      <c r="B17">
        <v>2024</v>
      </c>
      <c r="C17">
        <v>128</v>
      </c>
      <c r="D17">
        <v>12.8</v>
      </c>
      <c r="E17" s="104">
        <v>26.254000000000001</v>
      </c>
      <c r="F17" s="104">
        <v>3.1680000000000001</v>
      </c>
      <c r="G17">
        <v>0</v>
      </c>
    </row>
    <row r="18" spans="1:7" x14ac:dyDescent="0.35">
      <c r="A18" s="13">
        <v>45420</v>
      </c>
      <c r="B18">
        <v>2024</v>
      </c>
      <c r="C18">
        <v>129</v>
      </c>
      <c r="D18">
        <v>9.9</v>
      </c>
      <c r="E18" s="104">
        <v>24.245999999999999</v>
      </c>
      <c r="F18" s="104">
        <v>11.429</v>
      </c>
      <c r="G18">
        <v>0</v>
      </c>
    </row>
    <row r="19" spans="1:7" x14ac:dyDescent="0.35">
      <c r="A19" s="13">
        <v>45421</v>
      </c>
      <c r="B19">
        <v>2024</v>
      </c>
      <c r="C19">
        <v>130</v>
      </c>
      <c r="D19">
        <v>11.6</v>
      </c>
      <c r="E19" s="104">
        <v>25.71</v>
      </c>
      <c r="F19" s="104">
        <v>10.081</v>
      </c>
      <c r="G19">
        <v>0</v>
      </c>
    </row>
    <row r="20" spans="1:7" x14ac:dyDescent="0.35">
      <c r="A20" s="13">
        <v>45422</v>
      </c>
      <c r="B20">
        <v>2024</v>
      </c>
      <c r="C20">
        <v>131</v>
      </c>
      <c r="D20">
        <v>8.3000000000000007</v>
      </c>
      <c r="E20" s="104">
        <v>22.776</v>
      </c>
      <c r="F20" s="104">
        <v>13.802</v>
      </c>
      <c r="G20">
        <v>2.8000000000000003</v>
      </c>
    </row>
    <row r="21" spans="1:7" x14ac:dyDescent="0.35">
      <c r="A21" s="13">
        <v>45423</v>
      </c>
      <c r="B21">
        <v>2024</v>
      </c>
      <c r="C21">
        <v>132</v>
      </c>
      <c r="D21">
        <v>7.3</v>
      </c>
      <c r="E21" s="104">
        <v>19.489000000000001</v>
      </c>
      <c r="F21" s="104">
        <v>14.275</v>
      </c>
      <c r="G21">
        <v>0.2</v>
      </c>
    </row>
    <row r="22" spans="1:7" x14ac:dyDescent="0.35">
      <c r="A22" s="13">
        <v>45424</v>
      </c>
      <c r="B22">
        <v>2024</v>
      </c>
      <c r="C22">
        <v>133</v>
      </c>
      <c r="D22">
        <v>9.3000000000000007</v>
      </c>
      <c r="E22" s="104">
        <v>23.14</v>
      </c>
      <c r="F22" s="104">
        <v>8.1080000000000005</v>
      </c>
      <c r="G22">
        <v>0</v>
      </c>
    </row>
    <row r="23" spans="1:7" x14ac:dyDescent="0.35">
      <c r="A23" s="13">
        <v>45425</v>
      </c>
      <c r="B23">
        <v>2024</v>
      </c>
      <c r="C23">
        <v>134</v>
      </c>
      <c r="D23">
        <v>12.2</v>
      </c>
      <c r="E23" s="104">
        <v>22.917999999999999</v>
      </c>
      <c r="F23" s="104">
        <v>4.8769999999999998</v>
      </c>
      <c r="G23">
        <v>0</v>
      </c>
    </row>
    <row r="24" spans="1:7" x14ac:dyDescent="0.35">
      <c r="A24" s="13">
        <v>45426</v>
      </c>
      <c r="B24">
        <v>2024</v>
      </c>
      <c r="C24">
        <v>135</v>
      </c>
      <c r="D24">
        <v>12.2</v>
      </c>
      <c r="E24" s="104">
        <v>19.492000000000001</v>
      </c>
      <c r="F24" s="104">
        <v>3.605</v>
      </c>
      <c r="G24">
        <v>0.2</v>
      </c>
    </row>
    <row r="25" spans="1:7" x14ac:dyDescent="0.35">
      <c r="A25" s="13">
        <v>45427</v>
      </c>
      <c r="B25">
        <v>2024</v>
      </c>
      <c r="C25">
        <v>136</v>
      </c>
      <c r="D25">
        <v>12</v>
      </c>
      <c r="E25" s="104">
        <v>19.050999999999998</v>
      </c>
      <c r="F25" s="104">
        <v>1.214</v>
      </c>
      <c r="G25">
        <v>0</v>
      </c>
    </row>
    <row r="26" spans="1:7" x14ac:dyDescent="0.35">
      <c r="A26" s="13">
        <v>45428</v>
      </c>
      <c r="B26">
        <v>2024</v>
      </c>
      <c r="C26">
        <v>137</v>
      </c>
      <c r="D26">
        <v>11.9</v>
      </c>
      <c r="E26" s="104">
        <v>22.936</v>
      </c>
      <c r="F26" s="104">
        <v>2.5499999999999998</v>
      </c>
      <c r="G26">
        <v>0</v>
      </c>
    </row>
    <row r="27" spans="1:7" x14ac:dyDescent="0.35">
      <c r="A27" s="13">
        <v>45429</v>
      </c>
      <c r="B27">
        <v>2024</v>
      </c>
      <c r="C27">
        <v>138</v>
      </c>
      <c r="D27">
        <v>11.9</v>
      </c>
      <c r="E27" s="104">
        <v>20.565000000000001</v>
      </c>
      <c r="F27" s="104">
        <v>1.9159999999999999</v>
      </c>
      <c r="G27">
        <v>0</v>
      </c>
    </row>
    <row r="28" spans="1:7" x14ac:dyDescent="0.35">
      <c r="A28" s="13">
        <v>45430</v>
      </c>
      <c r="B28">
        <v>2024</v>
      </c>
      <c r="C28">
        <v>139</v>
      </c>
      <c r="D28">
        <v>11.8</v>
      </c>
      <c r="E28" s="104">
        <v>16.061</v>
      </c>
      <c r="F28" s="104">
        <v>2.4489999999999998</v>
      </c>
      <c r="G28">
        <v>0</v>
      </c>
    </row>
    <row r="29" spans="1:7" x14ac:dyDescent="0.35">
      <c r="A29" s="13">
        <v>45431</v>
      </c>
      <c r="B29">
        <v>2024</v>
      </c>
      <c r="C29">
        <v>140</v>
      </c>
      <c r="D29">
        <v>11.5</v>
      </c>
      <c r="E29" s="104">
        <v>14.173</v>
      </c>
      <c r="F29" s="104">
        <v>-2.198</v>
      </c>
      <c r="G29">
        <v>0</v>
      </c>
    </row>
    <row r="30" spans="1:7" x14ac:dyDescent="0.35">
      <c r="A30" s="13">
        <v>45432</v>
      </c>
      <c r="B30">
        <v>2024</v>
      </c>
      <c r="C30">
        <v>141</v>
      </c>
      <c r="D30">
        <v>11.3</v>
      </c>
      <c r="E30" s="104">
        <v>17.341999999999999</v>
      </c>
      <c r="F30" s="104">
        <v>2.5619999999999998</v>
      </c>
      <c r="G30">
        <v>0</v>
      </c>
    </row>
    <row r="31" spans="1:7" x14ac:dyDescent="0.35">
      <c r="A31" s="13">
        <v>45433</v>
      </c>
      <c r="B31">
        <v>2024</v>
      </c>
      <c r="C31">
        <v>142</v>
      </c>
      <c r="D31">
        <v>11.6</v>
      </c>
      <c r="E31" s="104">
        <v>18.629000000000001</v>
      </c>
      <c r="F31" s="104">
        <v>-0.98299999999999998</v>
      </c>
      <c r="G31">
        <v>0</v>
      </c>
    </row>
    <row r="32" spans="1:7" x14ac:dyDescent="0.35">
      <c r="A32" s="13">
        <v>45434</v>
      </c>
      <c r="B32">
        <v>2024</v>
      </c>
      <c r="C32">
        <v>143</v>
      </c>
      <c r="D32">
        <v>11.5</v>
      </c>
      <c r="E32" s="104">
        <v>17.626999999999999</v>
      </c>
      <c r="F32" s="104">
        <v>-1.39</v>
      </c>
      <c r="G32">
        <v>0</v>
      </c>
    </row>
    <row r="33" spans="1:7" x14ac:dyDescent="0.35">
      <c r="A33" s="13">
        <v>45435</v>
      </c>
      <c r="B33">
        <v>2024</v>
      </c>
      <c r="C33">
        <v>144</v>
      </c>
      <c r="D33">
        <v>11.3</v>
      </c>
      <c r="E33" s="104">
        <v>17.856999999999999</v>
      </c>
      <c r="F33" s="104">
        <v>-1.4650000000000001</v>
      </c>
      <c r="G33">
        <v>0</v>
      </c>
    </row>
    <row r="34" spans="1:7" x14ac:dyDescent="0.35">
      <c r="A34" s="13">
        <v>45436</v>
      </c>
      <c r="B34">
        <v>2024</v>
      </c>
      <c r="C34">
        <v>145</v>
      </c>
      <c r="D34">
        <v>10.4</v>
      </c>
      <c r="E34" s="104">
        <v>17.637</v>
      </c>
      <c r="F34" s="104">
        <v>-1.4</v>
      </c>
      <c r="G34">
        <v>0</v>
      </c>
    </row>
    <row r="35" spans="1:7" x14ac:dyDescent="0.35">
      <c r="A35" s="13">
        <v>45437</v>
      </c>
      <c r="B35">
        <v>2024</v>
      </c>
      <c r="C35">
        <v>146</v>
      </c>
      <c r="D35">
        <v>9.9</v>
      </c>
      <c r="E35" s="104">
        <v>19.39</v>
      </c>
      <c r="F35" s="104">
        <v>1.1739999999999999</v>
      </c>
      <c r="G35">
        <v>0</v>
      </c>
    </row>
    <row r="36" spans="1:7" x14ac:dyDescent="0.35">
      <c r="A36" s="13">
        <v>45438</v>
      </c>
      <c r="B36">
        <v>2024</v>
      </c>
      <c r="C36">
        <v>147</v>
      </c>
      <c r="D36">
        <v>11.2</v>
      </c>
      <c r="E36" s="104">
        <v>20.933</v>
      </c>
      <c r="F36" s="104">
        <v>-8.5000000000000006E-2</v>
      </c>
      <c r="G36">
        <v>0</v>
      </c>
    </row>
    <row r="37" spans="1:7" x14ac:dyDescent="0.35">
      <c r="A37" s="13">
        <v>45439</v>
      </c>
      <c r="B37">
        <v>2024</v>
      </c>
      <c r="C37">
        <v>148</v>
      </c>
      <c r="D37">
        <v>11.1</v>
      </c>
      <c r="E37" s="104">
        <v>18.733000000000001</v>
      </c>
      <c r="F37" s="104">
        <v>-1.0820000000000001</v>
      </c>
      <c r="G37">
        <v>0</v>
      </c>
    </row>
    <row r="38" spans="1:7" x14ac:dyDescent="0.35">
      <c r="A38" s="13">
        <v>45440</v>
      </c>
      <c r="B38">
        <v>2024</v>
      </c>
      <c r="C38">
        <v>149</v>
      </c>
      <c r="D38">
        <v>11.1</v>
      </c>
      <c r="E38" s="104">
        <v>20.029</v>
      </c>
      <c r="F38" s="104">
        <v>-2.3759999999999999</v>
      </c>
      <c r="G38">
        <v>0</v>
      </c>
    </row>
    <row r="39" spans="1:7" x14ac:dyDescent="0.35">
      <c r="A39" s="13">
        <v>45441</v>
      </c>
      <c r="B39">
        <v>2024</v>
      </c>
      <c r="C39">
        <v>150</v>
      </c>
      <c r="D39">
        <v>10.6</v>
      </c>
      <c r="E39" s="104">
        <v>22.98</v>
      </c>
      <c r="F39" s="104">
        <v>-0.63600000000000001</v>
      </c>
      <c r="G39">
        <v>0</v>
      </c>
    </row>
    <row r="40" spans="1:7" x14ac:dyDescent="0.35">
      <c r="A40" s="13">
        <v>45442</v>
      </c>
      <c r="B40">
        <v>2024</v>
      </c>
      <c r="C40">
        <v>151</v>
      </c>
      <c r="D40">
        <v>8.1</v>
      </c>
      <c r="E40" s="104">
        <v>21.056000000000001</v>
      </c>
      <c r="F40" s="104">
        <v>7.5149999999999997</v>
      </c>
      <c r="G40">
        <v>0</v>
      </c>
    </row>
    <row r="41" spans="1:7" x14ac:dyDescent="0.35">
      <c r="A41" s="13">
        <v>45443</v>
      </c>
      <c r="B41">
        <v>2024</v>
      </c>
      <c r="C41">
        <v>152</v>
      </c>
      <c r="D41">
        <v>10.1</v>
      </c>
      <c r="E41" s="104">
        <v>18.460999999999999</v>
      </c>
      <c r="F41" s="104">
        <v>7.3879999999999999</v>
      </c>
      <c r="G41">
        <v>22.599999999999998</v>
      </c>
    </row>
    <row r="42" spans="1:7" x14ac:dyDescent="0.35">
      <c r="A42" s="13">
        <v>45444</v>
      </c>
      <c r="B42">
        <v>2024</v>
      </c>
      <c r="C42">
        <v>153</v>
      </c>
      <c r="D42">
        <v>10.8</v>
      </c>
      <c r="E42" s="104">
        <v>17.042999999999999</v>
      </c>
      <c r="F42" s="104">
        <v>4.5940000000000003</v>
      </c>
      <c r="G42">
        <v>0.4</v>
      </c>
    </row>
    <row r="43" spans="1:7" x14ac:dyDescent="0.35">
      <c r="A43" s="13">
        <v>45445</v>
      </c>
      <c r="B43">
        <v>2024</v>
      </c>
      <c r="C43">
        <v>154</v>
      </c>
      <c r="D43">
        <v>10.8</v>
      </c>
      <c r="E43" s="104">
        <v>14.877000000000001</v>
      </c>
      <c r="F43" s="104">
        <v>2.2370000000000001</v>
      </c>
      <c r="G43">
        <v>0.2</v>
      </c>
    </row>
    <row r="44" spans="1:7" x14ac:dyDescent="0.35">
      <c r="A44" s="13">
        <v>45446</v>
      </c>
      <c r="B44">
        <v>2024</v>
      </c>
      <c r="C44">
        <v>155</v>
      </c>
      <c r="D44">
        <v>9.9</v>
      </c>
      <c r="E44" s="104">
        <v>12.677</v>
      </c>
      <c r="F44" s="104">
        <v>2.3340000000000001</v>
      </c>
      <c r="G44">
        <v>0.2</v>
      </c>
    </row>
    <row r="45" spans="1:7" x14ac:dyDescent="0.35">
      <c r="A45" s="13">
        <v>45447</v>
      </c>
      <c r="B45">
        <v>2024</v>
      </c>
      <c r="C45">
        <v>156</v>
      </c>
      <c r="D45">
        <v>8.5</v>
      </c>
      <c r="E45" s="104">
        <v>12.867000000000001</v>
      </c>
      <c r="F45" s="104">
        <v>5.8419999999999996</v>
      </c>
      <c r="G45">
        <v>0</v>
      </c>
    </row>
    <row r="46" spans="1:7" x14ac:dyDescent="0.35">
      <c r="A46" s="13">
        <v>45448</v>
      </c>
      <c r="B46">
        <v>2024</v>
      </c>
      <c r="C46">
        <v>157</v>
      </c>
      <c r="D46">
        <v>8.3000000000000007</v>
      </c>
      <c r="E46" s="104">
        <v>15.319000000000001</v>
      </c>
      <c r="F46" s="104">
        <v>5.4119999999999999</v>
      </c>
      <c r="G46">
        <v>5.4</v>
      </c>
    </row>
    <row r="47" spans="1:7" x14ac:dyDescent="0.35">
      <c r="A47" s="13">
        <v>45449</v>
      </c>
      <c r="B47">
        <v>2024</v>
      </c>
      <c r="C47">
        <v>158</v>
      </c>
      <c r="D47">
        <v>8.9</v>
      </c>
      <c r="E47" s="104">
        <v>18.16</v>
      </c>
      <c r="F47" s="104">
        <v>7.2069999999999999</v>
      </c>
      <c r="G47">
        <v>3.8000000000000007</v>
      </c>
    </row>
    <row r="48" spans="1:7" x14ac:dyDescent="0.35">
      <c r="A48" s="13">
        <v>45450</v>
      </c>
      <c r="B48">
        <v>2024</v>
      </c>
      <c r="C48">
        <v>159</v>
      </c>
      <c r="D48">
        <v>10.6</v>
      </c>
      <c r="E48" s="104">
        <v>18.254999999999999</v>
      </c>
      <c r="F48" s="104">
        <v>3.9769999999999999</v>
      </c>
      <c r="G48">
        <v>0.2</v>
      </c>
    </row>
    <row r="49" spans="1:7" x14ac:dyDescent="0.35">
      <c r="A49" s="13">
        <v>45451</v>
      </c>
      <c r="B49">
        <v>2024</v>
      </c>
      <c r="C49">
        <v>160</v>
      </c>
      <c r="D49">
        <v>10.6</v>
      </c>
      <c r="E49" s="104">
        <v>17.547999999999998</v>
      </c>
      <c r="F49" s="104">
        <v>3.6030000000000002</v>
      </c>
      <c r="G49">
        <v>0</v>
      </c>
    </row>
    <row r="50" spans="1:7" x14ac:dyDescent="0.35">
      <c r="A50" s="13">
        <v>45452</v>
      </c>
      <c r="B50">
        <v>2024</v>
      </c>
      <c r="C50">
        <v>161</v>
      </c>
      <c r="D50">
        <v>7.6</v>
      </c>
      <c r="E50" s="104">
        <v>14.207000000000001</v>
      </c>
      <c r="F50" s="104">
        <v>8.3520000000000003</v>
      </c>
      <c r="G50">
        <v>0</v>
      </c>
    </row>
    <row r="51" spans="1:7" x14ac:dyDescent="0.35">
      <c r="A51" s="13">
        <v>45453</v>
      </c>
      <c r="B51">
        <v>2024</v>
      </c>
      <c r="C51">
        <v>162</v>
      </c>
      <c r="D51">
        <v>10.3</v>
      </c>
      <c r="E51" s="104">
        <v>14.352</v>
      </c>
      <c r="F51" s="104">
        <v>4.5860000000000003</v>
      </c>
      <c r="G51">
        <v>0</v>
      </c>
    </row>
    <row r="52" spans="1:7" x14ac:dyDescent="0.35">
      <c r="A52" s="13">
        <v>45454</v>
      </c>
      <c r="B52">
        <v>2024</v>
      </c>
      <c r="C52">
        <v>163</v>
      </c>
      <c r="D52">
        <v>3.6</v>
      </c>
      <c r="E52" s="104">
        <v>12.093999999999999</v>
      </c>
      <c r="F52" s="104">
        <v>3.64</v>
      </c>
      <c r="G52">
        <v>6.4000000000000012</v>
      </c>
    </row>
    <row r="53" spans="1:7" x14ac:dyDescent="0.35">
      <c r="A53" s="13">
        <v>45455</v>
      </c>
      <c r="B53">
        <v>2024</v>
      </c>
      <c r="C53">
        <v>164</v>
      </c>
      <c r="D53">
        <v>9</v>
      </c>
      <c r="E53" s="104">
        <v>13.45</v>
      </c>
      <c r="F53" s="104">
        <v>3.3980000000000001</v>
      </c>
      <c r="G53">
        <v>0</v>
      </c>
    </row>
    <row r="54" spans="1:7" x14ac:dyDescent="0.35">
      <c r="A54" s="13">
        <v>45456</v>
      </c>
      <c r="B54">
        <v>2024</v>
      </c>
      <c r="C54">
        <v>165</v>
      </c>
      <c r="D54">
        <v>7</v>
      </c>
      <c r="E54" s="104">
        <v>10.401999999999999</v>
      </c>
      <c r="F54" s="104">
        <v>-0.497</v>
      </c>
      <c r="G54">
        <v>0</v>
      </c>
    </row>
    <row r="55" spans="1:7" x14ac:dyDescent="0.35">
      <c r="A55" s="13">
        <v>45457</v>
      </c>
      <c r="B55">
        <v>2024</v>
      </c>
      <c r="C55">
        <v>166</v>
      </c>
      <c r="D55">
        <v>6.2</v>
      </c>
      <c r="E55" s="104">
        <v>11.845000000000001</v>
      </c>
      <c r="F55" s="104">
        <v>2.3439999999999999</v>
      </c>
      <c r="G55">
        <v>1.4</v>
      </c>
    </row>
    <row r="56" spans="1:7" x14ac:dyDescent="0.35">
      <c r="A56" s="13">
        <v>45458</v>
      </c>
      <c r="B56">
        <v>2024</v>
      </c>
      <c r="C56">
        <v>167</v>
      </c>
      <c r="D56">
        <v>9.3000000000000007</v>
      </c>
      <c r="E56" s="104">
        <v>15.148999999999999</v>
      </c>
      <c r="F56" s="104">
        <v>3.5489999999999999</v>
      </c>
      <c r="G56">
        <v>1</v>
      </c>
    </row>
    <row r="57" spans="1:7" x14ac:dyDescent="0.35">
      <c r="A57" s="13">
        <v>45459</v>
      </c>
      <c r="B57">
        <v>2024</v>
      </c>
      <c r="C57">
        <v>168</v>
      </c>
      <c r="D57">
        <v>10.4</v>
      </c>
      <c r="E57" s="104">
        <v>12.603</v>
      </c>
      <c r="F57" s="104">
        <v>-0.35</v>
      </c>
      <c r="G57">
        <v>0.4</v>
      </c>
    </row>
    <row r="58" spans="1:7" x14ac:dyDescent="0.35">
      <c r="A58" s="13">
        <v>45460</v>
      </c>
      <c r="B58">
        <v>2024</v>
      </c>
      <c r="C58">
        <v>169</v>
      </c>
      <c r="D58">
        <v>10.4</v>
      </c>
      <c r="E58" s="104">
        <v>13.593</v>
      </c>
      <c r="F58" s="104">
        <v>-1.1120000000000001</v>
      </c>
      <c r="G58">
        <v>0.2</v>
      </c>
    </row>
    <row r="59" spans="1:7" x14ac:dyDescent="0.35">
      <c r="A59" s="13">
        <v>45461</v>
      </c>
      <c r="B59">
        <v>2024</v>
      </c>
      <c r="C59">
        <v>170</v>
      </c>
      <c r="D59">
        <v>10.4</v>
      </c>
      <c r="E59" s="104">
        <v>13.071999999999999</v>
      </c>
      <c r="F59" s="104">
        <v>-0.72099999999999997</v>
      </c>
      <c r="G59">
        <v>0</v>
      </c>
    </row>
    <row r="60" spans="1:7" x14ac:dyDescent="0.35">
      <c r="A60" s="13">
        <v>45462</v>
      </c>
      <c r="B60">
        <v>2024</v>
      </c>
      <c r="C60">
        <v>171</v>
      </c>
      <c r="D60">
        <v>9.8000000000000007</v>
      </c>
      <c r="E60" s="104">
        <v>12.414999999999999</v>
      </c>
      <c r="F60" s="104">
        <v>-3.3000000000000002E-2</v>
      </c>
      <c r="G60">
        <v>0.2</v>
      </c>
    </row>
    <row r="61" spans="1:7" x14ac:dyDescent="0.35">
      <c r="A61" s="13">
        <v>45463</v>
      </c>
      <c r="B61">
        <v>2024</v>
      </c>
      <c r="C61">
        <v>172</v>
      </c>
      <c r="D61">
        <v>9.1999999999999993</v>
      </c>
      <c r="E61" s="104">
        <v>14.699</v>
      </c>
      <c r="F61" s="104">
        <v>-1.4770000000000001</v>
      </c>
      <c r="G61">
        <v>4</v>
      </c>
    </row>
    <row r="62" spans="1:7" x14ac:dyDescent="0.35">
      <c r="A62" s="13">
        <v>45464</v>
      </c>
      <c r="B62">
        <v>2024</v>
      </c>
      <c r="C62">
        <v>173</v>
      </c>
      <c r="D62">
        <v>9.3000000000000007</v>
      </c>
      <c r="E62" s="104">
        <v>13.358000000000001</v>
      </c>
      <c r="F62" s="104">
        <v>2.9940000000000002</v>
      </c>
      <c r="G62">
        <v>0</v>
      </c>
    </row>
    <row r="63" spans="1:7" x14ac:dyDescent="0.35">
      <c r="A63" s="13">
        <v>45465</v>
      </c>
      <c r="B63">
        <v>2024</v>
      </c>
      <c r="C63">
        <v>174</v>
      </c>
      <c r="D63">
        <v>10.4</v>
      </c>
      <c r="E63" s="104">
        <v>14.624000000000001</v>
      </c>
      <c r="F63" s="104">
        <v>-0.90600000000000003</v>
      </c>
      <c r="G63">
        <v>0.2</v>
      </c>
    </row>
    <row r="64" spans="1:7" x14ac:dyDescent="0.35">
      <c r="A64" s="13">
        <v>45466</v>
      </c>
      <c r="B64">
        <v>2024</v>
      </c>
      <c r="C64">
        <v>175</v>
      </c>
      <c r="D64">
        <v>10.4</v>
      </c>
      <c r="E64" s="104">
        <v>14.51</v>
      </c>
      <c r="F64" s="104">
        <v>-2.2010000000000001</v>
      </c>
      <c r="G64">
        <v>0.4</v>
      </c>
    </row>
    <row r="65" spans="1:7" x14ac:dyDescent="0.35">
      <c r="A65" s="13">
        <v>45467</v>
      </c>
      <c r="B65">
        <v>2024</v>
      </c>
      <c r="C65">
        <v>176</v>
      </c>
      <c r="D65">
        <v>9.9</v>
      </c>
      <c r="E65" s="104">
        <v>13.358000000000001</v>
      </c>
      <c r="F65" s="104">
        <v>-2.0270000000000001</v>
      </c>
      <c r="G65">
        <v>0.2</v>
      </c>
    </row>
    <row r="66" spans="1:7" x14ac:dyDescent="0.35">
      <c r="A66" s="13">
        <v>45468</v>
      </c>
      <c r="B66">
        <v>2024</v>
      </c>
      <c r="C66">
        <v>177</v>
      </c>
      <c r="D66">
        <v>9.4</v>
      </c>
      <c r="E66" s="104">
        <v>16.283999999999999</v>
      </c>
      <c r="F66" s="104">
        <v>-0.35299999999999998</v>
      </c>
      <c r="G66">
        <v>0.2</v>
      </c>
    </row>
    <row r="67" spans="1:7" x14ac:dyDescent="0.35">
      <c r="A67" s="13">
        <v>45469</v>
      </c>
      <c r="B67">
        <v>2024</v>
      </c>
      <c r="C67">
        <v>178</v>
      </c>
      <c r="D67">
        <v>10.4</v>
      </c>
      <c r="E67" s="104">
        <v>16.579999999999998</v>
      </c>
      <c r="F67" s="104">
        <v>3.3849999999999998</v>
      </c>
      <c r="G67">
        <v>0</v>
      </c>
    </row>
    <row r="68" spans="1:7" x14ac:dyDescent="0.35">
      <c r="A68" s="13">
        <v>45470</v>
      </c>
      <c r="B68">
        <v>2024</v>
      </c>
      <c r="C68">
        <v>179</v>
      </c>
      <c r="D68">
        <v>10.4</v>
      </c>
      <c r="E68" s="104">
        <v>16.742999999999999</v>
      </c>
      <c r="F68" s="104">
        <v>0.14499999999999999</v>
      </c>
      <c r="G68">
        <v>0</v>
      </c>
    </row>
    <row r="69" spans="1:7" x14ac:dyDescent="0.35">
      <c r="A69" s="13">
        <v>45471</v>
      </c>
      <c r="B69">
        <v>2024</v>
      </c>
      <c r="C69">
        <v>180</v>
      </c>
      <c r="D69">
        <v>10.5</v>
      </c>
      <c r="E69" s="104">
        <v>17.036999999999999</v>
      </c>
      <c r="F69" s="104">
        <v>0.126</v>
      </c>
      <c r="G69">
        <v>0</v>
      </c>
    </row>
    <row r="70" spans="1:7" x14ac:dyDescent="0.35">
      <c r="A70" s="13">
        <v>45472</v>
      </c>
      <c r="B70">
        <v>2024</v>
      </c>
      <c r="C70">
        <v>181</v>
      </c>
      <c r="D70">
        <v>6.3</v>
      </c>
      <c r="E70" s="104">
        <v>16.641999999999999</v>
      </c>
      <c r="F70" s="104">
        <v>3.069</v>
      </c>
      <c r="G70">
        <v>3.2</v>
      </c>
    </row>
    <row r="71" spans="1:7" x14ac:dyDescent="0.35">
      <c r="A71" s="13">
        <v>45473</v>
      </c>
      <c r="B71">
        <v>2024</v>
      </c>
      <c r="C71">
        <v>182</v>
      </c>
      <c r="D71">
        <v>8.3000000000000007</v>
      </c>
      <c r="E71" s="104">
        <v>13.218999999999999</v>
      </c>
      <c r="F71" s="104">
        <v>0.49399999999999999</v>
      </c>
      <c r="G71">
        <v>0.4</v>
      </c>
    </row>
    <row r="72" spans="1:7" x14ac:dyDescent="0.35">
      <c r="A72" s="13">
        <v>45474</v>
      </c>
      <c r="B72">
        <v>2024</v>
      </c>
      <c r="C72">
        <v>183</v>
      </c>
      <c r="D72">
        <v>10.6</v>
      </c>
      <c r="E72" s="104">
        <v>12.651</v>
      </c>
      <c r="F72" s="104">
        <v>-2.4039999999999999</v>
      </c>
      <c r="G72">
        <v>0</v>
      </c>
    </row>
    <row r="73" spans="1:7" x14ac:dyDescent="0.35">
      <c r="A73" s="13">
        <v>45475</v>
      </c>
      <c r="B73">
        <v>2024</v>
      </c>
      <c r="C73">
        <v>184</v>
      </c>
      <c r="D73">
        <v>9.6</v>
      </c>
      <c r="E73" s="104">
        <v>14.177</v>
      </c>
      <c r="F73" s="104">
        <v>-1.1870000000000001</v>
      </c>
      <c r="G73">
        <v>0.2</v>
      </c>
    </row>
    <row r="74" spans="1:7" x14ac:dyDescent="0.35">
      <c r="A74" s="13">
        <v>45476</v>
      </c>
      <c r="B74">
        <v>2024</v>
      </c>
      <c r="C74">
        <v>185</v>
      </c>
      <c r="D74">
        <v>10.7</v>
      </c>
      <c r="E74" s="104">
        <v>14.864000000000001</v>
      </c>
      <c r="F74" s="104">
        <v>-1.8560000000000001</v>
      </c>
      <c r="G74">
        <v>0.2</v>
      </c>
    </row>
    <row r="75" spans="1:7" x14ac:dyDescent="0.35">
      <c r="A75" s="13">
        <v>45477</v>
      </c>
      <c r="B75">
        <v>2024</v>
      </c>
      <c r="C75">
        <v>186</v>
      </c>
      <c r="D75">
        <v>10.7</v>
      </c>
      <c r="E75" s="104">
        <v>16.372</v>
      </c>
      <c r="F75" s="104">
        <v>-2.4129999999999998</v>
      </c>
      <c r="G75">
        <v>0</v>
      </c>
    </row>
    <row r="76" spans="1:7" x14ac:dyDescent="0.35">
      <c r="A76" s="13">
        <v>45478</v>
      </c>
      <c r="B76">
        <v>2024</v>
      </c>
      <c r="C76">
        <v>187</v>
      </c>
      <c r="D76">
        <v>10.8</v>
      </c>
      <c r="E76" s="104">
        <v>16.806000000000001</v>
      </c>
      <c r="F76" s="104">
        <v>-1.6779999999999999</v>
      </c>
      <c r="G76">
        <v>0.2</v>
      </c>
    </row>
    <row r="77" spans="1:7" x14ac:dyDescent="0.35">
      <c r="A77" s="13">
        <v>45479</v>
      </c>
      <c r="B77">
        <v>2024</v>
      </c>
      <c r="C77">
        <v>188</v>
      </c>
      <c r="D77">
        <v>10.8</v>
      </c>
      <c r="E77" s="104">
        <v>15.05</v>
      </c>
      <c r="F77" s="104">
        <v>-1.66</v>
      </c>
      <c r="G77">
        <v>0.2</v>
      </c>
    </row>
    <row r="78" spans="1:7" x14ac:dyDescent="0.35">
      <c r="A78" s="13">
        <v>45480</v>
      </c>
      <c r="B78">
        <v>2024</v>
      </c>
      <c r="C78">
        <v>189</v>
      </c>
      <c r="D78">
        <v>9.6999999999999993</v>
      </c>
      <c r="E78" s="104">
        <v>15.965</v>
      </c>
      <c r="F78" s="104">
        <v>-1.1870000000000001</v>
      </c>
      <c r="G78">
        <v>0</v>
      </c>
    </row>
    <row r="79" spans="1:7" x14ac:dyDescent="0.35">
      <c r="A79" s="13">
        <v>45481</v>
      </c>
      <c r="B79">
        <v>2024</v>
      </c>
      <c r="C79">
        <v>190</v>
      </c>
      <c r="D79">
        <v>6.1</v>
      </c>
      <c r="E79" s="104">
        <v>14.192</v>
      </c>
      <c r="F79" s="104">
        <v>4.782</v>
      </c>
      <c r="G79">
        <v>8.6000000000000014</v>
      </c>
    </row>
    <row r="80" spans="1:7" x14ac:dyDescent="0.35">
      <c r="A80" s="13">
        <v>45482</v>
      </c>
      <c r="B80">
        <v>2024</v>
      </c>
      <c r="C80">
        <v>191</v>
      </c>
      <c r="D80">
        <v>6.4</v>
      </c>
      <c r="E80" s="104">
        <v>13.314</v>
      </c>
      <c r="F80" s="104">
        <v>10.557</v>
      </c>
      <c r="G80">
        <v>2.2000000000000002</v>
      </c>
    </row>
    <row r="81" spans="1:7" x14ac:dyDescent="0.35">
      <c r="A81" s="13">
        <v>45483</v>
      </c>
      <c r="B81">
        <v>2024</v>
      </c>
      <c r="C81">
        <v>192</v>
      </c>
      <c r="D81">
        <v>7.3</v>
      </c>
      <c r="E81" s="104">
        <v>12.492000000000001</v>
      </c>
      <c r="F81" s="104">
        <v>4.6719999999999997</v>
      </c>
      <c r="G81">
        <v>0</v>
      </c>
    </row>
    <row r="82" spans="1:7" x14ac:dyDescent="0.35">
      <c r="A82" s="13">
        <v>45484</v>
      </c>
      <c r="B82">
        <v>2024</v>
      </c>
      <c r="C82">
        <v>193</v>
      </c>
      <c r="D82">
        <v>7.3</v>
      </c>
      <c r="E82" s="104">
        <v>10.808</v>
      </c>
      <c r="F82" s="104">
        <v>0.15</v>
      </c>
      <c r="G82">
        <v>0.4</v>
      </c>
    </row>
    <row r="83" spans="1:7" x14ac:dyDescent="0.35">
      <c r="A83" s="13">
        <v>45485</v>
      </c>
      <c r="B83">
        <v>2024</v>
      </c>
      <c r="C83">
        <v>194</v>
      </c>
      <c r="D83">
        <v>7.4</v>
      </c>
      <c r="E83" s="104">
        <v>13.853</v>
      </c>
      <c r="F83" s="104">
        <v>4.2759999999999998</v>
      </c>
      <c r="G83">
        <v>0</v>
      </c>
    </row>
    <row r="84" spans="1:7" x14ac:dyDescent="0.35">
      <c r="A84" s="13">
        <v>45486</v>
      </c>
      <c r="B84">
        <v>2024</v>
      </c>
      <c r="C84">
        <v>195</v>
      </c>
      <c r="D84">
        <v>10.4</v>
      </c>
      <c r="E84" s="104">
        <v>14.228</v>
      </c>
      <c r="F84" s="104">
        <v>5.0090000000000003</v>
      </c>
      <c r="G84">
        <v>0</v>
      </c>
    </row>
    <row r="85" spans="1:7" x14ac:dyDescent="0.35">
      <c r="A85" s="13">
        <v>45487</v>
      </c>
      <c r="B85">
        <v>2024</v>
      </c>
      <c r="C85">
        <v>196</v>
      </c>
      <c r="D85">
        <v>10.5</v>
      </c>
      <c r="E85" s="104">
        <v>12.481</v>
      </c>
      <c r="F85" s="104">
        <v>1.6970000000000001</v>
      </c>
      <c r="G85">
        <v>0.4</v>
      </c>
    </row>
    <row r="86" spans="1:7" x14ac:dyDescent="0.35">
      <c r="A86" s="13">
        <v>45488</v>
      </c>
      <c r="B86">
        <v>2024</v>
      </c>
      <c r="C86">
        <v>197</v>
      </c>
      <c r="D86">
        <v>6.3</v>
      </c>
      <c r="E86" s="104">
        <v>9.5410000000000004</v>
      </c>
      <c r="F86" s="104">
        <v>1.014</v>
      </c>
      <c r="G86">
        <v>3.0000000000000004</v>
      </c>
    </row>
    <row r="87" spans="1:7" x14ac:dyDescent="0.35">
      <c r="A87" s="13">
        <v>45489</v>
      </c>
      <c r="B87">
        <v>2024</v>
      </c>
      <c r="C87">
        <v>198</v>
      </c>
      <c r="D87">
        <v>5.3</v>
      </c>
      <c r="E87" s="104">
        <v>11.933</v>
      </c>
      <c r="F87" s="104">
        <v>6.6829999999999998</v>
      </c>
      <c r="G87">
        <v>16.79999999999999</v>
      </c>
    </row>
    <row r="88" spans="1:7" x14ac:dyDescent="0.35">
      <c r="A88" s="13">
        <v>45490</v>
      </c>
      <c r="B88">
        <v>2024</v>
      </c>
      <c r="C88">
        <v>199</v>
      </c>
      <c r="D88">
        <v>9</v>
      </c>
      <c r="E88" s="104">
        <v>12.567</v>
      </c>
      <c r="F88" s="104">
        <v>3.722</v>
      </c>
      <c r="G88">
        <v>0</v>
      </c>
    </row>
    <row r="89" spans="1:7" x14ac:dyDescent="0.35">
      <c r="A89" s="13">
        <v>45491</v>
      </c>
      <c r="B89">
        <v>2024</v>
      </c>
      <c r="C89">
        <v>200</v>
      </c>
      <c r="D89">
        <v>7.4</v>
      </c>
      <c r="E89" s="104">
        <v>11.228999999999999</v>
      </c>
      <c r="F89" s="104">
        <v>1.506</v>
      </c>
      <c r="G89">
        <v>0</v>
      </c>
    </row>
    <row r="90" spans="1:7" x14ac:dyDescent="0.35">
      <c r="A90" s="13">
        <v>45492</v>
      </c>
      <c r="B90">
        <v>2024</v>
      </c>
      <c r="C90">
        <v>201</v>
      </c>
      <c r="D90">
        <v>6.9</v>
      </c>
      <c r="E90" s="104">
        <v>11.039</v>
      </c>
      <c r="F90" s="104">
        <v>6.1120000000000001</v>
      </c>
      <c r="G90">
        <v>0</v>
      </c>
    </row>
    <row r="91" spans="1:7" x14ac:dyDescent="0.35">
      <c r="A91" s="13">
        <v>45493</v>
      </c>
      <c r="B91">
        <v>2024</v>
      </c>
      <c r="C91">
        <v>202</v>
      </c>
      <c r="D91">
        <v>6.7</v>
      </c>
      <c r="E91" s="104">
        <v>10.885</v>
      </c>
      <c r="F91" s="104">
        <v>8.4459999999999997</v>
      </c>
      <c r="G91">
        <v>2.8000000000000003</v>
      </c>
    </row>
    <row r="92" spans="1:7" x14ac:dyDescent="0.35">
      <c r="A92" s="13">
        <v>45494</v>
      </c>
      <c r="B92">
        <v>2024</v>
      </c>
      <c r="C92">
        <v>203</v>
      </c>
      <c r="D92">
        <v>9</v>
      </c>
      <c r="E92" s="104">
        <v>13.353999999999999</v>
      </c>
      <c r="F92" s="104">
        <v>3.956</v>
      </c>
      <c r="G92">
        <v>0.2</v>
      </c>
    </row>
    <row r="93" spans="1:7" x14ac:dyDescent="0.35">
      <c r="A93" s="13">
        <v>45495</v>
      </c>
      <c r="B93">
        <v>2024</v>
      </c>
      <c r="C93">
        <v>204</v>
      </c>
      <c r="D93">
        <v>10</v>
      </c>
      <c r="E93" s="104">
        <v>16.221</v>
      </c>
      <c r="F93" s="104">
        <v>4.2590000000000003</v>
      </c>
      <c r="G93">
        <v>2.6</v>
      </c>
    </row>
    <row r="94" spans="1:7" x14ac:dyDescent="0.35">
      <c r="A94" s="13">
        <v>45496</v>
      </c>
      <c r="B94">
        <v>2024</v>
      </c>
      <c r="C94">
        <v>205</v>
      </c>
      <c r="D94">
        <v>10.9</v>
      </c>
      <c r="E94" s="104">
        <v>16.899000000000001</v>
      </c>
      <c r="F94" s="104">
        <v>3.202</v>
      </c>
      <c r="G94">
        <v>0.4</v>
      </c>
    </row>
    <row r="95" spans="1:7" x14ac:dyDescent="0.35">
      <c r="A95" s="13">
        <v>45497</v>
      </c>
      <c r="B95">
        <v>2024</v>
      </c>
      <c r="C95">
        <v>206</v>
      </c>
      <c r="D95">
        <v>10.6</v>
      </c>
      <c r="E95" s="104">
        <v>17.257000000000001</v>
      </c>
      <c r="F95" s="104">
        <v>0.187</v>
      </c>
      <c r="G95">
        <v>0.2</v>
      </c>
    </row>
    <row r="96" spans="1:7" x14ac:dyDescent="0.35">
      <c r="A96" s="13">
        <v>45498</v>
      </c>
      <c r="B96">
        <v>2024</v>
      </c>
      <c r="C96">
        <v>207</v>
      </c>
      <c r="D96">
        <v>5.3</v>
      </c>
      <c r="E96" s="104">
        <v>13.489000000000001</v>
      </c>
      <c r="F96" s="104">
        <v>4.67</v>
      </c>
      <c r="G96">
        <v>5.8000000000000016</v>
      </c>
    </row>
    <row r="97" spans="1:7" x14ac:dyDescent="0.35">
      <c r="A97" s="13">
        <v>45499</v>
      </c>
      <c r="B97">
        <v>2024</v>
      </c>
      <c r="C97">
        <v>208</v>
      </c>
      <c r="D97">
        <v>9.5</v>
      </c>
      <c r="E97" s="104">
        <v>15.862</v>
      </c>
      <c r="F97" s="104">
        <v>1.9379999999999999</v>
      </c>
      <c r="G97">
        <v>0.2</v>
      </c>
    </row>
    <row r="98" spans="1:7" x14ac:dyDescent="0.35">
      <c r="A98" s="13">
        <v>45500</v>
      </c>
      <c r="B98">
        <v>2024</v>
      </c>
      <c r="C98">
        <v>209</v>
      </c>
      <c r="D98">
        <v>12.3</v>
      </c>
      <c r="E98" s="104">
        <v>17.184999999999999</v>
      </c>
      <c r="F98" s="104">
        <v>-0.624</v>
      </c>
      <c r="G98">
        <v>2.2000000000000002</v>
      </c>
    </row>
    <row r="99" spans="1:7" x14ac:dyDescent="0.35">
      <c r="A99" s="13">
        <v>45501</v>
      </c>
      <c r="B99">
        <v>2024</v>
      </c>
      <c r="C99">
        <v>210</v>
      </c>
      <c r="D99">
        <v>9.6999999999999993</v>
      </c>
      <c r="E99" s="104">
        <v>10.122</v>
      </c>
      <c r="F99" s="104">
        <v>3.048</v>
      </c>
      <c r="G99">
        <v>0.4</v>
      </c>
    </row>
    <row r="100" spans="1:7" x14ac:dyDescent="0.35">
      <c r="A100" s="13">
        <v>45502</v>
      </c>
      <c r="B100">
        <v>2024</v>
      </c>
      <c r="C100">
        <v>211</v>
      </c>
      <c r="D100">
        <v>12.6</v>
      </c>
      <c r="E100" s="104">
        <v>11.819000000000001</v>
      </c>
      <c r="F100" s="104">
        <v>-1.65</v>
      </c>
      <c r="G100">
        <v>0</v>
      </c>
    </row>
    <row r="101" spans="1:7" x14ac:dyDescent="0.35">
      <c r="A101" s="13">
        <v>45503</v>
      </c>
      <c r="B101">
        <v>2024</v>
      </c>
      <c r="C101">
        <v>212</v>
      </c>
      <c r="D101">
        <v>12.7</v>
      </c>
      <c r="E101" s="104">
        <v>14.861000000000001</v>
      </c>
      <c r="F101" s="104">
        <v>-3.9660000000000002</v>
      </c>
      <c r="G101">
        <v>0</v>
      </c>
    </row>
    <row r="102" spans="1:7" x14ac:dyDescent="0.35">
      <c r="A102" s="13">
        <v>45504</v>
      </c>
      <c r="B102">
        <v>2024</v>
      </c>
      <c r="C102">
        <v>213</v>
      </c>
      <c r="D102">
        <v>12.8</v>
      </c>
      <c r="E102" s="104">
        <v>15.901</v>
      </c>
      <c r="F102" s="104">
        <v>-3.597</v>
      </c>
      <c r="G102">
        <v>0</v>
      </c>
    </row>
    <row r="103" spans="1:7" x14ac:dyDescent="0.35">
      <c r="A103" s="13">
        <v>45505</v>
      </c>
      <c r="B103">
        <v>2024</v>
      </c>
      <c r="C103">
        <v>214</v>
      </c>
      <c r="D103">
        <v>12.9</v>
      </c>
      <c r="E103" s="104">
        <v>16.033999999999999</v>
      </c>
      <c r="F103" s="104">
        <v>-3.1120000000000001</v>
      </c>
      <c r="G103">
        <v>0</v>
      </c>
    </row>
    <row r="104" spans="1:7" x14ac:dyDescent="0.35">
      <c r="A104" s="13">
        <v>45506</v>
      </c>
      <c r="B104">
        <v>2024</v>
      </c>
      <c r="C104">
        <v>215</v>
      </c>
      <c r="D104">
        <v>13</v>
      </c>
      <c r="E104" s="104">
        <v>17.151</v>
      </c>
      <c r="F104" s="104">
        <v>-2.65</v>
      </c>
      <c r="G104">
        <v>0.2</v>
      </c>
    </row>
    <row r="105" spans="1:7" x14ac:dyDescent="0.35">
      <c r="A105" s="13">
        <v>45507</v>
      </c>
      <c r="B105">
        <v>2024</v>
      </c>
      <c r="C105">
        <v>216</v>
      </c>
      <c r="D105">
        <v>13</v>
      </c>
      <c r="E105" s="104">
        <v>17.446999999999999</v>
      </c>
      <c r="F105" s="104">
        <v>-1.9410000000000001</v>
      </c>
      <c r="G105">
        <v>0</v>
      </c>
    </row>
    <row r="106" spans="1:7" x14ac:dyDescent="0.35">
      <c r="A106" s="13">
        <v>45508</v>
      </c>
      <c r="B106">
        <v>2024</v>
      </c>
      <c r="C106">
        <v>217</v>
      </c>
      <c r="D106">
        <v>11.7</v>
      </c>
      <c r="E106" s="104">
        <v>17.385000000000002</v>
      </c>
      <c r="F106" s="104">
        <v>-0.66500000000000004</v>
      </c>
      <c r="G106">
        <v>0.2</v>
      </c>
    </row>
    <row r="107" spans="1:7" x14ac:dyDescent="0.35">
      <c r="A107" s="13">
        <v>45509</v>
      </c>
      <c r="B107">
        <v>2024</v>
      </c>
      <c r="C107">
        <v>218</v>
      </c>
      <c r="D107">
        <v>9.6</v>
      </c>
      <c r="E107" s="104">
        <v>17.170999999999999</v>
      </c>
      <c r="F107" s="104">
        <v>4.67</v>
      </c>
      <c r="G107">
        <v>0</v>
      </c>
    </row>
    <row r="108" spans="1:7" x14ac:dyDescent="0.35">
      <c r="A108" s="13">
        <v>45510</v>
      </c>
      <c r="B108">
        <v>2024</v>
      </c>
      <c r="C108">
        <v>219</v>
      </c>
      <c r="D108">
        <v>13.2</v>
      </c>
      <c r="E108" s="104">
        <v>15.602</v>
      </c>
      <c r="F108" s="104">
        <v>1.103</v>
      </c>
      <c r="G108">
        <v>0.4</v>
      </c>
    </row>
    <row r="109" spans="1:7" x14ac:dyDescent="0.35">
      <c r="A109" s="13">
        <v>45511</v>
      </c>
      <c r="B109">
        <v>2024</v>
      </c>
      <c r="C109">
        <v>220</v>
      </c>
      <c r="D109">
        <v>13.4</v>
      </c>
      <c r="E109" s="104">
        <v>17.474</v>
      </c>
      <c r="F109" s="104">
        <v>-0.94899999999999995</v>
      </c>
      <c r="G109">
        <v>0.2</v>
      </c>
    </row>
    <row r="110" spans="1:7" x14ac:dyDescent="0.35">
      <c r="A110" s="13">
        <v>45512</v>
      </c>
      <c r="B110">
        <v>2024</v>
      </c>
      <c r="C110">
        <v>221</v>
      </c>
      <c r="D110">
        <v>12.8</v>
      </c>
      <c r="E110" s="104">
        <v>18.029</v>
      </c>
      <c r="F110" s="104">
        <v>-1.8440000000000001</v>
      </c>
      <c r="G110">
        <v>0.2</v>
      </c>
    </row>
    <row r="111" spans="1:7" x14ac:dyDescent="0.35">
      <c r="A111" s="13">
        <v>45513</v>
      </c>
      <c r="B111">
        <v>2024</v>
      </c>
      <c r="C111">
        <v>222</v>
      </c>
      <c r="D111">
        <v>13.8</v>
      </c>
      <c r="E111" s="104">
        <v>19.722000000000001</v>
      </c>
      <c r="F111" s="104">
        <v>0.78100000000000003</v>
      </c>
      <c r="G111">
        <v>0</v>
      </c>
    </row>
    <row r="112" spans="1:7" x14ac:dyDescent="0.35">
      <c r="A112" s="13">
        <v>45514</v>
      </c>
      <c r="B112">
        <v>2024</v>
      </c>
      <c r="C112">
        <v>223</v>
      </c>
      <c r="D112">
        <v>13.5</v>
      </c>
      <c r="E112" s="104">
        <v>20.045999999999999</v>
      </c>
      <c r="F112" s="104">
        <v>-0.41199999999999998</v>
      </c>
      <c r="G112">
        <v>0.2</v>
      </c>
    </row>
    <row r="113" spans="1:7" x14ac:dyDescent="0.35">
      <c r="A113" s="13">
        <v>45515</v>
      </c>
      <c r="B113">
        <v>2024</v>
      </c>
      <c r="C113">
        <v>224</v>
      </c>
      <c r="D113">
        <v>14.1</v>
      </c>
      <c r="E113" s="104">
        <v>21.475000000000001</v>
      </c>
      <c r="F113" s="104">
        <v>-0.56299999999999994</v>
      </c>
      <c r="G113">
        <v>0.2</v>
      </c>
    </row>
    <row r="114" spans="1:7" x14ac:dyDescent="0.35">
      <c r="A114" s="13">
        <v>45516</v>
      </c>
      <c r="B114">
        <v>2024</v>
      </c>
      <c r="C114">
        <v>225</v>
      </c>
      <c r="D114">
        <v>14.2</v>
      </c>
      <c r="E114" s="104">
        <v>23.117000000000001</v>
      </c>
      <c r="F114" s="104">
        <v>0.86199999999999999</v>
      </c>
      <c r="G114">
        <v>0.2</v>
      </c>
    </row>
    <row r="115" spans="1:7" x14ac:dyDescent="0.35">
      <c r="A115" s="13">
        <v>45517</v>
      </c>
      <c r="B115">
        <v>2024</v>
      </c>
      <c r="C115">
        <v>226</v>
      </c>
      <c r="D115">
        <v>12.9</v>
      </c>
      <c r="E115" s="104">
        <v>24.515999999999998</v>
      </c>
      <c r="F115" s="104">
        <v>2.6419999999999999</v>
      </c>
      <c r="G115">
        <v>0.60000000000000009</v>
      </c>
    </row>
    <row r="116" spans="1:7" x14ac:dyDescent="0.35">
      <c r="A116" s="13">
        <v>45518</v>
      </c>
      <c r="B116">
        <v>2024</v>
      </c>
      <c r="C116">
        <v>227</v>
      </c>
      <c r="D116">
        <v>9.1999999999999993</v>
      </c>
      <c r="E116" s="104">
        <v>20.52</v>
      </c>
      <c r="F116" s="104">
        <v>7.6109999999999998</v>
      </c>
      <c r="G116">
        <v>24.799999999999997</v>
      </c>
    </row>
    <row r="117" spans="1:7" x14ac:dyDescent="0.35">
      <c r="A117" s="13">
        <v>45519</v>
      </c>
      <c r="B117">
        <v>2024</v>
      </c>
      <c r="C117">
        <v>228</v>
      </c>
      <c r="D117">
        <v>14</v>
      </c>
      <c r="E117" s="104">
        <v>25.303000000000001</v>
      </c>
      <c r="F117" s="104">
        <v>6.1210000000000004</v>
      </c>
      <c r="G117">
        <v>0.4</v>
      </c>
    </row>
    <row r="118" spans="1:7" x14ac:dyDescent="0.35">
      <c r="A118" s="13">
        <v>45520</v>
      </c>
      <c r="B118">
        <v>2024</v>
      </c>
      <c r="C118">
        <v>229</v>
      </c>
      <c r="D118">
        <v>8.5</v>
      </c>
      <c r="E118" s="104">
        <v>18.21</v>
      </c>
      <c r="F118" s="104">
        <v>6.0119999999999996</v>
      </c>
      <c r="G118">
        <v>6.4000000000000012</v>
      </c>
    </row>
    <row r="119" spans="1:7" x14ac:dyDescent="0.35">
      <c r="A119" s="13">
        <v>45521</v>
      </c>
      <c r="B119">
        <v>2024</v>
      </c>
      <c r="C119">
        <v>230</v>
      </c>
      <c r="D119">
        <v>7.6</v>
      </c>
      <c r="E119" s="104">
        <v>12.462</v>
      </c>
      <c r="F119" s="104">
        <v>6.3410000000000002</v>
      </c>
      <c r="G119">
        <v>14.399999999999999</v>
      </c>
    </row>
    <row r="120" spans="1:7" x14ac:dyDescent="0.35">
      <c r="A120" s="13">
        <v>45522</v>
      </c>
      <c r="B120">
        <v>2024</v>
      </c>
      <c r="C120">
        <v>231</v>
      </c>
      <c r="D120">
        <v>13.2</v>
      </c>
      <c r="E120" s="104">
        <v>17.457000000000001</v>
      </c>
      <c r="F120" s="104">
        <v>5.5289999999999999</v>
      </c>
      <c r="G120">
        <v>0</v>
      </c>
    </row>
    <row r="121" spans="1:7" x14ac:dyDescent="0.35">
      <c r="A121" s="13">
        <v>45523</v>
      </c>
      <c r="B121">
        <v>2024</v>
      </c>
      <c r="C121">
        <v>232</v>
      </c>
      <c r="D121">
        <v>13.2</v>
      </c>
      <c r="E121" s="104">
        <v>19.526</v>
      </c>
      <c r="F121" s="104">
        <v>3.4620000000000002</v>
      </c>
      <c r="G121">
        <v>0.8</v>
      </c>
    </row>
    <row r="122" spans="1:7" x14ac:dyDescent="0.35">
      <c r="A122" s="13">
        <v>45524</v>
      </c>
      <c r="B122">
        <v>2024</v>
      </c>
      <c r="C122">
        <v>233</v>
      </c>
      <c r="D122">
        <v>10.7</v>
      </c>
      <c r="E122" s="104">
        <v>16.911000000000001</v>
      </c>
      <c r="F122" s="104">
        <v>4.0010000000000003</v>
      </c>
      <c r="G122">
        <v>0.2</v>
      </c>
    </row>
    <row r="123" spans="1:7" x14ac:dyDescent="0.35">
      <c r="A123" s="13">
        <v>45525</v>
      </c>
      <c r="B123">
        <v>2024</v>
      </c>
      <c r="C123">
        <v>234</v>
      </c>
      <c r="D123">
        <v>8.6</v>
      </c>
      <c r="E123" s="104">
        <v>14.78</v>
      </c>
      <c r="F123" s="104">
        <v>7.9509999999999996</v>
      </c>
      <c r="G123">
        <v>0</v>
      </c>
    </row>
    <row r="124" spans="1:7" x14ac:dyDescent="0.35">
      <c r="A124" s="13">
        <v>45526</v>
      </c>
      <c r="B124">
        <v>2024</v>
      </c>
      <c r="C124">
        <v>235</v>
      </c>
      <c r="D124">
        <v>14.6</v>
      </c>
      <c r="E124" s="104">
        <v>19.456</v>
      </c>
      <c r="F124" s="104">
        <v>5.8860000000000001</v>
      </c>
      <c r="G124">
        <v>0</v>
      </c>
    </row>
    <row r="125" spans="1:7" x14ac:dyDescent="0.35">
      <c r="A125" s="13">
        <v>45527</v>
      </c>
      <c r="B125">
        <v>2024</v>
      </c>
      <c r="C125">
        <v>236</v>
      </c>
      <c r="D125">
        <v>15.1</v>
      </c>
      <c r="E125" s="104">
        <v>21.611000000000001</v>
      </c>
      <c r="F125" s="104">
        <v>2.5150000000000001</v>
      </c>
      <c r="G125">
        <v>0.4</v>
      </c>
    </row>
    <row r="126" spans="1:7" x14ac:dyDescent="0.35">
      <c r="A126" s="13">
        <v>45528</v>
      </c>
      <c r="B126">
        <v>2024</v>
      </c>
      <c r="C126">
        <v>237</v>
      </c>
      <c r="D126">
        <v>15.4</v>
      </c>
      <c r="E126" s="104">
        <v>27.315000000000001</v>
      </c>
      <c r="F126" s="104">
        <v>9.9939999999999998</v>
      </c>
      <c r="G126">
        <v>1.2000000000000002</v>
      </c>
    </row>
    <row r="127" spans="1:7" x14ac:dyDescent="0.35">
      <c r="A127" s="13">
        <v>45529</v>
      </c>
      <c r="B127">
        <v>2024</v>
      </c>
      <c r="C127">
        <v>238</v>
      </c>
      <c r="D127">
        <v>7.4</v>
      </c>
      <c r="E127" s="104">
        <v>19.283999999999999</v>
      </c>
      <c r="F127" s="104">
        <v>10.755000000000001</v>
      </c>
      <c r="G127">
        <v>7.1999999999999993</v>
      </c>
    </row>
    <row r="128" spans="1:7" x14ac:dyDescent="0.35">
      <c r="A128" s="13">
        <v>45530</v>
      </c>
      <c r="B128">
        <v>2024</v>
      </c>
      <c r="C128">
        <v>239</v>
      </c>
      <c r="D128">
        <v>12</v>
      </c>
      <c r="E128" s="104">
        <v>17.484999999999999</v>
      </c>
      <c r="F128" s="104">
        <v>5.665</v>
      </c>
      <c r="G128">
        <v>0</v>
      </c>
    </row>
    <row r="129" spans="1:7" x14ac:dyDescent="0.35">
      <c r="A129" s="13">
        <v>45531</v>
      </c>
      <c r="B129">
        <v>2024</v>
      </c>
      <c r="C129">
        <v>240</v>
      </c>
      <c r="D129">
        <v>15.7</v>
      </c>
      <c r="E129" s="104">
        <v>21.263000000000002</v>
      </c>
      <c r="F129" s="104">
        <v>4.9020000000000001</v>
      </c>
      <c r="G129">
        <v>0.2</v>
      </c>
    </row>
    <row r="130" spans="1:7" x14ac:dyDescent="0.35">
      <c r="A130" s="13">
        <v>45532</v>
      </c>
      <c r="B130">
        <v>2024</v>
      </c>
      <c r="C130">
        <v>241</v>
      </c>
      <c r="D130">
        <v>14.7</v>
      </c>
      <c r="E130" s="104">
        <v>18.553000000000001</v>
      </c>
      <c r="F130" s="104">
        <v>7.2359999999999998</v>
      </c>
      <c r="G130">
        <v>0</v>
      </c>
    </row>
    <row r="131" spans="1:7" x14ac:dyDescent="0.35">
      <c r="A131" s="13">
        <v>45533</v>
      </c>
      <c r="B131">
        <v>2024</v>
      </c>
      <c r="C131">
        <v>242</v>
      </c>
      <c r="D131">
        <v>16.5</v>
      </c>
      <c r="E131" s="104">
        <v>19.446000000000002</v>
      </c>
      <c r="F131" s="104">
        <v>5.2130000000000001</v>
      </c>
      <c r="G131">
        <v>0</v>
      </c>
    </row>
    <row r="132" spans="1:7" x14ac:dyDescent="0.35">
      <c r="A132" s="13">
        <v>45534</v>
      </c>
      <c r="B132">
        <v>2024</v>
      </c>
      <c r="C132">
        <v>243</v>
      </c>
      <c r="D132">
        <v>14.9</v>
      </c>
      <c r="E132" s="104">
        <v>21.806000000000001</v>
      </c>
      <c r="F132" s="104">
        <v>6.4880000000000004</v>
      </c>
      <c r="G132">
        <v>0</v>
      </c>
    </row>
    <row r="133" spans="1:7" x14ac:dyDescent="0.35">
      <c r="A133" s="13">
        <v>45535</v>
      </c>
      <c r="B133">
        <v>2024</v>
      </c>
      <c r="C133">
        <v>244</v>
      </c>
      <c r="D133">
        <v>14.5</v>
      </c>
      <c r="E133" s="104">
        <v>18.692</v>
      </c>
      <c r="F133" s="104">
        <v>5.5780000000000003</v>
      </c>
      <c r="G133">
        <v>0</v>
      </c>
    </row>
    <row r="134" spans="1:7" x14ac:dyDescent="0.35">
      <c r="A134" s="13">
        <v>45536</v>
      </c>
      <c r="B134">
        <v>2024</v>
      </c>
      <c r="C134">
        <v>245</v>
      </c>
      <c r="D134">
        <v>17.3</v>
      </c>
      <c r="E134" s="104">
        <v>20.911999999999999</v>
      </c>
      <c r="F134" s="104">
        <v>3.2930000000000001</v>
      </c>
      <c r="G134">
        <v>0</v>
      </c>
    </row>
    <row r="135" spans="1:7" x14ac:dyDescent="0.35">
      <c r="A135" s="13">
        <v>45537</v>
      </c>
      <c r="B135">
        <v>2024</v>
      </c>
      <c r="C135">
        <v>246</v>
      </c>
      <c r="D135">
        <v>16.8</v>
      </c>
      <c r="E135" s="104">
        <v>15.226000000000001</v>
      </c>
      <c r="F135" s="104">
        <v>5.4059999999999997</v>
      </c>
      <c r="G135">
        <v>0</v>
      </c>
    </row>
    <row r="136" spans="1:7" x14ac:dyDescent="0.35">
      <c r="A136" s="13">
        <v>45538</v>
      </c>
      <c r="B136">
        <v>2024</v>
      </c>
      <c r="C136">
        <v>247</v>
      </c>
      <c r="D136">
        <v>17.399999999999999</v>
      </c>
      <c r="E136" s="104">
        <v>16.463999999999999</v>
      </c>
      <c r="F136" s="104">
        <v>0.51</v>
      </c>
      <c r="G136">
        <v>0</v>
      </c>
    </row>
    <row r="137" spans="1:7" x14ac:dyDescent="0.35">
      <c r="A137" s="13">
        <v>45539</v>
      </c>
      <c r="B137">
        <v>2024</v>
      </c>
      <c r="C137">
        <v>248</v>
      </c>
      <c r="D137">
        <v>17.7</v>
      </c>
      <c r="E137" s="104">
        <v>22.248999999999999</v>
      </c>
      <c r="F137" s="104">
        <v>-1.1100000000000001</v>
      </c>
      <c r="G137">
        <v>0.2</v>
      </c>
    </row>
    <row r="138" spans="1:7" x14ac:dyDescent="0.35">
      <c r="A138" s="13">
        <v>45540</v>
      </c>
      <c r="B138">
        <v>2024</v>
      </c>
      <c r="C138">
        <v>249</v>
      </c>
      <c r="D138">
        <v>15.4</v>
      </c>
      <c r="E138" s="104">
        <v>27.213999999999999</v>
      </c>
      <c r="F138" s="104">
        <v>2.9119999999999999</v>
      </c>
      <c r="G138">
        <v>0</v>
      </c>
    </row>
    <row r="139" spans="1:7" x14ac:dyDescent="0.35">
      <c r="A139" s="13">
        <v>45541</v>
      </c>
      <c r="B139">
        <v>2024</v>
      </c>
      <c r="C139">
        <v>250</v>
      </c>
      <c r="D139">
        <v>18</v>
      </c>
      <c r="E139" s="104">
        <v>28.495999999999999</v>
      </c>
      <c r="F139" s="104">
        <v>8.2810000000000006</v>
      </c>
      <c r="G139">
        <v>0</v>
      </c>
    </row>
    <row r="140" spans="1:7" x14ac:dyDescent="0.35">
      <c r="A140" s="13">
        <v>45542</v>
      </c>
      <c r="B140">
        <v>2024</v>
      </c>
      <c r="C140">
        <v>251</v>
      </c>
      <c r="D140">
        <v>15.6</v>
      </c>
      <c r="E140" s="104">
        <v>20.138000000000002</v>
      </c>
      <c r="F140" s="104">
        <v>3.59</v>
      </c>
      <c r="G140">
        <v>1.5999999999999999</v>
      </c>
    </row>
    <row r="141" spans="1:7" x14ac:dyDescent="0.35">
      <c r="A141" s="13">
        <v>45543</v>
      </c>
      <c r="B141">
        <v>2024</v>
      </c>
      <c r="C141">
        <v>252</v>
      </c>
      <c r="D141">
        <v>17.600000000000001</v>
      </c>
      <c r="E141" s="104">
        <v>19.885000000000002</v>
      </c>
      <c r="F141" s="104">
        <v>2.6280000000000001</v>
      </c>
      <c r="G141">
        <v>0.2</v>
      </c>
    </row>
    <row r="142" spans="1:7" x14ac:dyDescent="0.35">
      <c r="A142" s="13">
        <v>45544</v>
      </c>
      <c r="B142">
        <v>2024</v>
      </c>
      <c r="C142">
        <v>253</v>
      </c>
      <c r="D142">
        <v>15</v>
      </c>
      <c r="E142" s="104">
        <v>19.001000000000001</v>
      </c>
      <c r="F142" s="104">
        <v>2.0470000000000002</v>
      </c>
      <c r="G142">
        <v>0</v>
      </c>
    </row>
    <row r="143" spans="1:7" x14ac:dyDescent="0.35">
      <c r="A143" s="13">
        <v>45545</v>
      </c>
      <c r="B143">
        <v>2024</v>
      </c>
      <c r="C143">
        <v>254</v>
      </c>
      <c r="D143">
        <v>18.8</v>
      </c>
      <c r="E143" s="104">
        <v>23.617000000000001</v>
      </c>
      <c r="F143" s="104">
        <v>2.2530000000000001</v>
      </c>
      <c r="G143">
        <v>0</v>
      </c>
    </row>
    <row r="144" spans="1:7" x14ac:dyDescent="0.35">
      <c r="A144" s="13">
        <v>45546</v>
      </c>
      <c r="B144">
        <v>2024</v>
      </c>
      <c r="C144">
        <v>255</v>
      </c>
      <c r="D144">
        <v>16.399999999999999</v>
      </c>
      <c r="E144" s="104">
        <v>25.553000000000001</v>
      </c>
      <c r="F144" s="104">
        <v>1.756</v>
      </c>
      <c r="G144">
        <v>0.2</v>
      </c>
    </row>
    <row r="145" spans="1:7" x14ac:dyDescent="0.35">
      <c r="A145" s="13">
        <v>45547</v>
      </c>
      <c r="B145">
        <v>2024</v>
      </c>
      <c r="C145">
        <v>256</v>
      </c>
      <c r="D145">
        <v>16.3</v>
      </c>
      <c r="E145" s="104">
        <v>25.885999999999999</v>
      </c>
      <c r="F145" s="104">
        <v>6.8739999999999997</v>
      </c>
      <c r="G145">
        <v>2.4</v>
      </c>
    </row>
    <row r="146" spans="1:7" x14ac:dyDescent="0.35">
      <c r="A146" s="13">
        <v>45548</v>
      </c>
      <c r="B146">
        <v>2024</v>
      </c>
      <c r="C146">
        <v>257</v>
      </c>
      <c r="D146">
        <v>18.899999999999999</v>
      </c>
      <c r="E146" s="104">
        <v>23.872</v>
      </c>
      <c r="F146" s="104">
        <v>2.3959999999999999</v>
      </c>
      <c r="G146">
        <v>0.2</v>
      </c>
    </row>
    <row r="147" spans="1:7" x14ac:dyDescent="0.35">
      <c r="A147" s="13">
        <v>45549</v>
      </c>
      <c r="B147">
        <v>2024</v>
      </c>
      <c r="C147">
        <v>258</v>
      </c>
      <c r="D147">
        <v>16.399999999999999</v>
      </c>
      <c r="E147" s="104">
        <v>18.265000000000001</v>
      </c>
      <c r="F147" s="105">
        <v>-0.19800000000000001</v>
      </c>
      <c r="G147">
        <v>0</v>
      </c>
    </row>
    <row r="148" spans="1:7" x14ac:dyDescent="0.35">
      <c r="A148" s="13">
        <v>45550</v>
      </c>
      <c r="B148">
        <v>2024</v>
      </c>
      <c r="C148">
        <v>259</v>
      </c>
      <c r="D148">
        <v>19.7</v>
      </c>
      <c r="E148" s="104">
        <v>19.193000000000001</v>
      </c>
      <c r="F148" s="105">
        <v>-1.5720000000000001</v>
      </c>
      <c r="G148">
        <v>0</v>
      </c>
    </row>
    <row r="149" spans="1:7" x14ac:dyDescent="0.35">
      <c r="A149" s="13">
        <v>45551</v>
      </c>
      <c r="B149">
        <v>2024</v>
      </c>
      <c r="C149">
        <v>260</v>
      </c>
      <c r="D149">
        <v>19.5</v>
      </c>
      <c r="E149" s="104">
        <v>18.321000000000002</v>
      </c>
      <c r="F149" s="105">
        <v>-3.3029999999999999</v>
      </c>
      <c r="G149">
        <v>0</v>
      </c>
    </row>
    <row r="150" spans="1:7" x14ac:dyDescent="0.35">
      <c r="A150" s="13">
        <v>45552</v>
      </c>
      <c r="B150">
        <v>2024</v>
      </c>
      <c r="C150">
        <v>261</v>
      </c>
      <c r="D150">
        <v>20.100000000000001</v>
      </c>
      <c r="E150" s="104">
        <v>20.998999999999999</v>
      </c>
      <c r="F150" s="105">
        <v>-0.47699999999999998</v>
      </c>
      <c r="G150">
        <v>0</v>
      </c>
    </row>
    <row r="151" spans="1:7" x14ac:dyDescent="0.35">
      <c r="A151" s="13">
        <v>45553</v>
      </c>
      <c r="B151">
        <v>2024</v>
      </c>
      <c r="C151">
        <v>262</v>
      </c>
      <c r="D151">
        <v>20.3</v>
      </c>
      <c r="E151" s="104">
        <v>23.597999999999999</v>
      </c>
      <c r="F151" s="105">
        <v>-2.867</v>
      </c>
      <c r="G151">
        <v>0</v>
      </c>
    </row>
    <row r="152" spans="1:7" x14ac:dyDescent="0.35">
      <c r="A152" s="13">
        <v>45554</v>
      </c>
      <c r="B152">
        <v>2024</v>
      </c>
      <c r="C152">
        <v>263</v>
      </c>
      <c r="D152">
        <v>18.100000000000001</v>
      </c>
      <c r="E152" s="104">
        <v>21.47</v>
      </c>
      <c r="F152" s="105">
        <v>6.0000000000000001E-3</v>
      </c>
      <c r="G152">
        <v>0</v>
      </c>
    </row>
    <row r="153" spans="1:7" x14ac:dyDescent="0.35">
      <c r="A153" s="13">
        <v>45555</v>
      </c>
      <c r="B153">
        <v>2024</v>
      </c>
      <c r="C153">
        <v>264</v>
      </c>
      <c r="D153">
        <v>17.399999999999999</v>
      </c>
      <c r="E153" s="104">
        <v>19.401</v>
      </c>
      <c r="F153" s="105">
        <v>1.087</v>
      </c>
      <c r="G153">
        <v>0</v>
      </c>
    </row>
    <row r="154" spans="1:7" x14ac:dyDescent="0.35">
      <c r="A154" s="13">
        <v>45556</v>
      </c>
      <c r="B154">
        <v>2024</v>
      </c>
      <c r="C154">
        <v>265</v>
      </c>
      <c r="D154">
        <v>17.5</v>
      </c>
      <c r="E154" s="104">
        <v>20.048999999999999</v>
      </c>
      <c r="F154" s="104">
        <v>6.0890000000000004</v>
      </c>
      <c r="G154">
        <v>0</v>
      </c>
    </row>
    <row r="155" spans="1:7" x14ac:dyDescent="0.35">
      <c r="A155" s="13">
        <v>45557</v>
      </c>
      <c r="B155">
        <v>2024</v>
      </c>
      <c r="C155">
        <v>266</v>
      </c>
      <c r="D155">
        <v>18.600000000000001</v>
      </c>
      <c r="E155" s="104">
        <v>22.492999999999999</v>
      </c>
      <c r="F155" s="104">
        <v>4.2830000000000004</v>
      </c>
      <c r="G155">
        <v>0</v>
      </c>
    </row>
    <row r="156" spans="1:7" x14ac:dyDescent="0.35">
      <c r="A156" s="13">
        <v>45558</v>
      </c>
      <c r="B156">
        <v>2024</v>
      </c>
      <c r="C156">
        <v>267</v>
      </c>
      <c r="D156">
        <v>21.1</v>
      </c>
      <c r="E156" s="104">
        <v>26.693000000000001</v>
      </c>
      <c r="F156" s="104">
        <v>1.169</v>
      </c>
      <c r="G156">
        <v>0</v>
      </c>
    </row>
    <row r="157" spans="1:7" x14ac:dyDescent="0.35">
      <c r="A157" s="13">
        <v>45559</v>
      </c>
      <c r="B157">
        <v>2024</v>
      </c>
      <c r="C157">
        <v>268</v>
      </c>
      <c r="D157">
        <v>18.100000000000001</v>
      </c>
      <c r="E157" s="104">
        <v>29.84</v>
      </c>
      <c r="F157" s="104">
        <v>3.4279999999999999</v>
      </c>
      <c r="G157">
        <v>0.2</v>
      </c>
    </row>
    <row r="158" spans="1:7" x14ac:dyDescent="0.35">
      <c r="A158" s="13">
        <v>45560</v>
      </c>
      <c r="B158">
        <v>2024</v>
      </c>
      <c r="C158">
        <v>269</v>
      </c>
      <c r="D158">
        <v>6.7</v>
      </c>
      <c r="E158" s="104">
        <v>17.431000000000001</v>
      </c>
      <c r="F158" s="104">
        <v>12.819000000000001</v>
      </c>
      <c r="G158">
        <v>16.600000000000001</v>
      </c>
    </row>
    <row r="159" spans="1:7" x14ac:dyDescent="0.35">
      <c r="A159" s="13">
        <v>45561</v>
      </c>
      <c r="B159">
        <v>2024</v>
      </c>
      <c r="C159">
        <v>270</v>
      </c>
      <c r="D159">
        <v>6.6</v>
      </c>
      <c r="E159" s="104">
        <v>12.741</v>
      </c>
      <c r="F159" s="104">
        <v>5.9939999999999998</v>
      </c>
      <c r="G159">
        <v>2.8000000000000003</v>
      </c>
    </row>
    <row r="160" spans="1:7" x14ac:dyDescent="0.35">
      <c r="A160" s="13">
        <v>45562</v>
      </c>
      <c r="B160">
        <v>2024</v>
      </c>
      <c r="C160">
        <v>271</v>
      </c>
      <c r="D160">
        <v>21.9</v>
      </c>
      <c r="E160" s="104">
        <v>20.321999999999999</v>
      </c>
      <c r="F160" s="104">
        <v>1.1459999999999999</v>
      </c>
      <c r="G160">
        <v>0.2</v>
      </c>
    </row>
    <row r="161" spans="1:7" x14ac:dyDescent="0.35">
      <c r="A161" s="13">
        <v>45563</v>
      </c>
      <c r="B161">
        <v>2024</v>
      </c>
      <c r="C161">
        <v>272</v>
      </c>
      <c r="D161">
        <v>20.9</v>
      </c>
      <c r="E161" s="104">
        <v>23.012</v>
      </c>
      <c r="F161" s="104">
        <v>2.2949999999999999</v>
      </c>
      <c r="G161">
        <v>0</v>
      </c>
    </row>
    <row r="162" spans="1:7" x14ac:dyDescent="0.35">
      <c r="A162" s="13">
        <v>45564</v>
      </c>
      <c r="B162">
        <v>2024</v>
      </c>
      <c r="C162">
        <v>273</v>
      </c>
      <c r="D162">
        <v>19.399999999999999</v>
      </c>
      <c r="E162" s="104">
        <v>22.943999999999999</v>
      </c>
      <c r="F162" s="104">
        <v>4.1959999999999997</v>
      </c>
      <c r="G162">
        <v>1</v>
      </c>
    </row>
    <row r="163" spans="1:7" x14ac:dyDescent="0.35">
      <c r="A163" s="13">
        <v>45565</v>
      </c>
      <c r="B163">
        <v>2024</v>
      </c>
      <c r="C163">
        <v>274</v>
      </c>
      <c r="D163">
        <v>20.6</v>
      </c>
      <c r="E163" s="104">
        <v>19.663</v>
      </c>
      <c r="F163" s="104">
        <v>5.2309999999999999</v>
      </c>
      <c r="G163">
        <v>0</v>
      </c>
    </row>
    <row r="164" spans="1:7" x14ac:dyDescent="0.35">
      <c r="A164" s="13">
        <v>45566</v>
      </c>
      <c r="B164">
        <v>2024</v>
      </c>
      <c r="C164">
        <v>275</v>
      </c>
      <c r="D164">
        <v>22.5</v>
      </c>
      <c r="E164" s="104">
        <v>21.738</v>
      </c>
      <c r="F164" s="104">
        <v>1.8540000000000001</v>
      </c>
      <c r="G164">
        <v>0</v>
      </c>
    </row>
    <row r="165" spans="1:7" x14ac:dyDescent="0.35">
      <c r="A165" s="13">
        <v>45567</v>
      </c>
      <c r="B165">
        <v>2024</v>
      </c>
      <c r="C165">
        <v>276</v>
      </c>
      <c r="D165">
        <v>21.2</v>
      </c>
      <c r="E165" s="104">
        <v>26.841000000000001</v>
      </c>
      <c r="F165" s="104">
        <v>2.2290000000000001</v>
      </c>
      <c r="G165">
        <v>0</v>
      </c>
    </row>
    <row r="166" spans="1:7" x14ac:dyDescent="0.35">
      <c r="A166" s="13">
        <v>45568</v>
      </c>
      <c r="B166">
        <v>2024</v>
      </c>
      <c r="C166">
        <v>277</v>
      </c>
      <c r="D166">
        <v>22.7</v>
      </c>
      <c r="E166" s="104">
        <v>27.710999999999999</v>
      </c>
      <c r="F166" s="104">
        <v>6.78</v>
      </c>
      <c r="G166">
        <v>0</v>
      </c>
    </row>
    <row r="167" spans="1:7" x14ac:dyDescent="0.35">
      <c r="A167" s="13">
        <v>45569</v>
      </c>
      <c r="B167">
        <v>2024</v>
      </c>
      <c r="C167">
        <v>278</v>
      </c>
      <c r="D167">
        <v>10.8</v>
      </c>
      <c r="E167" s="104">
        <v>23.420999999999999</v>
      </c>
      <c r="F167" s="104">
        <v>6.68</v>
      </c>
      <c r="G167">
        <v>8.3999999999999986</v>
      </c>
    </row>
    <row r="168" spans="1:7" x14ac:dyDescent="0.35">
      <c r="A168" s="13">
        <v>45570</v>
      </c>
      <c r="B168">
        <v>2024</v>
      </c>
      <c r="C168">
        <v>279</v>
      </c>
      <c r="D168">
        <v>19.3</v>
      </c>
      <c r="E168" s="104">
        <v>21.884</v>
      </c>
      <c r="F168" s="104">
        <v>7.82</v>
      </c>
      <c r="G168">
        <v>0.2</v>
      </c>
    </row>
    <row r="169" spans="1:7" x14ac:dyDescent="0.35">
      <c r="A169" s="13">
        <v>45571</v>
      </c>
      <c r="B169">
        <v>2024</v>
      </c>
      <c r="C169">
        <v>280</v>
      </c>
      <c r="D169">
        <v>16.3</v>
      </c>
      <c r="E169" s="104">
        <v>21.431000000000001</v>
      </c>
      <c r="F169" s="104">
        <v>6.8639999999999999</v>
      </c>
      <c r="G169">
        <v>0</v>
      </c>
    </row>
    <row r="170" spans="1:7" x14ac:dyDescent="0.35">
      <c r="A170" s="13">
        <v>45572</v>
      </c>
      <c r="B170">
        <v>2024</v>
      </c>
      <c r="C170">
        <v>281</v>
      </c>
      <c r="D170">
        <v>20.3</v>
      </c>
      <c r="E170" s="104">
        <v>25.753</v>
      </c>
      <c r="F170" s="104">
        <v>3.9820000000000002</v>
      </c>
      <c r="G170">
        <v>0</v>
      </c>
    </row>
    <row r="171" spans="1:7" x14ac:dyDescent="0.35">
      <c r="A171" s="13">
        <v>45573</v>
      </c>
      <c r="B171">
        <v>2024</v>
      </c>
      <c r="C171">
        <v>282</v>
      </c>
      <c r="D171">
        <v>23.5</v>
      </c>
      <c r="E171" s="104">
        <v>21.684999999999999</v>
      </c>
      <c r="F171" s="104">
        <v>4.7610000000000001</v>
      </c>
      <c r="G171">
        <v>0</v>
      </c>
    </row>
    <row r="172" spans="1:7" x14ac:dyDescent="0.35">
      <c r="A172" s="13">
        <v>45574</v>
      </c>
      <c r="B172">
        <v>2024</v>
      </c>
      <c r="C172">
        <v>283</v>
      </c>
      <c r="D172">
        <v>24.1</v>
      </c>
      <c r="E172" s="104">
        <v>24.651</v>
      </c>
      <c r="F172" s="104">
        <v>1.65</v>
      </c>
      <c r="G172">
        <v>0</v>
      </c>
    </row>
    <row r="173" spans="1:7" x14ac:dyDescent="0.35">
      <c r="A173" s="13">
        <v>45575</v>
      </c>
      <c r="B173">
        <v>2024</v>
      </c>
      <c r="C173">
        <v>284</v>
      </c>
      <c r="D173">
        <v>24.2</v>
      </c>
      <c r="E173" s="104">
        <v>27.079000000000001</v>
      </c>
      <c r="F173" s="104">
        <v>2.6230000000000002</v>
      </c>
      <c r="G173">
        <v>0</v>
      </c>
    </row>
    <row r="174" spans="1:7" x14ac:dyDescent="0.35">
      <c r="A174" s="13">
        <v>45576</v>
      </c>
      <c r="B174">
        <v>2024</v>
      </c>
      <c r="C174">
        <v>285</v>
      </c>
      <c r="D174">
        <v>23.3</v>
      </c>
      <c r="E174" s="104">
        <v>27.794</v>
      </c>
      <c r="F174" s="104">
        <v>4.6159999999999997</v>
      </c>
      <c r="G174">
        <v>0</v>
      </c>
    </row>
    <row r="175" spans="1:7" x14ac:dyDescent="0.35">
      <c r="A175" s="13">
        <v>45577</v>
      </c>
      <c r="B175">
        <v>2024</v>
      </c>
      <c r="C175">
        <v>286</v>
      </c>
      <c r="D175">
        <v>24.4</v>
      </c>
      <c r="E175" s="104">
        <v>27.934000000000001</v>
      </c>
      <c r="F175" s="104">
        <v>1.754</v>
      </c>
      <c r="G175">
        <v>0</v>
      </c>
    </row>
    <row r="176" spans="1:7" x14ac:dyDescent="0.35">
      <c r="A176" s="13">
        <v>45578</v>
      </c>
      <c r="B176">
        <v>2024</v>
      </c>
      <c r="C176">
        <v>287</v>
      </c>
      <c r="D176">
        <v>23.9</v>
      </c>
      <c r="E176" s="104">
        <v>28.956</v>
      </c>
      <c r="F176" s="104">
        <v>4.78</v>
      </c>
      <c r="G176">
        <v>0</v>
      </c>
    </row>
    <row r="177" spans="1:7" x14ac:dyDescent="0.35">
      <c r="A177" s="13">
        <v>45579</v>
      </c>
      <c r="B177">
        <v>2024</v>
      </c>
      <c r="C177">
        <v>288</v>
      </c>
      <c r="D177">
        <v>20.100000000000001</v>
      </c>
      <c r="E177" s="104">
        <v>29.940999999999999</v>
      </c>
      <c r="F177" s="104">
        <v>7.3739999999999997</v>
      </c>
      <c r="G177">
        <v>0</v>
      </c>
    </row>
    <row r="178" spans="1:7" x14ac:dyDescent="0.35">
      <c r="A178" s="13">
        <v>45580</v>
      </c>
      <c r="B178">
        <v>2024</v>
      </c>
      <c r="C178">
        <v>289</v>
      </c>
      <c r="D178">
        <v>21.3</v>
      </c>
      <c r="E178" s="104">
        <v>25.977</v>
      </c>
      <c r="F178" s="104">
        <v>11.022</v>
      </c>
      <c r="G178">
        <v>0</v>
      </c>
    </row>
    <row r="179" spans="1:7" x14ac:dyDescent="0.35">
      <c r="A179" s="13">
        <v>45581</v>
      </c>
      <c r="B179">
        <v>2024</v>
      </c>
      <c r="C179">
        <v>290</v>
      </c>
      <c r="D179">
        <v>18.2</v>
      </c>
      <c r="E179" s="104">
        <v>26.59</v>
      </c>
      <c r="F179" s="104">
        <v>10.734</v>
      </c>
      <c r="G179">
        <v>0</v>
      </c>
    </row>
    <row r="180" spans="1:7" x14ac:dyDescent="0.35">
      <c r="A180" s="13">
        <v>45582</v>
      </c>
      <c r="B180">
        <v>2024</v>
      </c>
      <c r="C180">
        <v>291</v>
      </c>
      <c r="D180">
        <v>22.1</v>
      </c>
      <c r="E180" s="104">
        <v>30.638999999999999</v>
      </c>
      <c r="F180" s="104">
        <v>7.6680000000000001</v>
      </c>
      <c r="G180">
        <v>0</v>
      </c>
    </row>
    <row r="181" spans="1:7" x14ac:dyDescent="0.35">
      <c r="A181" s="13">
        <v>45583</v>
      </c>
      <c r="B181">
        <v>2024</v>
      </c>
      <c r="C181">
        <v>292</v>
      </c>
      <c r="D181">
        <v>6.7</v>
      </c>
      <c r="E181" s="104">
        <v>25.895</v>
      </c>
      <c r="F181" s="104">
        <v>15.233000000000001</v>
      </c>
      <c r="G181">
        <v>22.999999999999996</v>
      </c>
    </row>
    <row r="182" spans="1:7" x14ac:dyDescent="0.35">
      <c r="A182" s="13">
        <v>45584</v>
      </c>
      <c r="B182">
        <v>2024</v>
      </c>
      <c r="C182">
        <v>293</v>
      </c>
      <c r="D182">
        <v>22.7</v>
      </c>
      <c r="E182" s="104">
        <v>25.876000000000001</v>
      </c>
      <c r="F182" s="104">
        <v>12.358000000000001</v>
      </c>
      <c r="G182">
        <v>0.2</v>
      </c>
    </row>
    <row r="183" spans="1:7" x14ac:dyDescent="0.35">
      <c r="A183" s="13">
        <v>45585</v>
      </c>
      <c r="B183">
        <v>2024</v>
      </c>
      <c r="C183">
        <v>294</v>
      </c>
      <c r="D183">
        <v>25.5</v>
      </c>
      <c r="E183" s="104">
        <v>28.132999999999999</v>
      </c>
      <c r="F183" s="104">
        <v>8.3460000000000001</v>
      </c>
      <c r="G183">
        <v>0</v>
      </c>
    </row>
    <row r="184" spans="1:7" x14ac:dyDescent="0.35">
      <c r="A184" s="13">
        <v>45586</v>
      </c>
      <c r="B184">
        <v>2024</v>
      </c>
      <c r="C184">
        <v>295</v>
      </c>
      <c r="D184">
        <v>25.7</v>
      </c>
      <c r="E184" s="104">
        <v>29.684000000000001</v>
      </c>
      <c r="F184" s="104">
        <v>9.5939999999999994</v>
      </c>
      <c r="G184">
        <v>0</v>
      </c>
    </row>
    <row r="185" spans="1:7" x14ac:dyDescent="0.35">
      <c r="A185" s="13">
        <v>45587</v>
      </c>
      <c r="B185">
        <v>2024</v>
      </c>
      <c r="C185">
        <v>296</v>
      </c>
      <c r="D185">
        <v>23.5</v>
      </c>
      <c r="E185" s="104">
        <v>32.095999999999997</v>
      </c>
      <c r="F185" s="104">
        <v>8.8680000000000003</v>
      </c>
      <c r="G185">
        <v>0</v>
      </c>
    </row>
    <row r="186" spans="1:7" x14ac:dyDescent="0.35">
      <c r="A186" s="13">
        <v>45588</v>
      </c>
      <c r="B186">
        <v>2024</v>
      </c>
      <c r="C186">
        <v>297</v>
      </c>
      <c r="D186">
        <v>13</v>
      </c>
      <c r="E186" s="104">
        <v>27.704000000000001</v>
      </c>
      <c r="F186" s="104">
        <v>13.628</v>
      </c>
      <c r="G186">
        <v>0</v>
      </c>
    </row>
    <row r="187" spans="1:7" x14ac:dyDescent="0.35">
      <c r="A187" s="13">
        <v>45589</v>
      </c>
      <c r="B187">
        <v>2024</v>
      </c>
      <c r="C187">
        <v>298</v>
      </c>
      <c r="D187">
        <v>25.4</v>
      </c>
      <c r="E187" s="104">
        <v>23.247</v>
      </c>
      <c r="F187" s="104">
        <v>8.0139999999999993</v>
      </c>
      <c r="G187">
        <v>0</v>
      </c>
    </row>
    <row r="188" spans="1:7" x14ac:dyDescent="0.35">
      <c r="A188" s="13">
        <v>45590</v>
      </c>
      <c r="B188">
        <v>2024</v>
      </c>
      <c r="C188">
        <v>299</v>
      </c>
      <c r="D188">
        <v>26.2</v>
      </c>
      <c r="E188" s="104">
        <v>28.706</v>
      </c>
      <c r="F188" s="104">
        <v>4.681</v>
      </c>
      <c r="G188">
        <v>0</v>
      </c>
    </row>
    <row r="189" spans="1:7" x14ac:dyDescent="0.35">
      <c r="A189" s="13">
        <v>45591</v>
      </c>
      <c r="B189">
        <v>2024</v>
      </c>
      <c r="C189">
        <v>300</v>
      </c>
      <c r="D189">
        <v>26.2</v>
      </c>
      <c r="E189" s="104">
        <v>35.350999999999999</v>
      </c>
      <c r="F189" s="104">
        <v>0.67200000000000004</v>
      </c>
      <c r="G189">
        <v>0</v>
      </c>
    </row>
    <row r="190" spans="1:7" x14ac:dyDescent="0.35">
      <c r="A190" s="13">
        <v>45592</v>
      </c>
      <c r="B190">
        <v>2024</v>
      </c>
      <c r="C190">
        <v>301</v>
      </c>
      <c r="D190">
        <v>25.1</v>
      </c>
      <c r="E190" s="104">
        <v>39.976999999999997</v>
      </c>
      <c r="F190" s="104">
        <v>5.5919999999999996</v>
      </c>
      <c r="G190">
        <v>0</v>
      </c>
    </row>
    <row r="191" spans="1:7" x14ac:dyDescent="0.35">
      <c r="A191" s="13">
        <v>45593</v>
      </c>
      <c r="B191">
        <v>2024</v>
      </c>
      <c r="C191">
        <v>302</v>
      </c>
      <c r="D191">
        <v>26.1</v>
      </c>
      <c r="E191" s="104">
        <v>34.798000000000002</v>
      </c>
      <c r="F191" s="104">
        <v>5.7309999999999999</v>
      </c>
      <c r="G191">
        <v>0</v>
      </c>
    </row>
    <row r="192" spans="1:7" x14ac:dyDescent="0.35">
      <c r="A192" s="13">
        <v>45594</v>
      </c>
      <c r="B192">
        <v>2024</v>
      </c>
      <c r="C192">
        <v>303</v>
      </c>
      <c r="D192">
        <v>26.3</v>
      </c>
      <c r="E192" s="104">
        <v>35.036000000000001</v>
      </c>
      <c r="F192" s="104">
        <v>4.7309999999999999</v>
      </c>
      <c r="G192">
        <v>0</v>
      </c>
    </row>
    <row r="193" spans="1:7" x14ac:dyDescent="0.35">
      <c r="A193" s="13">
        <v>45595</v>
      </c>
      <c r="B193">
        <v>2024</v>
      </c>
      <c r="C193">
        <v>304</v>
      </c>
      <c r="D193">
        <v>26.3</v>
      </c>
      <c r="E193" s="104">
        <v>34.926000000000002</v>
      </c>
      <c r="F193" s="104">
        <v>4.1870000000000003</v>
      </c>
      <c r="G193">
        <v>0</v>
      </c>
    </row>
    <row r="194" spans="1:7" x14ac:dyDescent="0.35">
      <c r="A194" s="13">
        <v>45596</v>
      </c>
      <c r="B194">
        <v>2024</v>
      </c>
      <c r="C194">
        <v>305</v>
      </c>
      <c r="D194">
        <v>21.9</v>
      </c>
      <c r="E194" s="104">
        <v>32.43</v>
      </c>
      <c r="F194" s="104">
        <v>5.601</v>
      </c>
      <c r="G194">
        <v>0</v>
      </c>
    </row>
    <row r="195" spans="1:7" x14ac:dyDescent="0.35">
      <c r="A195" s="13">
        <v>45597</v>
      </c>
      <c r="B195">
        <v>2024</v>
      </c>
      <c r="C195">
        <v>306</v>
      </c>
      <c r="D195">
        <v>26.3</v>
      </c>
      <c r="E195" s="104">
        <v>33.043999999999997</v>
      </c>
      <c r="F195" s="104">
        <v>3.5680000000000001</v>
      </c>
      <c r="G195">
        <v>0</v>
      </c>
    </row>
    <row r="196" spans="1:7" x14ac:dyDescent="0.35">
      <c r="A196" s="13">
        <v>45598</v>
      </c>
      <c r="B196">
        <v>2024</v>
      </c>
      <c r="C196">
        <v>307</v>
      </c>
      <c r="D196">
        <v>26.3</v>
      </c>
      <c r="E196" s="104">
        <v>40.753999999999998</v>
      </c>
      <c r="F196" s="104">
        <v>6.6440000000000001</v>
      </c>
      <c r="G196">
        <v>0</v>
      </c>
    </row>
    <row r="197" spans="1:7" x14ac:dyDescent="0.35">
      <c r="A197" s="13">
        <v>45599</v>
      </c>
      <c r="B197">
        <v>2024</v>
      </c>
      <c r="C197">
        <v>308</v>
      </c>
      <c r="D197">
        <v>14.3</v>
      </c>
      <c r="E197" s="104">
        <v>35.473999999999997</v>
      </c>
      <c r="F197" s="104">
        <v>10.624000000000001</v>
      </c>
      <c r="G197">
        <v>0</v>
      </c>
    </row>
    <row r="198" spans="1:7" x14ac:dyDescent="0.35">
      <c r="A198" s="13">
        <v>45600</v>
      </c>
      <c r="B198">
        <v>2024</v>
      </c>
      <c r="C198">
        <v>309</v>
      </c>
      <c r="D198">
        <v>19.5</v>
      </c>
      <c r="E198" s="104">
        <v>35.194000000000003</v>
      </c>
      <c r="F198" s="104">
        <v>10.801</v>
      </c>
      <c r="G198">
        <v>0</v>
      </c>
    </row>
    <row r="199" spans="1:7" x14ac:dyDescent="0.35">
      <c r="A199" s="13">
        <v>45601</v>
      </c>
      <c r="B199">
        <v>2024</v>
      </c>
      <c r="C199">
        <v>310</v>
      </c>
      <c r="D199">
        <v>26.1</v>
      </c>
      <c r="E199" s="104">
        <v>39.710999999999999</v>
      </c>
      <c r="F199" s="104">
        <v>5.24</v>
      </c>
      <c r="G199">
        <v>0</v>
      </c>
    </row>
    <row r="200" spans="1:7" x14ac:dyDescent="0.35">
      <c r="A200" s="13">
        <v>45602</v>
      </c>
      <c r="B200">
        <v>2024</v>
      </c>
      <c r="C200">
        <v>311</v>
      </c>
      <c r="D200">
        <v>19.399999999999999</v>
      </c>
      <c r="E200" s="104">
        <v>41.762999999999998</v>
      </c>
      <c r="F200" s="104">
        <v>8.6489999999999991</v>
      </c>
      <c r="G200">
        <v>0</v>
      </c>
    </row>
    <row r="201" spans="1:7" x14ac:dyDescent="0.35">
      <c r="A201" s="13">
        <v>45603</v>
      </c>
      <c r="B201">
        <v>2024</v>
      </c>
      <c r="C201">
        <v>312</v>
      </c>
      <c r="D201">
        <v>12</v>
      </c>
      <c r="E201" s="104">
        <v>27.948</v>
      </c>
      <c r="F201" s="104">
        <v>12.224</v>
      </c>
      <c r="G201">
        <v>1.4</v>
      </c>
    </row>
    <row r="202" spans="1:7" x14ac:dyDescent="0.35">
      <c r="A202" s="13">
        <v>45604</v>
      </c>
      <c r="B202">
        <v>2024</v>
      </c>
      <c r="C202">
        <v>313</v>
      </c>
      <c r="D202">
        <v>25.2</v>
      </c>
      <c r="E202" s="104">
        <v>31.298999999999999</v>
      </c>
      <c r="F202" s="104">
        <v>6.4009999999999998</v>
      </c>
      <c r="G202">
        <v>0</v>
      </c>
    </row>
    <row r="203" spans="1:7" x14ac:dyDescent="0.35">
      <c r="A203" s="13">
        <v>45605</v>
      </c>
      <c r="B203">
        <v>2024</v>
      </c>
      <c r="C203">
        <v>314</v>
      </c>
      <c r="D203">
        <v>21.4</v>
      </c>
      <c r="E203" s="104">
        <v>37.914000000000001</v>
      </c>
      <c r="F203" s="104">
        <v>4.8079999999999998</v>
      </c>
      <c r="G203">
        <v>0</v>
      </c>
    </row>
    <row r="204" spans="1:7" x14ac:dyDescent="0.35">
      <c r="A204" s="13">
        <v>45606</v>
      </c>
      <c r="B204">
        <v>2024</v>
      </c>
      <c r="C204">
        <v>315</v>
      </c>
      <c r="D204">
        <v>27</v>
      </c>
      <c r="E204" s="104">
        <v>37.186</v>
      </c>
      <c r="F204" s="104">
        <v>7.0339999999999998</v>
      </c>
      <c r="G204">
        <v>0</v>
      </c>
    </row>
    <row r="205" spans="1:7" x14ac:dyDescent="0.35">
      <c r="A205" s="13">
        <v>45607</v>
      </c>
      <c r="B205">
        <v>2024</v>
      </c>
      <c r="C205">
        <v>316</v>
      </c>
      <c r="D205">
        <v>18.7</v>
      </c>
      <c r="E205" s="104">
        <v>36.289000000000001</v>
      </c>
      <c r="F205" s="104">
        <v>11.316000000000001</v>
      </c>
      <c r="G205">
        <v>0</v>
      </c>
    </row>
    <row r="206" spans="1:7" x14ac:dyDescent="0.35">
      <c r="A206" s="13">
        <v>45608</v>
      </c>
      <c r="B206">
        <v>2024</v>
      </c>
      <c r="C206">
        <v>317</v>
      </c>
      <c r="D206">
        <v>22.2</v>
      </c>
      <c r="E206" s="104">
        <v>40.859000000000002</v>
      </c>
      <c r="F206" s="104">
        <v>8.9570000000000007</v>
      </c>
      <c r="G206">
        <v>16</v>
      </c>
    </row>
    <row r="207" spans="1:7" x14ac:dyDescent="0.35">
      <c r="A207" s="13">
        <v>45609</v>
      </c>
      <c r="B207">
        <v>2024</v>
      </c>
      <c r="C207">
        <v>318</v>
      </c>
      <c r="D207">
        <v>13.9</v>
      </c>
      <c r="E207" s="104">
        <v>31.785</v>
      </c>
      <c r="F207" s="104">
        <v>14.752000000000001</v>
      </c>
      <c r="G207">
        <v>5.2000000000000011</v>
      </c>
    </row>
    <row r="208" spans="1:7" x14ac:dyDescent="0.35">
      <c r="A208" s="13">
        <v>45610</v>
      </c>
      <c r="B208">
        <v>2024</v>
      </c>
      <c r="C208">
        <v>319</v>
      </c>
      <c r="D208">
        <v>27.6</v>
      </c>
      <c r="E208" s="104">
        <v>34.692</v>
      </c>
      <c r="F208" s="104">
        <v>11.12</v>
      </c>
      <c r="G208">
        <v>0</v>
      </c>
    </row>
    <row r="209" spans="1:7" x14ac:dyDescent="0.35">
      <c r="A209" s="13">
        <v>45611</v>
      </c>
      <c r="B209">
        <v>2024</v>
      </c>
      <c r="C209">
        <v>320</v>
      </c>
      <c r="D209">
        <v>27.5</v>
      </c>
      <c r="E209" s="104">
        <v>39.700000000000003</v>
      </c>
      <c r="F209" s="104">
        <v>10.29</v>
      </c>
      <c r="G209">
        <v>0</v>
      </c>
    </row>
    <row r="210" spans="1:7" x14ac:dyDescent="0.35">
      <c r="A210" s="13">
        <v>45612</v>
      </c>
      <c r="B210">
        <v>2024</v>
      </c>
      <c r="C210">
        <v>321</v>
      </c>
      <c r="D210">
        <v>27.1</v>
      </c>
      <c r="E210" s="104">
        <v>43.457000000000001</v>
      </c>
      <c r="F210" s="104">
        <v>12.167999999999999</v>
      </c>
      <c r="G210">
        <v>0</v>
      </c>
    </row>
    <row r="211" spans="1:7" x14ac:dyDescent="0.35">
      <c r="A211" s="13">
        <v>45613</v>
      </c>
      <c r="B211">
        <v>2024</v>
      </c>
      <c r="C211">
        <v>322</v>
      </c>
      <c r="D211">
        <v>5.8</v>
      </c>
      <c r="E211" s="104">
        <v>25.413</v>
      </c>
      <c r="F211" s="104">
        <v>12.003</v>
      </c>
      <c r="G211">
        <v>18.599999999999998</v>
      </c>
    </row>
    <row r="212" spans="1:7" x14ac:dyDescent="0.35">
      <c r="A212" s="13">
        <v>45614</v>
      </c>
      <c r="B212">
        <v>2024</v>
      </c>
      <c r="C212">
        <v>323</v>
      </c>
      <c r="D212">
        <v>28</v>
      </c>
      <c r="E212" s="104">
        <v>29.335000000000001</v>
      </c>
      <c r="F212" s="104">
        <v>8.9990000000000006</v>
      </c>
      <c r="G212">
        <v>0</v>
      </c>
    </row>
    <row r="213" spans="1:7" x14ac:dyDescent="0.35">
      <c r="A213" s="13">
        <v>45615</v>
      </c>
      <c r="B213">
        <v>2024</v>
      </c>
      <c r="C213">
        <v>324</v>
      </c>
      <c r="D213">
        <v>28.1</v>
      </c>
      <c r="E213" s="104">
        <v>34.307000000000002</v>
      </c>
      <c r="F213" s="104">
        <v>5.9740000000000002</v>
      </c>
      <c r="G213">
        <v>0</v>
      </c>
    </row>
    <row r="214" spans="1:7" x14ac:dyDescent="0.35">
      <c r="A214" s="13">
        <v>45616</v>
      </c>
      <c r="B214">
        <v>2024</v>
      </c>
      <c r="C214">
        <v>325</v>
      </c>
      <c r="D214">
        <v>28.1</v>
      </c>
      <c r="E214" s="104">
        <v>40.192</v>
      </c>
      <c r="F214" s="104">
        <v>9.8629999999999995</v>
      </c>
      <c r="G214">
        <v>0</v>
      </c>
    </row>
    <row r="215" spans="1:7" x14ac:dyDescent="0.35">
      <c r="A215" s="13">
        <v>45617</v>
      </c>
      <c r="B215">
        <v>2024</v>
      </c>
      <c r="C215">
        <v>326</v>
      </c>
      <c r="D215">
        <v>24.3</v>
      </c>
      <c r="E215" s="104">
        <v>35.366999999999997</v>
      </c>
      <c r="F215" s="104">
        <v>17.295999999999999</v>
      </c>
      <c r="G215">
        <v>0</v>
      </c>
    </row>
    <row r="216" spans="1:7" x14ac:dyDescent="0.35">
      <c r="A216" s="13">
        <v>45618</v>
      </c>
      <c r="B216">
        <v>2024</v>
      </c>
      <c r="C216">
        <v>327</v>
      </c>
      <c r="D216">
        <v>27.6</v>
      </c>
      <c r="E216" s="104">
        <v>43.521000000000001</v>
      </c>
      <c r="F216" s="104">
        <v>16.585000000000001</v>
      </c>
      <c r="G216">
        <v>0</v>
      </c>
    </row>
    <row r="217" spans="1:7" x14ac:dyDescent="0.35">
      <c r="A217" s="13">
        <v>45619</v>
      </c>
      <c r="B217">
        <v>2024</v>
      </c>
      <c r="C217">
        <v>328</v>
      </c>
      <c r="D217">
        <v>24.3</v>
      </c>
      <c r="E217" s="104">
        <v>40.914999999999999</v>
      </c>
      <c r="F217" s="104">
        <v>16.145</v>
      </c>
      <c r="G217">
        <v>0</v>
      </c>
    </row>
    <row r="218" spans="1:7" x14ac:dyDescent="0.35">
      <c r="A218" s="13">
        <v>45620</v>
      </c>
      <c r="B218">
        <v>2024</v>
      </c>
      <c r="C218">
        <v>329</v>
      </c>
      <c r="D218">
        <v>22.4</v>
      </c>
      <c r="E218" s="104">
        <v>40.268000000000001</v>
      </c>
      <c r="F218" s="104">
        <v>18.283000000000001</v>
      </c>
      <c r="G218">
        <v>0</v>
      </c>
    </row>
    <row r="219" spans="1:7" x14ac:dyDescent="0.35">
      <c r="A219" s="13">
        <v>45621</v>
      </c>
      <c r="B219">
        <v>2024</v>
      </c>
      <c r="C219">
        <v>330</v>
      </c>
      <c r="D219">
        <v>23.8</v>
      </c>
      <c r="E219" s="104">
        <v>40.503999999999998</v>
      </c>
      <c r="F219" s="104">
        <v>17.988</v>
      </c>
      <c r="G219">
        <v>0</v>
      </c>
    </row>
    <row r="220" spans="1:7" x14ac:dyDescent="0.35">
      <c r="E220" s="104"/>
      <c r="F220" s="104"/>
    </row>
    <row r="221" spans="1:7" x14ac:dyDescent="0.35">
      <c r="E221" s="104"/>
      <c r="F221" s="104"/>
    </row>
    <row r="222" spans="1:7" x14ac:dyDescent="0.35">
      <c r="E222" s="104"/>
      <c r="F222" s="104"/>
    </row>
    <row r="223" spans="1:7" x14ac:dyDescent="0.35">
      <c r="E223" s="104"/>
      <c r="F223" s="104"/>
    </row>
    <row r="224" spans="1:7" x14ac:dyDescent="0.35">
      <c r="E224" s="104"/>
      <c r="F224" s="104"/>
    </row>
    <row r="225" spans="5:6" x14ac:dyDescent="0.35">
      <c r="E225" s="104"/>
      <c r="F225" s="104"/>
    </row>
    <row r="226" spans="5:6" x14ac:dyDescent="0.35">
      <c r="E226" s="104"/>
      <c r="F226" s="10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71DC-9060-4E49-8486-F6AA8ADA936B}">
  <sheetPr>
    <tabColor theme="9" tint="0.79998168889431442"/>
  </sheetPr>
  <dimension ref="A1:O769"/>
  <sheetViews>
    <sheetView workbookViewId="0">
      <selection activeCell="P15" sqref="P15"/>
    </sheetView>
  </sheetViews>
  <sheetFormatPr defaultRowHeight="14.5" x14ac:dyDescent="0.35"/>
  <cols>
    <col min="1" max="3" width="8.81640625" style="6"/>
    <col min="4" max="4" width="14" style="6" bestFit="1" customWidth="1"/>
    <col min="5" max="11" width="8.81640625" style="6"/>
    <col min="12" max="13" width="13.54296875" customWidth="1"/>
    <col min="14" max="14" width="12.453125" customWidth="1"/>
    <col min="19" max="19" width="41.1796875" bestFit="1" customWidth="1"/>
    <col min="20" max="20" width="15.54296875" bestFit="1" customWidth="1"/>
    <col min="21" max="23" width="4.54296875" bestFit="1" customWidth="1"/>
    <col min="24" max="24" width="12.81640625" bestFit="1" customWidth="1"/>
    <col min="25" max="27" width="4.54296875" bestFit="1" customWidth="1"/>
    <col min="28" max="28" width="12.81640625" bestFit="1" customWidth="1"/>
    <col min="29" max="31" width="4.54296875" bestFit="1" customWidth="1"/>
    <col min="32" max="32" width="11.81640625" bestFit="1" customWidth="1"/>
    <col min="33" max="35" width="4.54296875" bestFit="1" customWidth="1"/>
    <col min="36" max="36" width="12.81640625" bestFit="1" customWidth="1"/>
    <col min="37" max="39" width="4.54296875" bestFit="1" customWidth="1"/>
    <col min="40" max="40" width="10.81640625" bestFit="1" customWidth="1"/>
    <col min="41" max="41" width="11.453125" bestFit="1" customWidth="1"/>
  </cols>
  <sheetData>
    <row r="1" spans="1:15" ht="71.150000000000006" customHeight="1" x14ac:dyDescent="0.35">
      <c r="A1" s="70" t="s">
        <v>44</v>
      </c>
      <c r="B1" s="70" t="s">
        <v>45</v>
      </c>
      <c r="C1" s="70" t="s">
        <v>46</v>
      </c>
      <c r="D1" s="70" t="s">
        <v>47</v>
      </c>
      <c r="E1" s="70" t="s">
        <v>48</v>
      </c>
      <c r="F1" s="70" t="s">
        <v>49</v>
      </c>
      <c r="G1" s="70" t="s">
        <v>50</v>
      </c>
      <c r="H1" s="70" t="s">
        <v>51</v>
      </c>
      <c r="I1" s="70" t="s">
        <v>52</v>
      </c>
      <c r="J1" s="70" t="s">
        <v>53</v>
      </c>
      <c r="K1" s="70" t="s">
        <v>54</v>
      </c>
      <c r="L1" s="70" t="s">
        <v>155</v>
      </c>
      <c r="M1" s="4" t="s">
        <v>156</v>
      </c>
      <c r="N1" s="4" t="s">
        <v>157</v>
      </c>
      <c r="O1" s="4" t="s">
        <v>734</v>
      </c>
    </row>
    <row r="2" spans="1:15" x14ac:dyDescent="0.35">
      <c r="A2" t="s">
        <v>34</v>
      </c>
      <c r="D2" t="s">
        <v>343</v>
      </c>
      <c r="F2">
        <v>2</v>
      </c>
      <c r="G2">
        <v>1</v>
      </c>
      <c r="H2">
        <v>4</v>
      </c>
      <c r="K2">
        <v>25</v>
      </c>
      <c r="L2" s="6"/>
      <c r="M2" s="122">
        <v>45411</v>
      </c>
      <c r="O2">
        <v>120</v>
      </c>
    </row>
    <row r="3" spans="1:15" x14ac:dyDescent="0.35">
      <c r="A3" t="s">
        <v>34</v>
      </c>
      <c r="D3" t="s">
        <v>343</v>
      </c>
      <c r="F3">
        <v>4</v>
      </c>
      <c r="G3">
        <v>4</v>
      </c>
      <c r="H3">
        <v>8</v>
      </c>
      <c r="K3">
        <v>60</v>
      </c>
      <c r="L3" s="6"/>
      <c r="M3" s="122">
        <v>45411</v>
      </c>
      <c r="O3">
        <v>120</v>
      </c>
    </row>
    <row r="4" spans="1:15" x14ac:dyDescent="0.35">
      <c r="A4" t="s">
        <v>34</v>
      </c>
      <c r="D4" t="s">
        <v>343</v>
      </c>
      <c r="F4">
        <v>1</v>
      </c>
      <c r="G4">
        <v>6</v>
      </c>
      <c r="H4">
        <v>2</v>
      </c>
      <c r="K4">
        <v>14</v>
      </c>
      <c r="M4" s="122">
        <v>45411</v>
      </c>
      <c r="O4">
        <v>120</v>
      </c>
    </row>
    <row r="5" spans="1:15" x14ac:dyDescent="0.35">
      <c r="A5" t="s">
        <v>34</v>
      </c>
      <c r="D5" t="s">
        <v>343</v>
      </c>
      <c r="F5">
        <v>3</v>
      </c>
      <c r="G5">
        <v>8</v>
      </c>
      <c r="H5">
        <v>6</v>
      </c>
      <c r="K5">
        <v>48</v>
      </c>
      <c r="M5" s="122">
        <v>45411</v>
      </c>
      <c r="O5">
        <v>120</v>
      </c>
    </row>
    <row r="6" spans="1:15" x14ac:dyDescent="0.35">
      <c r="A6" t="s">
        <v>34</v>
      </c>
      <c r="D6" t="s">
        <v>343</v>
      </c>
      <c r="F6">
        <v>2</v>
      </c>
      <c r="G6">
        <v>1</v>
      </c>
      <c r="H6">
        <v>4</v>
      </c>
      <c r="K6">
        <v>25</v>
      </c>
      <c r="L6" s="6"/>
      <c r="M6" s="122">
        <v>45414</v>
      </c>
      <c r="O6">
        <v>123</v>
      </c>
    </row>
    <row r="7" spans="1:15" x14ac:dyDescent="0.35">
      <c r="A7" t="s">
        <v>34</v>
      </c>
      <c r="D7" t="s">
        <v>343</v>
      </c>
      <c r="F7">
        <v>4</v>
      </c>
      <c r="G7">
        <v>4</v>
      </c>
      <c r="H7">
        <v>8</v>
      </c>
      <c r="K7">
        <v>60</v>
      </c>
      <c r="L7" s="6"/>
      <c r="M7" s="122">
        <v>45414</v>
      </c>
      <c r="O7">
        <v>123</v>
      </c>
    </row>
    <row r="8" spans="1:15" x14ac:dyDescent="0.35">
      <c r="A8" t="s">
        <v>34</v>
      </c>
      <c r="D8" t="s">
        <v>343</v>
      </c>
      <c r="F8">
        <v>1</v>
      </c>
      <c r="G8">
        <v>6</v>
      </c>
      <c r="H8">
        <v>2</v>
      </c>
      <c r="K8">
        <v>14</v>
      </c>
      <c r="M8" s="122">
        <v>45414</v>
      </c>
      <c r="O8">
        <v>123</v>
      </c>
    </row>
    <row r="9" spans="1:15" x14ac:dyDescent="0.35">
      <c r="A9" t="s">
        <v>34</v>
      </c>
      <c r="D9" t="s">
        <v>343</v>
      </c>
      <c r="F9">
        <v>3</v>
      </c>
      <c r="G9">
        <v>8</v>
      </c>
      <c r="H9">
        <v>6</v>
      </c>
      <c r="K9">
        <v>48</v>
      </c>
      <c r="M9" s="122">
        <v>45414</v>
      </c>
      <c r="O9">
        <v>123</v>
      </c>
    </row>
    <row r="10" spans="1:15" x14ac:dyDescent="0.35">
      <c r="A10" t="s">
        <v>34</v>
      </c>
      <c r="D10" t="s">
        <v>343</v>
      </c>
      <c r="F10">
        <v>2</v>
      </c>
      <c r="G10">
        <v>1</v>
      </c>
      <c r="H10">
        <v>4</v>
      </c>
      <c r="K10">
        <v>25</v>
      </c>
      <c r="L10" s="6"/>
      <c r="M10" s="122">
        <v>45418</v>
      </c>
      <c r="O10">
        <v>127</v>
      </c>
    </row>
    <row r="11" spans="1:15" x14ac:dyDescent="0.35">
      <c r="A11" t="s">
        <v>34</v>
      </c>
      <c r="D11" t="s">
        <v>343</v>
      </c>
      <c r="F11">
        <v>4</v>
      </c>
      <c r="G11">
        <v>4</v>
      </c>
      <c r="H11">
        <v>8</v>
      </c>
      <c r="K11">
        <v>60</v>
      </c>
      <c r="L11" s="6"/>
      <c r="M11" s="122">
        <v>45418</v>
      </c>
      <c r="O11">
        <v>127</v>
      </c>
    </row>
    <row r="12" spans="1:15" x14ac:dyDescent="0.35">
      <c r="A12" t="s">
        <v>34</v>
      </c>
      <c r="D12" t="s">
        <v>343</v>
      </c>
      <c r="F12">
        <v>1</v>
      </c>
      <c r="G12">
        <v>6</v>
      </c>
      <c r="H12">
        <v>2</v>
      </c>
      <c r="K12">
        <v>14</v>
      </c>
      <c r="M12" s="122">
        <v>45418</v>
      </c>
      <c r="O12">
        <v>127</v>
      </c>
    </row>
    <row r="13" spans="1:15" x14ac:dyDescent="0.35">
      <c r="A13" t="s">
        <v>34</v>
      </c>
      <c r="D13" t="s">
        <v>343</v>
      </c>
      <c r="F13">
        <v>3</v>
      </c>
      <c r="G13">
        <v>8</v>
      </c>
      <c r="H13">
        <v>6</v>
      </c>
      <c r="K13">
        <v>48</v>
      </c>
      <c r="M13" s="122">
        <v>45418</v>
      </c>
      <c r="O13">
        <v>127</v>
      </c>
    </row>
    <row r="14" spans="1:15" x14ac:dyDescent="0.35">
      <c r="A14" t="s">
        <v>34</v>
      </c>
      <c r="D14" t="s">
        <v>343</v>
      </c>
      <c r="F14">
        <v>2</v>
      </c>
      <c r="G14">
        <v>1</v>
      </c>
      <c r="H14">
        <v>4</v>
      </c>
      <c r="K14">
        <v>25</v>
      </c>
      <c r="L14" s="6"/>
      <c r="M14" s="122">
        <v>45421</v>
      </c>
      <c r="O14">
        <v>130</v>
      </c>
    </row>
    <row r="15" spans="1:15" x14ac:dyDescent="0.35">
      <c r="A15" t="s">
        <v>34</v>
      </c>
      <c r="D15" t="s">
        <v>343</v>
      </c>
      <c r="F15">
        <v>4</v>
      </c>
      <c r="G15">
        <v>4</v>
      </c>
      <c r="H15">
        <v>8</v>
      </c>
      <c r="K15">
        <v>60</v>
      </c>
      <c r="L15" s="6"/>
      <c r="M15" s="122">
        <v>45421</v>
      </c>
      <c r="O15">
        <v>130</v>
      </c>
    </row>
    <row r="16" spans="1:15" x14ac:dyDescent="0.35">
      <c r="A16" t="s">
        <v>34</v>
      </c>
      <c r="D16" t="s">
        <v>343</v>
      </c>
      <c r="F16">
        <v>1</v>
      </c>
      <c r="G16">
        <v>6</v>
      </c>
      <c r="H16">
        <v>2</v>
      </c>
      <c r="K16">
        <v>14</v>
      </c>
      <c r="M16" s="122">
        <v>45421</v>
      </c>
      <c r="O16">
        <v>130</v>
      </c>
    </row>
    <row r="17" spans="1:15" x14ac:dyDescent="0.35">
      <c r="A17" t="s">
        <v>34</v>
      </c>
      <c r="D17" t="s">
        <v>343</v>
      </c>
      <c r="F17">
        <v>3</v>
      </c>
      <c r="G17">
        <v>8</v>
      </c>
      <c r="H17">
        <v>6</v>
      </c>
      <c r="K17">
        <v>48</v>
      </c>
      <c r="M17" s="122">
        <v>45421</v>
      </c>
      <c r="O17">
        <v>130</v>
      </c>
    </row>
    <row r="18" spans="1:15" x14ac:dyDescent="0.35">
      <c r="A18" t="s">
        <v>34</v>
      </c>
      <c r="D18" t="s">
        <v>343</v>
      </c>
      <c r="F18">
        <v>2</v>
      </c>
      <c r="G18">
        <v>1</v>
      </c>
      <c r="H18">
        <v>4</v>
      </c>
      <c r="K18">
        <v>25</v>
      </c>
      <c r="L18" s="6"/>
      <c r="M18" s="122">
        <v>45425</v>
      </c>
      <c r="O18">
        <v>134</v>
      </c>
    </row>
    <row r="19" spans="1:15" x14ac:dyDescent="0.35">
      <c r="A19" t="s">
        <v>34</v>
      </c>
      <c r="D19" t="s">
        <v>343</v>
      </c>
      <c r="F19">
        <v>4</v>
      </c>
      <c r="G19">
        <v>4</v>
      </c>
      <c r="H19">
        <v>8</v>
      </c>
      <c r="K19">
        <v>60</v>
      </c>
      <c r="L19" s="6"/>
      <c r="M19" s="122">
        <v>45425</v>
      </c>
      <c r="O19">
        <v>134</v>
      </c>
    </row>
    <row r="20" spans="1:15" x14ac:dyDescent="0.35">
      <c r="A20" t="s">
        <v>34</v>
      </c>
      <c r="D20" t="s">
        <v>343</v>
      </c>
      <c r="F20">
        <v>1</v>
      </c>
      <c r="G20">
        <v>6</v>
      </c>
      <c r="H20">
        <v>2</v>
      </c>
      <c r="K20">
        <v>14</v>
      </c>
      <c r="M20" s="122">
        <v>45425</v>
      </c>
      <c r="O20">
        <v>134</v>
      </c>
    </row>
    <row r="21" spans="1:15" x14ac:dyDescent="0.35">
      <c r="A21" t="s">
        <v>34</v>
      </c>
      <c r="D21" t="s">
        <v>343</v>
      </c>
      <c r="F21">
        <v>3</v>
      </c>
      <c r="G21">
        <v>8</v>
      </c>
      <c r="H21">
        <v>6</v>
      </c>
      <c r="K21">
        <v>48</v>
      </c>
      <c r="M21" s="122">
        <v>45425</v>
      </c>
      <c r="O21">
        <v>134</v>
      </c>
    </row>
    <row r="22" spans="1:15" x14ac:dyDescent="0.35">
      <c r="A22" t="s">
        <v>34</v>
      </c>
      <c r="D22" t="s">
        <v>343</v>
      </c>
      <c r="F22">
        <v>2</v>
      </c>
      <c r="G22">
        <v>1</v>
      </c>
      <c r="H22">
        <v>4</v>
      </c>
      <c r="K22">
        <v>25</v>
      </c>
      <c r="L22" s="6"/>
      <c r="M22" s="122">
        <v>45428</v>
      </c>
      <c r="N22">
        <v>0</v>
      </c>
      <c r="O22">
        <v>137</v>
      </c>
    </row>
    <row r="23" spans="1:15" x14ac:dyDescent="0.35">
      <c r="A23" t="s">
        <v>34</v>
      </c>
      <c r="D23" t="s">
        <v>343</v>
      </c>
      <c r="F23">
        <v>4</v>
      </c>
      <c r="G23">
        <v>4</v>
      </c>
      <c r="H23">
        <v>8</v>
      </c>
      <c r="K23">
        <v>60</v>
      </c>
      <c r="L23" s="6"/>
      <c r="M23" s="122">
        <v>45428</v>
      </c>
      <c r="N23">
        <v>0</v>
      </c>
      <c r="O23">
        <v>137</v>
      </c>
    </row>
    <row r="24" spans="1:15" x14ac:dyDescent="0.35">
      <c r="A24" t="s">
        <v>34</v>
      </c>
      <c r="D24" t="s">
        <v>343</v>
      </c>
      <c r="F24">
        <v>1</v>
      </c>
      <c r="G24">
        <v>6</v>
      </c>
      <c r="H24">
        <v>2</v>
      </c>
      <c r="K24">
        <v>14</v>
      </c>
      <c r="M24" s="122">
        <v>45428</v>
      </c>
      <c r="N24">
        <v>0</v>
      </c>
      <c r="O24">
        <v>137</v>
      </c>
    </row>
    <row r="25" spans="1:15" x14ac:dyDescent="0.35">
      <c r="A25" t="s">
        <v>34</v>
      </c>
      <c r="D25" t="s">
        <v>343</v>
      </c>
      <c r="F25">
        <v>3</v>
      </c>
      <c r="G25">
        <v>8</v>
      </c>
      <c r="H25">
        <v>6</v>
      </c>
      <c r="K25">
        <v>48</v>
      </c>
      <c r="M25" s="122">
        <v>45428</v>
      </c>
      <c r="N25">
        <v>0</v>
      </c>
      <c r="O25">
        <v>137</v>
      </c>
    </row>
    <row r="26" spans="1:15" x14ac:dyDescent="0.35">
      <c r="A26" t="s">
        <v>34</v>
      </c>
      <c r="D26" t="s">
        <v>343</v>
      </c>
      <c r="F26">
        <v>2</v>
      </c>
      <c r="G26">
        <v>1</v>
      </c>
      <c r="H26">
        <v>4</v>
      </c>
      <c r="K26">
        <v>25</v>
      </c>
      <c r="L26" s="6"/>
      <c r="M26" s="122">
        <v>45435</v>
      </c>
      <c r="N26">
        <v>3</v>
      </c>
      <c r="O26">
        <v>144</v>
      </c>
    </row>
    <row r="27" spans="1:15" x14ac:dyDescent="0.35">
      <c r="A27" t="s">
        <v>34</v>
      </c>
      <c r="D27" t="s">
        <v>343</v>
      </c>
      <c r="F27">
        <v>4</v>
      </c>
      <c r="G27">
        <v>4</v>
      </c>
      <c r="H27">
        <v>8</v>
      </c>
      <c r="K27">
        <v>60</v>
      </c>
      <c r="L27" s="6"/>
      <c r="M27" s="122">
        <v>45435</v>
      </c>
      <c r="N27">
        <v>2</v>
      </c>
      <c r="O27">
        <v>144</v>
      </c>
    </row>
    <row r="28" spans="1:15" x14ac:dyDescent="0.35">
      <c r="A28" t="s">
        <v>34</v>
      </c>
      <c r="D28" t="s">
        <v>343</v>
      </c>
      <c r="F28">
        <v>1</v>
      </c>
      <c r="G28">
        <v>6</v>
      </c>
      <c r="H28">
        <v>2</v>
      </c>
      <c r="K28">
        <v>14</v>
      </c>
      <c r="M28" s="122">
        <v>45435</v>
      </c>
      <c r="N28">
        <v>0</v>
      </c>
      <c r="O28">
        <v>144</v>
      </c>
    </row>
    <row r="29" spans="1:15" x14ac:dyDescent="0.35">
      <c r="A29" t="s">
        <v>34</v>
      </c>
      <c r="D29" t="s">
        <v>343</v>
      </c>
      <c r="F29">
        <v>3</v>
      </c>
      <c r="G29">
        <v>8</v>
      </c>
      <c r="H29">
        <v>6</v>
      </c>
      <c r="K29">
        <v>48</v>
      </c>
      <c r="M29" s="122">
        <v>45435</v>
      </c>
      <c r="N29">
        <v>2</v>
      </c>
      <c r="O29">
        <v>144</v>
      </c>
    </row>
    <row r="30" spans="1:15" x14ac:dyDescent="0.35">
      <c r="A30" t="s">
        <v>34</v>
      </c>
      <c r="D30" t="s">
        <v>343</v>
      </c>
      <c r="F30">
        <v>2</v>
      </c>
      <c r="G30">
        <v>1</v>
      </c>
      <c r="H30">
        <v>4</v>
      </c>
      <c r="K30">
        <v>25</v>
      </c>
      <c r="L30" s="6"/>
      <c r="M30" s="122">
        <v>45440</v>
      </c>
      <c r="N30">
        <v>23</v>
      </c>
      <c r="O30">
        <v>149</v>
      </c>
    </row>
    <row r="31" spans="1:15" x14ac:dyDescent="0.35">
      <c r="A31" t="s">
        <v>34</v>
      </c>
      <c r="D31" t="s">
        <v>343</v>
      </c>
      <c r="F31">
        <v>4</v>
      </c>
      <c r="G31">
        <v>4</v>
      </c>
      <c r="H31">
        <v>8</v>
      </c>
      <c r="K31">
        <v>60</v>
      </c>
      <c r="L31" s="6"/>
      <c r="M31" s="122">
        <v>45440</v>
      </c>
      <c r="N31">
        <v>19</v>
      </c>
      <c r="O31">
        <v>149</v>
      </c>
    </row>
    <row r="32" spans="1:15" x14ac:dyDescent="0.35">
      <c r="A32" t="s">
        <v>34</v>
      </c>
      <c r="D32" t="s">
        <v>343</v>
      </c>
      <c r="F32">
        <v>1</v>
      </c>
      <c r="G32">
        <v>6</v>
      </c>
      <c r="H32">
        <v>2</v>
      </c>
      <c r="K32">
        <v>14</v>
      </c>
      <c r="M32" s="122">
        <v>45440</v>
      </c>
      <c r="N32">
        <v>31</v>
      </c>
      <c r="O32">
        <v>149</v>
      </c>
    </row>
    <row r="33" spans="1:15" x14ac:dyDescent="0.35">
      <c r="A33" t="s">
        <v>34</v>
      </c>
      <c r="D33" t="s">
        <v>343</v>
      </c>
      <c r="F33">
        <v>3</v>
      </c>
      <c r="G33">
        <v>8</v>
      </c>
      <c r="H33">
        <v>6</v>
      </c>
      <c r="K33">
        <v>48</v>
      </c>
      <c r="M33" s="122">
        <v>45440</v>
      </c>
      <c r="N33">
        <v>14</v>
      </c>
      <c r="O33">
        <v>149</v>
      </c>
    </row>
    <row r="34" spans="1:15" x14ac:dyDescent="0.35">
      <c r="A34" t="s">
        <v>34</v>
      </c>
      <c r="D34" t="s">
        <v>343</v>
      </c>
      <c r="F34">
        <v>2</v>
      </c>
      <c r="G34">
        <v>1</v>
      </c>
      <c r="H34">
        <v>4</v>
      </c>
      <c r="K34">
        <v>25</v>
      </c>
      <c r="L34" s="6"/>
      <c r="M34" s="122">
        <v>45442</v>
      </c>
      <c r="N34">
        <v>29</v>
      </c>
      <c r="O34">
        <v>151</v>
      </c>
    </row>
    <row r="35" spans="1:15" x14ac:dyDescent="0.35">
      <c r="A35" t="s">
        <v>34</v>
      </c>
      <c r="D35" t="s">
        <v>343</v>
      </c>
      <c r="F35">
        <v>4</v>
      </c>
      <c r="G35">
        <v>4</v>
      </c>
      <c r="H35">
        <v>8</v>
      </c>
      <c r="K35">
        <v>60</v>
      </c>
      <c r="L35" s="6"/>
      <c r="M35" s="122">
        <v>45442</v>
      </c>
      <c r="N35">
        <v>29</v>
      </c>
      <c r="O35">
        <v>151</v>
      </c>
    </row>
    <row r="36" spans="1:15" x14ac:dyDescent="0.35">
      <c r="A36" t="s">
        <v>34</v>
      </c>
      <c r="D36" t="s">
        <v>343</v>
      </c>
      <c r="F36">
        <v>1</v>
      </c>
      <c r="G36">
        <v>6</v>
      </c>
      <c r="H36">
        <v>2</v>
      </c>
      <c r="K36">
        <v>14</v>
      </c>
      <c r="M36" s="122">
        <v>45442</v>
      </c>
      <c r="N36">
        <v>37</v>
      </c>
      <c r="O36">
        <v>151</v>
      </c>
    </row>
    <row r="37" spans="1:15" x14ac:dyDescent="0.35">
      <c r="A37" t="s">
        <v>34</v>
      </c>
      <c r="D37" t="s">
        <v>343</v>
      </c>
      <c r="F37">
        <v>3</v>
      </c>
      <c r="G37">
        <v>8</v>
      </c>
      <c r="H37">
        <v>6</v>
      </c>
      <c r="K37">
        <v>48</v>
      </c>
      <c r="M37" s="122">
        <v>45442</v>
      </c>
      <c r="N37">
        <v>15</v>
      </c>
      <c r="O37">
        <v>151</v>
      </c>
    </row>
    <row r="38" spans="1:15" x14ac:dyDescent="0.35">
      <c r="A38" t="s">
        <v>34</v>
      </c>
      <c r="D38" t="s">
        <v>343</v>
      </c>
      <c r="F38">
        <v>2</v>
      </c>
      <c r="G38">
        <v>1</v>
      </c>
      <c r="H38">
        <v>4</v>
      </c>
      <c r="K38">
        <v>25</v>
      </c>
      <c r="L38" s="6"/>
      <c r="M38" s="122">
        <v>45446</v>
      </c>
      <c r="N38">
        <v>32</v>
      </c>
      <c r="O38">
        <v>155</v>
      </c>
    </row>
    <row r="39" spans="1:15" x14ac:dyDescent="0.35">
      <c r="A39" t="s">
        <v>34</v>
      </c>
      <c r="D39" t="s">
        <v>343</v>
      </c>
      <c r="F39">
        <v>4</v>
      </c>
      <c r="G39">
        <v>4</v>
      </c>
      <c r="H39">
        <v>8</v>
      </c>
      <c r="K39">
        <v>60</v>
      </c>
      <c r="L39" s="6"/>
      <c r="M39" s="122">
        <v>45446</v>
      </c>
      <c r="N39">
        <v>33</v>
      </c>
      <c r="O39">
        <v>155</v>
      </c>
    </row>
    <row r="40" spans="1:15" x14ac:dyDescent="0.35">
      <c r="A40" t="s">
        <v>34</v>
      </c>
      <c r="D40" t="s">
        <v>343</v>
      </c>
      <c r="F40">
        <v>1</v>
      </c>
      <c r="G40">
        <v>6</v>
      </c>
      <c r="H40">
        <v>2</v>
      </c>
      <c r="K40">
        <v>14</v>
      </c>
      <c r="M40" s="122">
        <v>45446</v>
      </c>
      <c r="N40">
        <v>37</v>
      </c>
      <c r="O40">
        <v>155</v>
      </c>
    </row>
    <row r="41" spans="1:15" x14ac:dyDescent="0.35">
      <c r="A41" t="s">
        <v>34</v>
      </c>
      <c r="D41" t="s">
        <v>343</v>
      </c>
      <c r="F41">
        <v>3</v>
      </c>
      <c r="G41">
        <v>8</v>
      </c>
      <c r="H41">
        <v>6</v>
      </c>
      <c r="K41">
        <v>48</v>
      </c>
      <c r="M41" s="122">
        <v>45446</v>
      </c>
      <c r="N41">
        <v>22</v>
      </c>
      <c r="O41">
        <v>155</v>
      </c>
    </row>
    <row r="42" spans="1:15" x14ac:dyDescent="0.35">
      <c r="A42" t="s">
        <v>34</v>
      </c>
      <c r="D42" t="s">
        <v>343</v>
      </c>
      <c r="F42">
        <v>2</v>
      </c>
      <c r="G42">
        <v>1</v>
      </c>
      <c r="H42">
        <v>4</v>
      </c>
      <c r="K42">
        <v>25</v>
      </c>
      <c r="L42" s="6"/>
      <c r="M42" s="122">
        <v>45450</v>
      </c>
      <c r="N42">
        <v>32</v>
      </c>
      <c r="O42">
        <v>159</v>
      </c>
    </row>
    <row r="43" spans="1:15" x14ac:dyDescent="0.35">
      <c r="A43" t="s">
        <v>34</v>
      </c>
      <c r="D43" t="s">
        <v>343</v>
      </c>
      <c r="F43">
        <v>4</v>
      </c>
      <c r="G43">
        <v>4</v>
      </c>
      <c r="H43">
        <v>8</v>
      </c>
      <c r="K43">
        <v>60</v>
      </c>
      <c r="L43" s="6"/>
      <c r="M43" s="122">
        <v>45450</v>
      </c>
      <c r="N43">
        <v>36</v>
      </c>
      <c r="O43">
        <v>159</v>
      </c>
    </row>
    <row r="44" spans="1:15" x14ac:dyDescent="0.35">
      <c r="A44" t="s">
        <v>34</v>
      </c>
      <c r="D44" t="s">
        <v>343</v>
      </c>
      <c r="F44">
        <v>1</v>
      </c>
      <c r="G44">
        <v>6</v>
      </c>
      <c r="H44">
        <v>2</v>
      </c>
      <c r="K44">
        <v>14</v>
      </c>
      <c r="M44" s="122">
        <v>45450</v>
      </c>
      <c r="N44">
        <v>37</v>
      </c>
      <c r="O44">
        <v>159</v>
      </c>
    </row>
    <row r="45" spans="1:15" x14ac:dyDescent="0.35">
      <c r="A45" t="s">
        <v>34</v>
      </c>
      <c r="D45" t="s">
        <v>343</v>
      </c>
      <c r="F45">
        <v>3</v>
      </c>
      <c r="G45">
        <v>8</v>
      </c>
      <c r="H45">
        <v>6</v>
      </c>
      <c r="K45">
        <v>48</v>
      </c>
      <c r="M45" s="122">
        <v>45450</v>
      </c>
      <c r="N45">
        <v>24</v>
      </c>
      <c r="O45">
        <v>159</v>
      </c>
    </row>
    <row r="46" spans="1:15" x14ac:dyDescent="0.35">
      <c r="A46" t="s">
        <v>34</v>
      </c>
      <c r="D46" t="s">
        <v>343</v>
      </c>
      <c r="F46">
        <v>2</v>
      </c>
      <c r="G46">
        <v>1</v>
      </c>
      <c r="H46">
        <v>4</v>
      </c>
      <c r="K46">
        <v>25</v>
      </c>
      <c r="L46" s="6"/>
      <c r="M46" s="122">
        <v>45462</v>
      </c>
      <c r="O46">
        <v>171</v>
      </c>
    </row>
    <row r="47" spans="1:15" x14ac:dyDescent="0.35">
      <c r="A47" t="s">
        <v>34</v>
      </c>
      <c r="D47" t="s">
        <v>343</v>
      </c>
      <c r="F47">
        <v>4</v>
      </c>
      <c r="G47">
        <v>4</v>
      </c>
      <c r="H47">
        <v>8</v>
      </c>
      <c r="K47">
        <v>60</v>
      </c>
      <c r="L47" s="6"/>
      <c r="M47" s="122">
        <v>45462</v>
      </c>
      <c r="N47">
        <v>36</v>
      </c>
      <c r="O47">
        <v>171</v>
      </c>
    </row>
    <row r="48" spans="1:15" x14ac:dyDescent="0.35">
      <c r="A48" t="s">
        <v>34</v>
      </c>
      <c r="D48" t="s">
        <v>343</v>
      </c>
      <c r="F48">
        <v>1</v>
      </c>
      <c r="G48">
        <v>6</v>
      </c>
      <c r="H48">
        <v>2</v>
      </c>
      <c r="K48">
        <v>14</v>
      </c>
      <c r="M48" s="122">
        <v>45462</v>
      </c>
      <c r="O48">
        <v>171</v>
      </c>
    </row>
    <row r="49" spans="1:15" x14ac:dyDescent="0.35">
      <c r="A49" t="s">
        <v>34</v>
      </c>
      <c r="D49" t="s">
        <v>343</v>
      </c>
      <c r="F49">
        <v>3</v>
      </c>
      <c r="G49">
        <v>8</v>
      </c>
      <c r="H49">
        <v>6</v>
      </c>
      <c r="K49">
        <v>48</v>
      </c>
      <c r="M49" s="122">
        <v>45462</v>
      </c>
      <c r="N49">
        <v>24</v>
      </c>
      <c r="O49">
        <v>171</v>
      </c>
    </row>
    <row r="50" spans="1:15" x14ac:dyDescent="0.35">
      <c r="A50" t="s">
        <v>24</v>
      </c>
      <c r="D50" t="s">
        <v>336</v>
      </c>
      <c r="F50">
        <v>3</v>
      </c>
      <c r="G50">
        <v>1</v>
      </c>
      <c r="H50">
        <v>5</v>
      </c>
      <c r="K50">
        <v>33</v>
      </c>
      <c r="L50" s="6"/>
      <c r="M50" s="122">
        <v>45411</v>
      </c>
      <c r="N50">
        <v>9</v>
      </c>
      <c r="O50">
        <v>120</v>
      </c>
    </row>
    <row r="51" spans="1:15" x14ac:dyDescent="0.35">
      <c r="A51" t="s">
        <v>24</v>
      </c>
      <c r="D51" t="s">
        <v>336</v>
      </c>
      <c r="F51">
        <v>2</v>
      </c>
      <c r="G51">
        <v>4</v>
      </c>
      <c r="H51">
        <v>3</v>
      </c>
      <c r="K51">
        <v>20</v>
      </c>
      <c r="L51" s="6"/>
      <c r="M51" s="122">
        <v>45411</v>
      </c>
      <c r="N51">
        <v>1</v>
      </c>
      <c r="O51">
        <v>120</v>
      </c>
    </row>
    <row r="52" spans="1:15" x14ac:dyDescent="0.35">
      <c r="A52" t="s">
        <v>24</v>
      </c>
      <c r="D52" t="s">
        <v>336</v>
      </c>
      <c r="F52">
        <v>1</v>
      </c>
      <c r="G52">
        <v>5</v>
      </c>
      <c r="H52">
        <v>1</v>
      </c>
      <c r="K52">
        <v>5</v>
      </c>
      <c r="M52" s="122">
        <v>45411</v>
      </c>
      <c r="N52">
        <v>3</v>
      </c>
      <c r="O52">
        <v>120</v>
      </c>
    </row>
    <row r="53" spans="1:15" x14ac:dyDescent="0.35">
      <c r="A53" t="s">
        <v>24</v>
      </c>
      <c r="D53" t="s">
        <v>336</v>
      </c>
      <c r="F53">
        <v>4</v>
      </c>
      <c r="G53">
        <v>8</v>
      </c>
      <c r="H53">
        <v>7</v>
      </c>
      <c r="K53">
        <v>56</v>
      </c>
      <c r="M53" s="122">
        <v>45411</v>
      </c>
      <c r="N53">
        <v>2</v>
      </c>
      <c r="O53">
        <v>120</v>
      </c>
    </row>
    <row r="54" spans="1:15" x14ac:dyDescent="0.35">
      <c r="A54" t="s">
        <v>24</v>
      </c>
      <c r="D54" t="s">
        <v>336</v>
      </c>
      <c r="F54">
        <v>3</v>
      </c>
      <c r="G54">
        <v>1</v>
      </c>
      <c r="H54">
        <v>5</v>
      </c>
      <c r="K54">
        <v>33</v>
      </c>
      <c r="L54" s="6"/>
      <c r="M54" s="122">
        <v>45414</v>
      </c>
      <c r="N54">
        <v>24</v>
      </c>
      <c r="O54">
        <v>123</v>
      </c>
    </row>
    <row r="55" spans="1:15" x14ac:dyDescent="0.35">
      <c r="A55" t="s">
        <v>24</v>
      </c>
      <c r="D55" t="s">
        <v>336</v>
      </c>
      <c r="F55">
        <v>2</v>
      </c>
      <c r="G55">
        <v>4</v>
      </c>
      <c r="H55">
        <v>3</v>
      </c>
      <c r="K55">
        <v>20</v>
      </c>
      <c r="L55" s="6"/>
      <c r="M55" s="122">
        <v>45414</v>
      </c>
      <c r="N55">
        <v>36</v>
      </c>
      <c r="O55">
        <v>123</v>
      </c>
    </row>
    <row r="56" spans="1:15" x14ac:dyDescent="0.35">
      <c r="A56" t="s">
        <v>24</v>
      </c>
      <c r="D56" t="s">
        <v>336</v>
      </c>
      <c r="F56">
        <v>1</v>
      </c>
      <c r="G56">
        <v>5</v>
      </c>
      <c r="H56">
        <v>1</v>
      </c>
      <c r="K56">
        <v>5</v>
      </c>
      <c r="M56" s="122">
        <v>45414</v>
      </c>
      <c r="N56">
        <v>28</v>
      </c>
      <c r="O56">
        <v>123</v>
      </c>
    </row>
    <row r="57" spans="1:15" x14ac:dyDescent="0.35">
      <c r="A57" t="s">
        <v>24</v>
      </c>
      <c r="D57" t="s">
        <v>336</v>
      </c>
      <c r="F57">
        <v>4</v>
      </c>
      <c r="G57">
        <v>8</v>
      </c>
      <c r="H57">
        <v>7</v>
      </c>
      <c r="K57">
        <v>56</v>
      </c>
      <c r="M57" s="122">
        <v>45414</v>
      </c>
      <c r="N57">
        <v>40</v>
      </c>
      <c r="O57">
        <v>123</v>
      </c>
    </row>
    <row r="58" spans="1:15" x14ac:dyDescent="0.35">
      <c r="A58" t="s">
        <v>24</v>
      </c>
      <c r="D58" t="s">
        <v>336</v>
      </c>
      <c r="F58">
        <v>3</v>
      </c>
      <c r="G58">
        <v>1</v>
      </c>
      <c r="H58">
        <v>5</v>
      </c>
      <c r="K58">
        <v>33</v>
      </c>
      <c r="L58" s="6"/>
      <c r="M58" s="122">
        <v>45418</v>
      </c>
      <c r="N58">
        <v>26</v>
      </c>
      <c r="O58">
        <v>127</v>
      </c>
    </row>
    <row r="59" spans="1:15" x14ac:dyDescent="0.35">
      <c r="A59" t="s">
        <v>24</v>
      </c>
      <c r="D59" t="s">
        <v>336</v>
      </c>
      <c r="F59">
        <v>2</v>
      </c>
      <c r="G59">
        <v>4</v>
      </c>
      <c r="H59">
        <v>3</v>
      </c>
      <c r="K59">
        <v>20</v>
      </c>
      <c r="L59" s="6"/>
      <c r="M59" s="122">
        <v>45418</v>
      </c>
      <c r="N59">
        <v>36</v>
      </c>
      <c r="O59">
        <v>127</v>
      </c>
    </row>
    <row r="60" spans="1:15" x14ac:dyDescent="0.35">
      <c r="A60" t="s">
        <v>24</v>
      </c>
      <c r="D60" t="s">
        <v>336</v>
      </c>
      <c r="F60">
        <v>1</v>
      </c>
      <c r="G60">
        <v>5</v>
      </c>
      <c r="H60">
        <v>1</v>
      </c>
      <c r="K60">
        <v>5</v>
      </c>
      <c r="M60" s="122">
        <v>45418</v>
      </c>
      <c r="N60">
        <v>28</v>
      </c>
      <c r="O60">
        <v>127</v>
      </c>
    </row>
    <row r="61" spans="1:15" x14ac:dyDescent="0.35">
      <c r="A61" t="s">
        <v>24</v>
      </c>
      <c r="D61" t="s">
        <v>336</v>
      </c>
      <c r="F61">
        <v>4</v>
      </c>
      <c r="G61">
        <v>8</v>
      </c>
      <c r="H61">
        <v>7</v>
      </c>
      <c r="K61">
        <v>56</v>
      </c>
      <c r="M61" s="122">
        <v>45418</v>
      </c>
      <c r="N61">
        <v>40</v>
      </c>
      <c r="O61">
        <v>127</v>
      </c>
    </row>
    <row r="62" spans="1:15" x14ac:dyDescent="0.35">
      <c r="A62" t="s">
        <v>24</v>
      </c>
      <c r="D62" t="s">
        <v>336</v>
      </c>
      <c r="F62">
        <v>3</v>
      </c>
      <c r="G62">
        <v>1</v>
      </c>
      <c r="H62">
        <v>5</v>
      </c>
      <c r="K62">
        <v>33</v>
      </c>
      <c r="L62" s="6"/>
      <c r="M62" s="122">
        <v>45421</v>
      </c>
      <c r="N62">
        <v>27</v>
      </c>
      <c r="O62">
        <v>130</v>
      </c>
    </row>
    <row r="63" spans="1:15" x14ac:dyDescent="0.35">
      <c r="A63" t="s">
        <v>24</v>
      </c>
      <c r="D63" t="s">
        <v>336</v>
      </c>
      <c r="F63">
        <v>2</v>
      </c>
      <c r="G63">
        <v>4</v>
      </c>
      <c r="H63">
        <v>3</v>
      </c>
      <c r="K63">
        <v>20</v>
      </c>
      <c r="L63" s="6"/>
      <c r="M63" s="122">
        <v>45421</v>
      </c>
      <c r="N63">
        <v>36</v>
      </c>
      <c r="O63">
        <v>130</v>
      </c>
    </row>
    <row r="64" spans="1:15" x14ac:dyDescent="0.35">
      <c r="A64" t="s">
        <v>24</v>
      </c>
      <c r="D64" t="s">
        <v>336</v>
      </c>
      <c r="F64">
        <v>1</v>
      </c>
      <c r="G64">
        <v>5</v>
      </c>
      <c r="H64">
        <v>1</v>
      </c>
      <c r="K64">
        <v>5</v>
      </c>
      <c r="M64" s="122">
        <v>45421</v>
      </c>
      <c r="N64">
        <v>28</v>
      </c>
      <c r="O64">
        <v>130</v>
      </c>
    </row>
    <row r="65" spans="1:15" x14ac:dyDescent="0.35">
      <c r="A65" t="s">
        <v>24</v>
      </c>
      <c r="D65" t="s">
        <v>336</v>
      </c>
      <c r="F65">
        <v>4</v>
      </c>
      <c r="G65">
        <v>8</v>
      </c>
      <c r="H65">
        <v>7</v>
      </c>
      <c r="K65">
        <v>56</v>
      </c>
      <c r="M65" s="122">
        <v>45421</v>
      </c>
      <c r="N65">
        <v>40</v>
      </c>
      <c r="O65">
        <v>130</v>
      </c>
    </row>
    <row r="66" spans="1:15" x14ac:dyDescent="0.35">
      <c r="A66" t="s">
        <v>24</v>
      </c>
      <c r="D66" t="s">
        <v>336</v>
      </c>
      <c r="F66">
        <v>3</v>
      </c>
      <c r="G66">
        <v>1</v>
      </c>
      <c r="H66">
        <v>5</v>
      </c>
      <c r="K66">
        <v>33</v>
      </c>
      <c r="L66" s="6"/>
      <c r="M66" s="122">
        <v>45425</v>
      </c>
      <c r="N66">
        <v>27</v>
      </c>
      <c r="O66">
        <v>134</v>
      </c>
    </row>
    <row r="67" spans="1:15" x14ac:dyDescent="0.35">
      <c r="A67" t="s">
        <v>24</v>
      </c>
      <c r="D67" t="s">
        <v>336</v>
      </c>
      <c r="F67">
        <v>2</v>
      </c>
      <c r="G67">
        <v>4</v>
      </c>
      <c r="H67">
        <v>3</v>
      </c>
      <c r="K67">
        <v>20</v>
      </c>
      <c r="L67" s="6"/>
      <c r="M67" s="122">
        <v>45425</v>
      </c>
      <c r="N67">
        <v>36</v>
      </c>
      <c r="O67">
        <v>134</v>
      </c>
    </row>
    <row r="68" spans="1:15" x14ac:dyDescent="0.35">
      <c r="A68" t="s">
        <v>24</v>
      </c>
      <c r="D68" t="s">
        <v>336</v>
      </c>
      <c r="F68">
        <v>1</v>
      </c>
      <c r="G68">
        <v>5</v>
      </c>
      <c r="H68">
        <v>1</v>
      </c>
      <c r="K68">
        <v>5</v>
      </c>
      <c r="M68" s="122">
        <v>45425</v>
      </c>
      <c r="N68">
        <v>28</v>
      </c>
      <c r="O68">
        <v>134</v>
      </c>
    </row>
    <row r="69" spans="1:15" x14ac:dyDescent="0.35">
      <c r="A69" t="s">
        <v>24</v>
      </c>
      <c r="D69" t="s">
        <v>336</v>
      </c>
      <c r="F69">
        <v>4</v>
      </c>
      <c r="G69">
        <v>8</v>
      </c>
      <c r="H69">
        <v>7</v>
      </c>
      <c r="K69">
        <v>56</v>
      </c>
      <c r="M69" s="122">
        <v>45425</v>
      </c>
      <c r="N69">
        <v>40</v>
      </c>
      <c r="O69">
        <v>134</v>
      </c>
    </row>
    <row r="70" spans="1:15" x14ac:dyDescent="0.35">
      <c r="A70" t="s">
        <v>24</v>
      </c>
      <c r="D70" t="s">
        <v>336</v>
      </c>
      <c r="F70">
        <v>3</v>
      </c>
      <c r="G70">
        <v>1</v>
      </c>
      <c r="H70">
        <v>5</v>
      </c>
      <c r="K70">
        <v>33</v>
      </c>
      <c r="L70" s="6"/>
      <c r="M70" s="122">
        <v>45428</v>
      </c>
      <c r="O70">
        <v>137</v>
      </c>
    </row>
    <row r="71" spans="1:15" x14ac:dyDescent="0.35">
      <c r="A71" t="s">
        <v>24</v>
      </c>
      <c r="D71" t="s">
        <v>336</v>
      </c>
      <c r="F71">
        <v>2</v>
      </c>
      <c r="G71">
        <v>4</v>
      </c>
      <c r="H71">
        <v>3</v>
      </c>
      <c r="K71">
        <v>20</v>
      </c>
      <c r="L71" s="6"/>
      <c r="M71" s="122">
        <v>45428</v>
      </c>
      <c r="O71">
        <v>137</v>
      </c>
    </row>
    <row r="72" spans="1:15" x14ac:dyDescent="0.35">
      <c r="A72" t="s">
        <v>24</v>
      </c>
      <c r="D72" t="s">
        <v>336</v>
      </c>
      <c r="F72">
        <v>1</v>
      </c>
      <c r="G72">
        <v>5</v>
      </c>
      <c r="H72">
        <v>1</v>
      </c>
      <c r="K72">
        <v>5</v>
      </c>
      <c r="M72" s="122">
        <v>45428</v>
      </c>
      <c r="O72">
        <v>137</v>
      </c>
    </row>
    <row r="73" spans="1:15" x14ac:dyDescent="0.35">
      <c r="A73" t="s">
        <v>24</v>
      </c>
      <c r="D73" t="s">
        <v>336</v>
      </c>
      <c r="F73">
        <v>4</v>
      </c>
      <c r="G73">
        <v>8</v>
      </c>
      <c r="H73">
        <v>7</v>
      </c>
      <c r="K73">
        <v>56</v>
      </c>
      <c r="M73" s="122">
        <v>45428</v>
      </c>
      <c r="O73">
        <v>137</v>
      </c>
    </row>
    <row r="74" spans="1:15" x14ac:dyDescent="0.35">
      <c r="A74" t="s">
        <v>24</v>
      </c>
      <c r="D74" t="s">
        <v>336</v>
      </c>
      <c r="F74">
        <v>3</v>
      </c>
      <c r="G74">
        <v>1</v>
      </c>
      <c r="H74">
        <v>5</v>
      </c>
      <c r="K74">
        <v>33</v>
      </c>
      <c r="L74" s="6"/>
      <c r="M74" s="122">
        <v>45435</v>
      </c>
      <c r="O74">
        <v>144</v>
      </c>
    </row>
    <row r="75" spans="1:15" x14ac:dyDescent="0.35">
      <c r="A75" t="s">
        <v>24</v>
      </c>
      <c r="D75" t="s">
        <v>336</v>
      </c>
      <c r="F75">
        <v>2</v>
      </c>
      <c r="G75">
        <v>4</v>
      </c>
      <c r="H75">
        <v>3</v>
      </c>
      <c r="K75">
        <v>20</v>
      </c>
      <c r="L75" s="6"/>
      <c r="M75" s="122">
        <v>45435</v>
      </c>
      <c r="O75">
        <v>144</v>
      </c>
    </row>
    <row r="76" spans="1:15" x14ac:dyDescent="0.35">
      <c r="A76" t="s">
        <v>24</v>
      </c>
      <c r="D76" t="s">
        <v>336</v>
      </c>
      <c r="F76">
        <v>1</v>
      </c>
      <c r="G76">
        <v>5</v>
      </c>
      <c r="H76">
        <v>1</v>
      </c>
      <c r="K76">
        <v>5</v>
      </c>
      <c r="M76" s="122">
        <v>45435</v>
      </c>
      <c r="O76">
        <v>144</v>
      </c>
    </row>
    <row r="77" spans="1:15" x14ac:dyDescent="0.35">
      <c r="A77" t="s">
        <v>24</v>
      </c>
      <c r="D77" t="s">
        <v>336</v>
      </c>
      <c r="F77">
        <v>4</v>
      </c>
      <c r="G77">
        <v>8</v>
      </c>
      <c r="H77">
        <v>7</v>
      </c>
      <c r="K77">
        <v>56</v>
      </c>
      <c r="M77" s="122">
        <v>45435</v>
      </c>
      <c r="O77">
        <v>144</v>
      </c>
    </row>
    <row r="78" spans="1:15" x14ac:dyDescent="0.35">
      <c r="A78" t="s">
        <v>24</v>
      </c>
      <c r="D78" t="s">
        <v>336</v>
      </c>
      <c r="F78">
        <v>3</v>
      </c>
      <c r="G78">
        <v>1</v>
      </c>
      <c r="H78">
        <v>5</v>
      </c>
      <c r="K78">
        <v>33</v>
      </c>
      <c r="L78" s="6"/>
      <c r="M78" s="122">
        <v>45440</v>
      </c>
      <c r="O78">
        <v>149</v>
      </c>
    </row>
    <row r="79" spans="1:15" x14ac:dyDescent="0.35">
      <c r="A79" t="s">
        <v>24</v>
      </c>
      <c r="D79" t="s">
        <v>336</v>
      </c>
      <c r="F79">
        <v>2</v>
      </c>
      <c r="G79">
        <v>4</v>
      </c>
      <c r="H79">
        <v>3</v>
      </c>
      <c r="K79">
        <v>20</v>
      </c>
      <c r="L79" s="6"/>
      <c r="M79" s="122">
        <v>45440</v>
      </c>
      <c r="O79">
        <v>149</v>
      </c>
    </row>
    <row r="80" spans="1:15" x14ac:dyDescent="0.35">
      <c r="A80" t="s">
        <v>24</v>
      </c>
      <c r="D80" t="s">
        <v>336</v>
      </c>
      <c r="F80">
        <v>1</v>
      </c>
      <c r="G80">
        <v>5</v>
      </c>
      <c r="H80">
        <v>1</v>
      </c>
      <c r="K80">
        <v>5</v>
      </c>
      <c r="M80" s="122">
        <v>45440</v>
      </c>
      <c r="O80">
        <v>149</v>
      </c>
    </row>
    <row r="81" spans="1:15" x14ac:dyDescent="0.35">
      <c r="A81" t="s">
        <v>24</v>
      </c>
      <c r="D81" t="s">
        <v>336</v>
      </c>
      <c r="F81">
        <v>4</v>
      </c>
      <c r="G81">
        <v>8</v>
      </c>
      <c r="H81">
        <v>7</v>
      </c>
      <c r="K81">
        <v>56</v>
      </c>
      <c r="M81" s="122">
        <v>45440</v>
      </c>
      <c r="O81">
        <v>149</v>
      </c>
    </row>
    <row r="82" spans="1:15" x14ac:dyDescent="0.35">
      <c r="A82" t="s">
        <v>24</v>
      </c>
      <c r="D82" t="s">
        <v>336</v>
      </c>
      <c r="F82">
        <v>3</v>
      </c>
      <c r="G82">
        <v>1</v>
      </c>
      <c r="H82">
        <v>5</v>
      </c>
      <c r="K82">
        <v>33</v>
      </c>
      <c r="L82" s="6"/>
      <c r="M82" s="122">
        <v>45442</v>
      </c>
      <c r="O82">
        <v>151</v>
      </c>
    </row>
    <row r="83" spans="1:15" x14ac:dyDescent="0.35">
      <c r="A83" t="s">
        <v>24</v>
      </c>
      <c r="D83" t="s">
        <v>336</v>
      </c>
      <c r="F83">
        <v>2</v>
      </c>
      <c r="G83">
        <v>4</v>
      </c>
      <c r="H83">
        <v>3</v>
      </c>
      <c r="K83">
        <v>20</v>
      </c>
      <c r="L83" s="6"/>
      <c r="M83" s="122">
        <v>45442</v>
      </c>
      <c r="O83">
        <v>151</v>
      </c>
    </row>
    <row r="84" spans="1:15" x14ac:dyDescent="0.35">
      <c r="A84" t="s">
        <v>24</v>
      </c>
      <c r="D84" t="s">
        <v>336</v>
      </c>
      <c r="F84">
        <v>1</v>
      </c>
      <c r="G84">
        <v>5</v>
      </c>
      <c r="H84">
        <v>1</v>
      </c>
      <c r="K84">
        <v>5</v>
      </c>
      <c r="M84" s="122">
        <v>45442</v>
      </c>
      <c r="O84">
        <v>151</v>
      </c>
    </row>
    <row r="85" spans="1:15" x14ac:dyDescent="0.35">
      <c r="A85" t="s">
        <v>24</v>
      </c>
      <c r="D85" t="s">
        <v>336</v>
      </c>
      <c r="F85">
        <v>4</v>
      </c>
      <c r="G85">
        <v>8</v>
      </c>
      <c r="H85">
        <v>7</v>
      </c>
      <c r="K85">
        <v>56</v>
      </c>
      <c r="M85" s="122">
        <v>45442</v>
      </c>
      <c r="O85">
        <v>151</v>
      </c>
    </row>
    <row r="86" spans="1:15" x14ac:dyDescent="0.35">
      <c r="A86" t="s">
        <v>24</v>
      </c>
      <c r="D86" t="s">
        <v>336</v>
      </c>
      <c r="F86">
        <v>3</v>
      </c>
      <c r="G86">
        <v>1</v>
      </c>
      <c r="H86">
        <v>5</v>
      </c>
      <c r="K86">
        <v>33</v>
      </c>
      <c r="L86" s="6"/>
      <c r="M86" s="122">
        <v>45446</v>
      </c>
      <c r="O86">
        <v>155</v>
      </c>
    </row>
    <row r="87" spans="1:15" x14ac:dyDescent="0.35">
      <c r="A87" t="s">
        <v>24</v>
      </c>
      <c r="D87" t="s">
        <v>336</v>
      </c>
      <c r="F87">
        <v>2</v>
      </c>
      <c r="G87">
        <v>4</v>
      </c>
      <c r="H87">
        <v>3</v>
      </c>
      <c r="K87">
        <v>20</v>
      </c>
      <c r="L87" s="6"/>
      <c r="M87" s="122">
        <v>45446</v>
      </c>
      <c r="O87">
        <v>155</v>
      </c>
    </row>
    <row r="88" spans="1:15" x14ac:dyDescent="0.35">
      <c r="A88" t="s">
        <v>24</v>
      </c>
      <c r="D88" t="s">
        <v>336</v>
      </c>
      <c r="F88">
        <v>1</v>
      </c>
      <c r="G88">
        <v>5</v>
      </c>
      <c r="H88">
        <v>1</v>
      </c>
      <c r="K88">
        <v>5</v>
      </c>
      <c r="M88" s="122">
        <v>45446</v>
      </c>
      <c r="O88">
        <v>155</v>
      </c>
    </row>
    <row r="89" spans="1:15" x14ac:dyDescent="0.35">
      <c r="A89" t="s">
        <v>24</v>
      </c>
      <c r="D89" t="s">
        <v>336</v>
      </c>
      <c r="F89">
        <v>4</v>
      </c>
      <c r="G89">
        <v>8</v>
      </c>
      <c r="H89">
        <v>7</v>
      </c>
      <c r="K89">
        <v>56</v>
      </c>
      <c r="M89" s="122">
        <v>45446</v>
      </c>
      <c r="O89">
        <v>155</v>
      </c>
    </row>
    <row r="90" spans="1:15" x14ac:dyDescent="0.35">
      <c r="A90" t="s">
        <v>24</v>
      </c>
      <c r="D90" t="s">
        <v>336</v>
      </c>
      <c r="F90">
        <v>3</v>
      </c>
      <c r="G90">
        <v>1</v>
      </c>
      <c r="H90">
        <v>5</v>
      </c>
      <c r="K90">
        <v>33</v>
      </c>
      <c r="L90" s="6"/>
      <c r="M90" s="122">
        <v>45450</v>
      </c>
      <c r="O90">
        <v>159</v>
      </c>
    </row>
    <row r="91" spans="1:15" x14ac:dyDescent="0.35">
      <c r="A91" t="s">
        <v>24</v>
      </c>
      <c r="D91" t="s">
        <v>336</v>
      </c>
      <c r="F91">
        <v>2</v>
      </c>
      <c r="G91">
        <v>4</v>
      </c>
      <c r="H91">
        <v>3</v>
      </c>
      <c r="K91">
        <v>20</v>
      </c>
      <c r="L91" s="6"/>
      <c r="M91" s="122">
        <v>45450</v>
      </c>
      <c r="O91">
        <v>159</v>
      </c>
    </row>
    <row r="92" spans="1:15" x14ac:dyDescent="0.35">
      <c r="A92" t="s">
        <v>24</v>
      </c>
      <c r="D92" t="s">
        <v>336</v>
      </c>
      <c r="F92">
        <v>1</v>
      </c>
      <c r="G92">
        <v>5</v>
      </c>
      <c r="H92">
        <v>1</v>
      </c>
      <c r="K92">
        <v>5</v>
      </c>
      <c r="M92" s="122">
        <v>45450</v>
      </c>
      <c r="O92">
        <v>159</v>
      </c>
    </row>
    <row r="93" spans="1:15" x14ac:dyDescent="0.35">
      <c r="A93" t="s">
        <v>24</v>
      </c>
      <c r="D93" t="s">
        <v>336</v>
      </c>
      <c r="F93">
        <v>4</v>
      </c>
      <c r="G93">
        <v>8</v>
      </c>
      <c r="H93">
        <v>7</v>
      </c>
      <c r="K93">
        <v>56</v>
      </c>
      <c r="M93" s="122">
        <v>45450</v>
      </c>
      <c r="O93">
        <v>159</v>
      </c>
    </row>
    <row r="94" spans="1:15" x14ac:dyDescent="0.35">
      <c r="A94" t="s">
        <v>24</v>
      </c>
      <c r="D94" t="s">
        <v>336</v>
      </c>
      <c r="F94">
        <v>3</v>
      </c>
      <c r="G94">
        <v>1</v>
      </c>
      <c r="H94">
        <v>5</v>
      </c>
      <c r="K94">
        <v>33</v>
      </c>
      <c r="L94" s="6"/>
      <c r="M94" s="122">
        <v>45462</v>
      </c>
      <c r="O94">
        <v>171</v>
      </c>
    </row>
    <row r="95" spans="1:15" x14ac:dyDescent="0.35">
      <c r="A95" t="s">
        <v>24</v>
      </c>
      <c r="D95" t="s">
        <v>336</v>
      </c>
      <c r="F95">
        <v>2</v>
      </c>
      <c r="G95">
        <v>4</v>
      </c>
      <c r="H95">
        <v>3</v>
      </c>
      <c r="K95">
        <v>20</v>
      </c>
      <c r="L95" s="6"/>
      <c r="M95" s="122">
        <v>45462</v>
      </c>
      <c r="O95">
        <v>171</v>
      </c>
    </row>
    <row r="96" spans="1:15" x14ac:dyDescent="0.35">
      <c r="A96" t="s">
        <v>24</v>
      </c>
      <c r="D96" t="s">
        <v>336</v>
      </c>
      <c r="F96">
        <v>1</v>
      </c>
      <c r="G96">
        <v>5</v>
      </c>
      <c r="H96">
        <v>1</v>
      </c>
      <c r="K96">
        <v>5</v>
      </c>
      <c r="M96" s="122">
        <v>45462</v>
      </c>
      <c r="O96">
        <v>171</v>
      </c>
    </row>
    <row r="97" spans="1:15" x14ac:dyDescent="0.35">
      <c r="A97" t="s">
        <v>24</v>
      </c>
      <c r="D97" t="s">
        <v>336</v>
      </c>
      <c r="F97">
        <v>4</v>
      </c>
      <c r="G97">
        <v>8</v>
      </c>
      <c r="H97">
        <v>7</v>
      </c>
      <c r="K97">
        <v>56</v>
      </c>
      <c r="M97" s="122">
        <v>45462</v>
      </c>
      <c r="O97">
        <v>171</v>
      </c>
    </row>
    <row r="98" spans="1:15" x14ac:dyDescent="0.35">
      <c r="A98" t="s">
        <v>24</v>
      </c>
      <c r="D98" t="s">
        <v>32</v>
      </c>
      <c r="F98">
        <v>4</v>
      </c>
      <c r="G98">
        <v>1</v>
      </c>
      <c r="H98">
        <v>7</v>
      </c>
      <c r="K98">
        <v>49</v>
      </c>
      <c r="L98" s="6"/>
      <c r="M98" s="122">
        <v>45411</v>
      </c>
      <c r="N98" s="6">
        <v>0</v>
      </c>
      <c r="O98">
        <v>120</v>
      </c>
    </row>
    <row r="99" spans="1:15" x14ac:dyDescent="0.35">
      <c r="A99" t="s">
        <v>24</v>
      </c>
      <c r="D99" t="s">
        <v>32</v>
      </c>
      <c r="F99">
        <v>3</v>
      </c>
      <c r="G99">
        <v>3</v>
      </c>
      <c r="H99">
        <v>5</v>
      </c>
      <c r="K99">
        <v>35</v>
      </c>
      <c r="L99" s="6"/>
      <c r="M99" s="122">
        <v>45411</v>
      </c>
      <c r="N99">
        <v>9</v>
      </c>
      <c r="O99">
        <v>120</v>
      </c>
    </row>
    <row r="100" spans="1:15" x14ac:dyDescent="0.35">
      <c r="A100" t="s">
        <v>24</v>
      </c>
      <c r="D100" t="s">
        <v>32</v>
      </c>
      <c r="F100">
        <v>1</v>
      </c>
      <c r="G100">
        <v>6</v>
      </c>
      <c r="H100">
        <v>1</v>
      </c>
      <c r="K100">
        <v>6</v>
      </c>
      <c r="M100" s="122">
        <v>45411</v>
      </c>
      <c r="N100">
        <v>1</v>
      </c>
      <c r="O100">
        <v>120</v>
      </c>
    </row>
    <row r="101" spans="1:15" x14ac:dyDescent="0.35">
      <c r="A101" t="s">
        <v>24</v>
      </c>
      <c r="D101" t="s">
        <v>32</v>
      </c>
      <c r="F101">
        <v>2</v>
      </c>
      <c r="G101">
        <v>7</v>
      </c>
      <c r="H101">
        <v>3</v>
      </c>
      <c r="K101">
        <v>23</v>
      </c>
      <c r="M101" s="122">
        <v>45411</v>
      </c>
      <c r="N101">
        <v>1</v>
      </c>
      <c r="O101">
        <v>120</v>
      </c>
    </row>
    <row r="102" spans="1:15" x14ac:dyDescent="0.35">
      <c r="A102" t="s">
        <v>24</v>
      </c>
      <c r="D102" t="s">
        <v>32</v>
      </c>
      <c r="F102">
        <v>4</v>
      </c>
      <c r="G102">
        <v>1</v>
      </c>
      <c r="H102">
        <v>7</v>
      </c>
      <c r="K102">
        <v>49</v>
      </c>
      <c r="L102" s="6"/>
      <c r="M102" s="122">
        <v>45414</v>
      </c>
      <c r="N102" s="6">
        <v>29</v>
      </c>
      <c r="O102">
        <v>123</v>
      </c>
    </row>
    <row r="103" spans="1:15" x14ac:dyDescent="0.35">
      <c r="A103" t="s">
        <v>24</v>
      </c>
      <c r="D103" t="s">
        <v>32</v>
      </c>
      <c r="F103">
        <v>3</v>
      </c>
      <c r="G103">
        <v>3</v>
      </c>
      <c r="H103">
        <v>5</v>
      </c>
      <c r="K103">
        <v>35</v>
      </c>
      <c r="L103" s="6"/>
      <c r="M103" s="122">
        <v>45414</v>
      </c>
      <c r="N103">
        <v>36</v>
      </c>
      <c r="O103">
        <v>123</v>
      </c>
    </row>
    <row r="104" spans="1:15" x14ac:dyDescent="0.35">
      <c r="A104" t="s">
        <v>24</v>
      </c>
      <c r="D104" t="s">
        <v>32</v>
      </c>
      <c r="F104">
        <v>1</v>
      </c>
      <c r="G104">
        <v>6</v>
      </c>
      <c r="H104">
        <v>1</v>
      </c>
      <c r="K104">
        <v>6</v>
      </c>
      <c r="M104" s="122">
        <v>45414</v>
      </c>
      <c r="N104">
        <v>30</v>
      </c>
      <c r="O104">
        <v>123</v>
      </c>
    </row>
    <row r="105" spans="1:15" x14ac:dyDescent="0.35">
      <c r="A105" t="s">
        <v>24</v>
      </c>
      <c r="D105" t="s">
        <v>32</v>
      </c>
      <c r="F105">
        <v>2</v>
      </c>
      <c r="G105">
        <v>7</v>
      </c>
      <c r="H105">
        <v>3</v>
      </c>
      <c r="K105">
        <v>23</v>
      </c>
      <c r="M105" s="122">
        <v>45414</v>
      </c>
      <c r="N105">
        <v>17</v>
      </c>
      <c r="O105">
        <v>123</v>
      </c>
    </row>
    <row r="106" spans="1:15" x14ac:dyDescent="0.35">
      <c r="A106" t="s">
        <v>24</v>
      </c>
      <c r="D106" t="s">
        <v>32</v>
      </c>
      <c r="F106">
        <v>4</v>
      </c>
      <c r="G106">
        <v>1</v>
      </c>
      <c r="H106">
        <v>7</v>
      </c>
      <c r="K106">
        <v>49</v>
      </c>
      <c r="L106" s="6"/>
      <c r="M106" s="122">
        <v>45418</v>
      </c>
      <c r="N106" s="6">
        <v>30</v>
      </c>
      <c r="O106">
        <v>127</v>
      </c>
    </row>
    <row r="107" spans="1:15" x14ac:dyDescent="0.35">
      <c r="A107" t="s">
        <v>24</v>
      </c>
      <c r="D107" t="s">
        <v>32</v>
      </c>
      <c r="F107">
        <v>3</v>
      </c>
      <c r="G107">
        <v>3</v>
      </c>
      <c r="H107">
        <v>5</v>
      </c>
      <c r="K107">
        <v>35</v>
      </c>
      <c r="L107" s="6"/>
      <c r="M107" s="122">
        <v>45418</v>
      </c>
      <c r="N107">
        <v>36</v>
      </c>
      <c r="O107">
        <v>127</v>
      </c>
    </row>
    <row r="108" spans="1:15" x14ac:dyDescent="0.35">
      <c r="A108" t="s">
        <v>24</v>
      </c>
      <c r="D108" t="s">
        <v>32</v>
      </c>
      <c r="F108">
        <v>1</v>
      </c>
      <c r="G108">
        <v>6</v>
      </c>
      <c r="H108">
        <v>1</v>
      </c>
      <c r="K108">
        <v>6</v>
      </c>
      <c r="M108" s="122">
        <v>45418</v>
      </c>
      <c r="N108">
        <v>33</v>
      </c>
      <c r="O108">
        <v>127</v>
      </c>
    </row>
    <row r="109" spans="1:15" x14ac:dyDescent="0.35">
      <c r="A109" t="s">
        <v>24</v>
      </c>
      <c r="D109" t="s">
        <v>32</v>
      </c>
      <c r="F109">
        <v>2</v>
      </c>
      <c r="G109">
        <v>7</v>
      </c>
      <c r="H109">
        <v>3</v>
      </c>
      <c r="K109">
        <v>23</v>
      </c>
      <c r="M109" s="122">
        <v>45418</v>
      </c>
      <c r="N109">
        <v>18</v>
      </c>
      <c r="O109">
        <v>127</v>
      </c>
    </row>
    <row r="110" spans="1:15" x14ac:dyDescent="0.35">
      <c r="A110" t="s">
        <v>24</v>
      </c>
      <c r="D110" t="s">
        <v>32</v>
      </c>
      <c r="F110">
        <v>4</v>
      </c>
      <c r="G110">
        <v>1</v>
      </c>
      <c r="H110">
        <v>7</v>
      </c>
      <c r="K110">
        <v>49</v>
      </c>
      <c r="L110" s="6"/>
      <c r="M110" s="122">
        <v>45421</v>
      </c>
      <c r="N110" s="6">
        <v>30</v>
      </c>
      <c r="O110">
        <v>130</v>
      </c>
    </row>
    <row r="111" spans="1:15" x14ac:dyDescent="0.35">
      <c r="A111" t="s">
        <v>24</v>
      </c>
      <c r="D111" t="s">
        <v>32</v>
      </c>
      <c r="F111">
        <v>3</v>
      </c>
      <c r="G111">
        <v>3</v>
      </c>
      <c r="H111">
        <v>5</v>
      </c>
      <c r="K111">
        <v>35</v>
      </c>
      <c r="L111" s="6"/>
      <c r="M111" s="122">
        <v>45421</v>
      </c>
      <c r="N111">
        <v>37</v>
      </c>
      <c r="O111">
        <v>130</v>
      </c>
    </row>
    <row r="112" spans="1:15" x14ac:dyDescent="0.35">
      <c r="A112" t="s">
        <v>24</v>
      </c>
      <c r="D112" t="s">
        <v>32</v>
      </c>
      <c r="F112">
        <v>1</v>
      </c>
      <c r="G112">
        <v>6</v>
      </c>
      <c r="H112">
        <v>1</v>
      </c>
      <c r="K112">
        <v>6</v>
      </c>
      <c r="M112" s="122">
        <v>45421</v>
      </c>
      <c r="N112">
        <v>33</v>
      </c>
      <c r="O112">
        <v>130</v>
      </c>
    </row>
    <row r="113" spans="1:15" x14ac:dyDescent="0.35">
      <c r="A113" t="s">
        <v>24</v>
      </c>
      <c r="D113" t="s">
        <v>32</v>
      </c>
      <c r="F113">
        <v>2</v>
      </c>
      <c r="G113">
        <v>7</v>
      </c>
      <c r="H113">
        <v>3</v>
      </c>
      <c r="K113">
        <v>23</v>
      </c>
      <c r="M113" s="122">
        <v>45421</v>
      </c>
      <c r="N113">
        <v>23</v>
      </c>
      <c r="O113">
        <v>130</v>
      </c>
    </row>
    <row r="114" spans="1:15" x14ac:dyDescent="0.35">
      <c r="A114" t="s">
        <v>24</v>
      </c>
      <c r="D114" t="s">
        <v>32</v>
      </c>
      <c r="F114">
        <v>4</v>
      </c>
      <c r="G114">
        <v>1</v>
      </c>
      <c r="H114">
        <v>7</v>
      </c>
      <c r="K114">
        <v>49</v>
      </c>
      <c r="L114" s="6"/>
      <c r="M114" s="122">
        <v>45425</v>
      </c>
      <c r="N114" s="6">
        <v>30</v>
      </c>
      <c r="O114">
        <v>134</v>
      </c>
    </row>
    <row r="115" spans="1:15" x14ac:dyDescent="0.35">
      <c r="A115" t="s">
        <v>24</v>
      </c>
      <c r="D115" t="s">
        <v>32</v>
      </c>
      <c r="F115">
        <v>3</v>
      </c>
      <c r="G115">
        <v>3</v>
      </c>
      <c r="H115">
        <v>5</v>
      </c>
      <c r="K115">
        <v>35</v>
      </c>
      <c r="L115" s="6"/>
      <c r="M115" s="122">
        <v>45425</v>
      </c>
      <c r="N115">
        <v>37</v>
      </c>
      <c r="O115">
        <v>134</v>
      </c>
    </row>
    <row r="116" spans="1:15" x14ac:dyDescent="0.35">
      <c r="A116" t="s">
        <v>24</v>
      </c>
      <c r="D116" t="s">
        <v>32</v>
      </c>
      <c r="F116">
        <v>1</v>
      </c>
      <c r="G116">
        <v>6</v>
      </c>
      <c r="H116">
        <v>1</v>
      </c>
      <c r="K116">
        <v>6</v>
      </c>
      <c r="M116" s="122">
        <v>45425</v>
      </c>
      <c r="N116">
        <v>33</v>
      </c>
      <c r="O116">
        <v>134</v>
      </c>
    </row>
    <row r="117" spans="1:15" x14ac:dyDescent="0.35">
      <c r="A117" t="s">
        <v>24</v>
      </c>
      <c r="D117" t="s">
        <v>32</v>
      </c>
      <c r="F117">
        <v>2</v>
      </c>
      <c r="G117">
        <v>7</v>
      </c>
      <c r="H117">
        <v>3</v>
      </c>
      <c r="K117">
        <v>23</v>
      </c>
      <c r="M117" s="122">
        <v>45425</v>
      </c>
      <c r="N117">
        <v>23</v>
      </c>
      <c r="O117">
        <v>134</v>
      </c>
    </row>
    <row r="118" spans="1:15" x14ac:dyDescent="0.35">
      <c r="A118" t="s">
        <v>24</v>
      </c>
      <c r="D118" t="s">
        <v>32</v>
      </c>
      <c r="F118">
        <v>4</v>
      </c>
      <c r="G118">
        <v>1</v>
      </c>
      <c r="H118">
        <v>7</v>
      </c>
      <c r="K118">
        <v>49</v>
      </c>
      <c r="L118" s="6"/>
      <c r="M118" s="122">
        <v>45428</v>
      </c>
      <c r="N118" s="6"/>
      <c r="O118">
        <v>137</v>
      </c>
    </row>
    <row r="119" spans="1:15" x14ac:dyDescent="0.35">
      <c r="A119" t="s">
        <v>24</v>
      </c>
      <c r="D119" t="s">
        <v>32</v>
      </c>
      <c r="F119">
        <v>3</v>
      </c>
      <c r="G119">
        <v>3</v>
      </c>
      <c r="H119">
        <v>5</v>
      </c>
      <c r="K119">
        <v>35</v>
      </c>
      <c r="L119" s="6"/>
      <c r="M119" s="122">
        <v>45428</v>
      </c>
      <c r="O119">
        <v>137</v>
      </c>
    </row>
    <row r="120" spans="1:15" x14ac:dyDescent="0.35">
      <c r="A120" t="s">
        <v>24</v>
      </c>
      <c r="D120" t="s">
        <v>32</v>
      </c>
      <c r="F120">
        <v>1</v>
      </c>
      <c r="G120">
        <v>6</v>
      </c>
      <c r="H120">
        <v>1</v>
      </c>
      <c r="K120">
        <v>6</v>
      </c>
      <c r="M120" s="122">
        <v>45428</v>
      </c>
      <c r="O120">
        <v>137</v>
      </c>
    </row>
    <row r="121" spans="1:15" x14ac:dyDescent="0.35">
      <c r="A121" t="s">
        <v>24</v>
      </c>
      <c r="D121" t="s">
        <v>32</v>
      </c>
      <c r="F121">
        <v>2</v>
      </c>
      <c r="G121">
        <v>7</v>
      </c>
      <c r="H121">
        <v>3</v>
      </c>
      <c r="K121">
        <v>23</v>
      </c>
      <c r="M121" s="122">
        <v>45428</v>
      </c>
      <c r="O121">
        <v>137</v>
      </c>
    </row>
    <row r="122" spans="1:15" x14ac:dyDescent="0.35">
      <c r="A122" t="s">
        <v>24</v>
      </c>
      <c r="D122" t="s">
        <v>32</v>
      </c>
      <c r="F122">
        <v>4</v>
      </c>
      <c r="G122">
        <v>1</v>
      </c>
      <c r="H122">
        <v>7</v>
      </c>
      <c r="K122">
        <v>49</v>
      </c>
      <c r="L122" s="6"/>
      <c r="M122" s="122">
        <v>45435</v>
      </c>
      <c r="N122" s="6"/>
      <c r="O122">
        <v>144</v>
      </c>
    </row>
    <row r="123" spans="1:15" x14ac:dyDescent="0.35">
      <c r="A123" t="s">
        <v>24</v>
      </c>
      <c r="D123" t="s">
        <v>32</v>
      </c>
      <c r="F123">
        <v>3</v>
      </c>
      <c r="G123">
        <v>3</v>
      </c>
      <c r="H123">
        <v>5</v>
      </c>
      <c r="K123">
        <v>35</v>
      </c>
      <c r="L123" s="6"/>
      <c r="M123" s="122">
        <v>45435</v>
      </c>
      <c r="O123">
        <v>144</v>
      </c>
    </row>
    <row r="124" spans="1:15" x14ac:dyDescent="0.35">
      <c r="A124" t="s">
        <v>24</v>
      </c>
      <c r="D124" t="s">
        <v>32</v>
      </c>
      <c r="F124">
        <v>1</v>
      </c>
      <c r="G124">
        <v>6</v>
      </c>
      <c r="H124">
        <v>1</v>
      </c>
      <c r="K124">
        <v>6</v>
      </c>
      <c r="M124" s="122">
        <v>45435</v>
      </c>
      <c r="O124">
        <v>144</v>
      </c>
    </row>
    <row r="125" spans="1:15" x14ac:dyDescent="0.35">
      <c r="A125" t="s">
        <v>24</v>
      </c>
      <c r="D125" t="s">
        <v>32</v>
      </c>
      <c r="F125">
        <v>2</v>
      </c>
      <c r="G125">
        <v>7</v>
      </c>
      <c r="H125">
        <v>3</v>
      </c>
      <c r="K125">
        <v>23</v>
      </c>
      <c r="M125" s="122">
        <v>45435</v>
      </c>
      <c r="O125">
        <v>144</v>
      </c>
    </row>
    <row r="126" spans="1:15" x14ac:dyDescent="0.35">
      <c r="A126" t="s">
        <v>24</v>
      </c>
      <c r="D126" t="s">
        <v>32</v>
      </c>
      <c r="F126">
        <v>4</v>
      </c>
      <c r="G126">
        <v>1</v>
      </c>
      <c r="H126">
        <v>7</v>
      </c>
      <c r="K126">
        <v>49</v>
      </c>
      <c r="L126" s="6"/>
      <c r="M126" s="122">
        <v>45440</v>
      </c>
      <c r="N126" s="6"/>
      <c r="O126">
        <v>149</v>
      </c>
    </row>
    <row r="127" spans="1:15" x14ac:dyDescent="0.35">
      <c r="A127" t="s">
        <v>24</v>
      </c>
      <c r="D127" t="s">
        <v>32</v>
      </c>
      <c r="F127">
        <v>3</v>
      </c>
      <c r="G127">
        <v>3</v>
      </c>
      <c r="H127">
        <v>5</v>
      </c>
      <c r="K127">
        <v>35</v>
      </c>
      <c r="L127" s="6"/>
      <c r="M127" s="122">
        <v>45440</v>
      </c>
      <c r="O127">
        <v>149</v>
      </c>
    </row>
    <row r="128" spans="1:15" x14ac:dyDescent="0.35">
      <c r="A128" t="s">
        <v>24</v>
      </c>
      <c r="D128" t="s">
        <v>32</v>
      </c>
      <c r="F128">
        <v>1</v>
      </c>
      <c r="G128">
        <v>6</v>
      </c>
      <c r="H128">
        <v>1</v>
      </c>
      <c r="K128">
        <v>6</v>
      </c>
      <c r="M128" s="122">
        <v>45440</v>
      </c>
      <c r="O128">
        <v>149</v>
      </c>
    </row>
    <row r="129" spans="1:15" x14ac:dyDescent="0.35">
      <c r="A129" t="s">
        <v>24</v>
      </c>
      <c r="D129" t="s">
        <v>32</v>
      </c>
      <c r="F129">
        <v>2</v>
      </c>
      <c r="G129">
        <v>7</v>
      </c>
      <c r="H129">
        <v>3</v>
      </c>
      <c r="K129">
        <v>23</v>
      </c>
      <c r="M129" s="122">
        <v>45440</v>
      </c>
      <c r="O129">
        <v>149</v>
      </c>
    </row>
    <row r="130" spans="1:15" x14ac:dyDescent="0.35">
      <c r="A130" t="s">
        <v>24</v>
      </c>
      <c r="D130" t="s">
        <v>32</v>
      </c>
      <c r="F130">
        <v>4</v>
      </c>
      <c r="G130">
        <v>1</v>
      </c>
      <c r="H130">
        <v>7</v>
      </c>
      <c r="K130">
        <v>49</v>
      </c>
      <c r="L130" s="6"/>
      <c r="M130" s="122">
        <v>45442</v>
      </c>
      <c r="N130" s="6"/>
      <c r="O130">
        <v>151</v>
      </c>
    </row>
    <row r="131" spans="1:15" x14ac:dyDescent="0.35">
      <c r="A131" t="s">
        <v>24</v>
      </c>
      <c r="D131" t="s">
        <v>32</v>
      </c>
      <c r="F131">
        <v>3</v>
      </c>
      <c r="G131">
        <v>3</v>
      </c>
      <c r="H131">
        <v>5</v>
      </c>
      <c r="K131">
        <v>35</v>
      </c>
      <c r="L131" s="6"/>
      <c r="M131" s="122">
        <v>45442</v>
      </c>
      <c r="O131">
        <v>151</v>
      </c>
    </row>
    <row r="132" spans="1:15" x14ac:dyDescent="0.35">
      <c r="A132" t="s">
        <v>24</v>
      </c>
      <c r="D132" t="s">
        <v>32</v>
      </c>
      <c r="F132">
        <v>1</v>
      </c>
      <c r="G132">
        <v>6</v>
      </c>
      <c r="H132">
        <v>1</v>
      </c>
      <c r="K132">
        <v>6</v>
      </c>
      <c r="M132" s="122">
        <v>45442</v>
      </c>
      <c r="O132">
        <v>151</v>
      </c>
    </row>
    <row r="133" spans="1:15" x14ac:dyDescent="0.35">
      <c r="A133" t="s">
        <v>24</v>
      </c>
      <c r="D133" t="s">
        <v>32</v>
      </c>
      <c r="F133">
        <v>2</v>
      </c>
      <c r="G133">
        <v>7</v>
      </c>
      <c r="H133">
        <v>3</v>
      </c>
      <c r="K133">
        <v>23</v>
      </c>
      <c r="M133" s="122">
        <v>45442</v>
      </c>
      <c r="O133">
        <v>151</v>
      </c>
    </row>
    <row r="134" spans="1:15" x14ac:dyDescent="0.35">
      <c r="A134" t="s">
        <v>24</v>
      </c>
      <c r="D134" t="s">
        <v>32</v>
      </c>
      <c r="F134">
        <v>4</v>
      </c>
      <c r="G134">
        <v>1</v>
      </c>
      <c r="H134">
        <v>7</v>
      </c>
      <c r="K134">
        <v>49</v>
      </c>
      <c r="L134" s="6"/>
      <c r="M134" s="122">
        <v>45446</v>
      </c>
      <c r="N134" s="6"/>
      <c r="O134">
        <v>155</v>
      </c>
    </row>
    <row r="135" spans="1:15" x14ac:dyDescent="0.35">
      <c r="A135" t="s">
        <v>24</v>
      </c>
      <c r="D135" t="s">
        <v>32</v>
      </c>
      <c r="F135">
        <v>3</v>
      </c>
      <c r="G135">
        <v>3</v>
      </c>
      <c r="H135">
        <v>5</v>
      </c>
      <c r="K135">
        <v>35</v>
      </c>
      <c r="L135" s="6"/>
      <c r="M135" s="122">
        <v>45446</v>
      </c>
      <c r="O135">
        <v>155</v>
      </c>
    </row>
    <row r="136" spans="1:15" x14ac:dyDescent="0.35">
      <c r="A136" t="s">
        <v>24</v>
      </c>
      <c r="D136" t="s">
        <v>32</v>
      </c>
      <c r="F136">
        <v>1</v>
      </c>
      <c r="G136">
        <v>6</v>
      </c>
      <c r="H136">
        <v>1</v>
      </c>
      <c r="K136">
        <v>6</v>
      </c>
      <c r="M136" s="122">
        <v>45446</v>
      </c>
      <c r="O136">
        <v>155</v>
      </c>
    </row>
    <row r="137" spans="1:15" x14ac:dyDescent="0.35">
      <c r="A137" t="s">
        <v>24</v>
      </c>
      <c r="D137" t="s">
        <v>32</v>
      </c>
      <c r="F137">
        <v>2</v>
      </c>
      <c r="G137">
        <v>7</v>
      </c>
      <c r="H137">
        <v>3</v>
      </c>
      <c r="K137">
        <v>23</v>
      </c>
      <c r="M137" s="122">
        <v>45446</v>
      </c>
      <c r="O137">
        <v>155</v>
      </c>
    </row>
    <row r="138" spans="1:15" x14ac:dyDescent="0.35">
      <c r="A138" t="s">
        <v>24</v>
      </c>
      <c r="D138" t="s">
        <v>32</v>
      </c>
      <c r="F138">
        <v>4</v>
      </c>
      <c r="G138">
        <v>1</v>
      </c>
      <c r="H138">
        <v>7</v>
      </c>
      <c r="K138">
        <v>49</v>
      </c>
      <c r="L138" s="6"/>
      <c r="M138" s="122">
        <v>45450</v>
      </c>
      <c r="N138" s="6"/>
      <c r="O138">
        <v>159</v>
      </c>
    </row>
    <row r="139" spans="1:15" x14ac:dyDescent="0.35">
      <c r="A139" t="s">
        <v>24</v>
      </c>
      <c r="D139" t="s">
        <v>32</v>
      </c>
      <c r="F139">
        <v>3</v>
      </c>
      <c r="G139">
        <v>3</v>
      </c>
      <c r="H139">
        <v>5</v>
      </c>
      <c r="K139">
        <v>35</v>
      </c>
      <c r="L139" s="6"/>
      <c r="M139" s="122">
        <v>45450</v>
      </c>
      <c r="O139">
        <v>159</v>
      </c>
    </row>
    <row r="140" spans="1:15" x14ac:dyDescent="0.35">
      <c r="A140" t="s">
        <v>24</v>
      </c>
      <c r="D140" t="s">
        <v>32</v>
      </c>
      <c r="F140">
        <v>1</v>
      </c>
      <c r="G140">
        <v>6</v>
      </c>
      <c r="H140">
        <v>1</v>
      </c>
      <c r="K140">
        <v>6</v>
      </c>
      <c r="M140" s="122">
        <v>45450</v>
      </c>
      <c r="O140">
        <v>159</v>
      </c>
    </row>
    <row r="141" spans="1:15" x14ac:dyDescent="0.35">
      <c r="A141" t="s">
        <v>24</v>
      </c>
      <c r="D141" t="s">
        <v>32</v>
      </c>
      <c r="F141">
        <v>2</v>
      </c>
      <c r="G141">
        <v>7</v>
      </c>
      <c r="H141">
        <v>3</v>
      </c>
      <c r="K141">
        <v>23</v>
      </c>
      <c r="M141" s="122">
        <v>45450</v>
      </c>
      <c r="O141">
        <v>159</v>
      </c>
    </row>
    <row r="142" spans="1:15" x14ac:dyDescent="0.35">
      <c r="A142" t="s">
        <v>24</v>
      </c>
      <c r="D142" t="s">
        <v>32</v>
      </c>
      <c r="F142">
        <v>4</v>
      </c>
      <c r="G142">
        <v>1</v>
      </c>
      <c r="H142">
        <v>7</v>
      </c>
      <c r="K142">
        <v>49</v>
      </c>
      <c r="L142" s="6"/>
      <c r="M142" s="122">
        <v>45462</v>
      </c>
      <c r="N142" s="6"/>
      <c r="O142">
        <v>171</v>
      </c>
    </row>
    <row r="143" spans="1:15" x14ac:dyDescent="0.35">
      <c r="A143" t="s">
        <v>24</v>
      </c>
      <c r="D143" t="s">
        <v>32</v>
      </c>
      <c r="F143">
        <v>3</v>
      </c>
      <c r="G143">
        <v>3</v>
      </c>
      <c r="H143">
        <v>5</v>
      </c>
      <c r="K143">
        <v>35</v>
      </c>
      <c r="L143" s="6"/>
      <c r="M143" s="122">
        <v>45462</v>
      </c>
      <c r="O143">
        <v>171</v>
      </c>
    </row>
    <row r="144" spans="1:15" x14ac:dyDescent="0.35">
      <c r="A144" t="s">
        <v>24</v>
      </c>
      <c r="D144" t="s">
        <v>32</v>
      </c>
      <c r="F144">
        <v>1</v>
      </c>
      <c r="G144">
        <v>6</v>
      </c>
      <c r="H144">
        <v>1</v>
      </c>
      <c r="K144">
        <v>6</v>
      </c>
      <c r="M144" s="122">
        <v>45462</v>
      </c>
      <c r="O144">
        <v>171</v>
      </c>
    </row>
    <row r="145" spans="1:15" x14ac:dyDescent="0.35">
      <c r="A145" t="s">
        <v>24</v>
      </c>
      <c r="D145" t="s">
        <v>32</v>
      </c>
      <c r="F145">
        <v>2</v>
      </c>
      <c r="G145">
        <v>7</v>
      </c>
      <c r="H145">
        <v>3</v>
      </c>
      <c r="K145">
        <v>23</v>
      </c>
      <c r="M145" s="122">
        <v>45462</v>
      </c>
      <c r="O145">
        <v>171</v>
      </c>
    </row>
    <row r="146" spans="1:15" x14ac:dyDescent="0.35">
      <c r="A146" t="s">
        <v>34</v>
      </c>
      <c r="D146" t="s">
        <v>37</v>
      </c>
      <c r="F146">
        <v>4</v>
      </c>
      <c r="G146">
        <v>2</v>
      </c>
      <c r="H146">
        <v>8</v>
      </c>
      <c r="K146">
        <v>58</v>
      </c>
      <c r="L146" s="6"/>
      <c r="M146" s="122">
        <v>45411</v>
      </c>
      <c r="O146">
        <v>120</v>
      </c>
    </row>
    <row r="147" spans="1:15" x14ac:dyDescent="0.35">
      <c r="A147" t="s">
        <v>34</v>
      </c>
      <c r="D147" t="s">
        <v>37</v>
      </c>
      <c r="F147">
        <v>3</v>
      </c>
      <c r="G147">
        <v>3</v>
      </c>
      <c r="H147">
        <v>6</v>
      </c>
      <c r="K147">
        <v>43</v>
      </c>
      <c r="L147" s="6"/>
      <c r="M147" s="122">
        <v>45411</v>
      </c>
      <c r="O147">
        <v>120</v>
      </c>
    </row>
    <row r="148" spans="1:15" x14ac:dyDescent="0.35">
      <c r="A148" t="s">
        <v>34</v>
      </c>
      <c r="D148" t="s">
        <v>37</v>
      </c>
      <c r="F148">
        <v>1</v>
      </c>
      <c r="G148">
        <v>5</v>
      </c>
      <c r="H148">
        <v>2</v>
      </c>
      <c r="K148">
        <v>13</v>
      </c>
      <c r="M148" s="122">
        <v>45411</v>
      </c>
      <c r="O148">
        <v>120</v>
      </c>
    </row>
    <row r="149" spans="1:15" x14ac:dyDescent="0.35">
      <c r="A149" t="s">
        <v>34</v>
      </c>
      <c r="D149" t="s">
        <v>37</v>
      </c>
      <c r="F149">
        <v>2</v>
      </c>
      <c r="G149">
        <v>8</v>
      </c>
      <c r="H149">
        <v>4</v>
      </c>
      <c r="K149">
        <v>32</v>
      </c>
      <c r="M149" s="122">
        <v>45411</v>
      </c>
      <c r="O149">
        <v>120</v>
      </c>
    </row>
    <row r="150" spans="1:15" x14ac:dyDescent="0.35">
      <c r="A150" t="s">
        <v>34</v>
      </c>
      <c r="D150" t="s">
        <v>37</v>
      </c>
      <c r="F150">
        <v>4</v>
      </c>
      <c r="G150">
        <v>2</v>
      </c>
      <c r="H150">
        <v>8</v>
      </c>
      <c r="K150">
        <v>58</v>
      </c>
      <c r="L150" s="6"/>
      <c r="M150" s="122">
        <v>45414</v>
      </c>
      <c r="O150">
        <v>123</v>
      </c>
    </row>
    <row r="151" spans="1:15" x14ac:dyDescent="0.35">
      <c r="A151" t="s">
        <v>34</v>
      </c>
      <c r="D151" t="s">
        <v>37</v>
      </c>
      <c r="F151">
        <v>3</v>
      </c>
      <c r="G151">
        <v>3</v>
      </c>
      <c r="H151">
        <v>6</v>
      </c>
      <c r="K151">
        <v>43</v>
      </c>
      <c r="L151" s="6"/>
      <c r="M151" s="122">
        <v>45414</v>
      </c>
      <c r="O151">
        <v>123</v>
      </c>
    </row>
    <row r="152" spans="1:15" x14ac:dyDescent="0.35">
      <c r="A152" t="s">
        <v>34</v>
      </c>
      <c r="D152" t="s">
        <v>37</v>
      </c>
      <c r="F152">
        <v>1</v>
      </c>
      <c r="G152">
        <v>5</v>
      </c>
      <c r="H152">
        <v>2</v>
      </c>
      <c r="K152">
        <v>13</v>
      </c>
      <c r="M152" s="122">
        <v>45414</v>
      </c>
      <c r="O152">
        <v>123</v>
      </c>
    </row>
    <row r="153" spans="1:15" x14ac:dyDescent="0.35">
      <c r="A153" t="s">
        <v>34</v>
      </c>
      <c r="D153" t="s">
        <v>37</v>
      </c>
      <c r="F153">
        <v>2</v>
      </c>
      <c r="G153">
        <v>8</v>
      </c>
      <c r="H153">
        <v>4</v>
      </c>
      <c r="K153">
        <v>32</v>
      </c>
      <c r="M153" s="122">
        <v>45414</v>
      </c>
      <c r="O153">
        <v>123</v>
      </c>
    </row>
    <row r="154" spans="1:15" x14ac:dyDescent="0.35">
      <c r="A154" t="s">
        <v>34</v>
      </c>
      <c r="D154" t="s">
        <v>37</v>
      </c>
      <c r="F154">
        <v>4</v>
      </c>
      <c r="G154">
        <v>2</v>
      </c>
      <c r="H154">
        <v>8</v>
      </c>
      <c r="K154">
        <v>58</v>
      </c>
      <c r="L154" s="6"/>
      <c r="M154" s="122">
        <v>45418</v>
      </c>
      <c r="O154">
        <v>127</v>
      </c>
    </row>
    <row r="155" spans="1:15" x14ac:dyDescent="0.35">
      <c r="A155" t="s">
        <v>34</v>
      </c>
      <c r="D155" t="s">
        <v>37</v>
      </c>
      <c r="F155">
        <v>3</v>
      </c>
      <c r="G155">
        <v>3</v>
      </c>
      <c r="H155">
        <v>6</v>
      </c>
      <c r="K155">
        <v>43</v>
      </c>
      <c r="L155" s="6"/>
      <c r="M155" s="122">
        <v>45418</v>
      </c>
      <c r="O155">
        <v>127</v>
      </c>
    </row>
    <row r="156" spans="1:15" x14ac:dyDescent="0.35">
      <c r="A156" t="s">
        <v>34</v>
      </c>
      <c r="D156" t="s">
        <v>37</v>
      </c>
      <c r="F156">
        <v>1</v>
      </c>
      <c r="G156">
        <v>5</v>
      </c>
      <c r="H156">
        <v>2</v>
      </c>
      <c r="K156">
        <v>13</v>
      </c>
      <c r="M156" s="122">
        <v>45418</v>
      </c>
      <c r="O156">
        <v>127</v>
      </c>
    </row>
    <row r="157" spans="1:15" x14ac:dyDescent="0.35">
      <c r="A157" t="s">
        <v>34</v>
      </c>
      <c r="D157" t="s">
        <v>37</v>
      </c>
      <c r="F157">
        <v>2</v>
      </c>
      <c r="G157">
        <v>8</v>
      </c>
      <c r="H157">
        <v>4</v>
      </c>
      <c r="K157">
        <v>32</v>
      </c>
      <c r="M157" s="122">
        <v>45418</v>
      </c>
      <c r="O157">
        <v>127</v>
      </c>
    </row>
    <row r="158" spans="1:15" x14ac:dyDescent="0.35">
      <c r="A158" t="s">
        <v>34</v>
      </c>
      <c r="D158" t="s">
        <v>37</v>
      </c>
      <c r="F158">
        <v>4</v>
      </c>
      <c r="G158">
        <v>2</v>
      </c>
      <c r="H158">
        <v>8</v>
      </c>
      <c r="K158">
        <v>58</v>
      </c>
      <c r="L158" s="6"/>
      <c r="M158" s="122">
        <v>45421</v>
      </c>
      <c r="O158">
        <v>130</v>
      </c>
    </row>
    <row r="159" spans="1:15" x14ac:dyDescent="0.35">
      <c r="A159" t="s">
        <v>34</v>
      </c>
      <c r="D159" t="s">
        <v>37</v>
      </c>
      <c r="F159">
        <v>3</v>
      </c>
      <c r="G159">
        <v>3</v>
      </c>
      <c r="H159">
        <v>6</v>
      </c>
      <c r="K159">
        <v>43</v>
      </c>
      <c r="L159" s="6"/>
      <c r="M159" s="122">
        <v>45421</v>
      </c>
      <c r="O159">
        <v>130</v>
      </c>
    </row>
    <row r="160" spans="1:15" x14ac:dyDescent="0.35">
      <c r="A160" t="s">
        <v>34</v>
      </c>
      <c r="D160" t="s">
        <v>37</v>
      </c>
      <c r="F160">
        <v>1</v>
      </c>
      <c r="G160">
        <v>5</v>
      </c>
      <c r="H160">
        <v>2</v>
      </c>
      <c r="K160">
        <v>13</v>
      </c>
      <c r="M160" s="122">
        <v>45421</v>
      </c>
      <c r="O160">
        <v>130</v>
      </c>
    </row>
    <row r="161" spans="1:15" x14ac:dyDescent="0.35">
      <c r="A161" t="s">
        <v>34</v>
      </c>
      <c r="D161" t="s">
        <v>37</v>
      </c>
      <c r="F161">
        <v>2</v>
      </c>
      <c r="G161">
        <v>8</v>
      </c>
      <c r="H161">
        <v>4</v>
      </c>
      <c r="K161">
        <v>32</v>
      </c>
      <c r="M161" s="122">
        <v>45421</v>
      </c>
      <c r="O161">
        <v>130</v>
      </c>
    </row>
    <row r="162" spans="1:15" x14ac:dyDescent="0.35">
      <c r="A162" t="s">
        <v>34</v>
      </c>
      <c r="D162" t="s">
        <v>37</v>
      </c>
      <c r="F162">
        <v>4</v>
      </c>
      <c r="G162">
        <v>2</v>
      </c>
      <c r="H162">
        <v>8</v>
      </c>
      <c r="K162">
        <v>58</v>
      </c>
      <c r="L162" s="6"/>
      <c r="M162" s="122">
        <v>45425</v>
      </c>
      <c r="O162">
        <v>134</v>
      </c>
    </row>
    <row r="163" spans="1:15" x14ac:dyDescent="0.35">
      <c r="A163" t="s">
        <v>34</v>
      </c>
      <c r="D163" t="s">
        <v>37</v>
      </c>
      <c r="F163">
        <v>3</v>
      </c>
      <c r="G163">
        <v>3</v>
      </c>
      <c r="H163">
        <v>6</v>
      </c>
      <c r="K163">
        <v>43</v>
      </c>
      <c r="L163" s="6"/>
      <c r="M163" s="122">
        <v>45425</v>
      </c>
      <c r="N163" s="6"/>
      <c r="O163">
        <v>134</v>
      </c>
    </row>
    <row r="164" spans="1:15" x14ac:dyDescent="0.35">
      <c r="A164" t="s">
        <v>34</v>
      </c>
      <c r="D164" t="s">
        <v>37</v>
      </c>
      <c r="F164">
        <v>1</v>
      </c>
      <c r="G164">
        <v>5</v>
      </c>
      <c r="H164">
        <v>2</v>
      </c>
      <c r="K164">
        <v>13</v>
      </c>
      <c r="M164" s="122">
        <v>45425</v>
      </c>
      <c r="O164">
        <v>134</v>
      </c>
    </row>
    <row r="165" spans="1:15" x14ac:dyDescent="0.35">
      <c r="A165" t="s">
        <v>34</v>
      </c>
      <c r="D165" t="s">
        <v>37</v>
      </c>
      <c r="F165">
        <v>2</v>
      </c>
      <c r="G165">
        <v>8</v>
      </c>
      <c r="H165">
        <v>4</v>
      </c>
      <c r="K165">
        <v>32</v>
      </c>
      <c r="M165" s="122">
        <v>45425</v>
      </c>
      <c r="O165">
        <v>134</v>
      </c>
    </row>
    <row r="166" spans="1:15" x14ac:dyDescent="0.35">
      <c r="A166" t="s">
        <v>34</v>
      </c>
      <c r="D166" t="s">
        <v>37</v>
      </c>
      <c r="F166">
        <v>4</v>
      </c>
      <c r="G166">
        <v>2</v>
      </c>
      <c r="H166">
        <v>8</v>
      </c>
      <c r="K166">
        <v>58</v>
      </c>
      <c r="L166" s="6"/>
      <c r="M166" s="122">
        <v>45428</v>
      </c>
      <c r="N166">
        <v>0</v>
      </c>
      <c r="O166">
        <v>137</v>
      </c>
    </row>
    <row r="167" spans="1:15" x14ac:dyDescent="0.35">
      <c r="A167" t="s">
        <v>34</v>
      </c>
      <c r="D167" t="s">
        <v>37</v>
      </c>
      <c r="F167">
        <v>3</v>
      </c>
      <c r="G167">
        <v>3</v>
      </c>
      <c r="H167">
        <v>6</v>
      </c>
      <c r="K167">
        <v>43</v>
      </c>
      <c r="L167" s="6"/>
      <c r="M167" s="122">
        <v>45428</v>
      </c>
      <c r="N167" s="6">
        <v>0</v>
      </c>
      <c r="O167">
        <v>137</v>
      </c>
    </row>
    <row r="168" spans="1:15" x14ac:dyDescent="0.35">
      <c r="A168" t="s">
        <v>34</v>
      </c>
      <c r="D168" t="s">
        <v>37</v>
      </c>
      <c r="F168">
        <v>1</v>
      </c>
      <c r="G168">
        <v>5</v>
      </c>
      <c r="H168">
        <v>2</v>
      </c>
      <c r="K168">
        <v>13</v>
      </c>
      <c r="M168" s="122">
        <v>45428</v>
      </c>
      <c r="N168">
        <v>0</v>
      </c>
      <c r="O168">
        <v>137</v>
      </c>
    </row>
    <row r="169" spans="1:15" x14ac:dyDescent="0.35">
      <c r="A169" t="s">
        <v>34</v>
      </c>
      <c r="D169" t="s">
        <v>37</v>
      </c>
      <c r="F169">
        <v>2</v>
      </c>
      <c r="G169">
        <v>8</v>
      </c>
      <c r="H169">
        <v>4</v>
      </c>
      <c r="K169">
        <v>32</v>
      </c>
      <c r="M169" s="122">
        <v>45428</v>
      </c>
      <c r="N169">
        <v>0</v>
      </c>
      <c r="O169">
        <v>137</v>
      </c>
    </row>
    <row r="170" spans="1:15" x14ac:dyDescent="0.35">
      <c r="A170" t="s">
        <v>34</v>
      </c>
      <c r="D170" t="s">
        <v>37</v>
      </c>
      <c r="F170">
        <v>4</v>
      </c>
      <c r="G170">
        <v>2</v>
      </c>
      <c r="H170">
        <v>8</v>
      </c>
      <c r="K170">
        <v>58</v>
      </c>
      <c r="L170" s="6"/>
      <c r="M170" s="122">
        <v>45435</v>
      </c>
      <c r="N170">
        <v>0</v>
      </c>
      <c r="O170">
        <v>144</v>
      </c>
    </row>
    <row r="171" spans="1:15" x14ac:dyDescent="0.35">
      <c r="A171" t="s">
        <v>34</v>
      </c>
      <c r="D171" t="s">
        <v>37</v>
      </c>
      <c r="F171">
        <v>3</v>
      </c>
      <c r="G171">
        <v>3</v>
      </c>
      <c r="H171">
        <v>6</v>
      </c>
      <c r="K171">
        <v>43</v>
      </c>
      <c r="L171" s="6"/>
      <c r="M171" s="122">
        <v>45435</v>
      </c>
      <c r="N171" s="6">
        <v>0</v>
      </c>
      <c r="O171">
        <v>144</v>
      </c>
    </row>
    <row r="172" spans="1:15" x14ac:dyDescent="0.35">
      <c r="A172" t="s">
        <v>34</v>
      </c>
      <c r="D172" t="s">
        <v>37</v>
      </c>
      <c r="F172">
        <v>1</v>
      </c>
      <c r="G172">
        <v>5</v>
      </c>
      <c r="H172">
        <v>2</v>
      </c>
      <c r="K172">
        <v>13</v>
      </c>
      <c r="M172" s="122">
        <v>45435</v>
      </c>
      <c r="N172">
        <v>0</v>
      </c>
      <c r="O172">
        <v>144</v>
      </c>
    </row>
    <row r="173" spans="1:15" x14ac:dyDescent="0.35">
      <c r="A173" t="s">
        <v>34</v>
      </c>
      <c r="D173" t="s">
        <v>37</v>
      </c>
      <c r="F173">
        <v>2</v>
      </c>
      <c r="G173">
        <v>8</v>
      </c>
      <c r="H173">
        <v>4</v>
      </c>
      <c r="K173">
        <v>32</v>
      </c>
      <c r="M173" s="122">
        <v>45435</v>
      </c>
      <c r="N173">
        <v>1</v>
      </c>
      <c r="O173">
        <v>144</v>
      </c>
    </row>
    <row r="174" spans="1:15" x14ac:dyDescent="0.35">
      <c r="A174" t="s">
        <v>34</v>
      </c>
      <c r="D174" t="s">
        <v>37</v>
      </c>
      <c r="F174">
        <v>4</v>
      </c>
      <c r="G174">
        <v>2</v>
      </c>
      <c r="H174">
        <v>8</v>
      </c>
      <c r="K174">
        <v>58</v>
      </c>
      <c r="L174" s="6"/>
      <c r="M174" s="122">
        <v>45440</v>
      </c>
      <c r="N174">
        <v>20</v>
      </c>
      <c r="O174">
        <v>149</v>
      </c>
    </row>
    <row r="175" spans="1:15" x14ac:dyDescent="0.35">
      <c r="A175" t="s">
        <v>34</v>
      </c>
      <c r="D175" t="s">
        <v>37</v>
      </c>
      <c r="F175">
        <v>3</v>
      </c>
      <c r="G175">
        <v>3</v>
      </c>
      <c r="H175">
        <v>6</v>
      </c>
      <c r="K175">
        <v>43</v>
      </c>
      <c r="L175" s="6"/>
      <c r="M175" s="122">
        <v>45440</v>
      </c>
      <c r="N175" s="6">
        <v>19</v>
      </c>
      <c r="O175">
        <v>149</v>
      </c>
    </row>
    <row r="176" spans="1:15" x14ac:dyDescent="0.35">
      <c r="A176" t="s">
        <v>34</v>
      </c>
      <c r="D176" t="s">
        <v>37</v>
      </c>
      <c r="F176">
        <v>1</v>
      </c>
      <c r="G176">
        <v>5</v>
      </c>
      <c r="H176">
        <v>2</v>
      </c>
      <c r="K176">
        <v>13</v>
      </c>
      <c r="M176" s="122">
        <v>45440</v>
      </c>
      <c r="N176">
        <v>34</v>
      </c>
      <c r="O176">
        <v>149</v>
      </c>
    </row>
    <row r="177" spans="1:15" x14ac:dyDescent="0.35">
      <c r="A177" t="s">
        <v>34</v>
      </c>
      <c r="D177" t="s">
        <v>37</v>
      </c>
      <c r="F177">
        <v>2</v>
      </c>
      <c r="G177">
        <v>8</v>
      </c>
      <c r="H177">
        <v>4</v>
      </c>
      <c r="K177">
        <v>32</v>
      </c>
      <c r="M177" s="122">
        <v>45440</v>
      </c>
      <c r="N177">
        <v>20</v>
      </c>
      <c r="O177">
        <v>149</v>
      </c>
    </row>
    <row r="178" spans="1:15" x14ac:dyDescent="0.35">
      <c r="A178" t="s">
        <v>34</v>
      </c>
      <c r="D178" t="s">
        <v>37</v>
      </c>
      <c r="F178">
        <v>4</v>
      </c>
      <c r="G178">
        <v>2</v>
      </c>
      <c r="H178">
        <v>8</v>
      </c>
      <c r="K178">
        <v>58</v>
      </c>
      <c r="L178" s="6"/>
      <c r="M178" s="122">
        <v>45442</v>
      </c>
      <c r="N178">
        <v>31</v>
      </c>
      <c r="O178">
        <v>151</v>
      </c>
    </row>
    <row r="179" spans="1:15" x14ac:dyDescent="0.35">
      <c r="A179" t="s">
        <v>34</v>
      </c>
      <c r="D179" t="s">
        <v>37</v>
      </c>
      <c r="F179">
        <v>3</v>
      </c>
      <c r="G179">
        <v>3</v>
      </c>
      <c r="H179">
        <v>6</v>
      </c>
      <c r="K179">
        <v>43</v>
      </c>
      <c r="L179" s="6"/>
      <c r="M179" s="122">
        <v>45442</v>
      </c>
      <c r="N179" s="6">
        <v>28</v>
      </c>
      <c r="O179">
        <v>151</v>
      </c>
    </row>
    <row r="180" spans="1:15" x14ac:dyDescent="0.35">
      <c r="A180" t="s">
        <v>34</v>
      </c>
      <c r="D180" t="s">
        <v>37</v>
      </c>
      <c r="F180">
        <v>1</v>
      </c>
      <c r="G180">
        <v>5</v>
      </c>
      <c r="H180">
        <v>2</v>
      </c>
      <c r="K180">
        <v>13</v>
      </c>
      <c r="M180" s="122">
        <v>45442</v>
      </c>
      <c r="N180">
        <v>43</v>
      </c>
      <c r="O180">
        <v>151</v>
      </c>
    </row>
    <row r="181" spans="1:15" x14ac:dyDescent="0.35">
      <c r="A181" t="s">
        <v>34</v>
      </c>
      <c r="D181" t="s">
        <v>37</v>
      </c>
      <c r="F181">
        <v>2</v>
      </c>
      <c r="G181">
        <v>8</v>
      </c>
      <c r="H181">
        <v>4</v>
      </c>
      <c r="K181">
        <v>32</v>
      </c>
      <c r="M181" s="122">
        <v>45442</v>
      </c>
      <c r="N181">
        <v>23</v>
      </c>
      <c r="O181">
        <v>151</v>
      </c>
    </row>
    <row r="182" spans="1:15" x14ac:dyDescent="0.35">
      <c r="A182" t="s">
        <v>34</v>
      </c>
      <c r="D182" t="s">
        <v>37</v>
      </c>
      <c r="F182">
        <v>4</v>
      </c>
      <c r="G182">
        <v>2</v>
      </c>
      <c r="H182">
        <v>8</v>
      </c>
      <c r="K182">
        <v>58</v>
      </c>
      <c r="L182" s="6"/>
      <c r="M182" s="122">
        <v>45446</v>
      </c>
      <c r="N182">
        <v>39</v>
      </c>
      <c r="O182">
        <v>155</v>
      </c>
    </row>
    <row r="183" spans="1:15" x14ac:dyDescent="0.35">
      <c r="A183" t="s">
        <v>34</v>
      </c>
      <c r="D183" t="s">
        <v>37</v>
      </c>
      <c r="F183">
        <v>3</v>
      </c>
      <c r="G183">
        <v>3</v>
      </c>
      <c r="H183">
        <v>6</v>
      </c>
      <c r="K183">
        <v>43</v>
      </c>
      <c r="L183" s="6"/>
      <c r="M183" s="122">
        <v>45446</v>
      </c>
      <c r="N183" s="6">
        <v>35</v>
      </c>
      <c r="O183">
        <v>155</v>
      </c>
    </row>
    <row r="184" spans="1:15" x14ac:dyDescent="0.35">
      <c r="A184" t="s">
        <v>34</v>
      </c>
      <c r="D184" t="s">
        <v>37</v>
      </c>
      <c r="F184">
        <v>1</v>
      </c>
      <c r="G184">
        <v>5</v>
      </c>
      <c r="H184">
        <v>2</v>
      </c>
      <c r="K184">
        <v>13</v>
      </c>
      <c r="M184" s="122">
        <v>45446</v>
      </c>
      <c r="N184">
        <v>43</v>
      </c>
      <c r="O184">
        <v>155</v>
      </c>
    </row>
    <row r="185" spans="1:15" x14ac:dyDescent="0.35">
      <c r="A185" t="s">
        <v>34</v>
      </c>
      <c r="D185" t="s">
        <v>37</v>
      </c>
      <c r="F185">
        <v>2</v>
      </c>
      <c r="G185">
        <v>8</v>
      </c>
      <c r="H185">
        <v>4</v>
      </c>
      <c r="K185">
        <v>32</v>
      </c>
      <c r="M185" s="122">
        <v>45446</v>
      </c>
      <c r="N185">
        <v>23</v>
      </c>
      <c r="O185">
        <v>155</v>
      </c>
    </row>
    <row r="186" spans="1:15" x14ac:dyDescent="0.35">
      <c r="A186" t="s">
        <v>34</v>
      </c>
      <c r="D186" t="s">
        <v>37</v>
      </c>
      <c r="F186">
        <v>4</v>
      </c>
      <c r="G186">
        <v>2</v>
      </c>
      <c r="H186">
        <v>8</v>
      </c>
      <c r="K186">
        <v>58</v>
      </c>
      <c r="L186" s="6"/>
      <c r="M186" s="122">
        <v>45450</v>
      </c>
      <c r="N186">
        <v>42</v>
      </c>
      <c r="O186">
        <v>159</v>
      </c>
    </row>
    <row r="187" spans="1:15" x14ac:dyDescent="0.35">
      <c r="A187" t="s">
        <v>34</v>
      </c>
      <c r="D187" t="s">
        <v>37</v>
      </c>
      <c r="F187">
        <v>3</v>
      </c>
      <c r="G187">
        <v>3</v>
      </c>
      <c r="H187">
        <v>6</v>
      </c>
      <c r="K187">
        <v>43</v>
      </c>
      <c r="L187" s="6"/>
      <c r="M187" s="122">
        <v>45450</v>
      </c>
      <c r="N187" s="6">
        <v>35</v>
      </c>
      <c r="O187">
        <v>159</v>
      </c>
    </row>
    <row r="188" spans="1:15" x14ac:dyDescent="0.35">
      <c r="A188" t="s">
        <v>34</v>
      </c>
      <c r="D188" t="s">
        <v>37</v>
      </c>
      <c r="F188">
        <v>1</v>
      </c>
      <c r="G188">
        <v>5</v>
      </c>
      <c r="H188">
        <v>2</v>
      </c>
      <c r="K188">
        <v>13</v>
      </c>
      <c r="M188" s="122">
        <v>45450</v>
      </c>
      <c r="N188">
        <v>43</v>
      </c>
      <c r="O188">
        <v>159</v>
      </c>
    </row>
    <row r="189" spans="1:15" x14ac:dyDescent="0.35">
      <c r="A189" t="s">
        <v>34</v>
      </c>
      <c r="D189" t="s">
        <v>37</v>
      </c>
      <c r="F189">
        <v>2</v>
      </c>
      <c r="G189">
        <v>8</v>
      </c>
      <c r="H189">
        <v>4</v>
      </c>
      <c r="K189">
        <v>32</v>
      </c>
      <c r="M189" s="122">
        <v>45450</v>
      </c>
      <c r="N189">
        <v>25</v>
      </c>
      <c r="O189">
        <v>159</v>
      </c>
    </row>
    <row r="190" spans="1:15" x14ac:dyDescent="0.35">
      <c r="A190" t="s">
        <v>34</v>
      </c>
      <c r="D190" t="s">
        <v>37</v>
      </c>
      <c r="F190">
        <v>4</v>
      </c>
      <c r="G190">
        <v>2</v>
      </c>
      <c r="H190">
        <v>8</v>
      </c>
      <c r="K190">
        <v>58</v>
      </c>
      <c r="L190" s="6"/>
      <c r="M190" s="122">
        <v>45462</v>
      </c>
      <c r="N190">
        <v>42</v>
      </c>
      <c r="O190">
        <v>171</v>
      </c>
    </row>
    <row r="191" spans="1:15" x14ac:dyDescent="0.35">
      <c r="A191" t="s">
        <v>34</v>
      </c>
      <c r="D191" t="s">
        <v>37</v>
      </c>
      <c r="F191">
        <v>3</v>
      </c>
      <c r="G191">
        <v>3</v>
      </c>
      <c r="H191">
        <v>6</v>
      </c>
      <c r="K191">
        <v>43</v>
      </c>
      <c r="L191" s="6"/>
      <c r="M191" s="122">
        <v>45462</v>
      </c>
      <c r="N191" s="6"/>
      <c r="O191">
        <v>171</v>
      </c>
    </row>
    <row r="192" spans="1:15" x14ac:dyDescent="0.35">
      <c r="A192" t="s">
        <v>34</v>
      </c>
      <c r="D192" t="s">
        <v>37</v>
      </c>
      <c r="F192">
        <v>1</v>
      </c>
      <c r="G192">
        <v>5</v>
      </c>
      <c r="H192">
        <v>2</v>
      </c>
      <c r="K192">
        <v>13</v>
      </c>
      <c r="M192" s="122">
        <v>45462</v>
      </c>
      <c r="O192">
        <v>171</v>
      </c>
    </row>
    <row r="193" spans="1:15" x14ac:dyDescent="0.35">
      <c r="A193" t="s">
        <v>34</v>
      </c>
      <c r="D193" t="s">
        <v>37</v>
      </c>
      <c r="F193">
        <v>2</v>
      </c>
      <c r="G193">
        <v>8</v>
      </c>
      <c r="H193">
        <v>4</v>
      </c>
      <c r="K193">
        <v>32</v>
      </c>
      <c r="M193" s="122">
        <v>45462</v>
      </c>
      <c r="N193">
        <v>25</v>
      </c>
      <c r="O193">
        <v>171</v>
      </c>
    </row>
    <row r="194" spans="1:15" x14ac:dyDescent="0.35">
      <c r="A194" t="s">
        <v>24</v>
      </c>
      <c r="D194" t="s">
        <v>337</v>
      </c>
      <c r="F194">
        <v>3</v>
      </c>
      <c r="G194">
        <v>2</v>
      </c>
      <c r="H194">
        <v>5</v>
      </c>
      <c r="K194">
        <v>34</v>
      </c>
      <c r="L194" s="6"/>
      <c r="M194" s="122">
        <v>45411</v>
      </c>
      <c r="N194">
        <v>10</v>
      </c>
      <c r="O194">
        <v>120</v>
      </c>
    </row>
    <row r="195" spans="1:15" x14ac:dyDescent="0.35">
      <c r="A195" t="s">
        <v>24</v>
      </c>
      <c r="D195" t="s">
        <v>337</v>
      </c>
      <c r="F195">
        <v>4</v>
      </c>
      <c r="G195">
        <v>3</v>
      </c>
      <c r="H195">
        <v>7</v>
      </c>
      <c r="K195">
        <v>51</v>
      </c>
      <c r="L195" s="6"/>
      <c r="M195" s="122">
        <v>45411</v>
      </c>
      <c r="N195" s="6">
        <v>2</v>
      </c>
      <c r="O195">
        <v>120</v>
      </c>
    </row>
    <row r="196" spans="1:15" x14ac:dyDescent="0.35">
      <c r="A196" t="s">
        <v>24</v>
      </c>
      <c r="D196" t="s">
        <v>337</v>
      </c>
      <c r="F196">
        <v>2</v>
      </c>
      <c r="G196">
        <v>6</v>
      </c>
      <c r="H196">
        <v>3</v>
      </c>
      <c r="K196">
        <v>22</v>
      </c>
      <c r="M196" s="122">
        <v>45411</v>
      </c>
      <c r="N196">
        <v>0</v>
      </c>
      <c r="O196">
        <v>120</v>
      </c>
    </row>
    <row r="197" spans="1:15" x14ac:dyDescent="0.35">
      <c r="A197" t="s">
        <v>24</v>
      </c>
      <c r="D197" t="s">
        <v>337</v>
      </c>
      <c r="F197">
        <v>1</v>
      </c>
      <c r="G197">
        <v>8</v>
      </c>
      <c r="H197">
        <v>1</v>
      </c>
      <c r="K197">
        <v>8</v>
      </c>
      <c r="M197" s="122">
        <v>45411</v>
      </c>
      <c r="N197">
        <v>0</v>
      </c>
      <c r="O197">
        <v>120</v>
      </c>
    </row>
    <row r="198" spans="1:15" x14ac:dyDescent="0.35">
      <c r="A198" t="s">
        <v>24</v>
      </c>
      <c r="D198" t="s">
        <v>337</v>
      </c>
      <c r="F198">
        <v>3</v>
      </c>
      <c r="G198">
        <v>2</v>
      </c>
      <c r="H198">
        <v>5</v>
      </c>
      <c r="K198">
        <v>34</v>
      </c>
      <c r="L198" s="6"/>
      <c r="M198" s="122">
        <v>45414</v>
      </c>
      <c r="N198">
        <v>27</v>
      </c>
      <c r="O198">
        <v>123</v>
      </c>
    </row>
    <row r="199" spans="1:15" x14ac:dyDescent="0.35">
      <c r="A199" t="s">
        <v>24</v>
      </c>
      <c r="D199" t="s">
        <v>337</v>
      </c>
      <c r="F199">
        <v>4</v>
      </c>
      <c r="G199">
        <v>3</v>
      </c>
      <c r="H199">
        <v>7</v>
      </c>
      <c r="K199">
        <v>51</v>
      </c>
      <c r="L199" s="6"/>
      <c r="M199" s="122">
        <v>45414</v>
      </c>
      <c r="N199" s="6">
        <v>34</v>
      </c>
      <c r="O199">
        <v>123</v>
      </c>
    </row>
    <row r="200" spans="1:15" x14ac:dyDescent="0.35">
      <c r="A200" t="s">
        <v>24</v>
      </c>
      <c r="D200" t="s">
        <v>337</v>
      </c>
      <c r="F200">
        <v>2</v>
      </c>
      <c r="G200">
        <v>6</v>
      </c>
      <c r="H200">
        <v>3</v>
      </c>
      <c r="K200">
        <v>22</v>
      </c>
      <c r="M200" s="122">
        <v>45414</v>
      </c>
      <c r="N200">
        <v>28</v>
      </c>
      <c r="O200">
        <v>123</v>
      </c>
    </row>
    <row r="201" spans="1:15" x14ac:dyDescent="0.35">
      <c r="A201" t="s">
        <v>24</v>
      </c>
      <c r="D201" t="s">
        <v>337</v>
      </c>
      <c r="F201">
        <v>1</v>
      </c>
      <c r="G201">
        <v>8</v>
      </c>
      <c r="H201">
        <v>1</v>
      </c>
      <c r="K201">
        <v>8</v>
      </c>
      <c r="M201" s="122">
        <v>45414</v>
      </c>
      <c r="N201">
        <v>33</v>
      </c>
      <c r="O201">
        <v>123</v>
      </c>
    </row>
    <row r="202" spans="1:15" x14ac:dyDescent="0.35">
      <c r="A202" t="s">
        <v>24</v>
      </c>
      <c r="D202" t="s">
        <v>337</v>
      </c>
      <c r="F202">
        <v>3</v>
      </c>
      <c r="G202">
        <v>2</v>
      </c>
      <c r="H202">
        <v>5</v>
      </c>
      <c r="K202">
        <v>34</v>
      </c>
      <c r="L202" s="6"/>
      <c r="M202" s="122">
        <v>45418</v>
      </c>
      <c r="N202">
        <v>28</v>
      </c>
      <c r="O202">
        <v>127</v>
      </c>
    </row>
    <row r="203" spans="1:15" x14ac:dyDescent="0.35">
      <c r="A203" t="s">
        <v>24</v>
      </c>
      <c r="D203" t="s">
        <v>337</v>
      </c>
      <c r="F203">
        <v>4</v>
      </c>
      <c r="G203">
        <v>3</v>
      </c>
      <c r="H203">
        <v>7</v>
      </c>
      <c r="K203">
        <v>51</v>
      </c>
      <c r="L203" s="6"/>
      <c r="M203" s="122">
        <v>45418</v>
      </c>
      <c r="N203" s="6">
        <v>39</v>
      </c>
      <c r="O203">
        <v>127</v>
      </c>
    </row>
    <row r="204" spans="1:15" x14ac:dyDescent="0.35">
      <c r="A204" t="s">
        <v>24</v>
      </c>
      <c r="D204" t="s">
        <v>337</v>
      </c>
      <c r="F204">
        <v>2</v>
      </c>
      <c r="G204">
        <v>6</v>
      </c>
      <c r="H204">
        <v>3</v>
      </c>
      <c r="K204">
        <v>22</v>
      </c>
      <c r="M204" s="122">
        <v>45418</v>
      </c>
      <c r="N204">
        <v>30</v>
      </c>
      <c r="O204">
        <v>127</v>
      </c>
    </row>
    <row r="205" spans="1:15" x14ac:dyDescent="0.35">
      <c r="A205" t="s">
        <v>24</v>
      </c>
      <c r="D205" t="s">
        <v>337</v>
      </c>
      <c r="F205">
        <v>1</v>
      </c>
      <c r="G205">
        <v>8</v>
      </c>
      <c r="H205">
        <v>1</v>
      </c>
      <c r="K205">
        <v>8</v>
      </c>
      <c r="M205" s="122">
        <v>45418</v>
      </c>
      <c r="N205">
        <v>33</v>
      </c>
      <c r="O205">
        <v>127</v>
      </c>
    </row>
    <row r="206" spans="1:15" x14ac:dyDescent="0.35">
      <c r="A206" t="s">
        <v>24</v>
      </c>
      <c r="D206" t="s">
        <v>337</v>
      </c>
      <c r="F206">
        <v>3</v>
      </c>
      <c r="G206">
        <v>2</v>
      </c>
      <c r="H206">
        <v>5</v>
      </c>
      <c r="K206">
        <v>34</v>
      </c>
      <c r="L206" s="6"/>
      <c r="M206" s="122">
        <v>45421</v>
      </c>
      <c r="N206">
        <v>28</v>
      </c>
      <c r="O206">
        <v>130</v>
      </c>
    </row>
    <row r="207" spans="1:15" x14ac:dyDescent="0.35">
      <c r="A207" t="s">
        <v>24</v>
      </c>
      <c r="D207" t="s">
        <v>337</v>
      </c>
      <c r="F207">
        <v>4</v>
      </c>
      <c r="G207">
        <v>3</v>
      </c>
      <c r="H207">
        <v>7</v>
      </c>
      <c r="K207">
        <v>51</v>
      </c>
      <c r="L207" s="6"/>
      <c r="M207" s="122">
        <v>45421</v>
      </c>
      <c r="N207" s="6">
        <v>39</v>
      </c>
      <c r="O207">
        <v>130</v>
      </c>
    </row>
    <row r="208" spans="1:15" x14ac:dyDescent="0.35">
      <c r="A208" t="s">
        <v>24</v>
      </c>
      <c r="D208" t="s">
        <v>337</v>
      </c>
      <c r="F208">
        <v>2</v>
      </c>
      <c r="G208">
        <v>6</v>
      </c>
      <c r="H208">
        <v>3</v>
      </c>
      <c r="K208">
        <v>22</v>
      </c>
      <c r="M208" s="122">
        <v>45421</v>
      </c>
      <c r="N208">
        <v>30</v>
      </c>
      <c r="O208">
        <v>130</v>
      </c>
    </row>
    <row r="209" spans="1:15" x14ac:dyDescent="0.35">
      <c r="A209" t="s">
        <v>24</v>
      </c>
      <c r="D209" t="s">
        <v>337</v>
      </c>
      <c r="F209">
        <v>1</v>
      </c>
      <c r="G209">
        <v>8</v>
      </c>
      <c r="H209">
        <v>1</v>
      </c>
      <c r="K209">
        <v>8</v>
      </c>
      <c r="M209" s="122">
        <v>45421</v>
      </c>
      <c r="N209">
        <v>33</v>
      </c>
      <c r="O209">
        <v>130</v>
      </c>
    </row>
    <row r="210" spans="1:15" x14ac:dyDescent="0.35">
      <c r="A210" t="s">
        <v>24</v>
      </c>
      <c r="D210" t="s">
        <v>337</v>
      </c>
      <c r="F210">
        <v>3</v>
      </c>
      <c r="G210">
        <v>2</v>
      </c>
      <c r="H210">
        <v>5</v>
      </c>
      <c r="K210">
        <v>34</v>
      </c>
      <c r="L210" s="6"/>
      <c r="M210" s="122">
        <v>45425</v>
      </c>
      <c r="N210">
        <v>28</v>
      </c>
      <c r="O210">
        <v>134</v>
      </c>
    </row>
    <row r="211" spans="1:15" x14ac:dyDescent="0.35">
      <c r="A211" t="s">
        <v>24</v>
      </c>
      <c r="D211" t="s">
        <v>337</v>
      </c>
      <c r="F211">
        <v>4</v>
      </c>
      <c r="G211">
        <v>3</v>
      </c>
      <c r="H211">
        <v>7</v>
      </c>
      <c r="K211">
        <v>51</v>
      </c>
      <c r="L211" s="6"/>
      <c r="M211" s="122">
        <v>45425</v>
      </c>
      <c r="N211" s="6">
        <v>39</v>
      </c>
      <c r="O211">
        <v>134</v>
      </c>
    </row>
    <row r="212" spans="1:15" x14ac:dyDescent="0.35">
      <c r="A212" t="s">
        <v>24</v>
      </c>
      <c r="D212" t="s">
        <v>337</v>
      </c>
      <c r="F212">
        <v>2</v>
      </c>
      <c r="G212">
        <v>6</v>
      </c>
      <c r="H212">
        <v>3</v>
      </c>
      <c r="K212">
        <v>22</v>
      </c>
      <c r="M212" s="122">
        <v>45425</v>
      </c>
      <c r="N212">
        <v>30</v>
      </c>
      <c r="O212">
        <v>134</v>
      </c>
    </row>
    <row r="213" spans="1:15" x14ac:dyDescent="0.35">
      <c r="A213" t="s">
        <v>24</v>
      </c>
      <c r="D213" t="s">
        <v>337</v>
      </c>
      <c r="F213">
        <v>1</v>
      </c>
      <c r="G213">
        <v>8</v>
      </c>
      <c r="H213">
        <v>1</v>
      </c>
      <c r="K213">
        <v>8</v>
      </c>
      <c r="M213" s="122">
        <v>45425</v>
      </c>
      <c r="N213">
        <v>33</v>
      </c>
      <c r="O213">
        <v>134</v>
      </c>
    </row>
    <row r="214" spans="1:15" x14ac:dyDescent="0.35">
      <c r="A214" t="s">
        <v>24</v>
      </c>
      <c r="D214" t="s">
        <v>337</v>
      </c>
      <c r="F214">
        <v>3</v>
      </c>
      <c r="G214">
        <v>2</v>
      </c>
      <c r="H214">
        <v>5</v>
      </c>
      <c r="K214">
        <v>34</v>
      </c>
      <c r="L214" s="6"/>
      <c r="M214" s="122">
        <v>45428</v>
      </c>
      <c r="O214">
        <v>137</v>
      </c>
    </row>
    <row r="215" spans="1:15" x14ac:dyDescent="0.35">
      <c r="A215" t="s">
        <v>24</v>
      </c>
      <c r="D215" t="s">
        <v>337</v>
      </c>
      <c r="F215">
        <v>4</v>
      </c>
      <c r="G215">
        <v>3</v>
      </c>
      <c r="H215">
        <v>7</v>
      </c>
      <c r="K215">
        <v>51</v>
      </c>
      <c r="L215" s="6"/>
      <c r="M215" s="122">
        <v>45428</v>
      </c>
      <c r="N215" s="6"/>
      <c r="O215">
        <v>137</v>
      </c>
    </row>
    <row r="216" spans="1:15" x14ac:dyDescent="0.35">
      <c r="A216" t="s">
        <v>24</v>
      </c>
      <c r="D216" t="s">
        <v>337</v>
      </c>
      <c r="F216">
        <v>2</v>
      </c>
      <c r="G216">
        <v>6</v>
      </c>
      <c r="H216">
        <v>3</v>
      </c>
      <c r="K216">
        <v>22</v>
      </c>
      <c r="M216" s="122">
        <v>45428</v>
      </c>
      <c r="O216">
        <v>137</v>
      </c>
    </row>
    <row r="217" spans="1:15" x14ac:dyDescent="0.35">
      <c r="A217" t="s">
        <v>24</v>
      </c>
      <c r="D217" t="s">
        <v>337</v>
      </c>
      <c r="F217">
        <v>1</v>
      </c>
      <c r="G217">
        <v>8</v>
      </c>
      <c r="H217">
        <v>1</v>
      </c>
      <c r="K217">
        <v>8</v>
      </c>
      <c r="M217" s="122">
        <v>45428</v>
      </c>
      <c r="O217">
        <v>137</v>
      </c>
    </row>
    <row r="218" spans="1:15" x14ac:dyDescent="0.35">
      <c r="A218" t="s">
        <v>24</v>
      </c>
      <c r="D218" t="s">
        <v>337</v>
      </c>
      <c r="F218">
        <v>3</v>
      </c>
      <c r="G218">
        <v>2</v>
      </c>
      <c r="H218">
        <v>5</v>
      </c>
      <c r="K218">
        <v>34</v>
      </c>
      <c r="L218" s="6"/>
      <c r="M218" s="122">
        <v>45435</v>
      </c>
      <c r="O218">
        <v>144</v>
      </c>
    </row>
    <row r="219" spans="1:15" x14ac:dyDescent="0.35">
      <c r="A219" t="s">
        <v>24</v>
      </c>
      <c r="D219" t="s">
        <v>337</v>
      </c>
      <c r="F219">
        <v>4</v>
      </c>
      <c r="G219">
        <v>3</v>
      </c>
      <c r="H219">
        <v>7</v>
      </c>
      <c r="K219">
        <v>51</v>
      </c>
      <c r="L219" s="6"/>
      <c r="M219" s="122">
        <v>45435</v>
      </c>
      <c r="N219" s="6"/>
      <c r="O219">
        <v>144</v>
      </c>
    </row>
    <row r="220" spans="1:15" x14ac:dyDescent="0.35">
      <c r="A220" t="s">
        <v>24</v>
      </c>
      <c r="D220" t="s">
        <v>337</v>
      </c>
      <c r="F220">
        <v>2</v>
      </c>
      <c r="G220">
        <v>6</v>
      </c>
      <c r="H220">
        <v>3</v>
      </c>
      <c r="K220">
        <v>22</v>
      </c>
      <c r="M220" s="122">
        <v>45435</v>
      </c>
      <c r="O220">
        <v>144</v>
      </c>
    </row>
    <row r="221" spans="1:15" x14ac:dyDescent="0.35">
      <c r="A221" t="s">
        <v>24</v>
      </c>
      <c r="D221" t="s">
        <v>337</v>
      </c>
      <c r="F221">
        <v>1</v>
      </c>
      <c r="G221">
        <v>8</v>
      </c>
      <c r="H221">
        <v>1</v>
      </c>
      <c r="K221">
        <v>8</v>
      </c>
      <c r="M221" s="122">
        <v>45435</v>
      </c>
      <c r="O221">
        <v>144</v>
      </c>
    </row>
    <row r="222" spans="1:15" x14ac:dyDescent="0.35">
      <c r="A222" t="s">
        <v>24</v>
      </c>
      <c r="D222" t="s">
        <v>337</v>
      </c>
      <c r="F222">
        <v>3</v>
      </c>
      <c r="G222">
        <v>2</v>
      </c>
      <c r="H222">
        <v>5</v>
      </c>
      <c r="K222">
        <v>34</v>
      </c>
      <c r="L222" s="6"/>
      <c r="M222" s="122">
        <v>45440</v>
      </c>
      <c r="O222">
        <v>149</v>
      </c>
    </row>
    <row r="223" spans="1:15" x14ac:dyDescent="0.35">
      <c r="A223" t="s">
        <v>24</v>
      </c>
      <c r="D223" t="s">
        <v>337</v>
      </c>
      <c r="F223">
        <v>4</v>
      </c>
      <c r="G223">
        <v>3</v>
      </c>
      <c r="H223">
        <v>7</v>
      </c>
      <c r="K223">
        <v>51</v>
      </c>
      <c r="L223" s="6"/>
      <c r="M223" s="122">
        <v>45440</v>
      </c>
      <c r="N223" s="6"/>
      <c r="O223">
        <v>149</v>
      </c>
    </row>
    <row r="224" spans="1:15" x14ac:dyDescent="0.35">
      <c r="A224" t="s">
        <v>24</v>
      </c>
      <c r="D224" t="s">
        <v>337</v>
      </c>
      <c r="F224">
        <v>2</v>
      </c>
      <c r="G224">
        <v>6</v>
      </c>
      <c r="H224">
        <v>3</v>
      </c>
      <c r="K224">
        <v>22</v>
      </c>
      <c r="M224" s="122">
        <v>45440</v>
      </c>
      <c r="O224">
        <v>149</v>
      </c>
    </row>
    <row r="225" spans="1:15" x14ac:dyDescent="0.35">
      <c r="A225" t="s">
        <v>24</v>
      </c>
      <c r="D225" t="s">
        <v>337</v>
      </c>
      <c r="F225">
        <v>1</v>
      </c>
      <c r="G225">
        <v>8</v>
      </c>
      <c r="H225">
        <v>1</v>
      </c>
      <c r="K225">
        <v>8</v>
      </c>
      <c r="M225" s="122">
        <v>45440</v>
      </c>
      <c r="O225">
        <v>149</v>
      </c>
    </row>
    <row r="226" spans="1:15" x14ac:dyDescent="0.35">
      <c r="A226" t="s">
        <v>24</v>
      </c>
      <c r="D226" t="s">
        <v>337</v>
      </c>
      <c r="F226">
        <v>3</v>
      </c>
      <c r="G226">
        <v>2</v>
      </c>
      <c r="H226">
        <v>5</v>
      </c>
      <c r="K226">
        <v>34</v>
      </c>
      <c r="L226" s="6"/>
      <c r="M226" s="122">
        <v>45442</v>
      </c>
      <c r="O226">
        <v>151</v>
      </c>
    </row>
    <row r="227" spans="1:15" x14ac:dyDescent="0.35">
      <c r="A227" t="s">
        <v>24</v>
      </c>
      <c r="D227" t="s">
        <v>337</v>
      </c>
      <c r="F227">
        <v>4</v>
      </c>
      <c r="G227">
        <v>3</v>
      </c>
      <c r="H227">
        <v>7</v>
      </c>
      <c r="K227">
        <v>51</v>
      </c>
      <c r="L227" s="6"/>
      <c r="M227" s="122">
        <v>45442</v>
      </c>
      <c r="N227" s="6"/>
      <c r="O227">
        <v>151</v>
      </c>
    </row>
    <row r="228" spans="1:15" x14ac:dyDescent="0.35">
      <c r="A228" t="s">
        <v>24</v>
      </c>
      <c r="D228" t="s">
        <v>337</v>
      </c>
      <c r="F228">
        <v>2</v>
      </c>
      <c r="G228">
        <v>6</v>
      </c>
      <c r="H228">
        <v>3</v>
      </c>
      <c r="K228">
        <v>22</v>
      </c>
      <c r="M228" s="122">
        <v>45442</v>
      </c>
      <c r="O228">
        <v>151</v>
      </c>
    </row>
    <row r="229" spans="1:15" x14ac:dyDescent="0.35">
      <c r="A229" t="s">
        <v>24</v>
      </c>
      <c r="D229" t="s">
        <v>337</v>
      </c>
      <c r="F229">
        <v>1</v>
      </c>
      <c r="G229">
        <v>8</v>
      </c>
      <c r="H229">
        <v>1</v>
      </c>
      <c r="K229">
        <v>8</v>
      </c>
      <c r="M229" s="122">
        <v>45442</v>
      </c>
      <c r="O229">
        <v>151</v>
      </c>
    </row>
    <row r="230" spans="1:15" x14ac:dyDescent="0.35">
      <c r="A230" t="s">
        <v>24</v>
      </c>
      <c r="D230" t="s">
        <v>337</v>
      </c>
      <c r="F230">
        <v>3</v>
      </c>
      <c r="G230">
        <v>2</v>
      </c>
      <c r="H230">
        <v>5</v>
      </c>
      <c r="K230">
        <v>34</v>
      </c>
      <c r="L230" s="6"/>
      <c r="M230" s="122">
        <v>45446</v>
      </c>
      <c r="O230">
        <v>155</v>
      </c>
    </row>
    <row r="231" spans="1:15" x14ac:dyDescent="0.35">
      <c r="A231" t="s">
        <v>24</v>
      </c>
      <c r="D231" t="s">
        <v>337</v>
      </c>
      <c r="F231">
        <v>4</v>
      </c>
      <c r="G231">
        <v>3</v>
      </c>
      <c r="H231">
        <v>7</v>
      </c>
      <c r="K231">
        <v>51</v>
      </c>
      <c r="L231" s="6"/>
      <c r="M231" s="122">
        <v>45446</v>
      </c>
      <c r="N231" s="6"/>
      <c r="O231">
        <v>155</v>
      </c>
    </row>
    <row r="232" spans="1:15" x14ac:dyDescent="0.35">
      <c r="A232" t="s">
        <v>24</v>
      </c>
      <c r="D232" t="s">
        <v>337</v>
      </c>
      <c r="F232">
        <v>2</v>
      </c>
      <c r="G232">
        <v>6</v>
      </c>
      <c r="H232">
        <v>3</v>
      </c>
      <c r="K232">
        <v>22</v>
      </c>
      <c r="M232" s="122">
        <v>45446</v>
      </c>
      <c r="O232">
        <v>155</v>
      </c>
    </row>
    <row r="233" spans="1:15" x14ac:dyDescent="0.35">
      <c r="A233" t="s">
        <v>24</v>
      </c>
      <c r="D233" t="s">
        <v>337</v>
      </c>
      <c r="F233">
        <v>1</v>
      </c>
      <c r="G233">
        <v>8</v>
      </c>
      <c r="H233">
        <v>1</v>
      </c>
      <c r="K233">
        <v>8</v>
      </c>
      <c r="M233" s="122">
        <v>45446</v>
      </c>
      <c r="O233">
        <v>155</v>
      </c>
    </row>
    <row r="234" spans="1:15" x14ac:dyDescent="0.35">
      <c r="A234" t="s">
        <v>24</v>
      </c>
      <c r="D234" t="s">
        <v>337</v>
      </c>
      <c r="F234">
        <v>3</v>
      </c>
      <c r="G234">
        <v>2</v>
      </c>
      <c r="H234">
        <v>5</v>
      </c>
      <c r="K234">
        <v>34</v>
      </c>
      <c r="L234" s="6"/>
      <c r="M234" s="122">
        <v>45450</v>
      </c>
      <c r="O234">
        <v>159</v>
      </c>
    </row>
    <row r="235" spans="1:15" x14ac:dyDescent="0.35">
      <c r="A235" t="s">
        <v>24</v>
      </c>
      <c r="D235" t="s">
        <v>337</v>
      </c>
      <c r="F235">
        <v>4</v>
      </c>
      <c r="G235">
        <v>3</v>
      </c>
      <c r="H235">
        <v>7</v>
      </c>
      <c r="K235">
        <v>51</v>
      </c>
      <c r="L235" s="6"/>
      <c r="M235" s="122">
        <v>45450</v>
      </c>
      <c r="N235" s="6"/>
      <c r="O235">
        <v>159</v>
      </c>
    </row>
    <row r="236" spans="1:15" x14ac:dyDescent="0.35">
      <c r="A236" t="s">
        <v>24</v>
      </c>
      <c r="D236" t="s">
        <v>337</v>
      </c>
      <c r="F236">
        <v>2</v>
      </c>
      <c r="G236">
        <v>6</v>
      </c>
      <c r="H236">
        <v>3</v>
      </c>
      <c r="K236">
        <v>22</v>
      </c>
      <c r="M236" s="122">
        <v>45450</v>
      </c>
      <c r="O236">
        <v>159</v>
      </c>
    </row>
    <row r="237" spans="1:15" x14ac:dyDescent="0.35">
      <c r="A237" t="s">
        <v>24</v>
      </c>
      <c r="D237" t="s">
        <v>337</v>
      </c>
      <c r="F237">
        <v>1</v>
      </c>
      <c r="G237">
        <v>8</v>
      </c>
      <c r="H237">
        <v>1</v>
      </c>
      <c r="K237">
        <v>8</v>
      </c>
      <c r="M237" s="122">
        <v>45450</v>
      </c>
      <c r="O237">
        <v>159</v>
      </c>
    </row>
    <row r="238" spans="1:15" x14ac:dyDescent="0.35">
      <c r="A238" t="s">
        <v>24</v>
      </c>
      <c r="D238" t="s">
        <v>337</v>
      </c>
      <c r="F238">
        <v>3</v>
      </c>
      <c r="G238">
        <v>2</v>
      </c>
      <c r="H238">
        <v>5</v>
      </c>
      <c r="K238">
        <v>34</v>
      </c>
      <c r="L238" s="6"/>
      <c r="M238" s="122">
        <v>45462</v>
      </c>
      <c r="O238">
        <v>171</v>
      </c>
    </row>
    <row r="239" spans="1:15" x14ac:dyDescent="0.35">
      <c r="A239" t="s">
        <v>24</v>
      </c>
      <c r="D239" t="s">
        <v>337</v>
      </c>
      <c r="F239">
        <v>4</v>
      </c>
      <c r="G239">
        <v>3</v>
      </c>
      <c r="H239">
        <v>7</v>
      </c>
      <c r="K239">
        <v>51</v>
      </c>
      <c r="L239" s="6"/>
      <c r="M239" s="122">
        <v>45462</v>
      </c>
      <c r="N239" s="6"/>
      <c r="O239">
        <v>171</v>
      </c>
    </row>
    <row r="240" spans="1:15" x14ac:dyDescent="0.35">
      <c r="A240" t="s">
        <v>24</v>
      </c>
      <c r="D240" t="s">
        <v>337</v>
      </c>
      <c r="F240">
        <v>2</v>
      </c>
      <c r="G240">
        <v>6</v>
      </c>
      <c r="H240">
        <v>3</v>
      </c>
      <c r="K240">
        <v>22</v>
      </c>
      <c r="M240" s="122">
        <v>45462</v>
      </c>
      <c r="O240">
        <v>171</v>
      </c>
    </row>
    <row r="241" spans="1:15" x14ac:dyDescent="0.35">
      <c r="A241" t="s">
        <v>24</v>
      </c>
      <c r="D241" t="s">
        <v>337</v>
      </c>
      <c r="F241">
        <v>1</v>
      </c>
      <c r="G241">
        <v>8</v>
      </c>
      <c r="H241">
        <v>1</v>
      </c>
      <c r="K241">
        <v>8</v>
      </c>
      <c r="M241" s="122">
        <v>45462</v>
      </c>
      <c r="O241">
        <v>171</v>
      </c>
    </row>
    <row r="242" spans="1:15" x14ac:dyDescent="0.35">
      <c r="A242" t="s">
        <v>34</v>
      </c>
      <c r="D242" t="s">
        <v>41</v>
      </c>
      <c r="F242">
        <v>3</v>
      </c>
      <c r="G242">
        <v>1</v>
      </c>
      <c r="H242">
        <v>6</v>
      </c>
      <c r="K242">
        <v>41</v>
      </c>
      <c r="L242" s="6"/>
      <c r="M242" s="122">
        <v>45411</v>
      </c>
      <c r="O242">
        <v>120</v>
      </c>
    </row>
    <row r="243" spans="1:15" x14ac:dyDescent="0.35">
      <c r="A243" t="s">
        <v>34</v>
      </c>
      <c r="D243" t="s">
        <v>41</v>
      </c>
      <c r="F243">
        <v>1</v>
      </c>
      <c r="G243">
        <v>4</v>
      </c>
      <c r="H243">
        <v>2</v>
      </c>
      <c r="K243">
        <v>12</v>
      </c>
      <c r="L243" s="6"/>
      <c r="M243" s="122">
        <v>45411</v>
      </c>
      <c r="O243">
        <v>120</v>
      </c>
    </row>
    <row r="244" spans="1:15" x14ac:dyDescent="0.35">
      <c r="A244" t="s">
        <v>34</v>
      </c>
      <c r="D244" t="s">
        <v>41</v>
      </c>
      <c r="F244">
        <v>4</v>
      </c>
      <c r="G244">
        <v>5</v>
      </c>
      <c r="H244">
        <v>8</v>
      </c>
      <c r="K244">
        <v>61</v>
      </c>
      <c r="M244" s="122">
        <v>45411</v>
      </c>
      <c r="O244">
        <v>120</v>
      </c>
    </row>
    <row r="245" spans="1:15" x14ac:dyDescent="0.35">
      <c r="A245" t="s">
        <v>34</v>
      </c>
      <c r="D245" t="s">
        <v>41</v>
      </c>
      <c r="F245">
        <v>2</v>
      </c>
      <c r="G245">
        <v>7</v>
      </c>
      <c r="H245">
        <v>4</v>
      </c>
      <c r="K245">
        <v>31</v>
      </c>
      <c r="M245" s="122">
        <v>45411</v>
      </c>
      <c r="O245">
        <v>120</v>
      </c>
    </row>
    <row r="246" spans="1:15" x14ac:dyDescent="0.35">
      <c r="A246" t="s">
        <v>34</v>
      </c>
      <c r="D246" t="s">
        <v>41</v>
      </c>
      <c r="F246">
        <v>3</v>
      </c>
      <c r="G246">
        <v>1</v>
      </c>
      <c r="H246">
        <v>6</v>
      </c>
      <c r="K246">
        <v>41</v>
      </c>
      <c r="L246" s="6"/>
      <c r="M246" s="122">
        <v>45414</v>
      </c>
      <c r="O246">
        <v>123</v>
      </c>
    </row>
    <row r="247" spans="1:15" x14ac:dyDescent="0.35">
      <c r="A247" t="s">
        <v>34</v>
      </c>
      <c r="D247" t="s">
        <v>41</v>
      </c>
      <c r="F247">
        <v>1</v>
      </c>
      <c r="G247">
        <v>4</v>
      </c>
      <c r="H247">
        <v>2</v>
      </c>
      <c r="K247">
        <v>12</v>
      </c>
      <c r="L247" s="6"/>
      <c r="M247" s="122">
        <v>45414</v>
      </c>
      <c r="O247">
        <v>123</v>
      </c>
    </row>
    <row r="248" spans="1:15" x14ac:dyDescent="0.35">
      <c r="A248" t="s">
        <v>34</v>
      </c>
      <c r="D248" t="s">
        <v>41</v>
      </c>
      <c r="F248">
        <v>4</v>
      </c>
      <c r="G248">
        <v>5</v>
      </c>
      <c r="H248">
        <v>8</v>
      </c>
      <c r="K248">
        <v>61</v>
      </c>
      <c r="M248" s="122">
        <v>45414</v>
      </c>
      <c r="O248">
        <v>123</v>
      </c>
    </row>
    <row r="249" spans="1:15" x14ac:dyDescent="0.35">
      <c r="A249" t="s">
        <v>34</v>
      </c>
      <c r="D249" t="s">
        <v>41</v>
      </c>
      <c r="F249">
        <v>2</v>
      </c>
      <c r="G249">
        <v>7</v>
      </c>
      <c r="H249">
        <v>4</v>
      </c>
      <c r="K249">
        <v>31</v>
      </c>
      <c r="M249" s="122">
        <v>45414</v>
      </c>
      <c r="O249">
        <v>123</v>
      </c>
    </row>
    <row r="250" spans="1:15" x14ac:dyDescent="0.35">
      <c r="A250" t="s">
        <v>34</v>
      </c>
      <c r="D250" t="s">
        <v>41</v>
      </c>
      <c r="F250">
        <v>3</v>
      </c>
      <c r="G250">
        <v>1</v>
      </c>
      <c r="H250">
        <v>6</v>
      </c>
      <c r="K250">
        <v>41</v>
      </c>
      <c r="L250" s="6"/>
      <c r="M250" s="122">
        <v>45418</v>
      </c>
      <c r="O250">
        <v>127</v>
      </c>
    </row>
    <row r="251" spans="1:15" x14ac:dyDescent="0.35">
      <c r="A251" t="s">
        <v>34</v>
      </c>
      <c r="D251" t="s">
        <v>41</v>
      </c>
      <c r="F251">
        <v>1</v>
      </c>
      <c r="G251">
        <v>4</v>
      </c>
      <c r="H251">
        <v>2</v>
      </c>
      <c r="K251">
        <v>12</v>
      </c>
      <c r="L251" s="6"/>
      <c r="M251" s="122">
        <v>45418</v>
      </c>
      <c r="O251">
        <v>127</v>
      </c>
    </row>
    <row r="252" spans="1:15" x14ac:dyDescent="0.35">
      <c r="A252" t="s">
        <v>34</v>
      </c>
      <c r="D252" t="s">
        <v>41</v>
      </c>
      <c r="F252">
        <v>4</v>
      </c>
      <c r="G252">
        <v>5</v>
      </c>
      <c r="H252">
        <v>8</v>
      </c>
      <c r="K252">
        <v>61</v>
      </c>
      <c r="M252" s="122">
        <v>45418</v>
      </c>
      <c r="O252">
        <v>127</v>
      </c>
    </row>
    <row r="253" spans="1:15" x14ac:dyDescent="0.35">
      <c r="A253" t="s">
        <v>34</v>
      </c>
      <c r="D253" t="s">
        <v>41</v>
      </c>
      <c r="F253">
        <v>2</v>
      </c>
      <c r="G253">
        <v>7</v>
      </c>
      <c r="H253">
        <v>4</v>
      </c>
      <c r="K253">
        <v>31</v>
      </c>
      <c r="M253" s="122">
        <v>45418</v>
      </c>
      <c r="O253">
        <v>127</v>
      </c>
    </row>
    <row r="254" spans="1:15" x14ac:dyDescent="0.35">
      <c r="A254" t="s">
        <v>34</v>
      </c>
      <c r="D254" t="s">
        <v>41</v>
      </c>
      <c r="F254">
        <v>3</v>
      </c>
      <c r="G254">
        <v>1</v>
      </c>
      <c r="H254">
        <v>6</v>
      </c>
      <c r="K254">
        <v>41</v>
      </c>
      <c r="L254" s="6"/>
      <c r="M254" s="122">
        <v>45421</v>
      </c>
      <c r="O254">
        <v>130</v>
      </c>
    </row>
    <row r="255" spans="1:15" x14ac:dyDescent="0.35">
      <c r="A255" t="s">
        <v>34</v>
      </c>
      <c r="D255" t="s">
        <v>41</v>
      </c>
      <c r="F255">
        <v>1</v>
      </c>
      <c r="G255">
        <v>4</v>
      </c>
      <c r="H255">
        <v>2</v>
      </c>
      <c r="K255">
        <v>12</v>
      </c>
      <c r="L255" s="6"/>
      <c r="M255" s="122">
        <v>45421</v>
      </c>
      <c r="O255">
        <v>130</v>
      </c>
    </row>
    <row r="256" spans="1:15" x14ac:dyDescent="0.35">
      <c r="A256" t="s">
        <v>34</v>
      </c>
      <c r="D256" t="s">
        <v>41</v>
      </c>
      <c r="F256">
        <v>4</v>
      </c>
      <c r="G256">
        <v>5</v>
      </c>
      <c r="H256">
        <v>8</v>
      </c>
      <c r="K256">
        <v>61</v>
      </c>
      <c r="M256" s="122">
        <v>45421</v>
      </c>
      <c r="O256">
        <v>130</v>
      </c>
    </row>
    <row r="257" spans="1:15" x14ac:dyDescent="0.35">
      <c r="A257" t="s">
        <v>34</v>
      </c>
      <c r="D257" t="s">
        <v>41</v>
      </c>
      <c r="F257">
        <v>2</v>
      </c>
      <c r="G257">
        <v>7</v>
      </c>
      <c r="H257">
        <v>4</v>
      </c>
      <c r="K257">
        <v>31</v>
      </c>
      <c r="M257" s="122">
        <v>45421</v>
      </c>
      <c r="O257">
        <v>130</v>
      </c>
    </row>
    <row r="258" spans="1:15" x14ac:dyDescent="0.35">
      <c r="A258" t="s">
        <v>34</v>
      </c>
      <c r="D258" t="s">
        <v>41</v>
      </c>
      <c r="F258">
        <v>3</v>
      </c>
      <c r="G258">
        <v>1</v>
      </c>
      <c r="H258">
        <v>6</v>
      </c>
      <c r="K258">
        <v>41</v>
      </c>
      <c r="L258" s="6"/>
      <c r="M258" s="122">
        <v>45425</v>
      </c>
      <c r="N258" s="6"/>
      <c r="O258">
        <v>134</v>
      </c>
    </row>
    <row r="259" spans="1:15" x14ac:dyDescent="0.35">
      <c r="A259" t="s">
        <v>34</v>
      </c>
      <c r="D259" t="s">
        <v>41</v>
      </c>
      <c r="F259">
        <v>1</v>
      </c>
      <c r="G259">
        <v>4</v>
      </c>
      <c r="H259">
        <v>2</v>
      </c>
      <c r="K259">
        <v>12</v>
      </c>
      <c r="L259" s="6"/>
      <c r="M259" s="122">
        <v>45425</v>
      </c>
      <c r="O259">
        <v>134</v>
      </c>
    </row>
    <row r="260" spans="1:15" x14ac:dyDescent="0.35">
      <c r="A260" t="s">
        <v>34</v>
      </c>
      <c r="D260" t="s">
        <v>41</v>
      </c>
      <c r="F260">
        <v>4</v>
      </c>
      <c r="G260">
        <v>5</v>
      </c>
      <c r="H260">
        <v>8</v>
      </c>
      <c r="K260">
        <v>61</v>
      </c>
      <c r="M260" s="122">
        <v>45425</v>
      </c>
      <c r="O260">
        <v>134</v>
      </c>
    </row>
    <row r="261" spans="1:15" x14ac:dyDescent="0.35">
      <c r="A261" t="s">
        <v>34</v>
      </c>
      <c r="D261" t="s">
        <v>41</v>
      </c>
      <c r="F261">
        <v>2</v>
      </c>
      <c r="G261">
        <v>7</v>
      </c>
      <c r="H261">
        <v>4</v>
      </c>
      <c r="K261">
        <v>31</v>
      </c>
      <c r="M261" s="122">
        <v>45425</v>
      </c>
      <c r="O261">
        <v>134</v>
      </c>
    </row>
    <row r="262" spans="1:15" x14ac:dyDescent="0.35">
      <c r="A262" t="s">
        <v>34</v>
      </c>
      <c r="D262" t="s">
        <v>41</v>
      </c>
      <c r="F262">
        <v>3</v>
      </c>
      <c r="G262">
        <v>1</v>
      </c>
      <c r="H262">
        <v>6</v>
      </c>
      <c r="K262">
        <v>41</v>
      </c>
      <c r="L262" s="6"/>
      <c r="M262" s="122">
        <v>45428</v>
      </c>
      <c r="N262" s="6">
        <v>0</v>
      </c>
      <c r="O262">
        <v>137</v>
      </c>
    </row>
    <row r="263" spans="1:15" x14ac:dyDescent="0.35">
      <c r="A263" t="s">
        <v>34</v>
      </c>
      <c r="D263" t="s">
        <v>41</v>
      </c>
      <c r="F263">
        <v>1</v>
      </c>
      <c r="G263">
        <v>4</v>
      </c>
      <c r="H263">
        <v>2</v>
      </c>
      <c r="K263">
        <v>12</v>
      </c>
      <c r="L263" s="6"/>
      <c r="M263" s="122">
        <v>45428</v>
      </c>
      <c r="N263">
        <v>0</v>
      </c>
      <c r="O263">
        <v>137</v>
      </c>
    </row>
    <row r="264" spans="1:15" x14ac:dyDescent="0.35">
      <c r="A264" t="s">
        <v>34</v>
      </c>
      <c r="D264" t="s">
        <v>41</v>
      </c>
      <c r="F264">
        <v>4</v>
      </c>
      <c r="G264">
        <v>5</v>
      </c>
      <c r="H264">
        <v>8</v>
      </c>
      <c r="K264">
        <v>61</v>
      </c>
      <c r="M264" s="122">
        <v>45428</v>
      </c>
      <c r="N264">
        <v>0</v>
      </c>
      <c r="O264">
        <v>137</v>
      </c>
    </row>
    <row r="265" spans="1:15" x14ac:dyDescent="0.35">
      <c r="A265" t="s">
        <v>34</v>
      </c>
      <c r="D265" t="s">
        <v>41</v>
      </c>
      <c r="F265">
        <v>2</v>
      </c>
      <c r="G265">
        <v>7</v>
      </c>
      <c r="H265">
        <v>4</v>
      </c>
      <c r="K265">
        <v>31</v>
      </c>
      <c r="M265" s="122">
        <v>45428</v>
      </c>
      <c r="N265">
        <v>0</v>
      </c>
      <c r="O265">
        <v>137</v>
      </c>
    </row>
    <row r="266" spans="1:15" x14ac:dyDescent="0.35">
      <c r="A266" t="s">
        <v>34</v>
      </c>
      <c r="D266" t="s">
        <v>41</v>
      </c>
      <c r="F266">
        <v>3</v>
      </c>
      <c r="G266">
        <v>1</v>
      </c>
      <c r="H266">
        <v>6</v>
      </c>
      <c r="K266">
        <v>41</v>
      </c>
      <c r="L266" s="6"/>
      <c r="M266" s="122">
        <v>45435</v>
      </c>
      <c r="N266" s="6">
        <v>5</v>
      </c>
      <c r="O266">
        <v>144</v>
      </c>
    </row>
    <row r="267" spans="1:15" x14ac:dyDescent="0.35">
      <c r="A267" t="s">
        <v>34</v>
      </c>
      <c r="D267" t="s">
        <v>41</v>
      </c>
      <c r="F267">
        <v>1</v>
      </c>
      <c r="G267">
        <v>4</v>
      </c>
      <c r="H267">
        <v>2</v>
      </c>
      <c r="K267">
        <v>12</v>
      </c>
      <c r="L267" s="6"/>
      <c r="M267" s="122">
        <v>45435</v>
      </c>
      <c r="N267">
        <v>0</v>
      </c>
      <c r="O267">
        <v>144</v>
      </c>
    </row>
    <row r="268" spans="1:15" x14ac:dyDescent="0.35">
      <c r="A268" t="s">
        <v>34</v>
      </c>
      <c r="D268" t="s">
        <v>41</v>
      </c>
      <c r="F268">
        <v>4</v>
      </c>
      <c r="G268">
        <v>5</v>
      </c>
      <c r="H268">
        <v>8</v>
      </c>
      <c r="K268">
        <v>61</v>
      </c>
      <c r="M268" s="122">
        <v>45435</v>
      </c>
      <c r="N268">
        <v>0</v>
      </c>
      <c r="O268">
        <v>144</v>
      </c>
    </row>
    <row r="269" spans="1:15" x14ac:dyDescent="0.35">
      <c r="A269" t="s">
        <v>34</v>
      </c>
      <c r="D269" t="s">
        <v>41</v>
      </c>
      <c r="F269">
        <v>2</v>
      </c>
      <c r="G269">
        <v>7</v>
      </c>
      <c r="H269">
        <v>4</v>
      </c>
      <c r="K269">
        <v>31</v>
      </c>
      <c r="M269" s="122">
        <v>45435</v>
      </c>
      <c r="N269">
        <v>2</v>
      </c>
      <c r="O269">
        <v>144</v>
      </c>
    </row>
    <row r="270" spans="1:15" x14ac:dyDescent="0.35">
      <c r="A270" t="s">
        <v>34</v>
      </c>
      <c r="D270" t="s">
        <v>41</v>
      </c>
      <c r="F270">
        <v>3</v>
      </c>
      <c r="G270">
        <v>1</v>
      </c>
      <c r="H270">
        <v>6</v>
      </c>
      <c r="K270">
        <v>41</v>
      </c>
      <c r="L270" s="6"/>
      <c r="M270" s="122">
        <v>45440</v>
      </c>
      <c r="N270" s="6">
        <v>26</v>
      </c>
      <c r="O270">
        <v>149</v>
      </c>
    </row>
    <row r="271" spans="1:15" x14ac:dyDescent="0.35">
      <c r="A271" t="s">
        <v>34</v>
      </c>
      <c r="D271" t="s">
        <v>41</v>
      </c>
      <c r="F271">
        <v>1</v>
      </c>
      <c r="G271">
        <v>4</v>
      </c>
      <c r="H271">
        <v>2</v>
      </c>
      <c r="K271">
        <v>12</v>
      </c>
      <c r="L271" s="6"/>
      <c r="M271" s="122">
        <v>45440</v>
      </c>
      <c r="N271">
        <v>30</v>
      </c>
      <c r="O271">
        <v>149</v>
      </c>
    </row>
    <row r="272" spans="1:15" x14ac:dyDescent="0.35">
      <c r="A272" t="s">
        <v>34</v>
      </c>
      <c r="D272" t="s">
        <v>41</v>
      </c>
      <c r="F272">
        <v>4</v>
      </c>
      <c r="G272">
        <v>5</v>
      </c>
      <c r="H272">
        <v>8</v>
      </c>
      <c r="K272">
        <v>61</v>
      </c>
      <c r="M272" s="122">
        <v>45440</v>
      </c>
      <c r="N272">
        <v>15</v>
      </c>
      <c r="O272">
        <v>149</v>
      </c>
    </row>
    <row r="273" spans="1:15" x14ac:dyDescent="0.35">
      <c r="A273" t="s">
        <v>34</v>
      </c>
      <c r="D273" t="s">
        <v>41</v>
      </c>
      <c r="F273">
        <v>2</v>
      </c>
      <c r="G273">
        <v>7</v>
      </c>
      <c r="H273">
        <v>4</v>
      </c>
      <c r="K273">
        <v>31</v>
      </c>
      <c r="M273" s="122">
        <v>45440</v>
      </c>
      <c r="N273">
        <v>29</v>
      </c>
      <c r="O273">
        <v>149</v>
      </c>
    </row>
    <row r="274" spans="1:15" x14ac:dyDescent="0.35">
      <c r="A274" t="s">
        <v>34</v>
      </c>
      <c r="D274" t="s">
        <v>41</v>
      </c>
      <c r="F274">
        <v>3</v>
      </c>
      <c r="G274">
        <v>1</v>
      </c>
      <c r="H274">
        <v>6</v>
      </c>
      <c r="K274">
        <v>41</v>
      </c>
      <c r="L274" s="6"/>
      <c r="M274" s="122">
        <v>45442</v>
      </c>
      <c r="N274" s="6">
        <v>28</v>
      </c>
      <c r="O274">
        <v>151</v>
      </c>
    </row>
    <row r="275" spans="1:15" x14ac:dyDescent="0.35">
      <c r="A275" t="s">
        <v>34</v>
      </c>
      <c r="D275" t="s">
        <v>41</v>
      </c>
      <c r="F275">
        <v>1</v>
      </c>
      <c r="G275">
        <v>4</v>
      </c>
      <c r="H275">
        <v>2</v>
      </c>
      <c r="K275">
        <v>12</v>
      </c>
      <c r="L275" s="6"/>
      <c r="M275" s="122">
        <v>45442</v>
      </c>
      <c r="N275">
        <v>33</v>
      </c>
      <c r="O275">
        <v>151</v>
      </c>
    </row>
    <row r="276" spans="1:15" x14ac:dyDescent="0.35">
      <c r="A276" t="s">
        <v>34</v>
      </c>
      <c r="D276" t="s">
        <v>41</v>
      </c>
      <c r="F276">
        <v>4</v>
      </c>
      <c r="G276">
        <v>5</v>
      </c>
      <c r="H276">
        <v>8</v>
      </c>
      <c r="K276">
        <v>61</v>
      </c>
      <c r="M276" s="122">
        <v>45442</v>
      </c>
      <c r="N276">
        <v>24</v>
      </c>
      <c r="O276">
        <v>151</v>
      </c>
    </row>
    <row r="277" spans="1:15" x14ac:dyDescent="0.35">
      <c r="A277" t="s">
        <v>34</v>
      </c>
      <c r="D277" t="s">
        <v>41</v>
      </c>
      <c r="F277">
        <v>2</v>
      </c>
      <c r="G277">
        <v>7</v>
      </c>
      <c r="H277">
        <v>4</v>
      </c>
      <c r="K277">
        <v>31</v>
      </c>
      <c r="M277" s="122">
        <v>45442</v>
      </c>
      <c r="N277">
        <v>34</v>
      </c>
      <c r="O277">
        <v>151</v>
      </c>
    </row>
    <row r="278" spans="1:15" x14ac:dyDescent="0.35">
      <c r="A278" t="s">
        <v>34</v>
      </c>
      <c r="D278" t="s">
        <v>41</v>
      </c>
      <c r="F278">
        <v>3</v>
      </c>
      <c r="G278">
        <v>1</v>
      </c>
      <c r="H278">
        <v>6</v>
      </c>
      <c r="K278">
        <v>41</v>
      </c>
      <c r="L278" s="6"/>
      <c r="M278" s="122">
        <v>45446</v>
      </c>
      <c r="N278" s="6">
        <v>37</v>
      </c>
      <c r="O278">
        <v>155</v>
      </c>
    </row>
    <row r="279" spans="1:15" x14ac:dyDescent="0.35">
      <c r="A279" t="s">
        <v>34</v>
      </c>
      <c r="D279" t="s">
        <v>41</v>
      </c>
      <c r="F279">
        <v>1</v>
      </c>
      <c r="G279">
        <v>4</v>
      </c>
      <c r="H279">
        <v>2</v>
      </c>
      <c r="K279">
        <v>12</v>
      </c>
      <c r="L279" s="6"/>
      <c r="M279" s="122">
        <v>45446</v>
      </c>
      <c r="N279">
        <v>33</v>
      </c>
      <c r="O279">
        <v>155</v>
      </c>
    </row>
    <row r="280" spans="1:15" x14ac:dyDescent="0.35">
      <c r="A280" t="s">
        <v>34</v>
      </c>
      <c r="D280" t="s">
        <v>41</v>
      </c>
      <c r="F280">
        <v>4</v>
      </c>
      <c r="G280">
        <v>5</v>
      </c>
      <c r="H280">
        <v>8</v>
      </c>
      <c r="K280">
        <v>61</v>
      </c>
      <c r="M280" s="122">
        <v>45446</v>
      </c>
      <c r="N280">
        <v>29</v>
      </c>
      <c r="O280">
        <v>155</v>
      </c>
    </row>
    <row r="281" spans="1:15" x14ac:dyDescent="0.35">
      <c r="A281" t="s">
        <v>34</v>
      </c>
      <c r="D281" t="s">
        <v>41</v>
      </c>
      <c r="F281">
        <v>2</v>
      </c>
      <c r="G281">
        <v>7</v>
      </c>
      <c r="H281">
        <v>4</v>
      </c>
      <c r="K281">
        <v>31</v>
      </c>
      <c r="M281" s="122">
        <v>45446</v>
      </c>
      <c r="N281">
        <v>40</v>
      </c>
      <c r="O281">
        <v>155</v>
      </c>
    </row>
    <row r="282" spans="1:15" x14ac:dyDescent="0.35">
      <c r="A282" t="s">
        <v>34</v>
      </c>
      <c r="D282" t="s">
        <v>41</v>
      </c>
      <c r="F282">
        <v>3</v>
      </c>
      <c r="G282">
        <v>1</v>
      </c>
      <c r="H282">
        <v>6</v>
      </c>
      <c r="K282">
        <v>41</v>
      </c>
      <c r="L282" s="6"/>
      <c r="M282" s="122">
        <v>45450</v>
      </c>
      <c r="N282" s="6">
        <v>37</v>
      </c>
      <c r="O282">
        <v>159</v>
      </c>
    </row>
    <row r="283" spans="1:15" x14ac:dyDescent="0.35">
      <c r="A283" t="s">
        <v>34</v>
      </c>
      <c r="D283" t="s">
        <v>41</v>
      </c>
      <c r="F283">
        <v>1</v>
      </c>
      <c r="G283">
        <v>4</v>
      </c>
      <c r="H283">
        <v>2</v>
      </c>
      <c r="K283">
        <v>12</v>
      </c>
      <c r="L283" s="6"/>
      <c r="M283" s="122">
        <v>45450</v>
      </c>
      <c r="N283">
        <v>33</v>
      </c>
      <c r="O283">
        <v>159</v>
      </c>
    </row>
    <row r="284" spans="1:15" x14ac:dyDescent="0.35">
      <c r="A284" t="s">
        <v>34</v>
      </c>
      <c r="D284" t="s">
        <v>41</v>
      </c>
      <c r="F284">
        <v>4</v>
      </c>
      <c r="G284">
        <v>5</v>
      </c>
      <c r="H284">
        <v>8</v>
      </c>
      <c r="K284">
        <v>61</v>
      </c>
      <c r="M284" s="122">
        <v>45450</v>
      </c>
      <c r="N284">
        <v>29</v>
      </c>
      <c r="O284">
        <v>159</v>
      </c>
    </row>
    <row r="285" spans="1:15" x14ac:dyDescent="0.35">
      <c r="A285" t="s">
        <v>34</v>
      </c>
      <c r="D285" t="s">
        <v>41</v>
      </c>
      <c r="F285">
        <v>2</v>
      </c>
      <c r="G285">
        <v>7</v>
      </c>
      <c r="H285">
        <v>4</v>
      </c>
      <c r="K285">
        <v>31</v>
      </c>
      <c r="M285" s="122">
        <v>45450</v>
      </c>
      <c r="N285">
        <v>42</v>
      </c>
      <c r="O285">
        <v>159</v>
      </c>
    </row>
    <row r="286" spans="1:15" x14ac:dyDescent="0.35">
      <c r="A286" t="s">
        <v>34</v>
      </c>
      <c r="D286" t="s">
        <v>41</v>
      </c>
      <c r="F286">
        <v>3</v>
      </c>
      <c r="G286">
        <v>1</v>
      </c>
      <c r="H286">
        <v>6</v>
      </c>
      <c r="K286">
        <v>41</v>
      </c>
      <c r="L286" s="6"/>
      <c r="M286" s="122">
        <v>45462</v>
      </c>
      <c r="N286" s="6"/>
      <c r="O286">
        <v>171</v>
      </c>
    </row>
    <row r="287" spans="1:15" x14ac:dyDescent="0.35">
      <c r="A287" t="s">
        <v>34</v>
      </c>
      <c r="D287" t="s">
        <v>41</v>
      </c>
      <c r="F287">
        <v>1</v>
      </c>
      <c r="G287">
        <v>4</v>
      </c>
      <c r="H287">
        <v>2</v>
      </c>
      <c r="K287">
        <v>12</v>
      </c>
      <c r="L287" s="6"/>
      <c r="M287" s="122">
        <v>45462</v>
      </c>
      <c r="O287">
        <v>171</v>
      </c>
    </row>
    <row r="288" spans="1:15" x14ac:dyDescent="0.35">
      <c r="A288" t="s">
        <v>34</v>
      </c>
      <c r="D288" t="s">
        <v>41</v>
      </c>
      <c r="F288">
        <v>4</v>
      </c>
      <c r="G288">
        <v>5</v>
      </c>
      <c r="H288">
        <v>8</v>
      </c>
      <c r="K288">
        <v>61</v>
      </c>
      <c r="M288" s="122">
        <v>45462</v>
      </c>
      <c r="O288">
        <v>171</v>
      </c>
    </row>
    <row r="289" spans="1:15" x14ac:dyDescent="0.35">
      <c r="A289" t="s">
        <v>34</v>
      </c>
      <c r="D289" t="s">
        <v>41</v>
      </c>
      <c r="F289">
        <v>2</v>
      </c>
      <c r="G289">
        <v>7</v>
      </c>
      <c r="H289">
        <v>4</v>
      </c>
      <c r="K289">
        <v>31</v>
      </c>
      <c r="M289" s="122">
        <v>45462</v>
      </c>
      <c r="N289">
        <v>42</v>
      </c>
      <c r="O289">
        <v>171</v>
      </c>
    </row>
    <row r="290" spans="1:15" x14ac:dyDescent="0.35">
      <c r="A290" t="s">
        <v>34</v>
      </c>
      <c r="D290" t="s">
        <v>36</v>
      </c>
      <c r="F290">
        <v>3</v>
      </c>
      <c r="G290">
        <v>2</v>
      </c>
      <c r="H290">
        <v>6</v>
      </c>
      <c r="K290">
        <v>42</v>
      </c>
      <c r="L290" s="6"/>
      <c r="M290" s="122">
        <v>45411</v>
      </c>
      <c r="O290">
        <v>120</v>
      </c>
    </row>
    <row r="291" spans="1:15" x14ac:dyDescent="0.35">
      <c r="A291" t="s">
        <v>34</v>
      </c>
      <c r="D291" t="s">
        <v>36</v>
      </c>
      <c r="F291">
        <v>4</v>
      </c>
      <c r="G291">
        <v>3</v>
      </c>
      <c r="H291">
        <v>8</v>
      </c>
      <c r="K291">
        <v>59</v>
      </c>
      <c r="L291" s="6"/>
      <c r="M291" s="122">
        <v>45411</v>
      </c>
      <c r="N291" s="6"/>
      <c r="O291">
        <v>120</v>
      </c>
    </row>
    <row r="292" spans="1:15" x14ac:dyDescent="0.35">
      <c r="A292" t="s">
        <v>34</v>
      </c>
      <c r="D292" t="s">
        <v>36</v>
      </c>
      <c r="F292">
        <v>2</v>
      </c>
      <c r="G292">
        <v>6</v>
      </c>
      <c r="H292">
        <v>4</v>
      </c>
      <c r="K292">
        <v>30</v>
      </c>
      <c r="M292" s="122">
        <v>45411</v>
      </c>
      <c r="O292">
        <v>120</v>
      </c>
    </row>
    <row r="293" spans="1:15" x14ac:dyDescent="0.35">
      <c r="A293" t="s">
        <v>34</v>
      </c>
      <c r="D293" t="s">
        <v>36</v>
      </c>
      <c r="F293">
        <v>1</v>
      </c>
      <c r="G293">
        <v>7</v>
      </c>
      <c r="H293">
        <v>2</v>
      </c>
      <c r="K293">
        <v>15</v>
      </c>
      <c r="M293" s="122">
        <v>45411</v>
      </c>
      <c r="O293">
        <v>120</v>
      </c>
    </row>
    <row r="294" spans="1:15" x14ac:dyDescent="0.35">
      <c r="A294" t="s">
        <v>34</v>
      </c>
      <c r="D294" t="s">
        <v>36</v>
      </c>
      <c r="F294">
        <v>3</v>
      </c>
      <c r="G294">
        <v>2</v>
      </c>
      <c r="H294">
        <v>6</v>
      </c>
      <c r="K294">
        <v>42</v>
      </c>
      <c r="L294" s="6"/>
      <c r="M294" s="122">
        <v>45414</v>
      </c>
      <c r="O294">
        <v>123</v>
      </c>
    </row>
    <row r="295" spans="1:15" x14ac:dyDescent="0.35">
      <c r="A295" t="s">
        <v>34</v>
      </c>
      <c r="D295" t="s">
        <v>36</v>
      </c>
      <c r="F295">
        <v>4</v>
      </c>
      <c r="G295">
        <v>3</v>
      </c>
      <c r="H295">
        <v>8</v>
      </c>
      <c r="K295">
        <v>59</v>
      </c>
      <c r="L295" s="6"/>
      <c r="M295" s="122">
        <v>45414</v>
      </c>
      <c r="N295" s="6"/>
      <c r="O295">
        <v>123</v>
      </c>
    </row>
    <row r="296" spans="1:15" x14ac:dyDescent="0.35">
      <c r="A296" t="s">
        <v>34</v>
      </c>
      <c r="D296" t="s">
        <v>36</v>
      </c>
      <c r="F296">
        <v>2</v>
      </c>
      <c r="G296">
        <v>6</v>
      </c>
      <c r="H296">
        <v>4</v>
      </c>
      <c r="K296">
        <v>30</v>
      </c>
      <c r="M296" s="122">
        <v>45414</v>
      </c>
      <c r="O296">
        <v>123</v>
      </c>
    </row>
    <row r="297" spans="1:15" x14ac:dyDescent="0.35">
      <c r="A297" t="s">
        <v>34</v>
      </c>
      <c r="D297" t="s">
        <v>36</v>
      </c>
      <c r="F297">
        <v>1</v>
      </c>
      <c r="G297">
        <v>7</v>
      </c>
      <c r="H297">
        <v>2</v>
      </c>
      <c r="K297">
        <v>15</v>
      </c>
      <c r="M297" s="122">
        <v>45414</v>
      </c>
      <c r="O297">
        <v>123</v>
      </c>
    </row>
    <row r="298" spans="1:15" x14ac:dyDescent="0.35">
      <c r="A298" t="s">
        <v>34</v>
      </c>
      <c r="D298" t="s">
        <v>36</v>
      </c>
      <c r="F298">
        <v>3</v>
      </c>
      <c r="G298">
        <v>2</v>
      </c>
      <c r="H298">
        <v>6</v>
      </c>
      <c r="K298">
        <v>42</v>
      </c>
      <c r="L298" s="6"/>
      <c r="M298" s="122">
        <v>45418</v>
      </c>
      <c r="O298">
        <v>127</v>
      </c>
    </row>
    <row r="299" spans="1:15" x14ac:dyDescent="0.35">
      <c r="A299" t="s">
        <v>34</v>
      </c>
      <c r="D299" t="s">
        <v>36</v>
      </c>
      <c r="F299">
        <v>4</v>
      </c>
      <c r="G299">
        <v>3</v>
      </c>
      <c r="H299">
        <v>8</v>
      </c>
      <c r="K299">
        <v>59</v>
      </c>
      <c r="L299" s="6"/>
      <c r="M299" s="122">
        <v>45418</v>
      </c>
      <c r="N299" s="6"/>
      <c r="O299">
        <v>127</v>
      </c>
    </row>
    <row r="300" spans="1:15" x14ac:dyDescent="0.35">
      <c r="A300" t="s">
        <v>34</v>
      </c>
      <c r="D300" t="s">
        <v>36</v>
      </c>
      <c r="F300">
        <v>2</v>
      </c>
      <c r="G300">
        <v>6</v>
      </c>
      <c r="H300">
        <v>4</v>
      </c>
      <c r="K300">
        <v>30</v>
      </c>
      <c r="M300" s="122">
        <v>45418</v>
      </c>
      <c r="O300">
        <v>127</v>
      </c>
    </row>
    <row r="301" spans="1:15" x14ac:dyDescent="0.35">
      <c r="A301" t="s">
        <v>34</v>
      </c>
      <c r="D301" t="s">
        <v>36</v>
      </c>
      <c r="F301">
        <v>1</v>
      </c>
      <c r="G301">
        <v>7</v>
      </c>
      <c r="H301">
        <v>2</v>
      </c>
      <c r="K301">
        <v>15</v>
      </c>
      <c r="M301" s="122">
        <v>45418</v>
      </c>
      <c r="O301">
        <v>127</v>
      </c>
    </row>
    <row r="302" spans="1:15" x14ac:dyDescent="0.35">
      <c r="A302" t="s">
        <v>34</v>
      </c>
      <c r="D302" t="s">
        <v>36</v>
      </c>
      <c r="F302">
        <v>3</v>
      </c>
      <c r="G302">
        <v>2</v>
      </c>
      <c r="H302">
        <v>6</v>
      </c>
      <c r="K302">
        <v>42</v>
      </c>
      <c r="L302" s="6"/>
      <c r="M302" s="122">
        <v>45421</v>
      </c>
      <c r="O302">
        <v>130</v>
      </c>
    </row>
    <row r="303" spans="1:15" x14ac:dyDescent="0.35">
      <c r="A303" t="s">
        <v>34</v>
      </c>
      <c r="D303" t="s">
        <v>36</v>
      </c>
      <c r="F303">
        <v>4</v>
      </c>
      <c r="G303">
        <v>3</v>
      </c>
      <c r="H303">
        <v>8</v>
      </c>
      <c r="K303">
        <v>59</v>
      </c>
      <c r="L303" s="6"/>
      <c r="M303" s="122">
        <v>45421</v>
      </c>
      <c r="N303" s="6"/>
      <c r="O303">
        <v>130</v>
      </c>
    </row>
    <row r="304" spans="1:15" x14ac:dyDescent="0.35">
      <c r="A304" t="s">
        <v>34</v>
      </c>
      <c r="D304" t="s">
        <v>36</v>
      </c>
      <c r="F304">
        <v>2</v>
      </c>
      <c r="G304">
        <v>6</v>
      </c>
      <c r="H304">
        <v>4</v>
      </c>
      <c r="K304">
        <v>30</v>
      </c>
      <c r="M304" s="122">
        <v>45421</v>
      </c>
      <c r="O304">
        <v>130</v>
      </c>
    </row>
    <row r="305" spans="1:15" x14ac:dyDescent="0.35">
      <c r="A305" t="s">
        <v>34</v>
      </c>
      <c r="D305" t="s">
        <v>36</v>
      </c>
      <c r="F305">
        <v>1</v>
      </c>
      <c r="G305">
        <v>7</v>
      </c>
      <c r="H305">
        <v>2</v>
      </c>
      <c r="K305">
        <v>15</v>
      </c>
      <c r="M305" s="122">
        <v>45421</v>
      </c>
      <c r="O305">
        <v>130</v>
      </c>
    </row>
    <row r="306" spans="1:15" x14ac:dyDescent="0.35">
      <c r="A306" t="s">
        <v>34</v>
      </c>
      <c r="D306" t="s">
        <v>36</v>
      </c>
      <c r="F306">
        <v>3</v>
      </c>
      <c r="G306">
        <v>2</v>
      </c>
      <c r="H306">
        <v>6</v>
      </c>
      <c r="K306">
        <v>42</v>
      </c>
      <c r="L306" s="6"/>
      <c r="M306" s="122">
        <v>45425</v>
      </c>
      <c r="O306">
        <v>134</v>
      </c>
    </row>
    <row r="307" spans="1:15" x14ac:dyDescent="0.35">
      <c r="A307" t="s">
        <v>34</v>
      </c>
      <c r="D307" t="s">
        <v>36</v>
      </c>
      <c r="F307">
        <v>4</v>
      </c>
      <c r="G307">
        <v>3</v>
      </c>
      <c r="H307">
        <v>8</v>
      </c>
      <c r="K307">
        <v>59</v>
      </c>
      <c r="L307" s="6"/>
      <c r="M307" s="122">
        <v>45425</v>
      </c>
      <c r="N307" s="6"/>
      <c r="O307">
        <v>134</v>
      </c>
    </row>
    <row r="308" spans="1:15" x14ac:dyDescent="0.35">
      <c r="A308" t="s">
        <v>34</v>
      </c>
      <c r="D308" t="s">
        <v>36</v>
      </c>
      <c r="F308">
        <v>2</v>
      </c>
      <c r="G308">
        <v>6</v>
      </c>
      <c r="H308">
        <v>4</v>
      </c>
      <c r="K308">
        <v>30</v>
      </c>
      <c r="M308" s="122">
        <v>45425</v>
      </c>
      <c r="O308">
        <v>134</v>
      </c>
    </row>
    <row r="309" spans="1:15" x14ac:dyDescent="0.35">
      <c r="A309" t="s">
        <v>34</v>
      </c>
      <c r="D309" t="s">
        <v>36</v>
      </c>
      <c r="F309">
        <v>1</v>
      </c>
      <c r="G309">
        <v>7</v>
      </c>
      <c r="H309">
        <v>2</v>
      </c>
      <c r="K309">
        <v>15</v>
      </c>
      <c r="M309" s="122">
        <v>45425</v>
      </c>
      <c r="O309">
        <v>134</v>
      </c>
    </row>
    <row r="310" spans="1:15" x14ac:dyDescent="0.35">
      <c r="A310" t="s">
        <v>34</v>
      </c>
      <c r="D310" t="s">
        <v>36</v>
      </c>
      <c r="F310">
        <v>3</v>
      </c>
      <c r="G310">
        <v>2</v>
      </c>
      <c r="H310">
        <v>6</v>
      </c>
      <c r="K310">
        <v>42</v>
      </c>
      <c r="L310" s="6"/>
      <c r="M310" s="122">
        <v>45428</v>
      </c>
      <c r="N310">
        <v>0</v>
      </c>
      <c r="O310">
        <v>137</v>
      </c>
    </row>
    <row r="311" spans="1:15" x14ac:dyDescent="0.35">
      <c r="A311" t="s">
        <v>34</v>
      </c>
      <c r="D311" t="s">
        <v>36</v>
      </c>
      <c r="F311">
        <v>4</v>
      </c>
      <c r="G311">
        <v>3</v>
      </c>
      <c r="H311">
        <v>8</v>
      </c>
      <c r="K311">
        <v>59</v>
      </c>
      <c r="L311" s="6"/>
      <c r="M311" s="122">
        <v>45428</v>
      </c>
      <c r="N311" s="6">
        <v>0</v>
      </c>
      <c r="O311">
        <v>137</v>
      </c>
    </row>
    <row r="312" spans="1:15" x14ac:dyDescent="0.35">
      <c r="A312" t="s">
        <v>34</v>
      </c>
      <c r="D312" t="s">
        <v>36</v>
      </c>
      <c r="F312">
        <v>2</v>
      </c>
      <c r="G312">
        <v>6</v>
      </c>
      <c r="H312">
        <v>4</v>
      </c>
      <c r="K312">
        <v>30</v>
      </c>
      <c r="M312" s="122">
        <v>45428</v>
      </c>
      <c r="N312">
        <v>0</v>
      </c>
      <c r="O312">
        <v>137</v>
      </c>
    </row>
    <row r="313" spans="1:15" x14ac:dyDescent="0.35">
      <c r="A313" t="s">
        <v>34</v>
      </c>
      <c r="D313" t="s">
        <v>36</v>
      </c>
      <c r="F313">
        <v>1</v>
      </c>
      <c r="G313">
        <v>7</v>
      </c>
      <c r="H313">
        <v>2</v>
      </c>
      <c r="K313">
        <v>15</v>
      </c>
      <c r="M313" s="122">
        <v>45428</v>
      </c>
      <c r="N313">
        <v>0</v>
      </c>
      <c r="O313">
        <v>137</v>
      </c>
    </row>
    <row r="314" spans="1:15" x14ac:dyDescent="0.35">
      <c r="A314" t="s">
        <v>34</v>
      </c>
      <c r="B314" s="71"/>
      <c r="C314" s="72"/>
      <c r="D314" t="s">
        <v>36</v>
      </c>
      <c r="E314" s="71"/>
      <c r="F314">
        <v>3</v>
      </c>
      <c r="G314">
        <v>2</v>
      </c>
      <c r="H314">
        <v>6</v>
      </c>
      <c r="I314" s="73"/>
      <c r="J314" s="73"/>
      <c r="K314">
        <v>42</v>
      </c>
      <c r="L314" s="6"/>
      <c r="M314" s="122">
        <v>45435</v>
      </c>
      <c r="N314">
        <v>2</v>
      </c>
      <c r="O314">
        <v>144</v>
      </c>
    </row>
    <row r="315" spans="1:15" x14ac:dyDescent="0.35">
      <c r="A315" t="s">
        <v>34</v>
      </c>
      <c r="D315" t="s">
        <v>36</v>
      </c>
      <c r="F315">
        <v>4</v>
      </c>
      <c r="G315">
        <v>3</v>
      </c>
      <c r="H315">
        <v>8</v>
      </c>
      <c r="K315">
        <v>59</v>
      </c>
      <c r="L315" s="6"/>
      <c r="M315" s="122">
        <v>45435</v>
      </c>
      <c r="N315" s="6">
        <v>0</v>
      </c>
      <c r="O315">
        <v>144</v>
      </c>
    </row>
    <row r="316" spans="1:15" x14ac:dyDescent="0.35">
      <c r="A316" t="s">
        <v>34</v>
      </c>
      <c r="D316" t="s">
        <v>36</v>
      </c>
      <c r="F316">
        <v>2</v>
      </c>
      <c r="G316">
        <v>6</v>
      </c>
      <c r="H316">
        <v>4</v>
      </c>
      <c r="K316">
        <v>30</v>
      </c>
      <c r="M316" s="122">
        <v>45435</v>
      </c>
      <c r="N316">
        <v>4</v>
      </c>
      <c r="O316">
        <v>144</v>
      </c>
    </row>
    <row r="317" spans="1:15" x14ac:dyDescent="0.35">
      <c r="A317" t="s">
        <v>34</v>
      </c>
      <c r="D317" t="s">
        <v>36</v>
      </c>
      <c r="F317">
        <v>1</v>
      </c>
      <c r="G317">
        <v>7</v>
      </c>
      <c r="H317">
        <v>2</v>
      </c>
      <c r="K317">
        <v>15</v>
      </c>
      <c r="M317" s="122">
        <v>45435</v>
      </c>
      <c r="N317">
        <v>4</v>
      </c>
      <c r="O317">
        <v>144</v>
      </c>
    </row>
    <row r="318" spans="1:15" x14ac:dyDescent="0.35">
      <c r="A318" t="s">
        <v>34</v>
      </c>
      <c r="D318" t="s">
        <v>36</v>
      </c>
      <c r="F318">
        <v>3</v>
      </c>
      <c r="G318">
        <v>2</v>
      </c>
      <c r="H318">
        <v>6</v>
      </c>
      <c r="K318">
        <v>42</v>
      </c>
      <c r="L318" s="6"/>
      <c r="M318" s="122">
        <v>45440</v>
      </c>
      <c r="N318">
        <v>15</v>
      </c>
      <c r="O318">
        <v>149</v>
      </c>
    </row>
    <row r="319" spans="1:15" x14ac:dyDescent="0.35">
      <c r="A319" t="s">
        <v>34</v>
      </c>
      <c r="D319" t="s">
        <v>36</v>
      </c>
      <c r="F319">
        <v>4</v>
      </c>
      <c r="G319">
        <v>3</v>
      </c>
      <c r="H319">
        <v>8</v>
      </c>
      <c r="K319">
        <v>59</v>
      </c>
      <c r="L319" s="6"/>
      <c r="M319" s="122">
        <v>45440</v>
      </c>
      <c r="N319" s="6">
        <v>15</v>
      </c>
      <c r="O319">
        <v>149</v>
      </c>
    </row>
    <row r="320" spans="1:15" x14ac:dyDescent="0.35">
      <c r="A320" t="s">
        <v>34</v>
      </c>
      <c r="D320" t="s">
        <v>36</v>
      </c>
      <c r="F320">
        <v>2</v>
      </c>
      <c r="G320">
        <v>6</v>
      </c>
      <c r="H320">
        <v>4</v>
      </c>
      <c r="K320">
        <v>30</v>
      </c>
      <c r="M320" s="122">
        <v>45440</v>
      </c>
      <c r="N320">
        <v>27</v>
      </c>
      <c r="O320">
        <v>149</v>
      </c>
    </row>
    <row r="321" spans="1:15" x14ac:dyDescent="0.35">
      <c r="A321" t="s">
        <v>34</v>
      </c>
      <c r="D321" t="s">
        <v>36</v>
      </c>
      <c r="F321">
        <v>1</v>
      </c>
      <c r="G321">
        <v>7</v>
      </c>
      <c r="H321">
        <v>2</v>
      </c>
      <c r="K321">
        <v>15</v>
      </c>
      <c r="M321" s="122">
        <v>45440</v>
      </c>
      <c r="N321">
        <v>19</v>
      </c>
      <c r="O321">
        <v>149</v>
      </c>
    </row>
    <row r="322" spans="1:15" x14ac:dyDescent="0.35">
      <c r="A322" t="s">
        <v>34</v>
      </c>
      <c r="D322" t="s">
        <v>36</v>
      </c>
      <c r="F322">
        <v>3</v>
      </c>
      <c r="G322">
        <v>2</v>
      </c>
      <c r="H322">
        <v>6</v>
      </c>
      <c r="K322">
        <v>42</v>
      </c>
      <c r="L322" s="6"/>
      <c r="M322" s="122">
        <v>45442</v>
      </c>
      <c r="N322">
        <v>19</v>
      </c>
      <c r="O322">
        <v>151</v>
      </c>
    </row>
    <row r="323" spans="1:15" x14ac:dyDescent="0.35">
      <c r="A323" t="s">
        <v>34</v>
      </c>
      <c r="D323" t="s">
        <v>36</v>
      </c>
      <c r="F323">
        <v>4</v>
      </c>
      <c r="G323">
        <v>3</v>
      </c>
      <c r="H323">
        <v>8</v>
      </c>
      <c r="K323">
        <v>59</v>
      </c>
      <c r="L323" s="6"/>
      <c r="M323" s="122">
        <v>45442</v>
      </c>
      <c r="N323" s="6">
        <v>20</v>
      </c>
      <c r="O323">
        <v>151</v>
      </c>
    </row>
    <row r="324" spans="1:15" x14ac:dyDescent="0.35">
      <c r="A324" t="s">
        <v>34</v>
      </c>
      <c r="D324" t="s">
        <v>36</v>
      </c>
      <c r="F324">
        <v>2</v>
      </c>
      <c r="G324">
        <v>6</v>
      </c>
      <c r="H324">
        <v>4</v>
      </c>
      <c r="K324">
        <v>30</v>
      </c>
      <c r="M324" s="122">
        <v>45442</v>
      </c>
      <c r="N324">
        <v>28</v>
      </c>
      <c r="O324">
        <v>151</v>
      </c>
    </row>
    <row r="325" spans="1:15" x14ac:dyDescent="0.35">
      <c r="A325" t="s">
        <v>34</v>
      </c>
      <c r="D325" t="s">
        <v>36</v>
      </c>
      <c r="F325">
        <v>1</v>
      </c>
      <c r="G325">
        <v>7</v>
      </c>
      <c r="H325">
        <v>2</v>
      </c>
      <c r="K325">
        <v>15</v>
      </c>
      <c r="M325" s="122">
        <v>45442</v>
      </c>
      <c r="N325">
        <v>21</v>
      </c>
      <c r="O325">
        <v>151</v>
      </c>
    </row>
    <row r="326" spans="1:15" x14ac:dyDescent="0.35">
      <c r="A326" t="s">
        <v>34</v>
      </c>
      <c r="D326" t="s">
        <v>36</v>
      </c>
      <c r="F326">
        <v>3</v>
      </c>
      <c r="G326">
        <v>2</v>
      </c>
      <c r="H326">
        <v>6</v>
      </c>
      <c r="K326">
        <v>42</v>
      </c>
      <c r="L326" s="6"/>
      <c r="M326" s="122">
        <v>45446</v>
      </c>
      <c r="N326">
        <v>24</v>
      </c>
      <c r="O326">
        <v>155</v>
      </c>
    </row>
    <row r="327" spans="1:15" x14ac:dyDescent="0.35">
      <c r="A327" t="s">
        <v>34</v>
      </c>
      <c r="D327" t="s">
        <v>36</v>
      </c>
      <c r="F327">
        <v>4</v>
      </c>
      <c r="G327">
        <v>3</v>
      </c>
      <c r="H327">
        <v>8</v>
      </c>
      <c r="K327">
        <v>59</v>
      </c>
      <c r="L327" s="6"/>
      <c r="M327" s="122">
        <v>45446</v>
      </c>
      <c r="N327" s="6">
        <v>28</v>
      </c>
      <c r="O327">
        <v>155</v>
      </c>
    </row>
    <row r="328" spans="1:15" x14ac:dyDescent="0.35">
      <c r="A328" t="s">
        <v>34</v>
      </c>
      <c r="D328" t="s">
        <v>36</v>
      </c>
      <c r="F328">
        <v>2</v>
      </c>
      <c r="G328">
        <v>6</v>
      </c>
      <c r="H328">
        <v>4</v>
      </c>
      <c r="K328">
        <v>30</v>
      </c>
      <c r="M328" s="122">
        <v>45446</v>
      </c>
      <c r="N328">
        <v>29</v>
      </c>
      <c r="O328">
        <v>155</v>
      </c>
    </row>
    <row r="329" spans="1:15" x14ac:dyDescent="0.35">
      <c r="A329" t="s">
        <v>34</v>
      </c>
      <c r="D329" t="s">
        <v>36</v>
      </c>
      <c r="F329">
        <v>1</v>
      </c>
      <c r="G329">
        <v>7</v>
      </c>
      <c r="H329">
        <v>2</v>
      </c>
      <c r="K329">
        <v>15</v>
      </c>
      <c r="M329" s="122">
        <v>45446</v>
      </c>
      <c r="N329">
        <v>21</v>
      </c>
      <c r="O329">
        <v>155</v>
      </c>
    </row>
    <row r="330" spans="1:15" x14ac:dyDescent="0.35">
      <c r="A330" t="s">
        <v>34</v>
      </c>
      <c r="D330" t="s">
        <v>36</v>
      </c>
      <c r="F330">
        <v>3</v>
      </c>
      <c r="G330">
        <v>2</v>
      </c>
      <c r="H330">
        <v>6</v>
      </c>
      <c r="K330">
        <v>42</v>
      </c>
      <c r="L330" s="6"/>
      <c r="M330" s="122">
        <v>45450</v>
      </c>
      <c r="N330">
        <v>24</v>
      </c>
      <c r="O330">
        <v>159</v>
      </c>
    </row>
    <row r="331" spans="1:15" x14ac:dyDescent="0.35">
      <c r="A331" t="s">
        <v>34</v>
      </c>
      <c r="D331" t="s">
        <v>36</v>
      </c>
      <c r="F331">
        <v>4</v>
      </c>
      <c r="G331">
        <v>3</v>
      </c>
      <c r="H331">
        <v>8</v>
      </c>
      <c r="K331">
        <v>59</v>
      </c>
      <c r="L331" s="6"/>
      <c r="M331" s="122">
        <v>45450</v>
      </c>
      <c r="N331" s="6">
        <v>28</v>
      </c>
      <c r="O331">
        <v>159</v>
      </c>
    </row>
    <row r="332" spans="1:15" x14ac:dyDescent="0.35">
      <c r="A332" t="s">
        <v>34</v>
      </c>
      <c r="D332" t="s">
        <v>36</v>
      </c>
      <c r="F332">
        <v>2</v>
      </c>
      <c r="G332">
        <v>6</v>
      </c>
      <c r="H332">
        <v>4</v>
      </c>
      <c r="K332">
        <v>30</v>
      </c>
      <c r="M332" s="122">
        <v>45450</v>
      </c>
      <c r="N332">
        <v>29</v>
      </c>
      <c r="O332">
        <v>159</v>
      </c>
    </row>
    <row r="333" spans="1:15" x14ac:dyDescent="0.35">
      <c r="A333" t="s">
        <v>34</v>
      </c>
      <c r="D333" t="s">
        <v>36</v>
      </c>
      <c r="F333">
        <v>1</v>
      </c>
      <c r="G333">
        <v>7</v>
      </c>
      <c r="H333">
        <v>2</v>
      </c>
      <c r="K333">
        <v>15</v>
      </c>
      <c r="M333" s="122">
        <v>45450</v>
      </c>
      <c r="N333">
        <v>21</v>
      </c>
      <c r="O333">
        <v>159</v>
      </c>
    </row>
    <row r="334" spans="1:15" x14ac:dyDescent="0.35">
      <c r="A334" t="s">
        <v>34</v>
      </c>
      <c r="D334" t="s">
        <v>36</v>
      </c>
      <c r="F334">
        <v>3</v>
      </c>
      <c r="G334">
        <v>2</v>
      </c>
      <c r="H334">
        <v>6</v>
      </c>
      <c r="K334">
        <v>42</v>
      </c>
      <c r="L334" s="6"/>
      <c r="M334" s="122">
        <v>45462</v>
      </c>
      <c r="O334">
        <v>171</v>
      </c>
    </row>
    <row r="335" spans="1:15" x14ac:dyDescent="0.35">
      <c r="A335" t="s">
        <v>34</v>
      </c>
      <c r="D335" t="s">
        <v>36</v>
      </c>
      <c r="F335">
        <v>4</v>
      </c>
      <c r="G335">
        <v>3</v>
      </c>
      <c r="H335">
        <v>8</v>
      </c>
      <c r="K335">
        <v>59</v>
      </c>
      <c r="L335" s="6"/>
      <c r="M335" s="122">
        <v>45462</v>
      </c>
      <c r="N335" s="6"/>
      <c r="O335">
        <v>171</v>
      </c>
    </row>
    <row r="336" spans="1:15" x14ac:dyDescent="0.35">
      <c r="A336" t="s">
        <v>34</v>
      </c>
      <c r="D336" t="s">
        <v>36</v>
      </c>
      <c r="F336">
        <v>2</v>
      </c>
      <c r="G336">
        <v>6</v>
      </c>
      <c r="H336">
        <v>4</v>
      </c>
      <c r="K336">
        <v>30</v>
      </c>
      <c r="M336" s="122">
        <v>45462</v>
      </c>
      <c r="O336">
        <v>171</v>
      </c>
    </row>
    <row r="337" spans="1:15" x14ac:dyDescent="0.35">
      <c r="A337" t="s">
        <v>34</v>
      </c>
      <c r="D337" t="s">
        <v>36</v>
      </c>
      <c r="F337">
        <v>1</v>
      </c>
      <c r="G337">
        <v>7</v>
      </c>
      <c r="H337">
        <v>2</v>
      </c>
      <c r="K337">
        <v>15</v>
      </c>
      <c r="M337" s="122">
        <v>45462</v>
      </c>
      <c r="O337">
        <v>171</v>
      </c>
    </row>
    <row r="338" spans="1:15" x14ac:dyDescent="0.35">
      <c r="A338" t="s">
        <v>24</v>
      </c>
      <c r="D338" t="s">
        <v>335</v>
      </c>
      <c r="F338">
        <v>2</v>
      </c>
      <c r="G338">
        <v>1</v>
      </c>
      <c r="H338">
        <v>3</v>
      </c>
      <c r="K338">
        <v>17</v>
      </c>
      <c r="L338" s="6"/>
      <c r="M338" s="122">
        <v>45411</v>
      </c>
      <c r="N338">
        <v>8</v>
      </c>
      <c r="O338">
        <v>120</v>
      </c>
    </row>
    <row r="339" spans="1:15" x14ac:dyDescent="0.35">
      <c r="A339" t="s">
        <v>24</v>
      </c>
      <c r="D339" t="s">
        <v>335</v>
      </c>
      <c r="F339">
        <v>1</v>
      </c>
      <c r="G339">
        <v>3</v>
      </c>
      <c r="H339">
        <v>1</v>
      </c>
      <c r="K339">
        <v>3</v>
      </c>
      <c r="L339" s="6"/>
      <c r="M339" s="122">
        <v>45411</v>
      </c>
      <c r="N339">
        <v>0</v>
      </c>
      <c r="O339">
        <v>120</v>
      </c>
    </row>
    <row r="340" spans="1:15" x14ac:dyDescent="0.35">
      <c r="A340" t="s">
        <v>24</v>
      </c>
      <c r="D340" t="s">
        <v>335</v>
      </c>
      <c r="F340">
        <v>3</v>
      </c>
      <c r="G340">
        <v>6</v>
      </c>
      <c r="H340">
        <v>5</v>
      </c>
      <c r="K340">
        <v>38</v>
      </c>
      <c r="M340" s="122">
        <v>45411</v>
      </c>
      <c r="N340">
        <v>0</v>
      </c>
      <c r="O340">
        <v>120</v>
      </c>
    </row>
    <row r="341" spans="1:15" x14ac:dyDescent="0.35">
      <c r="A341" t="s">
        <v>24</v>
      </c>
      <c r="D341" t="s">
        <v>335</v>
      </c>
      <c r="F341">
        <v>4</v>
      </c>
      <c r="G341">
        <v>7</v>
      </c>
      <c r="H341">
        <v>7</v>
      </c>
      <c r="K341">
        <v>55</v>
      </c>
      <c r="M341" s="122">
        <v>45411</v>
      </c>
      <c r="N341">
        <v>1</v>
      </c>
      <c r="O341">
        <v>120</v>
      </c>
    </row>
    <row r="342" spans="1:15" x14ac:dyDescent="0.35">
      <c r="A342" t="s">
        <v>24</v>
      </c>
      <c r="D342" t="s">
        <v>335</v>
      </c>
      <c r="F342">
        <v>2</v>
      </c>
      <c r="G342">
        <v>1</v>
      </c>
      <c r="H342">
        <v>3</v>
      </c>
      <c r="K342">
        <v>17</v>
      </c>
      <c r="L342" s="6"/>
      <c r="M342" s="122">
        <v>45414</v>
      </c>
      <c r="N342">
        <v>45</v>
      </c>
      <c r="O342">
        <v>123</v>
      </c>
    </row>
    <row r="343" spans="1:15" x14ac:dyDescent="0.35">
      <c r="A343" t="s">
        <v>24</v>
      </c>
      <c r="D343" t="s">
        <v>335</v>
      </c>
      <c r="F343">
        <v>1</v>
      </c>
      <c r="G343">
        <v>3</v>
      </c>
      <c r="H343">
        <v>1</v>
      </c>
      <c r="K343">
        <v>3</v>
      </c>
      <c r="L343" s="6"/>
      <c r="M343" s="122">
        <v>45414</v>
      </c>
      <c r="N343">
        <v>42</v>
      </c>
      <c r="O343">
        <v>123</v>
      </c>
    </row>
    <row r="344" spans="1:15" x14ac:dyDescent="0.35">
      <c r="A344" t="s">
        <v>24</v>
      </c>
      <c r="D344" t="s">
        <v>335</v>
      </c>
      <c r="F344">
        <v>3</v>
      </c>
      <c r="G344">
        <v>6</v>
      </c>
      <c r="H344">
        <v>5</v>
      </c>
      <c r="K344">
        <v>38</v>
      </c>
      <c r="M344" s="122">
        <v>45414</v>
      </c>
      <c r="N344">
        <v>26</v>
      </c>
      <c r="O344">
        <v>123</v>
      </c>
    </row>
    <row r="345" spans="1:15" x14ac:dyDescent="0.35">
      <c r="A345" t="s">
        <v>24</v>
      </c>
      <c r="D345" t="s">
        <v>335</v>
      </c>
      <c r="F345">
        <v>4</v>
      </c>
      <c r="G345">
        <v>7</v>
      </c>
      <c r="H345">
        <v>7</v>
      </c>
      <c r="K345">
        <v>55</v>
      </c>
      <c r="M345" s="122">
        <v>45414</v>
      </c>
      <c r="N345">
        <v>34</v>
      </c>
      <c r="O345">
        <v>123</v>
      </c>
    </row>
    <row r="346" spans="1:15" x14ac:dyDescent="0.35">
      <c r="A346" t="s">
        <v>24</v>
      </c>
      <c r="D346" t="s">
        <v>335</v>
      </c>
      <c r="F346">
        <v>2</v>
      </c>
      <c r="G346">
        <v>1</v>
      </c>
      <c r="H346">
        <v>3</v>
      </c>
      <c r="K346">
        <v>17</v>
      </c>
      <c r="L346" s="6"/>
      <c r="M346" s="122">
        <v>45418</v>
      </c>
      <c r="N346">
        <v>45</v>
      </c>
      <c r="O346">
        <v>127</v>
      </c>
    </row>
    <row r="347" spans="1:15" x14ac:dyDescent="0.35">
      <c r="A347" t="s">
        <v>24</v>
      </c>
      <c r="D347" t="s">
        <v>335</v>
      </c>
      <c r="F347">
        <v>1</v>
      </c>
      <c r="G347">
        <v>3</v>
      </c>
      <c r="H347">
        <v>1</v>
      </c>
      <c r="K347">
        <v>3</v>
      </c>
      <c r="L347" s="6"/>
      <c r="M347" s="122">
        <v>45418</v>
      </c>
      <c r="N347">
        <v>42</v>
      </c>
      <c r="O347">
        <v>127</v>
      </c>
    </row>
    <row r="348" spans="1:15" x14ac:dyDescent="0.35">
      <c r="A348" t="s">
        <v>24</v>
      </c>
      <c r="D348" t="s">
        <v>335</v>
      </c>
      <c r="F348">
        <v>3</v>
      </c>
      <c r="G348">
        <v>6</v>
      </c>
      <c r="H348">
        <v>5</v>
      </c>
      <c r="K348">
        <v>38</v>
      </c>
      <c r="M348" s="122">
        <v>45418</v>
      </c>
      <c r="N348">
        <v>27</v>
      </c>
      <c r="O348">
        <v>127</v>
      </c>
    </row>
    <row r="349" spans="1:15" x14ac:dyDescent="0.35">
      <c r="A349" t="s">
        <v>24</v>
      </c>
      <c r="D349" t="s">
        <v>335</v>
      </c>
      <c r="F349">
        <v>4</v>
      </c>
      <c r="G349">
        <v>7</v>
      </c>
      <c r="H349">
        <v>7</v>
      </c>
      <c r="K349">
        <v>55</v>
      </c>
      <c r="M349" s="122">
        <v>45418</v>
      </c>
      <c r="N349">
        <v>37</v>
      </c>
      <c r="O349">
        <v>127</v>
      </c>
    </row>
    <row r="350" spans="1:15" x14ac:dyDescent="0.35">
      <c r="A350" t="s">
        <v>24</v>
      </c>
      <c r="D350" t="s">
        <v>335</v>
      </c>
      <c r="F350">
        <v>2</v>
      </c>
      <c r="G350">
        <v>1</v>
      </c>
      <c r="H350">
        <v>3</v>
      </c>
      <c r="K350">
        <v>17</v>
      </c>
      <c r="L350" s="6"/>
      <c r="M350" s="122">
        <v>45421</v>
      </c>
      <c r="N350">
        <v>45</v>
      </c>
      <c r="O350">
        <v>130</v>
      </c>
    </row>
    <row r="351" spans="1:15" x14ac:dyDescent="0.35">
      <c r="A351" t="s">
        <v>24</v>
      </c>
      <c r="D351" t="s">
        <v>335</v>
      </c>
      <c r="F351">
        <v>1</v>
      </c>
      <c r="G351">
        <v>3</v>
      </c>
      <c r="H351">
        <v>1</v>
      </c>
      <c r="K351">
        <v>3</v>
      </c>
      <c r="L351" s="6"/>
      <c r="M351" s="122">
        <v>45421</v>
      </c>
      <c r="N351">
        <v>42</v>
      </c>
      <c r="O351">
        <v>130</v>
      </c>
    </row>
    <row r="352" spans="1:15" x14ac:dyDescent="0.35">
      <c r="A352" t="s">
        <v>24</v>
      </c>
      <c r="D352" t="s">
        <v>335</v>
      </c>
      <c r="F352">
        <v>3</v>
      </c>
      <c r="G352">
        <v>6</v>
      </c>
      <c r="H352">
        <v>5</v>
      </c>
      <c r="K352">
        <v>38</v>
      </c>
      <c r="M352" s="122">
        <v>45421</v>
      </c>
      <c r="N352">
        <v>27</v>
      </c>
      <c r="O352">
        <v>130</v>
      </c>
    </row>
    <row r="353" spans="1:15" x14ac:dyDescent="0.35">
      <c r="A353" t="s">
        <v>24</v>
      </c>
      <c r="D353" t="s">
        <v>335</v>
      </c>
      <c r="F353">
        <v>4</v>
      </c>
      <c r="G353">
        <v>7</v>
      </c>
      <c r="H353">
        <v>7</v>
      </c>
      <c r="K353">
        <v>55</v>
      </c>
      <c r="M353" s="122">
        <v>45421</v>
      </c>
      <c r="N353">
        <v>37</v>
      </c>
      <c r="O353">
        <v>130</v>
      </c>
    </row>
    <row r="354" spans="1:15" x14ac:dyDescent="0.35">
      <c r="A354" t="s">
        <v>24</v>
      </c>
      <c r="D354" t="s">
        <v>335</v>
      </c>
      <c r="F354">
        <v>2</v>
      </c>
      <c r="G354">
        <v>1</v>
      </c>
      <c r="H354">
        <v>3</v>
      </c>
      <c r="K354">
        <v>17</v>
      </c>
      <c r="L354" s="6"/>
      <c r="M354" s="122">
        <v>45425</v>
      </c>
      <c r="N354">
        <v>45</v>
      </c>
      <c r="O354">
        <v>134</v>
      </c>
    </row>
    <row r="355" spans="1:15" x14ac:dyDescent="0.35">
      <c r="A355" t="s">
        <v>24</v>
      </c>
      <c r="D355" t="s">
        <v>335</v>
      </c>
      <c r="F355">
        <v>1</v>
      </c>
      <c r="G355">
        <v>3</v>
      </c>
      <c r="H355">
        <v>1</v>
      </c>
      <c r="K355">
        <v>3</v>
      </c>
      <c r="L355" s="6"/>
      <c r="M355" s="122">
        <v>45425</v>
      </c>
      <c r="N355">
        <v>42</v>
      </c>
      <c r="O355">
        <v>134</v>
      </c>
    </row>
    <row r="356" spans="1:15" x14ac:dyDescent="0.35">
      <c r="A356" t="s">
        <v>24</v>
      </c>
      <c r="D356" t="s">
        <v>335</v>
      </c>
      <c r="F356">
        <v>3</v>
      </c>
      <c r="G356">
        <v>6</v>
      </c>
      <c r="H356">
        <v>5</v>
      </c>
      <c r="K356">
        <v>38</v>
      </c>
      <c r="M356" s="122">
        <v>45425</v>
      </c>
      <c r="N356">
        <v>27</v>
      </c>
      <c r="O356">
        <v>134</v>
      </c>
    </row>
    <row r="357" spans="1:15" x14ac:dyDescent="0.35">
      <c r="A357" t="s">
        <v>24</v>
      </c>
      <c r="D357" t="s">
        <v>335</v>
      </c>
      <c r="F357">
        <v>4</v>
      </c>
      <c r="G357">
        <v>7</v>
      </c>
      <c r="H357">
        <v>7</v>
      </c>
      <c r="K357">
        <v>55</v>
      </c>
      <c r="M357" s="122">
        <v>45425</v>
      </c>
      <c r="N357">
        <v>37</v>
      </c>
      <c r="O357">
        <v>134</v>
      </c>
    </row>
    <row r="358" spans="1:15" x14ac:dyDescent="0.35">
      <c r="A358" t="s">
        <v>24</v>
      </c>
      <c r="D358" t="s">
        <v>335</v>
      </c>
      <c r="F358">
        <v>2</v>
      </c>
      <c r="G358">
        <v>1</v>
      </c>
      <c r="H358">
        <v>3</v>
      </c>
      <c r="K358">
        <v>17</v>
      </c>
      <c r="L358" s="6"/>
      <c r="M358" s="122">
        <v>45428</v>
      </c>
      <c r="O358">
        <v>137</v>
      </c>
    </row>
    <row r="359" spans="1:15" x14ac:dyDescent="0.35">
      <c r="A359" t="s">
        <v>24</v>
      </c>
      <c r="D359" t="s">
        <v>335</v>
      </c>
      <c r="F359">
        <v>1</v>
      </c>
      <c r="G359">
        <v>3</v>
      </c>
      <c r="H359">
        <v>1</v>
      </c>
      <c r="K359">
        <v>3</v>
      </c>
      <c r="L359" s="6"/>
      <c r="M359" s="122">
        <v>45428</v>
      </c>
      <c r="O359">
        <v>137</v>
      </c>
    </row>
    <row r="360" spans="1:15" x14ac:dyDescent="0.35">
      <c r="A360" t="s">
        <v>24</v>
      </c>
      <c r="D360" t="s">
        <v>335</v>
      </c>
      <c r="F360">
        <v>3</v>
      </c>
      <c r="G360">
        <v>6</v>
      </c>
      <c r="H360">
        <v>5</v>
      </c>
      <c r="K360">
        <v>38</v>
      </c>
      <c r="M360" s="122">
        <v>45428</v>
      </c>
      <c r="O360">
        <v>137</v>
      </c>
    </row>
    <row r="361" spans="1:15" x14ac:dyDescent="0.35">
      <c r="A361" t="s">
        <v>24</v>
      </c>
      <c r="D361" t="s">
        <v>335</v>
      </c>
      <c r="F361">
        <v>4</v>
      </c>
      <c r="G361">
        <v>7</v>
      </c>
      <c r="H361">
        <v>7</v>
      </c>
      <c r="K361">
        <v>55</v>
      </c>
      <c r="M361" s="122">
        <v>45428</v>
      </c>
      <c r="O361">
        <v>137</v>
      </c>
    </row>
    <row r="362" spans="1:15" x14ac:dyDescent="0.35">
      <c r="A362" t="s">
        <v>24</v>
      </c>
      <c r="D362" t="s">
        <v>335</v>
      </c>
      <c r="F362">
        <v>2</v>
      </c>
      <c r="G362">
        <v>1</v>
      </c>
      <c r="H362">
        <v>3</v>
      </c>
      <c r="K362">
        <v>17</v>
      </c>
      <c r="L362" s="6"/>
      <c r="M362" s="122">
        <v>45435</v>
      </c>
      <c r="O362">
        <v>144</v>
      </c>
    </row>
    <row r="363" spans="1:15" x14ac:dyDescent="0.35">
      <c r="A363" t="s">
        <v>24</v>
      </c>
      <c r="D363" t="s">
        <v>335</v>
      </c>
      <c r="F363">
        <v>1</v>
      </c>
      <c r="G363">
        <v>3</v>
      </c>
      <c r="H363">
        <v>1</v>
      </c>
      <c r="K363">
        <v>3</v>
      </c>
      <c r="L363" s="6"/>
      <c r="M363" s="122">
        <v>45435</v>
      </c>
      <c r="O363">
        <v>144</v>
      </c>
    </row>
    <row r="364" spans="1:15" x14ac:dyDescent="0.35">
      <c r="A364" t="s">
        <v>24</v>
      </c>
      <c r="D364" t="s">
        <v>335</v>
      </c>
      <c r="F364">
        <v>3</v>
      </c>
      <c r="G364">
        <v>6</v>
      </c>
      <c r="H364">
        <v>5</v>
      </c>
      <c r="K364">
        <v>38</v>
      </c>
      <c r="M364" s="122">
        <v>45435</v>
      </c>
      <c r="O364">
        <v>144</v>
      </c>
    </row>
    <row r="365" spans="1:15" x14ac:dyDescent="0.35">
      <c r="A365" t="s">
        <v>24</v>
      </c>
      <c r="D365" t="s">
        <v>335</v>
      </c>
      <c r="F365">
        <v>4</v>
      </c>
      <c r="G365">
        <v>7</v>
      </c>
      <c r="H365">
        <v>7</v>
      </c>
      <c r="K365">
        <v>55</v>
      </c>
      <c r="M365" s="122">
        <v>45435</v>
      </c>
      <c r="O365">
        <v>144</v>
      </c>
    </row>
    <row r="366" spans="1:15" x14ac:dyDescent="0.35">
      <c r="A366" t="s">
        <v>24</v>
      </c>
      <c r="D366" t="s">
        <v>335</v>
      </c>
      <c r="F366">
        <v>2</v>
      </c>
      <c r="G366">
        <v>1</v>
      </c>
      <c r="H366">
        <v>3</v>
      </c>
      <c r="K366">
        <v>17</v>
      </c>
      <c r="L366" s="6"/>
      <c r="M366" s="122">
        <v>45440</v>
      </c>
      <c r="O366">
        <v>149</v>
      </c>
    </row>
    <row r="367" spans="1:15" x14ac:dyDescent="0.35">
      <c r="A367" t="s">
        <v>24</v>
      </c>
      <c r="D367" t="s">
        <v>335</v>
      </c>
      <c r="F367">
        <v>1</v>
      </c>
      <c r="G367">
        <v>3</v>
      </c>
      <c r="H367">
        <v>1</v>
      </c>
      <c r="K367">
        <v>3</v>
      </c>
      <c r="L367" s="6"/>
      <c r="M367" s="122">
        <v>45440</v>
      </c>
      <c r="O367">
        <v>149</v>
      </c>
    </row>
    <row r="368" spans="1:15" x14ac:dyDescent="0.35">
      <c r="A368" t="s">
        <v>24</v>
      </c>
      <c r="D368" t="s">
        <v>335</v>
      </c>
      <c r="F368">
        <v>3</v>
      </c>
      <c r="G368">
        <v>6</v>
      </c>
      <c r="H368">
        <v>5</v>
      </c>
      <c r="K368">
        <v>38</v>
      </c>
      <c r="M368" s="122">
        <v>45440</v>
      </c>
      <c r="O368">
        <v>149</v>
      </c>
    </row>
    <row r="369" spans="1:15" x14ac:dyDescent="0.35">
      <c r="A369" t="s">
        <v>24</v>
      </c>
      <c r="D369" t="s">
        <v>335</v>
      </c>
      <c r="F369">
        <v>4</v>
      </c>
      <c r="G369">
        <v>7</v>
      </c>
      <c r="H369">
        <v>7</v>
      </c>
      <c r="K369">
        <v>55</v>
      </c>
      <c r="M369" s="122">
        <v>45440</v>
      </c>
      <c r="O369">
        <v>149</v>
      </c>
    </row>
    <row r="370" spans="1:15" x14ac:dyDescent="0.35">
      <c r="A370" t="s">
        <v>24</v>
      </c>
      <c r="D370" t="s">
        <v>335</v>
      </c>
      <c r="F370">
        <v>2</v>
      </c>
      <c r="G370">
        <v>1</v>
      </c>
      <c r="H370">
        <v>3</v>
      </c>
      <c r="K370">
        <v>17</v>
      </c>
      <c r="L370" s="6"/>
      <c r="M370" s="122">
        <v>45442</v>
      </c>
      <c r="O370">
        <v>151</v>
      </c>
    </row>
    <row r="371" spans="1:15" x14ac:dyDescent="0.35">
      <c r="A371" t="s">
        <v>24</v>
      </c>
      <c r="D371" t="s">
        <v>335</v>
      </c>
      <c r="F371">
        <v>1</v>
      </c>
      <c r="G371">
        <v>3</v>
      </c>
      <c r="H371">
        <v>1</v>
      </c>
      <c r="K371">
        <v>3</v>
      </c>
      <c r="L371" s="6"/>
      <c r="M371" s="122">
        <v>45442</v>
      </c>
      <c r="O371">
        <v>151</v>
      </c>
    </row>
    <row r="372" spans="1:15" x14ac:dyDescent="0.35">
      <c r="A372" t="s">
        <v>24</v>
      </c>
      <c r="D372" t="s">
        <v>335</v>
      </c>
      <c r="F372">
        <v>3</v>
      </c>
      <c r="G372">
        <v>6</v>
      </c>
      <c r="H372">
        <v>5</v>
      </c>
      <c r="K372">
        <v>38</v>
      </c>
      <c r="M372" s="122">
        <v>45442</v>
      </c>
      <c r="O372">
        <v>151</v>
      </c>
    </row>
    <row r="373" spans="1:15" x14ac:dyDescent="0.35">
      <c r="A373" t="s">
        <v>24</v>
      </c>
      <c r="D373" t="s">
        <v>335</v>
      </c>
      <c r="F373">
        <v>4</v>
      </c>
      <c r="G373">
        <v>7</v>
      </c>
      <c r="H373">
        <v>7</v>
      </c>
      <c r="K373">
        <v>55</v>
      </c>
      <c r="M373" s="122">
        <v>45442</v>
      </c>
      <c r="O373">
        <v>151</v>
      </c>
    </row>
    <row r="374" spans="1:15" x14ac:dyDescent="0.35">
      <c r="A374" t="s">
        <v>24</v>
      </c>
      <c r="D374" t="s">
        <v>335</v>
      </c>
      <c r="F374">
        <v>2</v>
      </c>
      <c r="G374">
        <v>1</v>
      </c>
      <c r="H374">
        <v>3</v>
      </c>
      <c r="K374">
        <v>17</v>
      </c>
      <c r="L374" s="6"/>
      <c r="M374" s="122">
        <v>45446</v>
      </c>
      <c r="O374">
        <v>155</v>
      </c>
    </row>
    <row r="375" spans="1:15" x14ac:dyDescent="0.35">
      <c r="A375" t="s">
        <v>24</v>
      </c>
      <c r="D375" t="s">
        <v>335</v>
      </c>
      <c r="F375">
        <v>1</v>
      </c>
      <c r="G375">
        <v>3</v>
      </c>
      <c r="H375">
        <v>1</v>
      </c>
      <c r="K375">
        <v>3</v>
      </c>
      <c r="L375" s="6"/>
      <c r="M375" s="122">
        <v>45446</v>
      </c>
      <c r="O375">
        <v>155</v>
      </c>
    </row>
    <row r="376" spans="1:15" x14ac:dyDescent="0.35">
      <c r="A376" t="s">
        <v>24</v>
      </c>
      <c r="D376" t="s">
        <v>335</v>
      </c>
      <c r="F376">
        <v>3</v>
      </c>
      <c r="G376">
        <v>6</v>
      </c>
      <c r="H376">
        <v>5</v>
      </c>
      <c r="K376">
        <v>38</v>
      </c>
      <c r="M376" s="122">
        <v>45446</v>
      </c>
      <c r="O376">
        <v>155</v>
      </c>
    </row>
    <row r="377" spans="1:15" x14ac:dyDescent="0.35">
      <c r="A377" t="s">
        <v>24</v>
      </c>
      <c r="D377" t="s">
        <v>335</v>
      </c>
      <c r="F377">
        <v>4</v>
      </c>
      <c r="G377">
        <v>7</v>
      </c>
      <c r="H377">
        <v>7</v>
      </c>
      <c r="K377">
        <v>55</v>
      </c>
      <c r="M377" s="122">
        <v>45446</v>
      </c>
      <c r="O377">
        <v>155</v>
      </c>
    </row>
    <row r="378" spans="1:15" x14ac:dyDescent="0.35">
      <c r="A378" t="s">
        <v>24</v>
      </c>
      <c r="B378" s="71"/>
      <c r="C378" s="72"/>
      <c r="D378" t="s">
        <v>335</v>
      </c>
      <c r="E378" s="71"/>
      <c r="F378">
        <v>2</v>
      </c>
      <c r="G378">
        <v>1</v>
      </c>
      <c r="H378">
        <v>3</v>
      </c>
      <c r="I378" s="73"/>
      <c r="J378" s="73"/>
      <c r="K378">
        <v>17</v>
      </c>
      <c r="L378" s="6"/>
      <c r="M378" s="122">
        <v>45450</v>
      </c>
      <c r="O378">
        <v>159</v>
      </c>
    </row>
    <row r="379" spans="1:15" x14ac:dyDescent="0.35">
      <c r="A379" t="s">
        <v>24</v>
      </c>
      <c r="D379" t="s">
        <v>335</v>
      </c>
      <c r="F379">
        <v>1</v>
      </c>
      <c r="G379">
        <v>3</v>
      </c>
      <c r="H379">
        <v>1</v>
      </c>
      <c r="K379">
        <v>3</v>
      </c>
      <c r="L379" s="6"/>
      <c r="M379" s="122">
        <v>45450</v>
      </c>
      <c r="O379">
        <v>159</v>
      </c>
    </row>
    <row r="380" spans="1:15" x14ac:dyDescent="0.35">
      <c r="A380" t="s">
        <v>24</v>
      </c>
      <c r="D380" t="s">
        <v>335</v>
      </c>
      <c r="F380">
        <v>3</v>
      </c>
      <c r="G380">
        <v>6</v>
      </c>
      <c r="H380">
        <v>5</v>
      </c>
      <c r="K380">
        <v>38</v>
      </c>
      <c r="M380" s="122">
        <v>45450</v>
      </c>
      <c r="O380">
        <v>159</v>
      </c>
    </row>
    <row r="381" spans="1:15" x14ac:dyDescent="0.35">
      <c r="A381" t="s">
        <v>24</v>
      </c>
      <c r="D381" t="s">
        <v>335</v>
      </c>
      <c r="F381">
        <v>4</v>
      </c>
      <c r="G381">
        <v>7</v>
      </c>
      <c r="H381">
        <v>7</v>
      </c>
      <c r="K381">
        <v>55</v>
      </c>
      <c r="M381" s="122">
        <v>45450</v>
      </c>
      <c r="O381">
        <v>159</v>
      </c>
    </row>
    <row r="382" spans="1:15" x14ac:dyDescent="0.35">
      <c r="A382" t="s">
        <v>24</v>
      </c>
      <c r="D382" t="s">
        <v>335</v>
      </c>
      <c r="F382">
        <v>2</v>
      </c>
      <c r="G382">
        <v>1</v>
      </c>
      <c r="H382">
        <v>3</v>
      </c>
      <c r="K382">
        <v>17</v>
      </c>
      <c r="L382" s="6"/>
      <c r="M382" s="122">
        <v>45462</v>
      </c>
      <c r="O382">
        <v>171</v>
      </c>
    </row>
    <row r="383" spans="1:15" x14ac:dyDescent="0.35">
      <c r="A383" t="s">
        <v>24</v>
      </c>
      <c r="D383" t="s">
        <v>335</v>
      </c>
      <c r="F383">
        <v>1</v>
      </c>
      <c r="G383">
        <v>3</v>
      </c>
      <c r="H383">
        <v>1</v>
      </c>
      <c r="K383">
        <v>3</v>
      </c>
      <c r="L383" s="6"/>
      <c r="M383" s="122">
        <v>45462</v>
      </c>
      <c r="O383">
        <v>171</v>
      </c>
    </row>
    <row r="384" spans="1:15" x14ac:dyDescent="0.35">
      <c r="A384" t="s">
        <v>24</v>
      </c>
      <c r="D384" t="s">
        <v>335</v>
      </c>
      <c r="F384">
        <v>3</v>
      </c>
      <c r="G384">
        <v>6</v>
      </c>
      <c r="H384">
        <v>5</v>
      </c>
      <c r="K384">
        <v>38</v>
      </c>
      <c r="M384" s="122">
        <v>45462</v>
      </c>
      <c r="O384">
        <v>171</v>
      </c>
    </row>
    <row r="385" spans="1:15" x14ac:dyDescent="0.35">
      <c r="A385" t="s">
        <v>24</v>
      </c>
      <c r="D385" t="s">
        <v>335</v>
      </c>
      <c r="F385">
        <v>4</v>
      </c>
      <c r="G385">
        <v>7</v>
      </c>
      <c r="H385">
        <v>7</v>
      </c>
      <c r="K385">
        <v>55</v>
      </c>
      <c r="M385" s="122">
        <v>45462</v>
      </c>
      <c r="O385">
        <v>171</v>
      </c>
    </row>
    <row r="386" spans="1:15" x14ac:dyDescent="0.35">
      <c r="A386" t="s">
        <v>24</v>
      </c>
      <c r="D386" t="s">
        <v>26</v>
      </c>
      <c r="F386">
        <v>1</v>
      </c>
      <c r="G386">
        <v>2</v>
      </c>
      <c r="H386">
        <v>1</v>
      </c>
      <c r="K386">
        <v>2</v>
      </c>
      <c r="L386" s="6"/>
      <c r="M386" s="122">
        <v>45411</v>
      </c>
      <c r="N386">
        <v>0</v>
      </c>
      <c r="O386">
        <v>120</v>
      </c>
    </row>
    <row r="387" spans="1:15" x14ac:dyDescent="0.35">
      <c r="A387" t="s">
        <v>24</v>
      </c>
      <c r="D387" t="s">
        <v>26</v>
      </c>
      <c r="F387">
        <v>2</v>
      </c>
      <c r="G387">
        <v>3</v>
      </c>
      <c r="H387">
        <v>3</v>
      </c>
      <c r="K387">
        <v>19</v>
      </c>
      <c r="L387" s="6"/>
      <c r="M387" s="122">
        <v>45411</v>
      </c>
      <c r="N387">
        <v>0</v>
      </c>
      <c r="O387">
        <v>120</v>
      </c>
    </row>
    <row r="388" spans="1:15" x14ac:dyDescent="0.35">
      <c r="A388" t="s">
        <v>24</v>
      </c>
      <c r="D388" t="s">
        <v>26</v>
      </c>
      <c r="F388">
        <v>4</v>
      </c>
      <c r="G388">
        <v>6</v>
      </c>
      <c r="H388">
        <v>7</v>
      </c>
      <c r="K388">
        <v>54</v>
      </c>
      <c r="M388" s="122">
        <v>45411</v>
      </c>
      <c r="N388">
        <v>0</v>
      </c>
      <c r="O388">
        <v>120</v>
      </c>
    </row>
    <row r="389" spans="1:15" x14ac:dyDescent="0.35">
      <c r="A389" t="s">
        <v>24</v>
      </c>
      <c r="D389" t="s">
        <v>26</v>
      </c>
      <c r="F389">
        <v>3</v>
      </c>
      <c r="G389">
        <v>8</v>
      </c>
      <c r="H389">
        <v>5</v>
      </c>
      <c r="K389">
        <v>40</v>
      </c>
      <c r="M389" s="122">
        <v>45411</v>
      </c>
      <c r="N389">
        <v>1</v>
      </c>
      <c r="O389">
        <v>120</v>
      </c>
    </row>
    <row r="390" spans="1:15" x14ac:dyDescent="0.35">
      <c r="A390" t="s">
        <v>24</v>
      </c>
      <c r="D390" t="s">
        <v>26</v>
      </c>
      <c r="F390">
        <v>1</v>
      </c>
      <c r="G390">
        <v>2</v>
      </c>
      <c r="H390">
        <v>1</v>
      </c>
      <c r="K390">
        <v>2</v>
      </c>
      <c r="L390" s="6"/>
      <c r="M390" s="122">
        <v>45414</v>
      </c>
      <c r="N390">
        <v>28</v>
      </c>
      <c r="O390">
        <v>123</v>
      </c>
    </row>
    <row r="391" spans="1:15" x14ac:dyDescent="0.35">
      <c r="A391" t="s">
        <v>24</v>
      </c>
      <c r="D391" t="s">
        <v>26</v>
      </c>
      <c r="F391">
        <v>2</v>
      </c>
      <c r="G391">
        <v>3</v>
      </c>
      <c r="H391">
        <v>3</v>
      </c>
      <c r="K391">
        <v>19</v>
      </c>
      <c r="L391" s="6"/>
      <c r="M391" s="122">
        <v>45414</v>
      </c>
      <c r="N391">
        <v>37</v>
      </c>
      <c r="O391">
        <v>123</v>
      </c>
    </row>
    <row r="392" spans="1:15" x14ac:dyDescent="0.35">
      <c r="A392" t="s">
        <v>24</v>
      </c>
      <c r="D392" t="s">
        <v>26</v>
      </c>
      <c r="F392">
        <v>4</v>
      </c>
      <c r="G392">
        <v>6</v>
      </c>
      <c r="H392">
        <v>7</v>
      </c>
      <c r="K392">
        <v>54</v>
      </c>
      <c r="M392" s="122">
        <v>45414</v>
      </c>
      <c r="N392">
        <v>31</v>
      </c>
      <c r="O392">
        <v>123</v>
      </c>
    </row>
    <row r="393" spans="1:15" x14ac:dyDescent="0.35">
      <c r="A393" t="s">
        <v>24</v>
      </c>
      <c r="D393" t="s">
        <v>26</v>
      </c>
      <c r="F393">
        <v>3</v>
      </c>
      <c r="G393">
        <v>8</v>
      </c>
      <c r="H393">
        <v>5</v>
      </c>
      <c r="K393">
        <v>40</v>
      </c>
      <c r="M393" s="122">
        <v>45414</v>
      </c>
      <c r="N393">
        <v>43</v>
      </c>
      <c r="O393">
        <v>123</v>
      </c>
    </row>
    <row r="394" spans="1:15" x14ac:dyDescent="0.35">
      <c r="A394" t="s">
        <v>24</v>
      </c>
      <c r="B394" s="71"/>
      <c r="C394" s="72"/>
      <c r="D394" t="s">
        <v>26</v>
      </c>
      <c r="E394" s="71"/>
      <c r="F394">
        <v>1</v>
      </c>
      <c r="G394">
        <v>2</v>
      </c>
      <c r="H394">
        <v>1</v>
      </c>
      <c r="I394" s="73"/>
      <c r="J394" s="73"/>
      <c r="K394">
        <v>2</v>
      </c>
      <c r="L394" s="6"/>
      <c r="M394" s="122">
        <v>45418</v>
      </c>
      <c r="N394">
        <v>37</v>
      </c>
      <c r="O394">
        <v>127</v>
      </c>
    </row>
    <row r="395" spans="1:15" x14ac:dyDescent="0.35">
      <c r="A395" t="s">
        <v>24</v>
      </c>
      <c r="D395" t="s">
        <v>26</v>
      </c>
      <c r="F395">
        <v>2</v>
      </c>
      <c r="G395">
        <v>3</v>
      </c>
      <c r="H395">
        <v>3</v>
      </c>
      <c r="K395">
        <v>19</v>
      </c>
      <c r="L395" s="6"/>
      <c r="M395" s="122">
        <v>45418</v>
      </c>
      <c r="N395">
        <v>37</v>
      </c>
      <c r="O395">
        <v>127</v>
      </c>
    </row>
    <row r="396" spans="1:15" x14ac:dyDescent="0.35">
      <c r="A396" t="s">
        <v>24</v>
      </c>
      <c r="D396" t="s">
        <v>26</v>
      </c>
      <c r="F396">
        <v>4</v>
      </c>
      <c r="G396">
        <v>6</v>
      </c>
      <c r="H396">
        <v>7</v>
      </c>
      <c r="K396">
        <v>54</v>
      </c>
      <c r="M396" s="122">
        <v>45418</v>
      </c>
      <c r="N396">
        <v>36</v>
      </c>
      <c r="O396">
        <v>127</v>
      </c>
    </row>
    <row r="397" spans="1:15" x14ac:dyDescent="0.35">
      <c r="A397" t="s">
        <v>24</v>
      </c>
      <c r="D397" t="s">
        <v>26</v>
      </c>
      <c r="F397">
        <v>3</v>
      </c>
      <c r="G397">
        <v>8</v>
      </c>
      <c r="H397">
        <v>5</v>
      </c>
      <c r="K397">
        <v>40</v>
      </c>
      <c r="M397" s="122">
        <v>45418</v>
      </c>
      <c r="N397">
        <v>45</v>
      </c>
      <c r="O397">
        <v>127</v>
      </c>
    </row>
    <row r="398" spans="1:15" x14ac:dyDescent="0.35">
      <c r="A398" t="s">
        <v>24</v>
      </c>
      <c r="D398" t="s">
        <v>26</v>
      </c>
      <c r="F398">
        <v>1</v>
      </c>
      <c r="G398">
        <v>2</v>
      </c>
      <c r="H398">
        <v>1</v>
      </c>
      <c r="K398">
        <v>2</v>
      </c>
      <c r="L398" s="6"/>
      <c r="M398" s="122">
        <v>45421</v>
      </c>
      <c r="N398">
        <v>37</v>
      </c>
      <c r="O398">
        <v>130</v>
      </c>
    </row>
    <row r="399" spans="1:15" x14ac:dyDescent="0.35">
      <c r="A399" t="s">
        <v>24</v>
      </c>
      <c r="D399" t="s">
        <v>26</v>
      </c>
      <c r="F399">
        <v>2</v>
      </c>
      <c r="G399">
        <v>3</v>
      </c>
      <c r="H399">
        <v>3</v>
      </c>
      <c r="K399">
        <v>19</v>
      </c>
      <c r="L399" s="6"/>
      <c r="M399" s="122">
        <v>45421</v>
      </c>
      <c r="N399">
        <v>37</v>
      </c>
      <c r="O399">
        <v>130</v>
      </c>
    </row>
    <row r="400" spans="1:15" x14ac:dyDescent="0.35">
      <c r="A400" t="s">
        <v>24</v>
      </c>
      <c r="D400" t="s">
        <v>26</v>
      </c>
      <c r="F400">
        <v>4</v>
      </c>
      <c r="G400">
        <v>6</v>
      </c>
      <c r="H400">
        <v>7</v>
      </c>
      <c r="K400">
        <v>54</v>
      </c>
      <c r="M400" s="122">
        <v>45421</v>
      </c>
      <c r="N400">
        <v>36</v>
      </c>
      <c r="O400">
        <v>130</v>
      </c>
    </row>
    <row r="401" spans="1:15" x14ac:dyDescent="0.35">
      <c r="A401" t="s">
        <v>24</v>
      </c>
      <c r="D401" t="s">
        <v>26</v>
      </c>
      <c r="F401">
        <v>3</v>
      </c>
      <c r="G401">
        <v>8</v>
      </c>
      <c r="H401">
        <v>5</v>
      </c>
      <c r="K401">
        <v>40</v>
      </c>
      <c r="M401" s="122">
        <v>45421</v>
      </c>
      <c r="N401">
        <v>45</v>
      </c>
      <c r="O401">
        <v>130</v>
      </c>
    </row>
    <row r="402" spans="1:15" x14ac:dyDescent="0.35">
      <c r="A402" t="s">
        <v>24</v>
      </c>
      <c r="D402" t="s">
        <v>26</v>
      </c>
      <c r="F402">
        <v>1</v>
      </c>
      <c r="G402">
        <v>2</v>
      </c>
      <c r="H402">
        <v>1</v>
      </c>
      <c r="K402">
        <v>2</v>
      </c>
      <c r="L402" s="6"/>
      <c r="M402" s="122">
        <v>45425</v>
      </c>
      <c r="N402">
        <v>37</v>
      </c>
      <c r="O402">
        <v>134</v>
      </c>
    </row>
    <row r="403" spans="1:15" x14ac:dyDescent="0.35">
      <c r="A403" t="s">
        <v>24</v>
      </c>
      <c r="D403" t="s">
        <v>26</v>
      </c>
      <c r="F403">
        <v>2</v>
      </c>
      <c r="G403">
        <v>3</v>
      </c>
      <c r="H403">
        <v>3</v>
      </c>
      <c r="K403">
        <v>19</v>
      </c>
      <c r="L403" s="6"/>
      <c r="M403" s="122">
        <v>45425</v>
      </c>
      <c r="N403">
        <v>37</v>
      </c>
      <c r="O403">
        <v>134</v>
      </c>
    </row>
    <row r="404" spans="1:15" x14ac:dyDescent="0.35">
      <c r="A404" t="s">
        <v>24</v>
      </c>
      <c r="D404" t="s">
        <v>26</v>
      </c>
      <c r="F404">
        <v>4</v>
      </c>
      <c r="G404">
        <v>6</v>
      </c>
      <c r="H404">
        <v>7</v>
      </c>
      <c r="K404">
        <v>54</v>
      </c>
      <c r="M404" s="122">
        <v>45425</v>
      </c>
      <c r="N404">
        <v>36</v>
      </c>
      <c r="O404">
        <v>134</v>
      </c>
    </row>
    <row r="405" spans="1:15" x14ac:dyDescent="0.35">
      <c r="A405" t="s">
        <v>24</v>
      </c>
      <c r="D405" t="s">
        <v>26</v>
      </c>
      <c r="F405">
        <v>3</v>
      </c>
      <c r="G405">
        <v>8</v>
      </c>
      <c r="H405">
        <v>5</v>
      </c>
      <c r="K405">
        <v>40</v>
      </c>
      <c r="M405" s="122">
        <v>45425</v>
      </c>
      <c r="N405">
        <v>45</v>
      </c>
      <c r="O405">
        <v>134</v>
      </c>
    </row>
    <row r="406" spans="1:15" x14ac:dyDescent="0.35">
      <c r="A406" t="s">
        <v>24</v>
      </c>
      <c r="D406" t="s">
        <v>26</v>
      </c>
      <c r="F406">
        <v>1</v>
      </c>
      <c r="G406">
        <v>2</v>
      </c>
      <c r="H406">
        <v>1</v>
      </c>
      <c r="K406">
        <v>2</v>
      </c>
      <c r="L406" s="6"/>
      <c r="M406" s="122">
        <v>45428</v>
      </c>
      <c r="O406">
        <v>137</v>
      </c>
    </row>
    <row r="407" spans="1:15" x14ac:dyDescent="0.35">
      <c r="A407" t="s">
        <v>24</v>
      </c>
      <c r="D407" t="s">
        <v>26</v>
      </c>
      <c r="F407">
        <v>2</v>
      </c>
      <c r="G407">
        <v>3</v>
      </c>
      <c r="H407">
        <v>3</v>
      </c>
      <c r="K407">
        <v>19</v>
      </c>
      <c r="L407" s="6"/>
      <c r="M407" s="122">
        <v>45428</v>
      </c>
      <c r="O407">
        <v>137</v>
      </c>
    </row>
    <row r="408" spans="1:15" x14ac:dyDescent="0.35">
      <c r="A408" t="s">
        <v>24</v>
      </c>
      <c r="D408" t="s">
        <v>26</v>
      </c>
      <c r="F408">
        <v>4</v>
      </c>
      <c r="G408">
        <v>6</v>
      </c>
      <c r="H408">
        <v>7</v>
      </c>
      <c r="K408">
        <v>54</v>
      </c>
      <c r="M408" s="122">
        <v>45428</v>
      </c>
      <c r="O408">
        <v>137</v>
      </c>
    </row>
    <row r="409" spans="1:15" x14ac:dyDescent="0.35">
      <c r="A409" t="s">
        <v>24</v>
      </c>
      <c r="D409" t="s">
        <v>26</v>
      </c>
      <c r="F409">
        <v>3</v>
      </c>
      <c r="G409">
        <v>8</v>
      </c>
      <c r="H409">
        <v>5</v>
      </c>
      <c r="K409">
        <v>40</v>
      </c>
      <c r="M409" s="122">
        <v>45428</v>
      </c>
      <c r="O409">
        <v>137</v>
      </c>
    </row>
    <row r="410" spans="1:15" x14ac:dyDescent="0.35">
      <c r="A410" t="s">
        <v>24</v>
      </c>
      <c r="D410" t="s">
        <v>26</v>
      </c>
      <c r="F410">
        <v>1</v>
      </c>
      <c r="G410">
        <v>2</v>
      </c>
      <c r="H410">
        <v>1</v>
      </c>
      <c r="K410">
        <v>2</v>
      </c>
      <c r="L410" s="6"/>
      <c r="M410" s="122">
        <v>45435</v>
      </c>
      <c r="O410">
        <v>144</v>
      </c>
    </row>
    <row r="411" spans="1:15" x14ac:dyDescent="0.35">
      <c r="A411" t="s">
        <v>24</v>
      </c>
      <c r="D411" t="s">
        <v>26</v>
      </c>
      <c r="F411">
        <v>2</v>
      </c>
      <c r="G411">
        <v>3</v>
      </c>
      <c r="H411">
        <v>3</v>
      </c>
      <c r="K411">
        <v>19</v>
      </c>
      <c r="L411" s="6"/>
      <c r="M411" s="122">
        <v>45435</v>
      </c>
      <c r="O411">
        <v>144</v>
      </c>
    </row>
    <row r="412" spans="1:15" x14ac:dyDescent="0.35">
      <c r="A412" t="s">
        <v>24</v>
      </c>
      <c r="D412" t="s">
        <v>26</v>
      </c>
      <c r="F412">
        <v>4</v>
      </c>
      <c r="G412">
        <v>6</v>
      </c>
      <c r="H412">
        <v>7</v>
      </c>
      <c r="K412">
        <v>54</v>
      </c>
      <c r="M412" s="122">
        <v>45435</v>
      </c>
      <c r="O412">
        <v>144</v>
      </c>
    </row>
    <row r="413" spans="1:15" x14ac:dyDescent="0.35">
      <c r="A413" t="s">
        <v>24</v>
      </c>
      <c r="D413" t="s">
        <v>26</v>
      </c>
      <c r="F413">
        <v>3</v>
      </c>
      <c r="G413">
        <v>8</v>
      </c>
      <c r="H413">
        <v>5</v>
      </c>
      <c r="K413">
        <v>40</v>
      </c>
      <c r="M413" s="122">
        <v>45435</v>
      </c>
      <c r="O413">
        <v>144</v>
      </c>
    </row>
    <row r="414" spans="1:15" x14ac:dyDescent="0.35">
      <c r="A414" t="s">
        <v>24</v>
      </c>
      <c r="D414" t="s">
        <v>26</v>
      </c>
      <c r="F414">
        <v>1</v>
      </c>
      <c r="G414">
        <v>2</v>
      </c>
      <c r="H414">
        <v>1</v>
      </c>
      <c r="K414">
        <v>2</v>
      </c>
      <c r="L414" s="6"/>
      <c r="M414" s="122">
        <v>45440</v>
      </c>
      <c r="O414">
        <v>149</v>
      </c>
    </row>
    <row r="415" spans="1:15" x14ac:dyDescent="0.35">
      <c r="A415" t="s">
        <v>24</v>
      </c>
      <c r="D415" t="s">
        <v>26</v>
      </c>
      <c r="F415">
        <v>2</v>
      </c>
      <c r="G415">
        <v>3</v>
      </c>
      <c r="H415">
        <v>3</v>
      </c>
      <c r="K415">
        <v>19</v>
      </c>
      <c r="L415" s="6"/>
      <c r="M415" s="122">
        <v>45440</v>
      </c>
      <c r="O415">
        <v>149</v>
      </c>
    </row>
    <row r="416" spans="1:15" x14ac:dyDescent="0.35">
      <c r="A416" t="s">
        <v>24</v>
      </c>
      <c r="D416" t="s">
        <v>26</v>
      </c>
      <c r="F416">
        <v>4</v>
      </c>
      <c r="G416">
        <v>6</v>
      </c>
      <c r="H416">
        <v>7</v>
      </c>
      <c r="K416">
        <v>54</v>
      </c>
      <c r="M416" s="122">
        <v>45440</v>
      </c>
      <c r="O416">
        <v>149</v>
      </c>
    </row>
    <row r="417" spans="1:15" x14ac:dyDescent="0.35">
      <c r="A417" t="s">
        <v>24</v>
      </c>
      <c r="D417" t="s">
        <v>26</v>
      </c>
      <c r="F417">
        <v>3</v>
      </c>
      <c r="G417">
        <v>8</v>
      </c>
      <c r="H417">
        <v>5</v>
      </c>
      <c r="K417">
        <v>40</v>
      </c>
      <c r="M417" s="122">
        <v>45440</v>
      </c>
      <c r="O417">
        <v>149</v>
      </c>
    </row>
    <row r="418" spans="1:15" x14ac:dyDescent="0.35">
      <c r="A418" t="s">
        <v>24</v>
      </c>
      <c r="D418" t="s">
        <v>26</v>
      </c>
      <c r="F418">
        <v>1</v>
      </c>
      <c r="G418">
        <v>2</v>
      </c>
      <c r="H418">
        <v>1</v>
      </c>
      <c r="K418">
        <v>2</v>
      </c>
      <c r="L418" s="6"/>
      <c r="M418" s="122">
        <v>45442</v>
      </c>
      <c r="O418">
        <v>151</v>
      </c>
    </row>
    <row r="419" spans="1:15" x14ac:dyDescent="0.35">
      <c r="A419" t="s">
        <v>24</v>
      </c>
      <c r="D419" t="s">
        <v>26</v>
      </c>
      <c r="F419">
        <v>2</v>
      </c>
      <c r="G419">
        <v>3</v>
      </c>
      <c r="H419">
        <v>3</v>
      </c>
      <c r="K419">
        <v>19</v>
      </c>
      <c r="L419" s="6"/>
      <c r="M419" s="122">
        <v>45442</v>
      </c>
      <c r="O419">
        <v>151</v>
      </c>
    </row>
    <row r="420" spans="1:15" x14ac:dyDescent="0.35">
      <c r="A420" t="s">
        <v>24</v>
      </c>
      <c r="D420" t="s">
        <v>26</v>
      </c>
      <c r="F420">
        <v>4</v>
      </c>
      <c r="G420">
        <v>6</v>
      </c>
      <c r="H420">
        <v>7</v>
      </c>
      <c r="K420">
        <v>54</v>
      </c>
      <c r="M420" s="122">
        <v>45442</v>
      </c>
      <c r="O420">
        <v>151</v>
      </c>
    </row>
    <row r="421" spans="1:15" x14ac:dyDescent="0.35">
      <c r="A421" t="s">
        <v>24</v>
      </c>
      <c r="D421" t="s">
        <v>26</v>
      </c>
      <c r="F421">
        <v>3</v>
      </c>
      <c r="G421">
        <v>8</v>
      </c>
      <c r="H421">
        <v>5</v>
      </c>
      <c r="K421">
        <v>40</v>
      </c>
      <c r="M421" s="122">
        <v>45442</v>
      </c>
      <c r="O421">
        <v>151</v>
      </c>
    </row>
    <row r="422" spans="1:15" x14ac:dyDescent="0.35">
      <c r="A422" t="s">
        <v>24</v>
      </c>
      <c r="D422" t="s">
        <v>26</v>
      </c>
      <c r="F422">
        <v>1</v>
      </c>
      <c r="G422">
        <v>2</v>
      </c>
      <c r="H422">
        <v>1</v>
      </c>
      <c r="K422">
        <v>2</v>
      </c>
      <c r="L422" s="6"/>
      <c r="M422" s="122">
        <v>45446</v>
      </c>
      <c r="O422">
        <v>155</v>
      </c>
    </row>
    <row r="423" spans="1:15" x14ac:dyDescent="0.35">
      <c r="A423" t="s">
        <v>24</v>
      </c>
      <c r="D423" t="s">
        <v>26</v>
      </c>
      <c r="F423">
        <v>2</v>
      </c>
      <c r="G423">
        <v>3</v>
      </c>
      <c r="H423">
        <v>3</v>
      </c>
      <c r="K423">
        <v>19</v>
      </c>
      <c r="L423" s="6"/>
      <c r="M423" s="122">
        <v>45446</v>
      </c>
      <c r="O423">
        <v>155</v>
      </c>
    </row>
    <row r="424" spans="1:15" x14ac:dyDescent="0.35">
      <c r="A424" t="s">
        <v>24</v>
      </c>
      <c r="D424" t="s">
        <v>26</v>
      </c>
      <c r="F424">
        <v>4</v>
      </c>
      <c r="G424">
        <v>6</v>
      </c>
      <c r="H424">
        <v>7</v>
      </c>
      <c r="K424">
        <v>54</v>
      </c>
      <c r="M424" s="122">
        <v>45446</v>
      </c>
      <c r="O424">
        <v>155</v>
      </c>
    </row>
    <row r="425" spans="1:15" x14ac:dyDescent="0.35">
      <c r="A425" t="s">
        <v>24</v>
      </c>
      <c r="D425" t="s">
        <v>26</v>
      </c>
      <c r="F425">
        <v>3</v>
      </c>
      <c r="G425">
        <v>8</v>
      </c>
      <c r="H425">
        <v>5</v>
      </c>
      <c r="K425">
        <v>40</v>
      </c>
      <c r="M425" s="122">
        <v>45446</v>
      </c>
      <c r="O425">
        <v>155</v>
      </c>
    </row>
    <row r="426" spans="1:15" x14ac:dyDescent="0.35">
      <c r="A426" t="s">
        <v>24</v>
      </c>
      <c r="D426" t="s">
        <v>26</v>
      </c>
      <c r="F426">
        <v>1</v>
      </c>
      <c r="G426">
        <v>2</v>
      </c>
      <c r="H426">
        <v>1</v>
      </c>
      <c r="K426">
        <v>2</v>
      </c>
      <c r="L426" s="6"/>
      <c r="M426" s="122">
        <v>45450</v>
      </c>
      <c r="O426">
        <v>159</v>
      </c>
    </row>
    <row r="427" spans="1:15" x14ac:dyDescent="0.35">
      <c r="A427" t="s">
        <v>24</v>
      </c>
      <c r="B427" s="71"/>
      <c r="C427" s="72"/>
      <c r="D427" t="s">
        <v>26</v>
      </c>
      <c r="E427" s="71"/>
      <c r="F427">
        <v>2</v>
      </c>
      <c r="G427">
        <v>3</v>
      </c>
      <c r="H427">
        <v>3</v>
      </c>
      <c r="I427" s="73"/>
      <c r="J427" s="73"/>
      <c r="K427">
        <v>19</v>
      </c>
      <c r="L427" s="6"/>
      <c r="M427" s="122">
        <v>45450</v>
      </c>
      <c r="O427">
        <v>159</v>
      </c>
    </row>
    <row r="428" spans="1:15" x14ac:dyDescent="0.35">
      <c r="A428" t="s">
        <v>24</v>
      </c>
      <c r="D428" t="s">
        <v>26</v>
      </c>
      <c r="F428">
        <v>4</v>
      </c>
      <c r="G428">
        <v>6</v>
      </c>
      <c r="H428">
        <v>7</v>
      </c>
      <c r="K428">
        <v>54</v>
      </c>
      <c r="M428" s="122">
        <v>45450</v>
      </c>
      <c r="O428">
        <v>159</v>
      </c>
    </row>
    <row r="429" spans="1:15" x14ac:dyDescent="0.35">
      <c r="A429" t="s">
        <v>24</v>
      </c>
      <c r="D429" t="s">
        <v>26</v>
      </c>
      <c r="F429">
        <v>3</v>
      </c>
      <c r="G429">
        <v>8</v>
      </c>
      <c r="H429">
        <v>5</v>
      </c>
      <c r="K429">
        <v>40</v>
      </c>
      <c r="M429" s="122">
        <v>45450</v>
      </c>
      <c r="O429">
        <v>159</v>
      </c>
    </row>
    <row r="430" spans="1:15" x14ac:dyDescent="0.35">
      <c r="A430" t="s">
        <v>24</v>
      </c>
      <c r="D430" t="s">
        <v>26</v>
      </c>
      <c r="F430">
        <v>1</v>
      </c>
      <c r="G430">
        <v>2</v>
      </c>
      <c r="H430">
        <v>1</v>
      </c>
      <c r="K430">
        <v>2</v>
      </c>
      <c r="L430" s="6"/>
      <c r="M430" s="122">
        <v>45462</v>
      </c>
      <c r="O430">
        <v>171</v>
      </c>
    </row>
    <row r="431" spans="1:15" x14ac:dyDescent="0.35">
      <c r="A431" t="s">
        <v>24</v>
      </c>
      <c r="D431" t="s">
        <v>26</v>
      </c>
      <c r="F431">
        <v>2</v>
      </c>
      <c r="G431">
        <v>3</v>
      </c>
      <c r="H431">
        <v>3</v>
      </c>
      <c r="K431">
        <v>19</v>
      </c>
      <c r="L431" s="6"/>
      <c r="M431" s="122">
        <v>45462</v>
      </c>
      <c r="O431">
        <v>171</v>
      </c>
    </row>
    <row r="432" spans="1:15" x14ac:dyDescent="0.35">
      <c r="A432" t="s">
        <v>24</v>
      </c>
      <c r="D432" t="s">
        <v>26</v>
      </c>
      <c r="F432">
        <v>4</v>
      </c>
      <c r="G432">
        <v>6</v>
      </c>
      <c r="H432">
        <v>7</v>
      </c>
      <c r="K432">
        <v>54</v>
      </c>
      <c r="M432" s="122">
        <v>45462</v>
      </c>
      <c r="O432">
        <v>171</v>
      </c>
    </row>
    <row r="433" spans="1:15" x14ac:dyDescent="0.35">
      <c r="A433" t="s">
        <v>24</v>
      </c>
      <c r="D433" t="s">
        <v>26</v>
      </c>
      <c r="F433">
        <v>3</v>
      </c>
      <c r="G433">
        <v>8</v>
      </c>
      <c r="H433">
        <v>5</v>
      </c>
      <c r="K433">
        <v>40</v>
      </c>
      <c r="M433" s="122">
        <v>45462</v>
      </c>
      <c r="O433">
        <v>171</v>
      </c>
    </row>
    <row r="434" spans="1:15" x14ac:dyDescent="0.35">
      <c r="A434" t="s">
        <v>24</v>
      </c>
      <c r="D434" t="s">
        <v>27</v>
      </c>
      <c r="F434">
        <v>1</v>
      </c>
      <c r="G434">
        <v>1</v>
      </c>
      <c r="H434">
        <v>1</v>
      </c>
      <c r="K434">
        <v>1</v>
      </c>
      <c r="L434" s="6"/>
      <c r="M434" s="122">
        <v>45411</v>
      </c>
      <c r="N434" s="79">
        <v>0</v>
      </c>
      <c r="O434">
        <v>120</v>
      </c>
    </row>
    <row r="435" spans="1:15" x14ac:dyDescent="0.35">
      <c r="A435" t="s">
        <v>24</v>
      </c>
      <c r="D435" t="s">
        <v>27</v>
      </c>
      <c r="F435">
        <v>4</v>
      </c>
      <c r="G435">
        <v>4</v>
      </c>
      <c r="H435">
        <v>7</v>
      </c>
      <c r="K435">
        <v>52</v>
      </c>
      <c r="L435" s="6"/>
      <c r="M435" s="122">
        <v>45411</v>
      </c>
      <c r="N435">
        <v>0</v>
      </c>
      <c r="O435">
        <v>120</v>
      </c>
    </row>
    <row r="436" spans="1:15" x14ac:dyDescent="0.35">
      <c r="A436" t="s">
        <v>24</v>
      </c>
      <c r="D436" t="s">
        <v>27</v>
      </c>
      <c r="F436">
        <v>3</v>
      </c>
      <c r="G436">
        <v>5</v>
      </c>
      <c r="H436">
        <v>5</v>
      </c>
      <c r="K436">
        <v>37</v>
      </c>
      <c r="M436" s="122">
        <v>45411</v>
      </c>
      <c r="N436">
        <v>0</v>
      </c>
      <c r="O436">
        <v>120</v>
      </c>
    </row>
    <row r="437" spans="1:15" x14ac:dyDescent="0.35">
      <c r="A437" t="s">
        <v>24</v>
      </c>
      <c r="D437" t="s">
        <v>27</v>
      </c>
      <c r="F437">
        <v>2</v>
      </c>
      <c r="G437">
        <v>8</v>
      </c>
      <c r="H437">
        <v>3</v>
      </c>
      <c r="K437">
        <v>24</v>
      </c>
      <c r="M437" s="122">
        <v>45411</v>
      </c>
      <c r="N437">
        <v>2</v>
      </c>
      <c r="O437">
        <v>120</v>
      </c>
    </row>
    <row r="438" spans="1:15" x14ac:dyDescent="0.35">
      <c r="A438" t="s">
        <v>24</v>
      </c>
      <c r="D438" t="s">
        <v>27</v>
      </c>
      <c r="F438">
        <v>1</v>
      </c>
      <c r="G438">
        <v>1</v>
      </c>
      <c r="H438">
        <v>1</v>
      </c>
      <c r="K438">
        <v>1</v>
      </c>
      <c r="L438" s="6"/>
      <c r="M438" s="122">
        <v>45414</v>
      </c>
      <c r="N438" s="28">
        <v>33</v>
      </c>
      <c r="O438">
        <v>123</v>
      </c>
    </row>
    <row r="439" spans="1:15" x14ac:dyDescent="0.35">
      <c r="A439" t="s">
        <v>24</v>
      </c>
      <c r="D439" t="s">
        <v>27</v>
      </c>
      <c r="F439">
        <v>4</v>
      </c>
      <c r="G439">
        <v>4</v>
      </c>
      <c r="H439">
        <v>7</v>
      </c>
      <c r="K439">
        <v>52</v>
      </c>
      <c r="L439" s="6"/>
      <c r="M439" s="122">
        <v>45414</v>
      </c>
      <c r="N439">
        <v>31</v>
      </c>
      <c r="O439">
        <v>123</v>
      </c>
    </row>
    <row r="440" spans="1:15" x14ac:dyDescent="0.35">
      <c r="A440" t="s">
        <v>24</v>
      </c>
      <c r="D440" t="s">
        <v>27</v>
      </c>
      <c r="F440">
        <v>3</v>
      </c>
      <c r="G440">
        <v>5</v>
      </c>
      <c r="H440">
        <v>5</v>
      </c>
      <c r="K440">
        <v>37</v>
      </c>
      <c r="M440" s="122">
        <v>45414</v>
      </c>
      <c r="N440">
        <v>26</v>
      </c>
      <c r="O440">
        <v>123</v>
      </c>
    </row>
    <row r="441" spans="1:15" x14ac:dyDescent="0.35">
      <c r="A441" t="s">
        <v>24</v>
      </c>
      <c r="D441" t="s">
        <v>27</v>
      </c>
      <c r="F441">
        <v>2</v>
      </c>
      <c r="G441">
        <v>8</v>
      </c>
      <c r="H441">
        <v>3</v>
      </c>
      <c r="K441">
        <v>24</v>
      </c>
      <c r="M441" s="122">
        <v>45414</v>
      </c>
      <c r="N441">
        <v>29</v>
      </c>
      <c r="O441">
        <v>123</v>
      </c>
    </row>
    <row r="442" spans="1:15" x14ac:dyDescent="0.35">
      <c r="A442" t="s">
        <v>24</v>
      </c>
      <c r="D442" t="s">
        <v>27</v>
      </c>
      <c r="F442">
        <v>1</v>
      </c>
      <c r="G442">
        <v>1</v>
      </c>
      <c r="H442">
        <v>1</v>
      </c>
      <c r="K442">
        <v>1</v>
      </c>
      <c r="L442" s="6"/>
      <c r="M442" s="122">
        <v>45418</v>
      </c>
      <c r="N442" s="28">
        <v>36</v>
      </c>
      <c r="O442">
        <v>127</v>
      </c>
    </row>
    <row r="443" spans="1:15" x14ac:dyDescent="0.35">
      <c r="A443" t="s">
        <v>24</v>
      </c>
      <c r="D443" t="s">
        <v>27</v>
      </c>
      <c r="F443">
        <v>4</v>
      </c>
      <c r="G443">
        <v>4</v>
      </c>
      <c r="H443">
        <v>7</v>
      </c>
      <c r="K443">
        <v>52</v>
      </c>
      <c r="L443" s="6"/>
      <c r="M443" s="122">
        <v>45418</v>
      </c>
      <c r="N443">
        <v>33</v>
      </c>
      <c r="O443">
        <v>127</v>
      </c>
    </row>
    <row r="444" spans="1:15" x14ac:dyDescent="0.35">
      <c r="A444" t="s">
        <v>24</v>
      </c>
      <c r="D444" t="s">
        <v>27</v>
      </c>
      <c r="F444">
        <v>3</v>
      </c>
      <c r="G444">
        <v>5</v>
      </c>
      <c r="H444">
        <v>5</v>
      </c>
      <c r="K444">
        <v>37</v>
      </c>
      <c r="M444" s="122">
        <v>45418</v>
      </c>
      <c r="N444">
        <v>30</v>
      </c>
      <c r="O444">
        <v>127</v>
      </c>
    </row>
    <row r="445" spans="1:15" x14ac:dyDescent="0.35">
      <c r="A445" t="s">
        <v>24</v>
      </c>
      <c r="D445" t="s">
        <v>27</v>
      </c>
      <c r="F445">
        <v>2</v>
      </c>
      <c r="G445">
        <v>8</v>
      </c>
      <c r="H445">
        <v>3</v>
      </c>
      <c r="K445">
        <v>24</v>
      </c>
      <c r="M445" s="122">
        <v>45418</v>
      </c>
      <c r="N445">
        <v>32</v>
      </c>
      <c r="O445">
        <v>127</v>
      </c>
    </row>
    <row r="446" spans="1:15" x14ac:dyDescent="0.35">
      <c r="A446" t="s">
        <v>24</v>
      </c>
      <c r="D446" t="s">
        <v>27</v>
      </c>
      <c r="F446">
        <v>1</v>
      </c>
      <c r="G446">
        <v>1</v>
      </c>
      <c r="H446">
        <v>1</v>
      </c>
      <c r="K446">
        <v>1</v>
      </c>
      <c r="L446" s="6"/>
      <c r="M446" s="122">
        <v>45421</v>
      </c>
      <c r="N446" s="28">
        <v>36</v>
      </c>
      <c r="O446">
        <v>130</v>
      </c>
    </row>
    <row r="447" spans="1:15" x14ac:dyDescent="0.35">
      <c r="A447" t="s">
        <v>24</v>
      </c>
      <c r="D447" t="s">
        <v>27</v>
      </c>
      <c r="F447">
        <v>4</v>
      </c>
      <c r="G447">
        <v>4</v>
      </c>
      <c r="H447">
        <v>7</v>
      </c>
      <c r="K447">
        <v>52</v>
      </c>
      <c r="L447" s="6"/>
      <c r="M447" s="122">
        <v>45421</v>
      </c>
      <c r="N447">
        <v>33</v>
      </c>
      <c r="O447">
        <v>130</v>
      </c>
    </row>
    <row r="448" spans="1:15" x14ac:dyDescent="0.35">
      <c r="A448" t="s">
        <v>24</v>
      </c>
      <c r="D448" t="s">
        <v>27</v>
      </c>
      <c r="F448">
        <v>3</v>
      </c>
      <c r="G448">
        <v>5</v>
      </c>
      <c r="H448">
        <v>5</v>
      </c>
      <c r="K448">
        <v>37</v>
      </c>
      <c r="M448" s="122">
        <v>45421</v>
      </c>
      <c r="N448">
        <v>31</v>
      </c>
      <c r="O448">
        <v>130</v>
      </c>
    </row>
    <row r="449" spans="1:15" x14ac:dyDescent="0.35">
      <c r="A449" t="s">
        <v>24</v>
      </c>
      <c r="D449" t="s">
        <v>27</v>
      </c>
      <c r="F449">
        <v>2</v>
      </c>
      <c r="G449">
        <v>8</v>
      </c>
      <c r="H449">
        <v>3</v>
      </c>
      <c r="K449">
        <v>24</v>
      </c>
      <c r="M449" s="122">
        <v>45421</v>
      </c>
      <c r="N449">
        <v>38</v>
      </c>
      <c r="O449">
        <v>130</v>
      </c>
    </row>
    <row r="450" spans="1:15" x14ac:dyDescent="0.35">
      <c r="A450" t="s">
        <v>24</v>
      </c>
      <c r="D450" t="s">
        <v>27</v>
      </c>
      <c r="F450">
        <v>1</v>
      </c>
      <c r="G450">
        <v>1</v>
      </c>
      <c r="H450">
        <v>1</v>
      </c>
      <c r="K450">
        <v>1</v>
      </c>
      <c r="L450" s="6"/>
      <c r="M450" s="122">
        <v>45425</v>
      </c>
      <c r="N450" s="28">
        <v>36</v>
      </c>
      <c r="O450">
        <v>134</v>
      </c>
    </row>
    <row r="451" spans="1:15" x14ac:dyDescent="0.35">
      <c r="A451" t="s">
        <v>24</v>
      </c>
      <c r="D451" t="s">
        <v>27</v>
      </c>
      <c r="F451">
        <v>4</v>
      </c>
      <c r="G451">
        <v>4</v>
      </c>
      <c r="H451">
        <v>7</v>
      </c>
      <c r="K451">
        <v>52</v>
      </c>
      <c r="L451" s="6"/>
      <c r="M451" s="122">
        <v>45425</v>
      </c>
      <c r="N451">
        <v>33</v>
      </c>
      <c r="O451">
        <v>134</v>
      </c>
    </row>
    <row r="452" spans="1:15" x14ac:dyDescent="0.35">
      <c r="A452" t="s">
        <v>24</v>
      </c>
      <c r="D452" t="s">
        <v>27</v>
      </c>
      <c r="F452">
        <v>3</v>
      </c>
      <c r="G452">
        <v>5</v>
      </c>
      <c r="H452">
        <v>5</v>
      </c>
      <c r="K452">
        <v>37</v>
      </c>
      <c r="M452" s="122">
        <v>45425</v>
      </c>
      <c r="N452">
        <v>31</v>
      </c>
      <c r="O452">
        <v>134</v>
      </c>
    </row>
    <row r="453" spans="1:15" x14ac:dyDescent="0.35">
      <c r="A453" t="s">
        <v>24</v>
      </c>
      <c r="D453" t="s">
        <v>27</v>
      </c>
      <c r="F453">
        <v>2</v>
      </c>
      <c r="G453">
        <v>8</v>
      </c>
      <c r="H453">
        <v>3</v>
      </c>
      <c r="K453">
        <v>24</v>
      </c>
      <c r="M453" s="122">
        <v>45425</v>
      </c>
      <c r="N453">
        <v>38</v>
      </c>
      <c r="O453">
        <v>134</v>
      </c>
    </row>
    <row r="454" spans="1:15" x14ac:dyDescent="0.35">
      <c r="A454" t="s">
        <v>24</v>
      </c>
      <c r="D454" t="s">
        <v>27</v>
      </c>
      <c r="F454">
        <v>1</v>
      </c>
      <c r="G454">
        <v>1</v>
      </c>
      <c r="H454">
        <v>1</v>
      </c>
      <c r="K454">
        <v>1</v>
      </c>
      <c r="L454" s="6"/>
      <c r="M454" s="122">
        <v>45428</v>
      </c>
      <c r="N454" s="28"/>
      <c r="O454">
        <v>137</v>
      </c>
    </row>
    <row r="455" spans="1:15" x14ac:dyDescent="0.35">
      <c r="A455" t="s">
        <v>24</v>
      </c>
      <c r="D455" t="s">
        <v>27</v>
      </c>
      <c r="F455">
        <v>4</v>
      </c>
      <c r="G455">
        <v>4</v>
      </c>
      <c r="H455">
        <v>7</v>
      </c>
      <c r="K455">
        <v>52</v>
      </c>
      <c r="L455" s="6"/>
      <c r="M455" s="122">
        <v>45428</v>
      </c>
      <c r="O455">
        <v>137</v>
      </c>
    </row>
    <row r="456" spans="1:15" x14ac:dyDescent="0.35">
      <c r="A456" t="s">
        <v>24</v>
      </c>
      <c r="D456" t="s">
        <v>27</v>
      </c>
      <c r="F456">
        <v>3</v>
      </c>
      <c r="G456">
        <v>5</v>
      </c>
      <c r="H456">
        <v>5</v>
      </c>
      <c r="K456">
        <v>37</v>
      </c>
      <c r="M456" s="122">
        <v>45428</v>
      </c>
      <c r="O456">
        <v>137</v>
      </c>
    </row>
    <row r="457" spans="1:15" x14ac:dyDescent="0.35">
      <c r="A457" t="s">
        <v>24</v>
      </c>
      <c r="D457" t="s">
        <v>27</v>
      </c>
      <c r="F457">
        <v>2</v>
      </c>
      <c r="G457">
        <v>8</v>
      </c>
      <c r="H457">
        <v>3</v>
      </c>
      <c r="K457">
        <v>24</v>
      </c>
      <c r="M457" s="122">
        <v>45428</v>
      </c>
      <c r="O457">
        <v>137</v>
      </c>
    </row>
    <row r="458" spans="1:15" x14ac:dyDescent="0.35">
      <c r="A458" t="s">
        <v>24</v>
      </c>
      <c r="D458" t="s">
        <v>27</v>
      </c>
      <c r="F458">
        <v>1</v>
      </c>
      <c r="G458">
        <v>1</v>
      </c>
      <c r="H458">
        <v>1</v>
      </c>
      <c r="K458">
        <v>1</v>
      </c>
      <c r="L458" s="6"/>
      <c r="M458" s="122">
        <v>45435</v>
      </c>
      <c r="N458" s="28"/>
      <c r="O458">
        <v>144</v>
      </c>
    </row>
    <row r="459" spans="1:15" x14ac:dyDescent="0.35">
      <c r="A459" t="s">
        <v>24</v>
      </c>
      <c r="D459" t="s">
        <v>27</v>
      </c>
      <c r="F459">
        <v>4</v>
      </c>
      <c r="G459">
        <v>4</v>
      </c>
      <c r="H459">
        <v>7</v>
      </c>
      <c r="K459">
        <v>52</v>
      </c>
      <c r="L459" s="6"/>
      <c r="M459" s="122">
        <v>45435</v>
      </c>
      <c r="O459">
        <v>144</v>
      </c>
    </row>
    <row r="460" spans="1:15" x14ac:dyDescent="0.35">
      <c r="A460" t="s">
        <v>24</v>
      </c>
      <c r="D460" t="s">
        <v>27</v>
      </c>
      <c r="F460">
        <v>3</v>
      </c>
      <c r="G460">
        <v>5</v>
      </c>
      <c r="H460">
        <v>5</v>
      </c>
      <c r="K460">
        <v>37</v>
      </c>
      <c r="M460" s="122">
        <v>45435</v>
      </c>
      <c r="O460">
        <v>144</v>
      </c>
    </row>
    <row r="461" spans="1:15" x14ac:dyDescent="0.35">
      <c r="A461" t="s">
        <v>24</v>
      </c>
      <c r="D461" t="s">
        <v>27</v>
      </c>
      <c r="F461">
        <v>2</v>
      </c>
      <c r="G461">
        <v>8</v>
      </c>
      <c r="H461">
        <v>3</v>
      </c>
      <c r="K461">
        <v>24</v>
      </c>
      <c r="M461" s="122">
        <v>45435</v>
      </c>
      <c r="O461">
        <v>144</v>
      </c>
    </row>
    <row r="462" spans="1:15" x14ac:dyDescent="0.35">
      <c r="A462" t="s">
        <v>24</v>
      </c>
      <c r="D462" t="s">
        <v>27</v>
      </c>
      <c r="F462">
        <v>1</v>
      </c>
      <c r="G462">
        <v>1</v>
      </c>
      <c r="H462">
        <v>1</v>
      </c>
      <c r="K462">
        <v>1</v>
      </c>
      <c r="L462" s="6"/>
      <c r="M462" s="122">
        <v>45440</v>
      </c>
      <c r="N462" s="28"/>
      <c r="O462">
        <v>149</v>
      </c>
    </row>
    <row r="463" spans="1:15" x14ac:dyDescent="0.35">
      <c r="A463" t="s">
        <v>24</v>
      </c>
      <c r="D463" t="s">
        <v>27</v>
      </c>
      <c r="F463">
        <v>4</v>
      </c>
      <c r="G463">
        <v>4</v>
      </c>
      <c r="H463">
        <v>7</v>
      </c>
      <c r="K463">
        <v>52</v>
      </c>
      <c r="L463" s="6"/>
      <c r="M463" s="122">
        <v>45440</v>
      </c>
      <c r="O463">
        <v>149</v>
      </c>
    </row>
    <row r="464" spans="1:15" x14ac:dyDescent="0.35">
      <c r="A464" t="s">
        <v>24</v>
      </c>
      <c r="D464" t="s">
        <v>27</v>
      </c>
      <c r="F464">
        <v>3</v>
      </c>
      <c r="G464">
        <v>5</v>
      </c>
      <c r="H464">
        <v>5</v>
      </c>
      <c r="K464">
        <v>37</v>
      </c>
      <c r="M464" s="122">
        <v>45440</v>
      </c>
      <c r="O464">
        <v>149</v>
      </c>
    </row>
    <row r="465" spans="1:15" x14ac:dyDescent="0.35">
      <c r="A465" t="s">
        <v>24</v>
      </c>
      <c r="D465" t="s">
        <v>27</v>
      </c>
      <c r="F465">
        <v>2</v>
      </c>
      <c r="G465">
        <v>8</v>
      </c>
      <c r="H465">
        <v>3</v>
      </c>
      <c r="K465">
        <v>24</v>
      </c>
      <c r="M465" s="122">
        <v>45440</v>
      </c>
      <c r="O465">
        <v>149</v>
      </c>
    </row>
    <row r="466" spans="1:15" x14ac:dyDescent="0.35">
      <c r="A466" t="s">
        <v>24</v>
      </c>
      <c r="D466" t="s">
        <v>27</v>
      </c>
      <c r="F466">
        <v>1</v>
      </c>
      <c r="G466">
        <v>1</v>
      </c>
      <c r="H466">
        <v>1</v>
      </c>
      <c r="K466">
        <v>1</v>
      </c>
      <c r="L466" s="6"/>
      <c r="M466" s="122">
        <v>45442</v>
      </c>
      <c r="O466">
        <v>151</v>
      </c>
    </row>
    <row r="467" spans="1:15" x14ac:dyDescent="0.35">
      <c r="A467" t="s">
        <v>24</v>
      </c>
      <c r="D467" t="s">
        <v>27</v>
      </c>
      <c r="F467">
        <v>4</v>
      </c>
      <c r="G467">
        <v>4</v>
      </c>
      <c r="H467">
        <v>7</v>
      </c>
      <c r="K467">
        <v>52</v>
      </c>
      <c r="L467" s="6"/>
      <c r="M467" s="122">
        <v>45442</v>
      </c>
      <c r="O467">
        <v>151</v>
      </c>
    </row>
    <row r="468" spans="1:15" x14ac:dyDescent="0.35">
      <c r="A468" t="s">
        <v>24</v>
      </c>
      <c r="D468" t="s">
        <v>27</v>
      </c>
      <c r="F468">
        <v>3</v>
      </c>
      <c r="G468">
        <v>5</v>
      </c>
      <c r="H468">
        <v>5</v>
      </c>
      <c r="K468">
        <v>37</v>
      </c>
      <c r="M468" s="122">
        <v>45442</v>
      </c>
      <c r="O468">
        <v>151</v>
      </c>
    </row>
    <row r="469" spans="1:15" x14ac:dyDescent="0.35">
      <c r="A469" t="s">
        <v>24</v>
      </c>
      <c r="D469" t="s">
        <v>27</v>
      </c>
      <c r="F469">
        <v>2</v>
      </c>
      <c r="G469">
        <v>8</v>
      </c>
      <c r="H469">
        <v>3</v>
      </c>
      <c r="K469">
        <v>24</v>
      </c>
      <c r="M469" s="122">
        <v>45442</v>
      </c>
      <c r="O469">
        <v>151</v>
      </c>
    </row>
    <row r="470" spans="1:15" x14ac:dyDescent="0.35">
      <c r="A470" t="s">
        <v>24</v>
      </c>
      <c r="D470" t="s">
        <v>27</v>
      </c>
      <c r="F470">
        <v>1</v>
      </c>
      <c r="G470">
        <v>1</v>
      </c>
      <c r="H470">
        <v>1</v>
      </c>
      <c r="K470">
        <v>1</v>
      </c>
      <c r="L470" s="6"/>
      <c r="M470" s="122">
        <v>45446</v>
      </c>
      <c r="O470">
        <v>155</v>
      </c>
    </row>
    <row r="471" spans="1:15" x14ac:dyDescent="0.35">
      <c r="A471" t="s">
        <v>24</v>
      </c>
      <c r="D471" t="s">
        <v>27</v>
      </c>
      <c r="F471">
        <v>4</v>
      </c>
      <c r="G471">
        <v>4</v>
      </c>
      <c r="H471">
        <v>7</v>
      </c>
      <c r="K471">
        <v>52</v>
      </c>
      <c r="L471" s="6"/>
      <c r="M471" s="122">
        <v>45446</v>
      </c>
      <c r="O471">
        <v>155</v>
      </c>
    </row>
    <row r="472" spans="1:15" x14ac:dyDescent="0.35">
      <c r="A472" t="s">
        <v>24</v>
      </c>
      <c r="D472" t="s">
        <v>27</v>
      </c>
      <c r="F472">
        <v>3</v>
      </c>
      <c r="G472">
        <v>5</v>
      </c>
      <c r="H472">
        <v>5</v>
      </c>
      <c r="K472">
        <v>37</v>
      </c>
      <c r="M472" s="122">
        <v>45446</v>
      </c>
      <c r="O472">
        <v>155</v>
      </c>
    </row>
    <row r="473" spans="1:15" x14ac:dyDescent="0.35">
      <c r="A473" t="s">
        <v>24</v>
      </c>
      <c r="D473" t="s">
        <v>27</v>
      </c>
      <c r="F473">
        <v>2</v>
      </c>
      <c r="G473">
        <v>8</v>
      </c>
      <c r="H473">
        <v>3</v>
      </c>
      <c r="K473">
        <v>24</v>
      </c>
      <c r="M473" s="122">
        <v>45446</v>
      </c>
      <c r="O473">
        <v>155</v>
      </c>
    </row>
    <row r="474" spans="1:15" x14ac:dyDescent="0.35">
      <c r="A474" t="s">
        <v>24</v>
      </c>
      <c r="D474" t="s">
        <v>27</v>
      </c>
      <c r="F474">
        <v>1</v>
      </c>
      <c r="G474">
        <v>1</v>
      </c>
      <c r="H474">
        <v>1</v>
      </c>
      <c r="K474">
        <v>1</v>
      </c>
      <c r="L474" s="6"/>
      <c r="M474" s="122">
        <v>45450</v>
      </c>
      <c r="O474">
        <v>159</v>
      </c>
    </row>
    <row r="475" spans="1:15" x14ac:dyDescent="0.35">
      <c r="A475" t="s">
        <v>24</v>
      </c>
      <c r="D475" t="s">
        <v>27</v>
      </c>
      <c r="F475">
        <v>4</v>
      </c>
      <c r="G475">
        <v>4</v>
      </c>
      <c r="H475">
        <v>7</v>
      </c>
      <c r="K475">
        <v>52</v>
      </c>
      <c r="L475" s="6"/>
      <c r="M475" s="122">
        <v>45450</v>
      </c>
      <c r="O475">
        <v>159</v>
      </c>
    </row>
    <row r="476" spans="1:15" x14ac:dyDescent="0.35">
      <c r="A476" t="s">
        <v>24</v>
      </c>
      <c r="D476" t="s">
        <v>27</v>
      </c>
      <c r="F476">
        <v>3</v>
      </c>
      <c r="G476">
        <v>5</v>
      </c>
      <c r="H476">
        <v>5</v>
      </c>
      <c r="K476">
        <v>37</v>
      </c>
      <c r="M476" s="122">
        <v>45450</v>
      </c>
      <c r="O476">
        <v>159</v>
      </c>
    </row>
    <row r="477" spans="1:15" x14ac:dyDescent="0.35">
      <c r="A477" t="s">
        <v>24</v>
      </c>
      <c r="D477" t="s">
        <v>27</v>
      </c>
      <c r="F477">
        <v>2</v>
      </c>
      <c r="G477">
        <v>8</v>
      </c>
      <c r="H477">
        <v>3</v>
      </c>
      <c r="K477">
        <v>24</v>
      </c>
      <c r="M477" s="122">
        <v>45450</v>
      </c>
      <c r="O477">
        <v>159</v>
      </c>
    </row>
    <row r="478" spans="1:15" x14ac:dyDescent="0.35">
      <c r="A478" t="s">
        <v>24</v>
      </c>
      <c r="D478" t="s">
        <v>27</v>
      </c>
      <c r="F478">
        <v>1</v>
      </c>
      <c r="G478">
        <v>1</v>
      </c>
      <c r="H478">
        <v>1</v>
      </c>
      <c r="K478">
        <v>1</v>
      </c>
      <c r="L478" s="6"/>
      <c r="M478" s="122">
        <v>45462</v>
      </c>
      <c r="O478">
        <v>171</v>
      </c>
    </row>
    <row r="479" spans="1:15" x14ac:dyDescent="0.35">
      <c r="A479" t="s">
        <v>24</v>
      </c>
      <c r="D479" t="s">
        <v>27</v>
      </c>
      <c r="F479">
        <v>4</v>
      </c>
      <c r="G479">
        <v>4</v>
      </c>
      <c r="H479">
        <v>7</v>
      </c>
      <c r="K479">
        <v>52</v>
      </c>
      <c r="L479" s="6"/>
      <c r="M479" s="122">
        <v>45462</v>
      </c>
      <c r="O479">
        <v>171</v>
      </c>
    </row>
    <row r="480" spans="1:15" x14ac:dyDescent="0.35">
      <c r="A480" t="s">
        <v>24</v>
      </c>
      <c r="D480" t="s">
        <v>27</v>
      </c>
      <c r="F480">
        <v>3</v>
      </c>
      <c r="G480">
        <v>5</v>
      </c>
      <c r="H480">
        <v>5</v>
      </c>
      <c r="K480">
        <v>37</v>
      </c>
      <c r="M480" s="122">
        <v>45462</v>
      </c>
      <c r="O480">
        <v>171</v>
      </c>
    </row>
    <row r="481" spans="1:15" x14ac:dyDescent="0.35">
      <c r="A481" t="s">
        <v>24</v>
      </c>
      <c r="D481" t="s">
        <v>27</v>
      </c>
      <c r="F481">
        <v>2</v>
      </c>
      <c r="G481">
        <v>8</v>
      </c>
      <c r="H481">
        <v>3</v>
      </c>
      <c r="K481">
        <v>24</v>
      </c>
      <c r="M481" s="122">
        <v>45462</v>
      </c>
      <c r="O481">
        <v>171</v>
      </c>
    </row>
    <row r="482" spans="1:15" x14ac:dyDescent="0.35">
      <c r="A482" t="s">
        <v>34</v>
      </c>
      <c r="D482" t="s">
        <v>42</v>
      </c>
      <c r="F482">
        <v>1</v>
      </c>
      <c r="G482">
        <v>1</v>
      </c>
      <c r="H482">
        <v>2</v>
      </c>
      <c r="K482">
        <v>9</v>
      </c>
      <c r="L482" s="6"/>
      <c r="M482" s="122">
        <v>45411</v>
      </c>
      <c r="O482">
        <v>120</v>
      </c>
    </row>
    <row r="483" spans="1:15" x14ac:dyDescent="0.35">
      <c r="A483" t="s">
        <v>34</v>
      </c>
      <c r="D483" t="s">
        <v>42</v>
      </c>
      <c r="F483">
        <v>3</v>
      </c>
      <c r="G483">
        <v>4</v>
      </c>
      <c r="H483">
        <v>6</v>
      </c>
      <c r="K483">
        <v>44</v>
      </c>
      <c r="L483" s="6"/>
      <c r="M483" s="122">
        <v>45411</v>
      </c>
      <c r="O483">
        <v>120</v>
      </c>
    </row>
    <row r="484" spans="1:15" x14ac:dyDescent="0.35">
      <c r="A484" t="s">
        <v>34</v>
      </c>
      <c r="D484" t="s">
        <v>42</v>
      </c>
      <c r="F484">
        <v>2</v>
      </c>
      <c r="G484">
        <v>5</v>
      </c>
      <c r="H484">
        <v>4</v>
      </c>
      <c r="K484">
        <v>29</v>
      </c>
      <c r="M484" s="122">
        <v>45411</v>
      </c>
      <c r="O484">
        <v>120</v>
      </c>
    </row>
    <row r="485" spans="1:15" x14ac:dyDescent="0.35">
      <c r="A485" t="s">
        <v>34</v>
      </c>
      <c r="D485" t="s">
        <v>42</v>
      </c>
      <c r="F485">
        <v>4</v>
      </c>
      <c r="G485">
        <v>7</v>
      </c>
      <c r="H485">
        <v>8</v>
      </c>
      <c r="K485">
        <v>63</v>
      </c>
      <c r="M485" s="122">
        <v>45411</v>
      </c>
      <c r="O485">
        <v>120</v>
      </c>
    </row>
    <row r="486" spans="1:15" x14ac:dyDescent="0.35">
      <c r="A486" t="s">
        <v>34</v>
      </c>
      <c r="D486" t="s">
        <v>42</v>
      </c>
      <c r="F486">
        <v>1</v>
      </c>
      <c r="G486">
        <v>1</v>
      </c>
      <c r="H486">
        <v>2</v>
      </c>
      <c r="K486">
        <v>9</v>
      </c>
      <c r="L486" s="6"/>
      <c r="M486" s="122">
        <v>45414</v>
      </c>
      <c r="O486">
        <v>123</v>
      </c>
    </row>
    <row r="487" spans="1:15" x14ac:dyDescent="0.35">
      <c r="A487" t="s">
        <v>34</v>
      </c>
      <c r="D487" t="s">
        <v>42</v>
      </c>
      <c r="F487">
        <v>3</v>
      </c>
      <c r="G487">
        <v>4</v>
      </c>
      <c r="H487">
        <v>6</v>
      </c>
      <c r="K487">
        <v>44</v>
      </c>
      <c r="L487" s="6"/>
      <c r="M487" s="122">
        <v>45414</v>
      </c>
      <c r="O487">
        <v>123</v>
      </c>
    </row>
    <row r="488" spans="1:15" x14ac:dyDescent="0.35">
      <c r="A488" t="s">
        <v>34</v>
      </c>
      <c r="D488" t="s">
        <v>42</v>
      </c>
      <c r="F488">
        <v>2</v>
      </c>
      <c r="G488">
        <v>5</v>
      </c>
      <c r="H488">
        <v>4</v>
      </c>
      <c r="K488">
        <v>29</v>
      </c>
      <c r="M488" s="122">
        <v>45414</v>
      </c>
      <c r="O488">
        <v>123</v>
      </c>
    </row>
    <row r="489" spans="1:15" x14ac:dyDescent="0.35">
      <c r="A489" t="s">
        <v>34</v>
      </c>
      <c r="D489" t="s">
        <v>42</v>
      </c>
      <c r="F489">
        <v>4</v>
      </c>
      <c r="G489">
        <v>7</v>
      </c>
      <c r="H489">
        <v>8</v>
      </c>
      <c r="K489">
        <v>63</v>
      </c>
      <c r="M489" s="122">
        <v>45414</v>
      </c>
      <c r="O489">
        <v>123</v>
      </c>
    </row>
    <row r="490" spans="1:15" x14ac:dyDescent="0.35">
      <c r="A490" t="s">
        <v>34</v>
      </c>
      <c r="D490" t="s">
        <v>42</v>
      </c>
      <c r="F490">
        <v>1</v>
      </c>
      <c r="G490">
        <v>1</v>
      </c>
      <c r="H490">
        <v>2</v>
      </c>
      <c r="K490">
        <v>9</v>
      </c>
      <c r="L490" s="6"/>
      <c r="M490" s="122">
        <v>45418</v>
      </c>
      <c r="O490">
        <v>127</v>
      </c>
    </row>
    <row r="491" spans="1:15" x14ac:dyDescent="0.35">
      <c r="A491" t="s">
        <v>34</v>
      </c>
      <c r="D491" t="s">
        <v>42</v>
      </c>
      <c r="F491">
        <v>3</v>
      </c>
      <c r="G491">
        <v>4</v>
      </c>
      <c r="H491">
        <v>6</v>
      </c>
      <c r="K491">
        <v>44</v>
      </c>
      <c r="L491" s="6"/>
      <c r="M491" s="122">
        <v>45418</v>
      </c>
      <c r="O491">
        <v>127</v>
      </c>
    </row>
    <row r="492" spans="1:15" x14ac:dyDescent="0.35">
      <c r="A492" t="s">
        <v>34</v>
      </c>
      <c r="D492" t="s">
        <v>42</v>
      </c>
      <c r="F492">
        <v>2</v>
      </c>
      <c r="G492">
        <v>5</v>
      </c>
      <c r="H492">
        <v>4</v>
      </c>
      <c r="K492">
        <v>29</v>
      </c>
      <c r="M492" s="122">
        <v>45418</v>
      </c>
      <c r="O492">
        <v>127</v>
      </c>
    </row>
    <row r="493" spans="1:15" x14ac:dyDescent="0.35">
      <c r="A493" t="s">
        <v>34</v>
      </c>
      <c r="D493" t="s">
        <v>42</v>
      </c>
      <c r="F493">
        <v>4</v>
      </c>
      <c r="G493">
        <v>7</v>
      </c>
      <c r="H493">
        <v>8</v>
      </c>
      <c r="K493">
        <v>63</v>
      </c>
      <c r="M493" s="122">
        <v>45418</v>
      </c>
      <c r="O493">
        <v>127</v>
      </c>
    </row>
    <row r="494" spans="1:15" x14ac:dyDescent="0.35">
      <c r="A494" t="s">
        <v>34</v>
      </c>
      <c r="D494" t="s">
        <v>42</v>
      </c>
      <c r="F494">
        <v>1</v>
      </c>
      <c r="G494">
        <v>1</v>
      </c>
      <c r="H494">
        <v>2</v>
      </c>
      <c r="K494">
        <v>9</v>
      </c>
      <c r="L494" s="6"/>
      <c r="M494" s="122">
        <v>45421</v>
      </c>
      <c r="O494">
        <v>130</v>
      </c>
    </row>
    <row r="495" spans="1:15" x14ac:dyDescent="0.35">
      <c r="A495" t="s">
        <v>34</v>
      </c>
      <c r="D495" t="s">
        <v>42</v>
      </c>
      <c r="F495">
        <v>3</v>
      </c>
      <c r="G495">
        <v>4</v>
      </c>
      <c r="H495">
        <v>6</v>
      </c>
      <c r="K495">
        <v>44</v>
      </c>
      <c r="L495" s="6"/>
      <c r="M495" s="122">
        <v>45421</v>
      </c>
      <c r="O495">
        <v>130</v>
      </c>
    </row>
    <row r="496" spans="1:15" x14ac:dyDescent="0.35">
      <c r="A496" t="s">
        <v>34</v>
      </c>
      <c r="D496" t="s">
        <v>42</v>
      </c>
      <c r="F496">
        <v>2</v>
      </c>
      <c r="G496">
        <v>5</v>
      </c>
      <c r="H496">
        <v>4</v>
      </c>
      <c r="K496">
        <v>29</v>
      </c>
      <c r="M496" s="122">
        <v>45421</v>
      </c>
      <c r="O496">
        <v>130</v>
      </c>
    </row>
    <row r="497" spans="1:15" x14ac:dyDescent="0.35">
      <c r="A497" t="s">
        <v>34</v>
      </c>
      <c r="D497" t="s">
        <v>42</v>
      </c>
      <c r="F497">
        <v>4</v>
      </c>
      <c r="G497">
        <v>7</v>
      </c>
      <c r="H497">
        <v>8</v>
      </c>
      <c r="K497">
        <v>63</v>
      </c>
      <c r="M497" s="122">
        <v>45421</v>
      </c>
      <c r="O497">
        <v>130</v>
      </c>
    </row>
    <row r="498" spans="1:15" x14ac:dyDescent="0.35">
      <c r="A498" t="s">
        <v>34</v>
      </c>
      <c r="D498" t="s">
        <v>42</v>
      </c>
      <c r="F498">
        <v>1</v>
      </c>
      <c r="G498">
        <v>1</v>
      </c>
      <c r="H498">
        <v>2</v>
      </c>
      <c r="K498">
        <v>9</v>
      </c>
      <c r="L498" s="6"/>
      <c r="M498" s="122">
        <v>45425</v>
      </c>
      <c r="N498" s="28"/>
      <c r="O498">
        <v>134</v>
      </c>
    </row>
    <row r="499" spans="1:15" x14ac:dyDescent="0.35">
      <c r="A499" t="s">
        <v>34</v>
      </c>
      <c r="D499" t="s">
        <v>42</v>
      </c>
      <c r="F499">
        <v>3</v>
      </c>
      <c r="G499">
        <v>4</v>
      </c>
      <c r="H499">
        <v>6</v>
      </c>
      <c r="K499">
        <v>44</v>
      </c>
      <c r="L499" s="6"/>
      <c r="M499" s="122">
        <v>45425</v>
      </c>
      <c r="O499">
        <v>134</v>
      </c>
    </row>
    <row r="500" spans="1:15" x14ac:dyDescent="0.35">
      <c r="A500" t="s">
        <v>34</v>
      </c>
      <c r="D500" t="s">
        <v>42</v>
      </c>
      <c r="F500">
        <v>2</v>
      </c>
      <c r="G500">
        <v>5</v>
      </c>
      <c r="H500">
        <v>4</v>
      </c>
      <c r="K500">
        <v>29</v>
      </c>
      <c r="M500" s="122">
        <v>45425</v>
      </c>
      <c r="O500">
        <v>134</v>
      </c>
    </row>
    <row r="501" spans="1:15" x14ac:dyDescent="0.35">
      <c r="A501" t="s">
        <v>34</v>
      </c>
      <c r="D501" t="s">
        <v>42</v>
      </c>
      <c r="F501">
        <v>4</v>
      </c>
      <c r="G501">
        <v>7</v>
      </c>
      <c r="H501">
        <v>8</v>
      </c>
      <c r="K501">
        <v>63</v>
      </c>
      <c r="M501" s="122">
        <v>45425</v>
      </c>
      <c r="O501">
        <v>134</v>
      </c>
    </row>
    <row r="502" spans="1:15" x14ac:dyDescent="0.35">
      <c r="A502" t="s">
        <v>34</v>
      </c>
      <c r="D502" t="s">
        <v>42</v>
      </c>
      <c r="F502">
        <v>1</v>
      </c>
      <c r="G502">
        <v>1</v>
      </c>
      <c r="H502">
        <v>2</v>
      </c>
      <c r="K502">
        <v>9</v>
      </c>
      <c r="L502" s="6"/>
      <c r="M502" s="122">
        <v>45428</v>
      </c>
      <c r="N502" s="28">
        <v>0</v>
      </c>
      <c r="O502">
        <v>137</v>
      </c>
    </row>
    <row r="503" spans="1:15" x14ac:dyDescent="0.35">
      <c r="A503" t="s">
        <v>34</v>
      </c>
      <c r="D503" t="s">
        <v>42</v>
      </c>
      <c r="F503">
        <v>3</v>
      </c>
      <c r="G503">
        <v>4</v>
      </c>
      <c r="H503">
        <v>6</v>
      </c>
      <c r="K503">
        <v>44</v>
      </c>
      <c r="L503" s="6"/>
      <c r="M503" s="122">
        <v>45428</v>
      </c>
      <c r="N503">
        <v>0</v>
      </c>
      <c r="O503">
        <v>137</v>
      </c>
    </row>
    <row r="504" spans="1:15" x14ac:dyDescent="0.35">
      <c r="A504" t="s">
        <v>34</v>
      </c>
      <c r="D504" t="s">
        <v>42</v>
      </c>
      <c r="F504">
        <v>2</v>
      </c>
      <c r="G504">
        <v>5</v>
      </c>
      <c r="H504">
        <v>4</v>
      </c>
      <c r="K504">
        <v>29</v>
      </c>
      <c r="M504" s="122">
        <v>45428</v>
      </c>
      <c r="N504">
        <v>0</v>
      </c>
      <c r="O504">
        <v>137</v>
      </c>
    </row>
    <row r="505" spans="1:15" x14ac:dyDescent="0.35">
      <c r="A505" t="s">
        <v>34</v>
      </c>
      <c r="D505" t="s">
        <v>42</v>
      </c>
      <c r="F505">
        <v>4</v>
      </c>
      <c r="G505">
        <v>7</v>
      </c>
      <c r="H505">
        <v>8</v>
      </c>
      <c r="K505">
        <v>63</v>
      </c>
      <c r="M505" s="122">
        <v>45428</v>
      </c>
      <c r="N505">
        <v>0</v>
      </c>
      <c r="O505">
        <v>137</v>
      </c>
    </row>
    <row r="506" spans="1:15" x14ac:dyDescent="0.35">
      <c r="A506" t="s">
        <v>34</v>
      </c>
      <c r="D506" t="s">
        <v>42</v>
      </c>
      <c r="F506">
        <v>1</v>
      </c>
      <c r="G506">
        <v>1</v>
      </c>
      <c r="H506">
        <v>2</v>
      </c>
      <c r="K506">
        <v>9</v>
      </c>
      <c r="L506" s="6"/>
      <c r="M506" s="122">
        <v>45435</v>
      </c>
      <c r="N506" s="28">
        <v>0</v>
      </c>
      <c r="O506">
        <v>144</v>
      </c>
    </row>
    <row r="507" spans="1:15" x14ac:dyDescent="0.35">
      <c r="A507" t="s">
        <v>34</v>
      </c>
      <c r="B507" s="71"/>
      <c r="C507" s="72"/>
      <c r="D507" t="s">
        <v>42</v>
      </c>
      <c r="E507" s="71"/>
      <c r="F507">
        <v>3</v>
      </c>
      <c r="G507">
        <v>4</v>
      </c>
      <c r="H507">
        <v>6</v>
      </c>
      <c r="I507" s="73"/>
      <c r="J507" s="73"/>
      <c r="K507">
        <v>44</v>
      </c>
      <c r="L507" s="6"/>
      <c r="M507" s="122">
        <v>45435</v>
      </c>
      <c r="N507">
        <v>1</v>
      </c>
      <c r="O507">
        <v>144</v>
      </c>
    </row>
    <row r="508" spans="1:15" x14ac:dyDescent="0.35">
      <c r="A508" t="s">
        <v>34</v>
      </c>
      <c r="D508" t="s">
        <v>42</v>
      </c>
      <c r="F508">
        <v>2</v>
      </c>
      <c r="G508">
        <v>5</v>
      </c>
      <c r="H508">
        <v>4</v>
      </c>
      <c r="K508">
        <v>29</v>
      </c>
      <c r="M508" s="122">
        <v>45435</v>
      </c>
      <c r="N508">
        <v>0</v>
      </c>
      <c r="O508">
        <v>144</v>
      </c>
    </row>
    <row r="509" spans="1:15" x14ac:dyDescent="0.35">
      <c r="A509" t="s">
        <v>34</v>
      </c>
      <c r="D509" t="s">
        <v>42</v>
      </c>
      <c r="F509">
        <v>4</v>
      </c>
      <c r="G509">
        <v>7</v>
      </c>
      <c r="H509">
        <v>8</v>
      </c>
      <c r="K509">
        <v>63</v>
      </c>
      <c r="M509" s="122">
        <v>45435</v>
      </c>
      <c r="N509">
        <v>1</v>
      </c>
      <c r="O509">
        <v>144</v>
      </c>
    </row>
    <row r="510" spans="1:15" x14ac:dyDescent="0.35">
      <c r="A510" t="s">
        <v>34</v>
      </c>
      <c r="D510" t="s">
        <v>42</v>
      </c>
      <c r="F510">
        <v>1</v>
      </c>
      <c r="G510">
        <v>1</v>
      </c>
      <c r="H510">
        <v>2</v>
      </c>
      <c r="K510">
        <v>9</v>
      </c>
      <c r="L510" s="6"/>
      <c r="M510" s="122">
        <v>45440</v>
      </c>
      <c r="N510" s="28">
        <v>22</v>
      </c>
      <c r="O510">
        <v>149</v>
      </c>
    </row>
    <row r="511" spans="1:15" x14ac:dyDescent="0.35">
      <c r="A511" t="s">
        <v>34</v>
      </c>
      <c r="D511" t="s">
        <v>42</v>
      </c>
      <c r="F511">
        <v>3</v>
      </c>
      <c r="G511">
        <v>4</v>
      </c>
      <c r="H511">
        <v>6</v>
      </c>
      <c r="K511">
        <v>44</v>
      </c>
      <c r="L511" s="6"/>
      <c r="M511" s="122">
        <v>45440</v>
      </c>
      <c r="N511">
        <v>5</v>
      </c>
      <c r="O511">
        <v>149</v>
      </c>
    </row>
    <row r="512" spans="1:15" x14ac:dyDescent="0.35">
      <c r="A512" t="s">
        <v>34</v>
      </c>
      <c r="D512" t="s">
        <v>42</v>
      </c>
      <c r="F512">
        <v>2</v>
      </c>
      <c r="G512">
        <v>5</v>
      </c>
      <c r="H512">
        <v>4</v>
      </c>
      <c r="K512">
        <v>29</v>
      </c>
      <c r="M512" s="122">
        <v>45440</v>
      </c>
      <c r="N512">
        <v>24</v>
      </c>
      <c r="O512">
        <v>149</v>
      </c>
    </row>
    <row r="513" spans="1:15" x14ac:dyDescent="0.35">
      <c r="A513" t="s">
        <v>34</v>
      </c>
      <c r="D513" t="s">
        <v>42</v>
      </c>
      <c r="F513">
        <v>4</v>
      </c>
      <c r="G513">
        <v>7</v>
      </c>
      <c r="H513">
        <v>8</v>
      </c>
      <c r="K513">
        <v>63</v>
      </c>
      <c r="M513" s="122">
        <v>45440</v>
      </c>
      <c r="N513">
        <v>22</v>
      </c>
      <c r="O513">
        <v>149</v>
      </c>
    </row>
    <row r="514" spans="1:15" x14ac:dyDescent="0.35">
      <c r="A514" t="s">
        <v>34</v>
      </c>
      <c r="D514" t="s">
        <v>42</v>
      </c>
      <c r="F514">
        <v>1</v>
      </c>
      <c r="G514">
        <v>1</v>
      </c>
      <c r="H514">
        <v>2</v>
      </c>
      <c r="K514">
        <v>9</v>
      </c>
      <c r="L514" s="6"/>
      <c r="M514" s="122">
        <v>45442</v>
      </c>
      <c r="N514" s="28">
        <v>27</v>
      </c>
      <c r="O514">
        <v>151</v>
      </c>
    </row>
    <row r="515" spans="1:15" x14ac:dyDescent="0.35">
      <c r="A515" t="s">
        <v>34</v>
      </c>
      <c r="D515" t="s">
        <v>42</v>
      </c>
      <c r="F515">
        <v>3</v>
      </c>
      <c r="G515">
        <v>4</v>
      </c>
      <c r="H515">
        <v>6</v>
      </c>
      <c r="K515">
        <v>44</v>
      </c>
      <c r="L515" s="6"/>
      <c r="M515" s="122">
        <v>45442</v>
      </c>
      <c r="N515">
        <v>8</v>
      </c>
      <c r="O515">
        <v>151</v>
      </c>
    </row>
    <row r="516" spans="1:15" x14ac:dyDescent="0.35">
      <c r="A516" t="s">
        <v>34</v>
      </c>
      <c r="D516" t="s">
        <v>42</v>
      </c>
      <c r="F516">
        <v>2</v>
      </c>
      <c r="G516">
        <v>5</v>
      </c>
      <c r="H516">
        <v>4</v>
      </c>
      <c r="K516">
        <v>29</v>
      </c>
      <c r="M516" s="122">
        <v>45442</v>
      </c>
      <c r="N516">
        <v>28</v>
      </c>
      <c r="O516">
        <v>151</v>
      </c>
    </row>
    <row r="517" spans="1:15" x14ac:dyDescent="0.35">
      <c r="A517" t="s">
        <v>34</v>
      </c>
      <c r="D517" t="s">
        <v>42</v>
      </c>
      <c r="F517">
        <v>4</v>
      </c>
      <c r="G517">
        <v>7</v>
      </c>
      <c r="H517">
        <v>8</v>
      </c>
      <c r="K517">
        <v>63</v>
      </c>
      <c r="M517" s="122">
        <v>45442</v>
      </c>
      <c r="N517">
        <v>27</v>
      </c>
      <c r="O517">
        <v>151</v>
      </c>
    </row>
    <row r="518" spans="1:15" x14ac:dyDescent="0.35">
      <c r="A518" t="s">
        <v>34</v>
      </c>
      <c r="D518" t="s">
        <v>42</v>
      </c>
      <c r="F518">
        <v>1</v>
      </c>
      <c r="G518">
        <v>1</v>
      </c>
      <c r="H518">
        <v>2</v>
      </c>
      <c r="K518">
        <v>9</v>
      </c>
      <c r="L518" s="6"/>
      <c r="M518" s="122">
        <v>45446</v>
      </c>
      <c r="N518" s="28">
        <v>32</v>
      </c>
      <c r="O518">
        <v>155</v>
      </c>
    </row>
    <row r="519" spans="1:15" x14ac:dyDescent="0.35">
      <c r="A519" t="s">
        <v>34</v>
      </c>
      <c r="D519" t="s">
        <v>42</v>
      </c>
      <c r="F519">
        <v>3</v>
      </c>
      <c r="G519">
        <v>4</v>
      </c>
      <c r="H519">
        <v>6</v>
      </c>
      <c r="K519">
        <v>44</v>
      </c>
      <c r="L519" s="6"/>
      <c r="M519" s="122">
        <v>45446</v>
      </c>
      <c r="N519">
        <v>15</v>
      </c>
      <c r="O519">
        <v>155</v>
      </c>
    </row>
    <row r="520" spans="1:15" x14ac:dyDescent="0.35">
      <c r="A520" t="s">
        <v>34</v>
      </c>
      <c r="D520" t="s">
        <v>42</v>
      </c>
      <c r="F520">
        <v>2</v>
      </c>
      <c r="G520">
        <v>5</v>
      </c>
      <c r="H520">
        <v>4</v>
      </c>
      <c r="K520">
        <v>29</v>
      </c>
      <c r="M520" s="122">
        <v>45446</v>
      </c>
      <c r="N520">
        <v>35</v>
      </c>
      <c r="O520">
        <v>155</v>
      </c>
    </row>
    <row r="521" spans="1:15" x14ac:dyDescent="0.35">
      <c r="A521" t="s">
        <v>34</v>
      </c>
      <c r="D521" t="s">
        <v>42</v>
      </c>
      <c r="F521">
        <v>4</v>
      </c>
      <c r="G521">
        <v>7</v>
      </c>
      <c r="H521">
        <v>8</v>
      </c>
      <c r="K521">
        <v>63</v>
      </c>
      <c r="M521" s="122">
        <v>45446</v>
      </c>
      <c r="N521">
        <v>27</v>
      </c>
      <c r="O521">
        <v>155</v>
      </c>
    </row>
    <row r="522" spans="1:15" x14ac:dyDescent="0.35">
      <c r="A522" t="s">
        <v>34</v>
      </c>
      <c r="D522" t="s">
        <v>42</v>
      </c>
      <c r="F522">
        <v>1</v>
      </c>
      <c r="G522">
        <v>1</v>
      </c>
      <c r="H522">
        <v>2</v>
      </c>
      <c r="K522">
        <v>9</v>
      </c>
      <c r="L522" s="6"/>
      <c r="M522" s="122">
        <v>45450</v>
      </c>
      <c r="N522" s="28">
        <v>32</v>
      </c>
      <c r="O522">
        <v>159</v>
      </c>
    </row>
    <row r="523" spans="1:15" x14ac:dyDescent="0.35">
      <c r="A523" t="s">
        <v>34</v>
      </c>
      <c r="D523" t="s">
        <v>42</v>
      </c>
      <c r="F523">
        <v>3</v>
      </c>
      <c r="G523">
        <v>4</v>
      </c>
      <c r="H523">
        <v>6</v>
      </c>
      <c r="K523">
        <v>44</v>
      </c>
      <c r="L523" s="6"/>
      <c r="M523" s="122">
        <v>45450</v>
      </c>
      <c r="N523">
        <v>15</v>
      </c>
      <c r="O523">
        <v>159</v>
      </c>
    </row>
    <row r="524" spans="1:15" x14ac:dyDescent="0.35">
      <c r="A524" t="s">
        <v>34</v>
      </c>
      <c r="D524" t="s">
        <v>42</v>
      </c>
      <c r="F524">
        <v>2</v>
      </c>
      <c r="G524">
        <v>5</v>
      </c>
      <c r="H524">
        <v>4</v>
      </c>
      <c r="K524">
        <v>29</v>
      </c>
      <c r="M524" s="122">
        <v>45450</v>
      </c>
      <c r="N524">
        <v>35</v>
      </c>
      <c r="O524">
        <v>159</v>
      </c>
    </row>
    <row r="525" spans="1:15" x14ac:dyDescent="0.35">
      <c r="A525" t="s">
        <v>34</v>
      </c>
      <c r="D525" t="s">
        <v>42</v>
      </c>
      <c r="F525">
        <v>4</v>
      </c>
      <c r="G525">
        <v>7</v>
      </c>
      <c r="H525">
        <v>8</v>
      </c>
      <c r="K525">
        <v>63</v>
      </c>
      <c r="M525" s="122">
        <v>45450</v>
      </c>
      <c r="N525">
        <v>27</v>
      </c>
      <c r="O525">
        <v>159</v>
      </c>
    </row>
    <row r="526" spans="1:15" x14ac:dyDescent="0.35">
      <c r="A526" t="s">
        <v>34</v>
      </c>
      <c r="D526" t="s">
        <v>42</v>
      </c>
      <c r="F526">
        <v>1</v>
      </c>
      <c r="G526">
        <v>1</v>
      </c>
      <c r="H526">
        <v>2</v>
      </c>
      <c r="K526">
        <v>9</v>
      </c>
      <c r="L526" s="6"/>
      <c r="M526" s="122">
        <v>45462</v>
      </c>
      <c r="N526" s="28"/>
      <c r="O526">
        <v>171</v>
      </c>
    </row>
    <row r="527" spans="1:15" x14ac:dyDescent="0.35">
      <c r="A527" t="s">
        <v>34</v>
      </c>
      <c r="D527" t="s">
        <v>42</v>
      </c>
      <c r="F527">
        <v>3</v>
      </c>
      <c r="G527">
        <v>4</v>
      </c>
      <c r="H527">
        <v>6</v>
      </c>
      <c r="K527">
        <v>44</v>
      </c>
      <c r="L527" s="6"/>
      <c r="M527" s="122">
        <v>45462</v>
      </c>
      <c r="O527">
        <v>171</v>
      </c>
    </row>
    <row r="528" spans="1:15" x14ac:dyDescent="0.35">
      <c r="A528" t="s">
        <v>34</v>
      </c>
      <c r="D528" t="s">
        <v>42</v>
      </c>
      <c r="F528">
        <v>2</v>
      </c>
      <c r="G528">
        <v>5</v>
      </c>
      <c r="H528">
        <v>4</v>
      </c>
      <c r="K528">
        <v>29</v>
      </c>
      <c r="M528" s="122">
        <v>45462</v>
      </c>
      <c r="O528">
        <v>171</v>
      </c>
    </row>
    <row r="529" spans="1:15" x14ac:dyDescent="0.35">
      <c r="A529" t="s">
        <v>34</v>
      </c>
      <c r="D529" t="s">
        <v>42</v>
      </c>
      <c r="F529">
        <v>4</v>
      </c>
      <c r="G529">
        <v>7</v>
      </c>
      <c r="H529">
        <v>8</v>
      </c>
      <c r="K529">
        <v>63</v>
      </c>
      <c r="M529" s="122">
        <v>45462</v>
      </c>
      <c r="O529">
        <v>171</v>
      </c>
    </row>
    <row r="530" spans="1:15" x14ac:dyDescent="0.35">
      <c r="A530" t="s">
        <v>34</v>
      </c>
      <c r="D530" t="s">
        <v>43</v>
      </c>
      <c r="F530">
        <v>2</v>
      </c>
      <c r="G530">
        <v>2</v>
      </c>
      <c r="H530">
        <v>4</v>
      </c>
      <c r="K530">
        <v>26</v>
      </c>
      <c r="L530" s="6"/>
      <c r="M530" s="122">
        <v>45411</v>
      </c>
      <c r="O530">
        <v>120</v>
      </c>
    </row>
    <row r="531" spans="1:15" x14ac:dyDescent="0.35">
      <c r="A531" t="s">
        <v>34</v>
      </c>
      <c r="D531" t="s">
        <v>43</v>
      </c>
      <c r="F531">
        <v>1</v>
      </c>
      <c r="G531">
        <v>3</v>
      </c>
      <c r="H531">
        <v>2</v>
      </c>
      <c r="K531">
        <v>11</v>
      </c>
      <c r="L531" s="6"/>
      <c r="M531" s="122">
        <v>45411</v>
      </c>
      <c r="O531">
        <v>120</v>
      </c>
    </row>
    <row r="532" spans="1:15" x14ac:dyDescent="0.35">
      <c r="A532" t="s">
        <v>34</v>
      </c>
      <c r="D532" t="s">
        <v>43</v>
      </c>
      <c r="F532">
        <v>3</v>
      </c>
      <c r="G532">
        <v>5</v>
      </c>
      <c r="H532">
        <v>6</v>
      </c>
      <c r="K532">
        <v>45</v>
      </c>
      <c r="M532" s="122">
        <v>45411</v>
      </c>
      <c r="O532">
        <v>120</v>
      </c>
    </row>
    <row r="533" spans="1:15" x14ac:dyDescent="0.35">
      <c r="A533" t="s">
        <v>34</v>
      </c>
      <c r="D533" t="s">
        <v>43</v>
      </c>
      <c r="F533">
        <v>4</v>
      </c>
      <c r="G533">
        <v>8</v>
      </c>
      <c r="H533">
        <v>8</v>
      </c>
      <c r="K533">
        <v>64</v>
      </c>
      <c r="M533" s="122">
        <v>45411</v>
      </c>
      <c r="O533">
        <v>120</v>
      </c>
    </row>
    <row r="534" spans="1:15" x14ac:dyDescent="0.35">
      <c r="A534" t="s">
        <v>34</v>
      </c>
      <c r="D534" t="s">
        <v>43</v>
      </c>
      <c r="F534">
        <v>2</v>
      </c>
      <c r="G534">
        <v>2</v>
      </c>
      <c r="H534">
        <v>4</v>
      </c>
      <c r="K534">
        <v>26</v>
      </c>
      <c r="L534" s="6"/>
      <c r="M534" s="122">
        <v>45414</v>
      </c>
      <c r="O534">
        <v>123</v>
      </c>
    </row>
    <row r="535" spans="1:15" x14ac:dyDescent="0.35">
      <c r="A535" t="s">
        <v>34</v>
      </c>
      <c r="D535" t="s">
        <v>43</v>
      </c>
      <c r="F535">
        <v>1</v>
      </c>
      <c r="G535">
        <v>3</v>
      </c>
      <c r="H535">
        <v>2</v>
      </c>
      <c r="K535">
        <v>11</v>
      </c>
      <c r="L535" s="6"/>
      <c r="M535" s="122">
        <v>45414</v>
      </c>
      <c r="O535">
        <v>123</v>
      </c>
    </row>
    <row r="536" spans="1:15" x14ac:dyDescent="0.35">
      <c r="A536" t="s">
        <v>34</v>
      </c>
      <c r="D536" t="s">
        <v>43</v>
      </c>
      <c r="F536">
        <v>3</v>
      </c>
      <c r="G536">
        <v>5</v>
      </c>
      <c r="H536">
        <v>6</v>
      </c>
      <c r="K536">
        <v>45</v>
      </c>
      <c r="M536" s="122">
        <v>45414</v>
      </c>
      <c r="O536">
        <v>123</v>
      </c>
    </row>
    <row r="537" spans="1:15" x14ac:dyDescent="0.35">
      <c r="A537" t="s">
        <v>34</v>
      </c>
      <c r="D537" t="s">
        <v>43</v>
      </c>
      <c r="F537">
        <v>4</v>
      </c>
      <c r="G537">
        <v>8</v>
      </c>
      <c r="H537">
        <v>8</v>
      </c>
      <c r="K537">
        <v>64</v>
      </c>
      <c r="M537" s="122">
        <v>45414</v>
      </c>
      <c r="O537">
        <v>123</v>
      </c>
    </row>
    <row r="538" spans="1:15" x14ac:dyDescent="0.35">
      <c r="A538" t="s">
        <v>34</v>
      </c>
      <c r="D538" t="s">
        <v>43</v>
      </c>
      <c r="F538">
        <v>2</v>
      </c>
      <c r="G538">
        <v>2</v>
      </c>
      <c r="H538">
        <v>4</v>
      </c>
      <c r="K538">
        <v>26</v>
      </c>
      <c r="L538" s="6"/>
      <c r="M538" s="122">
        <v>45418</v>
      </c>
      <c r="O538">
        <v>127</v>
      </c>
    </row>
    <row r="539" spans="1:15" x14ac:dyDescent="0.35">
      <c r="A539" t="s">
        <v>34</v>
      </c>
      <c r="D539" t="s">
        <v>43</v>
      </c>
      <c r="F539">
        <v>1</v>
      </c>
      <c r="G539">
        <v>3</v>
      </c>
      <c r="H539">
        <v>2</v>
      </c>
      <c r="K539">
        <v>11</v>
      </c>
      <c r="L539" s="6"/>
      <c r="M539" s="122">
        <v>45418</v>
      </c>
      <c r="O539">
        <v>127</v>
      </c>
    </row>
    <row r="540" spans="1:15" x14ac:dyDescent="0.35">
      <c r="A540" t="s">
        <v>34</v>
      </c>
      <c r="D540" t="s">
        <v>43</v>
      </c>
      <c r="F540">
        <v>3</v>
      </c>
      <c r="G540">
        <v>5</v>
      </c>
      <c r="H540">
        <v>6</v>
      </c>
      <c r="K540">
        <v>45</v>
      </c>
      <c r="M540" s="122">
        <v>45418</v>
      </c>
      <c r="O540">
        <v>127</v>
      </c>
    </row>
    <row r="541" spans="1:15" x14ac:dyDescent="0.35">
      <c r="A541" t="s">
        <v>34</v>
      </c>
      <c r="D541" t="s">
        <v>43</v>
      </c>
      <c r="F541">
        <v>4</v>
      </c>
      <c r="G541">
        <v>8</v>
      </c>
      <c r="H541">
        <v>8</v>
      </c>
      <c r="K541">
        <v>64</v>
      </c>
      <c r="M541" s="122">
        <v>45418</v>
      </c>
      <c r="O541">
        <v>127</v>
      </c>
    </row>
    <row r="542" spans="1:15" x14ac:dyDescent="0.35">
      <c r="A542" t="s">
        <v>34</v>
      </c>
      <c r="D542" t="s">
        <v>43</v>
      </c>
      <c r="F542">
        <v>2</v>
      </c>
      <c r="G542">
        <v>2</v>
      </c>
      <c r="H542">
        <v>4</v>
      </c>
      <c r="K542">
        <v>26</v>
      </c>
      <c r="L542" s="6"/>
      <c r="M542" s="122">
        <v>45421</v>
      </c>
      <c r="O542">
        <v>130</v>
      </c>
    </row>
    <row r="543" spans="1:15" x14ac:dyDescent="0.35">
      <c r="A543" t="s">
        <v>34</v>
      </c>
      <c r="D543" t="s">
        <v>43</v>
      </c>
      <c r="F543">
        <v>1</v>
      </c>
      <c r="G543">
        <v>3</v>
      </c>
      <c r="H543">
        <v>2</v>
      </c>
      <c r="K543">
        <v>11</v>
      </c>
      <c r="L543" s="6"/>
      <c r="M543" s="122">
        <v>45421</v>
      </c>
      <c r="O543">
        <v>130</v>
      </c>
    </row>
    <row r="544" spans="1:15" x14ac:dyDescent="0.35">
      <c r="A544" t="s">
        <v>34</v>
      </c>
      <c r="D544" t="s">
        <v>43</v>
      </c>
      <c r="F544">
        <v>3</v>
      </c>
      <c r="G544">
        <v>5</v>
      </c>
      <c r="H544">
        <v>6</v>
      </c>
      <c r="K544">
        <v>45</v>
      </c>
      <c r="M544" s="122">
        <v>45421</v>
      </c>
      <c r="O544">
        <v>130</v>
      </c>
    </row>
    <row r="545" spans="1:15" x14ac:dyDescent="0.35">
      <c r="A545" t="s">
        <v>34</v>
      </c>
      <c r="D545" t="s">
        <v>43</v>
      </c>
      <c r="F545">
        <v>4</v>
      </c>
      <c r="G545">
        <v>8</v>
      </c>
      <c r="H545">
        <v>8</v>
      </c>
      <c r="K545">
        <v>64</v>
      </c>
      <c r="M545" s="122">
        <v>45421</v>
      </c>
      <c r="O545">
        <v>130</v>
      </c>
    </row>
    <row r="546" spans="1:15" x14ac:dyDescent="0.35">
      <c r="A546" t="s">
        <v>34</v>
      </c>
      <c r="D546" t="s">
        <v>43</v>
      </c>
      <c r="F546">
        <v>2</v>
      </c>
      <c r="G546">
        <v>2</v>
      </c>
      <c r="H546">
        <v>4</v>
      </c>
      <c r="K546">
        <v>26</v>
      </c>
      <c r="L546" s="6"/>
      <c r="M546" s="122">
        <v>45425</v>
      </c>
      <c r="O546">
        <v>134</v>
      </c>
    </row>
    <row r="547" spans="1:15" x14ac:dyDescent="0.35">
      <c r="A547" t="s">
        <v>34</v>
      </c>
      <c r="D547" t="s">
        <v>43</v>
      </c>
      <c r="F547">
        <v>1</v>
      </c>
      <c r="G547">
        <v>3</v>
      </c>
      <c r="H547">
        <v>2</v>
      </c>
      <c r="K547">
        <v>11</v>
      </c>
      <c r="L547" s="6"/>
      <c r="M547" s="122">
        <v>45425</v>
      </c>
      <c r="O547">
        <v>134</v>
      </c>
    </row>
    <row r="548" spans="1:15" x14ac:dyDescent="0.35">
      <c r="A548" t="s">
        <v>34</v>
      </c>
      <c r="D548" t="s">
        <v>43</v>
      </c>
      <c r="F548">
        <v>3</v>
      </c>
      <c r="G548">
        <v>5</v>
      </c>
      <c r="H548">
        <v>6</v>
      </c>
      <c r="K548">
        <v>45</v>
      </c>
      <c r="M548" s="122">
        <v>45425</v>
      </c>
      <c r="O548">
        <v>134</v>
      </c>
    </row>
    <row r="549" spans="1:15" x14ac:dyDescent="0.35">
      <c r="A549" t="s">
        <v>34</v>
      </c>
      <c r="D549" t="s">
        <v>43</v>
      </c>
      <c r="F549">
        <v>4</v>
      </c>
      <c r="G549">
        <v>8</v>
      </c>
      <c r="H549">
        <v>8</v>
      </c>
      <c r="K549">
        <v>64</v>
      </c>
      <c r="M549" s="122">
        <v>45425</v>
      </c>
      <c r="O549">
        <v>134</v>
      </c>
    </row>
    <row r="550" spans="1:15" x14ac:dyDescent="0.35">
      <c r="A550" t="s">
        <v>34</v>
      </c>
      <c r="D550" t="s">
        <v>43</v>
      </c>
      <c r="F550">
        <v>2</v>
      </c>
      <c r="G550">
        <v>2</v>
      </c>
      <c r="H550">
        <v>4</v>
      </c>
      <c r="K550">
        <v>26</v>
      </c>
      <c r="L550" s="6"/>
      <c r="M550" s="122">
        <v>45428</v>
      </c>
      <c r="N550">
        <v>0</v>
      </c>
      <c r="O550">
        <v>137</v>
      </c>
    </row>
    <row r="551" spans="1:15" x14ac:dyDescent="0.35">
      <c r="A551" t="s">
        <v>34</v>
      </c>
      <c r="D551" t="s">
        <v>43</v>
      </c>
      <c r="F551">
        <v>1</v>
      </c>
      <c r="G551">
        <v>3</v>
      </c>
      <c r="H551">
        <v>2</v>
      </c>
      <c r="K551">
        <v>11</v>
      </c>
      <c r="L551" s="6"/>
      <c r="M551" s="122">
        <v>45428</v>
      </c>
      <c r="N551">
        <v>0</v>
      </c>
      <c r="O551">
        <v>137</v>
      </c>
    </row>
    <row r="552" spans="1:15" x14ac:dyDescent="0.35">
      <c r="A552" t="s">
        <v>34</v>
      </c>
      <c r="D552" t="s">
        <v>43</v>
      </c>
      <c r="F552">
        <v>3</v>
      </c>
      <c r="G552">
        <v>5</v>
      </c>
      <c r="H552">
        <v>6</v>
      </c>
      <c r="K552">
        <v>45</v>
      </c>
      <c r="M552" s="122">
        <v>45428</v>
      </c>
      <c r="N552">
        <v>0</v>
      </c>
      <c r="O552">
        <v>137</v>
      </c>
    </row>
    <row r="553" spans="1:15" x14ac:dyDescent="0.35">
      <c r="A553" t="s">
        <v>34</v>
      </c>
      <c r="D553" t="s">
        <v>43</v>
      </c>
      <c r="F553">
        <v>4</v>
      </c>
      <c r="G553">
        <v>8</v>
      </c>
      <c r="H553">
        <v>8</v>
      </c>
      <c r="K553">
        <v>64</v>
      </c>
      <c r="M553" s="122">
        <v>45428</v>
      </c>
      <c r="N553">
        <v>0</v>
      </c>
      <c r="O553">
        <v>137</v>
      </c>
    </row>
    <row r="554" spans="1:15" x14ac:dyDescent="0.35">
      <c r="A554" t="s">
        <v>34</v>
      </c>
      <c r="D554" t="s">
        <v>43</v>
      </c>
      <c r="F554">
        <v>2</v>
      </c>
      <c r="G554">
        <v>2</v>
      </c>
      <c r="H554">
        <v>4</v>
      </c>
      <c r="K554">
        <v>26</v>
      </c>
      <c r="L554" s="6"/>
      <c r="M554" s="122">
        <v>45435</v>
      </c>
      <c r="N554">
        <v>1</v>
      </c>
      <c r="O554">
        <v>144</v>
      </c>
    </row>
    <row r="555" spans="1:15" x14ac:dyDescent="0.35">
      <c r="A555" t="s">
        <v>34</v>
      </c>
      <c r="D555" t="s">
        <v>43</v>
      </c>
      <c r="F555">
        <v>1</v>
      </c>
      <c r="G555">
        <v>3</v>
      </c>
      <c r="H555">
        <v>2</v>
      </c>
      <c r="K555">
        <v>11</v>
      </c>
      <c r="L555" s="6"/>
      <c r="M555" s="122">
        <v>45435</v>
      </c>
      <c r="N555">
        <v>2</v>
      </c>
      <c r="O555">
        <v>144</v>
      </c>
    </row>
    <row r="556" spans="1:15" x14ac:dyDescent="0.35">
      <c r="A556" t="s">
        <v>34</v>
      </c>
      <c r="D556" t="s">
        <v>43</v>
      </c>
      <c r="F556">
        <v>3</v>
      </c>
      <c r="G556">
        <v>5</v>
      </c>
      <c r="H556">
        <v>6</v>
      </c>
      <c r="K556">
        <v>45</v>
      </c>
      <c r="M556" s="122">
        <v>45435</v>
      </c>
      <c r="N556">
        <v>1</v>
      </c>
      <c r="O556">
        <v>144</v>
      </c>
    </row>
    <row r="557" spans="1:15" x14ac:dyDescent="0.35">
      <c r="A557" t="s">
        <v>34</v>
      </c>
      <c r="D557" t="s">
        <v>43</v>
      </c>
      <c r="F557">
        <v>4</v>
      </c>
      <c r="G557">
        <v>8</v>
      </c>
      <c r="H557">
        <v>8</v>
      </c>
      <c r="K557">
        <v>64</v>
      </c>
      <c r="M557" s="122">
        <v>45435</v>
      </c>
      <c r="N557">
        <v>0</v>
      </c>
      <c r="O557">
        <v>144</v>
      </c>
    </row>
    <row r="558" spans="1:15" x14ac:dyDescent="0.35">
      <c r="A558" t="s">
        <v>34</v>
      </c>
      <c r="D558" t="s">
        <v>43</v>
      </c>
      <c r="F558">
        <v>2</v>
      </c>
      <c r="G558">
        <v>2</v>
      </c>
      <c r="H558">
        <v>4</v>
      </c>
      <c r="K558">
        <v>26</v>
      </c>
      <c r="L558" s="6"/>
      <c r="M558" s="122">
        <v>45440</v>
      </c>
      <c r="N558">
        <v>27</v>
      </c>
      <c r="O558">
        <v>149</v>
      </c>
    </row>
    <row r="559" spans="1:15" x14ac:dyDescent="0.35">
      <c r="A559" t="s">
        <v>34</v>
      </c>
      <c r="D559" t="s">
        <v>43</v>
      </c>
      <c r="F559">
        <v>1</v>
      </c>
      <c r="G559">
        <v>3</v>
      </c>
      <c r="H559">
        <v>2</v>
      </c>
      <c r="K559">
        <v>11</v>
      </c>
      <c r="L559" s="6"/>
      <c r="M559" s="122">
        <v>45440</v>
      </c>
      <c r="N559">
        <v>27</v>
      </c>
      <c r="O559">
        <v>149</v>
      </c>
    </row>
    <row r="560" spans="1:15" x14ac:dyDescent="0.35">
      <c r="A560" t="s">
        <v>34</v>
      </c>
      <c r="D560" t="s">
        <v>43</v>
      </c>
      <c r="F560">
        <v>3</v>
      </c>
      <c r="G560">
        <v>5</v>
      </c>
      <c r="H560">
        <v>6</v>
      </c>
      <c r="K560">
        <v>45</v>
      </c>
      <c r="M560" s="122">
        <v>45440</v>
      </c>
      <c r="N560">
        <v>22</v>
      </c>
      <c r="O560">
        <v>149</v>
      </c>
    </row>
    <row r="561" spans="1:15" x14ac:dyDescent="0.35">
      <c r="A561" t="s">
        <v>34</v>
      </c>
      <c r="D561" t="s">
        <v>43</v>
      </c>
      <c r="F561">
        <v>4</v>
      </c>
      <c r="G561">
        <v>8</v>
      </c>
      <c r="H561">
        <v>8</v>
      </c>
      <c r="K561">
        <v>64</v>
      </c>
      <c r="M561" s="122">
        <v>45440</v>
      </c>
      <c r="N561">
        <v>16</v>
      </c>
      <c r="O561">
        <v>149</v>
      </c>
    </row>
    <row r="562" spans="1:15" x14ac:dyDescent="0.35">
      <c r="A562" t="s">
        <v>34</v>
      </c>
      <c r="D562" t="s">
        <v>43</v>
      </c>
      <c r="F562">
        <v>2</v>
      </c>
      <c r="G562">
        <v>2</v>
      </c>
      <c r="H562">
        <v>4</v>
      </c>
      <c r="K562">
        <v>26</v>
      </c>
      <c r="L562" s="6"/>
      <c r="M562" s="122">
        <v>45442</v>
      </c>
      <c r="N562">
        <v>36</v>
      </c>
      <c r="O562">
        <v>151</v>
      </c>
    </row>
    <row r="563" spans="1:15" x14ac:dyDescent="0.35">
      <c r="A563" t="s">
        <v>34</v>
      </c>
      <c r="D563" t="s">
        <v>43</v>
      </c>
      <c r="F563">
        <v>1</v>
      </c>
      <c r="G563">
        <v>3</v>
      </c>
      <c r="H563">
        <v>2</v>
      </c>
      <c r="K563">
        <v>11</v>
      </c>
      <c r="L563" s="6"/>
      <c r="M563" s="122">
        <v>45442</v>
      </c>
      <c r="N563">
        <v>33</v>
      </c>
      <c r="O563">
        <v>151</v>
      </c>
    </row>
    <row r="564" spans="1:15" x14ac:dyDescent="0.35">
      <c r="A564" t="s">
        <v>34</v>
      </c>
      <c r="D564" t="s">
        <v>43</v>
      </c>
      <c r="F564">
        <v>3</v>
      </c>
      <c r="G564">
        <v>5</v>
      </c>
      <c r="H564">
        <v>6</v>
      </c>
      <c r="K564">
        <v>45</v>
      </c>
      <c r="M564" s="122">
        <v>45442</v>
      </c>
      <c r="N564">
        <v>27</v>
      </c>
      <c r="O564">
        <v>151</v>
      </c>
    </row>
    <row r="565" spans="1:15" x14ac:dyDescent="0.35">
      <c r="A565" t="s">
        <v>34</v>
      </c>
      <c r="D565" t="s">
        <v>43</v>
      </c>
      <c r="F565">
        <v>4</v>
      </c>
      <c r="G565">
        <v>8</v>
      </c>
      <c r="H565">
        <v>8</v>
      </c>
      <c r="K565">
        <v>64</v>
      </c>
      <c r="M565" s="122">
        <v>45442</v>
      </c>
      <c r="N565">
        <v>18</v>
      </c>
      <c r="O565">
        <v>151</v>
      </c>
    </row>
    <row r="566" spans="1:15" x14ac:dyDescent="0.35">
      <c r="A566" t="s">
        <v>34</v>
      </c>
      <c r="D566" t="s">
        <v>43</v>
      </c>
      <c r="F566">
        <v>2</v>
      </c>
      <c r="G566">
        <v>2</v>
      </c>
      <c r="H566">
        <v>4</v>
      </c>
      <c r="K566">
        <v>26</v>
      </c>
      <c r="L566" s="6"/>
      <c r="M566" s="122">
        <v>45446</v>
      </c>
      <c r="N566">
        <v>40</v>
      </c>
      <c r="O566">
        <v>155</v>
      </c>
    </row>
    <row r="567" spans="1:15" x14ac:dyDescent="0.35">
      <c r="A567" t="s">
        <v>34</v>
      </c>
      <c r="D567" t="s">
        <v>43</v>
      </c>
      <c r="F567">
        <v>1</v>
      </c>
      <c r="G567">
        <v>3</v>
      </c>
      <c r="H567">
        <v>2</v>
      </c>
      <c r="K567">
        <v>11</v>
      </c>
      <c r="L567" s="6"/>
      <c r="M567" s="122">
        <v>45446</v>
      </c>
      <c r="N567">
        <v>33</v>
      </c>
      <c r="O567">
        <v>155</v>
      </c>
    </row>
    <row r="568" spans="1:15" x14ac:dyDescent="0.35">
      <c r="A568" t="s">
        <v>34</v>
      </c>
      <c r="D568" t="s">
        <v>43</v>
      </c>
      <c r="F568">
        <v>3</v>
      </c>
      <c r="G568">
        <v>5</v>
      </c>
      <c r="H568">
        <v>6</v>
      </c>
      <c r="K568">
        <v>45</v>
      </c>
      <c r="M568" s="122">
        <v>45446</v>
      </c>
      <c r="N568">
        <v>29</v>
      </c>
      <c r="O568">
        <v>155</v>
      </c>
    </row>
    <row r="569" spans="1:15" x14ac:dyDescent="0.35">
      <c r="A569" t="s">
        <v>34</v>
      </c>
      <c r="D569" t="s">
        <v>43</v>
      </c>
      <c r="F569">
        <v>4</v>
      </c>
      <c r="G569">
        <v>8</v>
      </c>
      <c r="H569">
        <v>8</v>
      </c>
      <c r="K569">
        <v>64</v>
      </c>
      <c r="M569" s="122">
        <v>45446</v>
      </c>
      <c r="N569">
        <v>20</v>
      </c>
      <c r="O569">
        <v>155</v>
      </c>
    </row>
    <row r="570" spans="1:15" x14ac:dyDescent="0.35">
      <c r="A570" t="s">
        <v>34</v>
      </c>
      <c r="D570" t="s">
        <v>43</v>
      </c>
      <c r="F570">
        <v>2</v>
      </c>
      <c r="G570">
        <v>2</v>
      </c>
      <c r="H570">
        <v>4</v>
      </c>
      <c r="K570">
        <v>26</v>
      </c>
      <c r="L570" s="6"/>
      <c r="M570" s="122">
        <v>45450</v>
      </c>
      <c r="N570">
        <v>40</v>
      </c>
      <c r="O570">
        <v>159</v>
      </c>
    </row>
    <row r="571" spans="1:15" x14ac:dyDescent="0.35">
      <c r="A571" t="s">
        <v>34</v>
      </c>
      <c r="D571" t="s">
        <v>43</v>
      </c>
      <c r="F571">
        <v>1</v>
      </c>
      <c r="G571">
        <v>3</v>
      </c>
      <c r="H571">
        <v>2</v>
      </c>
      <c r="K571">
        <v>11</v>
      </c>
      <c r="L571" s="6"/>
      <c r="M571" s="122">
        <v>45450</v>
      </c>
      <c r="N571">
        <v>33</v>
      </c>
      <c r="O571">
        <v>159</v>
      </c>
    </row>
    <row r="572" spans="1:15" x14ac:dyDescent="0.35">
      <c r="A572" t="s">
        <v>34</v>
      </c>
      <c r="D572" t="s">
        <v>43</v>
      </c>
      <c r="F572">
        <v>3</v>
      </c>
      <c r="G572">
        <v>5</v>
      </c>
      <c r="H572">
        <v>6</v>
      </c>
      <c r="K572">
        <v>45</v>
      </c>
      <c r="M572" s="122">
        <v>45450</v>
      </c>
      <c r="N572">
        <v>29</v>
      </c>
      <c r="O572">
        <v>159</v>
      </c>
    </row>
    <row r="573" spans="1:15" x14ac:dyDescent="0.35">
      <c r="A573" t="s">
        <v>34</v>
      </c>
      <c r="D573" t="s">
        <v>43</v>
      </c>
      <c r="F573">
        <v>4</v>
      </c>
      <c r="G573">
        <v>8</v>
      </c>
      <c r="H573">
        <v>8</v>
      </c>
      <c r="K573">
        <v>64</v>
      </c>
      <c r="M573" s="122">
        <v>45450</v>
      </c>
      <c r="N573">
        <v>28</v>
      </c>
      <c r="O573">
        <v>159</v>
      </c>
    </row>
    <row r="574" spans="1:15" x14ac:dyDescent="0.35">
      <c r="A574" t="s">
        <v>34</v>
      </c>
      <c r="D574" t="s">
        <v>43</v>
      </c>
      <c r="F574">
        <v>2</v>
      </c>
      <c r="G574">
        <v>2</v>
      </c>
      <c r="H574">
        <v>4</v>
      </c>
      <c r="K574">
        <v>26</v>
      </c>
      <c r="L574" s="6"/>
      <c r="M574" s="122">
        <v>45462</v>
      </c>
      <c r="O574">
        <v>171</v>
      </c>
    </row>
    <row r="575" spans="1:15" x14ac:dyDescent="0.35">
      <c r="A575" t="s">
        <v>34</v>
      </c>
      <c r="D575" t="s">
        <v>43</v>
      </c>
      <c r="F575">
        <v>1</v>
      </c>
      <c r="G575">
        <v>3</v>
      </c>
      <c r="H575">
        <v>2</v>
      </c>
      <c r="K575">
        <v>11</v>
      </c>
      <c r="L575" s="6"/>
      <c r="M575" s="122">
        <v>45462</v>
      </c>
      <c r="O575">
        <v>171</v>
      </c>
    </row>
    <row r="576" spans="1:15" x14ac:dyDescent="0.35">
      <c r="A576" t="s">
        <v>34</v>
      </c>
      <c r="D576" t="s">
        <v>43</v>
      </c>
      <c r="F576">
        <v>3</v>
      </c>
      <c r="G576">
        <v>5</v>
      </c>
      <c r="H576">
        <v>6</v>
      </c>
      <c r="K576">
        <v>45</v>
      </c>
      <c r="M576" s="122">
        <v>45462</v>
      </c>
      <c r="O576">
        <v>171</v>
      </c>
    </row>
    <row r="577" spans="1:15" x14ac:dyDescent="0.35">
      <c r="A577" t="s">
        <v>34</v>
      </c>
      <c r="D577" t="s">
        <v>43</v>
      </c>
      <c r="F577">
        <v>4</v>
      </c>
      <c r="G577">
        <v>8</v>
      </c>
      <c r="H577">
        <v>8</v>
      </c>
      <c r="K577">
        <v>64</v>
      </c>
      <c r="M577" s="122">
        <v>45462</v>
      </c>
      <c r="N577">
        <v>28</v>
      </c>
      <c r="O577">
        <v>171</v>
      </c>
    </row>
    <row r="578" spans="1:15" x14ac:dyDescent="0.35">
      <c r="A578" t="s">
        <v>24</v>
      </c>
      <c r="D578" t="s">
        <v>28</v>
      </c>
      <c r="F578">
        <v>2</v>
      </c>
      <c r="G578">
        <v>2</v>
      </c>
      <c r="H578">
        <v>3</v>
      </c>
      <c r="K578">
        <v>18</v>
      </c>
      <c r="L578" s="6"/>
      <c r="M578" s="122">
        <v>45411</v>
      </c>
      <c r="N578">
        <v>0</v>
      </c>
      <c r="O578">
        <v>120</v>
      </c>
    </row>
    <row r="579" spans="1:15" x14ac:dyDescent="0.35">
      <c r="A579" t="s">
        <v>24</v>
      </c>
      <c r="D579" t="s">
        <v>28</v>
      </c>
      <c r="F579">
        <v>3</v>
      </c>
      <c r="G579">
        <v>4</v>
      </c>
      <c r="H579">
        <v>5</v>
      </c>
      <c r="K579">
        <v>36</v>
      </c>
      <c r="L579" s="6"/>
      <c r="M579" s="122">
        <v>45411</v>
      </c>
      <c r="N579">
        <v>0</v>
      </c>
      <c r="O579">
        <v>120</v>
      </c>
    </row>
    <row r="580" spans="1:15" x14ac:dyDescent="0.35">
      <c r="A580" t="s">
        <v>24</v>
      </c>
      <c r="D580" t="s">
        <v>28</v>
      </c>
      <c r="F580">
        <v>4</v>
      </c>
      <c r="G580">
        <v>5</v>
      </c>
      <c r="H580">
        <v>7</v>
      </c>
      <c r="K580">
        <v>53</v>
      </c>
      <c r="M580" s="122">
        <v>45411</v>
      </c>
      <c r="N580">
        <v>0</v>
      </c>
      <c r="O580">
        <v>120</v>
      </c>
    </row>
    <row r="581" spans="1:15" x14ac:dyDescent="0.35">
      <c r="A581" t="s">
        <v>24</v>
      </c>
      <c r="D581" t="s">
        <v>28</v>
      </c>
      <c r="F581">
        <v>1</v>
      </c>
      <c r="G581">
        <v>7</v>
      </c>
      <c r="H581">
        <v>1</v>
      </c>
      <c r="K581">
        <v>7</v>
      </c>
      <c r="M581" s="122">
        <v>45411</v>
      </c>
      <c r="N581">
        <v>0</v>
      </c>
      <c r="O581">
        <v>120</v>
      </c>
    </row>
    <row r="582" spans="1:15" x14ac:dyDescent="0.35">
      <c r="A582" t="s">
        <v>24</v>
      </c>
      <c r="D582" t="s">
        <v>28</v>
      </c>
      <c r="F582">
        <v>2</v>
      </c>
      <c r="G582">
        <v>2</v>
      </c>
      <c r="H582">
        <v>3</v>
      </c>
      <c r="K582">
        <v>18</v>
      </c>
      <c r="L582" s="6"/>
      <c r="M582" s="122">
        <v>45414</v>
      </c>
      <c r="N582">
        <v>24</v>
      </c>
      <c r="O582">
        <v>123</v>
      </c>
    </row>
    <row r="583" spans="1:15" x14ac:dyDescent="0.35">
      <c r="A583" t="s">
        <v>24</v>
      </c>
      <c r="D583" t="s">
        <v>28</v>
      </c>
      <c r="F583">
        <v>3</v>
      </c>
      <c r="G583">
        <v>4</v>
      </c>
      <c r="H583">
        <v>5</v>
      </c>
      <c r="K583">
        <v>36</v>
      </c>
      <c r="L583" s="6"/>
      <c r="M583" s="122">
        <v>45414</v>
      </c>
      <c r="N583">
        <v>20</v>
      </c>
      <c r="O583">
        <v>123</v>
      </c>
    </row>
    <row r="584" spans="1:15" x14ac:dyDescent="0.35">
      <c r="A584" t="s">
        <v>24</v>
      </c>
      <c r="D584" t="s">
        <v>28</v>
      </c>
      <c r="F584">
        <v>4</v>
      </c>
      <c r="G584">
        <v>5</v>
      </c>
      <c r="H584">
        <v>7</v>
      </c>
      <c r="K584">
        <v>53</v>
      </c>
      <c r="M584" s="122">
        <v>45414</v>
      </c>
      <c r="N584">
        <v>21</v>
      </c>
      <c r="O584">
        <v>123</v>
      </c>
    </row>
    <row r="585" spans="1:15" x14ac:dyDescent="0.35">
      <c r="A585" t="s">
        <v>24</v>
      </c>
      <c r="D585" t="s">
        <v>28</v>
      </c>
      <c r="F585">
        <v>1</v>
      </c>
      <c r="G585">
        <v>7</v>
      </c>
      <c r="H585">
        <v>1</v>
      </c>
      <c r="K585">
        <v>7</v>
      </c>
      <c r="M585" s="122">
        <v>45414</v>
      </c>
      <c r="N585">
        <v>23</v>
      </c>
      <c r="O585">
        <v>123</v>
      </c>
    </row>
    <row r="586" spans="1:15" x14ac:dyDescent="0.35">
      <c r="A586" t="s">
        <v>24</v>
      </c>
      <c r="D586" t="s">
        <v>28</v>
      </c>
      <c r="F586">
        <v>2</v>
      </c>
      <c r="G586">
        <v>2</v>
      </c>
      <c r="H586">
        <v>3</v>
      </c>
      <c r="K586">
        <v>18</v>
      </c>
      <c r="L586" s="6"/>
      <c r="M586" s="122">
        <v>45418</v>
      </c>
      <c r="N586">
        <v>30</v>
      </c>
      <c r="O586">
        <v>127</v>
      </c>
    </row>
    <row r="587" spans="1:15" x14ac:dyDescent="0.35">
      <c r="A587" t="s">
        <v>24</v>
      </c>
      <c r="D587" t="s">
        <v>28</v>
      </c>
      <c r="F587">
        <v>3</v>
      </c>
      <c r="G587">
        <v>4</v>
      </c>
      <c r="H587">
        <v>5</v>
      </c>
      <c r="K587">
        <v>36</v>
      </c>
      <c r="L587" s="6"/>
      <c r="M587" s="122">
        <v>45418</v>
      </c>
      <c r="N587">
        <v>26</v>
      </c>
      <c r="O587">
        <v>127</v>
      </c>
    </row>
    <row r="588" spans="1:15" x14ac:dyDescent="0.35">
      <c r="A588" t="s">
        <v>24</v>
      </c>
      <c r="D588" t="s">
        <v>28</v>
      </c>
      <c r="F588">
        <v>4</v>
      </c>
      <c r="G588">
        <v>5</v>
      </c>
      <c r="H588">
        <v>7</v>
      </c>
      <c r="K588">
        <v>53</v>
      </c>
      <c r="M588" s="122">
        <v>45418</v>
      </c>
      <c r="N588">
        <v>25</v>
      </c>
      <c r="O588">
        <v>127</v>
      </c>
    </row>
    <row r="589" spans="1:15" x14ac:dyDescent="0.35">
      <c r="A589" t="s">
        <v>24</v>
      </c>
      <c r="D589" t="s">
        <v>28</v>
      </c>
      <c r="F589">
        <v>1</v>
      </c>
      <c r="G589">
        <v>7</v>
      </c>
      <c r="H589">
        <v>1</v>
      </c>
      <c r="K589">
        <v>7</v>
      </c>
      <c r="M589" s="122">
        <v>45418</v>
      </c>
      <c r="N589">
        <v>24</v>
      </c>
      <c r="O589">
        <v>127</v>
      </c>
    </row>
    <row r="590" spans="1:15" x14ac:dyDescent="0.35">
      <c r="A590" t="s">
        <v>24</v>
      </c>
      <c r="D590" t="s">
        <v>28</v>
      </c>
      <c r="F590">
        <v>2</v>
      </c>
      <c r="G590">
        <v>2</v>
      </c>
      <c r="H590">
        <v>3</v>
      </c>
      <c r="K590">
        <v>18</v>
      </c>
      <c r="L590" s="6"/>
      <c r="M590" s="122">
        <v>45421</v>
      </c>
      <c r="N590">
        <v>30</v>
      </c>
      <c r="O590">
        <v>130</v>
      </c>
    </row>
    <row r="591" spans="1:15" x14ac:dyDescent="0.35">
      <c r="A591" t="s">
        <v>24</v>
      </c>
      <c r="D591" t="s">
        <v>28</v>
      </c>
      <c r="F591">
        <v>3</v>
      </c>
      <c r="G591">
        <v>4</v>
      </c>
      <c r="H591">
        <v>5</v>
      </c>
      <c r="K591">
        <v>36</v>
      </c>
      <c r="L591" s="6"/>
      <c r="M591" s="122">
        <v>45421</v>
      </c>
      <c r="N591">
        <v>29</v>
      </c>
      <c r="O591">
        <v>130</v>
      </c>
    </row>
    <row r="592" spans="1:15" x14ac:dyDescent="0.35">
      <c r="A592" t="s">
        <v>24</v>
      </c>
      <c r="D592" t="s">
        <v>28</v>
      </c>
      <c r="F592">
        <v>4</v>
      </c>
      <c r="G592">
        <v>5</v>
      </c>
      <c r="H592">
        <v>7</v>
      </c>
      <c r="K592">
        <v>53</v>
      </c>
      <c r="M592" s="122">
        <v>45421</v>
      </c>
      <c r="N592">
        <v>25</v>
      </c>
      <c r="O592">
        <v>130</v>
      </c>
    </row>
    <row r="593" spans="1:15" x14ac:dyDescent="0.35">
      <c r="A593" t="s">
        <v>24</v>
      </c>
      <c r="D593" t="s">
        <v>28</v>
      </c>
      <c r="F593">
        <v>1</v>
      </c>
      <c r="G593">
        <v>7</v>
      </c>
      <c r="H593">
        <v>1</v>
      </c>
      <c r="K593">
        <v>7</v>
      </c>
      <c r="M593" s="122">
        <v>45421</v>
      </c>
      <c r="N593">
        <v>24</v>
      </c>
      <c r="O593">
        <v>130</v>
      </c>
    </row>
    <row r="594" spans="1:15" x14ac:dyDescent="0.35">
      <c r="A594" t="s">
        <v>24</v>
      </c>
      <c r="D594" t="s">
        <v>28</v>
      </c>
      <c r="F594">
        <v>2</v>
      </c>
      <c r="G594">
        <v>2</v>
      </c>
      <c r="H594">
        <v>3</v>
      </c>
      <c r="K594">
        <v>18</v>
      </c>
      <c r="L594" s="6"/>
      <c r="M594" s="122">
        <v>45425</v>
      </c>
      <c r="N594">
        <v>30</v>
      </c>
      <c r="O594">
        <v>134</v>
      </c>
    </row>
    <row r="595" spans="1:15" x14ac:dyDescent="0.35">
      <c r="A595" t="s">
        <v>24</v>
      </c>
      <c r="D595" t="s">
        <v>28</v>
      </c>
      <c r="F595">
        <v>3</v>
      </c>
      <c r="G595">
        <v>4</v>
      </c>
      <c r="H595">
        <v>5</v>
      </c>
      <c r="K595">
        <v>36</v>
      </c>
      <c r="L595" s="6"/>
      <c r="M595" s="122">
        <v>45425</v>
      </c>
      <c r="N595">
        <v>29</v>
      </c>
      <c r="O595">
        <v>134</v>
      </c>
    </row>
    <row r="596" spans="1:15" x14ac:dyDescent="0.35">
      <c r="A596" t="s">
        <v>24</v>
      </c>
      <c r="D596" t="s">
        <v>28</v>
      </c>
      <c r="F596">
        <v>4</v>
      </c>
      <c r="G596">
        <v>5</v>
      </c>
      <c r="H596">
        <v>7</v>
      </c>
      <c r="K596">
        <v>53</v>
      </c>
      <c r="M596" s="122">
        <v>45425</v>
      </c>
      <c r="N596">
        <v>25</v>
      </c>
      <c r="O596">
        <v>134</v>
      </c>
    </row>
    <row r="597" spans="1:15" x14ac:dyDescent="0.35">
      <c r="A597" t="s">
        <v>24</v>
      </c>
      <c r="D597" t="s">
        <v>28</v>
      </c>
      <c r="F597">
        <v>1</v>
      </c>
      <c r="G597">
        <v>7</v>
      </c>
      <c r="H597">
        <v>1</v>
      </c>
      <c r="K597">
        <v>7</v>
      </c>
      <c r="M597" s="122">
        <v>45425</v>
      </c>
      <c r="N597">
        <v>24</v>
      </c>
      <c r="O597">
        <v>134</v>
      </c>
    </row>
    <row r="598" spans="1:15" x14ac:dyDescent="0.35">
      <c r="A598" t="s">
        <v>24</v>
      </c>
      <c r="D598" t="s">
        <v>28</v>
      </c>
      <c r="F598">
        <v>2</v>
      </c>
      <c r="G598">
        <v>2</v>
      </c>
      <c r="H598">
        <v>3</v>
      </c>
      <c r="K598">
        <v>18</v>
      </c>
      <c r="L598" s="6"/>
      <c r="M598" s="122">
        <v>45428</v>
      </c>
      <c r="O598">
        <v>137</v>
      </c>
    </row>
    <row r="599" spans="1:15" x14ac:dyDescent="0.35">
      <c r="A599" t="s">
        <v>24</v>
      </c>
      <c r="D599" t="s">
        <v>28</v>
      </c>
      <c r="F599">
        <v>3</v>
      </c>
      <c r="G599">
        <v>4</v>
      </c>
      <c r="H599">
        <v>5</v>
      </c>
      <c r="K599">
        <v>36</v>
      </c>
      <c r="L599" s="6"/>
      <c r="M599" s="122">
        <v>45428</v>
      </c>
      <c r="O599">
        <v>137</v>
      </c>
    </row>
    <row r="600" spans="1:15" x14ac:dyDescent="0.35">
      <c r="A600" t="s">
        <v>24</v>
      </c>
      <c r="D600" t="s">
        <v>28</v>
      </c>
      <c r="F600">
        <v>4</v>
      </c>
      <c r="G600">
        <v>5</v>
      </c>
      <c r="H600">
        <v>7</v>
      </c>
      <c r="K600">
        <v>53</v>
      </c>
      <c r="M600" s="122">
        <v>45428</v>
      </c>
      <c r="O600">
        <v>137</v>
      </c>
    </row>
    <row r="601" spans="1:15" x14ac:dyDescent="0.35">
      <c r="A601" t="s">
        <v>24</v>
      </c>
      <c r="D601" t="s">
        <v>28</v>
      </c>
      <c r="F601">
        <v>1</v>
      </c>
      <c r="G601">
        <v>7</v>
      </c>
      <c r="H601">
        <v>1</v>
      </c>
      <c r="K601">
        <v>7</v>
      </c>
      <c r="M601" s="122">
        <v>45428</v>
      </c>
      <c r="O601">
        <v>137</v>
      </c>
    </row>
    <row r="602" spans="1:15" x14ac:dyDescent="0.35">
      <c r="A602" t="s">
        <v>24</v>
      </c>
      <c r="D602" t="s">
        <v>28</v>
      </c>
      <c r="F602">
        <v>2</v>
      </c>
      <c r="G602">
        <v>2</v>
      </c>
      <c r="H602">
        <v>3</v>
      </c>
      <c r="K602">
        <v>18</v>
      </c>
      <c r="L602" s="6"/>
      <c r="M602" s="122">
        <v>45435</v>
      </c>
      <c r="O602">
        <v>144</v>
      </c>
    </row>
    <row r="603" spans="1:15" x14ac:dyDescent="0.35">
      <c r="A603" t="s">
        <v>24</v>
      </c>
      <c r="D603" t="s">
        <v>28</v>
      </c>
      <c r="F603">
        <v>3</v>
      </c>
      <c r="G603">
        <v>4</v>
      </c>
      <c r="H603">
        <v>5</v>
      </c>
      <c r="K603">
        <v>36</v>
      </c>
      <c r="L603" s="6"/>
      <c r="M603" s="122">
        <v>45435</v>
      </c>
      <c r="O603">
        <v>144</v>
      </c>
    </row>
    <row r="604" spans="1:15" x14ac:dyDescent="0.35">
      <c r="A604" t="s">
        <v>24</v>
      </c>
      <c r="D604" t="s">
        <v>28</v>
      </c>
      <c r="F604">
        <v>4</v>
      </c>
      <c r="G604">
        <v>5</v>
      </c>
      <c r="H604">
        <v>7</v>
      </c>
      <c r="K604">
        <v>53</v>
      </c>
      <c r="M604" s="122">
        <v>45435</v>
      </c>
      <c r="O604">
        <v>144</v>
      </c>
    </row>
    <row r="605" spans="1:15" x14ac:dyDescent="0.35">
      <c r="A605" t="s">
        <v>24</v>
      </c>
      <c r="D605" t="s">
        <v>28</v>
      </c>
      <c r="F605">
        <v>1</v>
      </c>
      <c r="G605">
        <v>7</v>
      </c>
      <c r="H605">
        <v>1</v>
      </c>
      <c r="K605">
        <v>7</v>
      </c>
      <c r="M605" s="122">
        <v>45435</v>
      </c>
      <c r="O605">
        <v>144</v>
      </c>
    </row>
    <row r="606" spans="1:15" x14ac:dyDescent="0.35">
      <c r="A606" t="s">
        <v>24</v>
      </c>
      <c r="D606" t="s">
        <v>28</v>
      </c>
      <c r="F606">
        <v>2</v>
      </c>
      <c r="G606">
        <v>2</v>
      </c>
      <c r="H606">
        <v>3</v>
      </c>
      <c r="K606">
        <v>18</v>
      </c>
      <c r="L606" s="6"/>
      <c r="M606" s="122">
        <v>45440</v>
      </c>
      <c r="O606">
        <v>149</v>
      </c>
    </row>
    <row r="607" spans="1:15" x14ac:dyDescent="0.35">
      <c r="A607" t="s">
        <v>24</v>
      </c>
      <c r="D607" t="s">
        <v>28</v>
      </c>
      <c r="F607">
        <v>3</v>
      </c>
      <c r="G607">
        <v>4</v>
      </c>
      <c r="H607">
        <v>5</v>
      </c>
      <c r="K607">
        <v>36</v>
      </c>
      <c r="L607" s="6"/>
      <c r="M607" s="122">
        <v>45440</v>
      </c>
      <c r="O607">
        <v>149</v>
      </c>
    </row>
    <row r="608" spans="1:15" x14ac:dyDescent="0.35">
      <c r="A608" t="s">
        <v>24</v>
      </c>
      <c r="D608" t="s">
        <v>28</v>
      </c>
      <c r="F608">
        <v>4</v>
      </c>
      <c r="G608">
        <v>5</v>
      </c>
      <c r="H608">
        <v>7</v>
      </c>
      <c r="K608">
        <v>53</v>
      </c>
      <c r="M608" s="122">
        <v>45440</v>
      </c>
      <c r="O608">
        <v>149</v>
      </c>
    </row>
    <row r="609" spans="1:15" x14ac:dyDescent="0.35">
      <c r="A609" t="s">
        <v>24</v>
      </c>
      <c r="D609" t="s">
        <v>28</v>
      </c>
      <c r="F609">
        <v>1</v>
      </c>
      <c r="G609">
        <v>7</v>
      </c>
      <c r="H609">
        <v>1</v>
      </c>
      <c r="K609">
        <v>7</v>
      </c>
      <c r="M609" s="122">
        <v>45440</v>
      </c>
      <c r="O609">
        <v>149</v>
      </c>
    </row>
    <row r="610" spans="1:15" x14ac:dyDescent="0.35">
      <c r="A610" t="s">
        <v>24</v>
      </c>
      <c r="D610" t="s">
        <v>28</v>
      </c>
      <c r="F610">
        <v>2</v>
      </c>
      <c r="G610">
        <v>2</v>
      </c>
      <c r="H610">
        <v>3</v>
      </c>
      <c r="K610">
        <v>18</v>
      </c>
      <c r="L610" s="6"/>
      <c r="M610" s="122">
        <v>45442</v>
      </c>
      <c r="N610" s="6"/>
      <c r="O610">
        <v>151</v>
      </c>
    </row>
    <row r="611" spans="1:15" x14ac:dyDescent="0.35">
      <c r="A611" t="s">
        <v>24</v>
      </c>
      <c r="D611" t="s">
        <v>28</v>
      </c>
      <c r="F611">
        <v>3</v>
      </c>
      <c r="G611">
        <v>4</v>
      </c>
      <c r="H611">
        <v>5</v>
      </c>
      <c r="K611">
        <v>36</v>
      </c>
      <c r="L611" s="6"/>
      <c r="M611" s="122">
        <v>45442</v>
      </c>
      <c r="O611">
        <v>151</v>
      </c>
    </row>
    <row r="612" spans="1:15" x14ac:dyDescent="0.35">
      <c r="A612" t="s">
        <v>24</v>
      </c>
      <c r="D612" t="s">
        <v>28</v>
      </c>
      <c r="F612">
        <v>4</v>
      </c>
      <c r="G612">
        <v>5</v>
      </c>
      <c r="H612">
        <v>7</v>
      </c>
      <c r="K612">
        <v>53</v>
      </c>
      <c r="M612" s="122">
        <v>45442</v>
      </c>
      <c r="O612">
        <v>151</v>
      </c>
    </row>
    <row r="613" spans="1:15" x14ac:dyDescent="0.35">
      <c r="A613" t="s">
        <v>24</v>
      </c>
      <c r="D613" t="s">
        <v>28</v>
      </c>
      <c r="F613">
        <v>1</v>
      </c>
      <c r="G613">
        <v>7</v>
      </c>
      <c r="H613">
        <v>1</v>
      </c>
      <c r="K613">
        <v>7</v>
      </c>
      <c r="M613" s="122">
        <v>45442</v>
      </c>
      <c r="O613">
        <v>151</v>
      </c>
    </row>
    <row r="614" spans="1:15" x14ac:dyDescent="0.35">
      <c r="A614" t="s">
        <v>24</v>
      </c>
      <c r="D614" t="s">
        <v>28</v>
      </c>
      <c r="F614">
        <v>2</v>
      </c>
      <c r="G614">
        <v>2</v>
      </c>
      <c r="H614">
        <v>3</v>
      </c>
      <c r="K614">
        <v>18</v>
      </c>
      <c r="L614" s="6"/>
      <c r="M614" s="122">
        <v>45446</v>
      </c>
      <c r="O614">
        <v>155</v>
      </c>
    </row>
    <row r="615" spans="1:15" x14ac:dyDescent="0.35">
      <c r="A615" t="s">
        <v>24</v>
      </c>
      <c r="D615" t="s">
        <v>28</v>
      </c>
      <c r="F615">
        <v>3</v>
      </c>
      <c r="G615">
        <v>4</v>
      </c>
      <c r="H615">
        <v>5</v>
      </c>
      <c r="K615">
        <v>36</v>
      </c>
      <c r="L615" s="6"/>
      <c r="M615" s="122">
        <v>45446</v>
      </c>
      <c r="O615">
        <v>155</v>
      </c>
    </row>
    <row r="616" spans="1:15" x14ac:dyDescent="0.35">
      <c r="A616" t="s">
        <v>24</v>
      </c>
      <c r="D616" t="s">
        <v>28</v>
      </c>
      <c r="F616">
        <v>4</v>
      </c>
      <c r="G616">
        <v>5</v>
      </c>
      <c r="H616">
        <v>7</v>
      </c>
      <c r="K616">
        <v>53</v>
      </c>
      <c r="M616" s="122">
        <v>45446</v>
      </c>
      <c r="O616">
        <v>155</v>
      </c>
    </row>
    <row r="617" spans="1:15" x14ac:dyDescent="0.35">
      <c r="A617" t="s">
        <v>24</v>
      </c>
      <c r="D617" t="s">
        <v>28</v>
      </c>
      <c r="F617">
        <v>1</v>
      </c>
      <c r="G617">
        <v>7</v>
      </c>
      <c r="H617">
        <v>1</v>
      </c>
      <c r="K617">
        <v>7</v>
      </c>
      <c r="M617" s="122">
        <v>45446</v>
      </c>
      <c r="O617">
        <v>155</v>
      </c>
    </row>
    <row r="618" spans="1:15" x14ac:dyDescent="0.35">
      <c r="A618" t="s">
        <v>24</v>
      </c>
      <c r="D618" t="s">
        <v>28</v>
      </c>
      <c r="F618">
        <v>2</v>
      </c>
      <c r="G618">
        <v>2</v>
      </c>
      <c r="H618">
        <v>3</v>
      </c>
      <c r="K618">
        <v>18</v>
      </c>
      <c r="L618" s="6"/>
      <c r="M618" s="122">
        <v>45450</v>
      </c>
      <c r="O618">
        <v>159</v>
      </c>
    </row>
    <row r="619" spans="1:15" x14ac:dyDescent="0.35">
      <c r="A619" t="s">
        <v>24</v>
      </c>
      <c r="D619" t="s">
        <v>28</v>
      </c>
      <c r="F619">
        <v>3</v>
      </c>
      <c r="G619">
        <v>4</v>
      </c>
      <c r="H619">
        <v>5</v>
      </c>
      <c r="K619">
        <v>36</v>
      </c>
      <c r="L619" s="6"/>
      <c r="M619" s="122">
        <v>45450</v>
      </c>
      <c r="O619">
        <v>159</v>
      </c>
    </row>
    <row r="620" spans="1:15" x14ac:dyDescent="0.35">
      <c r="A620" t="s">
        <v>24</v>
      </c>
      <c r="D620" t="s">
        <v>28</v>
      </c>
      <c r="F620">
        <v>4</v>
      </c>
      <c r="G620">
        <v>5</v>
      </c>
      <c r="H620">
        <v>7</v>
      </c>
      <c r="K620">
        <v>53</v>
      </c>
      <c r="M620" s="122">
        <v>45450</v>
      </c>
      <c r="O620">
        <v>159</v>
      </c>
    </row>
    <row r="621" spans="1:15" x14ac:dyDescent="0.35">
      <c r="A621" t="s">
        <v>24</v>
      </c>
      <c r="D621" t="s">
        <v>28</v>
      </c>
      <c r="F621">
        <v>1</v>
      </c>
      <c r="G621">
        <v>7</v>
      </c>
      <c r="H621">
        <v>1</v>
      </c>
      <c r="K621">
        <v>7</v>
      </c>
      <c r="M621" s="122">
        <v>45450</v>
      </c>
      <c r="O621">
        <v>159</v>
      </c>
    </row>
    <row r="622" spans="1:15" x14ac:dyDescent="0.35">
      <c r="A622" t="s">
        <v>24</v>
      </c>
      <c r="D622" t="s">
        <v>28</v>
      </c>
      <c r="F622">
        <v>2</v>
      </c>
      <c r="G622">
        <v>2</v>
      </c>
      <c r="H622">
        <v>3</v>
      </c>
      <c r="K622">
        <v>18</v>
      </c>
      <c r="L622" s="6"/>
      <c r="M622" s="122">
        <v>45462</v>
      </c>
      <c r="O622">
        <v>171</v>
      </c>
    </row>
    <row r="623" spans="1:15" x14ac:dyDescent="0.35">
      <c r="A623" t="s">
        <v>24</v>
      </c>
      <c r="D623" t="s">
        <v>28</v>
      </c>
      <c r="F623">
        <v>3</v>
      </c>
      <c r="G623">
        <v>4</v>
      </c>
      <c r="H623">
        <v>5</v>
      </c>
      <c r="K623">
        <v>36</v>
      </c>
      <c r="L623" s="6"/>
      <c r="M623" s="122">
        <v>45462</v>
      </c>
      <c r="O623">
        <v>171</v>
      </c>
    </row>
    <row r="624" spans="1:15" x14ac:dyDescent="0.35">
      <c r="A624" t="s">
        <v>24</v>
      </c>
      <c r="D624" t="s">
        <v>28</v>
      </c>
      <c r="F624">
        <v>4</v>
      </c>
      <c r="G624">
        <v>5</v>
      </c>
      <c r="H624">
        <v>7</v>
      </c>
      <c r="K624">
        <v>53</v>
      </c>
      <c r="M624" s="122">
        <v>45462</v>
      </c>
      <c r="O624">
        <v>171</v>
      </c>
    </row>
    <row r="625" spans="1:15" x14ac:dyDescent="0.35">
      <c r="A625" t="s">
        <v>24</v>
      </c>
      <c r="D625" t="s">
        <v>28</v>
      </c>
      <c r="F625">
        <v>1</v>
      </c>
      <c r="G625">
        <v>7</v>
      </c>
      <c r="H625">
        <v>1</v>
      </c>
      <c r="K625">
        <v>7</v>
      </c>
      <c r="M625" s="122">
        <v>45462</v>
      </c>
      <c r="O625">
        <v>171</v>
      </c>
    </row>
    <row r="626" spans="1:15" x14ac:dyDescent="0.35">
      <c r="A626" t="s">
        <v>34</v>
      </c>
      <c r="D626" t="s">
        <v>39</v>
      </c>
      <c r="F626">
        <v>4</v>
      </c>
      <c r="G626">
        <v>1</v>
      </c>
      <c r="H626">
        <v>8</v>
      </c>
      <c r="K626">
        <v>57</v>
      </c>
      <c r="L626" s="6"/>
      <c r="M626" s="122">
        <v>45411</v>
      </c>
      <c r="N626" s="6"/>
      <c r="O626">
        <v>120</v>
      </c>
    </row>
    <row r="627" spans="1:15" x14ac:dyDescent="0.35">
      <c r="A627" t="s">
        <v>34</v>
      </c>
      <c r="D627" t="s">
        <v>39</v>
      </c>
      <c r="F627">
        <v>2</v>
      </c>
      <c r="G627">
        <v>4</v>
      </c>
      <c r="H627">
        <v>4</v>
      </c>
      <c r="K627">
        <v>28</v>
      </c>
      <c r="L627" s="6"/>
      <c r="M627" s="122">
        <v>45411</v>
      </c>
      <c r="O627">
        <v>120</v>
      </c>
    </row>
    <row r="628" spans="1:15" x14ac:dyDescent="0.35">
      <c r="A628" t="s">
        <v>34</v>
      </c>
      <c r="D628" t="s">
        <v>39</v>
      </c>
      <c r="F628">
        <v>3</v>
      </c>
      <c r="G628">
        <v>6</v>
      </c>
      <c r="H628">
        <v>6</v>
      </c>
      <c r="K628">
        <v>46</v>
      </c>
      <c r="M628" s="122">
        <v>45411</v>
      </c>
      <c r="O628">
        <v>120</v>
      </c>
    </row>
    <row r="629" spans="1:15" x14ac:dyDescent="0.35">
      <c r="A629" t="s">
        <v>34</v>
      </c>
      <c r="D629" t="s">
        <v>39</v>
      </c>
      <c r="F629">
        <v>1</v>
      </c>
      <c r="G629">
        <v>8</v>
      </c>
      <c r="H629">
        <v>2</v>
      </c>
      <c r="K629">
        <v>16</v>
      </c>
      <c r="M629" s="122">
        <v>45411</v>
      </c>
      <c r="O629">
        <v>120</v>
      </c>
    </row>
    <row r="630" spans="1:15" x14ac:dyDescent="0.35">
      <c r="A630" t="s">
        <v>34</v>
      </c>
      <c r="D630" t="s">
        <v>39</v>
      </c>
      <c r="F630">
        <v>4</v>
      </c>
      <c r="G630">
        <v>1</v>
      </c>
      <c r="H630">
        <v>8</v>
      </c>
      <c r="K630">
        <v>57</v>
      </c>
      <c r="L630" s="6"/>
      <c r="M630" s="122">
        <v>45414</v>
      </c>
      <c r="N630" s="6"/>
      <c r="O630">
        <v>123</v>
      </c>
    </row>
    <row r="631" spans="1:15" x14ac:dyDescent="0.35">
      <c r="A631" t="s">
        <v>34</v>
      </c>
      <c r="D631" t="s">
        <v>39</v>
      </c>
      <c r="F631">
        <v>2</v>
      </c>
      <c r="G631">
        <v>4</v>
      </c>
      <c r="H631">
        <v>4</v>
      </c>
      <c r="K631">
        <v>28</v>
      </c>
      <c r="L631" s="6"/>
      <c r="M631" s="122">
        <v>45414</v>
      </c>
      <c r="O631">
        <v>123</v>
      </c>
    </row>
    <row r="632" spans="1:15" x14ac:dyDescent="0.35">
      <c r="A632" t="s">
        <v>34</v>
      </c>
      <c r="D632" t="s">
        <v>39</v>
      </c>
      <c r="F632">
        <v>3</v>
      </c>
      <c r="G632">
        <v>6</v>
      </c>
      <c r="H632">
        <v>6</v>
      </c>
      <c r="K632">
        <v>46</v>
      </c>
      <c r="M632" s="122">
        <v>45414</v>
      </c>
      <c r="O632">
        <v>123</v>
      </c>
    </row>
    <row r="633" spans="1:15" x14ac:dyDescent="0.35">
      <c r="A633" t="s">
        <v>34</v>
      </c>
      <c r="D633" t="s">
        <v>39</v>
      </c>
      <c r="F633">
        <v>1</v>
      </c>
      <c r="G633">
        <v>8</v>
      </c>
      <c r="H633">
        <v>2</v>
      </c>
      <c r="K633">
        <v>16</v>
      </c>
      <c r="M633" s="122">
        <v>45414</v>
      </c>
      <c r="O633">
        <v>123</v>
      </c>
    </row>
    <row r="634" spans="1:15" x14ac:dyDescent="0.35">
      <c r="A634" t="s">
        <v>34</v>
      </c>
      <c r="D634" t="s">
        <v>39</v>
      </c>
      <c r="F634">
        <v>4</v>
      </c>
      <c r="G634">
        <v>1</v>
      </c>
      <c r="H634">
        <v>8</v>
      </c>
      <c r="K634">
        <v>57</v>
      </c>
      <c r="L634" s="6"/>
      <c r="M634" s="122">
        <v>45418</v>
      </c>
      <c r="N634" s="6"/>
      <c r="O634">
        <v>127</v>
      </c>
    </row>
    <row r="635" spans="1:15" x14ac:dyDescent="0.35">
      <c r="A635" t="s">
        <v>34</v>
      </c>
      <c r="D635" t="s">
        <v>39</v>
      </c>
      <c r="F635">
        <v>2</v>
      </c>
      <c r="G635">
        <v>4</v>
      </c>
      <c r="H635">
        <v>4</v>
      </c>
      <c r="K635">
        <v>28</v>
      </c>
      <c r="L635" s="6"/>
      <c r="M635" s="122">
        <v>45418</v>
      </c>
      <c r="O635">
        <v>127</v>
      </c>
    </row>
    <row r="636" spans="1:15" x14ac:dyDescent="0.35">
      <c r="A636" t="s">
        <v>34</v>
      </c>
      <c r="D636" t="s">
        <v>39</v>
      </c>
      <c r="F636">
        <v>3</v>
      </c>
      <c r="G636">
        <v>6</v>
      </c>
      <c r="H636">
        <v>6</v>
      </c>
      <c r="K636">
        <v>46</v>
      </c>
      <c r="M636" s="122">
        <v>45418</v>
      </c>
      <c r="O636">
        <v>127</v>
      </c>
    </row>
    <row r="637" spans="1:15" x14ac:dyDescent="0.35">
      <c r="A637" t="s">
        <v>34</v>
      </c>
      <c r="D637" t="s">
        <v>39</v>
      </c>
      <c r="F637">
        <v>1</v>
      </c>
      <c r="G637">
        <v>8</v>
      </c>
      <c r="H637">
        <v>2</v>
      </c>
      <c r="K637">
        <v>16</v>
      </c>
      <c r="M637" s="122">
        <v>45418</v>
      </c>
      <c r="O637">
        <v>127</v>
      </c>
    </row>
    <row r="638" spans="1:15" x14ac:dyDescent="0.35">
      <c r="A638" t="s">
        <v>34</v>
      </c>
      <c r="D638" t="s">
        <v>39</v>
      </c>
      <c r="F638">
        <v>4</v>
      </c>
      <c r="G638">
        <v>1</v>
      </c>
      <c r="H638">
        <v>8</v>
      </c>
      <c r="K638">
        <v>57</v>
      </c>
      <c r="L638" s="6"/>
      <c r="M638" s="122">
        <v>45421</v>
      </c>
      <c r="N638" s="6"/>
      <c r="O638">
        <v>130</v>
      </c>
    </row>
    <row r="639" spans="1:15" x14ac:dyDescent="0.35">
      <c r="A639" t="s">
        <v>34</v>
      </c>
      <c r="D639" t="s">
        <v>39</v>
      </c>
      <c r="F639">
        <v>2</v>
      </c>
      <c r="G639">
        <v>4</v>
      </c>
      <c r="H639">
        <v>4</v>
      </c>
      <c r="K639">
        <v>28</v>
      </c>
      <c r="L639" s="6"/>
      <c r="M639" s="122">
        <v>45421</v>
      </c>
      <c r="O639">
        <v>130</v>
      </c>
    </row>
    <row r="640" spans="1:15" x14ac:dyDescent="0.35">
      <c r="A640" t="s">
        <v>34</v>
      </c>
      <c r="D640" t="s">
        <v>39</v>
      </c>
      <c r="F640">
        <v>3</v>
      </c>
      <c r="G640">
        <v>6</v>
      </c>
      <c r="H640">
        <v>6</v>
      </c>
      <c r="K640">
        <v>46</v>
      </c>
      <c r="M640" s="122">
        <v>45421</v>
      </c>
      <c r="O640">
        <v>130</v>
      </c>
    </row>
    <row r="641" spans="1:15" x14ac:dyDescent="0.35">
      <c r="A641" t="s">
        <v>34</v>
      </c>
      <c r="D641" t="s">
        <v>39</v>
      </c>
      <c r="F641">
        <v>1</v>
      </c>
      <c r="G641">
        <v>8</v>
      </c>
      <c r="H641">
        <v>2</v>
      </c>
      <c r="K641">
        <v>16</v>
      </c>
      <c r="M641" s="122">
        <v>45421</v>
      </c>
      <c r="O641">
        <v>130</v>
      </c>
    </row>
    <row r="642" spans="1:15" x14ac:dyDescent="0.35">
      <c r="A642" t="s">
        <v>34</v>
      </c>
      <c r="D642" t="s">
        <v>39</v>
      </c>
      <c r="F642">
        <v>4</v>
      </c>
      <c r="G642">
        <v>1</v>
      </c>
      <c r="H642">
        <v>8</v>
      </c>
      <c r="K642">
        <v>57</v>
      </c>
      <c r="L642" s="6"/>
      <c r="M642" s="122">
        <v>45425</v>
      </c>
      <c r="N642" s="6"/>
      <c r="O642">
        <v>134</v>
      </c>
    </row>
    <row r="643" spans="1:15" x14ac:dyDescent="0.35">
      <c r="A643" t="s">
        <v>34</v>
      </c>
      <c r="D643" t="s">
        <v>39</v>
      </c>
      <c r="F643">
        <v>2</v>
      </c>
      <c r="G643">
        <v>4</v>
      </c>
      <c r="H643">
        <v>4</v>
      </c>
      <c r="K643">
        <v>28</v>
      </c>
      <c r="L643" s="6"/>
      <c r="M643" s="122">
        <v>45425</v>
      </c>
      <c r="O643">
        <v>134</v>
      </c>
    </row>
    <row r="644" spans="1:15" x14ac:dyDescent="0.35">
      <c r="A644" t="s">
        <v>34</v>
      </c>
      <c r="D644" t="s">
        <v>39</v>
      </c>
      <c r="F644">
        <v>3</v>
      </c>
      <c r="G644">
        <v>6</v>
      </c>
      <c r="H644">
        <v>6</v>
      </c>
      <c r="K644">
        <v>46</v>
      </c>
      <c r="M644" s="122">
        <v>45425</v>
      </c>
      <c r="O644">
        <v>134</v>
      </c>
    </row>
    <row r="645" spans="1:15" x14ac:dyDescent="0.35">
      <c r="A645" t="s">
        <v>34</v>
      </c>
      <c r="D645" t="s">
        <v>39</v>
      </c>
      <c r="F645">
        <v>1</v>
      </c>
      <c r="G645">
        <v>8</v>
      </c>
      <c r="H645">
        <v>2</v>
      </c>
      <c r="K645">
        <v>16</v>
      </c>
      <c r="M645" s="122">
        <v>45425</v>
      </c>
      <c r="O645">
        <v>134</v>
      </c>
    </row>
    <row r="646" spans="1:15" x14ac:dyDescent="0.35">
      <c r="A646" t="s">
        <v>34</v>
      </c>
      <c r="D646" t="s">
        <v>39</v>
      </c>
      <c r="F646">
        <v>4</v>
      </c>
      <c r="G646">
        <v>1</v>
      </c>
      <c r="H646">
        <v>8</v>
      </c>
      <c r="K646">
        <v>57</v>
      </c>
      <c r="L646" s="6"/>
      <c r="M646" s="122">
        <v>45428</v>
      </c>
      <c r="N646" s="6">
        <v>0</v>
      </c>
      <c r="O646">
        <v>137</v>
      </c>
    </row>
    <row r="647" spans="1:15" x14ac:dyDescent="0.35">
      <c r="A647" t="s">
        <v>34</v>
      </c>
      <c r="D647" t="s">
        <v>39</v>
      </c>
      <c r="F647">
        <v>2</v>
      </c>
      <c r="G647">
        <v>4</v>
      </c>
      <c r="H647">
        <v>4</v>
      </c>
      <c r="K647">
        <v>28</v>
      </c>
      <c r="L647" s="6"/>
      <c r="M647" s="122">
        <v>45428</v>
      </c>
      <c r="N647">
        <v>0</v>
      </c>
      <c r="O647">
        <v>137</v>
      </c>
    </row>
    <row r="648" spans="1:15" x14ac:dyDescent="0.35">
      <c r="A648" t="s">
        <v>34</v>
      </c>
      <c r="D648" t="s">
        <v>39</v>
      </c>
      <c r="F648">
        <v>3</v>
      </c>
      <c r="G648">
        <v>6</v>
      </c>
      <c r="H648">
        <v>6</v>
      </c>
      <c r="K648">
        <v>46</v>
      </c>
      <c r="M648" s="122">
        <v>45428</v>
      </c>
      <c r="N648">
        <v>0</v>
      </c>
      <c r="O648">
        <v>137</v>
      </c>
    </row>
    <row r="649" spans="1:15" x14ac:dyDescent="0.35">
      <c r="A649" t="s">
        <v>34</v>
      </c>
      <c r="D649" t="s">
        <v>39</v>
      </c>
      <c r="F649">
        <v>1</v>
      </c>
      <c r="G649">
        <v>8</v>
      </c>
      <c r="H649">
        <v>2</v>
      </c>
      <c r="K649">
        <v>16</v>
      </c>
      <c r="M649" s="122">
        <v>45428</v>
      </c>
      <c r="N649">
        <v>0</v>
      </c>
      <c r="O649">
        <v>137</v>
      </c>
    </row>
    <row r="650" spans="1:15" x14ac:dyDescent="0.35">
      <c r="A650" t="s">
        <v>34</v>
      </c>
      <c r="D650" t="s">
        <v>39</v>
      </c>
      <c r="F650">
        <v>4</v>
      </c>
      <c r="G650">
        <v>1</v>
      </c>
      <c r="H650">
        <v>8</v>
      </c>
      <c r="K650">
        <v>57</v>
      </c>
      <c r="L650" s="6"/>
      <c r="M650" s="122">
        <v>45435</v>
      </c>
      <c r="N650" s="6">
        <v>0</v>
      </c>
      <c r="O650">
        <v>144</v>
      </c>
    </row>
    <row r="651" spans="1:15" x14ac:dyDescent="0.35">
      <c r="A651" t="s">
        <v>34</v>
      </c>
      <c r="D651" t="s">
        <v>39</v>
      </c>
      <c r="F651">
        <v>2</v>
      </c>
      <c r="G651">
        <v>4</v>
      </c>
      <c r="H651">
        <v>4</v>
      </c>
      <c r="K651">
        <v>28</v>
      </c>
      <c r="L651" s="6"/>
      <c r="M651" s="122">
        <v>45435</v>
      </c>
      <c r="N651">
        <v>1</v>
      </c>
      <c r="O651">
        <v>144</v>
      </c>
    </row>
    <row r="652" spans="1:15" x14ac:dyDescent="0.35">
      <c r="A652" t="s">
        <v>34</v>
      </c>
      <c r="D652" t="s">
        <v>39</v>
      </c>
      <c r="F652">
        <v>3</v>
      </c>
      <c r="G652">
        <v>6</v>
      </c>
      <c r="H652">
        <v>6</v>
      </c>
      <c r="K652">
        <v>46</v>
      </c>
      <c r="M652" s="122">
        <v>45435</v>
      </c>
      <c r="N652">
        <v>7</v>
      </c>
      <c r="O652">
        <v>144</v>
      </c>
    </row>
    <row r="653" spans="1:15" x14ac:dyDescent="0.35">
      <c r="A653" t="s">
        <v>34</v>
      </c>
      <c r="D653" t="s">
        <v>39</v>
      </c>
      <c r="F653">
        <v>1</v>
      </c>
      <c r="G653">
        <v>8</v>
      </c>
      <c r="H653">
        <v>2</v>
      </c>
      <c r="K653">
        <v>16</v>
      </c>
      <c r="M653" s="122">
        <v>45435</v>
      </c>
      <c r="N653">
        <v>3</v>
      </c>
      <c r="O653">
        <v>144</v>
      </c>
    </row>
    <row r="654" spans="1:15" x14ac:dyDescent="0.35">
      <c r="A654" t="s">
        <v>34</v>
      </c>
      <c r="D654" t="s">
        <v>39</v>
      </c>
      <c r="F654">
        <v>4</v>
      </c>
      <c r="G654">
        <v>1</v>
      </c>
      <c r="H654">
        <v>8</v>
      </c>
      <c r="K654">
        <v>57</v>
      </c>
      <c r="L654" s="6"/>
      <c r="M654" s="122">
        <v>45440</v>
      </c>
      <c r="N654" s="6">
        <v>13</v>
      </c>
      <c r="O654">
        <v>149</v>
      </c>
    </row>
    <row r="655" spans="1:15" x14ac:dyDescent="0.35">
      <c r="A655" t="s">
        <v>34</v>
      </c>
      <c r="D655" t="s">
        <v>39</v>
      </c>
      <c r="F655">
        <v>2</v>
      </c>
      <c r="G655">
        <v>4</v>
      </c>
      <c r="H655">
        <v>4</v>
      </c>
      <c r="K655">
        <v>28</v>
      </c>
      <c r="L655" s="6"/>
      <c r="M655" s="122">
        <v>45440</v>
      </c>
      <c r="N655">
        <v>12</v>
      </c>
      <c r="O655">
        <v>149</v>
      </c>
    </row>
    <row r="656" spans="1:15" x14ac:dyDescent="0.35">
      <c r="A656" t="s">
        <v>34</v>
      </c>
      <c r="D656" t="s">
        <v>39</v>
      </c>
      <c r="F656">
        <v>3</v>
      </c>
      <c r="G656">
        <v>6</v>
      </c>
      <c r="H656">
        <v>6</v>
      </c>
      <c r="K656">
        <v>46</v>
      </c>
      <c r="M656" s="122">
        <v>45440</v>
      </c>
      <c r="N656">
        <v>38</v>
      </c>
      <c r="O656">
        <v>149</v>
      </c>
    </row>
    <row r="657" spans="1:15" x14ac:dyDescent="0.35">
      <c r="A657" t="s">
        <v>34</v>
      </c>
      <c r="D657" t="s">
        <v>39</v>
      </c>
      <c r="F657">
        <v>1</v>
      </c>
      <c r="G657">
        <v>8</v>
      </c>
      <c r="H657">
        <v>2</v>
      </c>
      <c r="K657">
        <v>16</v>
      </c>
      <c r="M657" s="122">
        <v>45440</v>
      </c>
      <c r="N657">
        <v>23</v>
      </c>
      <c r="O657">
        <v>149</v>
      </c>
    </row>
    <row r="658" spans="1:15" x14ac:dyDescent="0.35">
      <c r="A658" t="s">
        <v>34</v>
      </c>
      <c r="D658" t="s">
        <v>39</v>
      </c>
      <c r="F658">
        <v>4</v>
      </c>
      <c r="G658">
        <v>1</v>
      </c>
      <c r="H658">
        <v>8</v>
      </c>
      <c r="K658">
        <v>57</v>
      </c>
      <c r="L658" s="6"/>
      <c r="M658" s="122">
        <v>45442</v>
      </c>
      <c r="N658" s="6">
        <v>15</v>
      </c>
      <c r="O658">
        <v>151</v>
      </c>
    </row>
    <row r="659" spans="1:15" x14ac:dyDescent="0.35">
      <c r="A659" t="s">
        <v>34</v>
      </c>
      <c r="D659" t="s">
        <v>39</v>
      </c>
      <c r="F659">
        <v>2</v>
      </c>
      <c r="G659">
        <v>4</v>
      </c>
      <c r="H659">
        <v>4</v>
      </c>
      <c r="K659">
        <v>28</v>
      </c>
      <c r="L659" s="6"/>
      <c r="M659" s="122">
        <v>45442</v>
      </c>
      <c r="N659">
        <v>17</v>
      </c>
      <c r="O659">
        <v>151</v>
      </c>
    </row>
    <row r="660" spans="1:15" x14ac:dyDescent="0.35">
      <c r="A660" t="s">
        <v>34</v>
      </c>
      <c r="D660" t="s">
        <v>39</v>
      </c>
      <c r="F660">
        <v>3</v>
      </c>
      <c r="G660">
        <v>6</v>
      </c>
      <c r="H660">
        <v>6</v>
      </c>
      <c r="K660">
        <v>46</v>
      </c>
      <c r="M660" s="122">
        <v>45442</v>
      </c>
      <c r="N660">
        <v>48</v>
      </c>
      <c r="O660">
        <v>151</v>
      </c>
    </row>
    <row r="661" spans="1:15" x14ac:dyDescent="0.35">
      <c r="A661" t="s">
        <v>34</v>
      </c>
      <c r="D661" t="s">
        <v>39</v>
      </c>
      <c r="F661">
        <v>1</v>
      </c>
      <c r="G661">
        <v>8</v>
      </c>
      <c r="H661">
        <v>2</v>
      </c>
      <c r="K661">
        <v>16</v>
      </c>
      <c r="M661" s="122">
        <v>45442</v>
      </c>
      <c r="N661">
        <v>28</v>
      </c>
      <c r="O661">
        <v>151</v>
      </c>
    </row>
    <row r="662" spans="1:15" x14ac:dyDescent="0.35">
      <c r="A662" t="s">
        <v>34</v>
      </c>
      <c r="D662" t="s">
        <v>39</v>
      </c>
      <c r="F662">
        <v>4</v>
      </c>
      <c r="G662">
        <v>1</v>
      </c>
      <c r="H662">
        <v>8</v>
      </c>
      <c r="K662">
        <v>57</v>
      </c>
      <c r="L662" s="6"/>
      <c r="M662" s="122">
        <v>45446</v>
      </c>
      <c r="N662" s="6">
        <v>23</v>
      </c>
      <c r="O662">
        <v>155</v>
      </c>
    </row>
    <row r="663" spans="1:15" x14ac:dyDescent="0.35">
      <c r="A663" t="s">
        <v>34</v>
      </c>
      <c r="D663" t="s">
        <v>39</v>
      </c>
      <c r="F663">
        <v>2</v>
      </c>
      <c r="G663">
        <v>4</v>
      </c>
      <c r="H663">
        <v>4</v>
      </c>
      <c r="K663">
        <v>28</v>
      </c>
      <c r="L663" s="6"/>
      <c r="M663" s="122">
        <v>45446</v>
      </c>
      <c r="N663">
        <v>18</v>
      </c>
      <c r="O663">
        <v>155</v>
      </c>
    </row>
    <row r="664" spans="1:15" x14ac:dyDescent="0.35">
      <c r="A664" t="s">
        <v>34</v>
      </c>
      <c r="D664" t="s">
        <v>39</v>
      </c>
      <c r="F664">
        <v>3</v>
      </c>
      <c r="G664">
        <v>6</v>
      </c>
      <c r="H664">
        <v>6</v>
      </c>
      <c r="K664">
        <v>46</v>
      </c>
      <c r="M664" s="122">
        <v>45446</v>
      </c>
      <c r="N664">
        <v>48</v>
      </c>
      <c r="O664">
        <v>155</v>
      </c>
    </row>
    <row r="665" spans="1:15" x14ac:dyDescent="0.35">
      <c r="A665" t="s">
        <v>34</v>
      </c>
      <c r="D665" t="s">
        <v>39</v>
      </c>
      <c r="F665">
        <v>1</v>
      </c>
      <c r="G665">
        <v>8</v>
      </c>
      <c r="H665">
        <v>2</v>
      </c>
      <c r="K665">
        <v>16</v>
      </c>
      <c r="M665" s="122">
        <v>45446</v>
      </c>
      <c r="N665">
        <v>28</v>
      </c>
      <c r="O665">
        <v>155</v>
      </c>
    </row>
    <row r="666" spans="1:15" x14ac:dyDescent="0.35">
      <c r="A666" t="s">
        <v>34</v>
      </c>
      <c r="D666" t="s">
        <v>39</v>
      </c>
      <c r="F666">
        <v>4</v>
      </c>
      <c r="G666">
        <v>1</v>
      </c>
      <c r="H666">
        <v>8</v>
      </c>
      <c r="K666">
        <v>57</v>
      </c>
      <c r="L666" s="6"/>
      <c r="M666" s="122">
        <v>45450</v>
      </c>
      <c r="N666" s="6">
        <v>23</v>
      </c>
      <c r="O666">
        <v>159</v>
      </c>
    </row>
    <row r="667" spans="1:15" x14ac:dyDescent="0.35">
      <c r="A667" t="s">
        <v>34</v>
      </c>
      <c r="D667" t="s">
        <v>39</v>
      </c>
      <c r="F667">
        <v>2</v>
      </c>
      <c r="G667">
        <v>4</v>
      </c>
      <c r="H667">
        <v>4</v>
      </c>
      <c r="K667">
        <v>28</v>
      </c>
      <c r="L667" s="6"/>
      <c r="M667" s="122">
        <v>45450</v>
      </c>
      <c r="N667">
        <v>18</v>
      </c>
      <c r="O667">
        <v>159</v>
      </c>
    </row>
    <row r="668" spans="1:15" x14ac:dyDescent="0.35">
      <c r="A668" t="s">
        <v>34</v>
      </c>
      <c r="D668" t="s">
        <v>39</v>
      </c>
      <c r="F668">
        <v>3</v>
      </c>
      <c r="G668">
        <v>6</v>
      </c>
      <c r="H668">
        <v>6</v>
      </c>
      <c r="K668">
        <v>46</v>
      </c>
      <c r="M668" s="122">
        <v>45450</v>
      </c>
      <c r="N668">
        <v>48</v>
      </c>
      <c r="O668">
        <v>159</v>
      </c>
    </row>
    <row r="669" spans="1:15" x14ac:dyDescent="0.35">
      <c r="A669" t="s">
        <v>34</v>
      </c>
      <c r="D669" t="s">
        <v>39</v>
      </c>
      <c r="F669">
        <v>1</v>
      </c>
      <c r="G669">
        <v>8</v>
      </c>
      <c r="H669">
        <v>2</v>
      </c>
      <c r="K669">
        <v>16</v>
      </c>
      <c r="M669" s="122">
        <v>45450</v>
      </c>
      <c r="N669">
        <v>28</v>
      </c>
      <c r="O669">
        <v>159</v>
      </c>
    </row>
    <row r="670" spans="1:15" x14ac:dyDescent="0.35">
      <c r="A670" t="s">
        <v>34</v>
      </c>
      <c r="D670" t="s">
        <v>39</v>
      </c>
      <c r="F670">
        <v>4</v>
      </c>
      <c r="G670">
        <v>1</v>
      </c>
      <c r="H670">
        <v>8</v>
      </c>
      <c r="K670">
        <v>57</v>
      </c>
      <c r="L670" s="6"/>
      <c r="M670" s="122">
        <v>45462</v>
      </c>
      <c r="N670" s="6"/>
      <c r="O670">
        <v>171</v>
      </c>
    </row>
    <row r="671" spans="1:15" x14ac:dyDescent="0.35">
      <c r="A671" t="s">
        <v>34</v>
      </c>
      <c r="D671" t="s">
        <v>39</v>
      </c>
      <c r="F671">
        <v>2</v>
      </c>
      <c r="G671">
        <v>4</v>
      </c>
      <c r="H671">
        <v>4</v>
      </c>
      <c r="K671">
        <v>28</v>
      </c>
      <c r="L671" s="6"/>
      <c r="M671" s="122">
        <v>45462</v>
      </c>
      <c r="O671">
        <v>171</v>
      </c>
    </row>
    <row r="672" spans="1:15" x14ac:dyDescent="0.35">
      <c r="A672" t="s">
        <v>34</v>
      </c>
      <c r="D672" t="s">
        <v>39</v>
      </c>
      <c r="F672">
        <v>3</v>
      </c>
      <c r="G672">
        <v>6</v>
      </c>
      <c r="H672">
        <v>6</v>
      </c>
      <c r="K672">
        <v>46</v>
      </c>
      <c r="M672" s="122">
        <v>45462</v>
      </c>
      <c r="O672">
        <v>171</v>
      </c>
    </row>
    <row r="673" spans="1:15" x14ac:dyDescent="0.35">
      <c r="A673" t="s">
        <v>34</v>
      </c>
      <c r="D673" t="s">
        <v>39</v>
      </c>
      <c r="F673">
        <v>1</v>
      </c>
      <c r="G673">
        <v>8</v>
      </c>
      <c r="H673">
        <v>2</v>
      </c>
      <c r="K673">
        <v>16</v>
      </c>
      <c r="M673" s="122">
        <v>45462</v>
      </c>
      <c r="O673">
        <v>171</v>
      </c>
    </row>
    <row r="674" spans="1:15" x14ac:dyDescent="0.35">
      <c r="A674" t="s">
        <v>24</v>
      </c>
      <c r="D674" t="s">
        <v>29</v>
      </c>
      <c r="F674">
        <v>4</v>
      </c>
      <c r="G674">
        <v>2</v>
      </c>
      <c r="H674">
        <v>7</v>
      </c>
      <c r="K674">
        <v>50</v>
      </c>
      <c r="L674" s="6"/>
      <c r="M674" s="122">
        <v>45411</v>
      </c>
      <c r="N674">
        <v>0</v>
      </c>
      <c r="O674">
        <v>120</v>
      </c>
    </row>
    <row r="675" spans="1:15" x14ac:dyDescent="0.35">
      <c r="A675" t="s">
        <v>24</v>
      </c>
      <c r="D675" t="s">
        <v>29</v>
      </c>
      <c r="F675">
        <v>1</v>
      </c>
      <c r="G675">
        <v>4</v>
      </c>
      <c r="H675">
        <v>1</v>
      </c>
      <c r="K675">
        <v>4</v>
      </c>
      <c r="L675" s="6"/>
      <c r="M675" s="122">
        <v>45411</v>
      </c>
      <c r="N675">
        <v>0</v>
      </c>
      <c r="O675">
        <v>120</v>
      </c>
    </row>
    <row r="676" spans="1:15" x14ac:dyDescent="0.35">
      <c r="A676" t="s">
        <v>24</v>
      </c>
      <c r="D676" t="s">
        <v>29</v>
      </c>
      <c r="F676">
        <v>2</v>
      </c>
      <c r="G676">
        <v>5</v>
      </c>
      <c r="H676">
        <v>3</v>
      </c>
      <c r="K676">
        <v>21</v>
      </c>
      <c r="M676" s="122">
        <v>45411</v>
      </c>
      <c r="N676">
        <v>0</v>
      </c>
      <c r="O676">
        <v>120</v>
      </c>
    </row>
    <row r="677" spans="1:15" x14ac:dyDescent="0.35">
      <c r="A677" t="s">
        <v>24</v>
      </c>
      <c r="D677" t="s">
        <v>29</v>
      </c>
      <c r="F677">
        <v>3</v>
      </c>
      <c r="G677">
        <v>7</v>
      </c>
      <c r="H677">
        <v>5</v>
      </c>
      <c r="K677">
        <v>39</v>
      </c>
      <c r="M677" s="122">
        <v>45411</v>
      </c>
      <c r="N677">
        <v>1</v>
      </c>
      <c r="O677">
        <v>120</v>
      </c>
    </row>
    <row r="678" spans="1:15" x14ac:dyDescent="0.35">
      <c r="A678" t="s">
        <v>24</v>
      </c>
      <c r="D678" t="s">
        <v>29</v>
      </c>
      <c r="F678">
        <v>4</v>
      </c>
      <c r="G678">
        <v>2</v>
      </c>
      <c r="H678">
        <v>7</v>
      </c>
      <c r="K678">
        <v>50</v>
      </c>
      <c r="L678" s="6"/>
      <c r="M678" s="122">
        <v>45414</v>
      </c>
      <c r="N678">
        <v>31</v>
      </c>
      <c r="O678">
        <v>123</v>
      </c>
    </row>
    <row r="679" spans="1:15" x14ac:dyDescent="0.35">
      <c r="A679" t="s">
        <v>24</v>
      </c>
      <c r="D679" t="s">
        <v>29</v>
      </c>
      <c r="F679">
        <v>1</v>
      </c>
      <c r="G679">
        <v>4</v>
      </c>
      <c r="H679">
        <v>1</v>
      </c>
      <c r="K679">
        <v>4</v>
      </c>
      <c r="L679" s="6"/>
      <c r="M679" s="122">
        <v>45414</v>
      </c>
      <c r="N679">
        <v>28</v>
      </c>
      <c r="O679">
        <v>123</v>
      </c>
    </row>
    <row r="680" spans="1:15" x14ac:dyDescent="0.35">
      <c r="A680" t="s">
        <v>24</v>
      </c>
      <c r="D680" t="s">
        <v>29</v>
      </c>
      <c r="F680">
        <v>2</v>
      </c>
      <c r="G680">
        <v>5</v>
      </c>
      <c r="H680">
        <v>3</v>
      </c>
      <c r="K680">
        <v>21</v>
      </c>
      <c r="M680" s="122">
        <v>45414</v>
      </c>
      <c r="N680">
        <v>26</v>
      </c>
      <c r="O680">
        <v>123</v>
      </c>
    </row>
    <row r="681" spans="1:15" x14ac:dyDescent="0.35">
      <c r="A681" t="s">
        <v>24</v>
      </c>
      <c r="D681" t="s">
        <v>29</v>
      </c>
      <c r="F681">
        <v>3</v>
      </c>
      <c r="G681">
        <v>7</v>
      </c>
      <c r="H681">
        <v>5</v>
      </c>
      <c r="K681">
        <v>39</v>
      </c>
      <c r="M681" s="122">
        <v>45414</v>
      </c>
      <c r="N681">
        <v>23</v>
      </c>
      <c r="O681">
        <v>123</v>
      </c>
    </row>
    <row r="682" spans="1:15" x14ac:dyDescent="0.35">
      <c r="A682" t="s">
        <v>24</v>
      </c>
      <c r="D682" t="s">
        <v>29</v>
      </c>
      <c r="F682">
        <v>4</v>
      </c>
      <c r="G682">
        <v>2</v>
      </c>
      <c r="H682">
        <v>7</v>
      </c>
      <c r="K682">
        <v>50</v>
      </c>
      <c r="L682" s="6"/>
      <c r="M682" s="122">
        <v>45418</v>
      </c>
      <c r="N682">
        <v>32</v>
      </c>
      <c r="O682">
        <v>127</v>
      </c>
    </row>
    <row r="683" spans="1:15" x14ac:dyDescent="0.35">
      <c r="A683" t="s">
        <v>24</v>
      </c>
      <c r="B683" s="71"/>
      <c r="C683" s="72"/>
      <c r="D683" t="s">
        <v>29</v>
      </c>
      <c r="E683" s="71"/>
      <c r="F683">
        <v>1</v>
      </c>
      <c r="G683">
        <v>4</v>
      </c>
      <c r="H683">
        <v>1</v>
      </c>
      <c r="I683" s="73"/>
      <c r="J683" s="73"/>
      <c r="K683">
        <v>4</v>
      </c>
      <c r="L683" s="6"/>
      <c r="M683" s="122">
        <v>45418</v>
      </c>
      <c r="N683">
        <v>34</v>
      </c>
      <c r="O683">
        <v>127</v>
      </c>
    </row>
    <row r="684" spans="1:15" x14ac:dyDescent="0.35">
      <c r="A684" t="s">
        <v>24</v>
      </c>
      <c r="D684" t="s">
        <v>29</v>
      </c>
      <c r="F684">
        <v>2</v>
      </c>
      <c r="G684">
        <v>5</v>
      </c>
      <c r="H684">
        <v>3</v>
      </c>
      <c r="K684">
        <v>21</v>
      </c>
      <c r="M684" s="122">
        <v>45418</v>
      </c>
      <c r="N684">
        <v>32</v>
      </c>
      <c r="O684">
        <v>127</v>
      </c>
    </row>
    <row r="685" spans="1:15" x14ac:dyDescent="0.35">
      <c r="A685" t="s">
        <v>24</v>
      </c>
      <c r="D685" t="s">
        <v>29</v>
      </c>
      <c r="F685">
        <v>3</v>
      </c>
      <c r="G685">
        <v>7</v>
      </c>
      <c r="H685">
        <v>5</v>
      </c>
      <c r="K685">
        <v>39</v>
      </c>
      <c r="M685" s="122">
        <v>45418</v>
      </c>
      <c r="N685">
        <v>28</v>
      </c>
      <c r="O685">
        <v>127</v>
      </c>
    </row>
    <row r="686" spans="1:15" x14ac:dyDescent="0.35">
      <c r="A686" t="s">
        <v>24</v>
      </c>
      <c r="D686" t="s">
        <v>29</v>
      </c>
      <c r="F686">
        <v>4</v>
      </c>
      <c r="G686">
        <v>2</v>
      </c>
      <c r="H686">
        <v>7</v>
      </c>
      <c r="K686">
        <v>50</v>
      </c>
      <c r="L686" s="6"/>
      <c r="M686" s="122">
        <v>45421</v>
      </c>
      <c r="N686">
        <v>32</v>
      </c>
      <c r="O686">
        <v>130</v>
      </c>
    </row>
    <row r="687" spans="1:15" x14ac:dyDescent="0.35">
      <c r="A687" t="s">
        <v>24</v>
      </c>
      <c r="D687" t="s">
        <v>29</v>
      </c>
      <c r="F687">
        <v>1</v>
      </c>
      <c r="G687">
        <v>4</v>
      </c>
      <c r="H687">
        <v>1</v>
      </c>
      <c r="K687">
        <v>4</v>
      </c>
      <c r="L687" s="6"/>
      <c r="M687" s="122">
        <v>45421</v>
      </c>
      <c r="N687">
        <v>34</v>
      </c>
      <c r="O687">
        <v>130</v>
      </c>
    </row>
    <row r="688" spans="1:15" x14ac:dyDescent="0.35">
      <c r="A688" t="s">
        <v>24</v>
      </c>
      <c r="D688" t="s">
        <v>29</v>
      </c>
      <c r="F688">
        <v>2</v>
      </c>
      <c r="G688">
        <v>5</v>
      </c>
      <c r="H688">
        <v>3</v>
      </c>
      <c r="K688">
        <v>21</v>
      </c>
      <c r="M688" s="122">
        <v>45421</v>
      </c>
      <c r="N688">
        <v>32</v>
      </c>
      <c r="O688">
        <v>130</v>
      </c>
    </row>
    <row r="689" spans="1:15" x14ac:dyDescent="0.35">
      <c r="A689" t="s">
        <v>24</v>
      </c>
      <c r="D689" t="s">
        <v>29</v>
      </c>
      <c r="F689">
        <v>3</v>
      </c>
      <c r="G689">
        <v>7</v>
      </c>
      <c r="H689">
        <v>5</v>
      </c>
      <c r="K689">
        <v>39</v>
      </c>
      <c r="M689" s="122">
        <v>45421</v>
      </c>
      <c r="N689">
        <v>33</v>
      </c>
      <c r="O689">
        <v>130</v>
      </c>
    </row>
    <row r="690" spans="1:15" x14ac:dyDescent="0.35">
      <c r="A690" t="s">
        <v>24</v>
      </c>
      <c r="D690" t="s">
        <v>29</v>
      </c>
      <c r="F690">
        <v>4</v>
      </c>
      <c r="G690">
        <v>2</v>
      </c>
      <c r="H690">
        <v>7</v>
      </c>
      <c r="K690">
        <v>50</v>
      </c>
      <c r="L690" s="6"/>
      <c r="M690" s="122">
        <v>45425</v>
      </c>
      <c r="N690">
        <v>32</v>
      </c>
      <c r="O690">
        <v>134</v>
      </c>
    </row>
    <row r="691" spans="1:15" x14ac:dyDescent="0.35">
      <c r="A691" t="s">
        <v>24</v>
      </c>
      <c r="D691" t="s">
        <v>29</v>
      </c>
      <c r="F691">
        <v>1</v>
      </c>
      <c r="G691">
        <v>4</v>
      </c>
      <c r="H691">
        <v>1</v>
      </c>
      <c r="K691">
        <v>4</v>
      </c>
      <c r="L691" s="6"/>
      <c r="M691" s="122">
        <v>45425</v>
      </c>
      <c r="N691">
        <v>34</v>
      </c>
      <c r="O691">
        <v>134</v>
      </c>
    </row>
    <row r="692" spans="1:15" x14ac:dyDescent="0.35">
      <c r="A692" t="s">
        <v>24</v>
      </c>
      <c r="D692" t="s">
        <v>29</v>
      </c>
      <c r="F692">
        <v>2</v>
      </c>
      <c r="G692">
        <v>5</v>
      </c>
      <c r="H692">
        <v>3</v>
      </c>
      <c r="K692">
        <v>21</v>
      </c>
      <c r="M692" s="122">
        <v>45425</v>
      </c>
      <c r="N692">
        <v>32</v>
      </c>
      <c r="O692">
        <v>134</v>
      </c>
    </row>
    <row r="693" spans="1:15" x14ac:dyDescent="0.35">
      <c r="A693" t="s">
        <v>24</v>
      </c>
      <c r="D693" t="s">
        <v>29</v>
      </c>
      <c r="F693">
        <v>3</v>
      </c>
      <c r="G693">
        <v>7</v>
      </c>
      <c r="H693">
        <v>5</v>
      </c>
      <c r="K693">
        <v>39</v>
      </c>
      <c r="M693" s="122">
        <v>45425</v>
      </c>
      <c r="N693">
        <v>33</v>
      </c>
      <c r="O693">
        <v>134</v>
      </c>
    </row>
    <row r="694" spans="1:15" x14ac:dyDescent="0.35">
      <c r="A694" t="s">
        <v>24</v>
      </c>
      <c r="D694" t="s">
        <v>29</v>
      </c>
      <c r="F694">
        <v>4</v>
      </c>
      <c r="G694">
        <v>2</v>
      </c>
      <c r="H694">
        <v>7</v>
      </c>
      <c r="K694">
        <v>50</v>
      </c>
      <c r="L694" s="6"/>
      <c r="M694" s="122">
        <v>45428</v>
      </c>
      <c r="O694">
        <v>137</v>
      </c>
    </row>
    <row r="695" spans="1:15" x14ac:dyDescent="0.35">
      <c r="A695" t="s">
        <v>24</v>
      </c>
      <c r="D695" t="s">
        <v>29</v>
      </c>
      <c r="F695">
        <v>1</v>
      </c>
      <c r="G695">
        <v>4</v>
      </c>
      <c r="H695">
        <v>1</v>
      </c>
      <c r="K695">
        <v>4</v>
      </c>
      <c r="L695" s="6"/>
      <c r="M695" s="122">
        <v>45428</v>
      </c>
      <c r="O695">
        <v>137</v>
      </c>
    </row>
    <row r="696" spans="1:15" x14ac:dyDescent="0.35">
      <c r="A696" t="s">
        <v>24</v>
      </c>
      <c r="D696" t="s">
        <v>29</v>
      </c>
      <c r="F696">
        <v>2</v>
      </c>
      <c r="G696">
        <v>5</v>
      </c>
      <c r="H696">
        <v>3</v>
      </c>
      <c r="K696">
        <v>21</v>
      </c>
      <c r="M696" s="122">
        <v>45428</v>
      </c>
      <c r="O696">
        <v>137</v>
      </c>
    </row>
    <row r="697" spans="1:15" x14ac:dyDescent="0.35">
      <c r="A697" t="s">
        <v>24</v>
      </c>
      <c r="D697" t="s">
        <v>29</v>
      </c>
      <c r="F697">
        <v>3</v>
      </c>
      <c r="G697">
        <v>7</v>
      </c>
      <c r="H697">
        <v>5</v>
      </c>
      <c r="K697">
        <v>39</v>
      </c>
      <c r="M697" s="122">
        <v>45428</v>
      </c>
      <c r="O697">
        <v>137</v>
      </c>
    </row>
    <row r="698" spans="1:15" x14ac:dyDescent="0.35">
      <c r="A698" t="s">
        <v>24</v>
      </c>
      <c r="D698" t="s">
        <v>29</v>
      </c>
      <c r="F698">
        <v>4</v>
      </c>
      <c r="G698">
        <v>2</v>
      </c>
      <c r="H698">
        <v>7</v>
      </c>
      <c r="K698">
        <v>50</v>
      </c>
      <c r="L698" s="6"/>
      <c r="M698" s="122">
        <v>45435</v>
      </c>
      <c r="O698">
        <v>144</v>
      </c>
    </row>
    <row r="699" spans="1:15" x14ac:dyDescent="0.35">
      <c r="A699" t="s">
        <v>24</v>
      </c>
      <c r="D699" t="s">
        <v>29</v>
      </c>
      <c r="F699">
        <v>1</v>
      </c>
      <c r="G699">
        <v>4</v>
      </c>
      <c r="H699">
        <v>1</v>
      </c>
      <c r="K699">
        <v>4</v>
      </c>
      <c r="L699" s="6"/>
      <c r="M699" s="122">
        <v>45435</v>
      </c>
      <c r="O699">
        <v>144</v>
      </c>
    </row>
    <row r="700" spans="1:15" x14ac:dyDescent="0.35">
      <c r="A700" t="s">
        <v>24</v>
      </c>
      <c r="D700" t="s">
        <v>29</v>
      </c>
      <c r="F700">
        <v>2</v>
      </c>
      <c r="G700">
        <v>5</v>
      </c>
      <c r="H700">
        <v>3</v>
      </c>
      <c r="K700">
        <v>21</v>
      </c>
      <c r="M700" s="122">
        <v>45435</v>
      </c>
      <c r="O700">
        <v>144</v>
      </c>
    </row>
    <row r="701" spans="1:15" x14ac:dyDescent="0.35">
      <c r="A701" t="s">
        <v>24</v>
      </c>
      <c r="D701" t="s">
        <v>29</v>
      </c>
      <c r="F701">
        <v>3</v>
      </c>
      <c r="G701">
        <v>7</v>
      </c>
      <c r="H701">
        <v>5</v>
      </c>
      <c r="K701">
        <v>39</v>
      </c>
      <c r="M701" s="122">
        <v>45435</v>
      </c>
      <c r="O701">
        <v>144</v>
      </c>
    </row>
    <row r="702" spans="1:15" x14ac:dyDescent="0.35">
      <c r="A702" t="s">
        <v>24</v>
      </c>
      <c r="D702" t="s">
        <v>29</v>
      </c>
      <c r="F702">
        <v>4</v>
      </c>
      <c r="G702">
        <v>2</v>
      </c>
      <c r="H702">
        <v>7</v>
      </c>
      <c r="K702">
        <v>50</v>
      </c>
      <c r="L702" s="6"/>
      <c r="M702" s="122">
        <v>45440</v>
      </c>
      <c r="O702">
        <v>149</v>
      </c>
    </row>
    <row r="703" spans="1:15" x14ac:dyDescent="0.35">
      <c r="A703" t="s">
        <v>24</v>
      </c>
      <c r="D703" t="s">
        <v>29</v>
      </c>
      <c r="F703">
        <v>1</v>
      </c>
      <c r="G703">
        <v>4</v>
      </c>
      <c r="H703">
        <v>1</v>
      </c>
      <c r="K703">
        <v>4</v>
      </c>
      <c r="L703" s="6"/>
      <c r="M703" s="122">
        <v>45440</v>
      </c>
      <c r="O703">
        <v>149</v>
      </c>
    </row>
    <row r="704" spans="1:15" x14ac:dyDescent="0.35">
      <c r="A704" t="s">
        <v>24</v>
      </c>
      <c r="D704" t="s">
        <v>29</v>
      </c>
      <c r="F704">
        <v>2</v>
      </c>
      <c r="G704">
        <v>5</v>
      </c>
      <c r="H704">
        <v>3</v>
      </c>
      <c r="K704">
        <v>21</v>
      </c>
      <c r="M704" s="122">
        <v>45440</v>
      </c>
      <c r="O704">
        <v>149</v>
      </c>
    </row>
    <row r="705" spans="1:15" x14ac:dyDescent="0.35">
      <c r="A705" t="s">
        <v>24</v>
      </c>
      <c r="D705" t="s">
        <v>29</v>
      </c>
      <c r="F705">
        <v>3</v>
      </c>
      <c r="G705">
        <v>7</v>
      </c>
      <c r="H705">
        <v>5</v>
      </c>
      <c r="K705">
        <v>39</v>
      </c>
      <c r="M705" s="122">
        <v>45440</v>
      </c>
      <c r="O705">
        <v>149</v>
      </c>
    </row>
    <row r="706" spans="1:15" x14ac:dyDescent="0.35">
      <c r="A706" t="s">
        <v>24</v>
      </c>
      <c r="D706" t="s">
        <v>29</v>
      </c>
      <c r="F706">
        <v>4</v>
      </c>
      <c r="G706">
        <v>2</v>
      </c>
      <c r="H706">
        <v>7</v>
      </c>
      <c r="K706">
        <v>50</v>
      </c>
      <c r="L706" s="6"/>
      <c r="M706" s="122">
        <v>45442</v>
      </c>
      <c r="O706">
        <v>151</v>
      </c>
    </row>
    <row r="707" spans="1:15" x14ac:dyDescent="0.35">
      <c r="A707" t="s">
        <v>24</v>
      </c>
      <c r="D707" t="s">
        <v>29</v>
      </c>
      <c r="F707">
        <v>1</v>
      </c>
      <c r="G707">
        <v>4</v>
      </c>
      <c r="H707">
        <v>1</v>
      </c>
      <c r="K707">
        <v>4</v>
      </c>
      <c r="L707" s="6"/>
      <c r="M707" s="122">
        <v>45442</v>
      </c>
      <c r="O707">
        <v>151</v>
      </c>
    </row>
    <row r="708" spans="1:15" x14ac:dyDescent="0.35">
      <c r="A708" t="s">
        <v>24</v>
      </c>
      <c r="D708" t="s">
        <v>29</v>
      </c>
      <c r="F708">
        <v>2</v>
      </c>
      <c r="G708">
        <v>5</v>
      </c>
      <c r="H708">
        <v>3</v>
      </c>
      <c r="K708">
        <v>21</v>
      </c>
      <c r="M708" s="122">
        <v>45442</v>
      </c>
      <c r="O708">
        <v>151</v>
      </c>
    </row>
    <row r="709" spans="1:15" x14ac:dyDescent="0.35">
      <c r="A709" t="s">
        <v>24</v>
      </c>
      <c r="D709" t="s">
        <v>29</v>
      </c>
      <c r="F709">
        <v>3</v>
      </c>
      <c r="G709">
        <v>7</v>
      </c>
      <c r="H709">
        <v>5</v>
      </c>
      <c r="K709">
        <v>39</v>
      </c>
      <c r="M709" s="122">
        <v>45442</v>
      </c>
      <c r="O709">
        <v>151</v>
      </c>
    </row>
    <row r="710" spans="1:15" x14ac:dyDescent="0.35">
      <c r="A710" t="s">
        <v>24</v>
      </c>
      <c r="D710" t="s">
        <v>29</v>
      </c>
      <c r="F710">
        <v>4</v>
      </c>
      <c r="G710">
        <v>2</v>
      </c>
      <c r="H710">
        <v>7</v>
      </c>
      <c r="K710">
        <v>50</v>
      </c>
      <c r="L710" s="6"/>
      <c r="M710" s="122">
        <v>45446</v>
      </c>
      <c r="O710">
        <v>155</v>
      </c>
    </row>
    <row r="711" spans="1:15" x14ac:dyDescent="0.35">
      <c r="A711" t="s">
        <v>24</v>
      </c>
      <c r="D711" t="s">
        <v>29</v>
      </c>
      <c r="F711">
        <v>1</v>
      </c>
      <c r="G711">
        <v>4</v>
      </c>
      <c r="H711">
        <v>1</v>
      </c>
      <c r="K711">
        <v>4</v>
      </c>
      <c r="L711" s="6"/>
      <c r="M711" s="122">
        <v>45446</v>
      </c>
      <c r="O711">
        <v>155</v>
      </c>
    </row>
    <row r="712" spans="1:15" x14ac:dyDescent="0.35">
      <c r="A712" t="s">
        <v>24</v>
      </c>
      <c r="D712" t="s">
        <v>29</v>
      </c>
      <c r="F712">
        <v>2</v>
      </c>
      <c r="G712">
        <v>5</v>
      </c>
      <c r="H712">
        <v>3</v>
      </c>
      <c r="K712">
        <v>21</v>
      </c>
      <c r="M712" s="122">
        <v>45446</v>
      </c>
      <c r="O712">
        <v>155</v>
      </c>
    </row>
    <row r="713" spans="1:15" x14ac:dyDescent="0.35">
      <c r="A713" t="s">
        <v>24</v>
      </c>
      <c r="D713" t="s">
        <v>29</v>
      </c>
      <c r="F713">
        <v>3</v>
      </c>
      <c r="G713">
        <v>7</v>
      </c>
      <c r="H713">
        <v>5</v>
      </c>
      <c r="K713">
        <v>39</v>
      </c>
      <c r="M713" s="122">
        <v>45446</v>
      </c>
      <c r="O713">
        <v>155</v>
      </c>
    </row>
    <row r="714" spans="1:15" x14ac:dyDescent="0.35">
      <c r="A714" t="s">
        <v>24</v>
      </c>
      <c r="D714" t="s">
        <v>29</v>
      </c>
      <c r="F714">
        <v>4</v>
      </c>
      <c r="G714">
        <v>2</v>
      </c>
      <c r="H714">
        <v>7</v>
      </c>
      <c r="K714">
        <v>50</v>
      </c>
      <c r="L714" s="6"/>
      <c r="M714" s="122">
        <v>45450</v>
      </c>
      <c r="O714">
        <v>159</v>
      </c>
    </row>
    <row r="715" spans="1:15" x14ac:dyDescent="0.35">
      <c r="A715" t="s">
        <v>24</v>
      </c>
      <c r="D715" t="s">
        <v>29</v>
      </c>
      <c r="F715">
        <v>1</v>
      </c>
      <c r="G715">
        <v>4</v>
      </c>
      <c r="H715">
        <v>1</v>
      </c>
      <c r="K715">
        <v>4</v>
      </c>
      <c r="L715" s="6"/>
      <c r="M715" s="122">
        <v>45450</v>
      </c>
      <c r="O715">
        <v>159</v>
      </c>
    </row>
    <row r="716" spans="1:15" x14ac:dyDescent="0.35">
      <c r="A716" t="s">
        <v>24</v>
      </c>
      <c r="D716" t="s">
        <v>29</v>
      </c>
      <c r="F716">
        <v>2</v>
      </c>
      <c r="G716">
        <v>5</v>
      </c>
      <c r="H716">
        <v>3</v>
      </c>
      <c r="K716">
        <v>21</v>
      </c>
      <c r="M716" s="122">
        <v>45450</v>
      </c>
      <c r="O716">
        <v>159</v>
      </c>
    </row>
    <row r="717" spans="1:15" x14ac:dyDescent="0.35">
      <c r="A717" t="s">
        <v>24</v>
      </c>
      <c r="D717" t="s">
        <v>29</v>
      </c>
      <c r="F717">
        <v>3</v>
      </c>
      <c r="G717">
        <v>7</v>
      </c>
      <c r="H717">
        <v>5</v>
      </c>
      <c r="K717">
        <v>39</v>
      </c>
      <c r="M717" s="122">
        <v>45450</v>
      </c>
      <c r="O717">
        <v>159</v>
      </c>
    </row>
    <row r="718" spans="1:15" x14ac:dyDescent="0.35">
      <c r="A718" t="s">
        <v>24</v>
      </c>
      <c r="D718" t="s">
        <v>29</v>
      </c>
      <c r="F718">
        <v>4</v>
      </c>
      <c r="G718">
        <v>2</v>
      </c>
      <c r="H718">
        <v>7</v>
      </c>
      <c r="K718">
        <v>50</v>
      </c>
      <c r="L718" s="6"/>
      <c r="M718" s="122">
        <v>45462</v>
      </c>
      <c r="O718">
        <v>171</v>
      </c>
    </row>
    <row r="719" spans="1:15" x14ac:dyDescent="0.35">
      <c r="A719" t="s">
        <v>24</v>
      </c>
      <c r="D719" t="s">
        <v>29</v>
      </c>
      <c r="F719">
        <v>1</v>
      </c>
      <c r="G719">
        <v>4</v>
      </c>
      <c r="H719">
        <v>1</v>
      </c>
      <c r="K719">
        <v>4</v>
      </c>
      <c r="L719" s="6"/>
      <c r="M719" s="122">
        <v>45462</v>
      </c>
      <c r="O719">
        <v>171</v>
      </c>
    </row>
    <row r="720" spans="1:15" x14ac:dyDescent="0.35">
      <c r="A720" t="s">
        <v>24</v>
      </c>
      <c r="D720" t="s">
        <v>29</v>
      </c>
      <c r="F720">
        <v>2</v>
      </c>
      <c r="G720">
        <v>5</v>
      </c>
      <c r="H720">
        <v>3</v>
      </c>
      <c r="K720">
        <v>21</v>
      </c>
      <c r="M720" s="122">
        <v>45462</v>
      </c>
      <c r="O720">
        <v>171</v>
      </c>
    </row>
    <row r="721" spans="1:15" x14ac:dyDescent="0.35">
      <c r="A721" t="s">
        <v>24</v>
      </c>
      <c r="D721" t="s">
        <v>29</v>
      </c>
      <c r="F721">
        <v>3</v>
      </c>
      <c r="G721">
        <v>7</v>
      </c>
      <c r="H721">
        <v>5</v>
      </c>
      <c r="K721">
        <v>39</v>
      </c>
      <c r="M721" s="122">
        <v>45462</v>
      </c>
      <c r="O721">
        <v>171</v>
      </c>
    </row>
    <row r="722" spans="1:15" x14ac:dyDescent="0.35">
      <c r="A722" t="s">
        <v>34</v>
      </c>
      <c r="D722" t="s">
        <v>38</v>
      </c>
      <c r="F722">
        <v>1</v>
      </c>
      <c r="G722">
        <v>2</v>
      </c>
      <c r="H722">
        <v>2</v>
      </c>
      <c r="K722">
        <v>10</v>
      </c>
      <c r="L722" s="6"/>
      <c r="M722" s="122">
        <v>45411</v>
      </c>
      <c r="O722">
        <v>120</v>
      </c>
    </row>
    <row r="723" spans="1:15" x14ac:dyDescent="0.35">
      <c r="A723" t="s">
        <v>34</v>
      </c>
      <c r="D723" t="s">
        <v>38</v>
      </c>
      <c r="F723">
        <v>2</v>
      </c>
      <c r="G723">
        <v>3</v>
      </c>
      <c r="H723">
        <v>4</v>
      </c>
      <c r="K723">
        <v>27</v>
      </c>
      <c r="L723" s="6"/>
      <c r="M723" s="122">
        <v>45411</v>
      </c>
      <c r="O723">
        <v>120</v>
      </c>
    </row>
    <row r="724" spans="1:15" x14ac:dyDescent="0.35">
      <c r="A724" t="s">
        <v>34</v>
      </c>
      <c r="D724" t="s">
        <v>38</v>
      </c>
      <c r="F724">
        <v>4</v>
      </c>
      <c r="G724">
        <v>6</v>
      </c>
      <c r="H724">
        <v>8</v>
      </c>
      <c r="K724">
        <v>62</v>
      </c>
      <c r="M724" s="122">
        <v>45411</v>
      </c>
      <c r="O724">
        <v>120</v>
      </c>
    </row>
    <row r="725" spans="1:15" x14ac:dyDescent="0.35">
      <c r="A725" t="s">
        <v>34</v>
      </c>
      <c r="D725" t="s">
        <v>38</v>
      </c>
      <c r="F725">
        <v>3</v>
      </c>
      <c r="G725">
        <v>7</v>
      </c>
      <c r="H725">
        <v>6</v>
      </c>
      <c r="K725">
        <v>47</v>
      </c>
      <c r="M725" s="122">
        <v>45411</v>
      </c>
      <c r="O725">
        <v>120</v>
      </c>
    </row>
    <row r="726" spans="1:15" x14ac:dyDescent="0.35">
      <c r="A726" t="s">
        <v>34</v>
      </c>
      <c r="D726" t="s">
        <v>38</v>
      </c>
      <c r="F726">
        <v>1</v>
      </c>
      <c r="G726">
        <v>2</v>
      </c>
      <c r="H726">
        <v>2</v>
      </c>
      <c r="K726">
        <v>10</v>
      </c>
      <c r="L726" s="6"/>
      <c r="M726" s="122">
        <v>45414</v>
      </c>
      <c r="O726">
        <v>123</v>
      </c>
    </row>
    <row r="727" spans="1:15" x14ac:dyDescent="0.35">
      <c r="A727" t="s">
        <v>34</v>
      </c>
      <c r="D727" t="s">
        <v>38</v>
      </c>
      <c r="F727">
        <v>2</v>
      </c>
      <c r="G727">
        <v>3</v>
      </c>
      <c r="H727">
        <v>4</v>
      </c>
      <c r="K727">
        <v>27</v>
      </c>
      <c r="L727" s="6"/>
      <c r="M727" s="122">
        <v>45414</v>
      </c>
      <c r="O727">
        <v>123</v>
      </c>
    </row>
    <row r="728" spans="1:15" x14ac:dyDescent="0.35">
      <c r="A728" t="s">
        <v>34</v>
      </c>
      <c r="D728" t="s">
        <v>38</v>
      </c>
      <c r="F728">
        <v>4</v>
      </c>
      <c r="G728">
        <v>6</v>
      </c>
      <c r="H728">
        <v>8</v>
      </c>
      <c r="K728">
        <v>62</v>
      </c>
      <c r="M728" s="122">
        <v>45414</v>
      </c>
      <c r="O728">
        <v>123</v>
      </c>
    </row>
    <row r="729" spans="1:15" x14ac:dyDescent="0.35">
      <c r="A729" t="s">
        <v>34</v>
      </c>
      <c r="D729" t="s">
        <v>38</v>
      </c>
      <c r="F729">
        <v>3</v>
      </c>
      <c r="G729">
        <v>7</v>
      </c>
      <c r="H729">
        <v>6</v>
      </c>
      <c r="K729">
        <v>47</v>
      </c>
      <c r="M729" s="122">
        <v>45414</v>
      </c>
      <c r="O729">
        <v>123</v>
      </c>
    </row>
    <row r="730" spans="1:15" x14ac:dyDescent="0.35">
      <c r="A730" t="s">
        <v>34</v>
      </c>
      <c r="D730" t="s">
        <v>38</v>
      </c>
      <c r="F730">
        <v>1</v>
      </c>
      <c r="G730">
        <v>2</v>
      </c>
      <c r="H730">
        <v>2</v>
      </c>
      <c r="K730">
        <v>10</v>
      </c>
      <c r="L730" s="6"/>
      <c r="M730" s="122">
        <v>45418</v>
      </c>
      <c r="O730">
        <v>127</v>
      </c>
    </row>
    <row r="731" spans="1:15" x14ac:dyDescent="0.35">
      <c r="A731" t="s">
        <v>34</v>
      </c>
      <c r="D731" t="s">
        <v>38</v>
      </c>
      <c r="F731">
        <v>2</v>
      </c>
      <c r="G731">
        <v>3</v>
      </c>
      <c r="H731">
        <v>4</v>
      </c>
      <c r="K731">
        <v>27</v>
      </c>
      <c r="L731" s="6"/>
      <c r="M731" s="122">
        <v>45418</v>
      </c>
      <c r="O731">
        <v>127</v>
      </c>
    </row>
    <row r="732" spans="1:15" x14ac:dyDescent="0.35">
      <c r="A732" t="s">
        <v>34</v>
      </c>
      <c r="D732" t="s">
        <v>38</v>
      </c>
      <c r="F732">
        <v>4</v>
      </c>
      <c r="G732">
        <v>6</v>
      </c>
      <c r="H732">
        <v>8</v>
      </c>
      <c r="K732">
        <v>62</v>
      </c>
      <c r="M732" s="122">
        <v>45418</v>
      </c>
      <c r="O732">
        <v>127</v>
      </c>
    </row>
    <row r="733" spans="1:15" x14ac:dyDescent="0.35">
      <c r="A733" t="s">
        <v>34</v>
      </c>
      <c r="D733" t="s">
        <v>38</v>
      </c>
      <c r="F733">
        <v>3</v>
      </c>
      <c r="G733">
        <v>7</v>
      </c>
      <c r="H733">
        <v>6</v>
      </c>
      <c r="K733">
        <v>47</v>
      </c>
      <c r="M733" s="122">
        <v>45418</v>
      </c>
      <c r="O733">
        <v>127</v>
      </c>
    </row>
    <row r="734" spans="1:15" x14ac:dyDescent="0.35">
      <c r="A734" t="s">
        <v>34</v>
      </c>
      <c r="D734" t="s">
        <v>38</v>
      </c>
      <c r="F734">
        <v>1</v>
      </c>
      <c r="G734">
        <v>2</v>
      </c>
      <c r="H734">
        <v>2</v>
      </c>
      <c r="K734">
        <v>10</v>
      </c>
      <c r="L734" s="6"/>
      <c r="M734" s="122">
        <v>45421</v>
      </c>
      <c r="O734">
        <v>130</v>
      </c>
    </row>
    <row r="735" spans="1:15" x14ac:dyDescent="0.35">
      <c r="A735" t="s">
        <v>34</v>
      </c>
      <c r="D735" t="s">
        <v>38</v>
      </c>
      <c r="F735">
        <v>2</v>
      </c>
      <c r="G735">
        <v>3</v>
      </c>
      <c r="H735">
        <v>4</v>
      </c>
      <c r="K735">
        <v>27</v>
      </c>
      <c r="L735" s="6"/>
      <c r="M735" s="122">
        <v>45421</v>
      </c>
      <c r="O735">
        <v>130</v>
      </c>
    </row>
    <row r="736" spans="1:15" x14ac:dyDescent="0.35">
      <c r="A736" t="s">
        <v>34</v>
      </c>
      <c r="D736" t="s">
        <v>38</v>
      </c>
      <c r="F736">
        <v>4</v>
      </c>
      <c r="G736">
        <v>6</v>
      </c>
      <c r="H736">
        <v>8</v>
      </c>
      <c r="K736">
        <v>62</v>
      </c>
      <c r="M736" s="122">
        <v>45421</v>
      </c>
      <c r="O736">
        <v>130</v>
      </c>
    </row>
    <row r="737" spans="1:15" x14ac:dyDescent="0.35">
      <c r="A737" t="s">
        <v>34</v>
      </c>
      <c r="D737" t="s">
        <v>38</v>
      </c>
      <c r="F737">
        <v>3</v>
      </c>
      <c r="G737">
        <v>7</v>
      </c>
      <c r="H737">
        <v>6</v>
      </c>
      <c r="K737">
        <v>47</v>
      </c>
      <c r="M737" s="122">
        <v>45421</v>
      </c>
      <c r="O737">
        <v>130</v>
      </c>
    </row>
    <row r="738" spans="1:15" x14ac:dyDescent="0.35">
      <c r="A738" t="s">
        <v>34</v>
      </c>
      <c r="D738" t="s">
        <v>38</v>
      </c>
      <c r="F738">
        <v>1</v>
      </c>
      <c r="G738">
        <v>2</v>
      </c>
      <c r="H738">
        <v>2</v>
      </c>
      <c r="K738">
        <v>10</v>
      </c>
      <c r="L738" s="6"/>
      <c r="M738" s="122">
        <v>45425</v>
      </c>
      <c r="O738">
        <v>134</v>
      </c>
    </row>
    <row r="739" spans="1:15" x14ac:dyDescent="0.35">
      <c r="A739" t="s">
        <v>34</v>
      </c>
      <c r="D739" t="s">
        <v>38</v>
      </c>
      <c r="F739">
        <v>2</v>
      </c>
      <c r="G739">
        <v>3</v>
      </c>
      <c r="H739">
        <v>4</v>
      </c>
      <c r="K739">
        <v>27</v>
      </c>
      <c r="L739" s="6"/>
      <c r="M739" s="122">
        <v>45425</v>
      </c>
      <c r="O739">
        <v>134</v>
      </c>
    </row>
    <row r="740" spans="1:15" x14ac:dyDescent="0.35">
      <c r="A740" t="s">
        <v>34</v>
      </c>
      <c r="D740" t="s">
        <v>38</v>
      </c>
      <c r="F740">
        <v>4</v>
      </c>
      <c r="G740">
        <v>6</v>
      </c>
      <c r="H740">
        <v>8</v>
      </c>
      <c r="K740">
        <v>62</v>
      </c>
      <c r="M740" s="122">
        <v>45425</v>
      </c>
      <c r="O740">
        <v>134</v>
      </c>
    </row>
    <row r="741" spans="1:15" x14ac:dyDescent="0.35">
      <c r="A741" t="s">
        <v>34</v>
      </c>
      <c r="D741" t="s">
        <v>38</v>
      </c>
      <c r="F741">
        <v>3</v>
      </c>
      <c r="G741">
        <v>7</v>
      </c>
      <c r="H741">
        <v>6</v>
      </c>
      <c r="K741">
        <v>47</v>
      </c>
      <c r="M741" s="122">
        <v>45425</v>
      </c>
      <c r="O741">
        <v>134</v>
      </c>
    </row>
    <row r="742" spans="1:15" x14ac:dyDescent="0.35">
      <c r="A742" t="s">
        <v>34</v>
      </c>
      <c r="D742" t="s">
        <v>38</v>
      </c>
      <c r="F742">
        <v>1</v>
      </c>
      <c r="G742">
        <v>2</v>
      </c>
      <c r="H742">
        <v>2</v>
      </c>
      <c r="K742">
        <v>10</v>
      </c>
      <c r="L742" s="6"/>
      <c r="M742" s="122">
        <v>45428</v>
      </c>
      <c r="N742">
        <v>0</v>
      </c>
      <c r="O742">
        <v>137</v>
      </c>
    </row>
    <row r="743" spans="1:15" x14ac:dyDescent="0.35">
      <c r="A743" t="s">
        <v>34</v>
      </c>
      <c r="D743" t="s">
        <v>38</v>
      </c>
      <c r="F743">
        <v>2</v>
      </c>
      <c r="G743">
        <v>3</v>
      </c>
      <c r="H743">
        <v>4</v>
      </c>
      <c r="K743">
        <v>27</v>
      </c>
      <c r="L743" s="6"/>
      <c r="M743" s="122">
        <v>45428</v>
      </c>
      <c r="N743">
        <v>0</v>
      </c>
      <c r="O743">
        <v>137</v>
      </c>
    </row>
    <row r="744" spans="1:15" x14ac:dyDescent="0.35">
      <c r="A744" t="s">
        <v>34</v>
      </c>
      <c r="D744" t="s">
        <v>38</v>
      </c>
      <c r="F744">
        <v>4</v>
      </c>
      <c r="G744">
        <v>6</v>
      </c>
      <c r="H744">
        <v>8</v>
      </c>
      <c r="K744">
        <v>62</v>
      </c>
      <c r="M744" s="122">
        <v>45428</v>
      </c>
      <c r="N744">
        <v>0</v>
      </c>
      <c r="O744">
        <v>137</v>
      </c>
    </row>
    <row r="745" spans="1:15" x14ac:dyDescent="0.35">
      <c r="A745" t="s">
        <v>34</v>
      </c>
      <c r="D745" t="s">
        <v>38</v>
      </c>
      <c r="F745">
        <v>3</v>
      </c>
      <c r="G745">
        <v>7</v>
      </c>
      <c r="H745">
        <v>6</v>
      </c>
      <c r="K745">
        <v>47</v>
      </c>
      <c r="M745" s="122">
        <v>45428</v>
      </c>
      <c r="N745">
        <v>0</v>
      </c>
      <c r="O745">
        <v>137</v>
      </c>
    </row>
    <row r="746" spans="1:15" x14ac:dyDescent="0.35">
      <c r="A746" t="s">
        <v>34</v>
      </c>
      <c r="D746" t="s">
        <v>38</v>
      </c>
      <c r="F746">
        <v>1</v>
      </c>
      <c r="G746">
        <v>2</v>
      </c>
      <c r="H746">
        <v>2</v>
      </c>
      <c r="K746">
        <v>10</v>
      </c>
      <c r="L746" s="6"/>
      <c r="M746" s="122">
        <v>45435</v>
      </c>
      <c r="N746">
        <v>4</v>
      </c>
      <c r="O746">
        <v>144</v>
      </c>
    </row>
    <row r="747" spans="1:15" x14ac:dyDescent="0.35">
      <c r="A747" t="s">
        <v>34</v>
      </c>
      <c r="D747" t="s">
        <v>38</v>
      </c>
      <c r="F747">
        <v>2</v>
      </c>
      <c r="G747">
        <v>3</v>
      </c>
      <c r="H747">
        <v>4</v>
      </c>
      <c r="K747">
        <v>27</v>
      </c>
      <c r="L747" s="6"/>
      <c r="M747" s="122">
        <v>45435</v>
      </c>
      <c r="N747">
        <v>1</v>
      </c>
      <c r="O747">
        <v>144</v>
      </c>
    </row>
    <row r="748" spans="1:15" x14ac:dyDescent="0.35">
      <c r="A748" t="s">
        <v>34</v>
      </c>
      <c r="D748" t="s">
        <v>38</v>
      </c>
      <c r="F748">
        <v>4</v>
      </c>
      <c r="G748">
        <v>6</v>
      </c>
      <c r="H748">
        <v>8</v>
      </c>
      <c r="K748">
        <v>62</v>
      </c>
      <c r="M748" s="122">
        <v>45435</v>
      </c>
      <c r="N748">
        <v>2</v>
      </c>
      <c r="O748">
        <v>144</v>
      </c>
    </row>
    <row r="749" spans="1:15" x14ac:dyDescent="0.35">
      <c r="A749" t="s">
        <v>34</v>
      </c>
      <c r="D749" t="s">
        <v>38</v>
      </c>
      <c r="F749">
        <v>3</v>
      </c>
      <c r="G749">
        <v>7</v>
      </c>
      <c r="H749">
        <v>6</v>
      </c>
      <c r="K749">
        <v>47</v>
      </c>
      <c r="M749" s="122">
        <v>45435</v>
      </c>
      <c r="N749">
        <v>1</v>
      </c>
      <c r="O749">
        <v>144</v>
      </c>
    </row>
    <row r="750" spans="1:15" x14ac:dyDescent="0.35">
      <c r="A750" t="s">
        <v>34</v>
      </c>
      <c r="D750" t="s">
        <v>38</v>
      </c>
      <c r="F750">
        <v>1</v>
      </c>
      <c r="G750">
        <v>2</v>
      </c>
      <c r="H750">
        <v>2</v>
      </c>
      <c r="K750">
        <v>10</v>
      </c>
      <c r="L750" s="6"/>
      <c r="M750" s="122">
        <v>45440</v>
      </c>
      <c r="N750">
        <v>31</v>
      </c>
      <c r="O750">
        <v>149</v>
      </c>
    </row>
    <row r="751" spans="1:15" x14ac:dyDescent="0.35">
      <c r="A751" t="s">
        <v>34</v>
      </c>
      <c r="D751" t="s">
        <v>38</v>
      </c>
      <c r="F751">
        <v>2</v>
      </c>
      <c r="G751">
        <v>3</v>
      </c>
      <c r="H751">
        <v>4</v>
      </c>
      <c r="K751">
        <v>27</v>
      </c>
      <c r="L751" s="6"/>
      <c r="M751" s="122">
        <v>45440</v>
      </c>
      <c r="N751">
        <v>25</v>
      </c>
      <c r="O751">
        <v>149</v>
      </c>
    </row>
    <row r="752" spans="1:15" x14ac:dyDescent="0.35">
      <c r="A752" t="s">
        <v>34</v>
      </c>
      <c r="D752" t="s">
        <v>38</v>
      </c>
      <c r="F752">
        <v>4</v>
      </c>
      <c r="G752">
        <v>6</v>
      </c>
      <c r="H752">
        <v>8</v>
      </c>
      <c r="K752">
        <v>62</v>
      </c>
      <c r="M752" s="122">
        <v>45440</v>
      </c>
      <c r="N752">
        <v>37</v>
      </c>
      <c r="O752">
        <v>149</v>
      </c>
    </row>
    <row r="753" spans="1:15" x14ac:dyDescent="0.35">
      <c r="A753" t="s">
        <v>34</v>
      </c>
      <c r="D753" t="s">
        <v>38</v>
      </c>
      <c r="F753">
        <v>3</v>
      </c>
      <c r="G753">
        <v>7</v>
      </c>
      <c r="H753">
        <v>6</v>
      </c>
      <c r="K753">
        <v>47</v>
      </c>
      <c r="M753" s="122">
        <v>45440</v>
      </c>
      <c r="N753">
        <v>5</v>
      </c>
      <c r="O753">
        <v>149</v>
      </c>
    </row>
    <row r="754" spans="1:15" x14ac:dyDescent="0.35">
      <c r="A754" t="s">
        <v>34</v>
      </c>
      <c r="D754" t="s">
        <v>38</v>
      </c>
      <c r="F754">
        <v>1</v>
      </c>
      <c r="G754">
        <v>2</v>
      </c>
      <c r="H754">
        <v>2</v>
      </c>
      <c r="K754">
        <v>10</v>
      </c>
      <c r="L754" s="6"/>
      <c r="M754" s="122">
        <v>45442</v>
      </c>
      <c r="N754">
        <v>37</v>
      </c>
      <c r="O754">
        <v>151</v>
      </c>
    </row>
    <row r="755" spans="1:15" x14ac:dyDescent="0.35">
      <c r="A755" t="s">
        <v>34</v>
      </c>
      <c r="D755" t="s">
        <v>38</v>
      </c>
      <c r="F755">
        <v>2</v>
      </c>
      <c r="G755">
        <v>3</v>
      </c>
      <c r="H755">
        <v>4</v>
      </c>
      <c r="K755">
        <v>27</v>
      </c>
      <c r="L755" s="6"/>
      <c r="M755" s="122">
        <v>45442</v>
      </c>
      <c r="N755">
        <v>27</v>
      </c>
      <c r="O755">
        <v>151</v>
      </c>
    </row>
    <row r="756" spans="1:15" x14ac:dyDescent="0.35">
      <c r="A756" t="s">
        <v>34</v>
      </c>
      <c r="D756" t="s">
        <v>38</v>
      </c>
      <c r="F756">
        <v>4</v>
      </c>
      <c r="G756">
        <v>6</v>
      </c>
      <c r="H756">
        <v>8</v>
      </c>
      <c r="K756">
        <v>62</v>
      </c>
      <c r="M756" s="122">
        <v>45442</v>
      </c>
      <c r="N756">
        <v>43</v>
      </c>
      <c r="O756">
        <v>151</v>
      </c>
    </row>
    <row r="757" spans="1:15" x14ac:dyDescent="0.35">
      <c r="A757" t="s">
        <v>34</v>
      </c>
      <c r="D757" t="s">
        <v>38</v>
      </c>
      <c r="F757">
        <v>3</v>
      </c>
      <c r="G757">
        <v>7</v>
      </c>
      <c r="H757">
        <v>6</v>
      </c>
      <c r="K757">
        <v>47</v>
      </c>
      <c r="M757" s="122">
        <v>45442</v>
      </c>
      <c r="N757">
        <v>14</v>
      </c>
      <c r="O757">
        <v>151</v>
      </c>
    </row>
    <row r="758" spans="1:15" x14ac:dyDescent="0.35">
      <c r="A758" t="s">
        <v>34</v>
      </c>
      <c r="D758" t="s">
        <v>38</v>
      </c>
      <c r="F758">
        <v>1</v>
      </c>
      <c r="G758">
        <v>2</v>
      </c>
      <c r="H758">
        <v>2</v>
      </c>
      <c r="K758">
        <v>10</v>
      </c>
      <c r="L758" s="6"/>
      <c r="M758" s="122">
        <v>45446</v>
      </c>
      <c r="N758">
        <v>37</v>
      </c>
      <c r="O758">
        <v>155</v>
      </c>
    </row>
    <row r="759" spans="1:15" x14ac:dyDescent="0.35">
      <c r="A759" t="s">
        <v>34</v>
      </c>
      <c r="D759" t="s">
        <v>38</v>
      </c>
      <c r="F759">
        <v>2</v>
      </c>
      <c r="G759">
        <v>3</v>
      </c>
      <c r="H759">
        <v>4</v>
      </c>
      <c r="K759">
        <v>27</v>
      </c>
      <c r="L759" s="6"/>
      <c r="M759" s="122">
        <v>45446</v>
      </c>
      <c r="N759">
        <v>27</v>
      </c>
      <c r="O759">
        <v>155</v>
      </c>
    </row>
    <row r="760" spans="1:15" x14ac:dyDescent="0.35">
      <c r="A760" t="s">
        <v>34</v>
      </c>
      <c r="D760" t="s">
        <v>38</v>
      </c>
      <c r="F760">
        <v>4</v>
      </c>
      <c r="G760">
        <v>6</v>
      </c>
      <c r="H760">
        <v>8</v>
      </c>
      <c r="K760">
        <v>62</v>
      </c>
      <c r="M760" s="122">
        <v>45446</v>
      </c>
      <c r="N760">
        <v>43</v>
      </c>
      <c r="O760">
        <v>155</v>
      </c>
    </row>
    <row r="761" spans="1:15" x14ac:dyDescent="0.35">
      <c r="A761" t="s">
        <v>34</v>
      </c>
      <c r="D761" t="s">
        <v>38</v>
      </c>
      <c r="F761">
        <v>3</v>
      </c>
      <c r="G761">
        <v>7</v>
      </c>
      <c r="H761">
        <v>6</v>
      </c>
      <c r="K761">
        <v>47</v>
      </c>
      <c r="M761" s="122">
        <v>45446</v>
      </c>
      <c r="N761">
        <v>20</v>
      </c>
      <c r="O761">
        <v>155</v>
      </c>
    </row>
    <row r="762" spans="1:15" x14ac:dyDescent="0.35">
      <c r="A762" t="s">
        <v>34</v>
      </c>
      <c r="D762" t="s">
        <v>38</v>
      </c>
      <c r="F762">
        <v>1</v>
      </c>
      <c r="G762">
        <v>2</v>
      </c>
      <c r="H762">
        <v>2</v>
      </c>
      <c r="K762">
        <v>10</v>
      </c>
      <c r="L762" s="6"/>
      <c r="M762" s="122">
        <v>45450</v>
      </c>
      <c r="N762">
        <v>37</v>
      </c>
      <c r="O762">
        <v>159</v>
      </c>
    </row>
    <row r="763" spans="1:15" x14ac:dyDescent="0.35">
      <c r="A763" t="s">
        <v>34</v>
      </c>
      <c r="D763" t="s">
        <v>38</v>
      </c>
      <c r="F763">
        <v>2</v>
      </c>
      <c r="G763">
        <v>3</v>
      </c>
      <c r="H763">
        <v>4</v>
      </c>
      <c r="K763">
        <v>27</v>
      </c>
      <c r="L763" s="6"/>
      <c r="M763" s="122">
        <v>45450</v>
      </c>
      <c r="N763">
        <v>27</v>
      </c>
      <c r="O763">
        <v>159</v>
      </c>
    </row>
    <row r="764" spans="1:15" x14ac:dyDescent="0.35">
      <c r="A764" t="s">
        <v>34</v>
      </c>
      <c r="D764" t="s">
        <v>38</v>
      </c>
      <c r="F764">
        <v>4</v>
      </c>
      <c r="G764">
        <v>6</v>
      </c>
      <c r="H764">
        <v>8</v>
      </c>
      <c r="K764">
        <v>62</v>
      </c>
      <c r="M764" s="122">
        <v>45450</v>
      </c>
      <c r="N764">
        <v>43</v>
      </c>
      <c r="O764">
        <v>159</v>
      </c>
    </row>
    <row r="765" spans="1:15" x14ac:dyDescent="0.35">
      <c r="A765" t="s">
        <v>34</v>
      </c>
      <c r="D765" t="s">
        <v>38</v>
      </c>
      <c r="F765">
        <v>3</v>
      </c>
      <c r="G765">
        <v>7</v>
      </c>
      <c r="H765">
        <v>6</v>
      </c>
      <c r="K765">
        <v>47</v>
      </c>
      <c r="M765" s="122">
        <v>45450</v>
      </c>
      <c r="N765">
        <v>20</v>
      </c>
      <c r="O765">
        <v>159</v>
      </c>
    </row>
    <row r="766" spans="1:15" x14ac:dyDescent="0.35">
      <c r="A766" t="s">
        <v>34</v>
      </c>
      <c r="D766" t="s">
        <v>38</v>
      </c>
      <c r="F766">
        <v>1</v>
      </c>
      <c r="G766">
        <v>2</v>
      </c>
      <c r="H766">
        <v>2</v>
      </c>
      <c r="K766">
        <v>10</v>
      </c>
      <c r="L766" s="6"/>
      <c r="M766" s="122">
        <v>45462</v>
      </c>
      <c r="O766">
        <v>171</v>
      </c>
    </row>
    <row r="767" spans="1:15" x14ac:dyDescent="0.35">
      <c r="A767" t="s">
        <v>34</v>
      </c>
      <c r="D767" t="s">
        <v>38</v>
      </c>
      <c r="F767">
        <v>2</v>
      </c>
      <c r="G767">
        <v>3</v>
      </c>
      <c r="H767">
        <v>4</v>
      </c>
      <c r="K767">
        <v>27</v>
      </c>
      <c r="L767" s="6"/>
      <c r="M767" s="122">
        <v>45462</v>
      </c>
      <c r="O767">
        <v>171</v>
      </c>
    </row>
    <row r="768" spans="1:15" x14ac:dyDescent="0.35">
      <c r="A768" t="s">
        <v>34</v>
      </c>
      <c r="D768" t="s">
        <v>38</v>
      </c>
      <c r="F768">
        <v>4</v>
      </c>
      <c r="G768">
        <v>6</v>
      </c>
      <c r="H768">
        <v>8</v>
      </c>
      <c r="K768">
        <v>62</v>
      </c>
      <c r="M768" s="122">
        <v>45462</v>
      </c>
      <c r="O768">
        <v>171</v>
      </c>
    </row>
    <row r="769" spans="1:15" x14ac:dyDescent="0.35">
      <c r="A769" t="s">
        <v>34</v>
      </c>
      <c r="D769" t="s">
        <v>38</v>
      </c>
      <c r="F769">
        <v>3</v>
      </c>
      <c r="G769">
        <v>7</v>
      </c>
      <c r="H769">
        <v>6</v>
      </c>
      <c r="K769">
        <v>47</v>
      </c>
      <c r="M769" s="122">
        <v>45462</v>
      </c>
      <c r="O769">
        <v>171</v>
      </c>
    </row>
  </sheetData>
  <sortState xmlns:xlrd2="http://schemas.microsoft.com/office/spreadsheetml/2017/richdata2" ref="A2:O769">
    <sortCondition ref="D2:D769"/>
    <sortCondition ref="M2:M769"/>
  </sortState>
  <conditionalFormatting pivot="1">
    <cfRule type="colorScale" priority="5">
      <colorScale>
        <cfvo type="min"/>
        <cfvo type="percentile" val="50"/>
        <cfvo type="max"/>
        <color rgb="FFF8696B"/>
        <color rgb="FFFFEB84"/>
        <color rgb="FF63BE7B"/>
      </colorScale>
    </cfRule>
  </conditionalFormatting>
  <conditionalFormatting pivot="1">
    <cfRule type="colorScale" priority="2">
      <colorScale>
        <cfvo type="min"/>
        <cfvo type="percentile" val="50"/>
        <cfvo type="max"/>
        <color rgb="FFF8696B"/>
        <color rgb="FFFFEB84"/>
        <color rgb="FF63BE7B"/>
      </colorScale>
    </cfRule>
  </conditionalFormatting>
  <printOptions gridLines="1"/>
  <pageMargins left="0.7" right="0.7" top="0.75" bottom="0.75" header="0.3" footer="0.3"/>
  <pageSetup paperSize="9" orientation="landscape" horizontalDpi="360" verticalDpi="36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FD7A8-90AA-4356-835F-EE59E16A2389}">
  <sheetPr>
    <tabColor theme="9" tint="0.79998168889431442"/>
  </sheetPr>
  <dimension ref="A1:G81"/>
  <sheetViews>
    <sheetView workbookViewId="0">
      <selection activeCell="K10" sqref="K10"/>
    </sheetView>
  </sheetViews>
  <sheetFormatPr defaultRowHeight="14.5" x14ac:dyDescent="0.35"/>
  <sheetData>
    <row r="1" spans="1:7" x14ac:dyDescent="0.35">
      <c r="A1" t="s">
        <v>637</v>
      </c>
      <c r="B1" t="s">
        <v>638</v>
      </c>
      <c r="C1" t="s">
        <v>639</v>
      </c>
      <c r="D1" t="s">
        <v>640</v>
      </c>
      <c r="E1" t="s">
        <v>641</v>
      </c>
      <c r="F1" t="s">
        <v>642</v>
      </c>
      <c r="G1" t="s">
        <v>643</v>
      </c>
    </row>
    <row r="2" spans="1:7" x14ac:dyDescent="0.35">
      <c r="A2" t="s">
        <v>328</v>
      </c>
      <c r="B2">
        <v>1</v>
      </c>
      <c r="C2" t="s">
        <v>644</v>
      </c>
      <c r="D2" t="s">
        <v>645</v>
      </c>
      <c r="E2">
        <v>168.79</v>
      </c>
      <c r="F2">
        <v>152.65</v>
      </c>
      <c r="G2">
        <v>10.573206681952168</v>
      </c>
    </row>
    <row r="3" spans="1:7" x14ac:dyDescent="0.35">
      <c r="A3" t="s">
        <v>328</v>
      </c>
      <c r="B3">
        <v>2</v>
      </c>
      <c r="C3" t="s">
        <v>644</v>
      </c>
      <c r="D3" t="s">
        <v>646</v>
      </c>
      <c r="E3">
        <v>229.59</v>
      </c>
      <c r="F3">
        <v>206.06</v>
      </c>
      <c r="G3">
        <v>11.419004173541687</v>
      </c>
    </row>
    <row r="4" spans="1:7" x14ac:dyDescent="0.35">
      <c r="A4" t="s">
        <v>328</v>
      </c>
      <c r="B4">
        <v>3</v>
      </c>
      <c r="C4" t="s">
        <v>644</v>
      </c>
      <c r="D4" t="s">
        <v>647</v>
      </c>
      <c r="E4">
        <v>225.9</v>
      </c>
      <c r="F4">
        <v>198.53</v>
      </c>
      <c r="G4">
        <v>13.786329521986604</v>
      </c>
    </row>
    <row r="5" spans="1:7" x14ac:dyDescent="0.35">
      <c r="A5" t="s">
        <v>328</v>
      </c>
      <c r="B5">
        <v>4</v>
      </c>
      <c r="C5" t="s">
        <v>644</v>
      </c>
      <c r="D5" t="s">
        <v>648</v>
      </c>
      <c r="E5">
        <v>171.94</v>
      </c>
      <c r="F5">
        <v>152.16</v>
      </c>
      <c r="G5">
        <v>12.999474237644584</v>
      </c>
    </row>
    <row r="6" spans="1:7" x14ac:dyDescent="0.35">
      <c r="A6" t="s">
        <v>328</v>
      </c>
      <c r="B6">
        <v>5</v>
      </c>
      <c r="C6" t="s">
        <v>644</v>
      </c>
      <c r="D6" t="s">
        <v>649</v>
      </c>
      <c r="E6">
        <v>227.67</v>
      </c>
      <c r="F6">
        <v>200.43</v>
      </c>
      <c r="G6">
        <v>13.590779823379723</v>
      </c>
    </row>
    <row r="7" spans="1:7" x14ac:dyDescent="0.35">
      <c r="A7" t="s">
        <v>328</v>
      </c>
      <c r="B7">
        <v>6</v>
      </c>
      <c r="C7" t="s">
        <v>644</v>
      </c>
      <c r="D7" t="s">
        <v>650</v>
      </c>
      <c r="E7">
        <v>250.51</v>
      </c>
      <c r="F7">
        <v>221.27</v>
      </c>
      <c r="G7">
        <v>13.214624666696787</v>
      </c>
    </row>
    <row r="8" spans="1:7" x14ac:dyDescent="0.35">
      <c r="A8" t="s">
        <v>328</v>
      </c>
      <c r="B8">
        <v>7</v>
      </c>
      <c r="C8" t="s">
        <v>644</v>
      </c>
      <c r="D8" t="s">
        <v>651</v>
      </c>
      <c r="E8">
        <v>280.08999999999997</v>
      </c>
      <c r="F8">
        <v>249.34</v>
      </c>
      <c r="G8">
        <v>12.332557952995897</v>
      </c>
    </row>
    <row r="9" spans="1:7" x14ac:dyDescent="0.35">
      <c r="A9" t="s">
        <v>328</v>
      </c>
      <c r="B9">
        <v>8</v>
      </c>
      <c r="C9" t="s">
        <v>644</v>
      </c>
      <c r="D9" t="s">
        <v>652</v>
      </c>
      <c r="E9">
        <v>301.07</v>
      </c>
      <c r="F9">
        <v>265.8</v>
      </c>
      <c r="G9">
        <v>13.269375470278396</v>
      </c>
    </row>
    <row r="10" spans="1:7" x14ac:dyDescent="0.35">
      <c r="A10" t="s">
        <v>328</v>
      </c>
      <c r="B10">
        <v>1</v>
      </c>
      <c r="C10" t="s">
        <v>653</v>
      </c>
      <c r="D10" t="s">
        <v>654</v>
      </c>
      <c r="E10">
        <v>244.89</v>
      </c>
      <c r="F10">
        <v>218.35</v>
      </c>
      <c r="G10">
        <v>12.154797343714216</v>
      </c>
    </row>
    <row r="11" spans="1:7" x14ac:dyDescent="0.35">
      <c r="A11" t="s">
        <v>328</v>
      </c>
      <c r="B11">
        <v>2</v>
      </c>
      <c r="C11" t="s">
        <v>653</v>
      </c>
      <c r="D11" t="s">
        <v>655</v>
      </c>
      <c r="E11">
        <v>353.45</v>
      </c>
      <c r="F11">
        <v>316.11</v>
      </c>
      <c r="G11">
        <v>11.812343804371887</v>
      </c>
    </row>
    <row r="12" spans="1:7" x14ac:dyDescent="0.35">
      <c r="A12" t="s">
        <v>328</v>
      </c>
      <c r="B12">
        <v>3</v>
      </c>
      <c r="C12" t="s">
        <v>653</v>
      </c>
      <c r="D12" t="s">
        <v>656</v>
      </c>
      <c r="E12">
        <v>269.86</v>
      </c>
      <c r="F12">
        <v>239.92</v>
      </c>
      <c r="G12">
        <v>12.479159719906647</v>
      </c>
    </row>
    <row r="13" spans="1:7" x14ac:dyDescent="0.35">
      <c r="A13" t="s">
        <v>328</v>
      </c>
      <c r="B13">
        <v>4</v>
      </c>
      <c r="C13" t="s">
        <v>653</v>
      </c>
      <c r="D13" t="s">
        <v>657</v>
      </c>
      <c r="E13">
        <v>270.83999999999997</v>
      </c>
      <c r="F13">
        <v>239</v>
      </c>
      <c r="G13">
        <v>13.322175732217561</v>
      </c>
    </row>
    <row r="14" spans="1:7" x14ac:dyDescent="0.35">
      <c r="A14" t="s">
        <v>328</v>
      </c>
      <c r="B14">
        <v>5</v>
      </c>
      <c r="C14" t="s">
        <v>653</v>
      </c>
      <c r="D14" t="s">
        <v>658</v>
      </c>
      <c r="E14">
        <v>289.86</v>
      </c>
      <c r="F14">
        <v>255.6</v>
      </c>
      <c r="G14">
        <v>13.403755868544609</v>
      </c>
    </row>
    <row r="15" spans="1:7" x14ac:dyDescent="0.35">
      <c r="A15" t="s">
        <v>328</v>
      </c>
      <c r="B15">
        <v>6</v>
      </c>
      <c r="C15" t="s">
        <v>653</v>
      </c>
      <c r="D15" t="s">
        <v>659</v>
      </c>
      <c r="E15">
        <v>252.99</v>
      </c>
      <c r="F15">
        <v>225.05</v>
      </c>
      <c r="G15">
        <v>12.415018884692289</v>
      </c>
    </row>
    <row r="16" spans="1:7" x14ac:dyDescent="0.35">
      <c r="A16" t="s">
        <v>328</v>
      </c>
      <c r="B16">
        <v>7</v>
      </c>
      <c r="C16" t="s">
        <v>653</v>
      </c>
      <c r="D16" t="s">
        <v>660</v>
      </c>
      <c r="E16">
        <v>274.81</v>
      </c>
      <c r="F16">
        <v>243.64</v>
      </c>
      <c r="G16">
        <v>12.79346576916763</v>
      </c>
    </row>
    <row r="17" spans="1:7" x14ac:dyDescent="0.35">
      <c r="A17" t="s">
        <v>328</v>
      </c>
      <c r="B17">
        <v>8</v>
      </c>
      <c r="C17" t="s">
        <v>653</v>
      </c>
      <c r="D17" t="s">
        <v>661</v>
      </c>
      <c r="E17">
        <v>235.06</v>
      </c>
      <c r="F17">
        <v>204.94</v>
      </c>
      <c r="G17">
        <v>14.696984483263398</v>
      </c>
    </row>
    <row r="18" spans="1:7" x14ac:dyDescent="0.35">
      <c r="A18" t="s">
        <v>328</v>
      </c>
      <c r="B18">
        <v>1</v>
      </c>
      <c r="C18" t="s">
        <v>662</v>
      </c>
      <c r="D18" t="s">
        <v>663</v>
      </c>
      <c r="E18">
        <v>514.54999999999995</v>
      </c>
      <c r="F18">
        <v>433.76</v>
      </c>
      <c r="G18">
        <v>18.625507192917734</v>
      </c>
    </row>
    <row r="19" spans="1:7" x14ac:dyDescent="0.35">
      <c r="A19" t="s">
        <v>328</v>
      </c>
      <c r="B19">
        <v>2</v>
      </c>
      <c r="C19" t="s">
        <v>662</v>
      </c>
      <c r="D19" t="s">
        <v>664</v>
      </c>
      <c r="E19">
        <v>546.80999999999995</v>
      </c>
      <c r="F19">
        <v>465.54</v>
      </c>
      <c r="G19">
        <v>17.457146539502496</v>
      </c>
    </row>
    <row r="20" spans="1:7" x14ac:dyDescent="0.35">
      <c r="A20" t="s">
        <v>328</v>
      </c>
      <c r="B20">
        <v>3</v>
      </c>
      <c r="C20" t="s">
        <v>662</v>
      </c>
      <c r="D20" t="s">
        <v>665</v>
      </c>
      <c r="E20">
        <v>574.32000000000005</v>
      </c>
      <c r="F20">
        <v>492.21</v>
      </c>
      <c r="G20">
        <v>16.681904065337978</v>
      </c>
    </row>
    <row r="21" spans="1:7" x14ac:dyDescent="0.35">
      <c r="A21" t="s">
        <v>328</v>
      </c>
      <c r="B21">
        <v>4</v>
      </c>
      <c r="C21" t="s">
        <v>662</v>
      </c>
      <c r="D21" t="s">
        <v>666</v>
      </c>
      <c r="E21">
        <v>576.17999999999995</v>
      </c>
      <c r="F21">
        <v>499.85</v>
      </c>
      <c r="G21">
        <v>15.270581174352291</v>
      </c>
    </row>
    <row r="22" spans="1:7" x14ac:dyDescent="0.35">
      <c r="A22" t="s">
        <v>328</v>
      </c>
      <c r="B22">
        <v>5</v>
      </c>
      <c r="C22" t="s">
        <v>662</v>
      </c>
      <c r="D22" t="s">
        <v>667</v>
      </c>
      <c r="E22">
        <v>541.99</v>
      </c>
      <c r="F22">
        <v>458.17</v>
      </c>
      <c r="G22">
        <v>18.294519501495078</v>
      </c>
    </row>
    <row r="23" spans="1:7" x14ac:dyDescent="0.35">
      <c r="A23" t="s">
        <v>328</v>
      </c>
      <c r="B23">
        <v>6</v>
      </c>
      <c r="C23" t="s">
        <v>662</v>
      </c>
      <c r="D23" t="s">
        <v>668</v>
      </c>
      <c r="E23">
        <v>522.80999999999995</v>
      </c>
      <c r="F23">
        <v>440.39</v>
      </c>
      <c r="G23">
        <v>18.71522968278116</v>
      </c>
    </row>
    <row r="24" spans="1:7" x14ac:dyDescent="0.35">
      <c r="A24" t="s">
        <v>328</v>
      </c>
      <c r="B24">
        <v>7</v>
      </c>
      <c r="C24" t="s">
        <v>662</v>
      </c>
      <c r="D24" t="s">
        <v>669</v>
      </c>
      <c r="E24">
        <v>553.04</v>
      </c>
      <c r="F24">
        <v>492.13</v>
      </c>
      <c r="G24">
        <v>12.376811005222191</v>
      </c>
    </row>
    <row r="25" spans="1:7" x14ac:dyDescent="0.35">
      <c r="A25" t="s">
        <v>328</v>
      </c>
      <c r="B25">
        <v>8</v>
      </c>
      <c r="C25" t="s">
        <v>662</v>
      </c>
      <c r="D25" t="s">
        <v>670</v>
      </c>
      <c r="E25">
        <v>551.36</v>
      </c>
      <c r="F25">
        <v>467.15</v>
      </c>
      <c r="G25">
        <v>18.026329872631923</v>
      </c>
    </row>
    <row r="26" spans="1:7" x14ac:dyDescent="0.35">
      <c r="A26" t="s">
        <v>328</v>
      </c>
      <c r="B26">
        <v>1</v>
      </c>
      <c r="C26" t="s">
        <v>671</v>
      </c>
      <c r="D26" t="s">
        <v>672</v>
      </c>
      <c r="E26">
        <v>498.06</v>
      </c>
      <c r="F26">
        <v>421.69</v>
      </c>
      <c r="G26">
        <v>18.110460290734899</v>
      </c>
    </row>
    <row r="27" spans="1:7" x14ac:dyDescent="0.35">
      <c r="A27" t="s">
        <v>328</v>
      </c>
      <c r="B27">
        <v>2</v>
      </c>
      <c r="C27" t="s">
        <v>671</v>
      </c>
      <c r="D27" t="s">
        <v>673</v>
      </c>
      <c r="E27">
        <v>553.92999999999995</v>
      </c>
      <c r="F27">
        <v>468.78</v>
      </c>
      <c r="G27">
        <v>18.16417082640044</v>
      </c>
    </row>
    <row r="28" spans="1:7" x14ac:dyDescent="0.35">
      <c r="A28" t="s">
        <v>328</v>
      </c>
      <c r="B28">
        <v>3</v>
      </c>
      <c r="C28" t="s">
        <v>671</v>
      </c>
      <c r="D28" t="s">
        <v>674</v>
      </c>
      <c r="E28">
        <v>526.66</v>
      </c>
      <c r="F28">
        <v>441.39</v>
      </c>
      <c r="G28">
        <v>19.318516504678399</v>
      </c>
    </row>
    <row r="29" spans="1:7" x14ac:dyDescent="0.35">
      <c r="A29" t="s">
        <v>328</v>
      </c>
      <c r="B29">
        <v>4</v>
      </c>
      <c r="C29" t="s">
        <v>671</v>
      </c>
      <c r="D29" t="s">
        <v>675</v>
      </c>
      <c r="F29">
        <v>449.53</v>
      </c>
    </row>
    <row r="30" spans="1:7" x14ac:dyDescent="0.35">
      <c r="A30" t="s">
        <v>328</v>
      </c>
      <c r="B30">
        <v>5</v>
      </c>
      <c r="C30" t="s">
        <v>671</v>
      </c>
      <c r="D30" t="s">
        <v>676</v>
      </c>
      <c r="E30">
        <v>551.62</v>
      </c>
      <c r="F30">
        <v>471.4</v>
      </c>
      <c r="G30">
        <v>17.017394993635985</v>
      </c>
    </row>
    <row r="31" spans="1:7" x14ac:dyDescent="0.35">
      <c r="A31" t="s">
        <v>328</v>
      </c>
      <c r="B31">
        <v>6</v>
      </c>
      <c r="C31" t="s">
        <v>671</v>
      </c>
      <c r="D31" t="s">
        <v>677</v>
      </c>
      <c r="E31">
        <v>519.6</v>
      </c>
      <c r="F31">
        <v>431.61</v>
      </c>
      <c r="G31">
        <v>20.386459998609858</v>
      </c>
    </row>
    <row r="32" spans="1:7" x14ac:dyDescent="0.35">
      <c r="A32" t="s">
        <v>328</v>
      </c>
      <c r="B32">
        <v>7</v>
      </c>
      <c r="C32" t="s">
        <v>671</v>
      </c>
      <c r="D32" t="s">
        <v>678</v>
      </c>
      <c r="E32">
        <v>452.19</v>
      </c>
      <c r="F32">
        <v>399.23</v>
      </c>
      <c r="G32">
        <v>13.265536157102417</v>
      </c>
    </row>
    <row r="33" spans="1:7" x14ac:dyDescent="0.35">
      <c r="A33" t="s">
        <v>328</v>
      </c>
      <c r="B33">
        <v>8</v>
      </c>
      <c r="C33" t="s">
        <v>671</v>
      </c>
      <c r="D33" t="s">
        <v>679</v>
      </c>
      <c r="E33">
        <v>537.19000000000005</v>
      </c>
      <c r="F33">
        <v>454.16</v>
      </c>
      <c r="G33">
        <v>18.282103223533561</v>
      </c>
    </row>
    <row r="34" spans="1:7" x14ac:dyDescent="0.35">
      <c r="A34" t="s">
        <v>328</v>
      </c>
      <c r="B34">
        <v>1</v>
      </c>
      <c r="C34" t="s">
        <v>680</v>
      </c>
      <c r="D34" t="s">
        <v>681</v>
      </c>
    </row>
    <row r="35" spans="1:7" x14ac:dyDescent="0.35">
      <c r="A35" t="s">
        <v>328</v>
      </c>
      <c r="B35">
        <v>2</v>
      </c>
      <c r="C35" t="s">
        <v>680</v>
      </c>
      <c r="D35" t="s">
        <v>682</v>
      </c>
      <c r="E35">
        <v>233.45</v>
      </c>
      <c r="F35">
        <v>199.58</v>
      </c>
      <c r="G35">
        <v>16.97063834051507</v>
      </c>
    </row>
    <row r="36" spans="1:7" x14ac:dyDescent="0.35">
      <c r="A36" t="s">
        <v>328</v>
      </c>
      <c r="B36">
        <v>3</v>
      </c>
      <c r="C36" t="s">
        <v>680</v>
      </c>
      <c r="D36" t="s">
        <v>683</v>
      </c>
      <c r="E36">
        <v>232.96</v>
      </c>
      <c r="F36">
        <v>194.11</v>
      </c>
      <c r="G36">
        <v>20.014424810674356</v>
      </c>
    </row>
    <row r="37" spans="1:7" x14ac:dyDescent="0.35">
      <c r="A37" t="s">
        <v>328</v>
      </c>
      <c r="B37">
        <v>4</v>
      </c>
      <c r="C37" t="s">
        <v>680</v>
      </c>
      <c r="D37" t="s">
        <v>684</v>
      </c>
      <c r="E37">
        <v>255.27</v>
      </c>
      <c r="F37">
        <v>220.7</v>
      </c>
      <c r="G37">
        <v>15.663797009515189</v>
      </c>
    </row>
    <row r="38" spans="1:7" x14ac:dyDescent="0.35">
      <c r="A38" t="s">
        <v>328</v>
      </c>
      <c r="B38">
        <v>5</v>
      </c>
      <c r="C38" t="s">
        <v>680</v>
      </c>
      <c r="D38" t="s">
        <v>685</v>
      </c>
      <c r="E38">
        <v>444.51</v>
      </c>
      <c r="F38">
        <v>381.65</v>
      </c>
      <c r="G38">
        <v>16.470588235294123</v>
      </c>
    </row>
    <row r="39" spans="1:7" x14ac:dyDescent="0.35">
      <c r="A39" t="s">
        <v>328</v>
      </c>
      <c r="B39">
        <v>6</v>
      </c>
      <c r="C39" t="s">
        <v>680</v>
      </c>
      <c r="D39" t="s">
        <v>686</v>
      </c>
      <c r="E39">
        <v>474.77</v>
      </c>
      <c r="F39">
        <v>412.68</v>
      </c>
      <c r="G39">
        <v>15.045555878646887</v>
      </c>
    </row>
    <row r="40" spans="1:7" x14ac:dyDescent="0.35">
      <c r="A40" t="s">
        <v>328</v>
      </c>
      <c r="B40">
        <v>7</v>
      </c>
      <c r="C40" t="s">
        <v>680</v>
      </c>
      <c r="D40" t="s">
        <v>687</v>
      </c>
    </row>
    <row r="41" spans="1:7" x14ac:dyDescent="0.35">
      <c r="A41" t="s">
        <v>328</v>
      </c>
      <c r="B41">
        <v>8</v>
      </c>
      <c r="C41" t="s">
        <v>680</v>
      </c>
      <c r="D41" t="s">
        <v>688</v>
      </c>
    </row>
    <row r="42" spans="1:7" x14ac:dyDescent="0.35">
      <c r="A42" t="s">
        <v>328</v>
      </c>
      <c r="B42">
        <v>1</v>
      </c>
      <c r="C42" t="s">
        <v>689</v>
      </c>
      <c r="D42" t="s">
        <v>690</v>
      </c>
    </row>
    <row r="43" spans="1:7" x14ac:dyDescent="0.35">
      <c r="A43" t="s">
        <v>328</v>
      </c>
      <c r="B43">
        <v>2</v>
      </c>
      <c r="C43" t="s">
        <v>689</v>
      </c>
      <c r="D43" t="s">
        <v>691</v>
      </c>
    </row>
    <row r="44" spans="1:7" x14ac:dyDescent="0.35">
      <c r="A44" t="s">
        <v>328</v>
      </c>
      <c r="B44">
        <v>3</v>
      </c>
      <c r="C44" t="s">
        <v>689</v>
      </c>
      <c r="D44" t="s">
        <v>692</v>
      </c>
    </row>
    <row r="45" spans="1:7" x14ac:dyDescent="0.35">
      <c r="A45" t="s">
        <v>328</v>
      </c>
      <c r="B45">
        <v>4</v>
      </c>
      <c r="C45" t="s">
        <v>689</v>
      </c>
      <c r="D45" t="s">
        <v>693</v>
      </c>
    </row>
    <row r="46" spans="1:7" x14ac:dyDescent="0.35">
      <c r="A46" t="s">
        <v>328</v>
      </c>
      <c r="B46">
        <v>5</v>
      </c>
      <c r="C46" t="s">
        <v>689</v>
      </c>
      <c r="D46" t="s">
        <v>694</v>
      </c>
    </row>
    <row r="47" spans="1:7" x14ac:dyDescent="0.35">
      <c r="A47" t="s">
        <v>328</v>
      </c>
      <c r="B47">
        <v>6</v>
      </c>
      <c r="C47" t="s">
        <v>689</v>
      </c>
      <c r="D47" t="s">
        <v>695</v>
      </c>
    </row>
    <row r="48" spans="1:7" x14ac:dyDescent="0.35">
      <c r="A48" t="s">
        <v>328</v>
      </c>
      <c r="B48">
        <v>7</v>
      </c>
      <c r="C48" t="s">
        <v>689</v>
      </c>
      <c r="D48" t="s">
        <v>696</v>
      </c>
    </row>
    <row r="49" spans="1:7" x14ac:dyDescent="0.35">
      <c r="A49" t="s">
        <v>328</v>
      </c>
      <c r="B49">
        <v>8</v>
      </c>
      <c r="C49" t="s">
        <v>689</v>
      </c>
      <c r="D49" t="s">
        <v>697</v>
      </c>
    </row>
    <row r="50" spans="1:7" x14ac:dyDescent="0.35">
      <c r="A50" t="s">
        <v>328</v>
      </c>
      <c r="B50">
        <v>1</v>
      </c>
      <c r="C50" t="s">
        <v>698</v>
      </c>
      <c r="D50" t="s">
        <v>699</v>
      </c>
      <c r="E50">
        <v>551.53</v>
      </c>
      <c r="F50">
        <v>478.38</v>
      </c>
      <c r="G50">
        <v>15.291191103306989</v>
      </c>
    </row>
    <row r="51" spans="1:7" x14ac:dyDescent="0.35">
      <c r="A51" t="s">
        <v>328</v>
      </c>
      <c r="B51">
        <v>2</v>
      </c>
      <c r="C51" t="s">
        <v>698</v>
      </c>
      <c r="D51" t="s">
        <v>700</v>
      </c>
      <c r="E51">
        <v>475.7</v>
      </c>
      <c r="F51">
        <v>406.57</v>
      </c>
      <c r="G51">
        <v>17.00322207737905</v>
      </c>
    </row>
    <row r="52" spans="1:7" x14ac:dyDescent="0.35">
      <c r="A52" t="s">
        <v>328</v>
      </c>
      <c r="B52">
        <v>3</v>
      </c>
      <c r="C52" t="s">
        <v>698</v>
      </c>
      <c r="D52" t="s">
        <v>701</v>
      </c>
      <c r="E52">
        <v>573.74</v>
      </c>
      <c r="F52">
        <v>502.22</v>
      </c>
      <c r="G52">
        <v>14.240770976862724</v>
      </c>
    </row>
    <row r="53" spans="1:7" x14ac:dyDescent="0.35">
      <c r="A53" t="s">
        <v>328</v>
      </c>
      <c r="B53">
        <v>4</v>
      </c>
      <c r="C53" t="s">
        <v>698</v>
      </c>
      <c r="D53" t="s">
        <v>702</v>
      </c>
      <c r="E53">
        <v>558.63</v>
      </c>
      <c r="F53">
        <v>484.6</v>
      </c>
      <c r="G53">
        <v>15.276516714816339</v>
      </c>
    </row>
    <row r="54" spans="1:7" x14ac:dyDescent="0.35">
      <c r="A54" t="s">
        <v>328</v>
      </c>
      <c r="B54">
        <v>5</v>
      </c>
      <c r="C54" t="s">
        <v>698</v>
      </c>
      <c r="D54" t="s">
        <v>703</v>
      </c>
      <c r="E54">
        <v>562.33000000000004</v>
      </c>
      <c r="F54">
        <v>487.73</v>
      </c>
      <c r="G54">
        <v>15.295347835892814</v>
      </c>
    </row>
    <row r="55" spans="1:7" x14ac:dyDescent="0.35">
      <c r="A55" t="s">
        <v>328</v>
      </c>
      <c r="B55">
        <v>6</v>
      </c>
      <c r="C55" t="s">
        <v>698</v>
      </c>
      <c r="D55" t="s">
        <v>704</v>
      </c>
      <c r="E55">
        <v>549.49</v>
      </c>
      <c r="F55">
        <v>483.78</v>
      </c>
      <c r="G55">
        <v>13.582620199264136</v>
      </c>
    </row>
    <row r="56" spans="1:7" x14ac:dyDescent="0.35">
      <c r="A56" t="s">
        <v>328</v>
      </c>
      <c r="B56">
        <v>7</v>
      </c>
      <c r="C56" t="s">
        <v>698</v>
      </c>
      <c r="D56" t="s">
        <v>705</v>
      </c>
      <c r="E56">
        <v>543.85</v>
      </c>
      <c r="F56">
        <v>479.71</v>
      </c>
      <c r="G56">
        <v>13.370578057576463</v>
      </c>
    </row>
    <row r="57" spans="1:7" x14ac:dyDescent="0.35">
      <c r="A57" t="s">
        <v>328</v>
      </c>
      <c r="B57">
        <v>8</v>
      </c>
      <c r="C57" t="s">
        <v>698</v>
      </c>
      <c r="D57" t="s">
        <v>706</v>
      </c>
      <c r="E57">
        <v>561.65</v>
      </c>
      <c r="F57">
        <v>484.15</v>
      </c>
      <c r="G57">
        <v>16.007435712072706</v>
      </c>
    </row>
    <row r="58" spans="1:7" x14ac:dyDescent="0.35">
      <c r="A58" t="s">
        <v>328</v>
      </c>
      <c r="B58">
        <v>1</v>
      </c>
      <c r="C58" t="s">
        <v>707</v>
      </c>
      <c r="D58" t="s">
        <v>708</v>
      </c>
      <c r="E58">
        <v>520.48</v>
      </c>
      <c r="F58">
        <v>435.27</v>
      </c>
      <c r="G58">
        <v>19.576354906150215</v>
      </c>
    </row>
    <row r="59" spans="1:7" x14ac:dyDescent="0.35">
      <c r="A59" t="s">
        <v>328</v>
      </c>
      <c r="B59">
        <v>2</v>
      </c>
      <c r="C59" t="s">
        <v>707</v>
      </c>
      <c r="D59" t="s">
        <v>709</v>
      </c>
      <c r="E59">
        <v>540.14</v>
      </c>
      <c r="F59">
        <v>448.56</v>
      </c>
      <c r="G59">
        <v>20.416443731050467</v>
      </c>
    </row>
    <row r="60" spans="1:7" x14ac:dyDescent="0.35">
      <c r="A60" t="s">
        <v>328</v>
      </c>
      <c r="B60">
        <v>3</v>
      </c>
      <c r="C60" t="s">
        <v>707</v>
      </c>
      <c r="D60" t="s">
        <v>710</v>
      </c>
      <c r="E60">
        <v>542.99</v>
      </c>
      <c r="F60">
        <v>456.42</v>
      </c>
      <c r="G60">
        <v>18.9671793523509</v>
      </c>
    </row>
    <row r="61" spans="1:7" x14ac:dyDescent="0.35">
      <c r="A61" t="s">
        <v>328</v>
      </c>
      <c r="B61">
        <v>4</v>
      </c>
      <c r="C61" t="s">
        <v>707</v>
      </c>
      <c r="D61" t="s">
        <v>711</v>
      </c>
      <c r="E61">
        <v>483.93</v>
      </c>
      <c r="F61">
        <v>403.65</v>
      </c>
      <c r="G61">
        <v>19.888517279821635</v>
      </c>
    </row>
    <row r="62" spans="1:7" x14ac:dyDescent="0.35">
      <c r="A62" t="s">
        <v>328</v>
      </c>
      <c r="B62">
        <v>5</v>
      </c>
      <c r="C62" t="s">
        <v>707</v>
      </c>
      <c r="D62" t="s">
        <v>712</v>
      </c>
      <c r="E62">
        <v>533.05999999999995</v>
      </c>
      <c r="F62">
        <v>438.4</v>
      </c>
      <c r="G62">
        <v>21.592153284671529</v>
      </c>
    </row>
    <row r="63" spans="1:7" x14ac:dyDescent="0.35">
      <c r="A63" t="s">
        <v>328</v>
      </c>
      <c r="B63">
        <v>6</v>
      </c>
      <c r="C63" t="s">
        <v>707</v>
      </c>
      <c r="D63" t="s">
        <v>713</v>
      </c>
      <c r="E63">
        <v>421.53</v>
      </c>
      <c r="F63">
        <v>358.19</v>
      </c>
      <c r="G63">
        <v>17.683352410731729</v>
      </c>
    </row>
    <row r="64" spans="1:7" x14ac:dyDescent="0.35">
      <c r="A64" t="s">
        <v>328</v>
      </c>
      <c r="B64">
        <v>7</v>
      </c>
      <c r="C64" t="s">
        <v>707</v>
      </c>
      <c r="D64" t="s">
        <v>714</v>
      </c>
      <c r="E64">
        <v>539.37</v>
      </c>
      <c r="F64">
        <v>461.92</v>
      </c>
      <c r="G64">
        <v>16.766972635954275</v>
      </c>
    </row>
    <row r="65" spans="1:7" x14ac:dyDescent="0.35">
      <c r="A65" t="s">
        <v>328</v>
      </c>
      <c r="B65">
        <v>8</v>
      </c>
      <c r="C65" t="s">
        <v>707</v>
      </c>
      <c r="D65" t="s">
        <v>715</v>
      </c>
      <c r="E65">
        <v>543.1</v>
      </c>
      <c r="F65">
        <v>452.47</v>
      </c>
      <c r="G65">
        <v>20.030057241364066</v>
      </c>
    </row>
    <row r="66" spans="1:7" x14ac:dyDescent="0.35">
      <c r="A66" t="s">
        <v>328</v>
      </c>
      <c r="B66">
        <v>1</v>
      </c>
      <c r="C66" t="s">
        <v>716</v>
      </c>
      <c r="D66" t="s">
        <v>717</v>
      </c>
      <c r="E66">
        <v>628.75</v>
      </c>
      <c r="F66">
        <v>538.14</v>
      </c>
      <c r="G66">
        <v>16.837625896606834</v>
      </c>
    </row>
    <row r="67" spans="1:7" x14ac:dyDescent="0.35">
      <c r="A67" t="s">
        <v>328</v>
      </c>
      <c r="B67">
        <v>2</v>
      </c>
      <c r="C67" t="s">
        <v>716</v>
      </c>
      <c r="D67" t="s">
        <v>718</v>
      </c>
      <c r="E67">
        <v>494.81</v>
      </c>
      <c r="F67">
        <v>409.14</v>
      </c>
      <c r="G67">
        <v>20.939042870411111</v>
      </c>
    </row>
    <row r="68" spans="1:7" x14ac:dyDescent="0.35">
      <c r="A68" t="s">
        <v>328</v>
      </c>
      <c r="B68">
        <v>3</v>
      </c>
      <c r="C68" t="s">
        <v>716</v>
      </c>
      <c r="D68" t="s">
        <v>719</v>
      </c>
      <c r="E68">
        <v>529.35</v>
      </c>
      <c r="F68">
        <v>440.98</v>
      </c>
      <c r="G68">
        <v>20.039457571771962</v>
      </c>
    </row>
    <row r="69" spans="1:7" x14ac:dyDescent="0.35">
      <c r="A69" t="s">
        <v>328</v>
      </c>
      <c r="B69">
        <v>4</v>
      </c>
      <c r="C69" t="s">
        <v>716</v>
      </c>
      <c r="D69" t="s">
        <v>720</v>
      </c>
      <c r="E69">
        <v>534.12</v>
      </c>
      <c r="F69">
        <v>456.18</v>
      </c>
      <c r="G69">
        <v>17.085361041694068</v>
      </c>
    </row>
    <row r="70" spans="1:7" x14ac:dyDescent="0.35">
      <c r="A70" t="s">
        <v>328</v>
      </c>
      <c r="B70">
        <v>5</v>
      </c>
      <c r="C70" t="s">
        <v>716</v>
      </c>
      <c r="D70" t="s">
        <v>721</v>
      </c>
      <c r="E70">
        <v>550.08000000000004</v>
      </c>
      <c r="F70">
        <v>457</v>
      </c>
      <c r="G70">
        <v>20.367614879649899</v>
      </c>
    </row>
    <row r="71" spans="1:7" x14ac:dyDescent="0.35">
      <c r="A71" t="s">
        <v>328</v>
      </c>
      <c r="B71">
        <v>6</v>
      </c>
      <c r="C71" t="s">
        <v>716</v>
      </c>
      <c r="D71" t="s">
        <v>722</v>
      </c>
      <c r="E71">
        <v>512.79999999999995</v>
      </c>
      <c r="F71">
        <v>434.03</v>
      </c>
      <c r="G71">
        <v>18.148515079602788</v>
      </c>
    </row>
    <row r="72" spans="1:7" x14ac:dyDescent="0.35">
      <c r="A72" t="s">
        <v>328</v>
      </c>
      <c r="B72">
        <v>7</v>
      </c>
      <c r="C72" t="s">
        <v>716</v>
      </c>
      <c r="D72" t="s">
        <v>723</v>
      </c>
      <c r="E72">
        <v>521.95000000000005</v>
      </c>
      <c r="F72">
        <v>441.72</v>
      </c>
      <c r="G72">
        <v>18.163089740106859</v>
      </c>
    </row>
    <row r="73" spans="1:7" x14ac:dyDescent="0.35">
      <c r="A73" t="s">
        <v>328</v>
      </c>
      <c r="B73">
        <v>8</v>
      </c>
      <c r="C73" t="s">
        <v>716</v>
      </c>
      <c r="D73" t="s">
        <v>724</v>
      </c>
      <c r="E73">
        <v>561.98</v>
      </c>
      <c r="F73">
        <v>472.14</v>
      </c>
      <c r="G73">
        <v>19.028254331342406</v>
      </c>
    </row>
    <row r="74" spans="1:7" x14ac:dyDescent="0.35">
      <c r="A74" t="s">
        <v>328</v>
      </c>
      <c r="B74">
        <v>1</v>
      </c>
      <c r="C74" t="s">
        <v>725</v>
      </c>
      <c r="D74" t="s">
        <v>726</v>
      </c>
      <c r="E74">
        <v>483.99</v>
      </c>
      <c r="F74">
        <v>417.72</v>
      </c>
      <c r="G74">
        <v>15.864694053432915</v>
      </c>
    </row>
    <row r="75" spans="1:7" x14ac:dyDescent="0.35">
      <c r="A75" t="s">
        <v>328</v>
      </c>
      <c r="B75">
        <v>2</v>
      </c>
      <c r="C75" t="s">
        <v>725</v>
      </c>
      <c r="D75" t="s">
        <v>727</v>
      </c>
      <c r="E75">
        <v>545.22</v>
      </c>
      <c r="F75">
        <v>467.61</v>
      </c>
      <c r="G75">
        <v>16.597164303586322</v>
      </c>
    </row>
    <row r="76" spans="1:7" x14ac:dyDescent="0.35">
      <c r="A76" t="s">
        <v>328</v>
      </c>
      <c r="B76">
        <v>3</v>
      </c>
      <c r="C76" t="s">
        <v>725</v>
      </c>
      <c r="D76" t="s">
        <v>728</v>
      </c>
      <c r="E76">
        <v>524.32000000000005</v>
      </c>
      <c r="F76">
        <v>441.93</v>
      </c>
      <c r="G76">
        <v>18.643224040006345</v>
      </c>
    </row>
    <row r="77" spans="1:7" x14ac:dyDescent="0.35">
      <c r="A77" t="s">
        <v>328</v>
      </c>
      <c r="B77">
        <v>4</v>
      </c>
      <c r="C77" t="s">
        <v>725</v>
      </c>
      <c r="D77" t="s">
        <v>729</v>
      </c>
      <c r="F77">
        <v>512.41</v>
      </c>
    </row>
    <row r="78" spans="1:7" x14ac:dyDescent="0.35">
      <c r="A78" t="s">
        <v>328</v>
      </c>
      <c r="B78">
        <v>5</v>
      </c>
      <c r="C78" t="s">
        <v>725</v>
      </c>
      <c r="D78" t="s">
        <v>730</v>
      </c>
      <c r="E78">
        <v>563.4</v>
      </c>
      <c r="F78">
        <v>481.3</v>
      </c>
      <c r="G78">
        <v>17.057968003324323</v>
      </c>
    </row>
    <row r="79" spans="1:7" x14ac:dyDescent="0.35">
      <c r="A79" t="s">
        <v>328</v>
      </c>
      <c r="B79">
        <v>6</v>
      </c>
      <c r="C79" t="s">
        <v>725</v>
      </c>
      <c r="D79" t="s">
        <v>731</v>
      </c>
      <c r="E79">
        <v>532.5</v>
      </c>
      <c r="F79">
        <v>457.2</v>
      </c>
      <c r="G79">
        <v>16.469816272965883</v>
      </c>
    </row>
    <row r="80" spans="1:7" x14ac:dyDescent="0.35">
      <c r="A80" t="s">
        <v>328</v>
      </c>
      <c r="B80">
        <v>7</v>
      </c>
      <c r="C80" t="s">
        <v>725</v>
      </c>
      <c r="D80" t="s">
        <v>732</v>
      </c>
      <c r="E80">
        <v>565.58000000000004</v>
      </c>
      <c r="F80">
        <v>503.99</v>
      </c>
      <c r="G80">
        <v>12.220480565090583</v>
      </c>
    </row>
    <row r="81" spans="1:7" x14ac:dyDescent="0.35">
      <c r="A81" t="s">
        <v>328</v>
      </c>
      <c r="B81">
        <v>8</v>
      </c>
      <c r="C81" t="s">
        <v>725</v>
      </c>
      <c r="D81" t="s">
        <v>733</v>
      </c>
      <c r="E81">
        <v>513.95000000000005</v>
      </c>
      <c r="F81">
        <v>435.28</v>
      </c>
      <c r="G81">
        <v>18.073424002940655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E15A-3F7C-465A-B71F-4ABDFF613FC9}">
  <sheetPr>
    <tabColor theme="9" tint="0.79998168889431442"/>
  </sheetPr>
  <dimension ref="A1:V300"/>
  <sheetViews>
    <sheetView workbookViewId="0">
      <selection activeCell="J12" sqref="J12"/>
    </sheetView>
  </sheetViews>
  <sheetFormatPr defaultRowHeight="14.5" x14ac:dyDescent="0.35"/>
  <cols>
    <col min="1" max="3" width="8.81640625" style="6"/>
    <col min="4" max="4" width="14.7265625" style="6" bestFit="1" customWidth="1"/>
    <col min="5" max="11" width="8.81640625" style="6"/>
    <col min="12" max="13" width="13.54296875" customWidth="1"/>
    <col min="19" max="19" width="9.1796875" style="21"/>
    <col min="20" max="20" width="9.1796875" style="30"/>
    <col min="21" max="21" width="9.1796875" style="21"/>
    <col min="22" max="22" width="13.453125" style="21" customWidth="1"/>
    <col min="27" max="27" width="13.1796875" customWidth="1"/>
    <col min="28" max="28" width="16.26953125" bestFit="1" customWidth="1"/>
    <col min="29" max="29" width="15.26953125" bestFit="1" customWidth="1"/>
    <col min="30" max="35" width="12" bestFit="1" customWidth="1"/>
  </cols>
  <sheetData>
    <row r="1" spans="1:22" ht="68.25" customHeight="1" x14ac:dyDescent="0.35">
      <c r="A1" s="70" t="s">
        <v>44</v>
      </c>
      <c r="B1" s="70" t="s">
        <v>45</v>
      </c>
      <c r="C1" s="70" t="s">
        <v>46</v>
      </c>
      <c r="D1" s="70" t="s">
        <v>47</v>
      </c>
      <c r="E1" s="70" t="s">
        <v>48</v>
      </c>
      <c r="F1" s="70" t="s">
        <v>49</v>
      </c>
      <c r="G1" s="70" t="s">
        <v>50</v>
      </c>
      <c r="H1" s="70" t="s">
        <v>51</v>
      </c>
      <c r="I1" s="70" t="s">
        <v>52</v>
      </c>
      <c r="J1" s="70" t="s">
        <v>53</v>
      </c>
      <c r="K1" s="70" t="s">
        <v>54</v>
      </c>
      <c r="L1" s="4" t="s">
        <v>156</v>
      </c>
      <c r="M1" s="4" t="s">
        <v>750</v>
      </c>
      <c r="N1" s="4" t="s">
        <v>751</v>
      </c>
      <c r="O1" s="4" t="s">
        <v>752</v>
      </c>
      <c r="P1" s="4" t="s">
        <v>753</v>
      </c>
      <c r="Q1" s="4" t="s">
        <v>754</v>
      </c>
      <c r="R1" s="4" t="s">
        <v>755</v>
      </c>
      <c r="S1" s="10" t="s">
        <v>756</v>
      </c>
      <c r="T1" s="4" t="s">
        <v>158</v>
      </c>
      <c r="U1" s="4" t="s">
        <v>757</v>
      </c>
      <c r="V1" s="10"/>
    </row>
    <row r="2" spans="1:22" x14ac:dyDescent="0.35">
      <c r="A2" s="6" t="s">
        <v>24</v>
      </c>
      <c r="D2" s="6" t="s">
        <v>27</v>
      </c>
      <c r="E2" s="6">
        <v>1985</v>
      </c>
      <c r="F2" s="6">
        <v>1</v>
      </c>
      <c r="G2" s="6">
        <v>1</v>
      </c>
      <c r="H2" s="6">
        <v>1</v>
      </c>
      <c r="K2" s="6">
        <v>1</v>
      </c>
      <c r="L2" s="106">
        <v>45421</v>
      </c>
      <c r="M2">
        <v>26</v>
      </c>
      <c r="N2">
        <v>43</v>
      </c>
      <c r="O2">
        <v>47</v>
      </c>
      <c r="P2">
        <v>34</v>
      </c>
      <c r="S2" s="21">
        <f>AVERAGE(M2:P2)</f>
        <v>37.5</v>
      </c>
      <c r="T2" s="30">
        <v>0.25</v>
      </c>
      <c r="U2" s="21">
        <f>S2/T2</f>
        <v>150</v>
      </c>
    </row>
    <row r="3" spans="1:22" x14ac:dyDescent="0.35">
      <c r="A3" s="6" t="s">
        <v>24</v>
      </c>
      <c r="D3" s="6" t="s">
        <v>26</v>
      </c>
      <c r="E3" s="6">
        <v>1983</v>
      </c>
      <c r="F3" s="6">
        <v>1</v>
      </c>
      <c r="G3" s="6">
        <v>2</v>
      </c>
      <c r="H3" s="6">
        <v>1</v>
      </c>
      <c r="K3" s="6">
        <v>2</v>
      </c>
      <c r="L3" s="106">
        <v>45421</v>
      </c>
      <c r="M3">
        <v>36</v>
      </c>
      <c r="N3">
        <v>36</v>
      </c>
      <c r="O3">
        <v>37</v>
      </c>
      <c r="P3">
        <v>38</v>
      </c>
      <c r="S3" s="21">
        <f t="shared" ref="S3:S65" si="0">AVERAGE(M3:P3)</f>
        <v>36.75</v>
      </c>
      <c r="T3" s="30">
        <v>0.25</v>
      </c>
      <c r="U3" s="21">
        <f t="shared" ref="U3:U65" si="1">S3/T3</f>
        <v>147</v>
      </c>
    </row>
    <row r="4" spans="1:22" x14ac:dyDescent="0.35">
      <c r="A4" s="6" t="s">
        <v>24</v>
      </c>
      <c r="D4" s="6" t="s">
        <v>335</v>
      </c>
      <c r="E4" s="6">
        <v>2023</v>
      </c>
      <c r="F4" s="6">
        <v>1</v>
      </c>
      <c r="G4" s="6">
        <v>3</v>
      </c>
      <c r="H4" s="6">
        <v>1</v>
      </c>
      <c r="K4" s="6">
        <v>3</v>
      </c>
      <c r="L4" s="106">
        <v>45421</v>
      </c>
      <c r="M4">
        <v>44</v>
      </c>
      <c r="N4">
        <v>38</v>
      </c>
      <c r="O4">
        <v>35</v>
      </c>
      <c r="P4">
        <v>38</v>
      </c>
      <c r="S4" s="21">
        <f t="shared" si="0"/>
        <v>38.75</v>
      </c>
      <c r="T4" s="30">
        <v>0.25</v>
      </c>
      <c r="U4" s="21">
        <f t="shared" si="1"/>
        <v>155</v>
      </c>
    </row>
    <row r="5" spans="1:22" x14ac:dyDescent="0.35">
      <c r="A5" s="6" t="s">
        <v>24</v>
      </c>
      <c r="D5" s="6" t="s">
        <v>29</v>
      </c>
      <c r="E5" s="6">
        <v>1999</v>
      </c>
      <c r="F5" s="6">
        <v>1</v>
      </c>
      <c r="G5" s="6">
        <v>4</v>
      </c>
      <c r="H5" s="6">
        <v>1</v>
      </c>
      <c r="K5" s="6">
        <v>4</v>
      </c>
      <c r="L5" s="106">
        <v>45421</v>
      </c>
      <c r="M5">
        <v>40</v>
      </c>
      <c r="N5">
        <v>34</v>
      </c>
      <c r="O5">
        <v>42</v>
      </c>
      <c r="P5">
        <v>36</v>
      </c>
      <c r="S5" s="21">
        <f t="shared" si="0"/>
        <v>38</v>
      </c>
      <c r="T5" s="30">
        <v>0.25</v>
      </c>
      <c r="U5" s="21">
        <f t="shared" si="1"/>
        <v>152</v>
      </c>
    </row>
    <row r="6" spans="1:22" x14ac:dyDescent="0.35">
      <c r="A6" s="6" t="s">
        <v>24</v>
      </c>
      <c r="D6" s="6" t="s">
        <v>336</v>
      </c>
      <c r="E6" s="6">
        <v>2002</v>
      </c>
      <c r="F6" s="6">
        <v>1</v>
      </c>
      <c r="G6" s="6">
        <v>5</v>
      </c>
      <c r="H6" s="6">
        <v>1</v>
      </c>
      <c r="K6" s="6">
        <v>5</v>
      </c>
      <c r="L6" s="106">
        <v>45421</v>
      </c>
      <c r="M6">
        <v>35</v>
      </c>
      <c r="N6">
        <v>33</v>
      </c>
      <c r="O6">
        <v>33</v>
      </c>
      <c r="P6">
        <v>38</v>
      </c>
      <c r="S6" s="21">
        <f t="shared" si="0"/>
        <v>34.75</v>
      </c>
      <c r="T6" s="30">
        <v>0.25</v>
      </c>
      <c r="U6" s="21">
        <f t="shared" si="1"/>
        <v>139</v>
      </c>
    </row>
    <row r="7" spans="1:22" x14ac:dyDescent="0.35">
      <c r="A7" s="6" t="s">
        <v>24</v>
      </c>
      <c r="D7" s="6" t="s">
        <v>32</v>
      </c>
      <c r="E7" s="6">
        <v>2018</v>
      </c>
      <c r="F7" s="6">
        <v>1</v>
      </c>
      <c r="G7" s="6">
        <v>6</v>
      </c>
      <c r="H7" s="6">
        <v>1</v>
      </c>
      <c r="K7" s="6">
        <v>6</v>
      </c>
      <c r="L7" s="106">
        <v>45421</v>
      </c>
      <c r="M7">
        <v>42</v>
      </c>
      <c r="N7">
        <v>36</v>
      </c>
      <c r="O7">
        <v>37</v>
      </c>
      <c r="P7">
        <v>35</v>
      </c>
      <c r="S7" s="21">
        <f t="shared" si="0"/>
        <v>37.5</v>
      </c>
      <c r="T7" s="30">
        <v>0.25</v>
      </c>
      <c r="U7" s="21">
        <f t="shared" si="1"/>
        <v>150</v>
      </c>
    </row>
    <row r="8" spans="1:22" x14ac:dyDescent="0.35">
      <c r="A8" s="6" t="s">
        <v>24</v>
      </c>
      <c r="D8" s="6" t="s">
        <v>28</v>
      </c>
      <c r="E8" s="6">
        <v>1998</v>
      </c>
      <c r="F8" s="6">
        <v>1</v>
      </c>
      <c r="G8" s="6">
        <v>7</v>
      </c>
      <c r="H8" s="6">
        <v>1</v>
      </c>
      <c r="K8" s="6">
        <v>7</v>
      </c>
      <c r="L8" s="106">
        <v>45421</v>
      </c>
      <c r="M8">
        <v>33</v>
      </c>
      <c r="N8">
        <v>28</v>
      </c>
      <c r="O8">
        <v>41</v>
      </c>
      <c r="P8">
        <v>32</v>
      </c>
      <c r="S8" s="21">
        <f t="shared" si="0"/>
        <v>33.5</v>
      </c>
      <c r="T8" s="30">
        <v>0.25</v>
      </c>
      <c r="U8" s="21">
        <f t="shared" si="1"/>
        <v>134</v>
      </c>
    </row>
    <row r="9" spans="1:22" x14ac:dyDescent="0.35">
      <c r="A9" s="6" t="s">
        <v>24</v>
      </c>
      <c r="D9" s="6" t="s">
        <v>337</v>
      </c>
      <c r="E9" s="6">
        <v>2016</v>
      </c>
      <c r="F9" s="6">
        <v>1</v>
      </c>
      <c r="G9" s="6">
        <v>8</v>
      </c>
      <c r="H9" s="6">
        <v>1</v>
      </c>
      <c r="K9" s="6">
        <v>8</v>
      </c>
      <c r="L9" s="106">
        <v>45421</v>
      </c>
      <c r="M9">
        <v>33</v>
      </c>
      <c r="N9">
        <v>30</v>
      </c>
      <c r="O9">
        <v>38</v>
      </c>
      <c r="P9">
        <v>38</v>
      </c>
      <c r="S9" s="21">
        <f t="shared" si="0"/>
        <v>34.75</v>
      </c>
      <c r="T9" s="30">
        <v>0.25</v>
      </c>
      <c r="U9" s="21">
        <f t="shared" si="1"/>
        <v>139</v>
      </c>
    </row>
    <row r="10" spans="1:22" x14ac:dyDescent="0.35">
      <c r="A10" s="6" t="s">
        <v>34</v>
      </c>
      <c r="D10" s="6" t="s">
        <v>42</v>
      </c>
      <c r="E10" s="6">
        <v>2016</v>
      </c>
      <c r="F10" s="6">
        <v>1</v>
      </c>
      <c r="G10" s="6">
        <v>1</v>
      </c>
      <c r="H10" s="6">
        <v>2</v>
      </c>
      <c r="K10" s="6">
        <v>9</v>
      </c>
      <c r="L10" s="107">
        <v>45462</v>
      </c>
      <c r="M10">
        <v>28</v>
      </c>
      <c r="N10">
        <v>26</v>
      </c>
      <c r="O10">
        <v>30</v>
      </c>
      <c r="P10">
        <v>30</v>
      </c>
      <c r="S10" s="21">
        <f t="shared" si="0"/>
        <v>28.5</v>
      </c>
      <c r="T10" s="30">
        <v>0.25</v>
      </c>
      <c r="U10" s="21">
        <f t="shared" si="1"/>
        <v>114</v>
      </c>
    </row>
    <row r="11" spans="1:22" x14ac:dyDescent="0.35">
      <c r="A11" s="6" t="s">
        <v>34</v>
      </c>
      <c r="D11" s="6" t="s">
        <v>38</v>
      </c>
      <c r="E11" s="6">
        <v>1999</v>
      </c>
      <c r="F11" s="6">
        <v>1</v>
      </c>
      <c r="G11" s="6">
        <v>2</v>
      </c>
      <c r="H11" s="6">
        <v>2</v>
      </c>
      <c r="K11" s="6">
        <v>10</v>
      </c>
      <c r="L11" s="107">
        <v>45462</v>
      </c>
      <c r="M11">
        <v>34</v>
      </c>
      <c r="N11">
        <v>31</v>
      </c>
      <c r="O11">
        <v>29</v>
      </c>
      <c r="P11">
        <v>26</v>
      </c>
      <c r="S11" s="21">
        <f t="shared" si="0"/>
        <v>30</v>
      </c>
      <c r="T11" s="30">
        <v>0.25</v>
      </c>
      <c r="U11" s="21">
        <f t="shared" si="1"/>
        <v>120</v>
      </c>
    </row>
    <row r="12" spans="1:22" x14ac:dyDescent="0.35">
      <c r="A12" s="6" t="s">
        <v>34</v>
      </c>
      <c r="D12" s="6" t="s">
        <v>43</v>
      </c>
      <c r="E12" s="6">
        <v>2020</v>
      </c>
      <c r="F12" s="6">
        <v>1</v>
      </c>
      <c r="G12" s="6">
        <v>3</v>
      </c>
      <c r="H12" s="6">
        <v>2</v>
      </c>
      <c r="K12" s="6">
        <v>11</v>
      </c>
      <c r="L12" s="107">
        <v>45462</v>
      </c>
      <c r="M12">
        <v>37</v>
      </c>
      <c r="N12">
        <v>37</v>
      </c>
      <c r="O12">
        <v>31</v>
      </c>
      <c r="P12">
        <v>27</v>
      </c>
      <c r="S12" s="21">
        <f t="shared" si="0"/>
        <v>33</v>
      </c>
      <c r="T12" s="30">
        <v>0.25</v>
      </c>
      <c r="U12" s="21">
        <f t="shared" si="1"/>
        <v>132</v>
      </c>
    </row>
    <row r="13" spans="1:22" x14ac:dyDescent="0.35">
      <c r="A13" s="6" t="s">
        <v>34</v>
      </c>
      <c r="D13" s="6" t="s">
        <v>41</v>
      </c>
      <c r="E13" s="6">
        <v>2008</v>
      </c>
      <c r="F13" s="6">
        <v>1</v>
      </c>
      <c r="G13" s="6">
        <v>4</v>
      </c>
      <c r="H13" s="6">
        <v>2</v>
      </c>
      <c r="K13" s="6">
        <v>12</v>
      </c>
      <c r="L13" s="107">
        <v>45462</v>
      </c>
      <c r="M13">
        <v>32</v>
      </c>
      <c r="N13">
        <v>28</v>
      </c>
      <c r="O13">
        <v>27</v>
      </c>
      <c r="P13">
        <v>38</v>
      </c>
      <c r="S13" s="21">
        <f t="shared" si="0"/>
        <v>31.25</v>
      </c>
      <c r="T13" s="30">
        <v>0.25</v>
      </c>
      <c r="U13" s="21">
        <f t="shared" si="1"/>
        <v>125</v>
      </c>
    </row>
    <row r="14" spans="1:22" x14ac:dyDescent="0.35">
      <c r="A14" s="6" t="s">
        <v>34</v>
      </c>
      <c r="D14" s="6" t="s">
        <v>37</v>
      </c>
      <c r="E14" s="6">
        <v>1989</v>
      </c>
      <c r="F14" s="6">
        <v>1</v>
      </c>
      <c r="G14" s="6">
        <v>5</v>
      </c>
      <c r="H14" s="6">
        <v>2</v>
      </c>
      <c r="K14" s="6">
        <v>13</v>
      </c>
      <c r="L14" s="107">
        <v>45462</v>
      </c>
      <c r="M14">
        <v>33</v>
      </c>
      <c r="N14">
        <v>39</v>
      </c>
      <c r="O14">
        <v>31</v>
      </c>
      <c r="P14">
        <v>24</v>
      </c>
      <c r="S14" s="21">
        <f t="shared" si="0"/>
        <v>31.75</v>
      </c>
      <c r="T14" s="30">
        <v>0.25</v>
      </c>
      <c r="U14" s="21">
        <f t="shared" si="1"/>
        <v>127</v>
      </c>
    </row>
    <row r="15" spans="1:22" x14ac:dyDescent="0.35">
      <c r="A15" s="6" t="s">
        <v>34</v>
      </c>
      <c r="D15" s="6" t="s">
        <v>343</v>
      </c>
      <c r="E15" s="6">
        <v>2004</v>
      </c>
      <c r="F15" s="6">
        <v>1</v>
      </c>
      <c r="G15" s="6">
        <v>6</v>
      </c>
      <c r="H15" s="6">
        <v>2</v>
      </c>
      <c r="K15" s="6">
        <v>14</v>
      </c>
      <c r="L15" s="107">
        <v>45462</v>
      </c>
      <c r="M15">
        <v>30</v>
      </c>
      <c r="N15">
        <v>32</v>
      </c>
      <c r="O15">
        <v>35</v>
      </c>
      <c r="P15">
        <v>33</v>
      </c>
      <c r="S15" s="21">
        <f t="shared" si="0"/>
        <v>32.5</v>
      </c>
      <c r="T15" s="30">
        <v>0.25</v>
      </c>
      <c r="U15" s="21">
        <f t="shared" si="1"/>
        <v>130</v>
      </c>
    </row>
    <row r="16" spans="1:22" x14ac:dyDescent="0.35">
      <c r="A16" s="6" t="s">
        <v>34</v>
      </c>
      <c r="D16" s="6" t="s">
        <v>36</v>
      </c>
      <c r="E16" s="6">
        <v>1984</v>
      </c>
      <c r="F16" s="6">
        <v>1</v>
      </c>
      <c r="G16" s="6">
        <v>7</v>
      </c>
      <c r="H16" s="6">
        <v>2</v>
      </c>
      <c r="K16" s="6">
        <v>15</v>
      </c>
      <c r="L16" s="107">
        <v>45462</v>
      </c>
      <c r="M16">
        <v>29</v>
      </c>
      <c r="N16">
        <v>20</v>
      </c>
      <c r="O16">
        <v>22</v>
      </c>
      <c r="P16">
        <v>24</v>
      </c>
      <c r="S16" s="21">
        <f t="shared" si="0"/>
        <v>23.75</v>
      </c>
      <c r="T16" s="30">
        <v>0.25</v>
      </c>
      <c r="U16" s="21">
        <f t="shared" si="1"/>
        <v>95</v>
      </c>
    </row>
    <row r="17" spans="1:21" x14ac:dyDescent="0.35">
      <c r="A17" s="6" t="s">
        <v>34</v>
      </c>
      <c r="D17" s="6" t="s">
        <v>39</v>
      </c>
      <c r="E17" s="6">
        <v>2001</v>
      </c>
      <c r="F17" s="6">
        <v>1</v>
      </c>
      <c r="G17" s="6">
        <v>8</v>
      </c>
      <c r="H17" s="6">
        <v>2</v>
      </c>
      <c r="K17" s="6">
        <v>16</v>
      </c>
      <c r="L17" s="107">
        <v>45462</v>
      </c>
      <c r="M17">
        <v>20</v>
      </c>
      <c r="N17">
        <v>25</v>
      </c>
      <c r="O17">
        <v>18</v>
      </c>
      <c r="P17">
        <v>25</v>
      </c>
      <c r="S17" s="21">
        <f t="shared" si="0"/>
        <v>22</v>
      </c>
      <c r="T17" s="30">
        <v>0.25</v>
      </c>
      <c r="U17" s="21">
        <f t="shared" si="1"/>
        <v>88</v>
      </c>
    </row>
    <row r="18" spans="1:21" x14ac:dyDescent="0.35">
      <c r="A18" s="6" t="s">
        <v>24</v>
      </c>
      <c r="D18" s="6" t="s">
        <v>335</v>
      </c>
      <c r="E18" s="6">
        <v>2023</v>
      </c>
      <c r="F18" s="6">
        <v>2</v>
      </c>
      <c r="G18" s="6">
        <v>1</v>
      </c>
      <c r="H18" s="6">
        <v>3</v>
      </c>
      <c r="K18" s="6">
        <v>17</v>
      </c>
      <c r="L18" s="106">
        <v>45421</v>
      </c>
      <c r="M18">
        <v>42</v>
      </c>
      <c r="N18">
        <v>48</v>
      </c>
      <c r="O18">
        <v>43</v>
      </c>
      <c r="P18">
        <v>33</v>
      </c>
      <c r="S18" s="21">
        <f t="shared" si="0"/>
        <v>41.5</v>
      </c>
      <c r="T18" s="30">
        <v>0.25</v>
      </c>
      <c r="U18" s="21">
        <f t="shared" si="1"/>
        <v>166</v>
      </c>
    </row>
    <row r="19" spans="1:21" x14ac:dyDescent="0.35">
      <c r="A19" s="6" t="s">
        <v>24</v>
      </c>
      <c r="D19" s="6" t="s">
        <v>28</v>
      </c>
      <c r="E19" s="6">
        <v>1998</v>
      </c>
      <c r="F19" s="6">
        <v>2</v>
      </c>
      <c r="G19" s="6">
        <v>2</v>
      </c>
      <c r="H19" s="6">
        <v>3</v>
      </c>
      <c r="K19" s="6">
        <v>18</v>
      </c>
      <c r="L19" s="106">
        <v>45421</v>
      </c>
      <c r="M19">
        <v>39</v>
      </c>
      <c r="N19">
        <v>32</v>
      </c>
      <c r="O19">
        <v>36</v>
      </c>
      <c r="P19">
        <v>32</v>
      </c>
      <c r="S19" s="21">
        <f t="shared" si="0"/>
        <v>34.75</v>
      </c>
      <c r="T19" s="30">
        <v>0.25</v>
      </c>
      <c r="U19" s="21">
        <f t="shared" si="1"/>
        <v>139</v>
      </c>
    </row>
    <row r="20" spans="1:21" x14ac:dyDescent="0.35">
      <c r="A20" s="6" t="s">
        <v>24</v>
      </c>
      <c r="D20" s="6" t="s">
        <v>26</v>
      </c>
      <c r="E20" s="6">
        <v>1983</v>
      </c>
      <c r="F20" s="6">
        <v>2</v>
      </c>
      <c r="G20" s="6">
        <v>3</v>
      </c>
      <c r="H20" s="6">
        <v>3</v>
      </c>
      <c r="K20" s="6">
        <v>19</v>
      </c>
      <c r="L20" s="106">
        <v>45421</v>
      </c>
      <c r="M20">
        <v>43</v>
      </c>
      <c r="N20">
        <v>41</v>
      </c>
      <c r="O20">
        <v>28</v>
      </c>
      <c r="P20">
        <v>38</v>
      </c>
      <c r="S20" s="21">
        <f t="shared" si="0"/>
        <v>37.5</v>
      </c>
      <c r="T20" s="30">
        <v>0.25</v>
      </c>
      <c r="U20" s="21">
        <f t="shared" si="1"/>
        <v>150</v>
      </c>
    </row>
    <row r="21" spans="1:21" x14ac:dyDescent="0.35">
      <c r="A21" s="6" t="s">
        <v>24</v>
      </c>
      <c r="D21" s="6" t="s">
        <v>336</v>
      </c>
      <c r="E21" s="6">
        <v>2002</v>
      </c>
      <c r="F21" s="6">
        <v>2</v>
      </c>
      <c r="G21" s="6">
        <v>4</v>
      </c>
      <c r="H21" s="6">
        <v>3</v>
      </c>
      <c r="K21" s="6">
        <v>20</v>
      </c>
      <c r="L21" s="106">
        <v>45421</v>
      </c>
      <c r="M21">
        <v>40</v>
      </c>
      <c r="N21">
        <v>37</v>
      </c>
      <c r="O21">
        <v>38</v>
      </c>
      <c r="P21">
        <v>37</v>
      </c>
      <c r="S21" s="21">
        <f t="shared" si="0"/>
        <v>38</v>
      </c>
      <c r="T21" s="30">
        <v>0.25</v>
      </c>
      <c r="U21" s="21">
        <f t="shared" si="1"/>
        <v>152</v>
      </c>
    </row>
    <row r="22" spans="1:21" x14ac:dyDescent="0.35">
      <c r="A22" s="6" t="s">
        <v>24</v>
      </c>
      <c r="D22" s="6" t="s">
        <v>29</v>
      </c>
      <c r="E22" s="6">
        <v>1999</v>
      </c>
      <c r="F22" s="6">
        <v>2</v>
      </c>
      <c r="G22" s="6">
        <v>5</v>
      </c>
      <c r="H22" s="6">
        <v>3</v>
      </c>
      <c r="K22" s="6">
        <v>21</v>
      </c>
      <c r="L22" s="106">
        <v>45421</v>
      </c>
      <c r="M22">
        <v>30</v>
      </c>
      <c r="N22">
        <v>29</v>
      </c>
      <c r="O22">
        <v>34</v>
      </c>
      <c r="P22">
        <v>33</v>
      </c>
      <c r="S22" s="21">
        <f t="shared" si="0"/>
        <v>31.5</v>
      </c>
      <c r="T22" s="30">
        <v>0.25</v>
      </c>
      <c r="U22" s="21">
        <f t="shared" si="1"/>
        <v>126</v>
      </c>
    </row>
    <row r="23" spans="1:21" x14ac:dyDescent="0.35">
      <c r="A23" s="6" t="s">
        <v>24</v>
      </c>
      <c r="D23" s="6" t="s">
        <v>337</v>
      </c>
      <c r="E23" s="6">
        <v>2016</v>
      </c>
      <c r="F23" s="6">
        <v>2</v>
      </c>
      <c r="G23" s="6">
        <v>6</v>
      </c>
      <c r="H23" s="6">
        <v>3</v>
      </c>
      <c r="K23" s="6">
        <v>22</v>
      </c>
      <c r="L23" s="106">
        <v>45421</v>
      </c>
      <c r="M23">
        <v>45</v>
      </c>
      <c r="N23">
        <v>28</v>
      </c>
      <c r="O23">
        <v>31</v>
      </c>
      <c r="P23">
        <v>34</v>
      </c>
      <c r="S23" s="21">
        <f t="shared" si="0"/>
        <v>34.5</v>
      </c>
      <c r="T23" s="30">
        <v>0.25</v>
      </c>
      <c r="U23" s="21">
        <f t="shared" si="1"/>
        <v>138</v>
      </c>
    </row>
    <row r="24" spans="1:21" x14ac:dyDescent="0.35">
      <c r="A24" s="6" t="s">
        <v>24</v>
      </c>
      <c r="D24" s="6" t="s">
        <v>32</v>
      </c>
      <c r="E24" s="6">
        <v>2018</v>
      </c>
      <c r="F24" s="6">
        <v>2</v>
      </c>
      <c r="G24" s="6">
        <v>7</v>
      </c>
      <c r="H24" s="6">
        <v>3</v>
      </c>
      <c r="K24" s="6">
        <v>23</v>
      </c>
      <c r="L24" s="106">
        <v>45421</v>
      </c>
      <c r="M24">
        <v>34</v>
      </c>
      <c r="N24">
        <v>23</v>
      </c>
      <c r="O24">
        <v>31</v>
      </c>
      <c r="P24">
        <v>29</v>
      </c>
      <c r="S24" s="21">
        <f t="shared" si="0"/>
        <v>29.25</v>
      </c>
      <c r="T24" s="30">
        <v>0.25</v>
      </c>
      <c r="U24" s="21">
        <f t="shared" si="1"/>
        <v>117</v>
      </c>
    </row>
    <row r="25" spans="1:21" x14ac:dyDescent="0.35">
      <c r="A25" s="6" t="s">
        <v>24</v>
      </c>
      <c r="D25" s="6" t="s">
        <v>27</v>
      </c>
      <c r="E25" s="6">
        <v>1985</v>
      </c>
      <c r="F25" s="6">
        <v>2</v>
      </c>
      <c r="G25" s="6">
        <v>8</v>
      </c>
      <c r="H25" s="6">
        <v>3</v>
      </c>
      <c r="K25" s="6">
        <v>24</v>
      </c>
      <c r="L25" s="106">
        <v>45421</v>
      </c>
      <c r="M25">
        <v>40</v>
      </c>
      <c r="N25">
        <v>33</v>
      </c>
      <c r="O25">
        <v>40</v>
      </c>
      <c r="P25">
        <v>26</v>
      </c>
      <c r="S25" s="21">
        <f t="shared" si="0"/>
        <v>34.75</v>
      </c>
      <c r="T25" s="30">
        <v>0.25</v>
      </c>
      <c r="U25" s="21">
        <f t="shared" si="1"/>
        <v>139</v>
      </c>
    </row>
    <row r="26" spans="1:21" x14ac:dyDescent="0.35">
      <c r="A26" s="6" t="s">
        <v>34</v>
      </c>
      <c r="D26" s="6" t="s">
        <v>343</v>
      </c>
      <c r="E26" s="6">
        <v>2004</v>
      </c>
      <c r="F26" s="6">
        <v>2</v>
      </c>
      <c r="G26" s="6">
        <v>1</v>
      </c>
      <c r="H26" s="6">
        <v>4</v>
      </c>
      <c r="K26" s="6">
        <v>25</v>
      </c>
      <c r="L26" s="107">
        <v>45462</v>
      </c>
      <c r="M26">
        <v>23</v>
      </c>
      <c r="N26">
        <v>28</v>
      </c>
      <c r="O26">
        <v>31</v>
      </c>
      <c r="P26">
        <v>29</v>
      </c>
      <c r="S26" s="21">
        <f t="shared" si="0"/>
        <v>27.75</v>
      </c>
      <c r="T26" s="30">
        <v>0.25</v>
      </c>
      <c r="U26" s="21">
        <f t="shared" si="1"/>
        <v>111</v>
      </c>
    </row>
    <row r="27" spans="1:21" x14ac:dyDescent="0.35">
      <c r="A27" s="6" t="s">
        <v>34</v>
      </c>
      <c r="D27" s="6" t="s">
        <v>43</v>
      </c>
      <c r="E27" s="6">
        <v>2020</v>
      </c>
      <c r="F27" s="6">
        <v>2</v>
      </c>
      <c r="G27" s="6">
        <v>2</v>
      </c>
      <c r="H27" s="6">
        <v>4</v>
      </c>
      <c r="K27" s="6">
        <v>26</v>
      </c>
      <c r="L27" s="107">
        <v>45462</v>
      </c>
      <c r="M27">
        <v>31</v>
      </c>
      <c r="N27">
        <v>33</v>
      </c>
      <c r="O27">
        <v>29</v>
      </c>
      <c r="P27">
        <v>37</v>
      </c>
      <c r="S27" s="21">
        <f t="shared" si="0"/>
        <v>32.5</v>
      </c>
      <c r="T27" s="30">
        <v>0.25</v>
      </c>
      <c r="U27" s="21">
        <f t="shared" si="1"/>
        <v>130</v>
      </c>
    </row>
    <row r="28" spans="1:21" x14ac:dyDescent="0.35">
      <c r="A28" s="6" t="s">
        <v>34</v>
      </c>
      <c r="D28" s="6" t="s">
        <v>38</v>
      </c>
      <c r="E28" s="6">
        <v>1999</v>
      </c>
      <c r="F28" s="6">
        <v>2</v>
      </c>
      <c r="G28" s="6">
        <v>3</v>
      </c>
      <c r="H28" s="6">
        <v>4</v>
      </c>
      <c r="K28" s="6">
        <v>27</v>
      </c>
      <c r="L28" s="107">
        <v>45462</v>
      </c>
      <c r="M28">
        <v>25</v>
      </c>
      <c r="N28">
        <v>23</v>
      </c>
      <c r="O28">
        <v>26</v>
      </c>
      <c r="P28">
        <v>33</v>
      </c>
      <c r="S28" s="21">
        <f t="shared" si="0"/>
        <v>26.75</v>
      </c>
      <c r="T28" s="30">
        <v>0.25</v>
      </c>
      <c r="U28" s="21">
        <f t="shared" si="1"/>
        <v>107</v>
      </c>
    </row>
    <row r="29" spans="1:21" x14ac:dyDescent="0.35">
      <c r="A29" s="6" t="s">
        <v>34</v>
      </c>
      <c r="D29" s="6" t="s">
        <v>39</v>
      </c>
      <c r="E29" s="6">
        <v>2001</v>
      </c>
      <c r="F29" s="6">
        <v>2</v>
      </c>
      <c r="G29" s="6">
        <v>4</v>
      </c>
      <c r="H29" s="6">
        <v>4</v>
      </c>
      <c r="K29" s="6">
        <v>28</v>
      </c>
      <c r="L29" s="107">
        <v>45462</v>
      </c>
      <c r="M29">
        <v>27</v>
      </c>
      <c r="N29">
        <v>18</v>
      </c>
      <c r="O29">
        <v>26</v>
      </c>
      <c r="P29">
        <v>25</v>
      </c>
      <c r="S29" s="21">
        <f t="shared" si="0"/>
        <v>24</v>
      </c>
      <c r="T29" s="30">
        <v>0.25</v>
      </c>
      <c r="U29" s="21">
        <f t="shared" si="1"/>
        <v>96</v>
      </c>
    </row>
    <row r="30" spans="1:21" x14ac:dyDescent="0.35">
      <c r="A30" s="6" t="s">
        <v>34</v>
      </c>
      <c r="D30" s="6" t="s">
        <v>42</v>
      </c>
      <c r="E30" s="6">
        <v>2016</v>
      </c>
      <c r="F30" s="6">
        <v>2</v>
      </c>
      <c r="G30" s="6">
        <v>5</v>
      </c>
      <c r="H30" s="6">
        <v>4</v>
      </c>
      <c r="K30" s="6">
        <v>29</v>
      </c>
      <c r="L30" s="107">
        <v>45462</v>
      </c>
      <c r="M30">
        <v>21</v>
      </c>
      <c r="N30">
        <v>28</v>
      </c>
      <c r="O30">
        <v>26</v>
      </c>
      <c r="P30">
        <v>27</v>
      </c>
      <c r="S30" s="21">
        <f t="shared" si="0"/>
        <v>25.5</v>
      </c>
      <c r="T30" s="30">
        <v>0.25</v>
      </c>
      <c r="U30" s="21">
        <f t="shared" si="1"/>
        <v>102</v>
      </c>
    </row>
    <row r="31" spans="1:21" x14ac:dyDescent="0.35">
      <c r="A31" s="6" t="s">
        <v>34</v>
      </c>
      <c r="D31" s="6" t="s">
        <v>36</v>
      </c>
      <c r="E31" s="6">
        <v>1984</v>
      </c>
      <c r="F31" s="6">
        <v>2</v>
      </c>
      <c r="G31" s="6">
        <v>6</v>
      </c>
      <c r="H31" s="6">
        <v>4</v>
      </c>
      <c r="K31" s="6">
        <v>30</v>
      </c>
      <c r="L31" s="107">
        <v>45462</v>
      </c>
      <c r="M31">
        <v>35</v>
      </c>
      <c r="N31">
        <v>31</v>
      </c>
      <c r="O31">
        <v>28</v>
      </c>
      <c r="P31">
        <v>25</v>
      </c>
      <c r="S31" s="21">
        <f t="shared" si="0"/>
        <v>29.75</v>
      </c>
      <c r="T31" s="30">
        <v>0.25</v>
      </c>
      <c r="U31" s="21">
        <f t="shared" si="1"/>
        <v>119</v>
      </c>
    </row>
    <row r="32" spans="1:21" x14ac:dyDescent="0.35">
      <c r="A32" s="6" t="s">
        <v>34</v>
      </c>
      <c r="D32" s="6" t="s">
        <v>41</v>
      </c>
      <c r="E32" s="6">
        <v>2008</v>
      </c>
      <c r="F32" s="6">
        <v>2</v>
      </c>
      <c r="G32" s="6">
        <v>7</v>
      </c>
      <c r="H32" s="6">
        <v>4</v>
      </c>
      <c r="K32" s="6">
        <v>31</v>
      </c>
      <c r="L32" s="107">
        <v>45462</v>
      </c>
      <c r="M32">
        <v>26</v>
      </c>
      <c r="N32">
        <v>39</v>
      </c>
      <c r="O32">
        <v>33</v>
      </c>
      <c r="P32">
        <v>33</v>
      </c>
      <c r="S32" s="21">
        <f t="shared" si="0"/>
        <v>32.75</v>
      </c>
      <c r="T32" s="30">
        <v>0.25</v>
      </c>
      <c r="U32" s="21">
        <f t="shared" si="1"/>
        <v>131</v>
      </c>
    </row>
    <row r="33" spans="1:21" x14ac:dyDescent="0.35">
      <c r="A33" s="6" t="s">
        <v>34</v>
      </c>
      <c r="D33" s="6" t="s">
        <v>37</v>
      </c>
      <c r="E33" s="6">
        <v>1989</v>
      </c>
      <c r="F33" s="6">
        <v>2</v>
      </c>
      <c r="G33" s="6">
        <v>8</v>
      </c>
      <c r="H33" s="6">
        <v>4</v>
      </c>
      <c r="K33" s="6">
        <v>32</v>
      </c>
      <c r="L33" s="107">
        <v>45462</v>
      </c>
      <c r="M33">
        <v>30</v>
      </c>
      <c r="N33">
        <v>26</v>
      </c>
      <c r="O33">
        <v>27</v>
      </c>
      <c r="P33">
        <v>33</v>
      </c>
      <c r="S33" s="21">
        <f t="shared" si="0"/>
        <v>29</v>
      </c>
      <c r="T33" s="30">
        <v>0.25</v>
      </c>
      <c r="U33" s="21">
        <f t="shared" si="1"/>
        <v>116</v>
      </c>
    </row>
    <row r="34" spans="1:21" x14ac:dyDescent="0.35">
      <c r="A34" s="6" t="s">
        <v>24</v>
      </c>
      <c r="D34" s="6" t="s">
        <v>336</v>
      </c>
      <c r="E34" s="6">
        <v>2002</v>
      </c>
      <c r="F34" s="6">
        <v>3</v>
      </c>
      <c r="G34" s="6">
        <v>1</v>
      </c>
      <c r="H34" s="6">
        <v>5</v>
      </c>
      <c r="K34" s="6">
        <v>33</v>
      </c>
      <c r="L34" s="106">
        <v>45421</v>
      </c>
      <c r="M34">
        <v>40</v>
      </c>
      <c r="N34">
        <v>31</v>
      </c>
      <c r="O34">
        <v>30</v>
      </c>
      <c r="P34">
        <v>49</v>
      </c>
      <c r="S34" s="21">
        <f t="shared" si="0"/>
        <v>37.5</v>
      </c>
      <c r="T34" s="30">
        <v>0.25</v>
      </c>
      <c r="U34" s="21">
        <f t="shared" si="1"/>
        <v>150</v>
      </c>
    </row>
    <row r="35" spans="1:21" x14ac:dyDescent="0.35">
      <c r="A35" s="6" t="s">
        <v>24</v>
      </c>
      <c r="D35" s="6" t="s">
        <v>337</v>
      </c>
      <c r="E35" s="6">
        <v>2016</v>
      </c>
      <c r="F35" s="6">
        <v>3</v>
      </c>
      <c r="G35" s="6">
        <v>2</v>
      </c>
      <c r="H35" s="6">
        <v>5</v>
      </c>
      <c r="K35" s="6">
        <v>34</v>
      </c>
      <c r="L35" s="106">
        <v>45421</v>
      </c>
      <c r="M35">
        <v>30</v>
      </c>
      <c r="N35">
        <v>32</v>
      </c>
      <c r="O35">
        <v>23</v>
      </c>
      <c r="P35">
        <v>37</v>
      </c>
      <c r="S35" s="21">
        <f t="shared" si="0"/>
        <v>30.5</v>
      </c>
      <c r="T35" s="30">
        <v>0.25</v>
      </c>
      <c r="U35" s="21">
        <f t="shared" si="1"/>
        <v>122</v>
      </c>
    </row>
    <row r="36" spans="1:21" x14ac:dyDescent="0.35">
      <c r="A36" s="6" t="s">
        <v>24</v>
      </c>
      <c r="D36" s="6" t="s">
        <v>32</v>
      </c>
      <c r="E36" s="6">
        <v>2018</v>
      </c>
      <c r="F36" s="6">
        <v>3</v>
      </c>
      <c r="G36" s="6">
        <v>3</v>
      </c>
      <c r="H36" s="6">
        <v>5</v>
      </c>
      <c r="K36" s="6">
        <v>35</v>
      </c>
      <c r="L36" s="106">
        <v>45421</v>
      </c>
      <c r="M36">
        <v>42</v>
      </c>
      <c r="N36">
        <v>34</v>
      </c>
      <c r="O36">
        <v>27</v>
      </c>
      <c r="P36">
        <v>37</v>
      </c>
      <c r="S36" s="21">
        <f t="shared" si="0"/>
        <v>35</v>
      </c>
      <c r="T36" s="30">
        <v>0.25</v>
      </c>
      <c r="U36" s="21">
        <f t="shared" si="1"/>
        <v>140</v>
      </c>
    </row>
    <row r="37" spans="1:21" x14ac:dyDescent="0.35">
      <c r="A37" s="6" t="s">
        <v>24</v>
      </c>
      <c r="D37" s="6" t="s">
        <v>28</v>
      </c>
      <c r="E37" s="6">
        <v>1998</v>
      </c>
      <c r="F37" s="6">
        <v>3</v>
      </c>
      <c r="G37" s="6">
        <v>4</v>
      </c>
      <c r="H37" s="6">
        <v>5</v>
      </c>
      <c r="K37" s="6">
        <v>36</v>
      </c>
      <c r="L37" s="106">
        <v>45421</v>
      </c>
      <c r="M37">
        <v>38</v>
      </c>
      <c r="N37">
        <v>30</v>
      </c>
      <c r="O37">
        <v>38</v>
      </c>
      <c r="P37">
        <v>31</v>
      </c>
      <c r="S37" s="21">
        <f t="shared" si="0"/>
        <v>34.25</v>
      </c>
      <c r="T37" s="30">
        <v>0.25</v>
      </c>
      <c r="U37" s="21">
        <f t="shared" si="1"/>
        <v>137</v>
      </c>
    </row>
    <row r="38" spans="1:21" x14ac:dyDescent="0.35">
      <c r="A38" s="6" t="s">
        <v>24</v>
      </c>
      <c r="D38" s="6" t="s">
        <v>27</v>
      </c>
      <c r="E38" s="6">
        <v>1985</v>
      </c>
      <c r="F38" s="6">
        <v>3</v>
      </c>
      <c r="G38" s="6">
        <v>5</v>
      </c>
      <c r="H38" s="6">
        <v>5</v>
      </c>
      <c r="K38" s="6">
        <v>37</v>
      </c>
      <c r="L38" s="106">
        <v>45421</v>
      </c>
      <c r="M38">
        <v>35</v>
      </c>
      <c r="N38">
        <v>33</v>
      </c>
      <c r="O38">
        <v>35</v>
      </c>
      <c r="P38">
        <v>44</v>
      </c>
      <c r="S38" s="21">
        <f t="shared" si="0"/>
        <v>36.75</v>
      </c>
      <c r="T38" s="30">
        <v>0.25</v>
      </c>
      <c r="U38" s="21">
        <f t="shared" si="1"/>
        <v>147</v>
      </c>
    </row>
    <row r="39" spans="1:21" x14ac:dyDescent="0.35">
      <c r="A39" s="6" t="s">
        <v>24</v>
      </c>
      <c r="D39" s="6" t="s">
        <v>335</v>
      </c>
      <c r="E39" s="6">
        <v>2023</v>
      </c>
      <c r="F39" s="6">
        <v>3</v>
      </c>
      <c r="G39" s="6">
        <v>6</v>
      </c>
      <c r="H39" s="6">
        <v>5</v>
      </c>
      <c r="K39" s="6">
        <v>38</v>
      </c>
      <c r="L39" s="106">
        <v>45421</v>
      </c>
      <c r="M39">
        <v>30</v>
      </c>
      <c r="N39">
        <v>27</v>
      </c>
      <c r="O39">
        <v>25</v>
      </c>
      <c r="P39">
        <v>31</v>
      </c>
      <c r="S39" s="21">
        <f t="shared" si="0"/>
        <v>28.25</v>
      </c>
      <c r="T39" s="30">
        <v>0.25</v>
      </c>
      <c r="U39" s="21">
        <f t="shared" si="1"/>
        <v>113</v>
      </c>
    </row>
    <row r="40" spans="1:21" x14ac:dyDescent="0.35">
      <c r="A40" s="6" t="s">
        <v>24</v>
      </c>
      <c r="D40" s="6" t="s">
        <v>29</v>
      </c>
      <c r="E40" s="6">
        <v>1999</v>
      </c>
      <c r="F40" s="6">
        <v>3</v>
      </c>
      <c r="G40" s="6">
        <v>7</v>
      </c>
      <c r="H40" s="6">
        <v>5</v>
      </c>
      <c r="K40" s="6">
        <v>39</v>
      </c>
      <c r="L40" s="106">
        <v>45421</v>
      </c>
      <c r="M40">
        <v>38</v>
      </c>
      <c r="N40">
        <v>38</v>
      </c>
      <c r="O40">
        <v>32</v>
      </c>
      <c r="P40">
        <v>36</v>
      </c>
      <c r="S40" s="21">
        <f t="shared" si="0"/>
        <v>36</v>
      </c>
      <c r="T40" s="30">
        <v>0.25</v>
      </c>
      <c r="U40" s="21">
        <f t="shared" si="1"/>
        <v>144</v>
      </c>
    </row>
    <row r="41" spans="1:21" x14ac:dyDescent="0.35">
      <c r="A41" s="6" t="s">
        <v>24</v>
      </c>
      <c r="D41" s="6" t="s">
        <v>26</v>
      </c>
      <c r="E41" s="6">
        <v>1983</v>
      </c>
      <c r="F41" s="6">
        <v>3</v>
      </c>
      <c r="G41" s="6">
        <v>8</v>
      </c>
      <c r="H41" s="6">
        <v>5</v>
      </c>
      <c r="K41" s="6">
        <v>40</v>
      </c>
      <c r="L41" s="106">
        <v>45421</v>
      </c>
      <c r="M41">
        <v>44</v>
      </c>
      <c r="N41">
        <v>42</v>
      </c>
      <c r="O41">
        <v>35</v>
      </c>
      <c r="P41">
        <v>33</v>
      </c>
      <c r="S41" s="21">
        <f t="shared" si="0"/>
        <v>38.5</v>
      </c>
      <c r="T41" s="30">
        <v>0.25</v>
      </c>
      <c r="U41" s="21">
        <f t="shared" si="1"/>
        <v>154</v>
      </c>
    </row>
    <row r="42" spans="1:21" x14ac:dyDescent="0.35">
      <c r="A42" s="6" t="s">
        <v>34</v>
      </c>
      <c r="D42" s="6" t="s">
        <v>41</v>
      </c>
      <c r="E42" s="6">
        <v>2008</v>
      </c>
      <c r="F42" s="6">
        <v>3</v>
      </c>
      <c r="G42" s="6">
        <v>1</v>
      </c>
      <c r="H42" s="6">
        <v>6</v>
      </c>
      <c r="K42" s="6">
        <v>41</v>
      </c>
      <c r="L42" s="107">
        <v>45462</v>
      </c>
      <c r="M42">
        <v>30</v>
      </c>
      <c r="N42">
        <v>29</v>
      </c>
      <c r="O42">
        <v>21</v>
      </c>
      <c r="P42">
        <v>27</v>
      </c>
      <c r="S42" s="21">
        <f t="shared" si="0"/>
        <v>26.75</v>
      </c>
      <c r="T42" s="30">
        <v>0.25</v>
      </c>
      <c r="U42" s="21">
        <f t="shared" si="1"/>
        <v>107</v>
      </c>
    </row>
    <row r="43" spans="1:21" x14ac:dyDescent="0.35">
      <c r="A43" s="6" t="s">
        <v>34</v>
      </c>
      <c r="D43" s="6" t="s">
        <v>36</v>
      </c>
      <c r="E43" s="6">
        <v>1984</v>
      </c>
      <c r="F43" s="6">
        <v>3</v>
      </c>
      <c r="G43" s="6">
        <v>2</v>
      </c>
      <c r="H43" s="6">
        <v>6</v>
      </c>
      <c r="K43" s="6">
        <v>42</v>
      </c>
      <c r="L43" s="107">
        <v>45462</v>
      </c>
      <c r="M43">
        <v>28</v>
      </c>
      <c r="N43">
        <v>20</v>
      </c>
      <c r="O43">
        <v>26</v>
      </c>
      <c r="P43">
        <v>30</v>
      </c>
      <c r="S43" s="21">
        <f t="shared" si="0"/>
        <v>26</v>
      </c>
      <c r="T43" s="30">
        <v>0.25</v>
      </c>
      <c r="U43" s="21">
        <f t="shared" si="1"/>
        <v>104</v>
      </c>
    </row>
    <row r="44" spans="1:21" x14ac:dyDescent="0.35">
      <c r="A44" s="6" t="s">
        <v>34</v>
      </c>
      <c r="D44" s="6" t="s">
        <v>37</v>
      </c>
      <c r="E44" s="6">
        <v>1989</v>
      </c>
      <c r="F44" s="6">
        <v>3</v>
      </c>
      <c r="G44" s="6">
        <v>3</v>
      </c>
      <c r="H44" s="6">
        <v>6</v>
      </c>
      <c r="K44" s="6">
        <v>43</v>
      </c>
      <c r="L44" s="107">
        <v>45462</v>
      </c>
      <c r="M44">
        <v>28</v>
      </c>
      <c r="N44">
        <v>28</v>
      </c>
      <c r="O44">
        <v>39</v>
      </c>
      <c r="P44">
        <v>32</v>
      </c>
      <c r="S44" s="21">
        <f t="shared" si="0"/>
        <v>31.75</v>
      </c>
      <c r="T44" s="30">
        <v>0.25</v>
      </c>
      <c r="U44" s="21">
        <f t="shared" si="1"/>
        <v>127</v>
      </c>
    </row>
    <row r="45" spans="1:21" x14ac:dyDescent="0.35">
      <c r="A45" s="6" t="s">
        <v>34</v>
      </c>
      <c r="D45" s="6" t="s">
        <v>42</v>
      </c>
      <c r="E45" s="6">
        <v>2016</v>
      </c>
      <c r="F45" s="6">
        <v>3</v>
      </c>
      <c r="G45" s="6">
        <v>4</v>
      </c>
      <c r="H45" s="6">
        <v>6</v>
      </c>
      <c r="K45" s="6">
        <v>44</v>
      </c>
      <c r="L45" s="107">
        <v>45462</v>
      </c>
      <c r="M45">
        <v>28</v>
      </c>
      <c r="N45">
        <v>20</v>
      </c>
      <c r="O45">
        <v>24</v>
      </c>
      <c r="P45">
        <v>22</v>
      </c>
      <c r="S45" s="21">
        <f t="shared" si="0"/>
        <v>23.5</v>
      </c>
      <c r="T45" s="30">
        <v>0.25</v>
      </c>
      <c r="U45" s="21">
        <f t="shared" si="1"/>
        <v>94</v>
      </c>
    </row>
    <row r="46" spans="1:21" x14ac:dyDescent="0.35">
      <c r="A46" s="6" t="s">
        <v>34</v>
      </c>
      <c r="D46" s="6" t="s">
        <v>43</v>
      </c>
      <c r="E46" s="6">
        <v>2020</v>
      </c>
      <c r="F46" s="6">
        <v>3</v>
      </c>
      <c r="G46" s="6">
        <v>5</v>
      </c>
      <c r="H46" s="6">
        <v>6</v>
      </c>
      <c r="K46" s="6">
        <v>45</v>
      </c>
      <c r="L46" s="107">
        <v>45462</v>
      </c>
      <c r="M46">
        <v>26</v>
      </c>
      <c r="N46">
        <v>34</v>
      </c>
      <c r="O46">
        <v>24</v>
      </c>
      <c r="P46">
        <v>37</v>
      </c>
      <c r="S46" s="21">
        <f t="shared" si="0"/>
        <v>30.25</v>
      </c>
      <c r="T46" s="30">
        <v>0.25</v>
      </c>
      <c r="U46" s="21">
        <f t="shared" si="1"/>
        <v>121</v>
      </c>
    </row>
    <row r="47" spans="1:21" x14ac:dyDescent="0.35">
      <c r="A47" s="6" t="s">
        <v>34</v>
      </c>
      <c r="D47" s="6" t="s">
        <v>39</v>
      </c>
      <c r="E47" s="6">
        <v>2001</v>
      </c>
      <c r="F47" s="6">
        <v>3</v>
      </c>
      <c r="G47" s="6">
        <v>6</v>
      </c>
      <c r="H47" s="6">
        <v>6</v>
      </c>
      <c r="K47" s="6">
        <v>46</v>
      </c>
      <c r="L47" s="107">
        <v>45462</v>
      </c>
      <c r="M47">
        <v>25</v>
      </c>
      <c r="N47">
        <v>34</v>
      </c>
      <c r="O47">
        <v>25</v>
      </c>
      <c r="P47">
        <v>23</v>
      </c>
      <c r="S47" s="21">
        <f t="shared" si="0"/>
        <v>26.75</v>
      </c>
      <c r="T47" s="30">
        <v>0.25</v>
      </c>
      <c r="U47" s="21">
        <f t="shared" si="1"/>
        <v>107</v>
      </c>
    </row>
    <row r="48" spans="1:21" x14ac:dyDescent="0.35">
      <c r="A48" s="6" t="s">
        <v>34</v>
      </c>
      <c r="D48" s="6" t="s">
        <v>38</v>
      </c>
      <c r="E48" s="6">
        <v>1999</v>
      </c>
      <c r="F48" s="6">
        <v>3</v>
      </c>
      <c r="G48" s="6">
        <v>7</v>
      </c>
      <c r="H48" s="6">
        <v>6</v>
      </c>
      <c r="K48" s="6">
        <v>47</v>
      </c>
      <c r="L48" s="107">
        <v>45462</v>
      </c>
      <c r="M48">
        <v>28</v>
      </c>
      <c r="N48">
        <v>19</v>
      </c>
      <c r="O48">
        <v>26</v>
      </c>
      <c r="P48">
        <v>21</v>
      </c>
      <c r="S48" s="21">
        <f t="shared" si="0"/>
        <v>23.5</v>
      </c>
      <c r="T48" s="30">
        <v>0.25</v>
      </c>
      <c r="U48" s="21">
        <f t="shared" si="1"/>
        <v>94</v>
      </c>
    </row>
    <row r="49" spans="1:21" x14ac:dyDescent="0.35">
      <c r="A49" s="6" t="s">
        <v>34</v>
      </c>
      <c r="D49" s="6" t="s">
        <v>343</v>
      </c>
      <c r="E49" s="6">
        <v>2004</v>
      </c>
      <c r="F49" s="6">
        <v>3</v>
      </c>
      <c r="G49" s="6">
        <v>8</v>
      </c>
      <c r="H49" s="6">
        <v>6</v>
      </c>
      <c r="K49" s="6">
        <v>48</v>
      </c>
      <c r="L49" s="107">
        <v>45462</v>
      </c>
      <c r="M49">
        <v>14</v>
      </c>
      <c r="N49">
        <v>20</v>
      </c>
      <c r="O49">
        <v>22</v>
      </c>
      <c r="P49">
        <v>26</v>
      </c>
      <c r="S49" s="21">
        <f t="shared" si="0"/>
        <v>20.5</v>
      </c>
      <c r="T49" s="30">
        <v>0.25</v>
      </c>
      <c r="U49" s="21">
        <f t="shared" si="1"/>
        <v>82</v>
      </c>
    </row>
    <row r="50" spans="1:21" x14ac:dyDescent="0.35">
      <c r="A50" s="6" t="s">
        <v>24</v>
      </c>
      <c r="D50" s="6" t="s">
        <v>32</v>
      </c>
      <c r="E50" s="6">
        <v>2018</v>
      </c>
      <c r="F50" s="6">
        <v>4</v>
      </c>
      <c r="G50" s="6">
        <v>1</v>
      </c>
      <c r="H50" s="6">
        <v>7</v>
      </c>
      <c r="K50" s="6">
        <v>49</v>
      </c>
      <c r="L50" s="106">
        <v>45421</v>
      </c>
      <c r="M50">
        <v>32</v>
      </c>
      <c r="N50">
        <v>30</v>
      </c>
      <c r="O50">
        <v>41</v>
      </c>
      <c r="P50">
        <v>43</v>
      </c>
      <c r="S50" s="21">
        <f t="shared" si="0"/>
        <v>36.5</v>
      </c>
      <c r="T50" s="30">
        <v>0.25</v>
      </c>
      <c r="U50" s="21">
        <f t="shared" si="1"/>
        <v>146</v>
      </c>
    </row>
    <row r="51" spans="1:21" x14ac:dyDescent="0.35">
      <c r="A51" s="71" t="s">
        <v>24</v>
      </c>
      <c r="B51" s="71"/>
      <c r="C51" s="72"/>
      <c r="D51" s="71" t="s">
        <v>29</v>
      </c>
      <c r="E51" s="71">
        <v>1999</v>
      </c>
      <c r="F51" s="72">
        <v>4</v>
      </c>
      <c r="G51" s="72">
        <v>2</v>
      </c>
      <c r="H51" s="72">
        <v>7</v>
      </c>
      <c r="I51" s="73"/>
      <c r="J51" s="73"/>
      <c r="K51" s="72">
        <v>50</v>
      </c>
      <c r="L51" s="106">
        <v>45421</v>
      </c>
      <c r="M51">
        <v>28</v>
      </c>
      <c r="N51">
        <v>31</v>
      </c>
      <c r="O51">
        <v>33</v>
      </c>
      <c r="P51">
        <v>29</v>
      </c>
      <c r="S51" s="21">
        <f t="shared" si="0"/>
        <v>30.25</v>
      </c>
      <c r="T51" s="30">
        <v>0.25</v>
      </c>
      <c r="U51" s="21">
        <f t="shared" si="1"/>
        <v>121</v>
      </c>
    </row>
    <row r="52" spans="1:21" x14ac:dyDescent="0.35">
      <c r="A52" s="6" t="s">
        <v>24</v>
      </c>
      <c r="D52" s="6" t="s">
        <v>337</v>
      </c>
      <c r="E52" s="6">
        <v>2016</v>
      </c>
      <c r="F52" s="6">
        <v>4</v>
      </c>
      <c r="G52" s="6">
        <v>3</v>
      </c>
      <c r="H52" s="6">
        <v>7</v>
      </c>
      <c r="K52" s="6">
        <v>51</v>
      </c>
      <c r="L52" s="106">
        <v>45421</v>
      </c>
      <c r="M52">
        <v>37</v>
      </c>
      <c r="N52">
        <v>37</v>
      </c>
      <c r="O52">
        <v>32</v>
      </c>
      <c r="P52">
        <v>41</v>
      </c>
      <c r="S52" s="21">
        <f t="shared" si="0"/>
        <v>36.75</v>
      </c>
      <c r="T52" s="30">
        <v>0.25</v>
      </c>
      <c r="U52" s="21">
        <f t="shared" si="1"/>
        <v>147</v>
      </c>
    </row>
    <row r="53" spans="1:21" x14ac:dyDescent="0.35">
      <c r="A53" s="6" t="s">
        <v>24</v>
      </c>
      <c r="D53" s="6" t="s">
        <v>27</v>
      </c>
      <c r="E53" s="6">
        <v>1985</v>
      </c>
      <c r="F53" s="6">
        <v>4</v>
      </c>
      <c r="G53" s="6">
        <v>4</v>
      </c>
      <c r="H53" s="6">
        <v>7</v>
      </c>
      <c r="K53" s="6">
        <v>52</v>
      </c>
      <c r="L53" s="106">
        <v>45421</v>
      </c>
      <c r="M53">
        <v>38</v>
      </c>
      <c r="N53">
        <v>30</v>
      </c>
      <c r="O53">
        <v>35</v>
      </c>
      <c r="P53">
        <v>38</v>
      </c>
      <c r="S53" s="21">
        <f t="shared" si="0"/>
        <v>35.25</v>
      </c>
      <c r="T53" s="30">
        <v>0.25</v>
      </c>
      <c r="U53" s="21">
        <f t="shared" si="1"/>
        <v>141</v>
      </c>
    </row>
    <row r="54" spans="1:21" x14ac:dyDescent="0.35">
      <c r="A54" s="6" t="s">
        <v>24</v>
      </c>
      <c r="D54" s="6" t="s">
        <v>28</v>
      </c>
      <c r="E54" s="6">
        <v>1998</v>
      </c>
      <c r="F54" s="6">
        <v>4</v>
      </c>
      <c r="G54" s="6">
        <v>5</v>
      </c>
      <c r="H54" s="6">
        <v>7</v>
      </c>
      <c r="K54" s="6">
        <v>53</v>
      </c>
      <c r="L54" s="106">
        <v>45421</v>
      </c>
      <c r="M54">
        <v>32</v>
      </c>
      <c r="N54">
        <v>26</v>
      </c>
      <c r="O54">
        <v>34</v>
      </c>
      <c r="P54">
        <v>32</v>
      </c>
      <c r="S54" s="21">
        <f t="shared" si="0"/>
        <v>31</v>
      </c>
      <c r="T54" s="30">
        <v>0.25</v>
      </c>
      <c r="U54" s="21">
        <f t="shared" si="1"/>
        <v>124</v>
      </c>
    </row>
    <row r="55" spans="1:21" x14ac:dyDescent="0.35">
      <c r="A55" s="6" t="s">
        <v>24</v>
      </c>
      <c r="D55" s="6" t="s">
        <v>26</v>
      </c>
      <c r="E55" s="6">
        <v>1983</v>
      </c>
      <c r="F55" s="6">
        <v>4</v>
      </c>
      <c r="G55" s="6">
        <v>6</v>
      </c>
      <c r="H55" s="6">
        <v>7</v>
      </c>
      <c r="K55" s="6">
        <v>54</v>
      </c>
      <c r="L55" s="106">
        <v>45421</v>
      </c>
      <c r="M55">
        <v>38</v>
      </c>
      <c r="N55">
        <v>42</v>
      </c>
      <c r="O55">
        <v>40</v>
      </c>
      <c r="P55">
        <v>43</v>
      </c>
      <c r="S55" s="21">
        <f t="shared" si="0"/>
        <v>40.75</v>
      </c>
      <c r="T55" s="30">
        <v>0.25</v>
      </c>
      <c r="U55" s="21">
        <f t="shared" si="1"/>
        <v>163</v>
      </c>
    </row>
    <row r="56" spans="1:21" x14ac:dyDescent="0.35">
      <c r="A56" s="6" t="s">
        <v>24</v>
      </c>
      <c r="D56" s="6" t="s">
        <v>335</v>
      </c>
      <c r="E56" s="6">
        <v>2023</v>
      </c>
      <c r="F56" s="6">
        <v>4</v>
      </c>
      <c r="G56" s="6">
        <v>7</v>
      </c>
      <c r="H56" s="6">
        <v>7</v>
      </c>
      <c r="K56" s="6">
        <v>55</v>
      </c>
      <c r="L56" s="106">
        <v>45421</v>
      </c>
      <c r="M56">
        <v>29</v>
      </c>
      <c r="N56">
        <v>38</v>
      </c>
      <c r="O56">
        <v>34</v>
      </c>
      <c r="P56">
        <v>28</v>
      </c>
      <c r="S56" s="21">
        <f t="shared" si="0"/>
        <v>32.25</v>
      </c>
      <c r="T56" s="30">
        <v>0.25</v>
      </c>
      <c r="U56" s="21">
        <f t="shared" si="1"/>
        <v>129</v>
      </c>
    </row>
    <row r="57" spans="1:21" x14ac:dyDescent="0.35">
      <c r="A57" s="6" t="s">
        <v>24</v>
      </c>
      <c r="D57" s="6" t="s">
        <v>336</v>
      </c>
      <c r="E57" s="6">
        <v>2002</v>
      </c>
      <c r="F57" s="6">
        <v>4</v>
      </c>
      <c r="G57" s="6">
        <v>8</v>
      </c>
      <c r="H57" s="6">
        <v>7</v>
      </c>
      <c r="K57" s="6">
        <v>56</v>
      </c>
      <c r="L57" s="106">
        <v>45421</v>
      </c>
      <c r="M57">
        <v>40</v>
      </c>
      <c r="N57">
        <v>42</v>
      </c>
      <c r="O57">
        <v>45</v>
      </c>
      <c r="P57">
        <v>36</v>
      </c>
      <c r="S57" s="21">
        <f t="shared" si="0"/>
        <v>40.75</v>
      </c>
      <c r="T57" s="30">
        <v>0.25</v>
      </c>
      <c r="U57" s="21">
        <f t="shared" si="1"/>
        <v>163</v>
      </c>
    </row>
    <row r="58" spans="1:21" x14ac:dyDescent="0.35">
      <c r="A58" s="6" t="s">
        <v>34</v>
      </c>
      <c r="D58" s="6" t="s">
        <v>39</v>
      </c>
      <c r="E58" s="6">
        <v>2001</v>
      </c>
      <c r="F58" s="6">
        <v>4</v>
      </c>
      <c r="G58" s="6">
        <v>1</v>
      </c>
      <c r="H58" s="6">
        <v>8</v>
      </c>
      <c r="K58" s="6">
        <v>57</v>
      </c>
      <c r="L58" s="107">
        <v>45462</v>
      </c>
      <c r="M58">
        <v>24</v>
      </c>
      <c r="N58">
        <v>36</v>
      </c>
      <c r="O58">
        <v>21</v>
      </c>
      <c r="P58">
        <v>14</v>
      </c>
      <c r="S58" s="21">
        <f t="shared" si="0"/>
        <v>23.75</v>
      </c>
      <c r="T58" s="30">
        <v>0.25</v>
      </c>
      <c r="U58" s="21">
        <f t="shared" si="1"/>
        <v>95</v>
      </c>
    </row>
    <row r="59" spans="1:21" x14ac:dyDescent="0.35">
      <c r="A59" s="6" t="s">
        <v>34</v>
      </c>
      <c r="D59" s="6" t="s">
        <v>37</v>
      </c>
      <c r="E59" s="6">
        <v>1989</v>
      </c>
      <c r="F59" s="6">
        <v>4</v>
      </c>
      <c r="G59" s="6">
        <v>2</v>
      </c>
      <c r="H59" s="6">
        <v>8</v>
      </c>
      <c r="K59" s="6">
        <v>58</v>
      </c>
      <c r="L59" s="107">
        <v>45462</v>
      </c>
      <c r="M59">
        <v>23</v>
      </c>
      <c r="N59">
        <v>33</v>
      </c>
      <c r="O59">
        <v>25</v>
      </c>
      <c r="P59">
        <v>25</v>
      </c>
      <c r="S59" s="21">
        <f t="shared" si="0"/>
        <v>26.5</v>
      </c>
      <c r="T59" s="30">
        <v>0.25</v>
      </c>
      <c r="U59" s="21">
        <f t="shared" si="1"/>
        <v>106</v>
      </c>
    </row>
    <row r="60" spans="1:21" x14ac:dyDescent="0.35">
      <c r="A60" s="6" t="s">
        <v>34</v>
      </c>
      <c r="D60" s="6" t="s">
        <v>36</v>
      </c>
      <c r="E60" s="6">
        <v>1984</v>
      </c>
      <c r="F60" s="6">
        <v>4</v>
      </c>
      <c r="G60" s="6">
        <v>3</v>
      </c>
      <c r="H60" s="6">
        <v>8</v>
      </c>
      <c r="K60" s="6">
        <v>59</v>
      </c>
      <c r="L60" s="107">
        <v>45462</v>
      </c>
      <c r="M60">
        <v>21</v>
      </c>
      <c r="N60">
        <v>28</v>
      </c>
      <c r="O60">
        <v>31</v>
      </c>
      <c r="P60">
        <v>36</v>
      </c>
      <c r="S60" s="21">
        <f t="shared" si="0"/>
        <v>29</v>
      </c>
      <c r="T60" s="30">
        <v>0.25</v>
      </c>
      <c r="U60" s="21">
        <f t="shared" si="1"/>
        <v>116</v>
      </c>
    </row>
    <row r="61" spans="1:21" x14ac:dyDescent="0.35">
      <c r="A61" s="6" t="s">
        <v>34</v>
      </c>
      <c r="D61" s="6" t="s">
        <v>343</v>
      </c>
      <c r="E61" s="6">
        <v>2004</v>
      </c>
      <c r="F61" s="6">
        <v>4</v>
      </c>
      <c r="G61" s="6">
        <v>4</v>
      </c>
      <c r="H61" s="6">
        <v>8</v>
      </c>
      <c r="K61" s="6">
        <v>60</v>
      </c>
      <c r="L61" s="107">
        <v>45462</v>
      </c>
      <c r="M61">
        <v>31</v>
      </c>
      <c r="N61">
        <v>25</v>
      </c>
      <c r="O61">
        <v>33</v>
      </c>
      <c r="P61">
        <v>32</v>
      </c>
      <c r="S61" s="21">
        <f t="shared" si="0"/>
        <v>30.25</v>
      </c>
      <c r="T61" s="30">
        <v>0.25</v>
      </c>
      <c r="U61" s="21">
        <f t="shared" si="1"/>
        <v>121</v>
      </c>
    </row>
    <row r="62" spans="1:21" x14ac:dyDescent="0.35">
      <c r="A62" s="6" t="s">
        <v>34</v>
      </c>
      <c r="D62" s="6" t="s">
        <v>41</v>
      </c>
      <c r="E62" s="6">
        <v>2008</v>
      </c>
      <c r="F62" s="6">
        <v>4</v>
      </c>
      <c r="G62" s="6">
        <v>5</v>
      </c>
      <c r="H62" s="6">
        <v>8</v>
      </c>
      <c r="K62" s="6">
        <v>61</v>
      </c>
      <c r="L62" s="107">
        <v>45462</v>
      </c>
      <c r="M62">
        <v>28</v>
      </c>
      <c r="N62">
        <v>28</v>
      </c>
      <c r="O62">
        <v>18</v>
      </c>
      <c r="P62">
        <v>26</v>
      </c>
      <c r="S62" s="21">
        <f t="shared" si="0"/>
        <v>25</v>
      </c>
      <c r="T62" s="30">
        <v>0.25</v>
      </c>
      <c r="U62" s="21">
        <f t="shared" si="1"/>
        <v>100</v>
      </c>
    </row>
    <row r="63" spans="1:21" x14ac:dyDescent="0.35">
      <c r="A63" s="6" t="s">
        <v>34</v>
      </c>
      <c r="D63" s="6" t="s">
        <v>38</v>
      </c>
      <c r="E63" s="6">
        <v>1999</v>
      </c>
      <c r="F63" s="6">
        <v>4</v>
      </c>
      <c r="G63" s="6">
        <v>6</v>
      </c>
      <c r="H63" s="6">
        <v>8</v>
      </c>
      <c r="K63" s="6">
        <v>62</v>
      </c>
      <c r="L63" s="107">
        <v>45462</v>
      </c>
      <c r="M63">
        <v>25</v>
      </c>
      <c r="N63">
        <v>32</v>
      </c>
      <c r="O63">
        <v>15</v>
      </c>
      <c r="P63">
        <v>29</v>
      </c>
      <c r="S63" s="21">
        <f t="shared" si="0"/>
        <v>25.25</v>
      </c>
      <c r="T63" s="30">
        <v>0.25</v>
      </c>
      <c r="U63" s="21">
        <f t="shared" si="1"/>
        <v>101</v>
      </c>
    </row>
    <row r="64" spans="1:21" x14ac:dyDescent="0.35">
      <c r="A64" s="6" t="s">
        <v>34</v>
      </c>
      <c r="D64" s="6" t="s">
        <v>42</v>
      </c>
      <c r="E64" s="6">
        <v>2016</v>
      </c>
      <c r="F64" s="6">
        <v>4</v>
      </c>
      <c r="G64" s="6">
        <v>7</v>
      </c>
      <c r="H64" s="6">
        <v>8</v>
      </c>
      <c r="K64" s="6">
        <v>63</v>
      </c>
      <c r="L64" s="107">
        <v>45462</v>
      </c>
      <c r="M64">
        <v>34</v>
      </c>
      <c r="N64">
        <v>27</v>
      </c>
      <c r="O64">
        <v>23</v>
      </c>
      <c r="P64">
        <v>25</v>
      </c>
      <c r="S64" s="21">
        <f t="shared" si="0"/>
        <v>27.25</v>
      </c>
      <c r="T64" s="30">
        <v>0.25</v>
      </c>
      <c r="U64" s="21">
        <f t="shared" si="1"/>
        <v>109</v>
      </c>
    </row>
    <row r="65" spans="1:21" x14ac:dyDescent="0.35">
      <c r="A65" s="6" t="s">
        <v>34</v>
      </c>
      <c r="D65" s="6" t="s">
        <v>43</v>
      </c>
      <c r="E65" s="6">
        <v>2020</v>
      </c>
      <c r="F65" s="6">
        <v>4</v>
      </c>
      <c r="G65" s="6">
        <v>8</v>
      </c>
      <c r="H65" s="6">
        <v>8</v>
      </c>
      <c r="K65" s="6">
        <v>64</v>
      </c>
      <c r="L65" s="107">
        <v>45462</v>
      </c>
      <c r="M65">
        <v>21</v>
      </c>
      <c r="N65">
        <v>22</v>
      </c>
      <c r="O65">
        <v>13</v>
      </c>
      <c r="P65">
        <v>24</v>
      </c>
      <c r="S65" s="21">
        <f t="shared" si="0"/>
        <v>20</v>
      </c>
      <c r="T65" s="30">
        <v>0.25</v>
      </c>
      <c r="U65" s="21">
        <f t="shared" si="1"/>
        <v>80</v>
      </c>
    </row>
    <row r="66" spans="1:21" x14ac:dyDescent="0.35">
      <c r="L66" s="6"/>
    </row>
    <row r="67" spans="1:21" x14ac:dyDescent="0.35">
      <c r="L67" s="6"/>
    </row>
    <row r="68" spans="1:21" x14ac:dyDescent="0.35">
      <c r="L68" s="6"/>
    </row>
    <row r="69" spans="1:21" x14ac:dyDescent="0.35">
      <c r="L69" s="6"/>
    </row>
    <row r="70" spans="1:21" x14ac:dyDescent="0.35">
      <c r="L70" s="6"/>
    </row>
    <row r="71" spans="1:21" x14ac:dyDescent="0.35">
      <c r="L71" s="6"/>
    </row>
    <row r="72" spans="1:21" x14ac:dyDescent="0.35">
      <c r="L72" s="6"/>
    </row>
    <row r="73" spans="1:21" x14ac:dyDescent="0.35">
      <c r="L73" s="6"/>
    </row>
    <row r="74" spans="1:21" x14ac:dyDescent="0.35">
      <c r="L74" s="6"/>
    </row>
    <row r="75" spans="1:21" x14ac:dyDescent="0.35">
      <c r="L75" s="6"/>
    </row>
    <row r="76" spans="1:21" x14ac:dyDescent="0.35">
      <c r="L76" s="6"/>
    </row>
    <row r="77" spans="1:21" x14ac:dyDescent="0.35">
      <c r="L77" s="6"/>
    </row>
    <row r="78" spans="1:21" x14ac:dyDescent="0.35">
      <c r="L78" s="6"/>
    </row>
    <row r="79" spans="1:21" x14ac:dyDescent="0.35">
      <c r="L79" s="6"/>
    </row>
    <row r="80" spans="1:21" x14ac:dyDescent="0.35">
      <c r="L80" s="6"/>
    </row>
    <row r="81" spans="12:12" x14ac:dyDescent="0.35">
      <c r="L81" s="6"/>
    </row>
    <row r="82" spans="12:12" x14ac:dyDescent="0.35">
      <c r="L82" s="6"/>
    </row>
    <row r="83" spans="12:12" x14ac:dyDescent="0.35">
      <c r="L83" s="6"/>
    </row>
    <row r="84" spans="12:12" x14ac:dyDescent="0.35">
      <c r="L84" s="6"/>
    </row>
    <row r="85" spans="12:12" x14ac:dyDescent="0.35">
      <c r="L85" s="6"/>
    </row>
    <row r="86" spans="12:12" x14ac:dyDescent="0.35">
      <c r="L86" s="6"/>
    </row>
    <row r="87" spans="12:12" x14ac:dyDescent="0.35">
      <c r="L87" s="6"/>
    </row>
    <row r="88" spans="12:12" x14ac:dyDescent="0.35">
      <c r="L88" s="6"/>
    </row>
    <row r="89" spans="12:12" x14ac:dyDescent="0.35">
      <c r="L89" s="6"/>
    </row>
    <row r="90" spans="12:12" x14ac:dyDescent="0.35">
      <c r="L90" s="6"/>
    </row>
    <row r="91" spans="12:12" x14ac:dyDescent="0.35">
      <c r="L91" s="6"/>
    </row>
    <row r="92" spans="12:12" x14ac:dyDescent="0.35">
      <c r="L92" s="6"/>
    </row>
    <row r="93" spans="12:12" x14ac:dyDescent="0.35">
      <c r="L93" s="6"/>
    </row>
    <row r="94" spans="12:12" x14ac:dyDescent="0.35">
      <c r="L94" s="6"/>
    </row>
    <row r="95" spans="12:12" x14ac:dyDescent="0.35">
      <c r="L95" s="6"/>
    </row>
    <row r="96" spans="12:12" x14ac:dyDescent="0.35">
      <c r="L96" s="6"/>
    </row>
    <row r="97" spans="12:12" x14ac:dyDescent="0.35">
      <c r="L97" s="6"/>
    </row>
    <row r="98" spans="12:12" x14ac:dyDescent="0.35">
      <c r="L98" s="6"/>
    </row>
    <row r="99" spans="12:12" x14ac:dyDescent="0.35">
      <c r="L99" s="6"/>
    </row>
    <row r="100" spans="12:12" x14ac:dyDescent="0.35">
      <c r="L100" s="6"/>
    </row>
    <row r="101" spans="12:12" x14ac:dyDescent="0.35">
      <c r="L101" s="6"/>
    </row>
    <row r="102" spans="12:12" x14ac:dyDescent="0.35">
      <c r="L102" s="6"/>
    </row>
    <row r="103" spans="12:12" x14ac:dyDescent="0.35">
      <c r="L103" s="6"/>
    </row>
    <row r="104" spans="12:12" x14ac:dyDescent="0.35">
      <c r="L104" s="6"/>
    </row>
    <row r="105" spans="12:12" x14ac:dyDescent="0.35">
      <c r="L105" s="6"/>
    </row>
    <row r="106" spans="12:12" x14ac:dyDescent="0.35">
      <c r="L106" s="6"/>
    </row>
    <row r="107" spans="12:12" x14ac:dyDescent="0.35">
      <c r="L107" s="6"/>
    </row>
    <row r="108" spans="12:12" x14ac:dyDescent="0.35">
      <c r="L108" s="6"/>
    </row>
    <row r="109" spans="12:12" x14ac:dyDescent="0.35">
      <c r="L109" s="6"/>
    </row>
    <row r="110" spans="12:12" x14ac:dyDescent="0.35">
      <c r="L110" s="6"/>
    </row>
    <row r="111" spans="12:12" x14ac:dyDescent="0.35">
      <c r="L111" s="6"/>
    </row>
    <row r="112" spans="12:12" x14ac:dyDescent="0.35">
      <c r="L112" s="6"/>
    </row>
    <row r="113" spans="1:12" x14ac:dyDescent="0.35">
      <c r="L113" s="6"/>
    </row>
    <row r="114" spans="1:12" x14ac:dyDescent="0.35">
      <c r="L114" s="6"/>
    </row>
    <row r="115" spans="1:12" x14ac:dyDescent="0.35">
      <c r="A115" s="71"/>
      <c r="B115" s="71"/>
      <c r="C115" s="72"/>
      <c r="D115" s="71"/>
      <c r="E115" s="71"/>
      <c r="F115" s="72"/>
      <c r="G115" s="72"/>
      <c r="H115" s="72"/>
      <c r="I115" s="73"/>
      <c r="J115" s="73"/>
      <c r="K115" s="72"/>
      <c r="L115" s="6"/>
    </row>
    <row r="116" spans="1:12" x14ac:dyDescent="0.35">
      <c r="L116" s="6"/>
    </row>
    <row r="117" spans="1:12" x14ac:dyDescent="0.35">
      <c r="L117" s="6"/>
    </row>
    <row r="118" spans="1:12" x14ac:dyDescent="0.35">
      <c r="L118" s="6"/>
    </row>
    <row r="119" spans="1:12" x14ac:dyDescent="0.35">
      <c r="L119" s="6"/>
    </row>
    <row r="120" spans="1:12" x14ac:dyDescent="0.35">
      <c r="L120" s="6"/>
    </row>
    <row r="121" spans="1:12" x14ac:dyDescent="0.35">
      <c r="L121" s="6"/>
    </row>
    <row r="122" spans="1:12" x14ac:dyDescent="0.35">
      <c r="L122" s="6"/>
    </row>
    <row r="123" spans="1:12" x14ac:dyDescent="0.35">
      <c r="L123" s="6"/>
    </row>
    <row r="124" spans="1:12" x14ac:dyDescent="0.35">
      <c r="L124" s="6"/>
    </row>
    <row r="125" spans="1:12" x14ac:dyDescent="0.35">
      <c r="L125" s="6"/>
    </row>
    <row r="126" spans="1:12" x14ac:dyDescent="0.35">
      <c r="L126" s="6"/>
    </row>
    <row r="127" spans="1:12" x14ac:dyDescent="0.35">
      <c r="L127" s="6"/>
    </row>
    <row r="128" spans="1:12" x14ac:dyDescent="0.35">
      <c r="L128" s="6"/>
    </row>
    <row r="129" spans="12:12" x14ac:dyDescent="0.35">
      <c r="L129" s="6"/>
    </row>
    <row r="130" spans="12:12" x14ac:dyDescent="0.35">
      <c r="L130" s="6"/>
    </row>
    <row r="131" spans="12:12" x14ac:dyDescent="0.35">
      <c r="L131" s="6"/>
    </row>
    <row r="132" spans="12:12" x14ac:dyDescent="0.35">
      <c r="L132" s="6"/>
    </row>
    <row r="133" spans="12:12" x14ac:dyDescent="0.35">
      <c r="L133" s="6"/>
    </row>
    <row r="134" spans="12:12" x14ac:dyDescent="0.35">
      <c r="L134" s="6"/>
    </row>
    <row r="135" spans="12:12" x14ac:dyDescent="0.35">
      <c r="L135" s="6"/>
    </row>
    <row r="136" spans="12:12" x14ac:dyDescent="0.35">
      <c r="L136" s="6"/>
    </row>
    <row r="137" spans="12:12" x14ac:dyDescent="0.35">
      <c r="L137" s="6"/>
    </row>
    <row r="138" spans="12:12" x14ac:dyDescent="0.35">
      <c r="L138" s="6"/>
    </row>
    <row r="139" spans="12:12" x14ac:dyDescent="0.35">
      <c r="L139" s="6"/>
    </row>
    <row r="140" spans="12:12" x14ac:dyDescent="0.35">
      <c r="L140" s="6"/>
    </row>
    <row r="141" spans="12:12" x14ac:dyDescent="0.35">
      <c r="L141" s="6"/>
    </row>
    <row r="142" spans="12:12" x14ac:dyDescent="0.35">
      <c r="L142" s="6"/>
    </row>
    <row r="143" spans="12:12" x14ac:dyDescent="0.35">
      <c r="L143" s="6"/>
    </row>
    <row r="144" spans="12:12" x14ac:dyDescent="0.35">
      <c r="L144" s="6"/>
    </row>
    <row r="145" spans="12:12" x14ac:dyDescent="0.35">
      <c r="L145" s="6"/>
    </row>
    <row r="146" spans="12:12" x14ac:dyDescent="0.35">
      <c r="L146" s="6"/>
    </row>
    <row r="147" spans="12:12" x14ac:dyDescent="0.35">
      <c r="L147" s="6"/>
    </row>
    <row r="148" spans="12:12" x14ac:dyDescent="0.35">
      <c r="L148" s="6"/>
    </row>
    <row r="149" spans="12:12" x14ac:dyDescent="0.35">
      <c r="L149" s="6"/>
    </row>
    <row r="150" spans="12:12" x14ac:dyDescent="0.35">
      <c r="L150" s="6"/>
    </row>
    <row r="151" spans="12:12" x14ac:dyDescent="0.35">
      <c r="L151" s="6"/>
    </row>
    <row r="152" spans="12:12" x14ac:dyDescent="0.35">
      <c r="L152" s="6"/>
    </row>
    <row r="153" spans="12:12" x14ac:dyDescent="0.35">
      <c r="L153" s="6"/>
    </row>
    <row r="154" spans="12:12" x14ac:dyDescent="0.35">
      <c r="L154" s="6"/>
    </row>
    <row r="155" spans="12:12" x14ac:dyDescent="0.35">
      <c r="L155" s="6"/>
    </row>
    <row r="156" spans="12:12" x14ac:dyDescent="0.35">
      <c r="L156" s="6"/>
    </row>
    <row r="157" spans="12:12" x14ac:dyDescent="0.35">
      <c r="L157" s="6"/>
    </row>
    <row r="158" spans="12:12" x14ac:dyDescent="0.35">
      <c r="L158" s="6"/>
    </row>
    <row r="159" spans="12:12" x14ac:dyDescent="0.35">
      <c r="L159" s="6"/>
    </row>
    <row r="160" spans="12:12" x14ac:dyDescent="0.35">
      <c r="L160" s="6"/>
    </row>
    <row r="161" spans="12:12" x14ac:dyDescent="0.35">
      <c r="L161" s="6"/>
    </row>
    <row r="162" spans="12:12" x14ac:dyDescent="0.35">
      <c r="L162" s="6"/>
    </row>
    <row r="163" spans="12:12" x14ac:dyDescent="0.35">
      <c r="L163" s="6"/>
    </row>
    <row r="164" spans="12:12" x14ac:dyDescent="0.35">
      <c r="L164" s="6"/>
    </row>
    <row r="165" spans="12:12" x14ac:dyDescent="0.35">
      <c r="L165" s="6"/>
    </row>
    <row r="166" spans="12:12" x14ac:dyDescent="0.35">
      <c r="L166" s="6"/>
    </row>
    <row r="167" spans="12:12" x14ac:dyDescent="0.35">
      <c r="L167" s="6"/>
    </row>
    <row r="168" spans="12:12" x14ac:dyDescent="0.35">
      <c r="L168" s="6"/>
    </row>
    <row r="169" spans="12:12" x14ac:dyDescent="0.35">
      <c r="L169" s="6"/>
    </row>
    <row r="170" spans="12:12" x14ac:dyDescent="0.35">
      <c r="L170" s="6"/>
    </row>
    <row r="171" spans="12:12" x14ac:dyDescent="0.35">
      <c r="L171" s="6"/>
    </row>
    <row r="172" spans="12:12" x14ac:dyDescent="0.35">
      <c r="L172" s="6"/>
    </row>
    <row r="173" spans="12:12" x14ac:dyDescent="0.35">
      <c r="L173" s="6"/>
    </row>
    <row r="174" spans="12:12" x14ac:dyDescent="0.35">
      <c r="L174" s="6"/>
    </row>
    <row r="175" spans="12:12" x14ac:dyDescent="0.35">
      <c r="L175" s="6"/>
    </row>
    <row r="176" spans="12:12" x14ac:dyDescent="0.35">
      <c r="L176" s="6"/>
    </row>
    <row r="177" spans="1:12" x14ac:dyDescent="0.35">
      <c r="L177" s="6"/>
    </row>
    <row r="178" spans="1:12" x14ac:dyDescent="0.35">
      <c r="L178" s="6"/>
    </row>
    <row r="179" spans="1:12" x14ac:dyDescent="0.35">
      <c r="A179" s="71"/>
      <c r="B179" s="71"/>
      <c r="C179" s="72"/>
      <c r="D179" s="71"/>
      <c r="E179" s="71"/>
      <c r="F179" s="72"/>
      <c r="G179" s="72"/>
      <c r="H179" s="72"/>
      <c r="I179" s="73"/>
      <c r="J179" s="73"/>
      <c r="K179" s="72"/>
      <c r="L179" s="6"/>
    </row>
    <row r="180" spans="1:12" x14ac:dyDescent="0.35">
      <c r="L180" s="6"/>
    </row>
    <row r="181" spans="1:12" x14ac:dyDescent="0.35">
      <c r="L181" s="6"/>
    </row>
    <row r="182" spans="1:12" x14ac:dyDescent="0.35">
      <c r="L182" s="6"/>
    </row>
    <row r="183" spans="1:12" x14ac:dyDescent="0.35">
      <c r="L183" s="6"/>
    </row>
    <row r="184" spans="1:12" x14ac:dyDescent="0.35">
      <c r="L184" s="6"/>
    </row>
    <row r="185" spans="1:12" x14ac:dyDescent="0.35">
      <c r="L185" s="6"/>
    </row>
    <row r="186" spans="1:12" x14ac:dyDescent="0.35">
      <c r="L186" s="6"/>
    </row>
    <row r="187" spans="1:12" x14ac:dyDescent="0.35">
      <c r="L187" s="6"/>
    </row>
    <row r="188" spans="1:12" x14ac:dyDescent="0.35">
      <c r="L188" s="6"/>
    </row>
    <row r="189" spans="1:12" x14ac:dyDescent="0.35">
      <c r="L189" s="6"/>
    </row>
    <row r="190" spans="1:12" x14ac:dyDescent="0.35">
      <c r="L190" s="6"/>
    </row>
    <row r="191" spans="1:12" x14ac:dyDescent="0.35">
      <c r="L191" s="6"/>
    </row>
    <row r="192" spans="1:12" x14ac:dyDescent="0.35">
      <c r="L192" s="6"/>
    </row>
    <row r="193" spans="12:12" x14ac:dyDescent="0.35">
      <c r="L193" s="6"/>
    </row>
    <row r="194" spans="12:12" x14ac:dyDescent="0.35">
      <c r="L194" s="6"/>
    </row>
    <row r="195" spans="12:12" x14ac:dyDescent="0.35">
      <c r="L195" s="6"/>
    </row>
    <row r="196" spans="12:12" x14ac:dyDescent="0.35">
      <c r="L196" s="6"/>
    </row>
    <row r="197" spans="12:12" x14ac:dyDescent="0.35">
      <c r="L197" s="6"/>
    </row>
    <row r="198" spans="12:12" x14ac:dyDescent="0.35">
      <c r="L198" s="6"/>
    </row>
    <row r="199" spans="12:12" x14ac:dyDescent="0.35">
      <c r="L199" s="6"/>
    </row>
    <row r="200" spans="12:12" x14ac:dyDescent="0.35">
      <c r="L200" s="6"/>
    </row>
    <row r="201" spans="12:12" x14ac:dyDescent="0.35">
      <c r="L201" s="6"/>
    </row>
    <row r="202" spans="12:12" x14ac:dyDescent="0.35">
      <c r="L202" s="6"/>
    </row>
    <row r="203" spans="12:12" x14ac:dyDescent="0.35">
      <c r="L203" s="6"/>
    </row>
    <row r="204" spans="12:12" x14ac:dyDescent="0.35">
      <c r="L204" s="6"/>
    </row>
    <row r="205" spans="12:12" x14ac:dyDescent="0.35">
      <c r="L205" s="6"/>
    </row>
    <row r="206" spans="12:12" x14ac:dyDescent="0.35">
      <c r="L206" s="6"/>
    </row>
    <row r="207" spans="12:12" x14ac:dyDescent="0.35">
      <c r="L207" s="6"/>
    </row>
    <row r="208" spans="12:12" x14ac:dyDescent="0.35">
      <c r="L208" s="6"/>
    </row>
    <row r="209" spans="12:12" x14ac:dyDescent="0.35">
      <c r="L209" s="6"/>
    </row>
    <row r="210" spans="12:12" x14ac:dyDescent="0.35">
      <c r="L210" s="6"/>
    </row>
    <row r="211" spans="12:12" x14ac:dyDescent="0.35">
      <c r="L211" s="6"/>
    </row>
    <row r="212" spans="12:12" x14ac:dyDescent="0.35">
      <c r="L212" s="6"/>
    </row>
    <row r="213" spans="12:12" x14ac:dyDescent="0.35">
      <c r="L213" s="6"/>
    </row>
    <row r="214" spans="12:12" x14ac:dyDescent="0.35">
      <c r="L214" s="6"/>
    </row>
    <row r="215" spans="12:12" x14ac:dyDescent="0.35">
      <c r="L215" s="6"/>
    </row>
    <row r="216" spans="12:12" x14ac:dyDescent="0.35">
      <c r="L216" s="6"/>
    </row>
    <row r="217" spans="12:12" x14ac:dyDescent="0.35">
      <c r="L217" s="6"/>
    </row>
    <row r="218" spans="12:12" x14ac:dyDescent="0.35">
      <c r="L218" s="6"/>
    </row>
    <row r="219" spans="12:12" x14ac:dyDescent="0.35">
      <c r="L219" s="6"/>
    </row>
    <row r="220" spans="12:12" x14ac:dyDescent="0.35">
      <c r="L220" s="6"/>
    </row>
    <row r="221" spans="12:12" x14ac:dyDescent="0.35">
      <c r="L221" s="6"/>
    </row>
    <row r="222" spans="12:12" x14ac:dyDescent="0.35">
      <c r="L222" s="6"/>
    </row>
    <row r="223" spans="12:12" x14ac:dyDescent="0.35">
      <c r="L223" s="6"/>
    </row>
    <row r="224" spans="12:12" x14ac:dyDescent="0.35">
      <c r="L224" s="6"/>
    </row>
    <row r="225" spans="12:12" x14ac:dyDescent="0.35">
      <c r="L225" s="6"/>
    </row>
    <row r="226" spans="12:12" x14ac:dyDescent="0.35">
      <c r="L226" s="6"/>
    </row>
    <row r="227" spans="12:12" x14ac:dyDescent="0.35">
      <c r="L227" s="6"/>
    </row>
    <row r="228" spans="12:12" x14ac:dyDescent="0.35">
      <c r="L228" s="6"/>
    </row>
    <row r="229" spans="12:12" x14ac:dyDescent="0.35">
      <c r="L229" s="6"/>
    </row>
    <row r="230" spans="12:12" x14ac:dyDescent="0.35">
      <c r="L230" s="6"/>
    </row>
    <row r="231" spans="12:12" x14ac:dyDescent="0.35">
      <c r="L231" s="6"/>
    </row>
    <row r="232" spans="12:12" x14ac:dyDescent="0.35">
      <c r="L232" s="6"/>
    </row>
    <row r="233" spans="12:12" x14ac:dyDescent="0.35">
      <c r="L233" s="6"/>
    </row>
    <row r="234" spans="12:12" x14ac:dyDescent="0.35">
      <c r="L234" s="6"/>
    </row>
    <row r="235" spans="12:12" x14ac:dyDescent="0.35">
      <c r="L235" s="6"/>
    </row>
    <row r="236" spans="12:12" x14ac:dyDescent="0.35">
      <c r="L236" s="6"/>
    </row>
    <row r="237" spans="12:12" x14ac:dyDescent="0.35">
      <c r="L237" s="6"/>
    </row>
    <row r="238" spans="12:12" x14ac:dyDescent="0.35">
      <c r="L238" s="6"/>
    </row>
    <row r="239" spans="12:12" x14ac:dyDescent="0.35">
      <c r="L239" s="6"/>
    </row>
    <row r="240" spans="12:12" x14ac:dyDescent="0.35">
      <c r="L240" s="6"/>
    </row>
    <row r="241" spans="1:12" x14ac:dyDescent="0.35">
      <c r="L241" s="6"/>
    </row>
    <row r="242" spans="1:12" x14ac:dyDescent="0.35">
      <c r="L242" s="6"/>
    </row>
    <row r="243" spans="1:12" x14ac:dyDescent="0.35">
      <c r="A243" s="71"/>
      <c r="B243" s="71"/>
      <c r="C243" s="72"/>
      <c r="D243" s="71"/>
      <c r="E243" s="71"/>
      <c r="F243" s="72"/>
      <c r="G243" s="72"/>
      <c r="H243" s="72"/>
      <c r="I243" s="73"/>
      <c r="J243" s="73"/>
      <c r="K243" s="72"/>
      <c r="L243" s="6"/>
    </row>
    <row r="244" spans="1:12" x14ac:dyDescent="0.35">
      <c r="L244" s="6"/>
    </row>
    <row r="245" spans="1:12" x14ac:dyDescent="0.35">
      <c r="L245" s="6"/>
    </row>
    <row r="246" spans="1:12" x14ac:dyDescent="0.35">
      <c r="L246" s="6"/>
    </row>
    <row r="247" spans="1:12" x14ac:dyDescent="0.35">
      <c r="L247" s="6"/>
    </row>
    <row r="248" spans="1:12" x14ac:dyDescent="0.35">
      <c r="L248" s="6"/>
    </row>
    <row r="249" spans="1:12" x14ac:dyDescent="0.35">
      <c r="L249" s="6"/>
    </row>
    <row r="250" spans="1:12" x14ac:dyDescent="0.35">
      <c r="L250" s="6"/>
    </row>
    <row r="251" spans="1:12" x14ac:dyDescent="0.35">
      <c r="L251" s="6"/>
    </row>
    <row r="252" spans="1:12" x14ac:dyDescent="0.35">
      <c r="L252" s="6"/>
    </row>
    <row r="253" spans="1:12" x14ac:dyDescent="0.35">
      <c r="L253" s="6"/>
    </row>
    <row r="254" spans="1:12" x14ac:dyDescent="0.35">
      <c r="L254" s="6"/>
    </row>
    <row r="255" spans="1:12" x14ac:dyDescent="0.35">
      <c r="L255" s="6"/>
    </row>
    <row r="256" spans="1:12" x14ac:dyDescent="0.35">
      <c r="L256" s="6"/>
    </row>
    <row r="257" spans="12:12" x14ac:dyDescent="0.35">
      <c r="L257" s="6"/>
    </row>
    <row r="258" spans="12:12" x14ac:dyDescent="0.35">
      <c r="L258" s="6"/>
    </row>
    <row r="259" spans="12:12" x14ac:dyDescent="0.35">
      <c r="L259" s="6"/>
    </row>
    <row r="260" spans="12:12" x14ac:dyDescent="0.35">
      <c r="L260" s="6"/>
    </row>
    <row r="261" spans="12:12" x14ac:dyDescent="0.35">
      <c r="L261" s="6"/>
    </row>
    <row r="262" spans="12:12" x14ac:dyDescent="0.35">
      <c r="L262" s="6"/>
    </row>
    <row r="263" spans="12:12" x14ac:dyDescent="0.35">
      <c r="L263" s="6"/>
    </row>
    <row r="264" spans="12:12" x14ac:dyDescent="0.35">
      <c r="L264" s="6"/>
    </row>
    <row r="265" spans="12:12" x14ac:dyDescent="0.35">
      <c r="L265" s="6"/>
    </row>
    <row r="266" spans="12:12" x14ac:dyDescent="0.35">
      <c r="L266" s="6"/>
    </row>
    <row r="267" spans="12:12" x14ac:dyDescent="0.35">
      <c r="L267" s="6"/>
    </row>
    <row r="268" spans="12:12" x14ac:dyDescent="0.35">
      <c r="L268" s="6"/>
    </row>
    <row r="269" spans="12:12" x14ac:dyDescent="0.35">
      <c r="L269" s="6"/>
    </row>
    <row r="270" spans="12:12" x14ac:dyDescent="0.35">
      <c r="L270" s="6"/>
    </row>
    <row r="271" spans="12:12" x14ac:dyDescent="0.35">
      <c r="L271" s="6"/>
    </row>
    <row r="272" spans="12:12" x14ac:dyDescent="0.35">
      <c r="L272" s="6"/>
    </row>
    <row r="273" spans="12:12" x14ac:dyDescent="0.35">
      <c r="L273" s="6"/>
    </row>
    <row r="274" spans="12:12" x14ac:dyDescent="0.35">
      <c r="L274" s="6"/>
    </row>
    <row r="275" spans="12:12" x14ac:dyDescent="0.35">
      <c r="L275" s="6"/>
    </row>
    <row r="276" spans="12:12" x14ac:dyDescent="0.35">
      <c r="L276" s="6"/>
    </row>
    <row r="277" spans="12:12" x14ac:dyDescent="0.35">
      <c r="L277" s="6"/>
    </row>
    <row r="278" spans="12:12" x14ac:dyDescent="0.35">
      <c r="L278" s="6"/>
    </row>
    <row r="279" spans="12:12" x14ac:dyDescent="0.35">
      <c r="L279" s="6"/>
    </row>
    <row r="280" spans="12:12" x14ac:dyDescent="0.35">
      <c r="L280" s="6"/>
    </row>
    <row r="281" spans="12:12" x14ac:dyDescent="0.35">
      <c r="L281" s="6"/>
    </row>
    <row r="282" spans="12:12" x14ac:dyDescent="0.35">
      <c r="L282" s="6"/>
    </row>
    <row r="283" spans="12:12" x14ac:dyDescent="0.35">
      <c r="L283" s="6"/>
    </row>
    <row r="284" spans="12:12" x14ac:dyDescent="0.35">
      <c r="L284" s="6"/>
    </row>
    <row r="285" spans="12:12" x14ac:dyDescent="0.35">
      <c r="L285" s="6"/>
    </row>
    <row r="286" spans="12:12" x14ac:dyDescent="0.35">
      <c r="L286" s="6"/>
    </row>
    <row r="287" spans="12:12" x14ac:dyDescent="0.35">
      <c r="L287" s="6"/>
    </row>
    <row r="288" spans="12:12" x14ac:dyDescent="0.35">
      <c r="L288" s="6"/>
    </row>
    <row r="289" spans="12:12" x14ac:dyDescent="0.35">
      <c r="L289" s="6"/>
    </row>
    <row r="290" spans="12:12" x14ac:dyDescent="0.35">
      <c r="L290" s="6"/>
    </row>
    <row r="291" spans="12:12" x14ac:dyDescent="0.35">
      <c r="L291" s="6"/>
    </row>
    <row r="292" spans="12:12" x14ac:dyDescent="0.35">
      <c r="L292" s="6"/>
    </row>
    <row r="293" spans="12:12" x14ac:dyDescent="0.35">
      <c r="L293" s="6"/>
    </row>
    <row r="294" spans="12:12" x14ac:dyDescent="0.35">
      <c r="L294" s="6"/>
    </row>
    <row r="295" spans="12:12" x14ac:dyDescent="0.35">
      <c r="L295" s="6"/>
    </row>
    <row r="296" spans="12:12" x14ac:dyDescent="0.35">
      <c r="L296" s="6"/>
    </row>
    <row r="297" spans="12:12" x14ac:dyDescent="0.35">
      <c r="L297" s="6"/>
    </row>
    <row r="298" spans="12:12" x14ac:dyDescent="0.35">
      <c r="L298" s="6"/>
    </row>
    <row r="299" spans="12:12" x14ac:dyDescent="0.35">
      <c r="L299" s="6"/>
    </row>
    <row r="300" spans="12:12" x14ac:dyDescent="0.35">
      <c r="L300" s="6"/>
    </row>
  </sheetData>
  <sortState xmlns:xlrd2="http://schemas.microsoft.com/office/spreadsheetml/2017/richdata2" ref="A2:K300">
    <sortCondition descending="1" ref="A2:A300"/>
    <sortCondition ref="H2:H300"/>
    <sortCondition ref="G2:G300"/>
  </sortState>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4F36A-D59B-4BFF-91D3-B71888CB95FF}">
  <sheetPr>
    <tabColor theme="9" tint="0.79998168889431442"/>
  </sheetPr>
  <dimension ref="A1:E22"/>
  <sheetViews>
    <sheetView workbookViewId="0">
      <selection activeCell="Y29" sqref="Y29"/>
    </sheetView>
  </sheetViews>
  <sheetFormatPr defaultRowHeight="14.5" x14ac:dyDescent="0.35"/>
  <cols>
    <col min="1" max="1" width="9.453125" style="5"/>
    <col min="2" max="2" width="11.453125" style="5" bestFit="1" customWidth="1"/>
    <col min="3" max="3" width="9.453125" style="5"/>
    <col min="4" max="4" width="8.54296875" style="5"/>
    <col min="5" max="5" width="11.453125" customWidth="1"/>
  </cols>
  <sheetData>
    <row r="1" spans="1:5" s="16" customFormat="1" ht="43.5" x14ac:dyDescent="0.35">
      <c r="A1" s="4" t="s">
        <v>155</v>
      </c>
      <c r="B1" s="4" t="s">
        <v>156</v>
      </c>
      <c r="C1" s="4" t="s">
        <v>159</v>
      </c>
      <c r="D1" s="4" t="s">
        <v>160</v>
      </c>
      <c r="E1" s="3" t="s">
        <v>58</v>
      </c>
    </row>
    <row r="2" spans="1:5" x14ac:dyDescent="0.35">
      <c r="A2" s="5">
        <v>1</v>
      </c>
      <c r="B2" s="123">
        <v>45421</v>
      </c>
      <c r="C2">
        <v>0.10123</v>
      </c>
    </row>
    <row r="3" spans="1:5" x14ac:dyDescent="0.35">
      <c r="A3" s="5">
        <v>2</v>
      </c>
      <c r="B3" s="123">
        <v>45442</v>
      </c>
      <c r="C3">
        <v>0.13025</v>
      </c>
    </row>
    <row r="4" spans="1:5" x14ac:dyDescent="0.35">
      <c r="A4" s="5">
        <v>3</v>
      </c>
      <c r="B4" s="123">
        <v>45461</v>
      </c>
      <c r="C4">
        <v>0.24332999999999999</v>
      </c>
    </row>
    <row r="5" spans="1:5" x14ac:dyDescent="0.35">
      <c r="A5" s="5">
        <v>4</v>
      </c>
      <c r="B5" s="123">
        <v>45477</v>
      </c>
      <c r="C5">
        <v>0.26724999999999999</v>
      </c>
      <c r="D5" s="2"/>
    </row>
    <row r="6" spans="1:5" x14ac:dyDescent="0.35">
      <c r="A6" s="5">
        <v>5</v>
      </c>
      <c r="B6" s="123">
        <v>45510</v>
      </c>
      <c r="C6">
        <v>0.25269999999999998</v>
      </c>
      <c r="D6" s="2"/>
    </row>
    <row r="7" spans="1:5" x14ac:dyDescent="0.35">
      <c r="A7" s="5">
        <v>6</v>
      </c>
      <c r="B7" s="123">
        <v>45519</v>
      </c>
      <c r="C7">
        <v>0.24987999999999999</v>
      </c>
      <c r="D7" s="2"/>
    </row>
    <row r="8" spans="1:5" x14ac:dyDescent="0.35">
      <c r="A8" s="5">
        <v>7</v>
      </c>
      <c r="B8" s="123">
        <v>45530</v>
      </c>
      <c r="C8">
        <v>0.16966999999999999</v>
      </c>
    </row>
    <row r="9" spans="1:5" x14ac:dyDescent="0.35">
      <c r="A9" s="5">
        <v>8</v>
      </c>
      <c r="B9" s="123">
        <v>45538</v>
      </c>
      <c r="C9">
        <v>0.14727000000000001</v>
      </c>
      <c r="D9" s="2"/>
    </row>
    <row r="10" spans="1:5" x14ac:dyDescent="0.35">
      <c r="A10" s="5">
        <v>9</v>
      </c>
      <c r="B10" s="123">
        <v>45547</v>
      </c>
      <c r="C10">
        <v>0.11650000000000001</v>
      </c>
    </row>
    <row r="11" spans="1:5" x14ac:dyDescent="0.35">
      <c r="A11" s="5">
        <v>10</v>
      </c>
      <c r="B11" s="123">
        <v>45553</v>
      </c>
      <c r="C11">
        <v>0.13600000000000001</v>
      </c>
    </row>
    <row r="12" spans="1:5" x14ac:dyDescent="0.35">
      <c r="A12" s="5">
        <v>11</v>
      </c>
      <c r="B12" s="123">
        <v>45936</v>
      </c>
      <c r="C12">
        <v>0.11364</v>
      </c>
      <c r="D12" s="53"/>
    </row>
    <row r="13" spans="1:5" x14ac:dyDescent="0.35">
      <c r="A13" s="5">
        <v>12</v>
      </c>
      <c r="B13" s="123">
        <v>45944</v>
      </c>
      <c r="C13">
        <v>0.1085</v>
      </c>
      <c r="D13" s="53"/>
    </row>
    <row r="14" spans="1:5" x14ac:dyDescent="0.35">
      <c r="A14" s="5">
        <v>13</v>
      </c>
      <c r="B14" s="123">
        <v>45590</v>
      </c>
      <c r="C14">
        <v>0.11063000000000001</v>
      </c>
    </row>
    <row r="15" spans="1:5" x14ac:dyDescent="0.35">
      <c r="A15" s="5">
        <v>14</v>
      </c>
      <c r="B15" s="123">
        <v>45596</v>
      </c>
      <c r="C15">
        <v>0.10249999999999999</v>
      </c>
    </row>
    <row r="16" spans="1:5" x14ac:dyDescent="0.35">
      <c r="A16" s="5">
        <v>15</v>
      </c>
      <c r="B16" s="123">
        <v>45968</v>
      </c>
      <c r="C16">
        <v>0.10340000000000001</v>
      </c>
    </row>
    <row r="17" spans="1:3" x14ac:dyDescent="0.35">
      <c r="A17" s="5">
        <v>16</v>
      </c>
      <c r="B17" s="123">
        <v>45975</v>
      </c>
      <c r="C17">
        <v>0.13714000000000001</v>
      </c>
    </row>
    <row r="18" spans="1:3" x14ac:dyDescent="0.35">
      <c r="B18" s="123"/>
    </row>
    <row r="19" spans="1:3" x14ac:dyDescent="0.35">
      <c r="B19" s="123"/>
    </row>
    <row r="20" spans="1:3" x14ac:dyDescent="0.35">
      <c r="B20" s="123"/>
    </row>
    <row r="21" spans="1:3" x14ac:dyDescent="0.35">
      <c r="B21" s="123"/>
    </row>
    <row r="22" spans="1:3" x14ac:dyDescent="0.35">
      <c r="B22" s="12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BBF48-D778-4DC7-9F65-DF2FE320A251}">
  <sheetPr>
    <tabColor theme="9" tint="0.59999389629810485"/>
  </sheetPr>
  <dimension ref="A1:O1025"/>
  <sheetViews>
    <sheetView topLeftCell="A37" zoomScaleNormal="100" workbookViewId="0">
      <selection activeCell="K129" sqref="K129"/>
    </sheetView>
  </sheetViews>
  <sheetFormatPr defaultRowHeight="14.5" x14ac:dyDescent="0.35"/>
  <cols>
    <col min="1" max="6" width="9.1796875" style="6"/>
    <col min="7" max="8" width="8.81640625" style="6"/>
    <col min="9" max="9" width="9.1796875" style="6"/>
    <col min="10" max="11" width="13.54296875" customWidth="1"/>
  </cols>
  <sheetData>
    <row r="1" spans="1:15" s="16" customFormat="1" ht="43.5" x14ac:dyDescent="0.35">
      <c r="A1" s="70" t="s">
        <v>44</v>
      </c>
      <c r="B1" s="70" t="s">
        <v>45</v>
      </c>
      <c r="C1" s="70" t="s">
        <v>46</v>
      </c>
      <c r="D1" s="70" t="s">
        <v>47</v>
      </c>
      <c r="E1" s="70" t="s">
        <v>48</v>
      </c>
      <c r="F1" s="70" t="s">
        <v>49</v>
      </c>
      <c r="G1" s="70" t="s">
        <v>50</v>
      </c>
      <c r="H1" s="70" t="s">
        <v>51</v>
      </c>
      <c r="I1" s="70" t="s">
        <v>54</v>
      </c>
      <c r="J1" s="70" t="s">
        <v>155</v>
      </c>
      <c r="K1" s="4" t="s">
        <v>156</v>
      </c>
      <c r="L1" s="23" t="s">
        <v>161</v>
      </c>
      <c r="M1" s="23" t="s">
        <v>162</v>
      </c>
      <c r="N1" s="4" t="s">
        <v>163</v>
      </c>
      <c r="O1" s="5"/>
    </row>
    <row r="2" spans="1:15" x14ac:dyDescent="0.35">
      <c r="A2" t="s">
        <v>24</v>
      </c>
      <c r="B2" s="79"/>
      <c r="C2" s="79"/>
      <c r="D2" t="s">
        <v>27</v>
      </c>
      <c r="E2" s="79"/>
      <c r="F2">
        <v>1</v>
      </c>
      <c r="G2">
        <v>1</v>
      </c>
      <c r="H2">
        <v>1</v>
      </c>
      <c r="I2">
        <v>1</v>
      </c>
      <c r="J2" s="79"/>
      <c r="K2" s="122">
        <v>45421</v>
      </c>
      <c r="L2">
        <v>0.13764000000000001</v>
      </c>
    </row>
    <row r="3" spans="1:15" x14ac:dyDescent="0.35">
      <c r="A3" t="s">
        <v>24</v>
      </c>
      <c r="B3" s="79"/>
      <c r="C3" s="79"/>
      <c r="D3" t="s">
        <v>27</v>
      </c>
      <c r="E3" s="79"/>
      <c r="F3">
        <v>1</v>
      </c>
      <c r="G3">
        <v>1</v>
      </c>
      <c r="H3">
        <v>1</v>
      </c>
      <c r="I3">
        <v>1</v>
      </c>
      <c r="J3" s="79"/>
      <c r="K3" s="122">
        <v>45442</v>
      </c>
      <c r="L3">
        <v>0.52366999999999997</v>
      </c>
    </row>
    <row r="4" spans="1:15" x14ac:dyDescent="0.35">
      <c r="A4" t="s">
        <v>24</v>
      </c>
      <c r="B4" s="79"/>
      <c r="C4" s="79"/>
      <c r="D4" t="s">
        <v>27</v>
      </c>
      <c r="E4" s="79"/>
      <c r="F4">
        <v>1</v>
      </c>
      <c r="G4">
        <v>1</v>
      </c>
      <c r="H4">
        <v>1</v>
      </c>
      <c r="I4">
        <v>1</v>
      </c>
      <c r="J4" s="79"/>
      <c r="K4" s="122">
        <v>45461</v>
      </c>
      <c r="L4">
        <v>0.84277999999999997</v>
      </c>
    </row>
    <row r="5" spans="1:15" x14ac:dyDescent="0.35">
      <c r="A5" t="s">
        <v>24</v>
      </c>
      <c r="B5" s="79"/>
      <c r="C5" s="79"/>
      <c r="D5" t="s">
        <v>27</v>
      </c>
      <c r="E5" s="79"/>
      <c r="F5">
        <v>1</v>
      </c>
      <c r="G5">
        <v>1</v>
      </c>
      <c r="H5">
        <v>1</v>
      </c>
      <c r="I5">
        <v>1</v>
      </c>
      <c r="J5" s="79"/>
      <c r="K5" s="122">
        <v>45477</v>
      </c>
      <c r="L5">
        <v>0.88788999999999996</v>
      </c>
    </row>
    <row r="6" spans="1:15" x14ac:dyDescent="0.35">
      <c r="A6" t="s">
        <v>24</v>
      </c>
      <c r="B6" s="79"/>
      <c r="C6" s="79"/>
      <c r="D6" t="s">
        <v>27</v>
      </c>
      <c r="E6" s="79"/>
      <c r="F6">
        <v>1</v>
      </c>
      <c r="G6">
        <v>1</v>
      </c>
      <c r="H6">
        <v>1</v>
      </c>
      <c r="I6">
        <v>1</v>
      </c>
      <c r="J6" s="79"/>
      <c r="K6" s="122">
        <v>45510</v>
      </c>
      <c r="L6">
        <v>0.85490999999999995</v>
      </c>
    </row>
    <row r="7" spans="1:15" x14ac:dyDescent="0.35">
      <c r="A7" t="s">
        <v>24</v>
      </c>
      <c r="B7" s="79"/>
      <c r="C7" s="79"/>
      <c r="D7" t="s">
        <v>27</v>
      </c>
      <c r="E7" s="79"/>
      <c r="F7">
        <v>1</v>
      </c>
      <c r="G7">
        <v>1</v>
      </c>
      <c r="H7">
        <v>1</v>
      </c>
      <c r="I7">
        <v>1</v>
      </c>
      <c r="J7" s="79"/>
      <c r="K7" s="122">
        <v>45519</v>
      </c>
      <c r="L7">
        <v>0.81369999999999998</v>
      </c>
    </row>
    <row r="8" spans="1:15" x14ac:dyDescent="0.35">
      <c r="A8" t="s">
        <v>24</v>
      </c>
      <c r="B8" s="79"/>
      <c r="C8" s="79"/>
      <c r="D8" t="s">
        <v>27</v>
      </c>
      <c r="E8" s="79"/>
      <c r="F8">
        <v>1</v>
      </c>
      <c r="G8">
        <v>1</v>
      </c>
      <c r="H8">
        <v>1</v>
      </c>
      <c r="I8">
        <v>1</v>
      </c>
      <c r="J8" s="79"/>
      <c r="K8" s="122">
        <v>45530</v>
      </c>
      <c r="L8">
        <v>0.86717999999999995</v>
      </c>
    </row>
    <row r="9" spans="1:15" x14ac:dyDescent="0.35">
      <c r="A9" t="s">
        <v>24</v>
      </c>
      <c r="B9" s="79"/>
      <c r="C9" s="79"/>
      <c r="D9" t="s">
        <v>27</v>
      </c>
      <c r="E9" s="79"/>
      <c r="F9">
        <v>1</v>
      </c>
      <c r="G9">
        <v>1</v>
      </c>
      <c r="H9">
        <v>1</v>
      </c>
      <c r="I9">
        <v>1</v>
      </c>
      <c r="J9" s="79"/>
      <c r="K9" s="122">
        <v>45538</v>
      </c>
      <c r="L9">
        <v>0.89731000000000005</v>
      </c>
    </row>
    <row r="10" spans="1:15" x14ac:dyDescent="0.35">
      <c r="A10" t="s">
        <v>24</v>
      </c>
      <c r="D10" t="s">
        <v>27</v>
      </c>
      <c r="F10">
        <v>1</v>
      </c>
      <c r="G10">
        <v>1</v>
      </c>
      <c r="H10">
        <v>1</v>
      </c>
      <c r="I10">
        <v>1</v>
      </c>
      <c r="J10" s="6"/>
      <c r="K10" s="122">
        <v>45547</v>
      </c>
      <c r="L10">
        <v>0.95289000000000001</v>
      </c>
    </row>
    <row r="11" spans="1:15" x14ac:dyDescent="0.35">
      <c r="A11" t="s">
        <v>24</v>
      </c>
      <c r="D11" t="s">
        <v>27</v>
      </c>
      <c r="F11">
        <v>1</v>
      </c>
      <c r="G11">
        <v>1</v>
      </c>
      <c r="H11">
        <v>1</v>
      </c>
      <c r="I11">
        <v>1</v>
      </c>
      <c r="J11" s="6"/>
      <c r="K11" s="122">
        <v>45553</v>
      </c>
      <c r="L11">
        <v>0.95242000000000004</v>
      </c>
    </row>
    <row r="12" spans="1:15" x14ac:dyDescent="0.35">
      <c r="A12" t="s">
        <v>24</v>
      </c>
      <c r="D12" t="s">
        <v>27</v>
      </c>
      <c r="F12">
        <v>1</v>
      </c>
      <c r="G12">
        <v>1</v>
      </c>
      <c r="H12">
        <v>1</v>
      </c>
      <c r="I12">
        <v>1</v>
      </c>
      <c r="J12" s="6"/>
      <c r="K12" s="122">
        <v>45936</v>
      </c>
      <c r="L12">
        <v>0.88107999999999997</v>
      </c>
    </row>
    <row r="13" spans="1:15" x14ac:dyDescent="0.35">
      <c r="A13" t="s">
        <v>24</v>
      </c>
      <c r="D13" t="s">
        <v>27</v>
      </c>
      <c r="F13">
        <v>1</v>
      </c>
      <c r="G13">
        <v>1</v>
      </c>
      <c r="H13">
        <v>1</v>
      </c>
      <c r="I13">
        <v>1</v>
      </c>
      <c r="J13" s="6"/>
      <c r="K13" s="122">
        <v>45944</v>
      </c>
      <c r="L13">
        <v>0.80462999999999996</v>
      </c>
    </row>
    <row r="14" spans="1:15" x14ac:dyDescent="0.35">
      <c r="A14" t="s">
        <v>24</v>
      </c>
      <c r="D14" t="s">
        <v>27</v>
      </c>
      <c r="F14">
        <v>1</v>
      </c>
      <c r="G14">
        <v>1</v>
      </c>
      <c r="H14">
        <v>1</v>
      </c>
      <c r="I14">
        <v>1</v>
      </c>
      <c r="J14" s="6"/>
      <c r="K14" s="122">
        <v>45590</v>
      </c>
      <c r="L14">
        <v>0.68899999999999995</v>
      </c>
    </row>
    <row r="15" spans="1:15" x14ac:dyDescent="0.35">
      <c r="A15" t="s">
        <v>24</v>
      </c>
      <c r="D15" t="s">
        <v>27</v>
      </c>
      <c r="F15">
        <v>1</v>
      </c>
      <c r="G15">
        <v>1</v>
      </c>
      <c r="H15">
        <v>1</v>
      </c>
      <c r="I15">
        <v>1</v>
      </c>
      <c r="J15" s="6"/>
      <c r="K15" s="122">
        <v>45596</v>
      </c>
      <c r="L15">
        <v>0.47525000000000001</v>
      </c>
    </row>
    <row r="16" spans="1:15" x14ac:dyDescent="0.35">
      <c r="A16" t="s">
        <v>24</v>
      </c>
      <c r="D16" t="s">
        <v>27</v>
      </c>
      <c r="F16">
        <v>1</v>
      </c>
      <c r="G16">
        <v>1</v>
      </c>
      <c r="H16">
        <v>1</v>
      </c>
      <c r="I16">
        <v>1</v>
      </c>
      <c r="J16" s="6"/>
      <c r="K16" s="122">
        <v>45968</v>
      </c>
      <c r="L16">
        <v>0.25363000000000002</v>
      </c>
    </row>
    <row r="17" spans="1:12" x14ac:dyDescent="0.35">
      <c r="A17" t="s">
        <v>24</v>
      </c>
      <c r="D17" t="s">
        <v>27</v>
      </c>
      <c r="F17">
        <v>1</v>
      </c>
      <c r="G17">
        <v>1</v>
      </c>
      <c r="H17">
        <v>1</v>
      </c>
      <c r="I17">
        <v>1</v>
      </c>
      <c r="J17" s="6"/>
      <c r="K17" s="122">
        <v>45975</v>
      </c>
      <c r="L17">
        <v>0.19538</v>
      </c>
    </row>
    <row r="18" spans="1:12" x14ac:dyDescent="0.35">
      <c r="A18" t="s">
        <v>24</v>
      </c>
      <c r="B18" s="79"/>
      <c r="C18" s="79"/>
      <c r="D18" t="s">
        <v>26</v>
      </c>
      <c r="E18" s="79"/>
      <c r="F18">
        <v>1</v>
      </c>
      <c r="G18">
        <v>2</v>
      </c>
      <c r="H18">
        <v>1</v>
      </c>
      <c r="I18">
        <v>2</v>
      </c>
      <c r="J18" s="79"/>
      <c r="K18" s="122">
        <v>45421</v>
      </c>
      <c r="L18">
        <v>0.13438</v>
      </c>
    </row>
    <row r="19" spans="1:12" x14ac:dyDescent="0.35">
      <c r="A19" t="s">
        <v>24</v>
      </c>
      <c r="B19" s="79"/>
      <c r="C19" s="79"/>
      <c r="D19" t="s">
        <v>26</v>
      </c>
      <c r="E19" s="79"/>
      <c r="F19">
        <v>1</v>
      </c>
      <c r="G19">
        <v>2</v>
      </c>
      <c r="H19">
        <v>1</v>
      </c>
      <c r="I19">
        <v>2</v>
      </c>
      <c r="J19" s="79"/>
      <c r="K19" s="122">
        <v>45442</v>
      </c>
      <c r="L19">
        <v>0.50017999999999996</v>
      </c>
    </row>
    <row r="20" spans="1:12" x14ac:dyDescent="0.35">
      <c r="A20" t="s">
        <v>24</v>
      </c>
      <c r="B20" s="79"/>
      <c r="C20" s="79"/>
      <c r="D20" t="s">
        <v>26</v>
      </c>
      <c r="E20" s="79"/>
      <c r="F20">
        <v>1</v>
      </c>
      <c r="G20">
        <v>2</v>
      </c>
      <c r="H20">
        <v>1</v>
      </c>
      <c r="I20">
        <v>2</v>
      </c>
      <c r="J20" s="79"/>
      <c r="K20" s="122">
        <v>45461</v>
      </c>
      <c r="L20">
        <v>0.85399999999999998</v>
      </c>
    </row>
    <row r="21" spans="1:12" x14ac:dyDescent="0.35">
      <c r="A21" t="s">
        <v>24</v>
      </c>
      <c r="B21" s="79"/>
      <c r="C21" s="79"/>
      <c r="D21" t="s">
        <v>26</v>
      </c>
      <c r="E21" s="79"/>
      <c r="F21">
        <v>1</v>
      </c>
      <c r="G21">
        <v>2</v>
      </c>
      <c r="H21">
        <v>1</v>
      </c>
      <c r="I21">
        <v>2</v>
      </c>
      <c r="J21" s="79"/>
      <c r="K21" s="122">
        <v>45477</v>
      </c>
      <c r="L21">
        <v>0.89736000000000005</v>
      </c>
    </row>
    <row r="22" spans="1:12" x14ac:dyDescent="0.35">
      <c r="A22" t="s">
        <v>24</v>
      </c>
      <c r="B22" s="79"/>
      <c r="C22" s="79"/>
      <c r="D22" t="s">
        <v>26</v>
      </c>
      <c r="E22" s="79"/>
      <c r="F22">
        <v>1</v>
      </c>
      <c r="G22">
        <v>2</v>
      </c>
      <c r="H22">
        <v>1</v>
      </c>
      <c r="I22">
        <v>2</v>
      </c>
      <c r="J22" s="79"/>
      <c r="K22" s="122">
        <v>45510</v>
      </c>
      <c r="L22">
        <v>0.89076999999999995</v>
      </c>
    </row>
    <row r="23" spans="1:12" x14ac:dyDescent="0.35">
      <c r="A23" t="s">
        <v>24</v>
      </c>
      <c r="B23" s="79"/>
      <c r="C23" s="79"/>
      <c r="D23" t="s">
        <v>26</v>
      </c>
      <c r="E23" s="79"/>
      <c r="F23">
        <v>1</v>
      </c>
      <c r="G23">
        <v>2</v>
      </c>
      <c r="H23">
        <v>1</v>
      </c>
      <c r="I23">
        <v>2</v>
      </c>
      <c r="J23" s="79"/>
      <c r="K23" s="122">
        <v>45519</v>
      </c>
      <c r="L23">
        <v>0.87536000000000003</v>
      </c>
    </row>
    <row r="24" spans="1:12" x14ac:dyDescent="0.35">
      <c r="A24" t="s">
        <v>24</v>
      </c>
      <c r="B24" s="79"/>
      <c r="C24" s="79"/>
      <c r="D24" t="s">
        <v>26</v>
      </c>
      <c r="E24" s="79"/>
      <c r="F24">
        <v>1</v>
      </c>
      <c r="G24">
        <v>2</v>
      </c>
      <c r="H24">
        <v>1</v>
      </c>
      <c r="I24">
        <v>2</v>
      </c>
      <c r="J24" s="79"/>
      <c r="K24" s="122">
        <v>45530</v>
      </c>
      <c r="L24">
        <v>0.89900000000000002</v>
      </c>
    </row>
    <row r="25" spans="1:12" x14ac:dyDescent="0.35">
      <c r="A25" t="s">
        <v>24</v>
      </c>
      <c r="B25" s="79"/>
      <c r="C25" s="79"/>
      <c r="D25" t="s">
        <v>26</v>
      </c>
      <c r="E25" s="79"/>
      <c r="F25">
        <v>1</v>
      </c>
      <c r="G25">
        <v>2</v>
      </c>
      <c r="H25">
        <v>1</v>
      </c>
      <c r="I25">
        <v>2</v>
      </c>
      <c r="J25" s="79"/>
      <c r="K25" s="122">
        <v>45538</v>
      </c>
      <c r="L25">
        <v>0.93616999999999995</v>
      </c>
    </row>
    <row r="26" spans="1:12" x14ac:dyDescent="0.35">
      <c r="A26" t="s">
        <v>24</v>
      </c>
      <c r="B26" s="71"/>
      <c r="C26" s="72"/>
      <c r="D26" t="s">
        <v>26</v>
      </c>
      <c r="E26" s="71"/>
      <c r="F26">
        <v>1</v>
      </c>
      <c r="G26">
        <v>2</v>
      </c>
      <c r="H26">
        <v>1</v>
      </c>
      <c r="I26">
        <v>2</v>
      </c>
      <c r="J26" s="6"/>
      <c r="K26" s="122">
        <v>45547</v>
      </c>
      <c r="L26">
        <v>0.94225000000000003</v>
      </c>
    </row>
    <row r="27" spans="1:12" x14ac:dyDescent="0.35">
      <c r="A27" t="s">
        <v>24</v>
      </c>
      <c r="D27" t="s">
        <v>26</v>
      </c>
      <c r="F27">
        <v>1</v>
      </c>
      <c r="G27">
        <v>2</v>
      </c>
      <c r="H27">
        <v>1</v>
      </c>
      <c r="I27">
        <v>2</v>
      </c>
      <c r="J27" s="6"/>
      <c r="K27" s="122">
        <v>45553</v>
      </c>
      <c r="L27">
        <v>0.94840000000000002</v>
      </c>
    </row>
    <row r="28" spans="1:12" x14ac:dyDescent="0.35">
      <c r="A28" t="s">
        <v>24</v>
      </c>
      <c r="D28" t="s">
        <v>26</v>
      </c>
      <c r="F28">
        <v>1</v>
      </c>
      <c r="G28">
        <v>2</v>
      </c>
      <c r="H28">
        <v>1</v>
      </c>
      <c r="I28">
        <v>2</v>
      </c>
      <c r="J28" s="6"/>
      <c r="K28" s="122">
        <v>45936</v>
      </c>
      <c r="L28">
        <v>0.87670000000000003</v>
      </c>
    </row>
    <row r="29" spans="1:12" x14ac:dyDescent="0.35">
      <c r="A29" t="s">
        <v>24</v>
      </c>
      <c r="D29" t="s">
        <v>26</v>
      </c>
      <c r="F29">
        <v>1</v>
      </c>
      <c r="G29">
        <v>2</v>
      </c>
      <c r="H29">
        <v>1</v>
      </c>
      <c r="I29">
        <v>2</v>
      </c>
      <c r="J29" s="6"/>
      <c r="K29" s="122">
        <v>45944</v>
      </c>
      <c r="L29">
        <v>0.79657</v>
      </c>
    </row>
    <row r="30" spans="1:12" x14ac:dyDescent="0.35">
      <c r="A30" t="s">
        <v>24</v>
      </c>
      <c r="D30" t="s">
        <v>26</v>
      </c>
      <c r="F30">
        <v>1</v>
      </c>
      <c r="G30">
        <v>2</v>
      </c>
      <c r="H30">
        <v>1</v>
      </c>
      <c r="I30">
        <v>2</v>
      </c>
      <c r="J30" s="6"/>
      <c r="K30" s="122">
        <v>45590</v>
      </c>
      <c r="L30">
        <v>0.58886000000000005</v>
      </c>
    </row>
    <row r="31" spans="1:12" x14ac:dyDescent="0.35">
      <c r="A31" t="s">
        <v>24</v>
      </c>
      <c r="D31" t="s">
        <v>26</v>
      </c>
      <c r="F31">
        <v>1</v>
      </c>
      <c r="G31">
        <v>2</v>
      </c>
      <c r="H31">
        <v>1</v>
      </c>
      <c r="I31">
        <v>2</v>
      </c>
      <c r="J31" s="6"/>
      <c r="K31" s="122">
        <v>45596</v>
      </c>
      <c r="L31">
        <v>0.36677999999999999</v>
      </c>
    </row>
    <row r="32" spans="1:12" x14ac:dyDescent="0.35">
      <c r="A32" t="s">
        <v>24</v>
      </c>
      <c r="D32" t="s">
        <v>26</v>
      </c>
      <c r="F32">
        <v>1</v>
      </c>
      <c r="G32">
        <v>2</v>
      </c>
      <c r="H32">
        <v>1</v>
      </c>
      <c r="I32">
        <v>2</v>
      </c>
      <c r="J32" s="6"/>
      <c r="K32" s="122">
        <v>45968</v>
      </c>
      <c r="L32">
        <v>0.2172</v>
      </c>
    </row>
    <row r="33" spans="1:12" x14ac:dyDescent="0.35">
      <c r="A33" t="s">
        <v>24</v>
      </c>
      <c r="D33" t="s">
        <v>26</v>
      </c>
      <c r="F33">
        <v>1</v>
      </c>
      <c r="G33">
        <v>2</v>
      </c>
      <c r="H33">
        <v>1</v>
      </c>
      <c r="I33">
        <v>2</v>
      </c>
      <c r="J33" s="6"/>
      <c r="K33" s="122">
        <v>45975</v>
      </c>
      <c r="L33">
        <v>0.17257</v>
      </c>
    </row>
    <row r="34" spans="1:12" x14ac:dyDescent="0.35">
      <c r="A34" t="s">
        <v>24</v>
      </c>
      <c r="B34" s="79"/>
      <c r="C34" s="79"/>
      <c r="D34" t="s">
        <v>335</v>
      </c>
      <c r="E34" s="79"/>
      <c r="F34">
        <v>1</v>
      </c>
      <c r="G34">
        <v>3</v>
      </c>
      <c r="H34">
        <v>1</v>
      </c>
      <c r="I34">
        <v>3</v>
      </c>
      <c r="J34" s="79"/>
      <c r="K34" s="122">
        <v>45421</v>
      </c>
      <c r="L34">
        <v>0.13314000000000001</v>
      </c>
    </row>
    <row r="35" spans="1:12" x14ac:dyDescent="0.35">
      <c r="A35" t="s">
        <v>24</v>
      </c>
      <c r="B35" s="79"/>
      <c r="C35" s="79"/>
      <c r="D35" t="s">
        <v>335</v>
      </c>
      <c r="E35" s="79"/>
      <c r="F35">
        <v>1</v>
      </c>
      <c r="G35">
        <v>3</v>
      </c>
      <c r="H35">
        <v>1</v>
      </c>
      <c r="I35">
        <v>3</v>
      </c>
      <c r="J35" s="79"/>
      <c r="K35" s="122">
        <v>45442</v>
      </c>
      <c r="L35">
        <v>0.48916999999999999</v>
      </c>
    </row>
    <row r="36" spans="1:12" x14ac:dyDescent="0.35">
      <c r="A36" t="s">
        <v>24</v>
      </c>
      <c r="B36" s="79"/>
      <c r="C36" s="79"/>
      <c r="D36" t="s">
        <v>335</v>
      </c>
      <c r="E36" s="79"/>
      <c r="F36">
        <v>1</v>
      </c>
      <c r="G36">
        <v>3</v>
      </c>
      <c r="H36">
        <v>1</v>
      </c>
      <c r="I36">
        <v>3</v>
      </c>
      <c r="J36" s="79"/>
      <c r="K36" s="122">
        <v>45461</v>
      </c>
      <c r="L36">
        <v>0.86326999999999998</v>
      </c>
    </row>
    <row r="37" spans="1:12" x14ac:dyDescent="0.35">
      <c r="A37" t="s">
        <v>24</v>
      </c>
      <c r="B37" s="79"/>
      <c r="C37" s="79"/>
      <c r="D37" t="s">
        <v>335</v>
      </c>
      <c r="E37" s="79"/>
      <c r="F37">
        <v>1</v>
      </c>
      <c r="G37">
        <v>3</v>
      </c>
      <c r="H37">
        <v>1</v>
      </c>
      <c r="I37">
        <v>3</v>
      </c>
      <c r="J37" s="79"/>
      <c r="K37" s="122">
        <v>45477</v>
      </c>
      <c r="L37">
        <v>0.87878000000000001</v>
      </c>
    </row>
    <row r="38" spans="1:12" x14ac:dyDescent="0.35">
      <c r="A38" t="s">
        <v>24</v>
      </c>
      <c r="B38" s="79"/>
      <c r="C38" s="79"/>
      <c r="D38" t="s">
        <v>335</v>
      </c>
      <c r="E38" s="79"/>
      <c r="F38">
        <v>1</v>
      </c>
      <c r="G38">
        <v>3</v>
      </c>
      <c r="H38">
        <v>1</v>
      </c>
      <c r="I38">
        <v>3</v>
      </c>
      <c r="J38" s="79"/>
      <c r="K38" s="122">
        <v>45510</v>
      </c>
      <c r="L38">
        <v>0.86890999999999996</v>
      </c>
    </row>
    <row r="39" spans="1:12" x14ac:dyDescent="0.35">
      <c r="A39" t="s">
        <v>24</v>
      </c>
      <c r="B39" s="79"/>
      <c r="C39" s="79"/>
      <c r="D39" t="s">
        <v>335</v>
      </c>
      <c r="E39" s="79"/>
      <c r="F39">
        <v>1</v>
      </c>
      <c r="G39">
        <v>3</v>
      </c>
      <c r="H39">
        <v>1</v>
      </c>
      <c r="I39">
        <v>3</v>
      </c>
      <c r="J39" s="79"/>
      <c r="K39" s="122">
        <v>45519</v>
      </c>
      <c r="L39">
        <v>0.85138000000000003</v>
      </c>
    </row>
    <row r="40" spans="1:12" x14ac:dyDescent="0.35">
      <c r="A40" t="s">
        <v>24</v>
      </c>
      <c r="B40" s="79"/>
      <c r="C40" s="79"/>
      <c r="D40" t="s">
        <v>335</v>
      </c>
      <c r="E40" s="79"/>
      <c r="F40">
        <v>1</v>
      </c>
      <c r="G40">
        <v>3</v>
      </c>
      <c r="H40">
        <v>1</v>
      </c>
      <c r="I40">
        <v>3</v>
      </c>
      <c r="J40" s="79"/>
      <c r="K40" s="122">
        <v>45530</v>
      </c>
      <c r="L40">
        <v>0.87419999999999998</v>
      </c>
    </row>
    <row r="41" spans="1:12" x14ac:dyDescent="0.35">
      <c r="A41" t="s">
        <v>24</v>
      </c>
      <c r="B41" s="79"/>
      <c r="C41" s="79"/>
      <c r="D41" t="s">
        <v>335</v>
      </c>
      <c r="E41" s="79"/>
      <c r="F41">
        <v>1</v>
      </c>
      <c r="G41">
        <v>3</v>
      </c>
      <c r="H41">
        <v>1</v>
      </c>
      <c r="I41">
        <v>3</v>
      </c>
      <c r="J41" s="79"/>
      <c r="K41" s="122">
        <v>45538</v>
      </c>
      <c r="L41">
        <v>0.93074999999999997</v>
      </c>
    </row>
    <row r="42" spans="1:12" x14ac:dyDescent="0.35">
      <c r="A42" t="s">
        <v>24</v>
      </c>
      <c r="D42" t="s">
        <v>335</v>
      </c>
      <c r="F42">
        <v>1</v>
      </c>
      <c r="G42">
        <v>3</v>
      </c>
      <c r="H42">
        <v>1</v>
      </c>
      <c r="I42">
        <v>3</v>
      </c>
      <c r="J42" s="6"/>
      <c r="K42" s="122">
        <v>45547</v>
      </c>
      <c r="L42">
        <v>0.93730000000000002</v>
      </c>
    </row>
    <row r="43" spans="1:12" x14ac:dyDescent="0.35">
      <c r="A43" t="s">
        <v>24</v>
      </c>
      <c r="D43" t="s">
        <v>335</v>
      </c>
      <c r="F43">
        <v>1</v>
      </c>
      <c r="G43">
        <v>3</v>
      </c>
      <c r="H43">
        <v>1</v>
      </c>
      <c r="I43">
        <v>3</v>
      </c>
      <c r="J43" s="6"/>
      <c r="K43" s="122">
        <v>45553</v>
      </c>
      <c r="L43">
        <v>0.94684999999999997</v>
      </c>
    </row>
    <row r="44" spans="1:12" x14ac:dyDescent="0.35">
      <c r="A44" t="s">
        <v>24</v>
      </c>
      <c r="D44" t="s">
        <v>335</v>
      </c>
      <c r="F44">
        <v>1</v>
      </c>
      <c r="G44">
        <v>3</v>
      </c>
      <c r="H44">
        <v>1</v>
      </c>
      <c r="I44">
        <v>3</v>
      </c>
      <c r="J44" s="6"/>
      <c r="K44" s="122">
        <v>45936</v>
      </c>
      <c r="L44">
        <v>0.89200000000000002</v>
      </c>
    </row>
    <row r="45" spans="1:12" x14ac:dyDescent="0.35">
      <c r="A45" t="s">
        <v>24</v>
      </c>
      <c r="D45" t="s">
        <v>335</v>
      </c>
      <c r="F45">
        <v>1</v>
      </c>
      <c r="G45">
        <v>3</v>
      </c>
      <c r="H45">
        <v>1</v>
      </c>
      <c r="I45">
        <v>3</v>
      </c>
      <c r="J45" s="6"/>
      <c r="K45" s="122">
        <v>45944</v>
      </c>
      <c r="L45">
        <v>0.78788000000000002</v>
      </c>
    </row>
    <row r="46" spans="1:12" x14ac:dyDescent="0.35">
      <c r="A46" t="s">
        <v>24</v>
      </c>
      <c r="D46" t="s">
        <v>335</v>
      </c>
      <c r="F46">
        <v>1</v>
      </c>
      <c r="G46">
        <v>3</v>
      </c>
      <c r="H46">
        <v>1</v>
      </c>
      <c r="I46">
        <v>3</v>
      </c>
      <c r="J46" s="6"/>
      <c r="K46" s="122">
        <v>45590</v>
      </c>
      <c r="L46">
        <v>0.55686000000000002</v>
      </c>
    </row>
    <row r="47" spans="1:12" x14ac:dyDescent="0.35">
      <c r="A47" t="s">
        <v>24</v>
      </c>
      <c r="D47" t="s">
        <v>335</v>
      </c>
      <c r="F47">
        <v>1</v>
      </c>
      <c r="G47">
        <v>3</v>
      </c>
      <c r="H47">
        <v>1</v>
      </c>
      <c r="I47">
        <v>3</v>
      </c>
      <c r="J47" s="6"/>
      <c r="K47" s="122">
        <v>45596</v>
      </c>
      <c r="L47">
        <v>0.30377999999999999</v>
      </c>
    </row>
    <row r="48" spans="1:12" x14ac:dyDescent="0.35">
      <c r="A48" t="s">
        <v>24</v>
      </c>
      <c r="D48" t="s">
        <v>335</v>
      </c>
      <c r="F48">
        <v>1</v>
      </c>
      <c r="G48">
        <v>3</v>
      </c>
      <c r="H48">
        <v>1</v>
      </c>
      <c r="I48">
        <v>3</v>
      </c>
      <c r="J48" s="6"/>
      <c r="K48" s="122">
        <v>45968</v>
      </c>
      <c r="L48">
        <v>0.21043000000000001</v>
      </c>
    </row>
    <row r="49" spans="1:12" x14ac:dyDescent="0.35">
      <c r="A49" t="s">
        <v>24</v>
      </c>
      <c r="D49" t="s">
        <v>335</v>
      </c>
      <c r="F49">
        <v>1</v>
      </c>
      <c r="G49">
        <v>3</v>
      </c>
      <c r="H49">
        <v>1</v>
      </c>
      <c r="I49">
        <v>3</v>
      </c>
      <c r="J49" s="6"/>
      <c r="K49" s="122">
        <v>45975</v>
      </c>
      <c r="L49">
        <v>0.20688000000000001</v>
      </c>
    </row>
    <row r="50" spans="1:12" x14ac:dyDescent="0.35">
      <c r="A50" t="s">
        <v>24</v>
      </c>
      <c r="B50" s="79"/>
      <c r="C50" s="79"/>
      <c r="D50" t="s">
        <v>29</v>
      </c>
      <c r="E50" s="79"/>
      <c r="F50">
        <v>1</v>
      </c>
      <c r="G50">
        <v>4</v>
      </c>
      <c r="H50">
        <v>1</v>
      </c>
      <c r="I50">
        <v>4</v>
      </c>
      <c r="J50" s="79"/>
      <c r="K50" s="122">
        <v>45421</v>
      </c>
      <c r="L50">
        <v>0.128</v>
      </c>
    </row>
    <row r="51" spans="1:12" x14ac:dyDescent="0.35">
      <c r="A51" t="s">
        <v>24</v>
      </c>
      <c r="B51" s="79"/>
      <c r="C51" s="79"/>
      <c r="D51" t="s">
        <v>29</v>
      </c>
      <c r="E51" s="79"/>
      <c r="F51">
        <v>1</v>
      </c>
      <c r="G51">
        <v>4</v>
      </c>
      <c r="H51">
        <v>1</v>
      </c>
      <c r="I51">
        <v>4</v>
      </c>
      <c r="J51" s="79"/>
      <c r="K51" s="122">
        <v>45442</v>
      </c>
      <c r="L51">
        <v>0.42399999999999999</v>
      </c>
    </row>
    <row r="52" spans="1:12" x14ac:dyDescent="0.35">
      <c r="A52" t="s">
        <v>24</v>
      </c>
      <c r="B52" s="79"/>
      <c r="C52" s="79"/>
      <c r="D52" t="s">
        <v>29</v>
      </c>
      <c r="E52" s="79"/>
      <c r="F52">
        <v>1</v>
      </c>
      <c r="G52">
        <v>4</v>
      </c>
      <c r="H52">
        <v>1</v>
      </c>
      <c r="I52">
        <v>4</v>
      </c>
      <c r="J52" s="79"/>
      <c r="K52" s="122">
        <v>45461</v>
      </c>
      <c r="L52">
        <v>0.83308000000000004</v>
      </c>
    </row>
    <row r="53" spans="1:12" x14ac:dyDescent="0.35">
      <c r="A53" t="s">
        <v>24</v>
      </c>
      <c r="B53" s="79"/>
      <c r="C53" s="79"/>
      <c r="D53" t="s">
        <v>29</v>
      </c>
      <c r="E53" s="79"/>
      <c r="F53">
        <v>1</v>
      </c>
      <c r="G53">
        <v>4</v>
      </c>
      <c r="H53">
        <v>1</v>
      </c>
      <c r="I53">
        <v>4</v>
      </c>
      <c r="J53" s="79"/>
      <c r="K53" s="122">
        <v>45477</v>
      </c>
      <c r="L53">
        <v>0.88232999999999995</v>
      </c>
    </row>
    <row r="54" spans="1:12" x14ac:dyDescent="0.35">
      <c r="A54" t="s">
        <v>24</v>
      </c>
      <c r="B54" s="79"/>
      <c r="C54" s="79"/>
      <c r="D54" t="s">
        <v>29</v>
      </c>
      <c r="E54" s="79"/>
      <c r="F54">
        <v>1</v>
      </c>
      <c r="G54">
        <v>4</v>
      </c>
      <c r="H54">
        <v>1</v>
      </c>
      <c r="I54">
        <v>4</v>
      </c>
      <c r="J54" s="79"/>
      <c r="K54" s="122">
        <v>45510</v>
      </c>
      <c r="L54">
        <v>0.88158000000000003</v>
      </c>
    </row>
    <row r="55" spans="1:12" x14ac:dyDescent="0.35">
      <c r="A55" t="s">
        <v>24</v>
      </c>
      <c r="B55" s="79"/>
      <c r="C55" s="79"/>
      <c r="D55" t="s">
        <v>29</v>
      </c>
      <c r="E55" s="79"/>
      <c r="F55">
        <v>1</v>
      </c>
      <c r="G55">
        <v>4</v>
      </c>
      <c r="H55">
        <v>1</v>
      </c>
      <c r="I55">
        <v>4</v>
      </c>
      <c r="J55" s="79"/>
      <c r="K55" s="122">
        <v>45519</v>
      </c>
      <c r="L55">
        <v>0.88627</v>
      </c>
    </row>
    <row r="56" spans="1:12" x14ac:dyDescent="0.35">
      <c r="A56" t="s">
        <v>24</v>
      </c>
      <c r="B56" s="79"/>
      <c r="C56" s="79"/>
      <c r="D56" t="s">
        <v>29</v>
      </c>
      <c r="E56" s="79"/>
      <c r="F56">
        <v>1</v>
      </c>
      <c r="G56">
        <v>4</v>
      </c>
      <c r="H56">
        <v>1</v>
      </c>
      <c r="I56">
        <v>4</v>
      </c>
      <c r="J56" s="79"/>
      <c r="K56" s="122">
        <v>45530</v>
      </c>
      <c r="L56">
        <v>0.89917000000000002</v>
      </c>
    </row>
    <row r="57" spans="1:12" x14ac:dyDescent="0.35">
      <c r="A57" t="s">
        <v>24</v>
      </c>
      <c r="B57" s="79"/>
      <c r="C57" s="79"/>
      <c r="D57" t="s">
        <v>29</v>
      </c>
      <c r="E57" s="79"/>
      <c r="F57">
        <v>1</v>
      </c>
      <c r="G57">
        <v>4</v>
      </c>
      <c r="H57">
        <v>1</v>
      </c>
      <c r="I57">
        <v>4</v>
      </c>
      <c r="J57" s="79"/>
      <c r="K57" s="122">
        <v>45538</v>
      </c>
      <c r="L57">
        <v>0.93745999999999996</v>
      </c>
    </row>
    <row r="58" spans="1:12" x14ac:dyDescent="0.35">
      <c r="A58" t="s">
        <v>24</v>
      </c>
      <c r="D58" t="s">
        <v>29</v>
      </c>
      <c r="F58">
        <v>1</v>
      </c>
      <c r="G58">
        <v>4</v>
      </c>
      <c r="H58">
        <v>1</v>
      </c>
      <c r="I58">
        <v>4</v>
      </c>
      <c r="J58" s="6"/>
      <c r="K58" s="122">
        <v>45547</v>
      </c>
      <c r="L58">
        <v>0.95564000000000004</v>
      </c>
    </row>
    <row r="59" spans="1:12" x14ac:dyDescent="0.35">
      <c r="A59" t="s">
        <v>24</v>
      </c>
      <c r="D59" t="s">
        <v>29</v>
      </c>
      <c r="F59">
        <v>1</v>
      </c>
      <c r="G59">
        <v>4</v>
      </c>
      <c r="H59">
        <v>1</v>
      </c>
      <c r="I59">
        <v>4</v>
      </c>
      <c r="J59" s="6"/>
      <c r="K59" s="122">
        <v>45553</v>
      </c>
      <c r="L59">
        <v>0.95792999999999995</v>
      </c>
    </row>
    <row r="60" spans="1:12" x14ac:dyDescent="0.35">
      <c r="A60" t="s">
        <v>24</v>
      </c>
      <c r="D60" t="s">
        <v>29</v>
      </c>
      <c r="F60">
        <v>1</v>
      </c>
      <c r="G60">
        <v>4</v>
      </c>
      <c r="H60">
        <v>1</v>
      </c>
      <c r="I60">
        <v>4</v>
      </c>
      <c r="J60" s="6"/>
      <c r="K60" s="122">
        <v>45936</v>
      </c>
      <c r="L60">
        <v>0.86719999999999997</v>
      </c>
    </row>
    <row r="61" spans="1:12" x14ac:dyDescent="0.35">
      <c r="A61" t="s">
        <v>24</v>
      </c>
      <c r="D61" t="s">
        <v>29</v>
      </c>
      <c r="F61">
        <v>1</v>
      </c>
      <c r="G61">
        <v>4</v>
      </c>
      <c r="H61">
        <v>1</v>
      </c>
      <c r="I61">
        <v>4</v>
      </c>
      <c r="J61" s="6"/>
      <c r="K61" s="122">
        <v>45944</v>
      </c>
      <c r="L61">
        <v>0.82243999999999995</v>
      </c>
    </row>
    <row r="62" spans="1:12" x14ac:dyDescent="0.35">
      <c r="A62" t="s">
        <v>24</v>
      </c>
      <c r="D62" t="s">
        <v>29</v>
      </c>
      <c r="F62">
        <v>1</v>
      </c>
      <c r="G62">
        <v>4</v>
      </c>
      <c r="H62">
        <v>1</v>
      </c>
      <c r="I62">
        <v>4</v>
      </c>
      <c r="J62" s="6"/>
      <c r="K62" s="122">
        <v>45590</v>
      </c>
      <c r="L62">
        <v>0.69289999999999996</v>
      </c>
    </row>
    <row r="63" spans="1:12" x14ac:dyDescent="0.35">
      <c r="A63" t="s">
        <v>24</v>
      </c>
      <c r="D63" t="s">
        <v>29</v>
      </c>
      <c r="F63">
        <v>1</v>
      </c>
      <c r="G63">
        <v>4</v>
      </c>
      <c r="H63">
        <v>1</v>
      </c>
      <c r="I63">
        <v>4</v>
      </c>
      <c r="J63" s="6"/>
      <c r="K63" s="122">
        <v>45596</v>
      </c>
      <c r="L63">
        <v>0.49188999999999999</v>
      </c>
    </row>
    <row r="64" spans="1:12" x14ac:dyDescent="0.35">
      <c r="A64" t="s">
        <v>24</v>
      </c>
      <c r="D64" t="s">
        <v>29</v>
      </c>
      <c r="F64">
        <v>1</v>
      </c>
      <c r="G64">
        <v>4</v>
      </c>
      <c r="H64">
        <v>1</v>
      </c>
      <c r="I64">
        <v>4</v>
      </c>
      <c r="J64" s="6"/>
      <c r="K64" s="122">
        <v>45968</v>
      </c>
      <c r="L64">
        <v>0.26713999999999999</v>
      </c>
    </row>
    <row r="65" spans="1:12" x14ac:dyDescent="0.35">
      <c r="A65" t="s">
        <v>24</v>
      </c>
      <c r="D65" t="s">
        <v>29</v>
      </c>
      <c r="F65">
        <v>1</v>
      </c>
      <c r="G65">
        <v>4</v>
      </c>
      <c r="H65">
        <v>1</v>
      </c>
      <c r="I65">
        <v>4</v>
      </c>
      <c r="J65" s="6"/>
      <c r="K65" s="122">
        <v>45975</v>
      </c>
      <c r="L65">
        <v>0.20471</v>
      </c>
    </row>
    <row r="66" spans="1:12" x14ac:dyDescent="0.35">
      <c r="A66" t="s">
        <v>24</v>
      </c>
      <c r="B66" s="79"/>
      <c r="C66" s="79"/>
      <c r="D66" t="s">
        <v>336</v>
      </c>
      <c r="E66" s="79"/>
      <c r="F66">
        <v>1</v>
      </c>
      <c r="G66">
        <v>5</v>
      </c>
      <c r="H66">
        <v>1</v>
      </c>
      <c r="I66">
        <v>5</v>
      </c>
      <c r="J66" s="79"/>
      <c r="K66" s="122">
        <v>45421</v>
      </c>
      <c r="L66">
        <v>0.14671000000000001</v>
      </c>
    </row>
    <row r="67" spans="1:12" x14ac:dyDescent="0.35">
      <c r="A67" t="s">
        <v>24</v>
      </c>
      <c r="B67" s="79"/>
      <c r="C67" s="79"/>
      <c r="D67" t="s">
        <v>336</v>
      </c>
      <c r="E67" s="79"/>
      <c r="F67">
        <v>1</v>
      </c>
      <c r="G67">
        <v>5</v>
      </c>
      <c r="H67">
        <v>1</v>
      </c>
      <c r="I67">
        <v>5</v>
      </c>
      <c r="J67" s="79"/>
      <c r="K67" s="122">
        <v>45442</v>
      </c>
      <c r="L67">
        <v>0.52192000000000005</v>
      </c>
    </row>
    <row r="68" spans="1:12" x14ac:dyDescent="0.35">
      <c r="A68" t="s">
        <v>24</v>
      </c>
      <c r="B68" s="79"/>
      <c r="C68" s="79"/>
      <c r="D68" t="s">
        <v>336</v>
      </c>
      <c r="E68" s="79"/>
      <c r="F68">
        <v>1</v>
      </c>
      <c r="G68">
        <v>5</v>
      </c>
      <c r="H68">
        <v>1</v>
      </c>
      <c r="I68">
        <v>5</v>
      </c>
      <c r="J68" s="79"/>
      <c r="K68" s="122">
        <v>45461</v>
      </c>
      <c r="L68">
        <v>0.86055000000000004</v>
      </c>
    </row>
    <row r="69" spans="1:12" x14ac:dyDescent="0.35">
      <c r="A69" t="s">
        <v>24</v>
      </c>
      <c r="B69" s="79"/>
      <c r="C69" s="79"/>
      <c r="D69" t="s">
        <v>336</v>
      </c>
      <c r="E69" s="79"/>
      <c r="F69">
        <v>1</v>
      </c>
      <c r="G69">
        <v>5</v>
      </c>
      <c r="H69">
        <v>1</v>
      </c>
      <c r="I69">
        <v>5</v>
      </c>
      <c r="J69" s="79"/>
      <c r="K69" s="122">
        <v>45477</v>
      </c>
      <c r="L69">
        <v>0.88219999999999998</v>
      </c>
    </row>
    <row r="70" spans="1:12" x14ac:dyDescent="0.35">
      <c r="A70" t="s">
        <v>24</v>
      </c>
      <c r="B70" s="79"/>
      <c r="C70" s="79"/>
      <c r="D70" t="s">
        <v>336</v>
      </c>
      <c r="E70" s="79"/>
      <c r="F70">
        <v>1</v>
      </c>
      <c r="G70">
        <v>5</v>
      </c>
      <c r="H70">
        <v>1</v>
      </c>
      <c r="I70">
        <v>5</v>
      </c>
      <c r="J70" s="79"/>
      <c r="K70" s="122">
        <v>45510</v>
      </c>
      <c r="L70">
        <v>0.87417</v>
      </c>
    </row>
    <row r="71" spans="1:12" x14ac:dyDescent="0.35">
      <c r="A71" t="s">
        <v>24</v>
      </c>
      <c r="B71" s="79"/>
      <c r="C71" s="79"/>
      <c r="D71" t="s">
        <v>336</v>
      </c>
      <c r="E71" s="79"/>
      <c r="F71">
        <v>1</v>
      </c>
      <c r="G71">
        <v>5</v>
      </c>
      <c r="H71">
        <v>1</v>
      </c>
      <c r="I71">
        <v>5</v>
      </c>
      <c r="J71" s="79"/>
      <c r="K71" s="122">
        <v>45519</v>
      </c>
      <c r="L71">
        <v>0.85299999999999998</v>
      </c>
    </row>
    <row r="72" spans="1:12" x14ac:dyDescent="0.35">
      <c r="A72" t="s">
        <v>24</v>
      </c>
      <c r="B72" s="79"/>
      <c r="C72" s="79"/>
      <c r="D72" t="s">
        <v>336</v>
      </c>
      <c r="E72" s="79"/>
      <c r="F72">
        <v>1</v>
      </c>
      <c r="G72">
        <v>5</v>
      </c>
      <c r="H72">
        <v>1</v>
      </c>
      <c r="I72">
        <v>5</v>
      </c>
      <c r="J72" s="79"/>
      <c r="K72" s="122">
        <v>45530</v>
      </c>
      <c r="L72">
        <v>0.87024999999999997</v>
      </c>
    </row>
    <row r="73" spans="1:12" x14ac:dyDescent="0.35">
      <c r="A73" t="s">
        <v>24</v>
      </c>
      <c r="B73" s="79"/>
      <c r="C73" s="79"/>
      <c r="D73" t="s">
        <v>336</v>
      </c>
      <c r="E73" s="79"/>
      <c r="F73">
        <v>1</v>
      </c>
      <c r="G73">
        <v>5</v>
      </c>
      <c r="H73">
        <v>1</v>
      </c>
      <c r="I73">
        <v>5</v>
      </c>
      <c r="J73" s="79"/>
      <c r="K73" s="122">
        <v>45538</v>
      </c>
      <c r="L73">
        <v>0.91085000000000005</v>
      </c>
    </row>
    <row r="74" spans="1:12" x14ac:dyDescent="0.35">
      <c r="A74" t="s">
        <v>24</v>
      </c>
      <c r="D74" t="s">
        <v>336</v>
      </c>
      <c r="F74">
        <v>1</v>
      </c>
      <c r="G74">
        <v>5</v>
      </c>
      <c r="H74">
        <v>1</v>
      </c>
      <c r="I74">
        <v>5</v>
      </c>
      <c r="J74" s="6"/>
      <c r="K74" s="122">
        <v>45547</v>
      </c>
      <c r="L74">
        <v>0.95125000000000004</v>
      </c>
    </row>
    <row r="75" spans="1:12" x14ac:dyDescent="0.35">
      <c r="A75" t="s">
        <v>24</v>
      </c>
      <c r="D75" t="s">
        <v>336</v>
      </c>
      <c r="F75">
        <v>1</v>
      </c>
      <c r="G75">
        <v>5</v>
      </c>
      <c r="H75">
        <v>1</v>
      </c>
      <c r="I75">
        <v>5</v>
      </c>
      <c r="J75" s="6"/>
      <c r="K75" s="122">
        <v>45553</v>
      </c>
      <c r="L75">
        <v>0.95721000000000001</v>
      </c>
    </row>
    <row r="76" spans="1:12" x14ac:dyDescent="0.35">
      <c r="A76" t="s">
        <v>24</v>
      </c>
      <c r="D76" t="s">
        <v>336</v>
      </c>
      <c r="F76">
        <v>1</v>
      </c>
      <c r="G76">
        <v>5</v>
      </c>
      <c r="H76">
        <v>1</v>
      </c>
      <c r="I76">
        <v>5</v>
      </c>
      <c r="J76" s="6"/>
      <c r="K76" s="122">
        <v>45936</v>
      </c>
      <c r="L76">
        <v>0.90844999999999998</v>
      </c>
    </row>
    <row r="77" spans="1:12" x14ac:dyDescent="0.35">
      <c r="A77" t="s">
        <v>24</v>
      </c>
      <c r="D77" t="s">
        <v>336</v>
      </c>
      <c r="F77">
        <v>1</v>
      </c>
      <c r="G77">
        <v>5</v>
      </c>
      <c r="H77">
        <v>1</v>
      </c>
      <c r="I77">
        <v>5</v>
      </c>
      <c r="J77" s="6"/>
      <c r="K77" s="122">
        <v>45944</v>
      </c>
      <c r="L77">
        <v>0.82250000000000001</v>
      </c>
    </row>
    <row r="78" spans="1:12" x14ac:dyDescent="0.35">
      <c r="A78" t="s">
        <v>24</v>
      </c>
      <c r="D78" t="s">
        <v>336</v>
      </c>
      <c r="F78">
        <v>1</v>
      </c>
      <c r="G78">
        <v>5</v>
      </c>
      <c r="H78">
        <v>1</v>
      </c>
      <c r="I78">
        <v>5</v>
      </c>
      <c r="J78" s="6"/>
      <c r="K78" s="122">
        <v>45590</v>
      </c>
      <c r="L78">
        <v>0.79849999999999999</v>
      </c>
    </row>
    <row r="79" spans="1:12" x14ac:dyDescent="0.35">
      <c r="A79" t="s">
        <v>24</v>
      </c>
      <c r="D79" t="s">
        <v>336</v>
      </c>
      <c r="F79">
        <v>1</v>
      </c>
      <c r="G79">
        <v>5</v>
      </c>
      <c r="H79">
        <v>1</v>
      </c>
      <c r="I79">
        <v>5</v>
      </c>
      <c r="J79" s="6"/>
      <c r="K79" s="122">
        <v>45596</v>
      </c>
      <c r="L79">
        <v>0.60912999999999995</v>
      </c>
    </row>
    <row r="80" spans="1:12" x14ac:dyDescent="0.35">
      <c r="A80" t="s">
        <v>24</v>
      </c>
      <c r="D80" t="s">
        <v>336</v>
      </c>
      <c r="F80">
        <v>1</v>
      </c>
      <c r="G80">
        <v>5</v>
      </c>
      <c r="H80">
        <v>1</v>
      </c>
      <c r="I80">
        <v>5</v>
      </c>
      <c r="J80" s="6"/>
      <c r="K80" s="122">
        <v>45968</v>
      </c>
      <c r="L80">
        <v>0.3125</v>
      </c>
    </row>
    <row r="81" spans="1:12" x14ac:dyDescent="0.35">
      <c r="A81" t="s">
        <v>24</v>
      </c>
      <c r="D81" t="s">
        <v>336</v>
      </c>
      <c r="F81">
        <v>1</v>
      </c>
      <c r="G81">
        <v>5</v>
      </c>
      <c r="H81">
        <v>1</v>
      </c>
      <c r="I81">
        <v>5</v>
      </c>
      <c r="J81" s="6"/>
      <c r="K81" s="122">
        <v>45975</v>
      </c>
      <c r="L81">
        <v>0.21757000000000001</v>
      </c>
    </row>
    <row r="82" spans="1:12" x14ac:dyDescent="0.35">
      <c r="A82" t="s">
        <v>24</v>
      </c>
      <c r="B82" s="79"/>
      <c r="C82" s="79"/>
      <c r="D82" t="s">
        <v>32</v>
      </c>
      <c r="E82" s="79"/>
      <c r="F82">
        <v>1</v>
      </c>
      <c r="G82">
        <v>6</v>
      </c>
      <c r="H82">
        <v>1</v>
      </c>
      <c r="I82">
        <v>6</v>
      </c>
      <c r="J82" s="79"/>
      <c r="K82" s="122">
        <v>45421</v>
      </c>
      <c r="L82">
        <v>0.13233</v>
      </c>
    </row>
    <row r="83" spans="1:12" x14ac:dyDescent="0.35">
      <c r="A83" t="s">
        <v>24</v>
      </c>
      <c r="B83" s="79"/>
      <c r="C83" s="79"/>
      <c r="D83" t="s">
        <v>32</v>
      </c>
      <c r="E83" s="79"/>
      <c r="F83">
        <v>1</v>
      </c>
      <c r="G83">
        <v>6</v>
      </c>
      <c r="H83">
        <v>1</v>
      </c>
      <c r="I83">
        <v>6</v>
      </c>
      <c r="J83" s="79"/>
      <c r="K83" s="122">
        <v>45442</v>
      </c>
      <c r="L83">
        <v>0.47527000000000003</v>
      </c>
    </row>
    <row r="84" spans="1:12" x14ac:dyDescent="0.35">
      <c r="A84" t="s">
        <v>24</v>
      </c>
      <c r="B84" s="79"/>
      <c r="C84" s="79"/>
      <c r="D84" t="s">
        <v>32</v>
      </c>
      <c r="E84" s="79"/>
      <c r="F84">
        <v>1</v>
      </c>
      <c r="G84">
        <v>6</v>
      </c>
      <c r="H84">
        <v>1</v>
      </c>
      <c r="I84">
        <v>6</v>
      </c>
      <c r="J84" s="79"/>
      <c r="K84" s="122">
        <v>45461</v>
      </c>
      <c r="L84">
        <v>0.84326999999999996</v>
      </c>
    </row>
    <row r="85" spans="1:12" x14ac:dyDescent="0.35">
      <c r="A85" t="s">
        <v>24</v>
      </c>
      <c r="B85" s="79"/>
      <c r="C85" s="79"/>
      <c r="D85" t="s">
        <v>32</v>
      </c>
      <c r="E85" s="79"/>
      <c r="F85">
        <v>1</v>
      </c>
      <c r="G85">
        <v>6</v>
      </c>
      <c r="H85">
        <v>1</v>
      </c>
      <c r="I85">
        <v>6</v>
      </c>
      <c r="J85" s="79"/>
      <c r="K85" s="122">
        <v>45477</v>
      </c>
      <c r="L85">
        <v>0.88807999999999998</v>
      </c>
    </row>
    <row r="86" spans="1:12" x14ac:dyDescent="0.35">
      <c r="A86" t="s">
        <v>24</v>
      </c>
      <c r="B86" s="79"/>
      <c r="C86" s="79"/>
      <c r="D86" t="s">
        <v>32</v>
      </c>
      <c r="E86" s="79"/>
      <c r="F86">
        <v>1</v>
      </c>
      <c r="G86">
        <v>6</v>
      </c>
      <c r="H86">
        <v>1</v>
      </c>
      <c r="I86">
        <v>6</v>
      </c>
      <c r="J86" s="79"/>
      <c r="K86" s="122">
        <v>45510</v>
      </c>
      <c r="L86">
        <v>0.86192000000000002</v>
      </c>
    </row>
    <row r="87" spans="1:12" x14ac:dyDescent="0.35">
      <c r="A87" t="s">
        <v>24</v>
      </c>
      <c r="B87" s="79"/>
      <c r="C87" s="79"/>
      <c r="D87" t="s">
        <v>32</v>
      </c>
      <c r="E87" s="79"/>
      <c r="F87">
        <v>1</v>
      </c>
      <c r="G87">
        <v>6</v>
      </c>
      <c r="H87">
        <v>1</v>
      </c>
      <c r="I87">
        <v>6</v>
      </c>
      <c r="J87" s="79"/>
      <c r="K87" s="122">
        <v>45519</v>
      </c>
      <c r="L87">
        <v>0.82891000000000004</v>
      </c>
    </row>
    <row r="88" spans="1:12" x14ac:dyDescent="0.35">
      <c r="A88" t="s">
        <v>24</v>
      </c>
      <c r="B88" s="79"/>
      <c r="C88" s="79"/>
      <c r="D88" t="s">
        <v>32</v>
      </c>
      <c r="E88" s="79"/>
      <c r="F88">
        <v>1</v>
      </c>
      <c r="G88">
        <v>6</v>
      </c>
      <c r="H88">
        <v>1</v>
      </c>
      <c r="I88">
        <v>6</v>
      </c>
      <c r="J88" s="79"/>
      <c r="K88" s="122">
        <v>45530</v>
      </c>
      <c r="L88">
        <v>0.86733000000000005</v>
      </c>
    </row>
    <row r="89" spans="1:12" x14ac:dyDescent="0.35">
      <c r="A89" t="s">
        <v>24</v>
      </c>
      <c r="B89" s="79"/>
      <c r="C89" s="79"/>
      <c r="D89" t="s">
        <v>32</v>
      </c>
      <c r="E89" s="79"/>
      <c r="F89">
        <v>1</v>
      </c>
      <c r="G89">
        <v>6</v>
      </c>
      <c r="H89">
        <v>1</v>
      </c>
      <c r="I89">
        <v>6</v>
      </c>
      <c r="J89" s="79"/>
      <c r="K89" s="122">
        <v>45538</v>
      </c>
      <c r="L89">
        <v>0.90754999999999997</v>
      </c>
    </row>
    <row r="90" spans="1:12" x14ac:dyDescent="0.35">
      <c r="A90" t="s">
        <v>24</v>
      </c>
      <c r="B90" s="71"/>
      <c r="C90" s="72"/>
      <c r="D90" t="s">
        <v>32</v>
      </c>
      <c r="E90" s="71"/>
      <c r="F90">
        <v>1</v>
      </c>
      <c r="G90">
        <v>6</v>
      </c>
      <c r="H90">
        <v>1</v>
      </c>
      <c r="I90">
        <v>6</v>
      </c>
      <c r="J90" s="6"/>
      <c r="K90" s="122">
        <v>45547</v>
      </c>
      <c r="L90">
        <v>0.95072999999999996</v>
      </c>
    </row>
    <row r="91" spans="1:12" x14ac:dyDescent="0.35">
      <c r="A91" t="s">
        <v>24</v>
      </c>
      <c r="D91" t="s">
        <v>32</v>
      </c>
      <c r="F91">
        <v>1</v>
      </c>
      <c r="G91">
        <v>6</v>
      </c>
      <c r="H91">
        <v>1</v>
      </c>
      <c r="I91">
        <v>6</v>
      </c>
      <c r="J91" s="6"/>
      <c r="K91" s="122">
        <v>45553</v>
      </c>
      <c r="L91">
        <v>0.94757000000000002</v>
      </c>
    </row>
    <row r="92" spans="1:12" x14ac:dyDescent="0.35">
      <c r="A92" t="s">
        <v>24</v>
      </c>
      <c r="D92" t="s">
        <v>32</v>
      </c>
      <c r="F92">
        <v>1</v>
      </c>
      <c r="G92">
        <v>6</v>
      </c>
      <c r="H92">
        <v>1</v>
      </c>
      <c r="I92">
        <v>6</v>
      </c>
      <c r="J92" s="6"/>
      <c r="K92" s="122">
        <v>45936</v>
      </c>
      <c r="L92">
        <v>0.84199999999999997</v>
      </c>
    </row>
    <row r="93" spans="1:12" x14ac:dyDescent="0.35">
      <c r="A93" t="s">
        <v>24</v>
      </c>
      <c r="D93" t="s">
        <v>32</v>
      </c>
      <c r="F93">
        <v>1</v>
      </c>
      <c r="G93">
        <v>6</v>
      </c>
      <c r="H93">
        <v>1</v>
      </c>
      <c r="I93">
        <v>6</v>
      </c>
      <c r="J93" s="6"/>
      <c r="K93" s="122">
        <v>45944</v>
      </c>
      <c r="L93">
        <v>0.77400000000000002</v>
      </c>
    </row>
    <row r="94" spans="1:12" x14ac:dyDescent="0.35">
      <c r="A94" t="s">
        <v>24</v>
      </c>
      <c r="D94" t="s">
        <v>32</v>
      </c>
      <c r="F94">
        <v>1</v>
      </c>
      <c r="G94">
        <v>6</v>
      </c>
      <c r="H94">
        <v>1</v>
      </c>
      <c r="I94">
        <v>6</v>
      </c>
      <c r="J94" s="6"/>
      <c r="K94" s="122">
        <v>45590</v>
      </c>
      <c r="L94">
        <v>0.72982999999999998</v>
      </c>
    </row>
    <row r="95" spans="1:12" x14ac:dyDescent="0.35">
      <c r="A95" t="s">
        <v>24</v>
      </c>
      <c r="D95" t="s">
        <v>32</v>
      </c>
      <c r="F95">
        <v>1</v>
      </c>
      <c r="G95">
        <v>6</v>
      </c>
      <c r="H95">
        <v>1</v>
      </c>
      <c r="I95">
        <v>6</v>
      </c>
      <c r="J95" s="6"/>
      <c r="K95" s="122">
        <v>45596</v>
      </c>
      <c r="L95">
        <v>0.47413</v>
      </c>
    </row>
    <row r="96" spans="1:12" x14ac:dyDescent="0.35">
      <c r="A96" t="s">
        <v>24</v>
      </c>
      <c r="D96" t="s">
        <v>32</v>
      </c>
      <c r="F96">
        <v>1</v>
      </c>
      <c r="G96">
        <v>6</v>
      </c>
      <c r="H96">
        <v>1</v>
      </c>
      <c r="I96">
        <v>6</v>
      </c>
      <c r="J96" s="6"/>
      <c r="K96" s="122">
        <v>45968</v>
      </c>
      <c r="L96">
        <v>0.26538</v>
      </c>
    </row>
    <row r="97" spans="1:12" x14ac:dyDescent="0.35">
      <c r="A97" t="s">
        <v>24</v>
      </c>
      <c r="D97" t="s">
        <v>32</v>
      </c>
      <c r="F97">
        <v>1</v>
      </c>
      <c r="G97">
        <v>6</v>
      </c>
      <c r="H97">
        <v>1</v>
      </c>
      <c r="I97">
        <v>6</v>
      </c>
      <c r="J97" s="6"/>
      <c r="K97" s="122">
        <v>45975</v>
      </c>
      <c r="L97">
        <v>0.24829000000000001</v>
      </c>
    </row>
    <row r="98" spans="1:12" x14ac:dyDescent="0.35">
      <c r="A98" t="s">
        <v>24</v>
      </c>
      <c r="B98" s="79"/>
      <c r="C98" s="79"/>
      <c r="D98" t="s">
        <v>28</v>
      </c>
      <c r="E98" s="79"/>
      <c r="F98">
        <v>1</v>
      </c>
      <c r="G98">
        <v>7</v>
      </c>
      <c r="H98">
        <v>1</v>
      </c>
      <c r="I98">
        <v>7</v>
      </c>
      <c r="J98" s="79"/>
      <c r="K98" s="122">
        <v>45421</v>
      </c>
      <c r="L98">
        <v>0.12822</v>
      </c>
    </row>
    <row r="99" spans="1:12" x14ac:dyDescent="0.35">
      <c r="A99" t="s">
        <v>24</v>
      </c>
      <c r="B99" s="79"/>
      <c r="C99" s="79"/>
      <c r="D99" t="s">
        <v>28</v>
      </c>
      <c r="E99" s="79"/>
      <c r="F99">
        <v>1</v>
      </c>
      <c r="G99">
        <v>7</v>
      </c>
      <c r="H99">
        <v>1</v>
      </c>
      <c r="I99">
        <v>7</v>
      </c>
      <c r="J99" s="79"/>
      <c r="K99" s="122">
        <v>45442</v>
      </c>
      <c r="L99">
        <v>0.38767000000000001</v>
      </c>
    </row>
    <row r="100" spans="1:12" x14ac:dyDescent="0.35">
      <c r="A100" t="s">
        <v>24</v>
      </c>
      <c r="B100" s="79"/>
      <c r="C100" s="79"/>
      <c r="D100" t="s">
        <v>28</v>
      </c>
      <c r="E100" s="79"/>
      <c r="F100">
        <v>1</v>
      </c>
      <c r="G100">
        <v>7</v>
      </c>
      <c r="H100">
        <v>1</v>
      </c>
      <c r="I100">
        <v>7</v>
      </c>
      <c r="J100" s="79"/>
      <c r="K100" s="122">
        <v>45461</v>
      </c>
      <c r="L100">
        <v>0.79293000000000002</v>
      </c>
    </row>
    <row r="101" spans="1:12" x14ac:dyDescent="0.35">
      <c r="A101" t="s">
        <v>24</v>
      </c>
      <c r="B101" s="79"/>
      <c r="C101" s="79"/>
      <c r="D101" t="s">
        <v>28</v>
      </c>
      <c r="E101" s="79"/>
      <c r="F101">
        <v>1</v>
      </c>
      <c r="G101">
        <v>7</v>
      </c>
      <c r="H101">
        <v>1</v>
      </c>
      <c r="I101">
        <v>7</v>
      </c>
      <c r="J101" s="79"/>
      <c r="K101" s="122">
        <v>45477</v>
      </c>
      <c r="L101">
        <v>0.85982000000000003</v>
      </c>
    </row>
    <row r="102" spans="1:12" x14ac:dyDescent="0.35">
      <c r="A102" t="s">
        <v>24</v>
      </c>
      <c r="B102" s="79"/>
      <c r="C102" s="79"/>
      <c r="D102" t="s">
        <v>28</v>
      </c>
      <c r="E102" s="79"/>
      <c r="F102">
        <v>1</v>
      </c>
      <c r="G102">
        <v>7</v>
      </c>
      <c r="H102">
        <v>1</v>
      </c>
      <c r="I102">
        <v>7</v>
      </c>
      <c r="J102" s="79"/>
      <c r="K102" s="122">
        <v>45510</v>
      </c>
      <c r="L102">
        <v>0.85224999999999995</v>
      </c>
    </row>
    <row r="103" spans="1:12" x14ac:dyDescent="0.35">
      <c r="A103" t="s">
        <v>24</v>
      </c>
      <c r="B103" s="79"/>
      <c r="C103" s="79"/>
      <c r="D103" t="s">
        <v>28</v>
      </c>
      <c r="E103" s="79"/>
      <c r="F103">
        <v>1</v>
      </c>
      <c r="G103">
        <v>7</v>
      </c>
      <c r="H103">
        <v>1</v>
      </c>
      <c r="I103">
        <v>7</v>
      </c>
      <c r="J103" s="79"/>
      <c r="K103" s="122">
        <v>45519</v>
      </c>
      <c r="L103">
        <v>0.83069999999999999</v>
      </c>
    </row>
    <row r="104" spans="1:12" x14ac:dyDescent="0.35">
      <c r="A104" t="s">
        <v>24</v>
      </c>
      <c r="B104" s="79"/>
      <c r="C104" s="79"/>
      <c r="D104" t="s">
        <v>28</v>
      </c>
      <c r="E104" s="79"/>
      <c r="F104">
        <v>1</v>
      </c>
      <c r="G104">
        <v>7</v>
      </c>
      <c r="H104">
        <v>1</v>
      </c>
      <c r="I104">
        <v>7</v>
      </c>
      <c r="J104" s="79"/>
      <c r="K104" s="122">
        <v>45530</v>
      </c>
      <c r="L104">
        <v>0.87892000000000003</v>
      </c>
    </row>
    <row r="105" spans="1:12" x14ac:dyDescent="0.35">
      <c r="A105" t="s">
        <v>24</v>
      </c>
      <c r="B105" s="79"/>
      <c r="C105" s="79"/>
      <c r="D105" t="s">
        <v>28</v>
      </c>
      <c r="E105" s="79"/>
      <c r="F105">
        <v>1</v>
      </c>
      <c r="G105">
        <v>7</v>
      </c>
      <c r="H105">
        <v>1</v>
      </c>
      <c r="I105">
        <v>7</v>
      </c>
      <c r="J105" s="79"/>
      <c r="K105" s="122">
        <v>45538</v>
      </c>
      <c r="L105">
        <v>0.92227000000000003</v>
      </c>
    </row>
    <row r="106" spans="1:12" x14ac:dyDescent="0.35">
      <c r="A106" t="s">
        <v>24</v>
      </c>
      <c r="D106" t="s">
        <v>28</v>
      </c>
      <c r="F106">
        <v>1</v>
      </c>
      <c r="G106">
        <v>7</v>
      </c>
      <c r="H106">
        <v>1</v>
      </c>
      <c r="I106">
        <v>7</v>
      </c>
      <c r="J106" s="6"/>
      <c r="K106" s="122">
        <v>45547</v>
      </c>
      <c r="L106">
        <v>0.95455000000000001</v>
      </c>
    </row>
    <row r="107" spans="1:12" x14ac:dyDescent="0.35">
      <c r="A107" t="s">
        <v>24</v>
      </c>
      <c r="D107" t="s">
        <v>28</v>
      </c>
      <c r="F107">
        <v>1</v>
      </c>
      <c r="G107">
        <v>7</v>
      </c>
      <c r="H107">
        <v>1</v>
      </c>
      <c r="I107">
        <v>7</v>
      </c>
      <c r="J107" s="6"/>
      <c r="K107" s="122">
        <v>45553</v>
      </c>
      <c r="L107">
        <v>0.94791999999999998</v>
      </c>
    </row>
    <row r="108" spans="1:12" x14ac:dyDescent="0.35">
      <c r="A108" t="s">
        <v>24</v>
      </c>
      <c r="D108" t="s">
        <v>28</v>
      </c>
      <c r="F108">
        <v>1</v>
      </c>
      <c r="G108">
        <v>7</v>
      </c>
      <c r="H108">
        <v>1</v>
      </c>
      <c r="I108">
        <v>7</v>
      </c>
      <c r="J108" s="6"/>
      <c r="K108" s="122">
        <v>45936</v>
      </c>
      <c r="L108">
        <v>0.86511000000000005</v>
      </c>
    </row>
    <row r="109" spans="1:12" x14ac:dyDescent="0.35">
      <c r="A109" t="s">
        <v>24</v>
      </c>
      <c r="D109" t="s">
        <v>28</v>
      </c>
      <c r="F109">
        <v>1</v>
      </c>
      <c r="G109">
        <v>7</v>
      </c>
      <c r="H109">
        <v>1</v>
      </c>
      <c r="I109">
        <v>7</v>
      </c>
      <c r="J109" s="6"/>
      <c r="K109" s="122">
        <v>45944</v>
      </c>
      <c r="L109">
        <v>0.74467000000000005</v>
      </c>
    </row>
    <row r="110" spans="1:12" x14ac:dyDescent="0.35">
      <c r="A110" t="s">
        <v>24</v>
      </c>
      <c r="D110" t="s">
        <v>28</v>
      </c>
      <c r="F110">
        <v>1</v>
      </c>
      <c r="G110">
        <v>7</v>
      </c>
      <c r="H110">
        <v>1</v>
      </c>
      <c r="I110">
        <v>7</v>
      </c>
      <c r="J110" s="6"/>
      <c r="K110" s="122">
        <v>45590</v>
      </c>
      <c r="L110">
        <v>0.55600000000000005</v>
      </c>
    </row>
    <row r="111" spans="1:12" x14ac:dyDescent="0.35">
      <c r="A111" t="s">
        <v>24</v>
      </c>
      <c r="D111" t="s">
        <v>28</v>
      </c>
      <c r="F111">
        <v>1</v>
      </c>
      <c r="G111">
        <v>7</v>
      </c>
      <c r="H111">
        <v>1</v>
      </c>
      <c r="I111">
        <v>7</v>
      </c>
      <c r="J111" s="6"/>
      <c r="K111" s="122">
        <v>45596</v>
      </c>
      <c r="L111">
        <v>0.32779999999999998</v>
      </c>
    </row>
    <row r="112" spans="1:12" x14ac:dyDescent="0.35">
      <c r="A112" t="s">
        <v>24</v>
      </c>
      <c r="D112" t="s">
        <v>28</v>
      </c>
      <c r="F112">
        <v>1</v>
      </c>
      <c r="G112">
        <v>7</v>
      </c>
      <c r="H112">
        <v>1</v>
      </c>
      <c r="I112">
        <v>7</v>
      </c>
      <c r="J112" s="6"/>
      <c r="K112" s="122">
        <v>45968</v>
      </c>
      <c r="L112">
        <v>0.20885999999999999</v>
      </c>
    </row>
    <row r="113" spans="1:12" x14ac:dyDescent="0.35">
      <c r="A113" t="s">
        <v>24</v>
      </c>
      <c r="D113" t="s">
        <v>28</v>
      </c>
      <c r="F113">
        <v>1</v>
      </c>
      <c r="G113">
        <v>7</v>
      </c>
      <c r="H113">
        <v>1</v>
      </c>
      <c r="I113">
        <v>7</v>
      </c>
      <c r="J113" s="6"/>
      <c r="K113" s="122">
        <v>45975</v>
      </c>
      <c r="L113">
        <v>0.19467000000000001</v>
      </c>
    </row>
    <row r="114" spans="1:12" x14ac:dyDescent="0.35">
      <c r="A114" t="s">
        <v>24</v>
      </c>
      <c r="B114" s="79"/>
      <c r="C114" s="79"/>
      <c r="D114" t="s">
        <v>337</v>
      </c>
      <c r="E114" s="79"/>
      <c r="F114">
        <v>1</v>
      </c>
      <c r="G114">
        <v>8</v>
      </c>
      <c r="H114">
        <v>1</v>
      </c>
      <c r="I114">
        <v>8</v>
      </c>
      <c r="J114" s="79"/>
      <c r="K114" s="122">
        <v>45421</v>
      </c>
      <c r="L114">
        <v>0.12570000000000001</v>
      </c>
    </row>
    <row r="115" spans="1:12" x14ac:dyDescent="0.35">
      <c r="A115" t="s">
        <v>24</v>
      </c>
      <c r="B115" s="79"/>
      <c r="C115" s="79"/>
      <c r="D115" t="s">
        <v>337</v>
      </c>
      <c r="E115" s="79"/>
      <c r="F115">
        <v>1</v>
      </c>
      <c r="G115">
        <v>8</v>
      </c>
      <c r="H115">
        <v>1</v>
      </c>
      <c r="I115">
        <v>8</v>
      </c>
      <c r="J115" s="79"/>
      <c r="K115" s="122">
        <v>45442</v>
      </c>
      <c r="L115">
        <v>0.45057999999999998</v>
      </c>
    </row>
    <row r="116" spans="1:12" x14ac:dyDescent="0.35">
      <c r="A116" t="s">
        <v>24</v>
      </c>
      <c r="B116" s="79"/>
      <c r="C116" s="79"/>
      <c r="D116" t="s">
        <v>337</v>
      </c>
      <c r="E116" s="79"/>
      <c r="F116">
        <v>1</v>
      </c>
      <c r="G116">
        <v>8</v>
      </c>
      <c r="H116">
        <v>1</v>
      </c>
      <c r="I116">
        <v>8</v>
      </c>
      <c r="J116" s="79"/>
      <c r="K116" s="122">
        <v>45461</v>
      </c>
      <c r="L116">
        <v>0.84099999999999997</v>
      </c>
    </row>
    <row r="117" spans="1:12" x14ac:dyDescent="0.35">
      <c r="A117" t="s">
        <v>24</v>
      </c>
      <c r="B117" s="79"/>
      <c r="C117" s="79"/>
      <c r="D117" t="s">
        <v>337</v>
      </c>
      <c r="E117" s="79"/>
      <c r="F117">
        <v>1</v>
      </c>
      <c r="G117">
        <v>8</v>
      </c>
      <c r="H117">
        <v>1</v>
      </c>
      <c r="I117">
        <v>8</v>
      </c>
      <c r="J117" s="79"/>
      <c r="K117" s="122">
        <v>45477</v>
      </c>
      <c r="L117">
        <v>0.89088999999999996</v>
      </c>
    </row>
    <row r="118" spans="1:12" x14ac:dyDescent="0.35">
      <c r="A118" t="s">
        <v>24</v>
      </c>
      <c r="B118" s="79"/>
      <c r="C118" s="79"/>
      <c r="D118" t="s">
        <v>337</v>
      </c>
      <c r="E118" s="79"/>
      <c r="F118">
        <v>1</v>
      </c>
      <c r="G118">
        <v>8</v>
      </c>
      <c r="H118">
        <v>1</v>
      </c>
      <c r="I118">
        <v>8</v>
      </c>
      <c r="J118" s="79"/>
      <c r="K118" s="122">
        <v>45510</v>
      </c>
      <c r="L118">
        <v>0.85192000000000001</v>
      </c>
    </row>
    <row r="119" spans="1:12" x14ac:dyDescent="0.35">
      <c r="A119" t="s">
        <v>24</v>
      </c>
      <c r="B119" s="79"/>
      <c r="C119" s="79"/>
      <c r="D119" t="s">
        <v>337</v>
      </c>
      <c r="E119" s="79"/>
      <c r="F119">
        <v>1</v>
      </c>
      <c r="G119">
        <v>8</v>
      </c>
      <c r="H119">
        <v>1</v>
      </c>
      <c r="I119">
        <v>8</v>
      </c>
      <c r="J119" s="79"/>
      <c r="K119" s="122">
        <v>45519</v>
      </c>
      <c r="L119">
        <v>0.85943999999999998</v>
      </c>
    </row>
    <row r="120" spans="1:12" x14ac:dyDescent="0.35">
      <c r="A120" t="s">
        <v>24</v>
      </c>
      <c r="B120" s="79"/>
      <c r="C120" s="79"/>
      <c r="D120" t="s">
        <v>337</v>
      </c>
      <c r="E120" s="79"/>
      <c r="F120">
        <v>1</v>
      </c>
      <c r="G120">
        <v>8</v>
      </c>
      <c r="H120">
        <v>1</v>
      </c>
      <c r="I120">
        <v>8</v>
      </c>
      <c r="J120" s="79"/>
      <c r="K120" s="122">
        <v>45530</v>
      </c>
      <c r="L120">
        <v>0.85357000000000005</v>
      </c>
    </row>
    <row r="121" spans="1:12" x14ac:dyDescent="0.35">
      <c r="A121" t="s">
        <v>24</v>
      </c>
      <c r="B121" s="79"/>
      <c r="C121" s="79"/>
      <c r="D121" t="s">
        <v>337</v>
      </c>
      <c r="E121" s="79"/>
      <c r="F121">
        <v>1</v>
      </c>
      <c r="G121">
        <v>8</v>
      </c>
      <c r="H121">
        <v>1</v>
      </c>
      <c r="I121">
        <v>8</v>
      </c>
      <c r="J121" s="79"/>
      <c r="K121" s="122">
        <v>45538</v>
      </c>
      <c r="L121">
        <v>0.88231000000000004</v>
      </c>
    </row>
    <row r="122" spans="1:12" x14ac:dyDescent="0.35">
      <c r="A122" t="s">
        <v>24</v>
      </c>
      <c r="D122" t="s">
        <v>337</v>
      </c>
      <c r="F122">
        <v>1</v>
      </c>
      <c r="G122">
        <v>8</v>
      </c>
      <c r="H122">
        <v>1</v>
      </c>
      <c r="I122">
        <v>8</v>
      </c>
      <c r="J122" s="6"/>
      <c r="K122" s="122">
        <v>45547</v>
      </c>
      <c r="L122">
        <v>0.93357999999999997</v>
      </c>
    </row>
    <row r="123" spans="1:12" x14ac:dyDescent="0.35">
      <c r="A123" t="s">
        <v>24</v>
      </c>
      <c r="D123" t="s">
        <v>337</v>
      </c>
      <c r="F123">
        <v>1</v>
      </c>
      <c r="G123">
        <v>8</v>
      </c>
      <c r="H123">
        <v>1</v>
      </c>
      <c r="I123">
        <v>8</v>
      </c>
      <c r="J123" s="6"/>
      <c r="K123" s="122">
        <v>45553</v>
      </c>
      <c r="L123">
        <v>0.94345999999999997</v>
      </c>
    </row>
    <row r="124" spans="1:12" x14ac:dyDescent="0.35">
      <c r="A124" t="s">
        <v>24</v>
      </c>
      <c r="D124" t="s">
        <v>337</v>
      </c>
      <c r="F124">
        <v>1</v>
      </c>
      <c r="G124">
        <v>8</v>
      </c>
      <c r="H124">
        <v>1</v>
      </c>
      <c r="I124">
        <v>8</v>
      </c>
      <c r="J124" s="6"/>
      <c r="K124" s="122">
        <v>45936</v>
      </c>
      <c r="L124">
        <v>0.84199999999999997</v>
      </c>
    </row>
    <row r="125" spans="1:12" x14ac:dyDescent="0.35">
      <c r="A125" t="s">
        <v>24</v>
      </c>
      <c r="D125" t="s">
        <v>337</v>
      </c>
      <c r="F125">
        <v>1</v>
      </c>
      <c r="G125">
        <v>8</v>
      </c>
      <c r="H125">
        <v>1</v>
      </c>
      <c r="I125">
        <v>8</v>
      </c>
      <c r="J125" s="6"/>
      <c r="K125" s="122">
        <v>45944</v>
      </c>
      <c r="L125">
        <v>0.73329</v>
      </c>
    </row>
    <row r="126" spans="1:12" x14ac:dyDescent="0.35">
      <c r="A126" t="s">
        <v>24</v>
      </c>
      <c r="D126" t="s">
        <v>337</v>
      </c>
      <c r="F126">
        <v>1</v>
      </c>
      <c r="G126">
        <v>8</v>
      </c>
      <c r="H126">
        <v>1</v>
      </c>
      <c r="I126">
        <v>8</v>
      </c>
      <c r="J126" s="6"/>
      <c r="K126" s="122">
        <v>45590</v>
      </c>
      <c r="L126">
        <v>0.64814000000000005</v>
      </c>
    </row>
    <row r="127" spans="1:12" x14ac:dyDescent="0.35">
      <c r="A127" t="s">
        <v>24</v>
      </c>
      <c r="D127" t="s">
        <v>337</v>
      </c>
      <c r="F127">
        <v>1</v>
      </c>
      <c r="G127">
        <v>8</v>
      </c>
      <c r="H127">
        <v>1</v>
      </c>
      <c r="I127">
        <v>8</v>
      </c>
      <c r="J127" s="6"/>
      <c r="K127" s="122">
        <v>45596</v>
      </c>
      <c r="L127">
        <v>0.48321999999999998</v>
      </c>
    </row>
    <row r="128" spans="1:12" x14ac:dyDescent="0.35">
      <c r="A128" t="s">
        <v>24</v>
      </c>
      <c r="D128" t="s">
        <v>337</v>
      </c>
      <c r="F128">
        <v>1</v>
      </c>
      <c r="G128">
        <v>8</v>
      </c>
      <c r="H128">
        <v>1</v>
      </c>
      <c r="I128">
        <v>8</v>
      </c>
      <c r="J128" s="6"/>
      <c r="K128" s="122">
        <v>45968</v>
      </c>
      <c r="L128">
        <v>0.26185999999999998</v>
      </c>
    </row>
    <row r="129" spans="1:12" x14ac:dyDescent="0.35">
      <c r="A129" t="s">
        <v>24</v>
      </c>
      <c r="D129" t="s">
        <v>337</v>
      </c>
      <c r="F129">
        <v>1</v>
      </c>
      <c r="G129">
        <v>8</v>
      </c>
      <c r="H129">
        <v>1</v>
      </c>
      <c r="I129">
        <v>8</v>
      </c>
      <c r="J129" s="6"/>
      <c r="K129" s="122">
        <v>45975</v>
      </c>
      <c r="L129">
        <v>0.21171000000000001</v>
      </c>
    </row>
    <row r="130" spans="1:12" x14ac:dyDescent="0.35">
      <c r="A130" t="s">
        <v>34</v>
      </c>
      <c r="D130" t="s">
        <v>42</v>
      </c>
      <c r="F130">
        <v>1</v>
      </c>
      <c r="G130">
        <v>1</v>
      </c>
      <c r="H130">
        <v>2</v>
      </c>
      <c r="I130">
        <v>9</v>
      </c>
      <c r="J130" s="6"/>
      <c r="K130" s="122">
        <v>45421</v>
      </c>
    </row>
    <row r="131" spans="1:12" x14ac:dyDescent="0.35">
      <c r="A131" t="s">
        <v>34</v>
      </c>
      <c r="D131" t="s">
        <v>42</v>
      </c>
      <c r="F131">
        <v>1</v>
      </c>
      <c r="G131">
        <v>1</v>
      </c>
      <c r="H131">
        <v>2</v>
      </c>
      <c r="I131">
        <v>9</v>
      </c>
      <c r="J131" s="6"/>
      <c r="K131" s="122">
        <v>45442</v>
      </c>
      <c r="L131">
        <v>0.13067000000000001</v>
      </c>
    </row>
    <row r="132" spans="1:12" x14ac:dyDescent="0.35">
      <c r="A132" t="s">
        <v>34</v>
      </c>
      <c r="D132" t="s">
        <v>42</v>
      </c>
      <c r="F132">
        <v>1</v>
      </c>
      <c r="G132">
        <v>1</v>
      </c>
      <c r="H132">
        <v>2</v>
      </c>
      <c r="I132">
        <v>9</v>
      </c>
      <c r="J132" s="6"/>
      <c r="K132" s="122">
        <v>45461</v>
      </c>
      <c r="L132">
        <v>0.36878</v>
      </c>
    </row>
    <row r="133" spans="1:12" x14ac:dyDescent="0.35">
      <c r="A133" t="s">
        <v>34</v>
      </c>
      <c r="D133" t="s">
        <v>42</v>
      </c>
      <c r="F133">
        <v>1</v>
      </c>
      <c r="G133">
        <v>1</v>
      </c>
      <c r="H133">
        <v>2</v>
      </c>
      <c r="I133">
        <v>9</v>
      </c>
      <c r="J133" s="6"/>
      <c r="K133" s="122">
        <v>45477</v>
      </c>
      <c r="L133">
        <v>0.54800000000000004</v>
      </c>
    </row>
    <row r="134" spans="1:12" x14ac:dyDescent="0.35">
      <c r="A134" t="s">
        <v>34</v>
      </c>
      <c r="D134" t="s">
        <v>42</v>
      </c>
      <c r="F134">
        <v>1</v>
      </c>
      <c r="G134">
        <v>1</v>
      </c>
      <c r="H134">
        <v>2</v>
      </c>
      <c r="I134">
        <v>9</v>
      </c>
      <c r="J134" s="6"/>
      <c r="K134" s="122">
        <v>45510</v>
      </c>
      <c r="L134">
        <v>0.83962000000000003</v>
      </c>
    </row>
    <row r="135" spans="1:12" x14ac:dyDescent="0.35">
      <c r="A135" t="s">
        <v>34</v>
      </c>
      <c r="D135" t="s">
        <v>42</v>
      </c>
      <c r="F135">
        <v>1</v>
      </c>
      <c r="G135">
        <v>1</v>
      </c>
      <c r="H135">
        <v>2</v>
      </c>
      <c r="I135">
        <v>9</v>
      </c>
      <c r="J135" s="6"/>
      <c r="K135" s="122">
        <v>45519</v>
      </c>
      <c r="L135">
        <v>0.85643999999999998</v>
      </c>
    </row>
    <row r="136" spans="1:12" x14ac:dyDescent="0.35">
      <c r="A136" t="s">
        <v>34</v>
      </c>
      <c r="D136" t="s">
        <v>42</v>
      </c>
      <c r="F136">
        <v>1</v>
      </c>
      <c r="G136">
        <v>1</v>
      </c>
      <c r="H136">
        <v>2</v>
      </c>
      <c r="I136">
        <v>9</v>
      </c>
      <c r="J136" s="6"/>
      <c r="K136" s="122">
        <v>45530</v>
      </c>
      <c r="L136">
        <v>0.90200000000000002</v>
      </c>
    </row>
    <row r="137" spans="1:12" x14ac:dyDescent="0.35">
      <c r="A137" t="s">
        <v>34</v>
      </c>
      <c r="D137" t="s">
        <v>42</v>
      </c>
      <c r="F137">
        <v>1</v>
      </c>
      <c r="G137">
        <v>1</v>
      </c>
      <c r="H137">
        <v>2</v>
      </c>
      <c r="I137">
        <v>9</v>
      </c>
      <c r="J137" s="6"/>
      <c r="K137" s="122">
        <v>45538</v>
      </c>
      <c r="L137">
        <v>0.89437999999999995</v>
      </c>
    </row>
    <row r="138" spans="1:12" x14ac:dyDescent="0.35">
      <c r="A138" t="s">
        <v>34</v>
      </c>
      <c r="D138" t="s">
        <v>42</v>
      </c>
      <c r="F138">
        <v>1</v>
      </c>
      <c r="G138">
        <v>1</v>
      </c>
      <c r="H138">
        <v>2</v>
      </c>
      <c r="I138">
        <v>9</v>
      </c>
      <c r="J138" s="6"/>
      <c r="K138" s="122">
        <v>45547</v>
      </c>
      <c r="L138">
        <v>0.94940000000000002</v>
      </c>
    </row>
    <row r="139" spans="1:12" x14ac:dyDescent="0.35">
      <c r="A139" t="s">
        <v>34</v>
      </c>
      <c r="D139" t="s">
        <v>42</v>
      </c>
      <c r="F139">
        <v>1</v>
      </c>
      <c r="G139">
        <v>1</v>
      </c>
      <c r="H139">
        <v>2</v>
      </c>
      <c r="I139">
        <v>9</v>
      </c>
      <c r="J139" s="6"/>
      <c r="K139" s="122">
        <v>45553</v>
      </c>
      <c r="L139">
        <v>0.96653</v>
      </c>
    </row>
    <row r="140" spans="1:12" x14ac:dyDescent="0.35">
      <c r="A140" t="s">
        <v>34</v>
      </c>
      <c r="D140" t="s">
        <v>42</v>
      </c>
      <c r="F140">
        <v>1</v>
      </c>
      <c r="G140">
        <v>1</v>
      </c>
      <c r="H140">
        <v>2</v>
      </c>
      <c r="I140">
        <v>9</v>
      </c>
      <c r="J140" s="6"/>
      <c r="K140" s="122">
        <v>45936</v>
      </c>
      <c r="L140">
        <v>0.88837999999999995</v>
      </c>
    </row>
    <row r="141" spans="1:12" x14ac:dyDescent="0.35">
      <c r="A141" t="s">
        <v>34</v>
      </c>
      <c r="D141" t="s">
        <v>42</v>
      </c>
      <c r="F141">
        <v>1</v>
      </c>
      <c r="G141">
        <v>1</v>
      </c>
      <c r="H141">
        <v>2</v>
      </c>
      <c r="I141">
        <v>9</v>
      </c>
      <c r="J141" s="6"/>
      <c r="K141" s="122">
        <v>45944</v>
      </c>
      <c r="L141">
        <v>0.68100000000000005</v>
      </c>
    </row>
    <row r="142" spans="1:12" x14ac:dyDescent="0.35">
      <c r="A142" t="s">
        <v>34</v>
      </c>
      <c r="D142" t="s">
        <v>42</v>
      </c>
      <c r="F142">
        <v>1</v>
      </c>
      <c r="G142">
        <v>1</v>
      </c>
      <c r="H142">
        <v>2</v>
      </c>
      <c r="I142">
        <v>9</v>
      </c>
      <c r="J142" s="6"/>
      <c r="K142" s="122">
        <v>45590</v>
      </c>
      <c r="L142">
        <v>0.39374999999999999</v>
      </c>
    </row>
    <row r="143" spans="1:12" x14ac:dyDescent="0.35">
      <c r="A143" t="s">
        <v>34</v>
      </c>
      <c r="D143" t="s">
        <v>42</v>
      </c>
      <c r="F143">
        <v>1</v>
      </c>
      <c r="G143">
        <v>1</v>
      </c>
      <c r="H143">
        <v>2</v>
      </c>
      <c r="I143">
        <v>9</v>
      </c>
      <c r="J143" s="6"/>
      <c r="K143" s="122">
        <v>45596</v>
      </c>
      <c r="L143">
        <v>0.25774999999999998</v>
      </c>
    </row>
    <row r="144" spans="1:12" x14ac:dyDescent="0.35">
      <c r="A144" t="s">
        <v>34</v>
      </c>
      <c r="D144" t="s">
        <v>42</v>
      </c>
      <c r="F144">
        <v>1</v>
      </c>
      <c r="G144">
        <v>1</v>
      </c>
      <c r="H144">
        <v>2</v>
      </c>
      <c r="I144">
        <v>9</v>
      </c>
      <c r="J144" s="6"/>
      <c r="K144" s="122">
        <v>45968</v>
      </c>
      <c r="L144">
        <v>0.19162999999999999</v>
      </c>
    </row>
    <row r="145" spans="1:12" x14ac:dyDescent="0.35">
      <c r="A145" t="s">
        <v>34</v>
      </c>
      <c r="D145" t="s">
        <v>42</v>
      </c>
      <c r="F145">
        <v>1</v>
      </c>
      <c r="G145">
        <v>1</v>
      </c>
      <c r="H145">
        <v>2</v>
      </c>
      <c r="I145">
        <v>9</v>
      </c>
      <c r="J145" s="6"/>
      <c r="K145" s="122">
        <v>45975</v>
      </c>
      <c r="L145">
        <v>0.19014</v>
      </c>
    </row>
    <row r="146" spans="1:12" x14ac:dyDescent="0.35">
      <c r="A146" t="s">
        <v>34</v>
      </c>
      <c r="D146" t="s">
        <v>38</v>
      </c>
      <c r="F146">
        <v>1</v>
      </c>
      <c r="G146">
        <v>2</v>
      </c>
      <c r="H146">
        <v>2</v>
      </c>
      <c r="I146">
        <v>10</v>
      </c>
      <c r="J146" s="6"/>
      <c r="K146" s="122">
        <v>45421</v>
      </c>
    </row>
    <row r="147" spans="1:12" x14ac:dyDescent="0.35">
      <c r="A147" t="s">
        <v>34</v>
      </c>
      <c r="D147" t="s">
        <v>38</v>
      </c>
      <c r="F147">
        <v>1</v>
      </c>
      <c r="G147">
        <v>2</v>
      </c>
      <c r="H147">
        <v>2</v>
      </c>
      <c r="I147">
        <v>10</v>
      </c>
      <c r="J147" s="6"/>
      <c r="K147" s="122">
        <v>45442</v>
      </c>
      <c r="L147">
        <v>0.13036</v>
      </c>
    </row>
    <row r="148" spans="1:12" x14ac:dyDescent="0.35">
      <c r="A148" t="s">
        <v>34</v>
      </c>
      <c r="D148" t="s">
        <v>38</v>
      </c>
      <c r="F148">
        <v>1</v>
      </c>
      <c r="G148">
        <v>2</v>
      </c>
      <c r="H148">
        <v>2</v>
      </c>
      <c r="I148">
        <v>10</v>
      </c>
      <c r="J148" s="6"/>
      <c r="K148" s="122">
        <v>45461</v>
      </c>
      <c r="L148">
        <v>0.35388999999999998</v>
      </c>
    </row>
    <row r="149" spans="1:12" x14ac:dyDescent="0.35">
      <c r="A149" t="s">
        <v>34</v>
      </c>
      <c r="D149" t="s">
        <v>38</v>
      </c>
      <c r="F149">
        <v>1</v>
      </c>
      <c r="G149">
        <v>2</v>
      </c>
      <c r="H149">
        <v>2</v>
      </c>
      <c r="I149">
        <v>10</v>
      </c>
      <c r="J149" s="6"/>
      <c r="K149" s="122">
        <v>45477</v>
      </c>
      <c r="L149">
        <v>0.47670000000000001</v>
      </c>
    </row>
    <row r="150" spans="1:12" x14ac:dyDescent="0.35">
      <c r="A150" t="s">
        <v>34</v>
      </c>
      <c r="D150" t="s">
        <v>38</v>
      </c>
      <c r="F150">
        <v>1</v>
      </c>
      <c r="G150">
        <v>2</v>
      </c>
      <c r="H150">
        <v>2</v>
      </c>
      <c r="I150">
        <v>10</v>
      </c>
      <c r="J150" s="6"/>
      <c r="K150" s="122">
        <v>45510</v>
      </c>
      <c r="L150">
        <v>0.81064000000000003</v>
      </c>
    </row>
    <row r="151" spans="1:12" x14ac:dyDescent="0.35">
      <c r="A151" t="s">
        <v>34</v>
      </c>
      <c r="D151" t="s">
        <v>38</v>
      </c>
      <c r="F151">
        <v>1</v>
      </c>
      <c r="G151">
        <v>2</v>
      </c>
      <c r="H151">
        <v>2</v>
      </c>
      <c r="I151">
        <v>10</v>
      </c>
      <c r="J151" s="6"/>
      <c r="K151" s="122">
        <v>45519</v>
      </c>
      <c r="L151">
        <v>0.88039999999999996</v>
      </c>
    </row>
    <row r="152" spans="1:12" x14ac:dyDescent="0.35">
      <c r="A152" t="s">
        <v>34</v>
      </c>
      <c r="D152" t="s">
        <v>38</v>
      </c>
      <c r="F152">
        <v>1</v>
      </c>
      <c r="G152">
        <v>2</v>
      </c>
      <c r="H152">
        <v>2</v>
      </c>
      <c r="I152">
        <v>10</v>
      </c>
      <c r="J152" s="6"/>
      <c r="K152" s="122">
        <v>45530</v>
      </c>
      <c r="L152">
        <v>0.89100000000000001</v>
      </c>
    </row>
    <row r="153" spans="1:12" x14ac:dyDescent="0.35">
      <c r="A153" t="s">
        <v>34</v>
      </c>
      <c r="D153" t="s">
        <v>38</v>
      </c>
      <c r="F153">
        <v>1</v>
      </c>
      <c r="G153">
        <v>2</v>
      </c>
      <c r="H153">
        <v>2</v>
      </c>
      <c r="I153">
        <v>10</v>
      </c>
      <c r="J153" s="6"/>
      <c r="K153" s="122">
        <v>45538</v>
      </c>
      <c r="L153">
        <v>0.89193</v>
      </c>
    </row>
    <row r="154" spans="1:12" x14ac:dyDescent="0.35">
      <c r="A154" t="s">
        <v>34</v>
      </c>
      <c r="B154" s="71"/>
      <c r="C154" s="72"/>
      <c r="D154" t="s">
        <v>38</v>
      </c>
      <c r="E154" s="71"/>
      <c r="F154">
        <v>1</v>
      </c>
      <c r="G154">
        <v>2</v>
      </c>
      <c r="H154">
        <v>2</v>
      </c>
      <c r="I154">
        <v>10</v>
      </c>
      <c r="J154" s="6"/>
      <c r="K154" s="122">
        <v>45547</v>
      </c>
      <c r="L154">
        <v>0.94582999999999995</v>
      </c>
    </row>
    <row r="155" spans="1:12" x14ac:dyDescent="0.35">
      <c r="A155" t="s">
        <v>34</v>
      </c>
      <c r="D155" t="s">
        <v>38</v>
      </c>
      <c r="F155">
        <v>1</v>
      </c>
      <c r="G155">
        <v>2</v>
      </c>
      <c r="H155">
        <v>2</v>
      </c>
      <c r="I155">
        <v>10</v>
      </c>
      <c r="J155" s="6"/>
      <c r="K155" s="122">
        <v>45553</v>
      </c>
      <c r="L155">
        <v>0.95721000000000001</v>
      </c>
    </row>
    <row r="156" spans="1:12" x14ac:dyDescent="0.35">
      <c r="A156" t="s">
        <v>34</v>
      </c>
      <c r="D156" t="s">
        <v>38</v>
      </c>
      <c r="F156">
        <v>1</v>
      </c>
      <c r="G156">
        <v>2</v>
      </c>
      <c r="H156">
        <v>2</v>
      </c>
      <c r="I156">
        <v>10</v>
      </c>
      <c r="J156" s="6"/>
      <c r="K156" s="122">
        <v>45936</v>
      </c>
      <c r="L156">
        <v>0.90549999999999997</v>
      </c>
    </row>
    <row r="157" spans="1:12" x14ac:dyDescent="0.35">
      <c r="A157" t="s">
        <v>34</v>
      </c>
      <c r="D157" t="s">
        <v>38</v>
      </c>
      <c r="F157">
        <v>1</v>
      </c>
      <c r="G157">
        <v>2</v>
      </c>
      <c r="H157">
        <v>2</v>
      </c>
      <c r="I157">
        <v>10</v>
      </c>
      <c r="J157" s="6"/>
      <c r="K157" s="122">
        <v>45944</v>
      </c>
      <c r="L157">
        <v>0.84750000000000003</v>
      </c>
    </row>
    <row r="158" spans="1:12" x14ac:dyDescent="0.35">
      <c r="A158" t="s">
        <v>34</v>
      </c>
      <c r="D158" t="s">
        <v>38</v>
      </c>
      <c r="F158">
        <v>1</v>
      </c>
      <c r="G158">
        <v>2</v>
      </c>
      <c r="H158">
        <v>2</v>
      </c>
      <c r="I158">
        <v>10</v>
      </c>
      <c r="J158" s="6"/>
      <c r="K158" s="122">
        <v>45590</v>
      </c>
      <c r="L158">
        <v>0.61211000000000004</v>
      </c>
    </row>
    <row r="159" spans="1:12" x14ac:dyDescent="0.35">
      <c r="A159" t="s">
        <v>34</v>
      </c>
      <c r="D159" t="s">
        <v>38</v>
      </c>
      <c r="F159">
        <v>1</v>
      </c>
      <c r="G159">
        <v>2</v>
      </c>
      <c r="H159">
        <v>2</v>
      </c>
      <c r="I159">
        <v>10</v>
      </c>
      <c r="J159" s="6"/>
      <c r="K159" s="122">
        <v>45596</v>
      </c>
      <c r="L159">
        <v>0.37863000000000002</v>
      </c>
    </row>
    <row r="160" spans="1:12" x14ac:dyDescent="0.35">
      <c r="A160" t="s">
        <v>34</v>
      </c>
      <c r="D160" t="s">
        <v>38</v>
      </c>
      <c r="F160">
        <v>1</v>
      </c>
      <c r="G160">
        <v>2</v>
      </c>
      <c r="H160">
        <v>2</v>
      </c>
      <c r="I160">
        <v>10</v>
      </c>
      <c r="J160" s="6"/>
      <c r="K160" s="122">
        <v>45968</v>
      </c>
      <c r="L160">
        <v>0.22888</v>
      </c>
    </row>
    <row r="161" spans="1:12" x14ac:dyDescent="0.35">
      <c r="A161" t="s">
        <v>34</v>
      </c>
      <c r="D161" t="s">
        <v>38</v>
      </c>
      <c r="F161">
        <v>1</v>
      </c>
      <c r="G161">
        <v>2</v>
      </c>
      <c r="H161">
        <v>2</v>
      </c>
      <c r="I161">
        <v>10</v>
      </c>
      <c r="J161" s="6"/>
      <c r="K161" s="122">
        <v>45975</v>
      </c>
      <c r="L161">
        <v>0.18825</v>
      </c>
    </row>
    <row r="162" spans="1:12" x14ac:dyDescent="0.35">
      <c r="A162" t="s">
        <v>34</v>
      </c>
      <c r="D162" t="s">
        <v>43</v>
      </c>
      <c r="F162">
        <v>1</v>
      </c>
      <c r="G162">
        <v>3</v>
      </c>
      <c r="H162">
        <v>2</v>
      </c>
      <c r="I162">
        <v>11</v>
      </c>
      <c r="J162" s="6"/>
      <c r="K162" s="122">
        <v>45421</v>
      </c>
    </row>
    <row r="163" spans="1:12" x14ac:dyDescent="0.35">
      <c r="A163" t="s">
        <v>34</v>
      </c>
      <c r="D163" t="s">
        <v>43</v>
      </c>
      <c r="F163">
        <v>1</v>
      </c>
      <c r="G163">
        <v>3</v>
      </c>
      <c r="H163">
        <v>2</v>
      </c>
      <c r="I163">
        <v>11</v>
      </c>
      <c r="J163" s="6"/>
      <c r="K163" s="122">
        <v>45442</v>
      </c>
      <c r="L163">
        <v>0.13714999999999999</v>
      </c>
    </row>
    <row r="164" spans="1:12" x14ac:dyDescent="0.35">
      <c r="A164" t="s">
        <v>34</v>
      </c>
      <c r="D164" t="s">
        <v>43</v>
      </c>
      <c r="F164">
        <v>1</v>
      </c>
      <c r="G164">
        <v>3</v>
      </c>
      <c r="H164">
        <v>2</v>
      </c>
      <c r="I164">
        <v>11</v>
      </c>
      <c r="J164" s="6"/>
      <c r="K164" s="122">
        <v>45461</v>
      </c>
      <c r="L164">
        <v>0.32790000000000002</v>
      </c>
    </row>
    <row r="165" spans="1:12" x14ac:dyDescent="0.35">
      <c r="A165" t="s">
        <v>34</v>
      </c>
      <c r="D165" t="s">
        <v>43</v>
      </c>
      <c r="F165">
        <v>1</v>
      </c>
      <c r="G165">
        <v>3</v>
      </c>
      <c r="H165">
        <v>2</v>
      </c>
      <c r="I165">
        <v>11</v>
      </c>
      <c r="J165" s="6"/>
      <c r="K165" s="122">
        <v>45477</v>
      </c>
      <c r="L165">
        <v>0.45611000000000002</v>
      </c>
    </row>
    <row r="166" spans="1:12" x14ac:dyDescent="0.35">
      <c r="A166" t="s">
        <v>34</v>
      </c>
      <c r="D166" t="s">
        <v>43</v>
      </c>
      <c r="F166">
        <v>1</v>
      </c>
      <c r="G166">
        <v>3</v>
      </c>
      <c r="H166">
        <v>2</v>
      </c>
      <c r="I166">
        <v>11</v>
      </c>
      <c r="J166" s="6"/>
      <c r="K166" s="122">
        <v>45510</v>
      </c>
      <c r="L166">
        <v>0.81264000000000003</v>
      </c>
    </row>
    <row r="167" spans="1:12" x14ac:dyDescent="0.35">
      <c r="A167" t="s">
        <v>34</v>
      </c>
      <c r="D167" t="s">
        <v>43</v>
      </c>
      <c r="F167">
        <v>1</v>
      </c>
      <c r="G167">
        <v>3</v>
      </c>
      <c r="H167">
        <v>2</v>
      </c>
      <c r="I167">
        <v>11</v>
      </c>
      <c r="J167" s="6"/>
      <c r="K167" s="122">
        <v>45519</v>
      </c>
      <c r="L167">
        <v>0.89290000000000003</v>
      </c>
    </row>
    <row r="168" spans="1:12" x14ac:dyDescent="0.35">
      <c r="A168" t="s">
        <v>34</v>
      </c>
      <c r="D168" t="s">
        <v>43</v>
      </c>
      <c r="F168">
        <v>1</v>
      </c>
      <c r="G168">
        <v>3</v>
      </c>
      <c r="H168">
        <v>2</v>
      </c>
      <c r="I168">
        <v>11</v>
      </c>
      <c r="J168" s="6"/>
      <c r="K168" s="122">
        <v>45530</v>
      </c>
      <c r="L168">
        <v>0.89732999999999996</v>
      </c>
    </row>
    <row r="169" spans="1:12" x14ac:dyDescent="0.35">
      <c r="A169" t="s">
        <v>34</v>
      </c>
      <c r="D169" t="s">
        <v>43</v>
      </c>
      <c r="F169">
        <v>1</v>
      </c>
      <c r="G169">
        <v>3</v>
      </c>
      <c r="H169">
        <v>2</v>
      </c>
      <c r="I169">
        <v>11</v>
      </c>
      <c r="J169" s="6"/>
      <c r="K169" s="122">
        <v>45538</v>
      </c>
      <c r="L169">
        <v>0.89580000000000004</v>
      </c>
    </row>
    <row r="170" spans="1:12" x14ac:dyDescent="0.35">
      <c r="A170" t="s">
        <v>34</v>
      </c>
      <c r="D170" t="s">
        <v>43</v>
      </c>
      <c r="F170">
        <v>1</v>
      </c>
      <c r="G170">
        <v>3</v>
      </c>
      <c r="H170">
        <v>2</v>
      </c>
      <c r="I170">
        <v>11</v>
      </c>
      <c r="J170" s="6"/>
      <c r="K170" s="122">
        <v>45547</v>
      </c>
      <c r="L170">
        <v>0.93899999999999995</v>
      </c>
    </row>
    <row r="171" spans="1:12" x14ac:dyDescent="0.35">
      <c r="A171" t="s">
        <v>34</v>
      </c>
      <c r="D171" t="s">
        <v>43</v>
      </c>
      <c r="F171">
        <v>1</v>
      </c>
      <c r="G171">
        <v>3</v>
      </c>
      <c r="H171">
        <v>2</v>
      </c>
      <c r="I171">
        <v>11</v>
      </c>
      <c r="J171" s="6"/>
      <c r="K171" s="122">
        <v>45553</v>
      </c>
      <c r="L171">
        <v>0.90820000000000001</v>
      </c>
    </row>
    <row r="172" spans="1:12" x14ac:dyDescent="0.35">
      <c r="A172" t="s">
        <v>34</v>
      </c>
      <c r="D172" t="s">
        <v>43</v>
      </c>
      <c r="F172">
        <v>1</v>
      </c>
      <c r="G172">
        <v>3</v>
      </c>
      <c r="H172">
        <v>2</v>
      </c>
      <c r="I172">
        <v>11</v>
      </c>
      <c r="J172" s="6"/>
      <c r="K172" s="122">
        <v>45936</v>
      </c>
      <c r="L172">
        <v>0.92108999999999996</v>
      </c>
    </row>
    <row r="173" spans="1:12" x14ac:dyDescent="0.35">
      <c r="A173" t="s">
        <v>34</v>
      </c>
      <c r="D173" t="s">
        <v>43</v>
      </c>
      <c r="F173">
        <v>1</v>
      </c>
      <c r="G173">
        <v>3</v>
      </c>
      <c r="H173">
        <v>2</v>
      </c>
      <c r="I173">
        <v>11</v>
      </c>
      <c r="J173" s="6"/>
      <c r="K173" s="122">
        <v>45944</v>
      </c>
      <c r="L173">
        <v>0.88500000000000001</v>
      </c>
    </row>
    <row r="174" spans="1:12" x14ac:dyDescent="0.35">
      <c r="A174" t="s">
        <v>34</v>
      </c>
      <c r="D174" t="s">
        <v>43</v>
      </c>
      <c r="F174">
        <v>1</v>
      </c>
      <c r="G174">
        <v>3</v>
      </c>
      <c r="H174">
        <v>2</v>
      </c>
      <c r="I174">
        <v>11</v>
      </c>
      <c r="J174" s="6"/>
      <c r="K174" s="122">
        <v>45590</v>
      </c>
      <c r="L174">
        <v>0.72970999999999997</v>
      </c>
    </row>
    <row r="175" spans="1:12" x14ac:dyDescent="0.35">
      <c r="A175" t="s">
        <v>34</v>
      </c>
      <c r="D175" t="s">
        <v>43</v>
      </c>
      <c r="F175">
        <v>1</v>
      </c>
      <c r="G175">
        <v>3</v>
      </c>
      <c r="H175">
        <v>2</v>
      </c>
      <c r="I175">
        <v>11</v>
      </c>
      <c r="J175" s="6"/>
      <c r="K175" s="122">
        <v>45596</v>
      </c>
      <c r="L175">
        <v>0.50312999999999997</v>
      </c>
    </row>
    <row r="176" spans="1:12" x14ac:dyDescent="0.35">
      <c r="A176" t="s">
        <v>34</v>
      </c>
      <c r="D176" t="s">
        <v>43</v>
      </c>
      <c r="F176">
        <v>1</v>
      </c>
      <c r="G176">
        <v>3</v>
      </c>
      <c r="H176">
        <v>2</v>
      </c>
      <c r="I176">
        <v>11</v>
      </c>
      <c r="J176" s="6"/>
      <c r="K176" s="122">
        <v>45968</v>
      </c>
      <c r="L176">
        <v>0.25656000000000001</v>
      </c>
    </row>
    <row r="177" spans="1:12" x14ac:dyDescent="0.35">
      <c r="A177" t="s">
        <v>34</v>
      </c>
      <c r="D177" t="s">
        <v>43</v>
      </c>
      <c r="F177">
        <v>1</v>
      </c>
      <c r="G177">
        <v>3</v>
      </c>
      <c r="H177">
        <v>2</v>
      </c>
      <c r="I177">
        <v>11</v>
      </c>
      <c r="J177" s="6"/>
      <c r="K177" s="122">
        <v>45975</v>
      </c>
      <c r="L177">
        <v>0.20485999999999999</v>
      </c>
    </row>
    <row r="178" spans="1:12" x14ac:dyDescent="0.35">
      <c r="A178" t="s">
        <v>34</v>
      </c>
      <c r="D178" t="s">
        <v>41</v>
      </c>
      <c r="F178">
        <v>1</v>
      </c>
      <c r="G178">
        <v>4</v>
      </c>
      <c r="H178">
        <v>2</v>
      </c>
      <c r="I178">
        <v>12</v>
      </c>
      <c r="J178" s="6"/>
      <c r="K178" s="122">
        <v>45421</v>
      </c>
    </row>
    <row r="179" spans="1:12" x14ac:dyDescent="0.35">
      <c r="A179" t="s">
        <v>34</v>
      </c>
      <c r="D179" t="s">
        <v>41</v>
      </c>
      <c r="F179">
        <v>1</v>
      </c>
      <c r="G179">
        <v>4</v>
      </c>
      <c r="H179">
        <v>2</v>
      </c>
      <c r="I179">
        <v>12</v>
      </c>
      <c r="J179" s="6"/>
      <c r="K179" s="122">
        <v>45442</v>
      </c>
      <c r="L179">
        <v>0.13738</v>
      </c>
    </row>
    <row r="180" spans="1:12" x14ac:dyDescent="0.35">
      <c r="A180" t="s">
        <v>34</v>
      </c>
      <c r="D180" t="s">
        <v>41</v>
      </c>
      <c r="F180">
        <v>1</v>
      </c>
      <c r="G180">
        <v>4</v>
      </c>
      <c r="H180">
        <v>2</v>
      </c>
      <c r="I180">
        <v>12</v>
      </c>
      <c r="J180" s="6"/>
      <c r="K180" s="122">
        <v>45461</v>
      </c>
      <c r="L180">
        <v>0.36809999999999998</v>
      </c>
    </row>
    <row r="181" spans="1:12" x14ac:dyDescent="0.35">
      <c r="A181" t="s">
        <v>34</v>
      </c>
      <c r="D181" t="s">
        <v>41</v>
      </c>
      <c r="F181">
        <v>1</v>
      </c>
      <c r="G181">
        <v>4</v>
      </c>
      <c r="H181">
        <v>2</v>
      </c>
      <c r="I181">
        <v>12</v>
      </c>
      <c r="J181" s="6"/>
      <c r="K181" s="122">
        <v>45477</v>
      </c>
      <c r="L181">
        <v>0.56388000000000005</v>
      </c>
    </row>
    <row r="182" spans="1:12" x14ac:dyDescent="0.35">
      <c r="A182" t="s">
        <v>34</v>
      </c>
      <c r="D182" t="s">
        <v>41</v>
      </c>
      <c r="F182">
        <v>1</v>
      </c>
      <c r="G182">
        <v>4</v>
      </c>
      <c r="H182">
        <v>2</v>
      </c>
      <c r="I182">
        <v>12</v>
      </c>
      <c r="J182" s="6"/>
      <c r="K182" s="122">
        <v>45510</v>
      </c>
      <c r="L182">
        <v>0.83731</v>
      </c>
    </row>
    <row r="183" spans="1:12" x14ac:dyDescent="0.35">
      <c r="A183" t="s">
        <v>34</v>
      </c>
      <c r="D183" t="s">
        <v>41</v>
      </c>
      <c r="F183">
        <v>1</v>
      </c>
      <c r="G183">
        <v>4</v>
      </c>
      <c r="H183">
        <v>2</v>
      </c>
      <c r="I183">
        <v>12</v>
      </c>
      <c r="J183" s="6"/>
      <c r="K183" s="122">
        <v>45519</v>
      </c>
      <c r="L183">
        <v>0.88536000000000004</v>
      </c>
    </row>
    <row r="184" spans="1:12" x14ac:dyDescent="0.35">
      <c r="A184" t="s">
        <v>34</v>
      </c>
      <c r="D184" t="s">
        <v>41</v>
      </c>
      <c r="F184">
        <v>1</v>
      </c>
      <c r="G184">
        <v>4</v>
      </c>
      <c r="H184">
        <v>2</v>
      </c>
      <c r="I184">
        <v>12</v>
      </c>
      <c r="J184" s="6"/>
      <c r="K184" s="122">
        <v>45530</v>
      </c>
      <c r="L184">
        <v>0.91108</v>
      </c>
    </row>
    <row r="185" spans="1:12" x14ac:dyDescent="0.35">
      <c r="A185" t="s">
        <v>34</v>
      </c>
      <c r="D185" t="s">
        <v>41</v>
      </c>
      <c r="F185">
        <v>1</v>
      </c>
      <c r="G185">
        <v>4</v>
      </c>
      <c r="H185">
        <v>2</v>
      </c>
      <c r="I185">
        <v>12</v>
      </c>
      <c r="J185" s="6"/>
      <c r="K185" s="122">
        <v>45538</v>
      </c>
      <c r="L185">
        <v>0.91473000000000004</v>
      </c>
    </row>
    <row r="186" spans="1:12" x14ac:dyDescent="0.35">
      <c r="A186" t="s">
        <v>34</v>
      </c>
      <c r="D186" t="s">
        <v>41</v>
      </c>
      <c r="F186">
        <v>1</v>
      </c>
      <c r="G186">
        <v>4</v>
      </c>
      <c r="H186">
        <v>2</v>
      </c>
      <c r="I186">
        <v>12</v>
      </c>
      <c r="J186" s="6"/>
      <c r="K186" s="122">
        <v>45547</v>
      </c>
      <c r="L186">
        <v>0.93589</v>
      </c>
    </row>
    <row r="187" spans="1:12" x14ac:dyDescent="0.35">
      <c r="A187" t="s">
        <v>34</v>
      </c>
      <c r="D187" t="s">
        <v>41</v>
      </c>
      <c r="F187">
        <v>1</v>
      </c>
      <c r="G187">
        <v>4</v>
      </c>
      <c r="H187">
        <v>2</v>
      </c>
      <c r="I187">
        <v>12</v>
      </c>
      <c r="J187" s="6"/>
      <c r="K187" s="122">
        <v>45553</v>
      </c>
      <c r="L187">
        <v>0.92466999999999999</v>
      </c>
    </row>
    <row r="188" spans="1:12" x14ac:dyDescent="0.35">
      <c r="A188" t="s">
        <v>34</v>
      </c>
      <c r="D188" t="s">
        <v>41</v>
      </c>
      <c r="F188">
        <v>1</v>
      </c>
      <c r="G188">
        <v>4</v>
      </c>
      <c r="H188">
        <v>2</v>
      </c>
      <c r="I188">
        <v>12</v>
      </c>
      <c r="J188" s="6"/>
      <c r="K188" s="122">
        <v>45936</v>
      </c>
      <c r="L188">
        <v>0.88200000000000001</v>
      </c>
    </row>
    <row r="189" spans="1:12" x14ac:dyDescent="0.35">
      <c r="A189" t="s">
        <v>34</v>
      </c>
      <c r="D189" t="s">
        <v>41</v>
      </c>
      <c r="F189">
        <v>1</v>
      </c>
      <c r="G189">
        <v>4</v>
      </c>
      <c r="H189">
        <v>2</v>
      </c>
      <c r="I189">
        <v>12</v>
      </c>
      <c r="J189" s="6"/>
      <c r="K189" s="122">
        <v>45944</v>
      </c>
      <c r="L189">
        <v>0.73087999999999997</v>
      </c>
    </row>
    <row r="190" spans="1:12" x14ac:dyDescent="0.35">
      <c r="A190" t="s">
        <v>34</v>
      </c>
      <c r="D190" t="s">
        <v>41</v>
      </c>
      <c r="F190">
        <v>1</v>
      </c>
      <c r="G190">
        <v>4</v>
      </c>
      <c r="H190">
        <v>2</v>
      </c>
      <c r="I190">
        <v>12</v>
      </c>
      <c r="J190" s="6"/>
      <c r="K190" s="122">
        <v>45590</v>
      </c>
      <c r="L190">
        <v>0.53363000000000005</v>
      </c>
    </row>
    <row r="191" spans="1:12" x14ac:dyDescent="0.35">
      <c r="A191" t="s">
        <v>34</v>
      </c>
      <c r="D191" t="s">
        <v>41</v>
      </c>
      <c r="F191">
        <v>1</v>
      </c>
      <c r="G191">
        <v>4</v>
      </c>
      <c r="H191">
        <v>2</v>
      </c>
      <c r="I191">
        <v>12</v>
      </c>
      <c r="J191" s="6"/>
      <c r="K191" s="122">
        <v>45596</v>
      </c>
      <c r="L191">
        <v>0.33050000000000002</v>
      </c>
    </row>
    <row r="192" spans="1:12" x14ac:dyDescent="0.35">
      <c r="A192" t="s">
        <v>34</v>
      </c>
      <c r="D192" t="s">
        <v>41</v>
      </c>
      <c r="F192">
        <v>1</v>
      </c>
      <c r="G192">
        <v>4</v>
      </c>
      <c r="H192">
        <v>2</v>
      </c>
      <c r="I192">
        <v>12</v>
      </c>
      <c r="J192" s="6"/>
      <c r="K192" s="122">
        <v>45968</v>
      </c>
      <c r="L192">
        <v>0.21432999999999999</v>
      </c>
    </row>
    <row r="193" spans="1:12" x14ac:dyDescent="0.35">
      <c r="A193" t="s">
        <v>34</v>
      </c>
      <c r="D193" t="s">
        <v>41</v>
      </c>
      <c r="F193">
        <v>1</v>
      </c>
      <c r="G193">
        <v>4</v>
      </c>
      <c r="H193">
        <v>2</v>
      </c>
      <c r="I193">
        <v>12</v>
      </c>
      <c r="J193" s="6"/>
      <c r="K193" s="122">
        <v>45975</v>
      </c>
      <c r="L193">
        <v>0.19813</v>
      </c>
    </row>
    <row r="194" spans="1:12" x14ac:dyDescent="0.35">
      <c r="A194" t="s">
        <v>34</v>
      </c>
      <c r="D194" t="s">
        <v>37</v>
      </c>
      <c r="F194">
        <v>1</v>
      </c>
      <c r="G194">
        <v>5</v>
      </c>
      <c r="H194">
        <v>2</v>
      </c>
      <c r="I194">
        <v>13</v>
      </c>
      <c r="J194" s="6"/>
      <c r="K194" s="122">
        <v>45421</v>
      </c>
    </row>
    <row r="195" spans="1:12" x14ac:dyDescent="0.35">
      <c r="A195" t="s">
        <v>34</v>
      </c>
      <c r="D195" t="s">
        <v>37</v>
      </c>
      <c r="F195">
        <v>1</v>
      </c>
      <c r="G195">
        <v>5</v>
      </c>
      <c r="H195">
        <v>2</v>
      </c>
      <c r="I195">
        <v>13</v>
      </c>
      <c r="J195" s="6"/>
      <c r="K195" s="122">
        <v>45442</v>
      </c>
      <c r="L195">
        <v>0.1341</v>
      </c>
    </row>
    <row r="196" spans="1:12" x14ac:dyDescent="0.35">
      <c r="A196" t="s">
        <v>34</v>
      </c>
      <c r="D196" t="s">
        <v>37</v>
      </c>
      <c r="F196">
        <v>1</v>
      </c>
      <c r="G196">
        <v>5</v>
      </c>
      <c r="H196">
        <v>2</v>
      </c>
      <c r="I196">
        <v>13</v>
      </c>
      <c r="J196" s="6"/>
      <c r="K196" s="122">
        <v>45461</v>
      </c>
      <c r="L196">
        <v>0.35160000000000002</v>
      </c>
    </row>
    <row r="197" spans="1:12" x14ac:dyDescent="0.35">
      <c r="A197" t="s">
        <v>34</v>
      </c>
      <c r="D197" t="s">
        <v>37</v>
      </c>
      <c r="F197">
        <v>1</v>
      </c>
      <c r="G197">
        <v>5</v>
      </c>
      <c r="H197">
        <v>2</v>
      </c>
      <c r="I197">
        <v>13</v>
      </c>
      <c r="J197" s="6"/>
      <c r="K197" s="122">
        <v>45477</v>
      </c>
      <c r="L197">
        <v>0.49657000000000001</v>
      </c>
    </row>
    <row r="198" spans="1:12" x14ac:dyDescent="0.35">
      <c r="A198" t="s">
        <v>34</v>
      </c>
      <c r="D198" t="s">
        <v>37</v>
      </c>
      <c r="F198">
        <v>1</v>
      </c>
      <c r="G198">
        <v>5</v>
      </c>
      <c r="H198">
        <v>2</v>
      </c>
      <c r="I198">
        <v>13</v>
      </c>
      <c r="J198" s="6"/>
      <c r="K198" s="122">
        <v>45510</v>
      </c>
      <c r="L198">
        <v>0.84599999999999997</v>
      </c>
    </row>
    <row r="199" spans="1:12" x14ac:dyDescent="0.35">
      <c r="A199" t="s">
        <v>34</v>
      </c>
      <c r="D199" t="s">
        <v>37</v>
      </c>
      <c r="F199">
        <v>1</v>
      </c>
      <c r="G199">
        <v>5</v>
      </c>
      <c r="H199">
        <v>2</v>
      </c>
      <c r="I199">
        <v>13</v>
      </c>
      <c r="J199" s="6"/>
      <c r="K199" s="122">
        <v>45519</v>
      </c>
      <c r="L199">
        <v>0.87380000000000002</v>
      </c>
    </row>
    <row r="200" spans="1:12" x14ac:dyDescent="0.35">
      <c r="A200" t="s">
        <v>34</v>
      </c>
      <c r="D200" t="s">
        <v>37</v>
      </c>
      <c r="F200">
        <v>1</v>
      </c>
      <c r="G200">
        <v>5</v>
      </c>
      <c r="H200">
        <v>2</v>
      </c>
      <c r="I200">
        <v>13</v>
      </c>
      <c r="J200" s="6"/>
      <c r="K200" s="122">
        <v>45530</v>
      </c>
      <c r="L200">
        <v>0.89539999999999997</v>
      </c>
    </row>
    <row r="201" spans="1:12" x14ac:dyDescent="0.35">
      <c r="A201" t="s">
        <v>34</v>
      </c>
      <c r="D201" t="s">
        <v>37</v>
      </c>
      <c r="F201">
        <v>1</v>
      </c>
      <c r="G201">
        <v>5</v>
      </c>
      <c r="H201">
        <v>2</v>
      </c>
      <c r="I201">
        <v>13</v>
      </c>
      <c r="J201" s="6"/>
      <c r="K201" s="122">
        <v>45538</v>
      </c>
      <c r="L201">
        <v>0.90508</v>
      </c>
    </row>
    <row r="202" spans="1:12" x14ac:dyDescent="0.35">
      <c r="A202" t="s">
        <v>34</v>
      </c>
      <c r="D202" t="s">
        <v>37</v>
      </c>
      <c r="F202">
        <v>1</v>
      </c>
      <c r="G202">
        <v>5</v>
      </c>
      <c r="H202">
        <v>2</v>
      </c>
      <c r="I202">
        <v>13</v>
      </c>
      <c r="J202" s="6"/>
      <c r="K202" s="122">
        <v>45547</v>
      </c>
      <c r="L202">
        <v>0.93845000000000001</v>
      </c>
    </row>
    <row r="203" spans="1:12" x14ac:dyDescent="0.35">
      <c r="A203" t="s">
        <v>34</v>
      </c>
      <c r="D203" t="s">
        <v>37</v>
      </c>
      <c r="F203">
        <v>1</v>
      </c>
      <c r="G203">
        <v>5</v>
      </c>
      <c r="H203">
        <v>2</v>
      </c>
      <c r="I203">
        <v>13</v>
      </c>
      <c r="J203" s="6"/>
      <c r="K203" s="122">
        <v>45553</v>
      </c>
      <c r="L203">
        <v>0.96153</v>
      </c>
    </row>
    <row r="204" spans="1:12" x14ac:dyDescent="0.35">
      <c r="A204" t="s">
        <v>34</v>
      </c>
      <c r="D204" t="s">
        <v>37</v>
      </c>
      <c r="F204">
        <v>1</v>
      </c>
      <c r="G204">
        <v>5</v>
      </c>
      <c r="H204">
        <v>2</v>
      </c>
      <c r="I204">
        <v>13</v>
      </c>
      <c r="J204" s="6"/>
      <c r="K204" s="122">
        <v>45936</v>
      </c>
      <c r="L204">
        <v>0.90973000000000004</v>
      </c>
    </row>
    <row r="205" spans="1:12" x14ac:dyDescent="0.35">
      <c r="A205" t="s">
        <v>34</v>
      </c>
      <c r="D205" t="s">
        <v>37</v>
      </c>
      <c r="F205">
        <v>1</v>
      </c>
      <c r="G205">
        <v>5</v>
      </c>
      <c r="H205">
        <v>2</v>
      </c>
      <c r="I205">
        <v>13</v>
      </c>
      <c r="J205" s="6"/>
      <c r="K205" s="122">
        <v>45944</v>
      </c>
      <c r="L205">
        <v>0.85</v>
      </c>
    </row>
    <row r="206" spans="1:12" x14ac:dyDescent="0.35">
      <c r="A206" t="s">
        <v>34</v>
      </c>
      <c r="D206" t="s">
        <v>37</v>
      </c>
      <c r="F206">
        <v>1</v>
      </c>
      <c r="G206">
        <v>5</v>
      </c>
      <c r="H206">
        <v>2</v>
      </c>
      <c r="I206">
        <v>13</v>
      </c>
      <c r="J206" s="6"/>
      <c r="K206" s="122">
        <v>45590</v>
      </c>
      <c r="L206">
        <v>0.65500000000000003</v>
      </c>
    </row>
    <row r="207" spans="1:12" x14ac:dyDescent="0.35">
      <c r="A207" t="s">
        <v>34</v>
      </c>
      <c r="D207" t="s">
        <v>37</v>
      </c>
      <c r="F207">
        <v>1</v>
      </c>
      <c r="G207">
        <v>5</v>
      </c>
      <c r="H207">
        <v>2</v>
      </c>
      <c r="I207">
        <v>13</v>
      </c>
      <c r="J207" s="6"/>
      <c r="K207" s="122">
        <v>45596</v>
      </c>
      <c r="L207">
        <v>0.38967000000000002</v>
      </c>
    </row>
    <row r="208" spans="1:12" x14ac:dyDescent="0.35">
      <c r="A208" t="s">
        <v>34</v>
      </c>
      <c r="D208" t="s">
        <v>37</v>
      </c>
      <c r="F208">
        <v>1</v>
      </c>
      <c r="G208">
        <v>5</v>
      </c>
      <c r="H208">
        <v>2</v>
      </c>
      <c r="I208">
        <v>13</v>
      </c>
      <c r="J208" s="6"/>
      <c r="K208" s="122">
        <v>45968</v>
      </c>
      <c r="L208">
        <v>0.23910999999999999</v>
      </c>
    </row>
    <row r="209" spans="1:12" x14ac:dyDescent="0.35">
      <c r="A209" t="s">
        <v>34</v>
      </c>
      <c r="D209" t="s">
        <v>37</v>
      </c>
      <c r="F209">
        <v>1</v>
      </c>
      <c r="G209">
        <v>5</v>
      </c>
      <c r="H209">
        <v>2</v>
      </c>
      <c r="I209">
        <v>13</v>
      </c>
      <c r="J209" s="6"/>
      <c r="K209" s="122">
        <v>45975</v>
      </c>
      <c r="L209">
        <v>0.20774999999999999</v>
      </c>
    </row>
    <row r="210" spans="1:12" x14ac:dyDescent="0.35">
      <c r="A210" t="s">
        <v>34</v>
      </c>
      <c r="D210" t="s">
        <v>343</v>
      </c>
      <c r="F210">
        <v>1</v>
      </c>
      <c r="G210">
        <v>6</v>
      </c>
      <c r="H210">
        <v>2</v>
      </c>
      <c r="I210">
        <v>14</v>
      </c>
      <c r="J210" s="6"/>
      <c r="K210" s="122">
        <v>45421</v>
      </c>
    </row>
    <row r="211" spans="1:12" x14ac:dyDescent="0.35">
      <c r="A211" t="s">
        <v>34</v>
      </c>
      <c r="D211" t="s">
        <v>343</v>
      </c>
      <c r="F211">
        <v>1</v>
      </c>
      <c r="G211">
        <v>6</v>
      </c>
      <c r="H211">
        <v>2</v>
      </c>
      <c r="I211">
        <v>14</v>
      </c>
      <c r="J211" s="6"/>
      <c r="K211" s="122">
        <v>45442</v>
      </c>
      <c r="L211">
        <v>0.1338</v>
      </c>
    </row>
    <row r="212" spans="1:12" x14ac:dyDescent="0.35">
      <c r="A212" t="s">
        <v>34</v>
      </c>
      <c r="D212" t="s">
        <v>343</v>
      </c>
      <c r="F212">
        <v>1</v>
      </c>
      <c r="G212">
        <v>6</v>
      </c>
      <c r="H212">
        <v>2</v>
      </c>
      <c r="I212">
        <v>14</v>
      </c>
      <c r="J212" s="6"/>
      <c r="K212" s="122">
        <v>45461</v>
      </c>
      <c r="L212">
        <v>0.35272999999999999</v>
      </c>
    </row>
    <row r="213" spans="1:12" x14ac:dyDescent="0.35">
      <c r="A213" t="s">
        <v>34</v>
      </c>
      <c r="D213" t="s">
        <v>343</v>
      </c>
      <c r="F213">
        <v>1</v>
      </c>
      <c r="G213">
        <v>6</v>
      </c>
      <c r="H213">
        <v>2</v>
      </c>
      <c r="I213">
        <v>14</v>
      </c>
      <c r="J213" s="6"/>
      <c r="K213" s="122">
        <v>45477</v>
      </c>
      <c r="L213">
        <v>0.50966999999999996</v>
      </c>
    </row>
    <row r="214" spans="1:12" x14ac:dyDescent="0.35">
      <c r="A214" t="s">
        <v>34</v>
      </c>
      <c r="D214" t="s">
        <v>343</v>
      </c>
      <c r="F214">
        <v>1</v>
      </c>
      <c r="G214">
        <v>6</v>
      </c>
      <c r="H214">
        <v>2</v>
      </c>
      <c r="I214">
        <v>14</v>
      </c>
      <c r="J214" s="6"/>
      <c r="K214" s="122">
        <v>45510</v>
      </c>
      <c r="L214">
        <v>0.84667000000000003</v>
      </c>
    </row>
    <row r="215" spans="1:12" x14ac:dyDescent="0.35">
      <c r="A215" t="s">
        <v>34</v>
      </c>
      <c r="D215" t="s">
        <v>343</v>
      </c>
      <c r="F215">
        <v>1</v>
      </c>
      <c r="G215">
        <v>6</v>
      </c>
      <c r="H215">
        <v>2</v>
      </c>
      <c r="I215">
        <v>14</v>
      </c>
      <c r="J215" s="6"/>
      <c r="K215" s="122">
        <v>45519</v>
      </c>
      <c r="L215">
        <v>0.79800000000000004</v>
      </c>
    </row>
    <row r="216" spans="1:12" x14ac:dyDescent="0.35">
      <c r="A216" t="s">
        <v>34</v>
      </c>
      <c r="D216" t="s">
        <v>343</v>
      </c>
      <c r="F216">
        <v>1</v>
      </c>
      <c r="G216">
        <v>6</v>
      </c>
      <c r="H216">
        <v>2</v>
      </c>
      <c r="I216">
        <v>14</v>
      </c>
      <c r="J216" s="6"/>
      <c r="K216" s="122">
        <v>45530</v>
      </c>
      <c r="L216">
        <v>0.89359999999999995</v>
      </c>
    </row>
    <row r="217" spans="1:12" x14ac:dyDescent="0.35">
      <c r="A217" t="s">
        <v>34</v>
      </c>
      <c r="D217" t="s">
        <v>343</v>
      </c>
      <c r="F217">
        <v>1</v>
      </c>
      <c r="G217">
        <v>6</v>
      </c>
      <c r="H217">
        <v>2</v>
      </c>
      <c r="I217">
        <v>14</v>
      </c>
      <c r="J217" s="6"/>
      <c r="K217" s="122">
        <v>45538</v>
      </c>
      <c r="L217">
        <v>0.92425000000000002</v>
      </c>
    </row>
    <row r="218" spans="1:12" x14ac:dyDescent="0.35">
      <c r="A218" t="s">
        <v>34</v>
      </c>
      <c r="B218" s="71"/>
      <c r="C218" s="72"/>
      <c r="D218" t="s">
        <v>343</v>
      </c>
      <c r="E218" s="71"/>
      <c r="F218">
        <v>1</v>
      </c>
      <c r="G218">
        <v>6</v>
      </c>
      <c r="H218">
        <v>2</v>
      </c>
      <c r="I218">
        <v>14</v>
      </c>
      <c r="J218" s="6"/>
      <c r="K218" s="122">
        <v>45547</v>
      </c>
      <c r="L218">
        <v>0.94199999999999995</v>
      </c>
    </row>
    <row r="219" spans="1:12" x14ac:dyDescent="0.35">
      <c r="A219" t="s">
        <v>34</v>
      </c>
      <c r="D219" t="s">
        <v>343</v>
      </c>
      <c r="F219">
        <v>1</v>
      </c>
      <c r="G219">
        <v>6</v>
      </c>
      <c r="H219">
        <v>2</v>
      </c>
      <c r="I219">
        <v>14</v>
      </c>
      <c r="J219" s="6"/>
      <c r="K219" s="122">
        <v>45553</v>
      </c>
      <c r="L219">
        <v>0.96377000000000002</v>
      </c>
    </row>
    <row r="220" spans="1:12" x14ac:dyDescent="0.35">
      <c r="A220" t="s">
        <v>34</v>
      </c>
      <c r="D220" t="s">
        <v>343</v>
      </c>
      <c r="F220">
        <v>1</v>
      </c>
      <c r="G220">
        <v>6</v>
      </c>
      <c r="H220">
        <v>2</v>
      </c>
      <c r="I220">
        <v>14</v>
      </c>
      <c r="J220" s="6"/>
      <c r="K220" s="122">
        <v>45936</v>
      </c>
      <c r="L220">
        <v>0.91439999999999999</v>
      </c>
    </row>
    <row r="221" spans="1:12" x14ac:dyDescent="0.35">
      <c r="A221" t="s">
        <v>34</v>
      </c>
      <c r="D221" t="s">
        <v>343</v>
      </c>
      <c r="F221">
        <v>1</v>
      </c>
      <c r="G221">
        <v>6</v>
      </c>
      <c r="H221">
        <v>2</v>
      </c>
      <c r="I221">
        <v>14</v>
      </c>
      <c r="J221" s="6"/>
      <c r="K221" s="122">
        <v>45944</v>
      </c>
      <c r="L221">
        <v>0.85155999999999998</v>
      </c>
    </row>
    <row r="222" spans="1:12" x14ac:dyDescent="0.35">
      <c r="A222" t="s">
        <v>34</v>
      </c>
      <c r="D222" t="s">
        <v>343</v>
      </c>
      <c r="F222">
        <v>1</v>
      </c>
      <c r="G222">
        <v>6</v>
      </c>
      <c r="H222">
        <v>2</v>
      </c>
      <c r="I222">
        <v>14</v>
      </c>
      <c r="J222" s="6"/>
      <c r="K222" s="122">
        <v>45590</v>
      </c>
      <c r="L222">
        <v>0.70950000000000002</v>
      </c>
    </row>
    <row r="223" spans="1:12" x14ac:dyDescent="0.35">
      <c r="A223" t="s">
        <v>34</v>
      </c>
      <c r="D223" t="s">
        <v>343</v>
      </c>
      <c r="F223">
        <v>1</v>
      </c>
      <c r="G223">
        <v>6</v>
      </c>
      <c r="H223">
        <v>2</v>
      </c>
      <c r="I223">
        <v>14</v>
      </c>
      <c r="J223" s="6"/>
      <c r="K223" s="122">
        <v>45596</v>
      </c>
      <c r="L223">
        <v>0.44169999999999998</v>
      </c>
    </row>
    <row r="224" spans="1:12" x14ac:dyDescent="0.35">
      <c r="A224" t="s">
        <v>34</v>
      </c>
      <c r="D224" t="s">
        <v>343</v>
      </c>
      <c r="F224">
        <v>1</v>
      </c>
      <c r="G224">
        <v>6</v>
      </c>
      <c r="H224">
        <v>2</v>
      </c>
      <c r="I224">
        <v>14</v>
      </c>
      <c r="J224" s="6"/>
      <c r="K224" s="122">
        <v>45968</v>
      </c>
      <c r="L224">
        <v>0.25913999999999998</v>
      </c>
    </row>
    <row r="225" spans="1:12" x14ac:dyDescent="0.35">
      <c r="A225" t="s">
        <v>34</v>
      </c>
      <c r="D225" t="s">
        <v>343</v>
      </c>
      <c r="F225">
        <v>1</v>
      </c>
      <c r="G225">
        <v>6</v>
      </c>
      <c r="H225">
        <v>2</v>
      </c>
      <c r="I225">
        <v>14</v>
      </c>
      <c r="J225" s="6"/>
      <c r="K225" s="122">
        <v>45975</v>
      </c>
      <c r="L225">
        <v>0.21329000000000001</v>
      </c>
    </row>
    <row r="226" spans="1:12" x14ac:dyDescent="0.35">
      <c r="A226" t="s">
        <v>34</v>
      </c>
      <c r="D226" t="s">
        <v>36</v>
      </c>
      <c r="F226">
        <v>1</v>
      </c>
      <c r="G226">
        <v>7</v>
      </c>
      <c r="H226">
        <v>2</v>
      </c>
      <c r="I226">
        <v>15</v>
      </c>
      <c r="J226" s="6"/>
      <c r="K226" s="122">
        <v>45421</v>
      </c>
    </row>
    <row r="227" spans="1:12" x14ac:dyDescent="0.35">
      <c r="A227" t="s">
        <v>34</v>
      </c>
      <c r="D227" t="s">
        <v>36</v>
      </c>
      <c r="F227">
        <v>1</v>
      </c>
      <c r="G227">
        <v>7</v>
      </c>
      <c r="H227">
        <v>2</v>
      </c>
      <c r="I227">
        <v>15</v>
      </c>
      <c r="J227" s="6"/>
      <c r="K227" s="122">
        <v>45442</v>
      </c>
      <c r="L227">
        <v>0.13427</v>
      </c>
    </row>
    <row r="228" spans="1:12" x14ac:dyDescent="0.35">
      <c r="A228" t="s">
        <v>34</v>
      </c>
      <c r="D228" t="s">
        <v>36</v>
      </c>
      <c r="F228">
        <v>1</v>
      </c>
      <c r="G228">
        <v>7</v>
      </c>
      <c r="H228">
        <v>2</v>
      </c>
      <c r="I228">
        <v>15</v>
      </c>
      <c r="J228" s="6"/>
      <c r="K228" s="122">
        <v>45461</v>
      </c>
      <c r="L228">
        <v>0.30375000000000002</v>
      </c>
    </row>
    <row r="229" spans="1:12" x14ac:dyDescent="0.35">
      <c r="A229" t="s">
        <v>34</v>
      </c>
      <c r="D229" t="s">
        <v>36</v>
      </c>
      <c r="F229">
        <v>1</v>
      </c>
      <c r="G229">
        <v>7</v>
      </c>
      <c r="H229">
        <v>2</v>
      </c>
      <c r="I229">
        <v>15</v>
      </c>
      <c r="J229" s="6"/>
      <c r="K229" s="122">
        <v>45477</v>
      </c>
      <c r="L229">
        <v>0.38767000000000001</v>
      </c>
    </row>
    <row r="230" spans="1:12" x14ac:dyDescent="0.35">
      <c r="A230" t="s">
        <v>34</v>
      </c>
      <c r="D230" t="s">
        <v>36</v>
      </c>
      <c r="F230">
        <v>1</v>
      </c>
      <c r="G230">
        <v>7</v>
      </c>
      <c r="H230">
        <v>2</v>
      </c>
      <c r="I230">
        <v>15</v>
      </c>
      <c r="J230" s="6"/>
      <c r="K230" s="122">
        <v>45510</v>
      </c>
      <c r="L230">
        <v>0.80664000000000002</v>
      </c>
    </row>
    <row r="231" spans="1:12" x14ac:dyDescent="0.35">
      <c r="A231" t="s">
        <v>34</v>
      </c>
      <c r="D231" t="s">
        <v>36</v>
      </c>
      <c r="F231">
        <v>1</v>
      </c>
      <c r="G231">
        <v>7</v>
      </c>
      <c r="H231">
        <v>2</v>
      </c>
      <c r="I231">
        <v>15</v>
      </c>
      <c r="J231" s="6"/>
      <c r="K231" s="122">
        <v>45519</v>
      </c>
      <c r="L231">
        <v>0.86609000000000003</v>
      </c>
    </row>
    <row r="232" spans="1:12" x14ac:dyDescent="0.35">
      <c r="A232" t="s">
        <v>34</v>
      </c>
      <c r="D232" t="s">
        <v>36</v>
      </c>
      <c r="F232">
        <v>1</v>
      </c>
      <c r="G232">
        <v>7</v>
      </c>
      <c r="H232">
        <v>2</v>
      </c>
      <c r="I232">
        <v>15</v>
      </c>
      <c r="J232" s="6"/>
      <c r="K232" s="122">
        <v>45530</v>
      </c>
      <c r="L232">
        <v>0.88744999999999996</v>
      </c>
    </row>
    <row r="233" spans="1:12" x14ac:dyDescent="0.35">
      <c r="A233" t="s">
        <v>34</v>
      </c>
      <c r="D233" t="s">
        <v>36</v>
      </c>
      <c r="F233">
        <v>1</v>
      </c>
      <c r="G233">
        <v>7</v>
      </c>
      <c r="H233">
        <v>2</v>
      </c>
      <c r="I233">
        <v>15</v>
      </c>
      <c r="J233" s="6"/>
      <c r="K233" s="122">
        <v>45538</v>
      </c>
      <c r="L233">
        <v>0.90537999999999996</v>
      </c>
    </row>
    <row r="234" spans="1:12" x14ac:dyDescent="0.35">
      <c r="A234" t="s">
        <v>34</v>
      </c>
      <c r="D234" t="s">
        <v>36</v>
      </c>
      <c r="F234">
        <v>1</v>
      </c>
      <c r="G234">
        <v>7</v>
      </c>
      <c r="H234">
        <v>2</v>
      </c>
      <c r="I234">
        <v>15</v>
      </c>
      <c r="J234" s="6"/>
      <c r="K234" s="122">
        <v>45547</v>
      </c>
      <c r="L234">
        <v>0.94610000000000005</v>
      </c>
    </row>
    <row r="235" spans="1:12" x14ac:dyDescent="0.35">
      <c r="A235" t="s">
        <v>34</v>
      </c>
      <c r="D235" t="s">
        <v>36</v>
      </c>
      <c r="F235">
        <v>1</v>
      </c>
      <c r="G235">
        <v>7</v>
      </c>
      <c r="H235">
        <v>2</v>
      </c>
      <c r="I235">
        <v>15</v>
      </c>
      <c r="J235" s="6"/>
      <c r="K235" s="122">
        <v>45553</v>
      </c>
      <c r="L235">
        <v>0.94242999999999999</v>
      </c>
    </row>
    <row r="236" spans="1:12" x14ac:dyDescent="0.35">
      <c r="A236" t="s">
        <v>34</v>
      </c>
      <c r="D236" t="s">
        <v>36</v>
      </c>
      <c r="F236">
        <v>1</v>
      </c>
      <c r="G236">
        <v>7</v>
      </c>
      <c r="H236">
        <v>2</v>
      </c>
      <c r="I236">
        <v>15</v>
      </c>
      <c r="J236" s="6"/>
      <c r="K236" s="122">
        <v>45936</v>
      </c>
      <c r="L236">
        <v>0.87890999999999997</v>
      </c>
    </row>
    <row r="237" spans="1:12" x14ac:dyDescent="0.35">
      <c r="A237" t="s">
        <v>34</v>
      </c>
      <c r="D237" t="s">
        <v>36</v>
      </c>
      <c r="F237">
        <v>1</v>
      </c>
      <c r="G237">
        <v>7</v>
      </c>
      <c r="H237">
        <v>2</v>
      </c>
      <c r="I237">
        <v>15</v>
      </c>
      <c r="J237" s="6"/>
      <c r="K237" s="122">
        <v>45944</v>
      </c>
      <c r="L237">
        <v>0.84125000000000005</v>
      </c>
    </row>
    <row r="238" spans="1:12" x14ac:dyDescent="0.35">
      <c r="A238" t="s">
        <v>34</v>
      </c>
      <c r="D238" t="s">
        <v>36</v>
      </c>
      <c r="F238">
        <v>1</v>
      </c>
      <c r="G238">
        <v>7</v>
      </c>
      <c r="H238">
        <v>2</v>
      </c>
      <c r="I238">
        <v>15</v>
      </c>
      <c r="J238" s="6"/>
      <c r="K238" s="122">
        <v>45590</v>
      </c>
      <c r="L238">
        <v>0.68074999999999997</v>
      </c>
    </row>
    <row r="239" spans="1:12" x14ac:dyDescent="0.35">
      <c r="A239" t="s">
        <v>34</v>
      </c>
      <c r="D239" t="s">
        <v>36</v>
      </c>
      <c r="F239">
        <v>1</v>
      </c>
      <c r="G239">
        <v>7</v>
      </c>
      <c r="H239">
        <v>2</v>
      </c>
      <c r="I239">
        <v>15</v>
      </c>
      <c r="J239" s="6"/>
      <c r="K239" s="122">
        <v>45596</v>
      </c>
      <c r="L239">
        <v>0.42978</v>
      </c>
    </row>
    <row r="240" spans="1:12" x14ac:dyDescent="0.35">
      <c r="A240" t="s">
        <v>34</v>
      </c>
      <c r="D240" t="s">
        <v>36</v>
      </c>
      <c r="F240">
        <v>1</v>
      </c>
      <c r="G240">
        <v>7</v>
      </c>
      <c r="H240">
        <v>2</v>
      </c>
      <c r="I240">
        <v>15</v>
      </c>
      <c r="J240" s="6"/>
      <c r="K240" s="122">
        <v>45968</v>
      </c>
      <c r="L240">
        <v>0.25650000000000001</v>
      </c>
    </row>
    <row r="241" spans="1:12" x14ac:dyDescent="0.35">
      <c r="A241" t="s">
        <v>34</v>
      </c>
      <c r="D241" t="s">
        <v>36</v>
      </c>
      <c r="F241">
        <v>1</v>
      </c>
      <c r="G241">
        <v>7</v>
      </c>
      <c r="H241">
        <v>2</v>
      </c>
      <c r="I241">
        <v>15</v>
      </c>
      <c r="J241" s="6"/>
      <c r="K241" s="122">
        <v>45975</v>
      </c>
      <c r="L241">
        <v>0.20913999999999999</v>
      </c>
    </row>
    <row r="242" spans="1:12" x14ac:dyDescent="0.35">
      <c r="A242" t="s">
        <v>34</v>
      </c>
      <c r="D242" t="s">
        <v>39</v>
      </c>
      <c r="F242">
        <v>1</v>
      </c>
      <c r="G242">
        <v>8</v>
      </c>
      <c r="H242">
        <v>2</v>
      </c>
      <c r="I242">
        <v>16</v>
      </c>
      <c r="J242" s="6"/>
      <c r="K242" s="122">
        <v>45421</v>
      </c>
    </row>
    <row r="243" spans="1:12" x14ac:dyDescent="0.35">
      <c r="A243" t="s">
        <v>34</v>
      </c>
      <c r="D243" t="s">
        <v>39</v>
      </c>
      <c r="F243">
        <v>1</v>
      </c>
      <c r="G243">
        <v>8</v>
      </c>
      <c r="H243">
        <v>2</v>
      </c>
      <c r="I243">
        <v>16</v>
      </c>
      <c r="J243" s="6"/>
      <c r="K243" s="122">
        <v>45442</v>
      </c>
      <c r="L243">
        <v>0.13472999999999999</v>
      </c>
    </row>
    <row r="244" spans="1:12" x14ac:dyDescent="0.35">
      <c r="A244" t="s">
        <v>34</v>
      </c>
      <c r="D244" t="s">
        <v>39</v>
      </c>
      <c r="F244">
        <v>1</v>
      </c>
      <c r="G244">
        <v>8</v>
      </c>
      <c r="H244">
        <v>2</v>
      </c>
      <c r="I244">
        <v>16</v>
      </c>
      <c r="J244" s="6"/>
      <c r="K244" s="122">
        <v>45461</v>
      </c>
      <c r="L244">
        <v>0.34799999999999998</v>
      </c>
    </row>
    <row r="245" spans="1:12" x14ac:dyDescent="0.35">
      <c r="A245" t="s">
        <v>34</v>
      </c>
      <c r="D245" t="s">
        <v>39</v>
      </c>
      <c r="F245">
        <v>1</v>
      </c>
      <c r="G245">
        <v>8</v>
      </c>
      <c r="H245">
        <v>2</v>
      </c>
      <c r="I245">
        <v>16</v>
      </c>
      <c r="J245" s="6"/>
      <c r="K245" s="122">
        <v>45477</v>
      </c>
      <c r="L245">
        <v>0.44450000000000001</v>
      </c>
    </row>
    <row r="246" spans="1:12" x14ac:dyDescent="0.35">
      <c r="A246" t="s">
        <v>34</v>
      </c>
      <c r="D246" t="s">
        <v>39</v>
      </c>
      <c r="F246">
        <v>1</v>
      </c>
      <c r="G246">
        <v>8</v>
      </c>
      <c r="H246">
        <v>2</v>
      </c>
      <c r="I246">
        <v>16</v>
      </c>
      <c r="J246" s="6"/>
      <c r="K246" s="122">
        <v>45510</v>
      </c>
      <c r="L246">
        <v>0.79773000000000005</v>
      </c>
    </row>
    <row r="247" spans="1:12" x14ac:dyDescent="0.35">
      <c r="A247" t="s">
        <v>34</v>
      </c>
      <c r="D247" t="s">
        <v>39</v>
      </c>
      <c r="F247">
        <v>1</v>
      </c>
      <c r="G247">
        <v>8</v>
      </c>
      <c r="H247">
        <v>2</v>
      </c>
      <c r="I247">
        <v>16</v>
      </c>
      <c r="J247" s="6"/>
      <c r="K247" s="122">
        <v>45519</v>
      </c>
      <c r="L247">
        <v>0.87775000000000003</v>
      </c>
    </row>
    <row r="248" spans="1:12" x14ac:dyDescent="0.35">
      <c r="A248" t="s">
        <v>34</v>
      </c>
      <c r="D248" t="s">
        <v>39</v>
      </c>
      <c r="F248">
        <v>1</v>
      </c>
      <c r="G248">
        <v>8</v>
      </c>
      <c r="H248">
        <v>2</v>
      </c>
      <c r="I248">
        <v>16</v>
      </c>
      <c r="J248" s="6"/>
      <c r="K248" s="122">
        <v>45530</v>
      </c>
      <c r="L248">
        <v>0.87307999999999997</v>
      </c>
    </row>
    <row r="249" spans="1:12" x14ac:dyDescent="0.35">
      <c r="A249" t="s">
        <v>34</v>
      </c>
      <c r="D249" t="s">
        <v>39</v>
      </c>
      <c r="F249">
        <v>1</v>
      </c>
      <c r="G249">
        <v>8</v>
      </c>
      <c r="H249">
        <v>2</v>
      </c>
      <c r="I249">
        <v>16</v>
      </c>
      <c r="J249" s="6"/>
      <c r="K249" s="122">
        <v>45538</v>
      </c>
      <c r="L249">
        <v>0.90400000000000003</v>
      </c>
    </row>
    <row r="250" spans="1:12" x14ac:dyDescent="0.35">
      <c r="A250" t="s">
        <v>34</v>
      </c>
      <c r="D250" t="s">
        <v>39</v>
      </c>
      <c r="F250">
        <v>1</v>
      </c>
      <c r="G250">
        <v>8</v>
      </c>
      <c r="H250">
        <v>2</v>
      </c>
      <c r="I250">
        <v>16</v>
      </c>
      <c r="J250" s="6"/>
      <c r="K250" s="122">
        <v>45547</v>
      </c>
      <c r="L250">
        <v>0.91957999999999995</v>
      </c>
    </row>
    <row r="251" spans="1:12" x14ac:dyDescent="0.35">
      <c r="A251" t="s">
        <v>34</v>
      </c>
      <c r="D251" t="s">
        <v>39</v>
      </c>
      <c r="F251">
        <v>1</v>
      </c>
      <c r="G251">
        <v>8</v>
      </c>
      <c r="H251">
        <v>2</v>
      </c>
      <c r="I251">
        <v>16</v>
      </c>
      <c r="J251" s="6"/>
      <c r="K251" s="122">
        <v>45553</v>
      </c>
      <c r="L251">
        <v>0.88763999999999998</v>
      </c>
    </row>
    <row r="252" spans="1:12" x14ac:dyDescent="0.35">
      <c r="A252" t="s">
        <v>34</v>
      </c>
      <c r="D252" t="s">
        <v>39</v>
      </c>
      <c r="F252">
        <v>1</v>
      </c>
      <c r="G252">
        <v>8</v>
      </c>
      <c r="H252">
        <v>2</v>
      </c>
      <c r="I252">
        <v>16</v>
      </c>
      <c r="J252" s="6"/>
      <c r="K252" s="122">
        <v>45936</v>
      </c>
      <c r="L252">
        <v>0.85709999999999997</v>
      </c>
    </row>
    <row r="253" spans="1:12" x14ac:dyDescent="0.35">
      <c r="A253" t="s">
        <v>34</v>
      </c>
      <c r="D253" t="s">
        <v>39</v>
      </c>
      <c r="F253">
        <v>1</v>
      </c>
      <c r="G253">
        <v>8</v>
      </c>
      <c r="H253">
        <v>2</v>
      </c>
      <c r="I253">
        <v>16</v>
      </c>
      <c r="J253" s="6"/>
      <c r="K253" s="122">
        <v>45944</v>
      </c>
      <c r="L253">
        <v>0.71482999999999997</v>
      </c>
    </row>
    <row r="254" spans="1:12" x14ac:dyDescent="0.35">
      <c r="A254" t="s">
        <v>34</v>
      </c>
      <c r="D254" t="s">
        <v>39</v>
      </c>
      <c r="F254">
        <v>1</v>
      </c>
      <c r="G254">
        <v>8</v>
      </c>
      <c r="H254">
        <v>2</v>
      </c>
      <c r="I254">
        <v>16</v>
      </c>
      <c r="J254" s="6"/>
      <c r="K254" s="122">
        <v>45590</v>
      </c>
      <c r="L254">
        <v>0.501</v>
      </c>
    </row>
    <row r="255" spans="1:12" x14ac:dyDescent="0.35">
      <c r="A255" t="s">
        <v>34</v>
      </c>
      <c r="D255" t="s">
        <v>39</v>
      </c>
      <c r="F255">
        <v>1</v>
      </c>
      <c r="G255">
        <v>8</v>
      </c>
      <c r="H255">
        <v>2</v>
      </c>
      <c r="I255">
        <v>16</v>
      </c>
      <c r="J255" s="6"/>
      <c r="K255" s="122">
        <v>45596</v>
      </c>
      <c r="L255">
        <v>0.29899999999999999</v>
      </c>
    </row>
    <row r="256" spans="1:12" x14ac:dyDescent="0.35">
      <c r="A256" t="s">
        <v>34</v>
      </c>
      <c r="D256" t="s">
        <v>39</v>
      </c>
      <c r="F256">
        <v>1</v>
      </c>
      <c r="G256">
        <v>8</v>
      </c>
      <c r="H256">
        <v>2</v>
      </c>
      <c r="I256">
        <v>16</v>
      </c>
      <c r="J256" s="6"/>
      <c r="K256" s="122">
        <v>45968</v>
      </c>
      <c r="L256">
        <v>0.19563</v>
      </c>
    </row>
    <row r="257" spans="1:12" x14ac:dyDescent="0.35">
      <c r="A257" t="s">
        <v>34</v>
      </c>
      <c r="D257" t="s">
        <v>39</v>
      </c>
      <c r="F257">
        <v>1</v>
      </c>
      <c r="G257">
        <v>8</v>
      </c>
      <c r="H257">
        <v>2</v>
      </c>
      <c r="I257">
        <v>16</v>
      </c>
      <c r="J257" s="6"/>
      <c r="K257" s="122">
        <v>45975</v>
      </c>
      <c r="L257">
        <v>0.191</v>
      </c>
    </row>
    <row r="258" spans="1:12" x14ac:dyDescent="0.35">
      <c r="A258" t="s">
        <v>24</v>
      </c>
      <c r="D258" t="s">
        <v>335</v>
      </c>
      <c r="F258">
        <v>2</v>
      </c>
      <c r="G258">
        <v>1</v>
      </c>
      <c r="H258">
        <v>3</v>
      </c>
      <c r="I258">
        <v>17</v>
      </c>
      <c r="J258" s="6"/>
      <c r="K258" s="122">
        <v>45421</v>
      </c>
      <c r="L258">
        <v>0.13114000000000001</v>
      </c>
    </row>
    <row r="259" spans="1:12" x14ac:dyDescent="0.35">
      <c r="A259" t="s">
        <v>24</v>
      </c>
      <c r="D259" t="s">
        <v>335</v>
      </c>
      <c r="F259">
        <v>2</v>
      </c>
      <c r="G259">
        <v>1</v>
      </c>
      <c r="H259">
        <v>3</v>
      </c>
      <c r="I259">
        <v>17</v>
      </c>
      <c r="J259" s="6"/>
      <c r="K259" s="122">
        <v>45442</v>
      </c>
      <c r="L259">
        <v>0.54662999999999995</v>
      </c>
    </row>
    <row r="260" spans="1:12" x14ac:dyDescent="0.35">
      <c r="A260" t="s">
        <v>24</v>
      </c>
      <c r="D260" t="s">
        <v>335</v>
      </c>
      <c r="F260">
        <v>2</v>
      </c>
      <c r="G260">
        <v>1</v>
      </c>
      <c r="H260">
        <v>3</v>
      </c>
      <c r="I260">
        <v>17</v>
      </c>
      <c r="J260" s="6"/>
      <c r="K260" s="122">
        <v>45461</v>
      </c>
      <c r="L260">
        <v>0.83867000000000003</v>
      </c>
    </row>
    <row r="261" spans="1:12" x14ac:dyDescent="0.35">
      <c r="A261" t="s">
        <v>24</v>
      </c>
      <c r="D261" t="s">
        <v>335</v>
      </c>
      <c r="F261">
        <v>2</v>
      </c>
      <c r="G261">
        <v>1</v>
      </c>
      <c r="H261">
        <v>3</v>
      </c>
      <c r="I261">
        <v>17</v>
      </c>
      <c r="J261" s="6"/>
      <c r="K261" s="122">
        <v>45477</v>
      </c>
      <c r="L261">
        <v>0.87949999999999995</v>
      </c>
    </row>
    <row r="262" spans="1:12" x14ac:dyDescent="0.35">
      <c r="A262" t="s">
        <v>24</v>
      </c>
      <c r="D262" t="s">
        <v>335</v>
      </c>
      <c r="F262">
        <v>2</v>
      </c>
      <c r="G262">
        <v>1</v>
      </c>
      <c r="H262">
        <v>3</v>
      </c>
      <c r="I262">
        <v>17</v>
      </c>
      <c r="J262" s="6"/>
      <c r="K262" s="122">
        <v>45510</v>
      </c>
      <c r="L262">
        <v>0.86082000000000003</v>
      </c>
    </row>
    <row r="263" spans="1:12" x14ac:dyDescent="0.35">
      <c r="A263" t="s">
        <v>24</v>
      </c>
      <c r="D263" t="s">
        <v>335</v>
      </c>
      <c r="F263">
        <v>2</v>
      </c>
      <c r="G263">
        <v>1</v>
      </c>
      <c r="H263">
        <v>3</v>
      </c>
      <c r="I263">
        <v>17</v>
      </c>
      <c r="J263" s="6"/>
      <c r="K263" s="122">
        <v>45519</v>
      </c>
      <c r="L263">
        <v>0.83011000000000001</v>
      </c>
    </row>
    <row r="264" spans="1:12" x14ac:dyDescent="0.35">
      <c r="A264" t="s">
        <v>24</v>
      </c>
      <c r="D264" t="s">
        <v>335</v>
      </c>
      <c r="F264">
        <v>2</v>
      </c>
      <c r="G264">
        <v>1</v>
      </c>
      <c r="H264">
        <v>3</v>
      </c>
      <c r="I264">
        <v>17</v>
      </c>
      <c r="J264" s="6"/>
      <c r="K264" s="122">
        <v>45530</v>
      </c>
      <c r="L264">
        <v>0.88383</v>
      </c>
    </row>
    <row r="265" spans="1:12" x14ac:dyDescent="0.35">
      <c r="A265" t="s">
        <v>24</v>
      </c>
      <c r="D265" t="s">
        <v>335</v>
      </c>
      <c r="F265">
        <v>2</v>
      </c>
      <c r="G265">
        <v>1</v>
      </c>
      <c r="H265">
        <v>3</v>
      </c>
      <c r="I265">
        <v>17</v>
      </c>
      <c r="J265" s="6"/>
      <c r="K265" s="122">
        <v>45538</v>
      </c>
      <c r="L265">
        <v>0.89766999999999997</v>
      </c>
    </row>
    <row r="266" spans="1:12" x14ac:dyDescent="0.35">
      <c r="A266" t="s">
        <v>24</v>
      </c>
      <c r="D266" t="s">
        <v>335</v>
      </c>
      <c r="F266">
        <v>2</v>
      </c>
      <c r="G266">
        <v>1</v>
      </c>
      <c r="H266">
        <v>3</v>
      </c>
      <c r="I266">
        <v>17</v>
      </c>
      <c r="J266" s="6"/>
      <c r="K266" s="122">
        <v>45547</v>
      </c>
      <c r="L266">
        <v>0.93162999999999996</v>
      </c>
    </row>
    <row r="267" spans="1:12" x14ac:dyDescent="0.35">
      <c r="A267" t="s">
        <v>24</v>
      </c>
      <c r="D267" t="s">
        <v>335</v>
      </c>
      <c r="F267">
        <v>2</v>
      </c>
      <c r="G267">
        <v>1</v>
      </c>
      <c r="H267">
        <v>3</v>
      </c>
      <c r="I267">
        <v>17</v>
      </c>
      <c r="J267" s="6"/>
      <c r="K267" s="122">
        <v>45553</v>
      </c>
      <c r="L267">
        <v>0.94479000000000002</v>
      </c>
    </row>
    <row r="268" spans="1:12" x14ac:dyDescent="0.35">
      <c r="A268" t="s">
        <v>24</v>
      </c>
      <c r="D268" t="s">
        <v>335</v>
      </c>
      <c r="F268">
        <v>2</v>
      </c>
      <c r="G268">
        <v>1</v>
      </c>
      <c r="H268">
        <v>3</v>
      </c>
      <c r="I268">
        <v>17</v>
      </c>
      <c r="J268" s="6"/>
      <c r="K268" s="122">
        <v>45936</v>
      </c>
      <c r="L268">
        <v>0.90083000000000002</v>
      </c>
    </row>
    <row r="269" spans="1:12" x14ac:dyDescent="0.35">
      <c r="A269" t="s">
        <v>24</v>
      </c>
      <c r="D269" t="s">
        <v>335</v>
      </c>
      <c r="F269">
        <v>2</v>
      </c>
      <c r="G269">
        <v>1</v>
      </c>
      <c r="H269">
        <v>3</v>
      </c>
      <c r="I269">
        <v>17</v>
      </c>
      <c r="J269" s="6"/>
      <c r="K269" s="122">
        <v>45944</v>
      </c>
      <c r="L269">
        <v>0.77385999999999999</v>
      </c>
    </row>
    <row r="270" spans="1:12" x14ac:dyDescent="0.35">
      <c r="A270" t="s">
        <v>24</v>
      </c>
      <c r="D270" t="s">
        <v>335</v>
      </c>
      <c r="F270">
        <v>2</v>
      </c>
      <c r="G270">
        <v>1</v>
      </c>
      <c r="H270">
        <v>3</v>
      </c>
      <c r="I270">
        <v>17</v>
      </c>
      <c r="J270" s="6"/>
      <c r="K270" s="122">
        <v>45590</v>
      </c>
      <c r="L270">
        <v>0.54013999999999995</v>
      </c>
    </row>
    <row r="271" spans="1:12" x14ac:dyDescent="0.35">
      <c r="A271" t="s">
        <v>24</v>
      </c>
      <c r="D271" t="s">
        <v>335</v>
      </c>
      <c r="F271">
        <v>2</v>
      </c>
      <c r="G271">
        <v>1</v>
      </c>
      <c r="H271">
        <v>3</v>
      </c>
      <c r="I271">
        <v>17</v>
      </c>
      <c r="J271" s="6"/>
      <c r="K271" s="122">
        <v>45596</v>
      </c>
      <c r="L271">
        <v>0.30132999999999999</v>
      </c>
    </row>
    <row r="272" spans="1:12" x14ac:dyDescent="0.35">
      <c r="A272" t="s">
        <v>24</v>
      </c>
      <c r="D272" t="s">
        <v>335</v>
      </c>
      <c r="F272">
        <v>2</v>
      </c>
      <c r="G272">
        <v>1</v>
      </c>
      <c r="H272">
        <v>3</v>
      </c>
      <c r="I272">
        <v>17</v>
      </c>
      <c r="J272" s="6"/>
      <c r="K272" s="122">
        <v>45968</v>
      </c>
      <c r="L272">
        <v>0.22356999999999999</v>
      </c>
    </row>
    <row r="273" spans="1:12" x14ac:dyDescent="0.35">
      <c r="A273" t="s">
        <v>24</v>
      </c>
      <c r="D273" t="s">
        <v>335</v>
      </c>
      <c r="F273">
        <v>2</v>
      </c>
      <c r="G273">
        <v>1</v>
      </c>
      <c r="H273">
        <v>3</v>
      </c>
      <c r="I273">
        <v>17</v>
      </c>
      <c r="J273" s="6"/>
      <c r="K273" s="122">
        <v>45975</v>
      </c>
      <c r="L273">
        <v>0.20799999999999999</v>
      </c>
    </row>
    <row r="274" spans="1:12" x14ac:dyDescent="0.35">
      <c r="A274" t="s">
        <v>24</v>
      </c>
      <c r="D274" t="s">
        <v>28</v>
      </c>
      <c r="F274">
        <v>2</v>
      </c>
      <c r="G274">
        <v>2</v>
      </c>
      <c r="H274">
        <v>3</v>
      </c>
      <c r="I274">
        <v>18</v>
      </c>
      <c r="J274" s="6"/>
      <c r="K274" s="122">
        <v>45421</v>
      </c>
      <c r="L274">
        <v>0.11799999999999999</v>
      </c>
    </row>
    <row r="275" spans="1:12" x14ac:dyDescent="0.35">
      <c r="A275" t="s">
        <v>24</v>
      </c>
      <c r="D275" t="s">
        <v>28</v>
      </c>
      <c r="F275">
        <v>2</v>
      </c>
      <c r="G275">
        <v>2</v>
      </c>
      <c r="H275">
        <v>3</v>
      </c>
      <c r="I275">
        <v>18</v>
      </c>
      <c r="J275" s="6"/>
      <c r="K275" s="122">
        <v>45442</v>
      </c>
      <c r="L275">
        <v>0.44155</v>
      </c>
    </row>
    <row r="276" spans="1:12" x14ac:dyDescent="0.35">
      <c r="A276" t="s">
        <v>24</v>
      </c>
      <c r="D276" t="s">
        <v>28</v>
      </c>
      <c r="F276">
        <v>2</v>
      </c>
      <c r="G276">
        <v>2</v>
      </c>
      <c r="H276">
        <v>3</v>
      </c>
      <c r="I276">
        <v>18</v>
      </c>
      <c r="J276" s="6"/>
      <c r="K276" s="122">
        <v>45461</v>
      </c>
      <c r="L276">
        <v>0.78888000000000003</v>
      </c>
    </row>
    <row r="277" spans="1:12" x14ac:dyDescent="0.35">
      <c r="A277" t="s">
        <v>24</v>
      </c>
      <c r="D277" t="s">
        <v>28</v>
      </c>
      <c r="F277">
        <v>2</v>
      </c>
      <c r="G277">
        <v>2</v>
      </c>
      <c r="H277">
        <v>3</v>
      </c>
      <c r="I277">
        <v>18</v>
      </c>
      <c r="J277" s="6"/>
      <c r="K277" s="122">
        <v>45477</v>
      </c>
      <c r="L277">
        <v>0.88144999999999996</v>
      </c>
    </row>
    <row r="278" spans="1:12" x14ac:dyDescent="0.35">
      <c r="A278" t="s">
        <v>24</v>
      </c>
      <c r="D278" t="s">
        <v>28</v>
      </c>
      <c r="F278">
        <v>2</v>
      </c>
      <c r="G278">
        <v>2</v>
      </c>
      <c r="H278">
        <v>3</v>
      </c>
      <c r="I278">
        <v>18</v>
      </c>
      <c r="J278" s="6"/>
      <c r="K278" s="122">
        <v>45510</v>
      </c>
      <c r="L278">
        <v>0.87592000000000003</v>
      </c>
    </row>
    <row r="279" spans="1:12" x14ac:dyDescent="0.35">
      <c r="A279" t="s">
        <v>24</v>
      </c>
      <c r="D279" t="s">
        <v>28</v>
      </c>
      <c r="F279">
        <v>2</v>
      </c>
      <c r="G279">
        <v>2</v>
      </c>
      <c r="H279">
        <v>3</v>
      </c>
      <c r="I279">
        <v>18</v>
      </c>
      <c r="J279" s="6"/>
      <c r="K279" s="122">
        <v>45519</v>
      </c>
      <c r="L279">
        <v>0.86921999999999999</v>
      </c>
    </row>
    <row r="280" spans="1:12" x14ac:dyDescent="0.35">
      <c r="A280" t="s">
        <v>24</v>
      </c>
      <c r="D280" t="s">
        <v>28</v>
      </c>
      <c r="F280">
        <v>2</v>
      </c>
      <c r="G280">
        <v>2</v>
      </c>
      <c r="H280">
        <v>3</v>
      </c>
      <c r="I280">
        <v>18</v>
      </c>
      <c r="J280" s="6"/>
      <c r="K280" s="122">
        <v>45530</v>
      </c>
      <c r="L280">
        <v>0.90791999999999995</v>
      </c>
    </row>
    <row r="281" spans="1:12" x14ac:dyDescent="0.35">
      <c r="A281" t="s">
        <v>24</v>
      </c>
      <c r="D281" t="s">
        <v>28</v>
      </c>
      <c r="F281">
        <v>2</v>
      </c>
      <c r="G281">
        <v>2</v>
      </c>
      <c r="H281">
        <v>3</v>
      </c>
      <c r="I281">
        <v>18</v>
      </c>
      <c r="J281" s="6"/>
      <c r="K281" s="122">
        <v>45538</v>
      </c>
      <c r="L281">
        <v>0.92864000000000002</v>
      </c>
    </row>
    <row r="282" spans="1:12" x14ac:dyDescent="0.35">
      <c r="A282" t="s">
        <v>24</v>
      </c>
      <c r="B282" s="71"/>
      <c r="C282" s="72"/>
      <c r="D282" t="s">
        <v>28</v>
      </c>
      <c r="E282" s="71"/>
      <c r="F282">
        <v>2</v>
      </c>
      <c r="G282">
        <v>2</v>
      </c>
      <c r="H282">
        <v>3</v>
      </c>
      <c r="I282">
        <v>18</v>
      </c>
      <c r="J282" s="6"/>
      <c r="K282" s="122">
        <v>45547</v>
      </c>
      <c r="L282">
        <v>0.94840000000000002</v>
      </c>
    </row>
    <row r="283" spans="1:12" x14ac:dyDescent="0.35">
      <c r="A283" t="s">
        <v>24</v>
      </c>
      <c r="D283" t="s">
        <v>28</v>
      </c>
      <c r="F283">
        <v>2</v>
      </c>
      <c r="G283">
        <v>2</v>
      </c>
      <c r="H283">
        <v>3</v>
      </c>
      <c r="I283">
        <v>18</v>
      </c>
      <c r="J283" s="6"/>
      <c r="K283" s="122">
        <v>45553</v>
      </c>
      <c r="L283">
        <v>0.95321</v>
      </c>
    </row>
    <row r="284" spans="1:12" x14ac:dyDescent="0.35">
      <c r="A284" t="s">
        <v>24</v>
      </c>
      <c r="D284" t="s">
        <v>28</v>
      </c>
      <c r="F284">
        <v>2</v>
      </c>
      <c r="G284">
        <v>2</v>
      </c>
      <c r="H284">
        <v>3</v>
      </c>
      <c r="I284">
        <v>18</v>
      </c>
      <c r="J284" s="6"/>
      <c r="K284" s="122">
        <v>45936</v>
      </c>
      <c r="L284">
        <v>0.89622000000000002</v>
      </c>
    </row>
    <row r="285" spans="1:12" x14ac:dyDescent="0.35">
      <c r="A285" t="s">
        <v>24</v>
      </c>
      <c r="D285" t="s">
        <v>28</v>
      </c>
      <c r="F285">
        <v>2</v>
      </c>
      <c r="G285">
        <v>2</v>
      </c>
      <c r="H285">
        <v>3</v>
      </c>
      <c r="I285">
        <v>18</v>
      </c>
      <c r="J285" s="6"/>
      <c r="K285" s="122">
        <v>45944</v>
      </c>
      <c r="L285">
        <v>0.80237999999999998</v>
      </c>
    </row>
    <row r="286" spans="1:12" x14ac:dyDescent="0.35">
      <c r="A286" t="s">
        <v>24</v>
      </c>
      <c r="D286" t="s">
        <v>28</v>
      </c>
      <c r="F286">
        <v>2</v>
      </c>
      <c r="G286">
        <v>2</v>
      </c>
      <c r="H286">
        <v>3</v>
      </c>
      <c r="I286">
        <v>18</v>
      </c>
      <c r="J286" s="6"/>
      <c r="K286" s="122">
        <v>45590</v>
      </c>
      <c r="L286">
        <v>0.62287999999999999</v>
      </c>
    </row>
    <row r="287" spans="1:12" x14ac:dyDescent="0.35">
      <c r="A287" t="s">
        <v>24</v>
      </c>
      <c r="D287" t="s">
        <v>28</v>
      </c>
      <c r="F287">
        <v>2</v>
      </c>
      <c r="G287">
        <v>2</v>
      </c>
      <c r="H287">
        <v>3</v>
      </c>
      <c r="I287">
        <v>18</v>
      </c>
      <c r="J287" s="6"/>
      <c r="K287" s="122">
        <v>45596</v>
      </c>
      <c r="L287">
        <v>0.31963000000000003</v>
      </c>
    </row>
    <row r="288" spans="1:12" x14ac:dyDescent="0.35">
      <c r="A288" t="s">
        <v>24</v>
      </c>
      <c r="D288" t="s">
        <v>28</v>
      </c>
      <c r="F288">
        <v>2</v>
      </c>
      <c r="G288">
        <v>2</v>
      </c>
      <c r="H288">
        <v>3</v>
      </c>
      <c r="I288">
        <v>18</v>
      </c>
      <c r="J288" s="6"/>
      <c r="K288" s="122">
        <v>45968</v>
      </c>
      <c r="L288">
        <v>0.21214</v>
      </c>
    </row>
    <row r="289" spans="1:12" x14ac:dyDescent="0.35">
      <c r="A289" t="s">
        <v>24</v>
      </c>
      <c r="D289" t="s">
        <v>28</v>
      </c>
      <c r="F289">
        <v>2</v>
      </c>
      <c r="G289">
        <v>2</v>
      </c>
      <c r="H289">
        <v>3</v>
      </c>
      <c r="I289">
        <v>18</v>
      </c>
      <c r="J289" s="6"/>
      <c r="K289" s="122">
        <v>45975</v>
      </c>
      <c r="L289">
        <v>0.21671000000000001</v>
      </c>
    </row>
    <row r="290" spans="1:12" x14ac:dyDescent="0.35">
      <c r="A290" t="s">
        <v>24</v>
      </c>
      <c r="D290" t="s">
        <v>26</v>
      </c>
      <c r="F290">
        <v>2</v>
      </c>
      <c r="G290">
        <v>3</v>
      </c>
      <c r="H290">
        <v>3</v>
      </c>
      <c r="I290">
        <v>19</v>
      </c>
      <c r="J290" s="6"/>
      <c r="K290" s="122">
        <v>45421</v>
      </c>
      <c r="L290">
        <v>0.11928999999999999</v>
      </c>
    </row>
    <row r="291" spans="1:12" x14ac:dyDescent="0.35">
      <c r="A291" t="s">
        <v>24</v>
      </c>
      <c r="D291" t="s">
        <v>26</v>
      </c>
      <c r="F291">
        <v>2</v>
      </c>
      <c r="G291">
        <v>3</v>
      </c>
      <c r="H291">
        <v>3</v>
      </c>
      <c r="I291">
        <v>19</v>
      </c>
      <c r="J291" s="6"/>
      <c r="K291" s="122">
        <v>45442</v>
      </c>
      <c r="L291">
        <v>0.495</v>
      </c>
    </row>
    <row r="292" spans="1:12" x14ac:dyDescent="0.35">
      <c r="A292" t="s">
        <v>24</v>
      </c>
      <c r="D292" t="s">
        <v>26</v>
      </c>
      <c r="F292">
        <v>2</v>
      </c>
      <c r="G292">
        <v>3</v>
      </c>
      <c r="H292">
        <v>3</v>
      </c>
      <c r="I292">
        <v>19</v>
      </c>
      <c r="J292" s="6"/>
      <c r="K292" s="122">
        <v>45461</v>
      </c>
      <c r="L292">
        <v>0.87624999999999997</v>
      </c>
    </row>
    <row r="293" spans="1:12" x14ac:dyDescent="0.35">
      <c r="A293" t="s">
        <v>24</v>
      </c>
      <c r="D293" t="s">
        <v>26</v>
      </c>
      <c r="F293">
        <v>2</v>
      </c>
      <c r="G293">
        <v>3</v>
      </c>
      <c r="H293">
        <v>3</v>
      </c>
      <c r="I293">
        <v>19</v>
      </c>
      <c r="J293" s="6"/>
      <c r="K293" s="122">
        <v>45477</v>
      </c>
      <c r="L293">
        <v>0.90169999999999995</v>
      </c>
    </row>
    <row r="294" spans="1:12" x14ac:dyDescent="0.35">
      <c r="A294" t="s">
        <v>24</v>
      </c>
      <c r="D294" t="s">
        <v>26</v>
      </c>
      <c r="F294">
        <v>2</v>
      </c>
      <c r="G294">
        <v>3</v>
      </c>
      <c r="H294">
        <v>3</v>
      </c>
      <c r="I294">
        <v>19</v>
      </c>
      <c r="J294" s="6"/>
      <c r="K294" s="122">
        <v>45510</v>
      </c>
      <c r="L294">
        <v>0.89244000000000001</v>
      </c>
    </row>
    <row r="295" spans="1:12" x14ac:dyDescent="0.35">
      <c r="A295" t="s">
        <v>24</v>
      </c>
      <c r="D295" t="s">
        <v>26</v>
      </c>
      <c r="F295">
        <v>2</v>
      </c>
      <c r="G295">
        <v>3</v>
      </c>
      <c r="H295">
        <v>3</v>
      </c>
      <c r="I295">
        <v>19</v>
      </c>
      <c r="J295" s="6"/>
      <c r="K295" s="122">
        <v>45519</v>
      </c>
      <c r="L295">
        <v>0.88522000000000001</v>
      </c>
    </row>
    <row r="296" spans="1:12" x14ac:dyDescent="0.35">
      <c r="A296" t="s">
        <v>24</v>
      </c>
      <c r="D296" t="s">
        <v>26</v>
      </c>
      <c r="F296">
        <v>2</v>
      </c>
      <c r="G296">
        <v>3</v>
      </c>
      <c r="H296">
        <v>3</v>
      </c>
      <c r="I296">
        <v>19</v>
      </c>
      <c r="J296" s="6"/>
      <c r="K296" s="122">
        <v>45530</v>
      </c>
      <c r="L296">
        <v>0.91837999999999997</v>
      </c>
    </row>
    <row r="297" spans="1:12" x14ac:dyDescent="0.35">
      <c r="A297" t="s">
        <v>24</v>
      </c>
      <c r="D297" t="s">
        <v>26</v>
      </c>
      <c r="F297">
        <v>2</v>
      </c>
      <c r="G297">
        <v>3</v>
      </c>
      <c r="H297">
        <v>3</v>
      </c>
      <c r="I297">
        <v>19</v>
      </c>
      <c r="J297" s="6"/>
      <c r="K297" s="122">
        <v>45538</v>
      </c>
      <c r="L297">
        <v>0.94084999999999996</v>
      </c>
    </row>
    <row r="298" spans="1:12" x14ac:dyDescent="0.35">
      <c r="A298" t="s">
        <v>24</v>
      </c>
      <c r="D298" t="s">
        <v>26</v>
      </c>
      <c r="F298">
        <v>2</v>
      </c>
      <c r="G298">
        <v>3</v>
      </c>
      <c r="H298">
        <v>3</v>
      </c>
      <c r="I298">
        <v>19</v>
      </c>
      <c r="J298" s="6"/>
      <c r="K298" s="122">
        <v>45547</v>
      </c>
      <c r="L298">
        <v>0.94079999999999997</v>
      </c>
    </row>
    <row r="299" spans="1:12" x14ac:dyDescent="0.35">
      <c r="A299" t="s">
        <v>24</v>
      </c>
      <c r="D299" t="s">
        <v>26</v>
      </c>
      <c r="F299">
        <v>2</v>
      </c>
      <c r="G299">
        <v>3</v>
      </c>
      <c r="H299">
        <v>3</v>
      </c>
      <c r="I299">
        <v>19</v>
      </c>
      <c r="J299" s="6"/>
      <c r="K299" s="122">
        <v>45553</v>
      </c>
      <c r="L299">
        <v>0.95645999999999998</v>
      </c>
    </row>
    <row r="300" spans="1:12" x14ac:dyDescent="0.35">
      <c r="A300" t="s">
        <v>24</v>
      </c>
      <c r="D300" t="s">
        <v>26</v>
      </c>
      <c r="F300">
        <v>2</v>
      </c>
      <c r="G300">
        <v>3</v>
      </c>
      <c r="H300">
        <v>3</v>
      </c>
      <c r="I300">
        <v>19</v>
      </c>
      <c r="J300" s="6"/>
      <c r="K300" s="122">
        <v>45936</v>
      </c>
      <c r="L300">
        <v>0.88975000000000004</v>
      </c>
    </row>
    <row r="301" spans="1:12" x14ac:dyDescent="0.35">
      <c r="A301" t="s">
        <v>24</v>
      </c>
      <c r="D301" t="s">
        <v>26</v>
      </c>
      <c r="F301">
        <v>2</v>
      </c>
      <c r="G301">
        <v>3</v>
      </c>
      <c r="H301">
        <v>3</v>
      </c>
      <c r="I301">
        <v>19</v>
      </c>
      <c r="J301" s="6"/>
      <c r="K301" s="122">
        <v>45944</v>
      </c>
      <c r="L301">
        <v>0.84470999999999996</v>
      </c>
    </row>
    <row r="302" spans="1:12" x14ac:dyDescent="0.35">
      <c r="A302" t="s">
        <v>24</v>
      </c>
      <c r="D302" t="s">
        <v>26</v>
      </c>
      <c r="F302">
        <v>2</v>
      </c>
      <c r="G302">
        <v>3</v>
      </c>
      <c r="H302">
        <v>3</v>
      </c>
      <c r="I302">
        <v>19</v>
      </c>
      <c r="J302" s="6"/>
      <c r="K302" s="122">
        <v>45590</v>
      </c>
      <c r="L302">
        <v>0.71628999999999998</v>
      </c>
    </row>
    <row r="303" spans="1:12" x14ac:dyDescent="0.35">
      <c r="A303" t="s">
        <v>24</v>
      </c>
      <c r="D303" t="s">
        <v>26</v>
      </c>
      <c r="F303">
        <v>2</v>
      </c>
      <c r="G303">
        <v>3</v>
      </c>
      <c r="H303">
        <v>3</v>
      </c>
      <c r="I303">
        <v>19</v>
      </c>
      <c r="J303" s="6"/>
      <c r="K303" s="122">
        <v>45596</v>
      </c>
      <c r="L303">
        <v>0.50170999999999999</v>
      </c>
    </row>
    <row r="304" spans="1:12" x14ac:dyDescent="0.35">
      <c r="A304" t="s">
        <v>24</v>
      </c>
      <c r="D304" t="s">
        <v>26</v>
      </c>
      <c r="F304">
        <v>2</v>
      </c>
      <c r="G304">
        <v>3</v>
      </c>
      <c r="H304">
        <v>3</v>
      </c>
      <c r="I304">
        <v>19</v>
      </c>
      <c r="J304" s="6"/>
      <c r="K304" s="122">
        <v>45968</v>
      </c>
      <c r="L304">
        <v>0.27628999999999998</v>
      </c>
    </row>
    <row r="305" spans="1:12" x14ac:dyDescent="0.35">
      <c r="A305" t="s">
        <v>24</v>
      </c>
      <c r="D305" t="s">
        <v>26</v>
      </c>
      <c r="F305">
        <v>2</v>
      </c>
      <c r="G305">
        <v>3</v>
      </c>
      <c r="H305">
        <v>3</v>
      </c>
      <c r="I305">
        <v>19</v>
      </c>
      <c r="J305" s="6"/>
      <c r="K305" s="122">
        <v>45975</v>
      </c>
      <c r="L305">
        <v>0.20116999999999999</v>
      </c>
    </row>
    <row r="306" spans="1:12" x14ac:dyDescent="0.35">
      <c r="A306" t="s">
        <v>24</v>
      </c>
      <c r="D306" t="s">
        <v>336</v>
      </c>
      <c r="F306">
        <v>2</v>
      </c>
      <c r="G306">
        <v>4</v>
      </c>
      <c r="H306">
        <v>3</v>
      </c>
      <c r="I306">
        <v>20</v>
      </c>
      <c r="J306" s="6"/>
      <c r="K306" s="122">
        <v>45421</v>
      </c>
      <c r="L306">
        <v>0.13033</v>
      </c>
    </row>
    <row r="307" spans="1:12" x14ac:dyDescent="0.35">
      <c r="A307" t="s">
        <v>24</v>
      </c>
      <c r="D307" t="s">
        <v>336</v>
      </c>
      <c r="F307">
        <v>2</v>
      </c>
      <c r="G307">
        <v>4</v>
      </c>
      <c r="H307">
        <v>3</v>
      </c>
      <c r="I307">
        <v>20</v>
      </c>
      <c r="J307" s="6"/>
      <c r="K307" s="122">
        <v>45442</v>
      </c>
      <c r="L307">
        <v>0.52842</v>
      </c>
    </row>
    <row r="308" spans="1:12" x14ac:dyDescent="0.35">
      <c r="A308" t="s">
        <v>24</v>
      </c>
      <c r="D308" t="s">
        <v>336</v>
      </c>
      <c r="F308">
        <v>2</v>
      </c>
      <c r="G308">
        <v>4</v>
      </c>
      <c r="H308">
        <v>3</v>
      </c>
      <c r="I308">
        <v>20</v>
      </c>
      <c r="J308" s="6"/>
      <c r="K308" s="122">
        <v>45461</v>
      </c>
      <c r="L308">
        <v>0.86426999999999998</v>
      </c>
    </row>
    <row r="309" spans="1:12" x14ac:dyDescent="0.35">
      <c r="A309" t="s">
        <v>24</v>
      </c>
      <c r="D309" t="s">
        <v>336</v>
      </c>
      <c r="F309">
        <v>2</v>
      </c>
      <c r="G309">
        <v>4</v>
      </c>
      <c r="H309">
        <v>3</v>
      </c>
      <c r="I309">
        <v>20</v>
      </c>
      <c r="J309" s="6"/>
      <c r="K309" s="122">
        <v>45477</v>
      </c>
      <c r="L309">
        <v>0.88709000000000005</v>
      </c>
    </row>
    <row r="310" spans="1:12" x14ac:dyDescent="0.35">
      <c r="A310" t="s">
        <v>24</v>
      </c>
      <c r="D310" t="s">
        <v>336</v>
      </c>
      <c r="F310">
        <v>2</v>
      </c>
      <c r="G310">
        <v>4</v>
      </c>
      <c r="H310">
        <v>3</v>
      </c>
      <c r="I310">
        <v>20</v>
      </c>
      <c r="J310" s="6"/>
      <c r="K310" s="122">
        <v>45510</v>
      </c>
      <c r="L310">
        <v>0.87570000000000003</v>
      </c>
    </row>
    <row r="311" spans="1:12" x14ac:dyDescent="0.35">
      <c r="A311" t="s">
        <v>24</v>
      </c>
      <c r="D311" t="s">
        <v>336</v>
      </c>
      <c r="F311">
        <v>2</v>
      </c>
      <c r="G311">
        <v>4</v>
      </c>
      <c r="H311">
        <v>3</v>
      </c>
      <c r="I311">
        <v>20</v>
      </c>
      <c r="J311" s="6"/>
      <c r="K311" s="122">
        <v>45519</v>
      </c>
      <c r="L311">
        <v>0.84853999999999996</v>
      </c>
    </row>
    <row r="312" spans="1:12" x14ac:dyDescent="0.35">
      <c r="A312" t="s">
        <v>24</v>
      </c>
      <c r="D312" t="s">
        <v>336</v>
      </c>
      <c r="F312">
        <v>2</v>
      </c>
      <c r="G312">
        <v>4</v>
      </c>
      <c r="H312">
        <v>3</v>
      </c>
      <c r="I312">
        <v>20</v>
      </c>
      <c r="J312" s="6"/>
      <c r="K312" s="122">
        <v>45530</v>
      </c>
      <c r="L312">
        <v>0.88368999999999998</v>
      </c>
    </row>
    <row r="313" spans="1:12" x14ac:dyDescent="0.35">
      <c r="A313" t="s">
        <v>24</v>
      </c>
      <c r="D313" t="s">
        <v>336</v>
      </c>
      <c r="F313">
        <v>2</v>
      </c>
      <c r="G313">
        <v>4</v>
      </c>
      <c r="H313">
        <v>3</v>
      </c>
      <c r="I313">
        <v>20</v>
      </c>
      <c r="J313" s="6"/>
      <c r="K313" s="122">
        <v>45538</v>
      </c>
      <c r="L313">
        <v>0.89624999999999999</v>
      </c>
    </row>
    <row r="314" spans="1:12" x14ac:dyDescent="0.35">
      <c r="A314" t="s">
        <v>24</v>
      </c>
      <c r="D314" t="s">
        <v>336</v>
      </c>
      <c r="F314">
        <v>2</v>
      </c>
      <c r="G314">
        <v>4</v>
      </c>
      <c r="H314">
        <v>3</v>
      </c>
      <c r="I314">
        <v>20</v>
      </c>
      <c r="J314" s="6"/>
      <c r="K314" s="122">
        <v>45547</v>
      </c>
      <c r="L314">
        <v>0.94199999999999995</v>
      </c>
    </row>
    <row r="315" spans="1:12" x14ac:dyDescent="0.35">
      <c r="A315" t="s">
        <v>24</v>
      </c>
      <c r="D315" t="s">
        <v>336</v>
      </c>
      <c r="F315">
        <v>2</v>
      </c>
      <c r="G315">
        <v>4</v>
      </c>
      <c r="H315">
        <v>3</v>
      </c>
      <c r="I315">
        <v>20</v>
      </c>
      <c r="J315" s="6"/>
      <c r="K315" s="122">
        <v>45553</v>
      </c>
      <c r="L315">
        <v>0.95328999999999997</v>
      </c>
    </row>
    <row r="316" spans="1:12" x14ac:dyDescent="0.35">
      <c r="A316" t="s">
        <v>24</v>
      </c>
      <c r="D316" t="s">
        <v>336</v>
      </c>
      <c r="F316">
        <v>2</v>
      </c>
      <c r="G316">
        <v>4</v>
      </c>
      <c r="H316">
        <v>3</v>
      </c>
      <c r="I316">
        <v>20</v>
      </c>
      <c r="J316" s="6"/>
      <c r="K316" s="122">
        <v>45936</v>
      </c>
      <c r="L316">
        <v>0.86211000000000004</v>
      </c>
    </row>
    <row r="317" spans="1:12" x14ac:dyDescent="0.35">
      <c r="A317" t="s">
        <v>24</v>
      </c>
      <c r="D317" t="s">
        <v>336</v>
      </c>
      <c r="F317">
        <v>2</v>
      </c>
      <c r="G317">
        <v>4</v>
      </c>
      <c r="H317">
        <v>3</v>
      </c>
      <c r="I317">
        <v>20</v>
      </c>
      <c r="J317" s="6"/>
      <c r="K317" s="122">
        <v>45944</v>
      </c>
      <c r="L317">
        <v>0.81557000000000002</v>
      </c>
    </row>
    <row r="318" spans="1:12" x14ac:dyDescent="0.35">
      <c r="A318" t="s">
        <v>24</v>
      </c>
      <c r="D318" t="s">
        <v>336</v>
      </c>
      <c r="F318">
        <v>2</v>
      </c>
      <c r="G318">
        <v>4</v>
      </c>
      <c r="H318">
        <v>3</v>
      </c>
      <c r="I318">
        <v>20</v>
      </c>
      <c r="J318" s="6"/>
      <c r="K318" s="122">
        <v>45590</v>
      </c>
      <c r="L318">
        <v>0.71174999999999999</v>
      </c>
    </row>
    <row r="319" spans="1:12" x14ac:dyDescent="0.35">
      <c r="A319" t="s">
        <v>24</v>
      </c>
      <c r="D319" t="s">
        <v>336</v>
      </c>
      <c r="F319">
        <v>2</v>
      </c>
      <c r="G319">
        <v>4</v>
      </c>
      <c r="H319">
        <v>3</v>
      </c>
      <c r="I319">
        <v>20</v>
      </c>
      <c r="J319" s="6"/>
      <c r="K319" s="122">
        <v>45596</v>
      </c>
      <c r="L319">
        <v>0.50666999999999995</v>
      </c>
    </row>
    <row r="320" spans="1:12" x14ac:dyDescent="0.35">
      <c r="A320" t="s">
        <v>24</v>
      </c>
      <c r="D320" t="s">
        <v>336</v>
      </c>
      <c r="F320">
        <v>2</v>
      </c>
      <c r="G320">
        <v>4</v>
      </c>
      <c r="H320">
        <v>3</v>
      </c>
      <c r="I320">
        <v>20</v>
      </c>
      <c r="J320" s="6"/>
      <c r="K320" s="122">
        <v>45968</v>
      </c>
      <c r="L320">
        <v>0.29663</v>
      </c>
    </row>
    <row r="321" spans="1:12" x14ac:dyDescent="0.35">
      <c r="A321" t="s">
        <v>24</v>
      </c>
      <c r="D321" t="s">
        <v>336</v>
      </c>
      <c r="F321">
        <v>2</v>
      </c>
      <c r="G321">
        <v>4</v>
      </c>
      <c r="H321">
        <v>3</v>
      </c>
      <c r="I321">
        <v>20</v>
      </c>
      <c r="J321" s="6"/>
      <c r="K321" s="122">
        <v>45975</v>
      </c>
      <c r="L321">
        <v>0.222</v>
      </c>
    </row>
    <row r="322" spans="1:12" x14ac:dyDescent="0.35">
      <c r="A322" t="s">
        <v>24</v>
      </c>
      <c r="D322" t="s">
        <v>29</v>
      </c>
      <c r="F322">
        <v>2</v>
      </c>
      <c r="G322">
        <v>5</v>
      </c>
      <c r="H322">
        <v>3</v>
      </c>
      <c r="I322">
        <v>21</v>
      </c>
      <c r="J322" s="6"/>
      <c r="K322" s="122">
        <v>45421</v>
      </c>
      <c r="L322">
        <v>0.12744</v>
      </c>
    </row>
    <row r="323" spans="1:12" x14ac:dyDescent="0.35">
      <c r="A323" t="s">
        <v>24</v>
      </c>
      <c r="D323" t="s">
        <v>29</v>
      </c>
      <c r="F323">
        <v>2</v>
      </c>
      <c r="G323">
        <v>5</v>
      </c>
      <c r="H323">
        <v>3</v>
      </c>
      <c r="I323">
        <v>21</v>
      </c>
      <c r="J323" s="6"/>
      <c r="K323" s="122">
        <v>45442</v>
      </c>
      <c r="L323">
        <v>0.44208999999999998</v>
      </c>
    </row>
    <row r="324" spans="1:12" x14ac:dyDescent="0.35">
      <c r="A324" t="s">
        <v>24</v>
      </c>
      <c r="D324" t="s">
        <v>29</v>
      </c>
      <c r="F324">
        <v>2</v>
      </c>
      <c r="G324">
        <v>5</v>
      </c>
      <c r="H324">
        <v>3</v>
      </c>
      <c r="I324">
        <v>21</v>
      </c>
      <c r="J324" s="6"/>
      <c r="K324" s="122">
        <v>45461</v>
      </c>
      <c r="L324">
        <v>0.83653999999999995</v>
      </c>
    </row>
    <row r="325" spans="1:12" x14ac:dyDescent="0.35">
      <c r="A325" t="s">
        <v>24</v>
      </c>
      <c r="D325" t="s">
        <v>29</v>
      </c>
      <c r="F325">
        <v>2</v>
      </c>
      <c r="G325">
        <v>5</v>
      </c>
      <c r="H325">
        <v>3</v>
      </c>
      <c r="I325">
        <v>21</v>
      </c>
      <c r="J325" s="6"/>
      <c r="K325" s="122">
        <v>45477</v>
      </c>
      <c r="L325">
        <v>0.88580000000000003</v>
      </c>
    </row>
    <row r="326" spans="1:12" x14ac:dyDescent="0.35">
      <c r="A326" t="s">
        <v>24</v>
      </c>
      <c r="D326" t="s">
        <v>29</v>
      </c>
      <c r="F326">
        <v>2</v>
      </c>
      <c r="G326">
        <v>5</v>
      </c>
      <c r="H326">
        <v>3</v>
      </c>
      <c r="I326">
        <v>21</v>
      </c>
      <c r="J326" s="6"/>
      <c r="K326" s="122">
        <v>45510</v>
      </c>
      <c r="L326">
        <v>0.87975000000000003</v>
      </c>
    </row>
    <row r="327" spans="1:12" x14ac:dyDescent="0.35">
      <c r="A327" t="s">
        <v>24</v>
      </c>
      <c r="D327" t="s">
        <v>29</v>
      </c>
      <c r="F327">
        <v>2</v>
      </c>
      <c r="G327">
        <v>5</v>
      </c>
      <c r="H327">
        <v>3</v>
      </c>
      <c r="I327">
        <v>21</v>
      </c>
      <c r="J327" s="6"/>
      <c r="K327" s="122">
        <v>45519</v>
      </c>
      <c r="L327">
        <v>0.87992000000000004</v>
      </c>
    </row>
    <row r="328" spans="1:12" x14ac:dyDescent="0.35">
      <c r="A328" t="s">
        <v>24</v>
      </c>
      <c r="D328" t="s">
        <v>29</v>
      </c>
      <c r="F328">
        <v>2</v>
      </c>
      <c r="G328">
        <v>5</v>
      </c>
      <c r="H328">
        <v>3</v>
      </c>
      <c r="I328">
        <v>21</v>
      </c>
      <c r="J328" s="6"/>
      <c r="K328" s="122">
        <v>45530</v>
      </c>
      <c r="L328">
        <v>0.91369999999999996</v>
      </c>
    </row>
    <row r="329" spans="1:12" x14ac:dyDescent="0.35">
      <c r="A329" t="s">
        <v>24</v>
      </c>
      <c r="D329" t="s">
        <v>29</v>
      </c>
      <c r="F329">
        <v>2</v>
      </c>
      <c r="G329">
        <v>5</v>
      </c>
      <c r="H329">
        <v>3</v>
      </c>
      <c r="I329">
        <v>21</v>
      </c>
      <c r="J329" s="6"/>
      <c r="K329" s="122">
        <v>45538</v>
      </c>
      <c r="L329">
        <v>0.91525000000000001</v>
      </c>
    </row>
    <row r="330" spans="1:12" x14ac:dyDescent="0.35">
      <c r="A330" t="s">
        <v>24</v>
      </c>
      <c r="D330" t="s">
        <v>29</v>
      </c>
      <c r="F330">
        <v>2</v>
      </c>
      <c r="G330">
        <v>5</v>
      </c>
      <c r="H330">
        <v>3</v>
      </c>
      <c r="I330">
        <v>21</v>
      </c>
      <c r="J330" s="6"/>
      <c r="K330" s="122">
        <v>45547</v>
      </c>
      <c r="L330">
        <v>0.94935999999999998</v>
      </c>
    </row>
    <row r="331" spans="1:12" x14ac:dyDescent="0.35">
      <c r="A331" t="s">
        <v>24</v>
      </c>
      <c r="D331" t="s">
        <v>29</v>
      </c>
      <c r="F331">
        <v>2</v>
      </c>
      <c r="G331">
        <v>5</v>
      </c>
      <c r="H331">
        <v>3</v>
      </c>
      <c r="I331">
        <v>21</v>
      </c>
      <c r="J331" s="6"/>
      <c r="K331" s="122">
        <v>45553</v>
      </c>
      <c r="L331">
        <v>0.95921000000000001</v>
      </c>
    </row>
    <row r="332" spans="1:12" x14ac:dyDescent="0.35">
      <c r="A332" t="s">
        <v>24</v>
      </c>
      <c r="D332" t="s">
        <v>29</v>
      </c>
      <c r="F332">
        <v>2</v>
      </c>
      <c r="G332">
        <v>5</v>
      </c>
      <c r="H332">
        <v>3</v>
      </c>
      <c r="I332">
        <v>21</v>
      </c>
      <c r="J332" s="6"/>
      <c r="K332" s="122">
        <v>45936</v>
      </c>
      <c r="L332">
        <v>0.87844</v>
      </c>
    </row>
    <row r="333" spans="1:12" x14ac:dyDescent="0.35">
      <c r="A333" t="s">
        <v>24</v>
      </c>
      <c r="D333" t="s">
        <v>29</v>
      </c>
      <c r="F333">
        <v>2</v>
      </c>
      <c r="G333">
        <v>5</v>
      </c>
      <c r="H333">
        <v>3</v>
      </c>
      <c r="I333">
        <v>21</v>
      </c>
      <c r="J333" s="6"/>
      <c r="K333" s="122">
        <v>45944</v>
      </c>
      <c r="L333">
        <v>0.84055999999999997</v>
      </c>
    </row>
    <row r="334" spans="1:12" x14ac:dyDescent="0.35">
      <c r="A334" t="s">
        <v>24</v>
      </c>
      <c r="D334" t="s">
        <v>29</v>
      </c>
      <c r="F334">
        <v>2</v>
      </c>
      <c r="G334">
        <v>5</v>
      </c>
      <c r="H334">
        <v>3</v>
      </c>
      <c r="I334">
        <v>21</v>
      </c>
      <c r="J334" s="6"/>
      <c r="K334" s="122">
        <v>45590</v>
      </c>
      <c r="L334">
        <v>0.74538000000000004</v>
      </c>
    </row>
    <row r="335" spans="1:12" x14ac:dyDescent="0.35">
      <c r="A335" t="s">
        <v>24</v>
      </c>
      <c r="D335" t="s">
        <v>29</v>
      </c>
      <c r="F335">
        <v>2</v>
      </c>
      <c r="G335">
        <v>5</v>
      </c>
      <c r="H335">
        <v>3</v>
      </c>
      <c r="I335">
        <v>21</v>
      </c>
      <c r="J335" s="6"/>
      <c r="K335" s="122">
        <v>45596</v>
      </c>
      <c r="L335">
        <v>0.55588000000000004</v>
      </c>
    </row>
    <row r="336" spans="1:12" x14ac:dyDescent="0.35">
      <c r="A336" t="s">
        <v>24</v>
      </c>
      <c r="D336" t="s">
        <v>29</v>
      </c>
      <c r="F336">
        <v>2</v>
      </c>
      <c r="G336">
        <v>5</v>
      </c>
      <c r="H336">
        <v>3</v>
      </c>
      <c r="I336">
        <v>21</v>
      </c>
      <c r="J336" s="6"/>
      <c r="K336" s="122">
        <v>45968</v>
      </c>
      <c r="L336">
        <v>0.30243999999999999</v>
      </c>
    </row>
    <row r="337" spans="1:12" x14ac:dyDescent="0.35">
      <c r="A337" t="s">
        <v>24</v>
      </c>
      <c r="D337" t="s">
        <v>29</v>
      </c>
      <c r="F337">
        <v>2</v>
      </c>
      <c r="G337">
        <v>5</v>
      </c>
      <c r="H337">
        <v>3</v>
      </c>
      <c r="I337">
        <v>21</v>
      </c>
      <c r="J337" s="6"/>
      <c r="K337" s="122">
        <v>45975</v>
      </c>
      <c r="L337">
        <v>0.23443</v>
      </c>
    </row>
    <row r="338" spans="1:12" x14ac:dyDescent="0.35">
      <c r="A338" t="s">
        <v>24</v>
      </c>
      <c r="D338" t="s">
        <v>337</v>
      </c>
      <c r="F338">
        <v>2</v>
      </c>
      <c r="G338">
        <v>6</v>
      </c>
      <c r="H338">
        <v>3</v>
      </c>
      <c r="I338">
        <v>22</v>
      </c>
      <c r="J338" s="6"/>
      <c r="K338" s="122">
        <v>45421</v>
      </c>
      <c r="L338">
        <v>0.14025000000000001</v>
      </c>
    </row>
    <row r="339" spans="1:12" x14ac:dyDescent="0.35">
      <c r="A339" t="s">
        <v>24</v>
      </c>
      <c r="D339" t="s">
        <v>337</v>
      </c>
      <c r="F339">
        <v>2</v>
      </c>
      <c r="G339">
        <v>6</v>
      </c>
      <c r="H339">
        <v>3</v>
      </c>
      <c r="I339">
        <v>22</v>
      </c>
      <c r="J339" s="6"/>
      <c r="K339" s="122">
        <v>45442</v>
      </c>
      <c r="L339">
        <v>0.49359999999999998</v>
      </c>
    </row>
    <row r="340" spans="1:12" x14ac:dyDescent="0.35">
      <c r="A340" t="s">
        <v>24</v>
      </c>
      <c r="D340" t="s">
        <v>337</v>
      </c>
      <c r="F340">
        <v>2</v>
      </c>
      <c r="G340">
        <v>6</v>
      </c>
      <c r="H340">
        <v>3</v>
      </c>
      <c r="I340">
        <v>22</v>
      </c>
      <c r="J340" s="6"/>
      <c r="K340" s="122">
        <v>45461</v>
      </c>
      <c r="L340">
        <v>0.85016999999999998</v>
      </c>
    </row>
    <row r="341" spans="1:12" x14ac:dyDescent="0.35">
      <c r="A341" t="s">
        <v>24</v>
      </c>
      <c r="D341" t="s">
        <v>337</v>
      </c>
      <c r="F341">
        <v>2</v>
      </c>
      <c r="G341">
        <v>6</v>
      </c>
      <c r="H341">
        <v>3</v>
      </c>
      <c r="I341">
        <v>22</v>
      </c>
      <c r="J341" s="6"/>
      <c r="K341" s="122">
        <v>45477</v>
      </c>
      <c r="L341">
        <v>0.89090000000000003</v>
      </c>
    </row>
    <row r="342" spans="1:12" x14ac:dyDescent="0.35">
      <c r="A342" t="s">
        <v>24</v>
      </c>
      <c r="D342" t="s">
        <v>337</v>
      </c>
      <c r="F342">
        <v>2</v>
      </c>
      <c r="G342">
        <v>6</v>
      </c>
      <c r="H342">
        <v>3</v>
      </c>
      <c r="I342">
        <v>22</v>
      </c>
      <c r="J342" s="6"/>
      <c r="K342" s="122">
        <v>45510</v>
      </c>
      <c r="L342">
        <v>0.86229</v>
      </c>
    </row>
    <row r="343" spans="1:12" x14ac:dyDescent="0.35">
      <c r="A343" t="s">
        <v>24</v>
      </c>
      <c r="D343" t="s">
        <v>337</v>
      </c>
      <c r="F343">
        <v>2</v>
      </c>
      <c r="G343">
        <v>6</v>
      </c>
      <c r="H343">
        <v>3</v>
      </c>
      <c r="I343">
        <v>22</v>
      </c>
      <c r="J343" s="6"/>
      <c r="K343" s="122">
        <v>45519</v>
      </c>
      <c r="L343">
        <v>0.82915000000000005</v>
      </c>
    </row>
    <row r="344" spans="1:12" x14ac:dyDescent="0.35">
      <c r="A344" t="s">
        <v>24</v>
      </c>
      <c r="D344" t="s">
        <v>337</v>
      </c>
      <c r="F344">
        <v>2</v>
      </c>
      <c r="G344">
        <v>6</v>
      </c>
      <c r="H344">
        <v>3</v>
      </c>
      <c r="I344">
        <v>22</v>
      </c>
      <c r="J344" s="6"/>
      <c r="K344" s="122">
        <v>45530</v>
      </c>
      <c r="L344">
        <v>0.89014000000000004</v>
      </c>
    </row>
    <row r="345" spans="1:12" x14ac:dyDescent="0.35">
      <c r="A345" t="s">
        <v>24</v>
      </c>
      <c r="D345" t="s">
        <v>337</v>
      </c>
      <c r="F345">
        <v>2</v>
      </c>
      <c r="G345">
        <v>6</v>
      </c>
      <c r="H345">
        <v>3</v>
      </c>
      <c r="I345">
        <v>22</v>
      </c>
      <c r="J345" s="6"/>
      <c r="K345" s="122">
        <v>45538</v>
      </c>
      <c r="L345">
        <v>0.91357999999999995</v>
      </c>
    </row>
    <row r="346" spans="1:12" x14ac:dyDescent="0.35">
      <c r="A346" t="s">
        <v>24</v>
      </c>
      <c r="B346" s="71"/>
      <c r="C346" s="72"/>
      <c r="D346" t="s">
        <v>337</v>
      </c>
      <c r="E346" s="71"/>
      <c r="F346">
        <v>2</v>
      </c>
      <c r="G346">
        <v>6</v>
      </c>
      <c r="H346">
        <v>3</v>
      </c>
      <c r="I346">
        <v>22</v>
      </c>
      <c r="J346" s="6"/>
      <c r="K346" s="122">
        <v>45547</v>
      </c>
      <c r="L346">
        <v>0.94369999999999998</v>
      </c>
    </row>
    <row r="347" spans="1:12" x14ac:dyDescent="0.35">
      <c r="A347" t="s">
        <v>24</v>
      </c>
      <c r="D347" t="s">
        <v>337</v>
      </c>
      <c r="F347">
        <v>2</v>
      </c>
      <c r="G347">
        <v>6</v>
      </c>
      <c r="H347">
        <v>3</v>
      </c>
      <c r="I347">
        <v>22</v>
      </c>
      <c r="J347" s="6"/>
      <c r="K347" s="122">
        <v>45553</v>
      </c>
      <c r="L347">
        <v>0.95343</v>
      </c>
    </row>
    <row r="348" spans="1:12" x14ac:dyDescent="0.35">
      <c r="A348" t="s">
        <v>24</v>
      </c>
      <c r="D348" t="s">
        <v>337</v>
      </c>
      <c r="F348">
        <v>2</v>
      </c>
      <c r="G348">
        <v>6</v>
      </c>
      <c r="H348">
        <v>3</v>
      </c>
      <c r="I348">
        <v>22</v>
      </c>
      <c r="J348" s="6"/>
      <c r="K348" s="122">
        <v>45936</v>
      </c>
      <c r="L348">
        <v>0.87566999999999995</v>
      </c>
    </row>
    <row r="349" spans="1:12" x14ac:dyDescent="0.35">
      <c r="A349" t="s">
        <v>24</v>
      </c>
      <c r="D349" t="s">
        <v>337</v>
      </c>
      <c r="F349">
        <v>2</v>
      </c>
      <c r="G349">
        <v>6</v>
      </c>
      <c r="H349">
        <v>3</v>
      </c>
      <c r="I349">
        <v>22</v>
      </c>
      <c r="J349" s="6"/>
      <c r="K349" s="122">
        <v>45944</v>
      </c>
      <c r="L349">
        <v>0.80674999999999997</v>
      </c>
    </row>
    <row r="350" spans="1:12" x14ac:dyDescent="0.35">
      <c r="A350" t="s">
        <v>24</v>
      </c>
      <c r="D350" t="s">
        <v>337</v>
      </c>
      <c r="F350">
        <v>2</v>
      </c>
      <c r="G350">
        <v>6</v>
      </c>
      <c r="H350">
        <v>3</v>
      </c>
      <c r="I350">
        <v>22</v>
      </c>
      <c r="J350" s="6"/>
      <c r="K350" s="122">
        <v>45590</v>
      </c>
      <c r="L350">
        <v>0.67100000000000004</v>
      </c>
    </row>
    <row r="351" spans="1:12" x14ac:dyDescent="0.35">
      <c r="A351" t="s">
        <v>24</v>
      </c>
      <c r="D351" t="s">
        <v>337</v>
      </c>
      <c r="F351">
        <v>2</v>
      </c>
      <c r="G351">
        <v>6</v>
      </c>
      <c r="H351">
        <v>3</v>
      </c>
      <c r="I351">
        <v>22</v>
      </c>
      <c r="J351" s="6"/>
      <c r="K351" s="122">
        <v>45596</v>
      </c>
      <c r="L351">
        <v>0.51685999999999999</v>
      </c>
    </row>
    <row r="352" spans="1:12" x14ac:dyDescent="0.35">
      <c r="A352" t="s">
        <v>24</v>
      </c>
      <c r="D352" t="s">
        <v>337</v>
      </c>
      <c r="F352">
        <v>2</v>
      </c>
      <c r="G352">
        <v>6</v>
      </c>
      <c r="H352">
        <v>3</v>
      </c>
      <c r="I352">
        <v>22</v>
      </c>
      <c r="J352" s="6"/>
      <c r="K352" s="122">
        <v>45968</v>
      </c>
      <c r="L352">
        <v>0.27656999999999998</v>
      </c>
    </row>
    <row r="353" spans="1:12" x14ac:dyDescent="0.35">
      <c r="A353" t="s">
        <v>24</v>
      </c>
      <c r="D353" t="s">
        <v>337</v>
      </c>
      <c r="F353">
        <v>2</v>
      </c>
      <c r="G353">
        <v>6</v>
      </c>
      <c r="H353">
        <v>3</v>
      </c>
      <c r="I353">
        <v>22</v>
      </c>
      <c r="J353" s="6"/>
      <c r="K353" s="122">
        <v>45975</v>
      </c>
      <c r="L353">
        <v>0.22067000000000001</v>
      </c>
    </row>
    <row r="354" spans="1:12" x14ac:dyDescent="0.35">
      <c r="A354" t="s">
        <v>24</v>
      </c>
      <c r="D354" t="s">
        <v>32</v>
      </c>
      <c r="F354">
        <v>2</v>
      </c>
      <c r="G354">
        <v>7</v>
      </c>
      <c r="H354">
        <v>3</v>
      </c>
      <c r="I354">
        <v>23</v>
      </c>
      <c r="J354" s="6"/>
      <c r="K354" s="122">
        <v>45421</v>
      </c>
      <c r="L354">
        <v>0.12812999999999999</v>
      </c>
    </row>
    <row r="355" spans="1:12" x14ac:dyDescent="0.35">
      <c r="A355" t="s">
        <v>24</v>
      </c>
      <c r="D355" t="s">
        <v>32</v>
      </c>
      <c r="F355">
        <v>2</v>
      </c>
      <c r="G355">
        <v>7</v>
      </c>
      <c r="H355">
        <v>3</v>
      </c>
      <c r="I355">
        <v>23</v>
      </c>
      <c r="J355" s="6"/>
      <c r="K355" s="122">
        <v>45442</v>
      </c>
      <c r="L355">
        <v>0.51517000000000002</v>
      </c>
    </row>
    <row r="356" spans="1:12" x14ac:dyDescent="0.35">
      <c r="A356" t="s">
        <v>24</v>
      </c>
      <c r="D356" t="s">
        <v>32</v>
      </c>
      <c r="F356">
        <v>2</v>
      </c>
      <c r="G356">
        <v>7</v>
      </c>
      <c r="H356">
        <v>3</v>
      </c>
      <c r="I356">
        <v>23</v>
      </c>
      <c r="J356" s="6"/>
      <c r="K356" s="122">
        <v>45461</v>
      </c>
      <c r="L356">
        <v>0.83345000000000002</v>
      </c>
    </row>
    <row r="357" spans="1:12" x14ac:dyDescent="0.35">
      <c r="A357" t="s">
        <v>24</v>
      </c>
      <c r="D357" t="s">
        <v>32</v>
      </c>
      <c r="F357">
        <v>2</v>
      </c>
      <c r="G357">
        <v>7</v>
      </c>
      <c r="H357">
        <v>3</v>
      </c>
      <c r="I357">
        <v>23</v>
      </c>
      <c r="J357" s="6"/>
      <c r="K357" s="122">
        <v>45477</v>
      </c>
      <c r="L357">
        <v>0.87724999999999997</v>
      </c>
    </row>
    <row r="358" spans="1:12" x14ac:dyDescent="0.35">
      <c r="A358" t="s">
        <v>24</v>
      </c>
      <c r="D358" t="s">
        <v>32</v>
      </c>
      <c r="F358">
        <v>2</v>
      </c>
      <c r="G358">
        <v>7</v>
      </c>
      <c r="H358">
        <v>3</v>
      </c>
      <c r="I358">
        <v>23</v>
      </c>
      <c r="J358" s="6"/>
      <c r="K358" s="122">
        <v>45510</v>
      </c>
      <c r="L358">
        <v>0.85850000000000004</v>
      </c>
    </row>
    <row r="359" spans="1:12" x14ac:dyDescent="0.35">
      <c r="A359" t="s">
        <v>24</v>
      </c>
      <c r="D359" t="s">
        <v>32</v>
      </c>
      <c r="F359">
        <v>2</v>
      </c>
      <c r="G359">
        <v>7</v>
      </c>
      <c r="H359">
        <v>3</v>
      </c>
      <c r="I359">
        <v>23</v>
      </c>
      <c r="J359" s="6"/>
      <c r="K359" s="122">
        <v>45519</v>
      </c>
      <c r="L359">
        <v>0.82818000000000003</v>
      </c>
    </row>
    <row r="360" spans="1:12" x14ac:dyDescent="0.35">
      <c r="A360" t="s">
        <v>24</v>
      </c>
      <c r="D360" t="s">
        <v>32</v>
      </c>
      <c r="F360">
        <v>2</v>
      </c>
      <c r="G360">
        <v>7</v>
      </c>
      <c r="H360">
        <v>3</v>
      </c>
      <c r="I360">
        <v>23</v>
      </c>
      <c r="J360" s="6"/>
      <c r="K360" s="122">
        <v>45530</v>
      </c>
      <c r="L360">
        <v>0.88185000000000002</v>
      </c>
    </row>
    <row r="361" spans="1:12" x14ac:dyDescent="0.35">
      <c r="A361" t="s">
        <v>24</v>
      </c>
      <c r="D361" t="s">
        <v>32</v>
      </c>
      <c r="F361">
        <v>2</v>
      </c>
      <c r="G361">
        <v>7</v>
      </c>
      <c r="H361">
        <v>3</v>
      </c>
      <c r="I361">
        <v>23</v>
      </c>
      <c r="J361" s="6"/>
      <c r="K361" s="122">
        <v>45538</v>
      </c>
      <c r="L361">
        <v>0.90708</v>
      </c>
    </row>
    <row r="362" spans="1:12" x14ac:dyDescent="0.35">
      <c r="A362" t="s">
        <v>24</v>
      </c>
      <c r="D362" t="s">
        <v>32</v>
      </c>
      <c r="F362">
        <v>2</v>
      </c>
      <c r="G362">
        <v>7</v>
      </c>
      <c r="H362">
        <v>3</v>
      </c>
      <c r="I362">
        <v>23</v>
      </c>
      <c r="J362" s="6"/>
      <c r="K362" s="122">
        <v>45547</v>
      </c>
      <c r="L362">
        <v>0.95945000000000003</v>
      </c>
    </row>
    <row r="363" spans="1:12" x14ac:dyDescent="0.35">
      <c r="A363" t="s">
        <v>24</v>
      </c>
      <c r="D363" t="s">
        <v>32</v>
      </c>
      <c r="F363">
        <v>2</v>
      </c>
      <c r="G363">
        <v>7</v>
      </c>
      <c r="H363">
        <v>3</v>
      </c>
      <c r="I363">
        <v>23</v>
      </c>
      <c r="J363" s="6"/>
      <c r="K363" s="122">
        <v>45553</v>
      </c>
      <c r="L363">
        <v>0.95099999999999996</v>
      </c>
    </row>
    <row r="364" spans="1:12" x14ac:dyDescent="0.35">
      <c r="A364" t="s">
        <v>24</v>
      </c>
      <c r="D364" t="s">
        <v>32</v>
      </c>
      <c r="F364">
        <v>2</v>
      </c>
      <c r="G364">
        <v>7</v>
      </c>
      <c r="H364">
        <v>3</v>
      </c>
      <c r="I364">
        <v>23</v>
      </c>
      <c r="J364" s="6"/>
      <c r="K364" s="122">
        <v>45936</v>
      </c>
      <c r="L364">
        <v>0.83199999999999996</v>
      </c>
    </row>
    <row r="365" spans="1:12" x14ac:dyDescent="0.35">
      <c r="A365" t="s">
        <v>24</v>
      </c>
      <c r="D365" t="s">
        <v>32</v>
      </c>
      <c r="F365">
        <v>2</v>
      </c>
      <c r="G365">
        <v>7</v>
      </c>
      <c r="H365">
        <v>3</v>
      </c>
      <c r="I365">
        <v>23</v>
      </c>
      <c r="J365" s="6"/>
      <c r="K365" s="122">
        <v>45944</v>
      </c>
      <c r="L365">
        <v>0.79671000000000003</v>
      </c>
    </row>
    <row r="366" spans="1:12" x14ac:dyDescent="0.35">
      <c r="A366" t="s">
        <v>24</v>
      </c>
      <c r="D366" t="s">
        <v>32</v>
      </c>
      <c r="F366">
        <v>2</v>
      </c>
      <c r="G366">
        <v>7</v>
      </c>
      <c r="H366">
        <v>3</v>
      </c>
      <c r="I366">
        <v>23</v>
      </c>
      <c r="J366" s="6"/>
      <c r="K366" s="122">
        <v>45590</v>
      </c>
      <c r="L366">
        <v>0.73712999999999995</v>
      </c>
    </row>
    <row r="367" spans="1:12" x14ac:dyDescent="0.35">
      <c r="A367" t="s">
        <v>24</v>
      </c>
      <c r="D367" t="s">
        <v>32</v>
      </c>
      <c r="F367">
        <v>2</v>
      </c>
      <c r="G367">
        <v>7</v>
      </c>
      <c r="H367">
        <v>3</v>
      </c>
      <c r="I367">
        <v>23</v>
      </c>
      <c r="J367" s="6"/>
      <c r="K367" s="122">
        <v>45596</v>
      </c>
      <c r="L367">
        <v>0.53688000000000002</v>
      </c>
    </row>
    <row r="368" spans="1:12" x14ac:dyDescent="0.35">
      <c r="A368" t="s">
        <v>24</v>
      </c>
      <c r="D368" t="s">
        <v>32</v>
      </c>
      <c r="F368">
        <v>2</v>
      </c>
      <c r="G368">
        <v>7</v>
      </c>
      <c r="H368">
        <v>3</v>
      </c>
      <c r="I368">
        <v>23</v>
      </c>
      <c r="J368" s="6"/>
      <c r="K368" s="122">
        <v>45968</v>
      </c>
      <c r="L368">
        <v>0.28466999999999998</v>
      </c>
    </row>
    <row r="369" spans="1:12" x14ac:dyDescent="0.35">
      <c r="A369" t="s">
        <v>24</v>
      </c>
      <c r="D369" t="s">
        <v>32</v>
      </c>
      <c r="F369">
        <v>2</v>
      </c>
      <c r="G369">
        <v>7</v>
      </c>
      <c r="H369">
        <v>3</v>
      </c>
      <c r="I369">
        <v>23</v>
      </c>
      <c r="J369" s="6"/>
      <c r="K369" s="122">
        <v>45975</v>
      </c>
      <c r="L369">
        <v>0.23038</v>
      </c>
    </row>
    <row r="370" spans="1:12" x14ac:dyDescent="0.35">
      <c r="A370" t="s">
        <v>24</v>
      </c>
      <c r="D370" t="s">
        <v>27</v>
      </c>
      <c r="F370">
        <v>2</v>
      </c>
      <c r="G370">
        <v>8</v>
      </c>
      <c r="H370">
        <v>3</v>
      </c>
      <c r="I370">
        <v>24</v>
      </c>
      <c r="J370" s="6"/>
      <c r="K370" s="122">
        <v>45421</v>
      </c>
      <c r="L370">
        <v>0.13322000000000001</v>
      </c>
    </row>
    <row r="371" spans="1:12" x14ac:dyDescent="0.35">
      <c r="A371" t="s">
        <v>24</v>
      </c>
      <c r="D371" t="s">
        <v>27</v>
      </c>
      <c r="F371">
        <v>2</v>
      </c>
      <c r="G371">
        <v>8</v>
      </c>
      <c r="H371">
        <v>3</v>
      </c>
      <c r="I371">
        <v>24</v>
      </c>
      <c r="J371" s="6"/>
      <c r="K371" s="122">
        <v>45442</v>
      </c>
      <c r="L371">
        <v>0.48709000000000002</v>
      </c>
    </row>
    <row r="372" spans="1:12" x14ac:dyDescent="0.35">
      <c r="A372" t="s">
        <v>24</v>
      </c>
      <c r="D372" t="s">
        <v>27</v>
      </c>
      <c r="F372">
        <v>2</v>
      </c>
      <c r="G372">
        <v>8</v>
      </c>
      <c r="H372">
        <v>3</v>
      </c>
      <c r="I372">
        <v>24</v>
      </c>
      <c r="J372" s="6"/>
      <c r="K372" s="122">
        <v>45461</v>
      </c>
      <c r="L372">
        <v>0.84499999999999997</v>
      </c>
    </row>
    <row r="373" spans="1:12" x14ac:dyDescent="0.35">
      <c r="A373" t="s">
        <v>24</v>
      </c>
      <c r="D373" t="s">
        <v>27</v>
      </c>
      <c r="F373">
        <v>2</v>
      </c>
      <c r="G373">
        <v>8</v>
      </c>
      <c r="H373">
        <v>3</v>
      </c>
      <c r="I373">
        <v>24</v>
      </c>
      <c r="J373" s="6"/>
      <c r="K373" s="122">
        <v>45477</v>
      </c>
      <c r="L373">
        <v>0.88900000000000001</v>
      </c>
    </row>
    <row r="374" spans="1:12" x14ac:dyDescent="0.35">
      <c r="A374" t="s">
        <v>24</v>
      </c>
      <c r="D374" t="s">
        <v>27</v>
      </c>
      <c r="F374">
        <v>2</v>
      </c>
      <c r="G374">
        <v>8</v>
      </c>
      <c r="H374">
        <v>3</v>
      </c>
      <c r="I374">
        <v>24</v>
      </c>
      <c r="J374" s="6"/>
      <c r="K374" s="122">
        <v>45510</v>
      </c>
      <c r="L374">
        <v>0.8347</v>
      </c>
    </row>
    <row r="375" spans="1:12" x14ac:dyDescent="0.35">
      <c r="A375" t="s">
        <v>24</v>
      </c>
      <c r="D375" t="s">
        <v>27</v>
      </c>
      <c r="F375">
        <v>2</v>
      </c>
      <c r="G375">
        <v>8</v>
      </c>
      <c r="H375">
        <v>3</v>
      </c>
      <c r="I375">
        <v>24</v>
      </c>
      <c r="J375" s="6"/>
      <c r="K375" s="122">
        <v>45519</v>
      </c>
      <c r="L375">
        <v>0.85543999999999998</v>
      </c>
    </row>
    <row r="376" spans="1:12" x14ac:dyDescent="0.35">
      <c r="A376" t="s">
        <v>24</v>
      </c>
      <c r="D376" t="s">
        <v>27</v>
      </c>
      <c r="F376">
        <v>2</v>
      </c>
      <c r="G376">
        <v>8</v>
      </c>
      <c r="H376">
        <v>3</v>
      </c>
      <c r="I376">
        <v>24</v>
      </c>
      <c r="J376" s="6"/>
      <c r="K376" s="122">
        <v>45530</v>
      </c>
      <c r="L376">
        <v>0.87722999999999995</v>
      </c>
    </row>
    <row r="377" spans="1:12" x14ac:dyDescent="0.35">
      <c r="A377" t="s">
        <v>24</v>
      </c>
      <c r="D377" t="s">
        <v>27</v>
      </c>
      <c r="F377">
        <v>2</v>
      </c>
      <c r="G377">
        <v>8</v>
      </c>
      <c r="H377">
        <v>3</v>
      </c>
      <c r="I377">
        <v>24</v>
      </c>
      <c r="J377" s="6"/>
      <c r="K377" s="122">
        <v>45538</v>
      </c>
      <c r="L377">
        <v>0.89946000000000004</v>
      </c>
    </row>
    <row r="378" spans="1:12" x14ac:dyDescent="0.35">
      <c r="A378" t="s">
        <v>24</v>
      </c>
      <c r="D378" t="s">
        <v>27</v>
      </c>
      <c r="F378">
        <v>2</v>
      </c>
      <c r="G378">
        <v>8</v>
      </c>
      <c r="H378">
        <v>3</v>
      </c>
      <c r="I378">
        <v>24</v>
      </c>
      <c r="J378" s="6"/>
      <c r="K378" s="122">
        <v>45547</v>
      </c>
      <c r="L378">
        <v>0.93281999999999998</v>
      </c>
    </row>
    <row r="379" spans="1:12" x14ac:dyDescent="0.35">
      <c r="A379" t="s">
        <v>24</v>
      </c>
      <c r="D379" t="s">
        <v>27</v>
      </c>
      <c r="F379">
        <v>2</v>
      </c>
      <c r="G379">
        <v>8</v>
      </c>
      <c r="H379">
        <v>3</v>
      </c>
      <c r="I379">
        <v>24</v>
      </c>
      <c r="J379" s="6"/>
      <c r="K379" s="122">
        <v>45553</v>
      </c>
      <c r="L379">
        <v>0.94893000000000005</v>
      </c>
    </row>
    <row r="380" spans="1:12" x14ac:dyDescent="0.35">
      <c r="A380" t="s">
        <v>24</v>
      </c>
      <c r="D380" t="s">
        <v>27</v>
      </c>
      <c r="F380">
        <v>2</v>
      </c>
      <c r="G380">
        <v>8</v>
      </c>
      <c r="H380">
        <v>3</v>
      </c>
      <c r="I380">
        <v>24</v>
      </c>
      <c r="J380" s="6"/>
      <c r="K380" s="122">
        <v>45936</v>
      </c>
      <c r="L380">
        <v>0.86717999999999995</v>
      </c>
    </row>
    <row r="381" spans="1:12" x14ac:dyDescent="0.35">
      <c r="A381" t="s">
        <v>24</v>
      </c>
      <c r="D381" t="s">
        <v>27</v>
      </c>
      <c r="F381">
        <v>2</v>
      </c>
      <c r="G381">
        <v>8</v>
      </c>
      <c r="H381">
        <v>3</v>
      </c>
      <c r="I381">
        <v>24</v>
      </c>
      <c r="J381" s="6"/>
      <c r="K381" s="122">
        <v>45944</v>
      </c>
      <c r="L381">
        <v>0.80213999999999996</v>
      </c>
    </row>
    <row r="382" spans="1:12" x14ac:dyDescent="0.35">
      <c r="A382" t="s">
        <v>24</v>
      </c>
      <c r="D382" t="s">
        <v>27</v>
      </c>
      <c r="F382">
        <v>2</v>
      </c>
      <c r="G382">
        <v>8</v>
      </c>
      <c r="H382">
        <v>3</v>
      </c>
      <c r="I382">
        <v>24</v>
      </c>
      <c r="J382" s="6"/>
      <c r="K382" s="122">
        <v>45590</v>
      </c>
      <c r="L382">
        <v>0.59928999999999999</v>
      </c>
    </row>
    <row r="383" spans="1:12" x14ac:dyDescent="0.35">
      <c r="A383" t="s">
        <v>24</v>
      </c>
      <c r="D383" t="s">
        <v>27</v>
      </c>
      <c r="F383">
        <v>2</v>
      </c>
      <c r="G383">
        <v>8</v>
      </c>
      <c r="H383">
        <v>3</v>
      </c>
      <c r="I383">
        <v>24</v>
      </c>
      <c r="J383" s="6"/>
      <c r="K383" s="122">
        <v>45596</v>
      </c>
      <c r="L383">
        <v>0.38689000000000001</v>
      </c>
    </row>
    <row r="384" spans="1:12" x14ac:dyDescent="0.35">
      <c r="A384" t="s">
        <v>24</v>
      </c>
      <c r="D384" t="s">
        <v>27</v>
      </c>
      <c r="F384">
        <v>2</v>
      </c>
      <c r="G384">
        <v>8</v>
      </c>
      <c r="H384">
        <v>3</v>
      </c>
      <c r="I384">
        <v>24</v>
      </c>
      <c r="J384" s="6"/>
      <c r="K384" s="122">
        <v>45968</v>
      </c>
      <c r="L384">
        <v>0.23629</v>
      </c>
    </row>
    <row r="385" spans="1:12" x14ac:dyDescent="0.35">
      <c r="A385" t="s">
        <v>24</v>
      </c>
      <c r="D385" t="s">
        <v>27</v>
      </c>
      <c r="F385">
        <v>2</v>
      </c>
      <c r="G385">
        <v>8</v>
      </c>
      <c r="H385">
        <v>3</v>
      </c>
      <c r="I385">
        <v>24</v>
      </c>
      <c r="J385" s="6"/>
      <c r="K385" s="122">
        <v>45975</v>
      </c>
      <c r="L385">
        <v>0.2</v>
      </c>
    </row>
    <row r="386" spans="1:12" x14ac:dyDescent="0.35">
      <c r="A386" t="s">
        <v>34</v>
      </c>
      <c r="D386" t="s">
        <v>343</v>
      </c>
      <c r="F386">
        <v>2</v>
      </c>
      <c r="G386">
        <v>1</v>
      </c>
      <c r="H386">
        <v>4</v>
      </c>
      <c r="I386">
        <v>25</v>
      </c>
      <c r="J386" s="6"/>
      <c r="K386" s="122">
        <v>45421</v>
      </c>
    </row>
    <row r="387" spans="1:12" x14ac:dyDescent="0.35">
      <c r="A387" t="s">
        <v>34</v>
      </c>
      <c r="D387" t="s">
        <v>343</v>
      </c>
      <c r="F387">
        <v>2</v>
      </c>
      <c r="G387">
        <v>1</v>
      </c>
      <c r="H387">
        <v>4</v>
      </c>
      <c r="I387">
        <v>25</v>
      </c>
      <c r="J387" s="6"/>
      <c r="K387" s="122">
        <v>45442</v>
      </c>
      <c r="L387">
        <v>0.12311</v>
      </c>
    </row>
    <row r="388" spans="1:12" x14ac:dyDescent="0.35">
      <c r="A388" t="s">
        <v>34</v>
      </c>
      <c r="D388" t="s">
        <v>343</v>
      </c>
      <c r="F388">
        <v>2</v>
      </c>
      <c r="G388">
        <v>1</v>
      </c>
      <c r="H388">
        <v>4</v>
      </c>
      <c r="I388">
        <v>25</v>
      </c>
      <c r="J388" s="6"/>
      <c r="K388" s="122">
        <v>45461</v>
      </c>
      <c r="L388">
        <v>0.32867000000000002</v>
      </c>
    </row>
    <row r="389" spans="1:12" x14ac:dyDescent="0.35">
      <c r="A389" t="s">
        <v>34</v>
      </c>
      <c r="D389" t="s">
        <v>343</v>
      </c>
      <c r="F389">
        <v>2</v>
      </c>
      <c r="G389">
        <v>1</v>
      </c>
      <c r="H389">
        <v>4</v>
      </c>
      <c r="I389">
        <v>25</v>
      </c>
      <c r="J389" s="6"/>
      <c r="K389" s="122">
        <v>45477</v>
      </c>
      <c r="L389">
        <v>0.45208999999999999</v>
      </c>
    </row>
    <row r="390" spans="1:12" x14ac:dyDescent="0.35">
      <c r="A390" t="s">
        <v>34</v>
      </c>
      <c r="D390" t="s">
        <v>343</v>
      </c>
      <c r="F390">
        <v>2</v>
      </c>
      <c r="G390">
        <v>1</v>
      </c>
      <c r="H390">
        <v>4</v>
      </c>
      <c r="I390">
        <v>25</v>
      </c>
      <c r="J390" s="6"/>
      <c r="K390" s="122">
        <v>45510</v>
      </c>
      <c r="L390">
        <v>0.82269000000000003</v>
      </c>
    </row>
    <row r="391" spans="1:12" x14ac:dyDescent="0.35">
      <c r="A391" t="s">
        <v>34</v>
      </c>
      <c r="D391" t="s">
        <v>343</v>
      </c>
      <c r="F391">
        <v>2</v>
      </c>
      <c r="G391">
        <v>1</v>
      </c>
      <c r="H391">
        <v>4</v>
      </c>
      <c r="I391">
        <v>25</v>
      </c>
      <c r="J391" s="6"/>
      <c r="K391" s="122">
        <v>45519</v>
      </c>
      <c r="L391">
        <v>0.84545999999999999</v>
      </c>
    </row>
    <row r="392" spans="1:12" x14ac:dyDescent="0.35">
      <c r="A392" t="s">
        <v>34</v>
      </c>
      <c r="D392" t="s">
        <v>343</v>
      </c>
      <c r="F392">
        <v>2</v>
      </c>
      <c r="G392">
        <v>1</v>
      </c>
      <c r="H392">
        <v>4</v>
      </c>
      <c r="I392">
        <v>25</v>
      </c>
      <c r="J392" s="6"/>
      <c r="K392" s="122">
        <v>45530</v>
      </c>
      <c r="L392">
        <v>0.88646000000000003</v>
      </c>
    </row>
    <row r="393" spans="1:12" x14ac:dyDescent="0.35">
      <c r="A393" t="s">
        <v>34</v>
      </c>
      <c r="D393" t="s">
        <v>343</v>
      </c>
      <c r="F393">
        <v>2</v>
      </c>
      <c r="G393">
        <v>1</v>
      </c>
      <c r="H393">
        <v>4</v>
      </c>
      <c r="I393">
        <v>25</v>
      </c>
      <c r="J393" s="6"/>
      <c r="K393" s="122">
        <v>45538</v>
      </c>
      <c r="L393">
        <v>0.89893000000000001</v>
      </c>
    </row>
    <row r="394" spans="1:12" x14ac:dyDescent="0.35">
      <c r="A394" t="s">
        <v>34</v>
      </c>
      <c r="D394" t="s">
        <v>343</v>
      </c>
      <c r="F394">
        <v>2</v>
      </c>
      <c r="G394">
        <v>1</v>
      </c>
      <c r="H394">
        <v>4</v>
      </c>
      <c r="I394">
        <v>25</v>
      </c>
      <c r="J394" s="6"/>
      <c r="K394" s="122">
        <v>45547</v>
      </c>
      <c r="L394">
        <v>0.95130000000000003</v>
      </c>
    </row>
    <row r="395" spans="1:12" x14ac:dyDescent="0.35">
      <c r="A395" t="s">
        <v>34</v>
      </c>
      <c r="D395" t="s">
        <v>343</v>
      </c>
      <c r="F395">
        <v>2</v>
      </c>
      <c r="G395">
        <v>1</v>
      </c>
      <c r="H395">
        <v>4</v>
      </c>
      <c r="I395">
        <v>25</v>
      </c>
      <c r="J395" s="6"/>
      <c r="K395" s="122">
        <v>45553</v>
      </c>
      <c r="L395">
        <v>0.95355999999999996</v>
      </c>
    </row>
    <row r="396" spans="1:12" x14ac:dyDescent="0.35">
      <c r="A396" t="s">
        <v>34</v>
      </c>
      <c r="D396" t="s">
        <v>343</v>
      </c>
      <c r="F396">
        <v>2</v>
      </c>
      <c r="G396">
        <v>1</v>
      </c>
      <c r="H396">
        <v>4</v>
      </c>
      <c r="I396">
        <v>25</v>
      </c>
      <c r="J396" s="6"/>
      <c r="K396" s="122">
        <v>45936</v>
      </c>
      <c r="L396">
        <v>0.876</v>
      </c>
    </row>
    <row r="397" spans="1:12" x14ac:dyDescent="0.35">
      <c r="A397" t="s">
        <v>34</v>
      </c>
      <c r="D397" t="s">
        <v>343</v>
      </c>
      <c r="F397">
        <v>2</v>
      </c>
      <c r="G397">
        <v>1</v>
      </c>
      <c r="H397">
        <v>4</v>
      </c>
      <c r="I397">
        <v>25</v>
      </c>
      <c r="J397" s="6"/>
      <c r="K397" s="122">
        <v>45944</v>
      </c>
      <c r="L397">
        <v>0.75412999999999997</v>
      </c>
    </row>
    <row r="398" spans="1:12" x14ac:dyDescent="0.35">
      <c r="A398" t="s">
        <v>34</v>
      </c>
      <c r="D398" t="s">
        <v>343</v>
      </c>
      <c r="F398">
        <v>2</v>
      </c>
      <c r="G398">
        <v>1</v>
      </c>
      <c r="H398">
        <v>4</v>
      </c>
      <c r="I398">
        <v>25</v>
      </c>
      <c r="J398" s="6"/>
      <c r="K398" s="122">
        <v>45590</v>
      </c>
      <c r="L398">
        <v>0.52212999999999998</v>
      </c>
    </row>
    <row r="399" spans="1:12" x14ac:dyDescent="0.35">
      <c r="A399" t="s">
        <v>34</v>
      </c>
      <c r="D399" t="s">
        <v>343</v>
      </c>
      <c r="F399">
        <v>2</v>
      </c>
      <c r="G399">
        <v>1</v>
      </c>
      <c r="H399">
        <v>4</v>
      </c>
      <c r="I399">
        <v>25</v>
      </c>
      <c r="J399" s="6"/>
      <c r="K399" s="122">
        <v>45596</v>
      </c>
      <c r="L399">
        <v>0.31757000000000002</v>
      </c>
    </row>
    <row r="400" spans="1:12" x14ac:dyDescent="0.35">
      <c r="A400" t="s">
        <v>34</v>
      </c>
      <c r="D400" t="s">
        <v>343</v>
      </c>
      <c r="F400">
        <v>2</v>
      </c>
      <c r="G400">
        <v>1</v>
      </c>
      <c r="H400">
        <v>4</v>
      </c>
      <c r="I400">
        <v>25</v>
      </c>
      <c r="J400" s="6"/>
      <c r="K400" s="122">
        <v>45968</v>
      </c>
      <c r="L400">
        <v>0.20263</v>
      </c>
    </row>
    <row r="401" spans="1:12" x14ac:dyDescent="0.35">
      <c r="A401" t="s">
        <v>34</v>
      </c>
      <c r="D401" t="s">
        <v>343</v>
      </c>
      <c r="F401">
        <v>2</v>
      </c>
      <c r="G401">
        <v>1</v>
      </c>
      <c r="H401">
        <v>4</v>
      </c>
      <c r="I401">
        <v>25</v>
      </c>
      <c r="J401" s="6"/>
      <c r="K401" s="122">
        <v>45975</v>
      </c>
      <c r="L401">
        <v>0.18829000000000001</v>
      </c>
    </row>
    <row r="402" spans="1:12" x14ac:dyDescent="0.35">
      <c r="A402" t="s">
        <v>34</v>
      </c>
      <c r="D402" t="s">
        <v>43</v>
      </c>
      <c r="F402">
        <v>2</v>
      </c>
      <c r="G402">
        <v>2</v>
      </c>
      <c r="H402">
        <v>4</v>
      </c>
      <c r="I402">
        <v>26</v>
      </c>
      <c r="J402" s="6"/>
      <c r="K402" s="122">
        <v>45421</v>
      </c>
    </row>
    <row r="403" spans="1:12" x14ac:dyDescent="0.35">
      <c r="A403" t="s">
        <v>34</v>
      </c>
      <c r="D403" t="s">
        <v>43</v>
      </c>
      <c r="F403">
        <v>2</v>
      </c>
      <c r="G403">
        <v>2</v>
      </c>
      <c r="H403">
        <v>4</v>
      </c>
      <c r="I403">
        <v>26</v>
      </c>
      <c r="J403" s="6"/>
      <c r="K403" s="122">
        <v>45442</v>
      </c>
      <c r="L403">
        <v>0.13536000000000001</v>
      </c>
    </row>
    <row r="404" spans="1:12" x14ac:dyDescent="0.35">
      <c r="A404" t="s">
        <v>34</v>
      </c>
      <c r="D404" t="s">
        <v>43</v>
      </c>
      <c r="F404">
        <v>2</v>
      </c>
      <c r="G404">
        <v>2</v>
      </c>
      <c r="H404">
        <v>4</v>
      </c>
      <c r="I404">
        <v>26</v>
      </c>
      <c r="J404" s="6"/>
      <c r="K404" s="122">
        <v>45461</v>
      </c>
      <c r="L404">
        <v>0.2918</v>
      </c>
    </row>
    <row r="405" spans="1:12" x14ac:dyDescent="0.35">
      <c r="A405" t="s">
        <v>34</v>
      </c>
      <c r="D405" t="s">
        <v>43</v>
      </c>
      <c r="F405">
        <v>2</v>
      </c>
      <c r="G405">
        <v>2</v>
      </c>
      <c r="H405">
        <v>4</v>
      </c>
      <c r="I405">
        <v>26</v>
      </c>
      <c r="J405" s="6"/>
      <c r="K405" s="122">
        <v>45477</v>
      </c>
      <c r="L405">
        <v>0.37414999999999998</v>
      </c>
    </row>
    <row r="406" spans="1:12" x14ac:dyDescent="0.35">
      <c r="A406" t="s">
        <v>34</v>
      </c>
      <c r="D406" t="s">
        <v>43</v>
      </c>
      <c r="F406">
        <v>2</v>
      </c>
      <c r="G406">
        <v>2</v>
      </c>
      <c r="H406">
        <v>4</v>
      </c>
      <c r="I406">
        <v>26</v>
      </c>
      <c r="J406" s="6"/>
      <c r="K406" s="122">
        <v>45510</v>
      </c>
      <c r="L406">
        <v>0.7913</v>
      </c>
    </row>
    <row r="407" spans="1:12" x14ac:dyDescent="0.35">
      <c r="A407" t="s">
        <v>34</v>
      </c>
      <c r="D407" t="s">
        <v>43</v>
      </c>
      <c r="F407">
        <v>2</v>
      </c>
      <c r="G407">
        <v>2</v>
      </c>
      <c r="H407">
        <v>4</v>
      </c>
      <c r="I407">
        <v>26</v>
      </c>
      <c r="J407" s="6"/>
      <c r="K407" s="122">
        <v>45519</v>
      </c>
      <c r="L407">
        <v>0.84669000000000005</v>
      </c>
    </row>
    <row r="408" spans="1:12" x14ac:dyDescent="0.35">
      <c r="A408" t="s">
        <v>34</v>
      </c>
      <c r="D408" t="s">
        <v>43</v>
      </c>
      <c r="F408">
        <v>2</v>
      </c>
      <c r="G408">
        <v>2</v>
      </c>
      <c r="H408">
        <v>4</v>
      </c>
      <c r="I408">
        <v>26</v>
      </c>
      <c r="J408" s="6"/>
      <c r="K408" s="122">
        <v>45530</v>
      </c>
      <c r="L408">
        <v>0.88817000000000002</v>
      </c>
    </row>
    <row r="409" spans="1:12" x14ac:dyDescent="0.35">
      <c r="A409" t="s">
        <v>34</v>
      </c>
      <c r="D409" t="s">
        <v>43</v>
      </c>
      <c r="F409">
        <v>2</v>
      </c>
      <c r="G409">
        <v>2</v>
      </c>
      <c r="H409">
        <v>4</v>
      </c>
      <c r="I409">
        <v>26</v>
      </c>
      <c r="J409" s="6"/>
      <c r="K409" s="122">
        <v>45538</v>
      </c>
      <c r="L409">
        <v>0.91335999999999995</v>
      </c>
    </row>
    <row r="410" spans="1:12" x14ac:dyDescent="0.35">
      <c r="A410" t="s">
        <v>34</v>
      </c>
      <c r="B410" s="71"/>
      <c r="C410" s="72"/>
      <c r="D410" t="s">
        <v>43</v>
      </c>
      <c r="E410" s="71"/>
      <c r="F410">
        <v>2</v>
      </c>
      <c r="G410">
        <v>2</v>
      </c>
      <c r="H410">
        <v>4</v>
      </c>
      <c r="I410">
        <v>26</v>
      </c>
      <c r="J410" s="6"/>
      <c r="K410" s="122">
        <v>45547</v>
      </c>
      <c r="L410">
        <v>0.94093000000000004</v>
      </c>
    </row>
    <row r="411" spans="1:12" x14ac:dyDescent="0.35">
      <c r="A411" t="s">
        <v>34</v>
      </c>
      <c r="D411" t="s">
        <v>43</v>
      </c>
      <c r="F411">
        <v>2</v>
      </c>
      <c r="G411">
        <v>2</v>
      </c>
      <c r="H411">
        <v>4</v>
      </c>
      <c r="I411">
        <v>26</v>
      </c>
      <c r="J411" s="6"/>
      <c r="K411" s="122">
        <v>45553</v>
      </c>
      <c r="L411">
        <v>0.95733000000000001</v>
      </c>
    </row>
    <row r="412" spans="1:12" x14ac:dyDescent="0.35">
      <c r="A412" t="s">
        <v>34</v>
      </c>
      <c r="D412" t="s">
        <v>43</v>
      </c>
      <c r="F412">
        <v>2</v>
      </c>
      <c r="G412">
        <v>2</v>
      </c>
      <c r="H412">
        <v>4</v>
      </c>
      <c r="I412">
        <v>26</v>
      </c>
      <c r="J412" s="6"/>
      <c r="K412" s="122">
        <v>45936</v>
      </c>
      <c r="L412">
        <v>0.91549999999999998</v>
      </c>
    </row>
    <row r="413" spans="1:12" x14ac:dyDescent="0.35">
      <c r="A413" t="s">
        <v>34</v>
      </c>
      <c r="D413" t="s">
        <v>43</v>
      </c>
      <c r="F413">
        <v>2</v>
      </c>
      <c r="G413">
        <v>2</v>
      </c>
      <c r="H413">
        <v>4</v>
      </c>
      <c r="I413">
        <v>26</v>
      </c>
      <c r="J413" s="6"/>
      <c r="K413" s="122">
        <v>45944</v>
      </c>
      <c r="L413">
        <v>0.87729000000000001</v>
      </c>
    </row>
    <row r="414" spans="1:12" x14ac:dyDescent="0.35">
      <c r="A414" t="s">
        <v>34</v>
      </c>
      <c r="D414" t="s">
        <v>43</v>
      </c>
      <c r="F414">
        <v>2</v>
      </c>
      <c r="G414">
        <v>2</v>
      </c>
      <c r="H414">
        <v>4</v>
      </c>
      <c r="I414">
        <v>26</v>
      </c>
      <c r="J414" s="6"/>
      <c r="K414" s="122">
        <v>45590</v>
      </c>
      <c r="L414">
        <v>0.73411000000000004</v>
      </c>
    </row>
    <row r="415" spans="1:12" x14ac:dyDescent="0.35">
      <c r="A415" t="s">
        <v>34</v>
      </c>
      <c r="D415" t="s">
        <v>43</v>
      </c>
      <c r="F415">
        <v>2</v>
      </c>
      <c r="G415">
        <v>2</v>
      </c>
      <c r="H415">
        <v>4</v>
      </c>
      <c r="I415">
        <v>26</v>
      </c>
      <c r="J415" s="6"/>
      <c r="K415" s="122">
        <v>45596</v>
      </c>
      <c r="L415">
        <v>0.48688999999999999</v>
      </c>
    </row>
    <row r="416" spans="1:12" x14ac:dyDescent="0.35">
      <c r="A416" t="s">
        <v>34</v>
      </c>
      <c r="D416" t="s">
        <v>43</v>
      </c>
      <c r="F416">
        <v>2</v>
      </c>
      <c r="G416">
        <v>2</v>
      </c>
      <c r="H416">
        <v>4</v>
      </c>
      <c r="I416">
        <v>26</v>
      </c>
      <c r="J416" s="6"/>
      <c r="K416" s="122">
        <v>45968</v>
      </c>
      <c r="L416">
        <v>0.23533000000000001</v>
      </c>
    </row>
    <row r="417" spans="1:12" x14ac:dyDescent="0.35">
      <c r="A417" t="s">
        <v>34</v>
      </c>
      <c r="D417" t="s">
        <v>43</v>
      </c>
      <c r="F417">
        <v>2</v>
      </c>
      <c r="G417">
        <v>2</v>
      </c>
      <c r="H417">
        <v>4</v>
      </c>
      <c r="I417">
        <v>26</v>
      </c>
      <c r="J417" s="6"/>
      <c r="K417" s="122">
        <v>45975</v>
      </c>
      <c r="L417">
        <v>0.22</v>
      </c>
    </row>
    <row r="418" spans="1:12" x14ac:dyDescent="0.35">
      <c r="A418" t="s">
        <v>34</v>
      </c>
      <c r="D418" t="s">
        <v>38</v>
      </c>
      <c r="F418">
        <v>2</v>
      </c>
      <c r="G418">
        <v>3</v>
      </c>
      <c r="H418">
        <v>4</v>
      </c>
      <c r="I418">
        <v>27</v>
      </c>
      <c r="J418" s="6"/>
      <c r="K418" s="122">
        <v>45421</v>
      </c>
    </row>
    <row r="419" spans="1:12" x14ac:dyDescent="0.35">
      <c r="A419" t="s">
        <v>34</v>
      </c>
      <c r="D419" t="s">
        <v>38</v>
      </c>
      <c r="F419">
        <v>2</v>
      </c>
      <c r="G419">
        <v>3</v>
      </c>
      <c r="H419">
        <v>4</v>
      </c>
      <c r="I419">
        <v>27</v>
      </c>
      <c r="J419" s="6"/>
      <c r="K419" s="122">
        <v>45442</v>
      </c>
      <c r="L419">
        <v>0.13055</v>
      </c>
    </row>
    <row r="420" spans="1:12" x14ac:dyDescent="0.35">
      <c r="A420" t="s">
        <v>34</v>
      </c>
      <c r="D420" t="s">
        <v>38</v>
      </c>
      <c r="F420">
        <v>2</v>
      </c>
      <c r="G420">
        <v>3</v>
      </c>
      <c r="H420">
        <v>4</v>
      </c>
      <c r="I420">
        <v>27</v>
      </c>
      <c r="J420" s="6"/>
      <c r="K420" s="122">
        <v>45461</v>
      </c>
      <c r="L420">
        <v>0.3009</v>
      </c>
    </row>
    <row r="421" spans="1:12" x14ac:dyDescent="0.35">
      <c r="A421" t="s">
        <v>34</v>
      </c>
      <c r="D421" t="s">
        <v>38</v>
      </c>
      <c r="F421">
        <v>2</v>
      </c>
      <c r="G421">
        <v>3</v>
      </c>
      <c r="H421">
        <v>4</v>
      </c>
      <c r="I421">
        <v>27</v>
      </c>
      <c r="J421" s="6"/>
      <c r="K421" s="122">
        <v>45477</v>
      </c>
      <c r="L421">
        <v>0.44600000000000001</v>
      </c>
    </row>
    <row r="422" spans="1:12" x14ac:dyDescent="0.35">
      <c r="A422" t="s">
        <v>34</v>
      </c>
      <c r="D422" t="s">
        <v>38</v>
      </c>
      <c r="F422">
        <v>2</v>
      </c>
      <c r="G422">
        <v>3</v>
      </c>
      <c r="H422">
        <v>4</v>
      </c>
      <c r="I422">
        <v>27</v>
      </c>
      <c r="J422" s="6"/>
      <c r="K422" s="122">
        <v>45510</v>
      </c>
      <c r="L422">
        <v>0.82357999999999998</v>
      </c>
    </row>
    <row r="423" spans="1:12" x14ac:dyDescent="0.35">
      <c r="A423" t="s">
        <v>34</v>
      </c>
      <c r="D423" t="s">
        <v>38</v>
      </c>
      <c r="F423">
        <v>2</v>
      </c>
      <c r="G423">
        <v>3</v>
      </c>
      <c r="H423">
        <v>4</v>
      </c>
      <c r="I423">
        <v>27</v>
      </c>
      <c r="J423" s="6"/>
      <c r="K423" s="122">
        <v>45519</v>
      </c>
      <c r="L423">
        <v>0.85455999999999999</v>
      </c>
    </row>
    <row r="424" spans="1:12" x14ac:dyDescent="0.35">
      <c r="A424" t="s">
        <v>34</v>
      </c>
      <c r="D424" t="s">
        <v>38</v>
      </c>
      <c r="F424">
        <v>2</v>
      </c>
      <c r="G424">
        <v>3</v>
      </c>
      <c r="H424">
        <v>4</v>
      </c>
      <c r="I424">
        <v>27</v>
      </c>
      <c r="J424" s="6"/>
      <c r="K424" s="122">
        <v>45530</v>
      </c>
      <c r="L424">
        <v>0.91581999999999997</v>
      </c>
    </row>
    <row r="425" spans="1:12" x14ac:dyDescent="0.35">
      <c r="A425" t="s">
        <v>34</v>
      </c>
      <c r="D425" t="s">
        <v>38</v>
      </c>
      <c r="F425">
        <v>2</v>
      </c>
      <c r="G425">
        <v>3</v>
      </c>
      <c r="H425">
        <v>4</v>
      </c>
      <c r="I425">
        <v>27</v>
      </c>
      <c r="J425" s="6"/>
      <c r="K425" s="122">
        <v>45538</v>
      </c>
      <c r="L425">
        <v>0.91293999999999997</v>
      </c>
    </row>
    <row r="426" spans="1:12" x14ac:dyDescent="0.35">
      <c r="A426" t="s">
        <v>34</v>
      </c>
      <c r="D426" t="s">
        <v>38</v>
      </c>
      <c r="F426">
        <v>2</v>
      </c>
      <c r="G426">
        <v>3</v>
      </c>
      <c r="H426">
        <v>4</v>
      </c>
      <c r="I426">
        <v>27</v>
      </c>
      <c r="J426" s="6"/>
      <c r="K426" s="122">
        <v>45547</v>
      </c>
      <c r="L426">
        <v>0.96950000000000003</v>
      </c>
    </row>
    <row r="427" spans="1:12" x14ac:dyDescent="0.35">
      <c r="A427" t="s">
        <v>34</v>
      </c>
      <c r="D427" t="s">
        <v>38</v>
      </c>
      <c r="F427">
        <v>2</v>
      </c>
      <c r="G427">
        <v>3</v>
      </c>
      <c r="H427">
        <v>4</v>
      </c>
      <c r="I427">
        <v>27</v>
      </c>
      <c r="J427" s="6"/>
      <c r="K427" s="122">
        <v>45553</v>
      </c>
      <c r="L427">
        <v>0.94720000000000004</v>
      </c>
    </row>
    <row r="428" spans="1:12" x14ac:dyDescent="0.35">
      <c r="A428" t="s">
        <v>34</v>
      </c>
      <c r="D428" t="s">
        <v>38</v>
      </c>
      <c r="F428">
        <v>2</v>
      </c>
      <c r="G428">
        <v>3</v>
      </c>
      <c r="H428">
        <v>4</v>
      </c>
      <c r="I428">
        <v>27</v>
      </c>
      <c r="J428" s="6"/>
      <c r="K428" s="122">
        <v>45936</v>
      </c>
      <c r="L428">
        <v>0.91049999999999998</v>
      </c>
    </row>
    <row r="429" spans="1:12" x14ac:dyDescent="0.35">
      <c r="A429" t="s">
        <v>34</v>
      </c>
      <c r="D429" t="s">
        <v>38</v>
      </c>
      <c r="F429">
        <v>2</v>
      </c>
      <c r="G429">
        <v>3</v>
      </c>
      <c r="H429">
        <v>4</v>
      </c>
      <c r="I429">
        <v>27</v>
      </c>
      <c r="J429" s="6"/>
      <c r="K429" s="122">
        <v>45944</v>
      </c>
      <c r="L429">
        <v>0.81788000000000005</v>
      </c>
    </row>
    <row r="430" spans="1:12" x14ac:dyDescent="0.35">
      <c r="A430" t="s">
        <v>34</v>
      </c>
      <c r="D430" t="s">
        <v>38</v>
      </c>
      <c r="F430">
        <v>2</v>
      </c>
      <c r="G430">
        <v>3</v>
      </c>
      <c r="H430">
        <v>4</v>
      </c>
      <c r="I430">
        <v>27</v>
      </c>
      <c r="J430" s="6"/>
      <c r="K430" s="122">
        <v>45590</v>
      </c>
      <c r="L430">
        <v>0.63024999999999998</v>
      </c>
    </row>
    <row r="431" spans="1:12" x14ac:dyDescent="0.35">
      <c r="A431" t="s">
        <v>34</v>
      </c>
      <c r="D431" t="s">
        <v>38</v>
      </c>
      <c r="F431">
        <v>2</v>
      </c>
      <c r="G431">
        <v>3</v>
      </c>
      <c r="H431">
        <v>4</v>
      </c>
      <c r="I431">
        <v>27</v>
      </c>
      <c r="J431" s="6"/>
      <c r="K431" s="122">
        <v>45596</v>
      </c>
      <c r="L431">
        <v>0.41514000000000001</v>
      </c>
    </row>
    <row r="432" spans="1:12" x14ac:dyDescent="0.35">
      <c r="A432" t="s">
        <v>34</v>
      </c>
      <c r="D432" t="s">
        <v>38</v>
      </c>
      <c r="F432">
        <v>2</v>
      </c>
      <c r="G432">
        <v>3</v>
      </c>
      <c r="H432">
        <v>4</v>
      </c>
      <c r="I432">
        <v>27</v>
      </c>
      <c r="J432" s="6"/>
      <c r="K432" s="122">
        <v>45968</v>
      </c>
      <c r="L432">
        <v>0.2545</v>
      </c>
    </row>
    <row r="433" spans="1:12" x14ac:dyDescent="0.35">
      <c r="A433" t="s">
        <v>34</v>
      </c>
      <c r="D433" t="s">
        <v>38</v>
      </c>
      <c r="F433">
        <v>2</v>
      </c>
      <c r="G433">
        <v>3</v>
      </c>
      <c r="H433">
        <v>4</v>
      </c>
      <c r="I433">
        <v>27</v>
      </c>
      <c r="J433" s="6"/>
      <c r="K433" s="122">
        <v>45975</v>
      </c>
      <c r="L433">
        <v>0.19359999999999999</v>
      </c>
    </row>
    <row r="434" spans="1:12" x14ac:dyDescent="0.35">
      <c r="A434" t="s">
        <v>34</v>
      </c>
      <c r="D434" t="s">
        <v>39</v>
      </c>
      <c r="F434">
        <v>2</v>
      </c>
      <c r="G434">
        <v>4</v>
      </c>
      <c r="H434">
        <v>4</v>
      </c>
      <c r="I434">
        <v>28</v>
      </c>
      <c r="J434" s="6"/>
      <c r="K434" s="122">
        <v>45421</v>
      </c>
    </row>
    <row r="435" spans="1:12" x14ac:dyDescent="0.35">
      <c r="A435" t="s">
        <v>34</v>
      </c>
      <c r="D435" t="s">
        <v>39</v>
      </c>
      <c r="F435">
        <v>2</v>
      </c>
      <c r="G435">
        <v>4</v>
      </c>
      <c r="H435">
        <v>4</v>
      </c>
      <c r="I435">
        <v>28</v>
      </c>
      <c r="J435" s="6"/>
      <c r="K435" s="122">
        <v>45442</v>
      </c>
      <c r="L435">
        <v>0.12454</v>
      </c>
    </row>
    <row r="436" spans="1:12" x14ac:dyDescent="0.35">
      <c r="A436" t="s">
        <v>34</v>
      </c>
      <c r="D436" t="s">
        <v>39</v>
      </c>
      <c r="F436">
        <v>2</v>
      </c>
      <c r="G436">
        <v>4</v>
      </c>
      <c r="H436">
        <v>4</v>
      </c>
      <c r="I436">
        <v>28</v>
      </c>
      <c r="J436" s="6"/>
      <c r="K436" s="122">
        <v>45461</v>
      </c>
      <c r="L436">
        <v>0.31674999999999998</v>
      </c>
    </row>
    <row r="437" spans="1:12" x14ac:dyDescent="0.35">
      <c r="A437" t="s">
        <v>34</v>
      </c>
      <c r="D437" t="s">
        <v>39</v>
      </c>
      <c r="F437">
        <v>2</v>
      </c>
      <c r="G437">
        <v>4</v>
      </c>
      <c r="H437">
        <v>4</v>
      </c>
      <c r="I437">
        <v>28</v>
      </c>
      <c r="J437" s="6"/>
      <c r="K437" s="122">
        <v>45477</v>
      </c>
      <c r="L437">
        <v>0.40233000000000002</v>
      </c>
    </row>
    <row r="438" spans="1:12" x14ac:dyDescent="0.35">
      <c r="A438" t="s">
        <v>34</v>
      </c>
      <c r="D438" t="s">
        <v>39</v>
      </c>
      <c r="F438">
        <v>2</v>
      </c>
      <c r="G438">
        <v>4</v>
      </c>
      <c r="H438">
        <v>4</v>
      </c>
      <c r="I438">
        <v>28</v>
      </c>
      <c r="J438" s="6"/>
      <c r="K438" s="122">
        <v>45510</v>
      </c>
      <c r="L438">
        <v>0.78981999999999997</v>
      </c>
    </row>
    <row r="439" spans="1:12" x14ac:dyDescent="0.35">
      <c r="A439" t="s">
        <v>34</v>
      </c>
      <c r="D439" t="s">
        <v>39</v>
      </c>
      <c r="F439">
        <v>2</v>
      </c>
      <c r="G439">
        <v>4</v>
      </c>
      <c r="H439">
        <v>4</v>
      </c>
      <c r="I439">
        <v>28</v>
      </c>
      <c r="J439" s="6"/>
      <c r="K439" s="122">
        <v>45519</v>
      </c>
      <c r="L439">
        <v>0.85082999999999998</v>
      </c>
    </row>
    <row r="440" spans="1:12" x14ac:dyDescent="0.35">
      <c r="A440" t="s">
        <v>34</v>
      </c>
      <c r="D440" t="s">
        <v>39</v>
      </c>
      <c r="F440">
        <v>2</v>
      </c>
      <c r="G440">
        <v>4</v>
      </c>
      <c r="H440">
        <v>4</v>
      </c>
      <c r="I440">
        <v>28</v>
      </c>
      <c r="J440" s="6"/>
      <c r="K440" s="122">
        <v>45530</v>
      </c>
      <c r="L440">
        <v>0.89031000000000005</v>
      </c>
    </row>
    <row r="441" spans="1:12" x14ac:dyDescent="0.35">
      <c r="A441" t="s">
        <v>34</v>
      </c>
      <c r="D441" t="s">
        <v>39</v>
      </c>
      <c r="F441">
        <v>2</v>
      </c>
      <c r="G441">
        <v>4</v>
      </c>
      <c r="H441">
        <v>4</v>
      </c>
      <c r="I441">
        <v>28</v>
      </c>
      <c r="J441" s="6"/>
      <c r="K441" s="122">
        <v>45538</v>
      </c>
      <c r="L441">
        <v>0.89144999999999996</v>
      </c>
    </row>
    <row r="442" spans="1:12" x14ac:dyDescent="0.35">
      <c r="A442" t="s">
        <v>34</v>
      </c>
      <c r="D442" t="s">
        <v>39</v>
      </c>
      <c r="F442">
        <v>2</v>
      </c>
      <c r="G442">
        <v>4</v>
      </c>
      <c r="H442">
        <v>4</v>
      </c>
      <c r="I442">
        <v>28</v>
      </c>
      <c r="J442" s="6"/>
      <c r="K442" s="122">
        <v>45547</v>
      </c>
      <c r="L442">
        <v>0.92769999999999997</v>
      </c>
    </row>
    <row r="443" spans="1:12" x14ac:dyDescent="0.35">
      <c r="A443" t="s">
        <v>34</v>
      </c>
      <c r="D443" t="s">
        <v>39</v>
      </c>
      <c r="F443">
        <v>2</v>
      </c>
      <c r="G443">
        <v>4</v>
      </c>
      <c r="H443">
        <v>4</v>
      </c>
      <c r="I443">
        <v>28</v>
      </c>
      <c r="J443" s="6"/>
      <c r="K443" s="122">
        <v>45553</v>
      </c>
      <c r="L443">
        <v>0.91900000000000004</v>
      </c>
    </row>
    <row r="444" spans="1:12" x14ac:dyDescent="0.35">
      <c r="A444" t="s">
        <v>34</v>
      </c>
      <c r="D444" t="s">
        <v>39</v>
      </c>
      <c r="F444">
        <v>2</v>
      </c>
      <c r="G444">
        <v>4</v>
      </c>
      <c r="H444">
        <v>4</v>
      </c>
      <c r="I444">
        <v>28</v>
      </c>
      <c r="J444" s="6"/>
      <c r="K444" s="122">
        <v>45936</v>
      </c>
      <c r="L444">
        <v>0.77049999999999996</v>
      </c>
    </row>
    <row r="445" spans="1:12" x14ac:dyDescent="0.35">
      <c r="A445" t="s">
        <v>34</v>
      </c>
      <c r="D445" t="s">
        <v>39</v>
      </c>
      <c r="F445">
        <v>2</v>
      </c>
      <c r="G445">
        <v>4</v>
      </c>
      <c r="H445">
        <v>4</v>
      </c>
      <c r="I445">
        <v>28</v>
      </c>
      <c r="J445" s="6"/>
      <c r="K445" s="122">
        <v>45944</v>
      </c>
      <c r="L445">
        <v>0.75700000000000001</v>
      </c>
    </row>
    <row r="446" spans="1:12" x14ac:dyDescent="0.35">
      <c r="A446" t="s">
        <v>34</v>
      </c>
      <c r="D446" t="s">
        <v>39</v>
      </c>
      <c r="F446">
        <v>2</v>
      </c>
      <c r="G446">
        <v>4</v>
      </c>
      <c r="H446">
        <v>4</v>
      </c>
      <c r="I446">
        <v>28</v>
      </c>
      <c r="J446" s="6"/>
      <c r="K446" s="122">
        <v>45590</v>
      </c>
      <c r="L446">
        <v>0.57528999999999997</v>
      </c>
    </row>
    <row r="447" spans="1:12" x14ac:dyDescent="0.35">
      <c r="A447" t="s">
        <v>34</v>
      </c>
      <c r="D447" t="s">
        <v>39</v>
      </c>
      <c r="F447">
        <v>2</v>
      </c>
      <c r="G447">
        <v>4</v>
      </c>
      <c r="H447">
        <v>4</v>
      </c>
      <c r="I447">
        <v>28</v>
      </c>
      <c r="J447" s="6"/>
      <c r="K447" s="122">
        <v>45596</v>
      </c>
      <c r="L447">
        <v>0.33333000000000002</v>
      </c>
    </row>
    <row r="448" spans="1:12" x14ac:dyDescent="0.35">
      <c r="A448" t="s">
        <v>34</v>
      </c>
      <c r="D448" t="s">
        <v>39</v>
      </c>
      <c r="F448">
        <v>2</v>
      </c>
      <c r="G448">
        <v>4</v>
      </c>
      <c r="H448">
        <v>4</v>
      </c>
      <c r="I448">
        <v>28</v>
      </c>
      <c r="J448" s="6"/>
      <c r="K448" s="122">
        <v>45968</v>
      </c>
      <c r="L448">
        <v>0.22259999999999999</v>
      </c>
    </row>
    <row r="449" spans="1:12" x14ac:dyDescent="0.35">
      <c r="A449" t="s">
        <v>34</v>
      </c>
      <c r="D449" t="s">
        <v>39</v>
      </c>
      <c r="F449">
        <v>2</v>
      </c>
      <c r="G449">
        <v>4</v>
      </c>
      <c r="H449">
        <v>4</v>
      </c>
      <c r="I449">
        <v>28</v>
      </c>
      <c r="J449" s="6"/>
      <c r="K449" s="122">
        <v>45975</v>
      </c>
      <c r="L449">
        <v>0.2162</v>
      </c>
    </row>
    <row r="450" spans="1:12" x14ac:dyDescent="0.35">
      <c r="A450" t="s">
        <v>34</v>
      </c>
      <c r="D450" t="s">
        <v>42</v>
      </c>
      <c r="F450">
        <v>2</v>
      </c>
      <c r="G450">
        <v>5</v>
      </c>
      <c r="H450">
        <v>4</v>
      </c>
      <c r="I450">
        <v>29</v>
      </c>
      <c r="J450" s="6"/>
      <c r="K450" s="122">
        <v>45421</v>
      </c>
    </row>
    <row r="451" spans="1:12" x14ac:dyDescent="0.35">
      <c r="A451" t="s">
        <v>34</v>
      </c>
      <c r="D451" t="s">
        <v>42</v>
      </c>
      <c r="F451">
        <v>2</v>
      </c>
      <c r="G451">
        <v>5</v>
      </c>
      <c r="H451">
        <v>4</v>
      </c>
      <c r="I451">
        <v>29</v>
      </c>
      <c r="J451" s="6"/>
      <c r="K451" s="122">
        <v>45442</v>
      </c>
      <c r="L451">
        <v>0.126</v>
      </c>
    </row>
    <row r="452" spans="1:12" x14ac:dyDescent="0.35">
      <c r="A452" t="s">
        <v>34</v>
      </c>
      <c r="D452" t="s">
        <v>42</v>
      </c>
      <c r="F452">
        <v>2</v>
      </c>
      <c r="G452">
        <v>5</v>
      </c>
      <c r="H452">
        <v>4</v>
      </c>
      <c r="I452">
        <v>29</v>
      </c>
      <c r="J452" s="6"/>
      <c r="K452" s="122">
        <v>45461</v>
      </c>
      <c r="L452">
        <v>0.29075000000000001</v>
      </c>
    </row>
    <row r="453" spans="1:12" x14ac:dyDescent="0.35">
      <c r="A453" t="s">
        <v>34</v>
      </c>
      <c r="D453" t="s">
        <v>42</v>
      </c>
      <c r="F453">
        <v>2</v>
      </c>
      <c r="G453">
        <v>5</v>
      </c>
      <c r="H453">
        <v>4</v>
      </c>
      <c r="I453">
        <v>29</v>
      </c>
      <c r="J453" s="6"/>
      <c r="K453" s="122">
        <v>45477</v>
      </c>
      <c r="L453">
        <v>0.43236000000000002</v>
      </c>
    </row>
    <row r="454" spans="1:12" x14ac:dyDescent="0.35">
      <c r="A454" t="s">
        <v>34</v>
      </c>
      <c r="D454" t="s">
        <v>42</v>
      </c>
      <c r="F454">
        <v>2</v>
      </c>
      <c r="G454">
        <v>5</v>
      </c>
      <c r="H454">
        <v>4</v>
      </c>
      <c r="I454">
        <v>29</v>
      </c>
      <c r="J454" s="6"/>
      <c r="K454" s="122">
        <v>45510</v>
      </c>
      <c r="L454">
        <v>0.80308999999999997</v>
      </c>
    </row>
    <row r="455" spans="1:12" x14ac:dyDescent="0.35">
      <c r="A455" t="s">
        <v>34</v>
      </c>
      <c r="D455" t="s">
        <v>42</v>
      </c>
      <c r="F455">
        <v>2</v>
      </c>
      <c r="G455">
        <v>5</v>
      </c>
      <c r="H455">
        <v>4</v>
      </c>
      <c r="I455">
        <v>29</v>
      </c>
      <c r="J455" s="6"/>
      <c r="K455" s="122">
        <v>45519</v>
      </c>
      <c r="L455">
        <v>0.85570000000000002</v>
      </c>
    </row>
    <row r="456" spans="1:12" x14ac:dyDescent="0.35">
      <c r="A456" t="s">
        <v>34</v>
      </c>
      <c r="D456" t="s">
        <v>42</v>
      </c>
      <c r="F456">
        <v>2</v>
      </c>
      <c r="G456">
        <v>5</v>
      </c>
      <c r="H456">
        <v>4</v>
      </c>
      <c r="I456">
        <v>29</v>
      </c>
      <c r="J456" s="6"/>
      <c r="K456" s="122">
        <v>45530</v>
      </c>
      <c r="L456">
        <v>0.88514999999999999</v>
      </c>
    </row>
    <row r="457" spans="1:12" x14ac:dyDescent="0.35">
      <c r="A457" t="s">
        <v>34</v>
      </c>
      <c r="D457" t="s">
        <v>42</v>
      </c>
      <c r="F457">
        <v>2</v>
      </c>
      <c r="G457">
        <v>5</v>
      </c>
      <c r="H457">
        <v>4</v>
      </c>
      <c r="I457">
        <v>29</v>
      </c>
      <c r="J457" s="6"/>
      <c r="K457" s="122">
        <v>45538</v>
      </c>
      <c r="L457">
        <v>0.91132999999999997</v>
      </c>
    </row>
    <row r="458" spans="1:12" x14ac:dyDescent="0.35">
      <c r="A458" t="s">
        <v>34</v>
      </c>
      <c r="D458" t="s">
        <v>42</v>
      </c>
      <c r="F458">
        <v>2</v>
      </c>
      <c r="G458">
        <v>5</v>
      </c>
      <c r="H458">
        <v>4</v>
      </c>
      <c r="I458">
        <v>29</v>
      </c>
      <c r="J458" s="6"/>
      <c r="K458" s="122">
        <v>45547</v>
      </c>
      <c r="L458">
        <v>0.94879000000000002</v>
      </c>
    </row>
    <row r="459" spans="1:12" x14ac:dyDescent="0.35">
      <c r="A459" t="s">
        <v>34</v>
      </c>
      <c r="D459" t="s">
        <v>42</v>
      </c>
      <c r="F459">
        <v>2</v>
      </c>
      <c r="G459">
        <v>5</v>
      </c>
      <c r="H459">
        <v>4</v>
      </c>
      <c r="I459">
        <v>29</v>
      </c>
      <c r="J459" s="6"/>
      <c r="K459" s="122">
        <v>45553</v>
      </c>
      <c r="L459">
        <v>0.94813999999999998</v>
      </c>
    </row>
    <row r="460" spans="1:12" x14ac:dyDescent="0.35">
      <c r="A460" t="s">
        <v>34</v>
      </c>
      <c r="D460" t="s">
        <v>42</v>
      </c>
      <c r="F460">
        <v>2</v>
      </c>
      <c r="G460">
        <v>5</v>
      </c>
      <c r="H460">
        <v>4</v>
      </c>
      <c r="I460">
        <v>29</v>
      </c>
      <c r="J460" s="6"/>
      <c r="K460" s="122">
        <v>45936</v>
      </c>
      <c r="L460">
        <v>0.86860000000000004</v>
      </c>
    </row>
    <row r="461" spans="1:12" x14ac:dyDescent="0.35">
      <c r="A461" t="s">
        <v>34</v>
      </c>
      <c r="D461" t="s">
        <v>42</v>
      </c>
      <c r="F461">
        <v>2</v>
      </c>
      <c r="G461">
        <v>5</v>
      </c>
      <c r="H461">
        <v>4</v>
      </c>
      <c r="I461">
        <v>29</v>
      </c>
      <c r="J461" s="6"/>
      <c r="K461" s="122">
        <v>45944</v>
      </c>
      <c r="L461">
        <v>0.68144000000000005</v>
      </c>
    </row>
    <row r="462" spans="1:12" x14ac:dyDescent="0.35">
      <c r="A462" t="s">
        <v>34</v>
      </c>
      <c r="D462" t="s">
        <v>42</v>
      </c>
      <c r="F462">
        <v>2</v>
      </c>
      <c r="G462">
        <v>5</v>
      </c>
      <c r="H462">
        <v>4</v>
      </c>
      <c r="I462">
        <v>29</v>
      </c>
      <c r="J462" s="6"/>
      <c r="K462" s="122">
        <v>45590</v>
      </c>
      <c r="L462">
        <v>0.44708999999999999</v>
      </c>
    </row>
    <row r="463" spans="1:12" x14ac:dyDescent="0.35">
      <c r="A463" t="s">
        <v>34</v>
      </c>
      <c r="D463" t="s">
        <v>42</v>
      </c>
      <c r="F463">
        <v>2</v>
      </c>
      <c r="G463">
        <v>5</v>
      </c>
      <c r="H463">
        <v>4</v>
      </c>
      <c r="I463">
        <v>29</v>
      </c>
      <c r="J463" s="6"/>
      <c r="K463" s="122">
        <v>45596</v>
      </c>
      <c r="L463">
        <v>0.28462999999999999</v>
      </c>
    </row>
    <row r="464" spans="1:12" x14ac:dyDescent="0.35">
      <c r="A464" t="s">
        <v>34</v>
      </c>
      <c r="D464" t="s">
        <v>42</v>
      </c>
      <c r="F464">
        <v>2</v>
      </c>
      <c r="G464">
        <v>5</v>
      </c>
      <c r="H464">
        <v>4</v>
      </c>
      <c r="I464">
        <v>29</v>
      </c>
      <c r="J464" s="6"/>
      <c r="K464" s="122">
        <v>45968</v>
      </c>
      <c r="L464">
        <v>0.20329</v>
      </c>
    </row>
    <row r="465" spans="1:12" x14ac:dyDescent="0.35">
      <c r="A465" t="s">
        <v>34</v>
      </c>
      <c r="D465" t="s">
        <v>42</v>
      </c>
      <c r="F465">
        <v>2</v>
      </c>
      <c r="G465">
        <v>5</v>
      </c>
      <c r="H465">
        <v>4</v>
      </c>
      <c r="I465">
        <v>29</v>
      </c>
      <c r="J465" s="6"/>
      <c r="K465" s="122">
        <v>45975</v>
      </c>
      <c r="L465">
        <v>0.18471000000000001</v>
      </c>
    </row>
    <row r="466" spans="1:12" x14ac:dyDescent="0.35">
      <c r="A466" t="s">
        <v>34</v>
      </c>
      <c r="D466" t="s">
        <v>36</v>
      </c>
      <c r="F466">
        <v>2</v>
      </c>
      <c r="G466">
        <v>6</v>
      </c>
      <c r="H466">
        <v>4</v>
      </c>
      <c r="I466">
        <v>30</v>
      </c>
      <c r="J466" s="6"/>
      <c r="K466" s="122">
        <v>45421</v>
      </c>
    </row>
    <row r="467" spans="1:12" x14ac:dyDescent="0.35">
      <c r="A467" t="s">
        <v>34</v>
      </c>
      <c r="D467" t="s">
        <v>36</v>
      </c>
      <c r="F467">
        <v>2</v>
      </c>
      <c r="G467">
        <v>6</v>
      </c>
      <c r="H467">
        <v>4</v>
      </c>
      <c r="I467">
        <v>30</v>
      </c>
      <c r="J467" s="6"/>
      <c r="K467" s="122">
        <v>45442</v>
      </c>
      <c r="L467">
        <v>0.12645999999999999</v>
      </c>
    </row>
    <row r="468" spans="1:12" x14ac:dyDescent="0.35">
      <c r="A468" t="s">
        <v>34</v>
      </c>
      <c r="D468" t="s">
        <v>36</v>
      </c>
      <c r="F468">
        <v>2</v>
      </c>
      <c r="G468">
        <v>6</v>
      </c>
      <c r="H468">
        <v>4</v>
      </c>
      <c r="I468">
        <v>30</v>
      </c>
      <c r="J468" s="6"/>
      <c r="K468" s="122">
        <v>45461</v>
      </c>
      <c r="L468">
        <v>0.27979999999999999</v>
      </c>
    </row>
    <row r="469" spans="1:12" x14ac:dyDescent="0.35">
      <c r="A469" t="s">
        <v>34</v>
      </c>
      <c r="D469" t="s">
        <v>36</v>
      </c>
      <c r="F469">
        <v>2</v>
      </c>
      <c r="G469">
        <v>6</v>
      </c>
      <c r="H469">
        <v>4</v>
      </c>
      <c r="I469">
        <v>30</v>
      </c>
      <c r="J469" s="6"/>
      <c r="K469" s="122">
        <v>45477</v>
      </c>
      <c r="L469">
        <v>0.45812999999999998</v>
      </c>
    </row>
    <row r="470" spans="1:12" x14ac:dyDescent="0.35">
      <c r="A470" t="s">
        <v>34</v>
      </c>
      <c r="D470" t="s">
        <v>36</v>
      </c>
      <c r="F470">
        <v>2</v>
      </c>
      <c r="G470">
        <v>6</v>
      </c>
      <c r="H470">
        <v>4</v>
      </c>
      <c r="I470">
        <v>30</v>
      </c>
      <c r="J470" s="6"/>
      <c r="K470" s="122">
        <v>45510</v>
      </c>
      <c r="L470">
        <v>0.81472999999999995</v>
      </c>
    </row>
    <row r="471" spans="1:12" x14ac:dyDescent="0.35">
      <c r="A471" t="s">
        <v>34</v>
      </c>
      <c r="D471" t="s">
        <v>36</v>
      </c>
      <c r="F471">
        <v>2</v>
      </c>
      <c r="G471">
        <v>6</v>
      </c>
      <c r="H471">
        <v>4</v>
      </c>
      <c r="I471">
        <v>30</v>
      </c>
      <c r="J471" s="6"/>
      <c r="K471" s="122">
        <v>45519</v>
      </c>
      <c r="L471">
        <v>0.85177999999999998</v>
      </c>
    </row>
    <row r="472" spans="1:12" x14ac:dyDescent="0.35">
      <c r="A472" t="s">
        <v>34</v>
      </c>
      <c r="D472" t="s">
        <v>36</v>
      </c>
      <c r="F472">
        <v>2</v>
      </c>
      <c r="G472">
        <v>6</v>
      </c>
      <c r="H472">
        <v>4</v>
      </c>
      <c r="I472">
        <v>30</v>
      </c>
      <c r="J472" s="6"/>
      <c r="K472" s="122">
        <v>45530</v>
      </c>
      <c r="L472">
        <v>0.89300000000000002</v>
      </c>
    </row>
    <row r="473" spans="1:12" x14ac:dyDescent="0.35">
      <c r="A473" t="s">
        <v>34</v>
      </c>
      <c r="D473" t="s">
        <v>36</v>
      </c>
      <c r="F473">
        <v>2</v>
      </c>
      <c r="G473">
        <v>6</v>
      </c>
      <c r="H473">
        <v>4</v>
      </c>
      <c r="I473">
        <v>30</v>
      </c>
      <c r="J473" s="6"/>
      <c r="K473" s="122">
        <v>45538</v>
      </c>
      <c r="L473">
        <v>0.88863999999999999</v>
      </c>
    </row>
    <row r="474" spans="1:12" x14ac:dyDescent="0.35">
      <c r="A474" t="s">
        <v>34</v>
      </c>
      <c r="B474" s="71"/>
      <c r="C474" s="72"/>
      <c r="D474" t="s">
        <v>36</v>
      </c>
      <c r="E474" s="71"/>
      <c r="F474">
        <v>2</v>
      </c>
      <c r="G474">
        <v>6</v>
      </c>
      <c r="H474">
        <v>4</v>
      </c>
      <c r="I474">
        <v>30</v>
      </c>
      <c r="J474" s="6"/>
      <c r="K474" s="122">
        <v>45547</v>
      </c>
      <c r="L474">
        <v>0.93754999999999999</v>
      </c>
    </row>
    <row r="475" spans="1:12" x14ac:dyDescent="0.35">
      <c r="A475" t="s">
        <v>34</v>
      </c>
      <c r="D475" t="s">
        <v>36</v>
      </c>
      <c r="F475">
        <v>2</v>
      </c>
      <c r="G475">
        <v>6</v>
      </c>
      <c r="H475">
        <v>4</v>
      </c>
      <c r="I475">
        <v>30</v>
      </c>
      <c r="J475" s="6"/>
      <c r="K475" s="122">
        <v>45553</v>
      </c>
      <c r="L475">
        <v>0.95821000000000001</v>
      </c>
    </row>
    <row r="476" spans="1:12" x14ac:dyDescent="0.35">
      <c r="A476" t="s">
        <v>34</v>
      </c>
      <c r="D476" t="s">
        <v>36</v>
      </c>
      <c r="F476">
        <v>2</v>
      </c>
      <c r="G476">
        <v>6</v>
      </c>
      <c r="H476">
        <v>4</v>
      </c>
      <c r="I476">
        <v>30</v>
      </c>
      <c r="J476" s="6"/>
      <c r="K476" s="122">
        <v>45936</v>
      </c>
      <c r="L476">
        <v>0.90024999999999999</v>
      </c>
    </row>
    <row r="477" spans="1:12" x14ac:dyDescent="0.35">
      <c r="A477" t="s">
        <v>34</v>
      </c>
      <c r="D477" t="s">
        <v>36</v>
      </c>
      <c r="F477">
        <v>2</v>
      </c>
      <c r="G477">
        <v>6</v>
      </c>
      <c r="H477">
        <v>4</v>
      </c>
      <c r="I477">
        <v>30</v>
      </c>
      <c r="J477" s="6"/>
      <c r="K477" s="122">
        <v>45944</v>
      </c>
      <c r="L477">
        <v>0.76763000000000003</v>
      </c>
    </row>
    <row r="478" spans="1:12" x14ac:dyDescent="0.35">
      <c r="A478" t="s">
        <v>34</v>
      </c>
      <c r="D478" t="s">
        <v>36</v>
      </c>
      <c r="F478">
        <v>2</v>
      </c>
      <c r="G478">
        <v>6</v>
      </c>
      <c r="H478">
        <v>4</v>
      </c>
      <c r="I478">
        <v>30</v>
      </c>
      <c r="J478" s="6"/>
      <c r="K478" s="122">
        <v>45590</v>
      </c>
      <c r="L478">
        <v>0.65888000000000002</v>
      </c>
    </row>
    <row r="479" spans="1:12" x14ac:dyDescent="0.35">
      <c r="A479" t="s">
        <v>34</v>
      </c>
      <c r="D479" t="s">
        <v>36</v>
      </c>
      <c r="F479">
        <v>2</v>
      </c>
      <c r="G479">
        <v>6</v>
      </c>
      <c r="H479">
        <v>4</v>
      </c>
      <c r="I479">
        <v>30</v>
      </c>
      <c r="J479" s="6"/>
      <c r="K479" s="122">
        <v>45596</v>
      </c>
      <c r="L479">
        <v>0.39443</v>
      </c>
    </row>
    <row r="480" spans="1:12" x14ac:dyDescent="0.35">
      <c r="A480" t="s">
        <v>34</v>
      </c>
      <c r="D480" t="s">
        <v>36</v>
      </c>
      <c r="F480">
        <v>2</v>
      </c>
      <c r="G480">
        <v>6</v>
      </c>
      <c r="H480">
        <v>4</v>
      </c>
      <c r="I480">
        <v>30</v>
      </c>
      <c r="J480" s="6"/>
      <c r="K480" s="122">
        <v>45968</v>
      </c>
      <c r="L480">
        <v>0.23114000000000001</v>
      </c>
    </row>
    <row r="481" spans="1:12" x14ac:dyDescent="0.35">
      <c r="A481" t="s">
        <v>34</v>
      </c>
      <c r="D481" t="s">
        <v>36</v>
      </c>
      <c r="F481">
        <v>2</v>
      </c>
      <c r="G481">
        <v>6</v>
      </c>
      <c r="H481">
        <v>4</v>
      </c>
      <c r="I481">
        <v>30</v>
      </c>
      <c r="J481" s="6"/>
      <c r="K481" s="122">
        <v>45975</v>
      </c>
      <c r="L481">
        <v>0.20533000000000001</v>
      </c>
    </row>
    <row r="482" spans="1:12" x14ac:dyDescent="0.35">
      <c r="A482" t="s">
        <v>34</v>
      </c>
      <c r="D482" t="s">
        <v>41</v>
      </c>
      <c r="F482">
        <v>2</v>
      </c>
      <c r="G482">
        <v>7</v>
      </c>
      <c r="H482">
        <v>4</v>
      </c>
      <c r="I482">
        <v>31</v>
      </c>
      <c r="J482" s="6"/>
      <c r="K482" s="122">
        <v>45421</v>
      </c>
    </row>
    <row r="483" spans="1:12" x14ac:dyDescent="0.35">
      <c r="A483" t="s">
        <v>34</v>
      </c>
      <c r="D483" t="s">
        <v>41</v>
      </c>
      <c r="F483">
        <v>2</v>
      </c>
      <c r="G483">
        <v>7</v>
      </c>
      <c r="H483">
        <v>4</v>
      </c>
      <c r="I483">
        <v>31</v>
      </c>
      <c r="J483" s="6"/>
      <c r="K483" s="122">
        <v>45442</v>
      </c>
      <c r="L483">
        <v>0.12286</v>
      </c>
    </row>
    <row r="484" spans="1:12" x14ac:dyDescent="0.35">
      <c r="A484" t="s">
        <v>34</v>
      </c>
      <c r="D484" t="s">
        <v>41</v>
      </c>
      <c r="F484">
        <v>2</v>
      </c>
      <c r="G484">
        <v>7</v>
      </c>
      <c r="H484">
        <v>4</v>
      </c>
      <c r="I484">
        <v>31</v>
      </c>
      <c r="J484" s="6"/>
      <c r="K484" s="122">
        <v>45461</v>
      </c>
      <c r="L484">
        <v>0.32978000000000002</v>
      </c>
    </row>
    <row r="485" spans="1:12" x14ac:dyDescent="0.35">
      <c r="A485" t="s">
        <v>34</v>
      </c>
      <c r="D485" t="s">
        <v>41</v>
      </c>
      <c r="F485">
        <v>2</v>
      </c>
      <c r="G485">
        <v>7</v>
      </c>
      <c r="H485">
        <v>4</v>
      </c>
      <c r="I485">
        <v>31</v>
      </c>
      <c r="J485" s="6"/>
      <c r="K485" s="122">
        <v>45477</v>
      </c>
      <c r="L485">
        <v>0.47513</v>
      </c>
    </row>
    <row r="486" spans="1:12" x14ac:dyDescent="0.35">
      <c r="A486" t="s">
        <v>34</v>
      </c>
      <c r="D486" t="s">
        <v>41</v>
      </c>
      <c r="F486">
        <v>2</v>
      </c>
      <c r="G486">
        <v>7</v>
      </c>
      <c r="H486">
        <v>4</v>
      </c>
      <c r="I486">
        <v>31</v>
      </c>
      <c r="J486" s="6"/>
      <c r="K486" s="122">
        <v>45510</v>
      </c>
      <c r="L486">
        <v>0.8256</v>
      </c>
    </row>
    <row r="487" spans="1:12" x14ac:dyDescent="0.35">
      <c r="A487" t="s">
        <v>34</v>
      </c>
      <c r="D487" t="s">
        <v>41</v>
      </c>
      <c r="F487">
        <v>2</v>
      </c>
      <c r="G487">
        <v>7</v>
      </c>
      <c r="H487">
        <v>4</v>
      </c>
      <c r="I487">
        <v>31</v>
      </c>
      <c r="J487" s="6"/>
      <c r="K487" s="122">
        <v>45519</v>
      </c>
      <c r="L487">
        <v>0.78142</v>
      </c>
    </row>
    <row r="488" spans="1:12" x14ac:dyDescent="0.35">
      <c r="A488" t="s">
        <v>34</v>
      </c>
      <c r="D488" t="s">
        <v>41</v>
      </c>
      <c r="F488">
        <v>2</v>
      </c>
      <c r="G488">
        <v>7</v>
      </c>
      <c r="H488">
        <v>4</v>
      </c>
      <c r="I488">
        <v>31</v>
      </c>
      <c r="J488" s="6"/>
      <c r="K488" s="122">
        <v>45530</v>
      </c>
      <c r="L488">
        <v>0.88837999999999995</v>
      </c>
    </row>
    <row r="489" spans="1:12" x14ac:dyDescent="0.35">
      <c r="A489" t="s">
        <v>34</v>
      </c>
      <c r="D489" t="s">
        <v>41</v>
      </c>
      <c r="F489">
        <v>2</v>
      </c>
      <c r="G489">
        <v>7</v>
      </c>
      <c r="H489">
        <v>4</v>
      </c>
      <c r="I489">
        <v>31</v>
      </c>
      <c r="J489" s="6"/>
      <c r="K489" s="122">
        <v>45538</v>
      </c>
      <c r="L489">
        <v>0.89707000000000003</v>
      </c>
    </row>
    <row r="490" spans="1:12" x14ac:dyDescent="0.35">
      <c r="A490" t="s">
        <v>34</v>
      </c>
      <c r="D490" t="s">
        <v>41</v>
      </c>
      <c r="F490">
        <v>2</v>
      </c>
      <c r="G490">
        <v>7</v>
      </c>
      <c r="H490">
        <v>4</v>
      </c>
      <c r="I490">
        <v>31</v>
      </c>
      <c r="J490" s="6"/>
      <c r="K490" s="122">
        <v>45547</v>
      </c>
      <c r="L490">
        <v>0.92627000000000004</v>
      </c>
    </row>
    <row r="491" spans="1:12" x14ac:dyDescent="0.35">
      <c r="A491" t="s">
        <v>34</v>
      </c>
      <c r="D491" t="s">
        <v>41</v>
      </c>
      <c r="F491">
        <v>2</v>
      </c>
      <c r="G491">
        <v>7</v>
      </c>
      <c r="H491">
        <v>4</v>
      </c>
      <c r="I491">
        <v>31</v>
      </c>
      <c r="J491" s="6"/>
      <c r="K491" s="122">
        <v>45553</v>
      </c>
      <c r="L491">
        <v>0.92754000000000003</v>
      </c>
    </row>
    <row r="492" spans="1:12" x14ac:dyDescent="0.35">
      <c r="A492" t="s">
        <v>34</v>
      </c>
      <c r="D492" t="s">
        <v>41</v>
      </c>
      <c r="F492">
        <v>2</v>
      </c>
      <c r="G492">
        <v>7</v>
      </c>
      <c r="H492">
        <v>4</v>
      </c>
      <c r="I492">
        <v>31</v>
      </c>
      <c r="J492" s="6"/>
      <c r="K492" s="122">
        <v>45936</v>
      </c>
      <c r="L492">
        <v>0.82874999999999999</v>
      </c>
    </row>
    <row r="493" spans="1:12" x14ac:dyDescent="0.35">
      <c r="A493" t="s">
        <v>34</v>
      </c>
      <c r="D493" t="s">
        <v>41</v>
      </c>
      <c r="F493">
        <v>2</v>
      </c>
      <c r="G493">
        <v>7</v>
      </c>
      <c r="H493">
        <v>4</v>
      </c>
      <c r="I493">
        <v>31</v>
      </c>
      <c r="J493" s="6"/>
      <c r="K493" s="122">
        <v>45944</v>
      </c>
      <c r="L493">
        <v>0.68122000000000005</v>
      </c>
    </row>
    <row r="494" spans="1:12" x14ac:dyDescent="0.35">
      <c r="A494" t="s">
        <v>34</v>
      </c>
      <c r="D494" t="s">
        <v>41</v>
      </c>
      <c r="F494">
        <v>2</v>
      </c>
      <c r="G494">
        <v>7</v>
      </c>
      <c r="H494">
        <v>4</v>
      </c>
      <c r="I494">
        <v>31</v>
      </c>
      <c r="J494" s="6"/>
      <c r="K494" s="122">
        <v>45590</v>
      </c>
      <c r="L494">
        <v>0.45612999999999998</v>
      </c>
    </row>
    <row r="495" spans="1:12" x14ac:dyDescent="0.35">
      <c r="A495" t="s">
        <v>34</v>
      </c>
      <c r="D495" t="s">
        <v>41</v>
      </c>
      <c r="F495">
        <v>2</v>
      </c>
      <c r="G495">
        <v>7</v>
      </c>
      <c r="H495">
        <v>4</v>
      </c>
      <c r="I495">
        <v>31</v>
      </c>
      <c r="J495" s="6"/>
      <c r="K495" s="122">
        <v>45596</v>
      </c>
      <c r="L495">
        <v>0.26485999999999998</v>
      </c>
    </row>
    <row r="496" spans="1:12" x14ac:dyDescent="0.35">
      <c r="A496" t="s">
        <v>34</v>
      </c>
      <c r="D496" t="s">
        <v>41</v>
      </c>
      <c r="F496">
        <v>2</v>
      </c>
      <c r="G496">
        <v>7</v>
      </c>
      <c r="H496">
        <v>4</v>
      </c>
      <c r="I496">
        <v>31</v>
      </c>
      <c r="J496" s="6"/>
      <c r="K496" s="122">
        <v>45968</v>
      </c>
      <c r="L496">
        <v>0.19333</v>
      </c>
    </row>
    <row r="497" spans="1:12" x14ac:dyDescent="0.35">
      <c r="A497" t="s">
        <v>34</v>
      </c>
      <c r="D497" t="s">
        <v>41</v>
      </c>
      <c r="F497">
        <v>2</v>
      </c>
      <c r="G497">
        <v>7</v>
      </c>
      <c r="H497">
        <v>4</v>
      </c>
      <c r="I497">
        <v>31</v>
      </c>
      <c r="J497" s="6"/>
      <c r="K497" s="122">
        <v>45975</v>
      </c>
      <c r="L497">
        <v>0.182</v>
      </c>
    </row>
    <row r="498" spans="1:12" x14ac:dyDescent="0.35">
      <c r="A498" t="s">
        <v>34</v>
      </c>
      <c r="D498" t="s">
        <v>37</v>
      </c>
      <c r="F498">
        <v>2</v>
      </c>
      <c r="G498">
        <v>8</v>
      </c>
      <c r="H498">
        <v>4</v>
      </c>
      <c r="I498">
        <v>32</v>
      </c>
      <c r="J498" s="6"/>
      <c r="K498" s="122">
        <v>45421</v>
      </c>
    </row>
    <row r="499" spans="1:12" x14ac:dyDescent="0.35">
      <c r="A499" t="s">
        <v>34</v>
      </c>
      <c r="D499" t="s">
        <v>37</v>
      </c>
      <c r="F499">
        <v>2</v>
      </c>
      <c r="G499">
        <v>8</v>
      </c>
      <c r="H499">
        <v>4</v>
      </c>
      <c r="I499">
        <v>32</v>
      </c>
      <c r="J499" s="6"/>
      <c r="K499" s="122">
        <v>45442</v>
      </c>
      <c r="L499">
        <v>0.12636</v>
      </c>
    </row>
    <row r="500" spans="1:12" x14ac:dyDescent="0.35">
      <c r="A500" t="s">
        <v>34</v>
      </c>
      <c r="D500" t="s">
        <v>37</v>
      </c>
      <c r="F500">
        <v>2</v>
      </c>
      <c r="G500">
        <v>8</v>
      </c>
      <c r="H500">
        <v>4</v>
      </c>
      <c r="I500">
        <v>32</v>
      </c>
      <c r="J500" s="6"/>
      <c r="K500" s="122">
        <v>45461</v>
      </c>
      <c r="L500">
        <v>0.28521999999999997</v>
      </c>
    </row>
    <row r="501" spans="1:12" x14ac:dyDescent="0.35">
      <c r="A501" t="s">
        <v>34</v>
      </c>
      <c r="D501" t="s">
        <v>37</v>
      </c>
      <c r="F501">
        <v>2</v>
      </c>
      <c r="G501">
        <v>8</v>
      </c>
      <c r="H501">
        <v>4</v>
      </c>
      <c r="I501">
        <v>32</v>
      </c>
      <c r="J501" s="6"/>
      <c r="K501" s="122">
        <v>45477</v>
      </c>
      <c r="L501">
        <v>0.35649999999999998</v>
      </c>
    </row>
    <row r="502" spans="1:12" x14ac:dyDescent="0.35">
      <c r="A502" t="s">
        <v>34</v>
      </c>
      <c r="D502" t="s">
        <v>37</v>
      </c>
      <c r="F502">
        <v>2</v>
      </c>
      <c r="G502">
        <v>8</v>
      </c>
      <c r="H502">
        <v>4</v>
      </c>
      <c r="I502">
        <v>32</v>
      </c>
      <c r="J502" s="6"/>
      <c r="K502" s="122">
        <v>45510</v>
      </c>
      <c r="L502">
        <v>0.79754999999999998</v>
      </c>
    </row>
    <row r="503" spans="1:12" x14ac:dyDescent="0.35">
      <c r="A503" t="s">
        <v>34</v>
      </c>
      <c r="D503" t="s">
        <v>37</v>
      </c>
      <c r="F503">
        <v>2</v>
      </c>
      <c r="G503">
        <v>8</v>
      </c>
      <c r="H503">
        <v>4</v>
      </c>
      <c r="I503">
        <v>32</v>
      </c>
      <c r="J503" s="6"/>
      <c r="K503" s="122">
        <v>45519</v>
      </c>
      <c r="L503">
        <v>0.85619999999999996</v>
      </c>
    </row>
    <row r="504" spans="1:12" x14ac:dyDescent="0.35">
      <c r="A504" t="s">
        <v>34</v>
      </c>
      <c r="D504" t="s">
        <v>37</v>
      </c>
      <c r="F504">
        <v>2</v>
      </c>
      <c r="G504">
        <v>8</v>
      </c>
      <c r="H504">
        <v>4</v>
      </c>
      <c r="I504">
        <v>32</v>
      </c>
      <c r="J504" s="6"/>
      <c r="K504" s="122">
        <v>45530</v>
      </c>
      <c r="L504">
        <v>0.89181999999999995</v>
      </c>
    </row>
    <row r="505" spans="1:12" x14ac:dyDescent="0.35">
      <c r="A505" t="s">
        <v>34</v>
      </c>
      <c r="D505" t="s">
        <v>37</v>
      </c>
      <c r="F505">
        <v>2</v>
      </c>
      <c r="G505">
        <v>8</v>
      </c>
      <c r="H505">
        <v>4</v>
      </c>
      <c r="I505">
        <v>32</v>
      </c>
      <c r="J505" s="6"/>
      <c r="K505" s="122">
        <v>45538</v>
      </c>
      <c r="L505">
        <v>0.89017000000000002</v>
      </c>
    </row>
    <row r="506" spans="1:12" x14ac:dyDescent="0.35">
      <c r="A506" t="s">
        <v>34</v>
      </c>
      <c r="D506" t="s">
        <v>37</v>
      </c>
      <c r="F506">
        <v>2</v>
      </c>
      <c r="G506">
        <v>8</v>
      </c>
      <c r="H506">
        <v>4</v>
      </c>
      <c r="I506">
        <v>32</v>
      </c>
      <c r="J506" s="6"/>
      <c r="K506" s="122">
        <v>45547</v>
      </c>
      <c r="L506">
        <v>0.93542000000000003</v>
      </c>
    </row>
    <row r="507" spans="1:12" x14ac:dyDescent="0.35">
      <c r="A507" t="s">
        <v>34</v>
      </c>
      <c r="D507" t="s">
        <v>37</v>
      </c>
      <c r="F507">
        <v>2</v>
      </c>
      <c r="G507">
        <v>8</v>
      </c>
      <c r="H507">
        <v>4</v>
      </c>
      <c r="I507">
        <v>32</v>
      </c>
      <c r="J507" s="6"/>
      <c r="K507" s="122">
        <v>45553</v>
      </c>
      <c r="L507">
        <v>0.94986999999999999</v>
      </c>
    </row>
    <row r="508" spans="1:12" x14ac:dyDescent="0.35">
      <c r="A508" t="s">
        <v>34</v>
      </c>
      <c r="D508" t="s">
        <v>37</v>
      </c>
      <c r="F508">
        <v>2</v>
      </c>
      <c r="G508">
        <v>8</v>
      </c>
      <c r="H508">
        <v>4</v>
      </c>
      <c r="I508">
        <v>32</v>
      </c>
      <c r="J508" s="6"/>
      <c r="K508" s="122">
        <v>45936</v>
      </c>
      <c r="L508">
        <v>0.88266999999999995</v>
      </c>
    </row>
    <row r="509" spans="1:12" x14ac:dyDescent="0.35">
      <c r="A509" t="s">
        <v>34</v>
      </c>
      <c r="D509" t="s">
        <v>37</v>
      </c>
      <c r="F509">
        <v>2</v>
      </c>
      <c r="G509">
        <v>8</v>
      </c>
      <c r="H509">
        <v>4</v>
      </c>
      <c r="I509">
        <v>32</v>
      </c>
      <c r="J509" s="6"/>
      <c r="K509" s="122">
        <v>45944</v>
      </c>
      <c r="L509">
        <v>0.75366999999999995</v>
      </c>
    </row>
    <row r="510" spans="1:12" x14ac:dyDescent="0.35">
      <c r="A510" t="s">
        <v>34</v>
      </c>
      <c r="D510" t="s">
        <v>37</v>
      </c>
      <c r="F510">
        <v>2</v>
      </c>
      <c r="G510">
        <v>8</v>
      </c>
      <c r="H510">
        <v>4</v>
      </c>
      <c r="I510">
        <v>32</v>
      </c>
      <c r="J510" s="6"/>
      <c r="K510" s="122">
        <v>45590</v>
      </c>
      <c r="L510">
        <v>0.52466999999999997</v>
      </c>
    </row>
    <row r="511" spans="1:12" x14ac:dyDescent="0.35">
      <c r="A511" t="s">
        <v>34</v>
      </c>
      <c r="D511" t="s">
        <v>37</v>
      </c>
      <c r="F511">
        <v>2</v>
      </c>
      <c r="G511">
        <v>8</v>
      </c>
      <c r="H511">
        <v>4</v>
      </c>
      <c r="I511">
        <v>32</v>
      </c>
      <c r="J511" s="6"/>
      <c r="K511" s="122">
        <v>45596</v>
      </c>
      <c r="L511">
        <v>0.3105</v>
      </c>
    </row>
    <row r="512" spans="1:12" x14ac:dyDescent="0.35">
      <c r="A512" t="s">
        <v>34</v>
      </c>
      <c r="D512" t="s">
        <v>37</v>
      </c>
      <c r="F512">
        <v>2</v>
      </c>
      <c r="G512">
        <v>8</v>
      </c>
      <c r="H512">
        <v>4</v>
      </c>
      <c r="I512">
        <v>32</v>
      </c>
      <c r="J512" s="6"/>
      <c r="K512" s="122">
        <v>45968</v>
      </c>
      <c r="L512">
        <v>0.20813000000000001</v>
      </c>
    </row>
    <row r="513" spans="1:12" x14ac:dyDescent="0.35">
      <c r="A513" t="s">
        <v>34</v>
      </c>
      <c r="D513" t="s">
        <v>37</v>
      </c>
      <c r="F513">
        <v>2</v>
      </c>
      <c r="G513">
        <v>8</v>
      </c>
      <c r="H513">
        <v>4</v>
      </c>
      <c r="I513">
        <v>32</v>
      </c>
      <c r="J513" s="6"/>
      <c r="K513" s="122">
        <v>45975</v>
      </c>
      <c r="L513">
        <v>0.17713999999999999</v>
      </c>
    </row>
    <row r="514" spans="1:12" x14ac:dyDescent="0.35">
      <c r="A514" t="s">
        <v>24</v>
      </c>
      <c r="D514" t="s">
        <v>336</v>
      </c>
      <c r="F514">
        <v>3</v>
      </c>
      <c r="G514">
        <v>1</v>
      </c>
      <c r="H514">
        <v>5</v>
      </c>
      <c r="I514">
        <v>33</v>
      </c>
      <c r="J514" s="6"/>
      <c r="K514" s="122">
        <v>45421</v>
      </c>
      <c r="L514">
        <v>0.14399999999999999</v>
      </c>
    </row>
    <row r="515" spans="1:12" x14ac:dyDescent="0.35">
      <c r="A515" t="s">
        <v>24</v>
      </c>
      <c r="D515" t="s">
        <v>336</v>
      </c>
      <c r="F515">
        <v>3</v>
      </c>
      <c r="G515">
        <v>1</v>
      </c>
      <c r="H515">
        <v>5</v>
      </c>
      <c r="I515">
        <v>33</v>
      </c>
      <c r="J515" s="6"/>
      <c r="K515" s="122">
        <v>45442</v>
      </c>
      <c r="L515">
        <v>0.57330999999999999</v>
      </c>
    </row>
    <row r="516" spans="1:12" x14ac:dyDescent="0.35">
      <c r="A516" t="s">
        <v>24</v>
      </c>
      <c r="D516" t="s">
        <v>336</v>
      </c>
      <c r="F516">
        <v>3</v>
      </c>
      <c r="G516">
        <v>1</v>
      </c>
      <c r="H516">
        <v>5</v>
      </c>
      <c r="I516">
        <v>33</v>
      </c>
      <c r="J516" s="6"/>
      <c r="K516" s="122">
        <v>45461</v>
      </c>
      <c r="L516">
        <v>0.86199999999999999</v>
      </c>
    </row>
    <row r="517" spans="1:12" x14ac:dyDescent="0.35">
      <c r="A517" t="s">
        <v>24</v>
      </c>
      <c r="D517" t="s">
        <v>336</v>
      </c>
      <c r="F517">
        <v>3</v>
      </c>
      <c r="G517">
        <v>1</v>
      </c>
      <c r="H517">
        <v>5</v>
      </c>
      <c r="I517">
        <v>33</v>
      </c>
      <c r="J517" s="6"/>
      <c r="K517" s="122">
        <v>45477</v>
      </c>
      <c r="L517">
        <v>0.88463000000000003</v>
      </c>
    </row>
    <row r="518" spans="1:12" x14ac:dyDescent="0.35">
      <c r="A518" t="s">
        <v>24</v>
      </c>
      <c r="D518" t="s">
        <v>336</v>
      </c>
      <c r="F518">
        <v>3</v>
      </c>
      <c r="G518">
        <v>1</v>
      </c>
      <c r="H518">
        <v>5</v>
      </c>
      <c r="I518">
        <v>33</v>
      </c>
      <c r="J518" s="6"/>
      <c r="K518" s="122">
        <v>45510</v>
      </c>
      <c r="L518">
        <v>0.86677999999999999</v>
      </c>
    </row>
    <row r="519" spans="1:12" x14ac:dyDescent="0.35">
      <c r="A519" t="s">
        <v>24</v>
      </c>
      <c r="D519" t="s">
        <v>336</v>
      </c>
      <c r="F519">
        <v>3</v>
      </c>
      <c r="G519">
        <v>1</v>
      </c>
      <c r="H519">
        <v>5</v>
      </c>
      <c r="I519">
        <v>33</v>
      </c>
      <c r="J519" s="6"/>
      <c r="K519" s="122">
        <v>45519</v>
      </c>
      <c r="L519">
        <v>0.83453999999999995</v>
      </c>
    </row>
    <row r="520" spans="1:12" x14ac:dyDescent="0.35">
      <c r="A520" t="s">
        <v>24</v>
      </c>
      <c r="D520" t="s">
        <v>336</v>
      </c>
      <c r="F520">
        <v>3</v>
      </c>
      <c r="G520">
        <v>1</v>
      </c>
      <c r="H520">
        <v>5</v>
      </c>
      <c r="I520">
        <v>33</v>
      </c>
      <c r="J520" s="6"/>
      <c r="K520" s="122">
        <v>45530</v>
      </c>
      <c r="L520">
        <v>0.90475000000000005</v>
      </c>
    </row>
    <row r="521" spans="1:12" x14ac:dyDescent="0.35">
      <c r="A521" t="s">
        <v>24</v>
      </c>
      <c r="D521" t="s">
        <v>336</v>
      </c>
      <c r="F521">
        <v>3</v>
      </c>
      <c r="G521">
        <v>1</v>
      </c>
      <c r="H521">
        <v>5</v>
      </c>
      <c r="I521">
        <v>33</v>
      </c>
      <c r="J521" s="6"/>
      <c r="K521" s="122">
        <v>45538</v>
      </c>
      <c r="L521">
        <v>0.91778000000000004</v>
      </c>
    </row>
    <row r="522" spans="1:12" x14ac:dyDescent="0.35">
      <c r="A522" t="s">
        <v>24</v>
      </c>
      <c r="D522" t="s">
        <v>336</v>
      </c>
      <c r="F522">
        <v>3</v>
      </c>
      <c r="G522">
        <v>1</v>
      </c>
      <c r="H522">
        <v>5</v>
      </c>
      <c r="I522">
        <v>33</v>
      </c>
      <c r="J522" s="6"/>
      <c r="K522" s="122">
        <v>45547</v>
      </c>
      <c r="L522">
        <v>0.96499999999999997</v>
      </c>
    </row>
    <row r="523" spans="1:12" x14ac:dyDescent="0.35">
      <c r="A523" t="s">
        <v>24</v>
      </c>
      <c r="D523" t="s">
        <v>336</v>
      </c>
      <c r="F523">
        <v>3</v>
      </c>
      <c r="G523">
        <v>1</v>
      </c>
      <c r="H523">
        <v>5</v>
      </c>
      <c r="I523">
        <v>33</v>
      </c>
      <c r="J523" s="6"/>
      <c r="K523" s="122">
        <v>45553</v>
      </c>
      <c r="L523">
        <v>0.95045000000000002</v>
      </c>
    </row>
    <row r="524" spans="1:12" x14ac:dyDescent="0.35">
      <c r="A524" t="s">
        <v>24</v>
      </c>
      <c r="D524" t="s">
        <v>336</v>
      </c>
      <c r="F524">
        <v>3</v>
      </c>
      <c r="G524">
        <v>1</v>
      </c>
      <c r="H524">
        <v>5</v>
      </c>
      <c r="I524">
        <v>33</v>
      </c>
      <c r="J524" s="6"/>
      <c r="K524" s="122">
        <v>45936</v>
      </c>
      <c r="L524">
        <v>0.89080000000000004</v>
      </c>
    </row>
    <row r="525" spans="1:12" x14ac:dyDescent="0.35">
      <c r="A525" t="s">
        <v>24</v>
      </c>
      <c r="D525" t="s">
        <v>336</v>
      </c>
      <c r="F525">
        <v>3</v>
      </c>
      <c r="G525">
        <v>1</v>
      </c>
      <c r="H525">
        <v>5</v>
      </c>
      <c r="I525">
        <v>33</v>
      </c>
      <c r="J525" s="6"/>
      <c r="K525" s="122">
        <v>45944</v>
      </c>
      <c r="L525">
        <v>0.75256999999999996</v>
      </c>
    </row>
    <row r="526" spans="1:12" x14ac:dyDescent="0.35">
      <c r="A526" t="s">
        <v>24</v>
      </c>
      <c r="D526" t="s">
        <v>336</v>
      </c>
      <c r="F526">
        <v>3</v>
      </c>
      <c r="G526">
        <v>1</v>
      </c>
      <c r="H526">
        <v>5</v>
      </c>
      <c r="I526">
        <v>33</v>
      </c>
      <c r="J526" s="6"/>
      <c r="K526" s="122">
        <v>45590</v>
      </c>
      <c r="L526">
        <v>0.58113000000000004</v>
      </c>
    </row>
    <row r="527" spans="1:12" x14ac:dyDescent="0.35">
      <c r="A527" t="s">
        <v>24</v>
      </c>
      <c r="D527" t="s">
        <v>336</v>
      </c>
      <c r="F527">
        <v>3</v>
      </c>
      <c r="G527">
        <v>1</v>
      </c>
      <c r="H527">
        <v>5</v>
      </c>
      <c r="I527">
        <v>33</v>
      </c>
      <c r="J527" s="6"/>
      <c r="K527" s="122">
        <v>45596</v>
      </c>
      <c r="L527">
        <v>0.36363000000000001</v>
      </c>
    </row>
    <row r="528" spans="1:12" x14ac:dyDescent="0.35">
      <c r="A528" t="s">
        <v>24</v>
      </c>
      <c r="D528" t="s">
        <v>336</v>
      </c>
      <c r="F528">
        <v>3</v>
      </c>
      <c r="G528">
        <v>1</v>
      </c>
      <c r="H528">
        <v>5</v>
      </c>
      <c r="I528">
        <v>33</v>
      </c>
      <c r="J528" s="6"/>
      <c r="K528" s="122">
        <v>45968</v>
      </c>
      <c r="L528">
        <v>0.24117</v>
      </c>
    </row>
    <row r="529" spans="1:12" x14ac:dyDescent="0.35">
      <c r="A529" t="s">
        <v>24</v>
      </c>
      <c r="D529" t="s">
        <v>336</v>
      </c>
      <c r="F529">
        <v>3</v>
      </c>
      <c r="G529">
        <v>1</v>
      </c>
      <c r="H529">
        <v>5</v>
      </c>
      <c r="I529">
        <v>33</v>
      </c>
      <c r="J529" s="6"/>
      <c r="K529" s="122">
        <v>45975</v>
      </c>
      <c r="L529">
        <v>0.218</v>
      </c>
    </row>
    <row r="530" spans="1:12" x14ac:dyDescent="0.35">
      <c r="A530" t="s">
        <v>24</v>
      </c>
      <c r="D530" t="s">
        <v>337</v>
      </c>
      <c r="F530">
        <v>3</v>
      </c>
      <c r="G530">
        <v>2</v>
      </c>
      <c r="H530">
        <v>5</v>
      </c>
      <c r="I530">
        <v>34</v>
      </c>
      <c r="J530" s="6"/>
      <c r="K530" s="122">
        <v>45421</v>
      </c>
      <c r="L530">
        <v>0.13811000000000001</v>
      </c>
    </row>
    <row r="531" spans="1:12" x14ac:dyDescent="0.35">
      <c r="A531" t="s">
        <v>24</v>
      </c>
      <c r="D531" t="s">
        <v>337</v>
      </c>
      <c r="F531">
        <v>3</v>
      </c>
      <c r="G531">
        <v>2</v>
      </c>
      <c r="H531">
        <v>5</v>
      </c>
      <c r="I531">
        <v>34</v>
      </c>
      <c r="J531" s="6"/>
      <c r="K531" s="122">
        <v>45442</v>
      </c>
      <c r="L531">
        <v>0.50083</v>
      </c>
    </row>
    <row r="532" spans="1:12" x14ac:dyDescent="0.35">
      <c r="A532" t="s">
        <v>24</v>
      </c>
      <c r="D532" t="s">
        <v>337</v>
      </c>
      <c r="F532">
        <v>3</v>
      </c>
      <c r="G532">
        <v>2</v>
      </c>
      <c r="H532">
        <v>5</v>
      </c>
      <c r="I532">
        <v>34</v>
      </c>
      <c r="J532" s="6"/>
      <c r="K532" s="122">
        <v>45461</v>
      </c>
      <c r="L532">
        <v>0.86336000000000002</v>
      </c>
    </row>
    <row r="533" spans="1:12" x14ac:dyDescent="0.35">
      <c r="A533" t="s">
        <v>24</v>
      </c>
      <c r="D533" t="s">
        <v>337</v>
      </c>
      <c r="F533">
        <v>3</v>
      </c>
      <c r="G533">
        <v>2</v>
      </c>
      <c r="H533">
        <v>5</v>
      </c>
      <c r="I533">
        <v>34</v>
      </c>
      <c r="J533" s="6"/>
      <c r="K533" s="122">
        <v>45477</v>
      </c>
      <c r="L533">
        <v>0.88400000000000001</v>
      </c>
    </row>
    <row r="534" spans="1:12" x14ac:dyDescent="0.35">
      <c r="A534" t="s">
        <v>24</v>
      </c>
      <c r="D534" t="s">
        <v>337</v>
      </c>
      <c r="F534">
        <v>3</v>
      </c>
      <c r="G534">
        <v>2</v>
      </c>
      <c r="H534">
        <v>5</v>
      </c>
      <c r="I534">
        <v>34</v>
      </c>
      <c r="J534" s="6"/>
      <c r="K534" s="122">
        <v>45510</v>
      </c>
      <c r="L534">
        <v>0.86773</v>
      </c>
    </row>
    <row r="535" spans="1:12" x14ac:dyDescent="0.35">
      <c r="A535" t="s">
        <v>24</v>
      </c>
      <c r="D535" t="s">
        <v>337</v>
      </c>
      <c r="F535">
        <v>3</v>
      </c>
      <c r="G535">
        <v>2</v>
      </c>
      <c r="H535">
        <v>5</v>
      </c>
      <c r="I535">
        <v>34</v>
      </c>
      <c r="J535" s="6"/>
      <c r="K535" s="122">
        <v>45519</v>
      </c>
      <c r="L535">
        <v>0.83630000000000004</v>
      </c>
    </row>
    <row r="536" spans="1:12" x14ac:dyDescent="0.35">
      <c r="A536" t="s">
        <v>24</v>
      </c>
      <c r="D536" t="s">
        <v>337</v>
      </c>
      <c r="F536">
        <v>3</v>
      </c>
      <c r="G536">
        <v>2</v>
      </c>
      <c r="H536">
        <v>5</v>
      </c>
      <c r="I536">
        <v>34</v>
      </c>
      <c r="J536" s="6"/>
      <c r="K536" s="122">
        <v>45530</v>
      </c>
      <c r="L536">
        <v>0.89629999999999999</v>
      </c>
    </row>
    <row r="537" spans="1:12" x14ac:dyDescent="0.35">
      <c r="A537" t="s">
        <v>24</v>
      </c>
      <c r="D537" t="s">
        <v>337</v>
      </c>
      <c r="F537">
        <v>3</v>
      </c>
      <c r="G537">
        <v>2</v>
      </c>
      <c r="H537">
        <v>5</v>
      </c>
      <c r="I537">
        <v>34</v>
      </c>
      <c r="J537" s="6"/>
      <c r="K537" s="122">
        <v>45538</v>
      </c>
      <c r="L537">
        <v>0.93825000000000003</v>
      </c>
    </row>
    <row r="538" spans="1:12" x14ac:dyDescent="0.35">
      <c r="A538" t="s">
        <v>24</v>
      </c>
      <c r="B538" s="71"/>
      <c r="C538" s="72"/>
      <c r="D538" t="s">
        <v>337</v>
      </c>
      <c r="E538" s="71"/>
      <c r="F538">
        <v>3</v>
      </c>
      <c r="G538">
        <v>2</v>
      </c>
      <c r="H538">
        <v>5</v>
      </c>
      <c r="I538">
        <v>34</v>
      </c>
      <c r="J538" s="6"/>
      <c r="K538" s="122">
        <v>45547</v>
      </c>
      <c r="L538">
        <v>0.96330000000000005</v>
      </c>
    </row>
    <row r="539" spans="1:12" x14ac:dyDescent="0.35">
      <c r="A539" t="s">
        <v>24</v>
      </c>
      <c r="D539" t="s">
        <v>337</v>
      </c>
      <c r="F539">
        <v>3</v>
      </c>
      <c r="G539">
        <v>2</v>
      </c>
      <c r="H539">
        <v>5</v>
      </c>
      <c r="I539">
        <v>34</v>
      </c>
      <c r="J539" s="6"/>
      <c r="K539" s="122">
        <v>45553</v>
      </c>
      <c r="L539">
        <v>0.95199999999999996</v>
      </c>
    </row>
    <row r="540" spans="1:12" x14ac:dyDescent="0.35">
      <c r="A540" t="s">
        <v>24</v>
      </c>
      <c r="D540" t="s">
        <v>337</v>
      </c>
      <c r="F540">
        <v>3</v>
      </c>
      <c r="G540">
        <v>2</v>
      </c>
      <c r="H540">
        <v>5</v>
      </c>
      <c r="I540">
        <v>34</v>
      </c>
      <c r="J540" s="6"/>
      <c r="K540" s="122">
        <v>45936</v>
      </c>
      <c r="L540">
        <v>0.87833000000000006</v>
      </c>
    </row>
    <row r="541" spans="1:12" x14ac:dyDescent="0.35">
      <c r="A541" t="s">
        <v>24</v>
      </c>
      <c r="D541" t="s">
        <v>337</v>
      </c>
      <c r="F541">
        <v>3</v>
      </c>
      <c r="G541">
        <v>2</v>
      </c>
      <c r="H541">
        <v>5</v>
      </c>
      <c r="I541">
        <v>34</v>
      </c>
      <c r="J541" s="6"/>
      <c r="K541" s="122">
        <v>45944</v>
      </c>
      <c r="L541">
        <v>0.76812999999999998</v>
      </c>
    </row>
    <row r="542" spans="1:12" x14ac:dyDescent="0.35">
      <c r="A542" t="s">
        <v>24</v>
      </c>
      <c r="D542" t="s">
        <v>337</v>
      </c>
      <c r="F542">
        <v>3</v>
      </c>
      <c r="G542">
        <v>2</v>
      </c>
      <c r="H542">
        <v>5</v>
      </c>
      <c r="I542">
        <v>34</v>
      </c>
      <c r="J542" s="6"/>
      <c r="K542" s="122">
        <v>45590</v>
      </c>
      <c r="L542">
        <v>0.65986</v>
      </c>
    </row>
    <row r="543" spans="1:12" x14ac:dyDescent="0.35">
      <c r="A543" t="s">
        <v>24</v>
      </c>
      <c r="D543" t="s">
        <v>337</v>
      </c>
      <c r="F543">
        <v>3</v>
      </c>
      <c r="G543">
        <v>2</v>
      </c>
      <c r="H543">
        <v>5</v>
      </c>
      <c r="I543">
        <v>34</v>
      </c>
      <c r="J543" s="6"/>
      <c r="K543" s="122">
        <v>45596</v>
      </c>
      <c r="L543">
        <v>0.47171000000000002</v>
      </c>
    </row>
    <row r="544" spans="1:12" x14ac:dyDescent="0.35">
      <c r="A544" t="s">
        <v>24</v>
      </c>
      <c r="D544" t="s">
        <v>337</v>
      </c>
      <c r="F544">
        <v>3</v>
      </c>
      <c r="G544">
        <v>2</v>
      </c>
      <c r="H544">
        <v>5</v>
      </c>
      <c r="I544">
        <v>34</v>
      </c>
      <c r="J544" s="6"/>
      <c r="K544" s="122">
        <v>45968</v>
      </c>
      <c r="L544">
        <v>0.25750000000000001</v>
      </c>
    </row>
    <row r="545" spans="1:12" x14ac:dyDescent="0.35">
      <c r="A545" t="s">
        <v>24</v>
      </c>
      <c r="D545" t="s">
        <v>337</v>
      </c>
      <c r="F545">
        <v>3</v>
      </c>
      <c r="G545">
        <v>2</v>
      </c>
      <c r="H545">
        <v>5</v>
      </c>
      <c r="I545">
        <v>34</v>
      </c>
      <c r="J545" s="6"/>
      <c r="K545" s="122">
        <v>45975</v>
      </c>
      <c r="L545">
        <v>0.2122</v>
      </c>
    </row>
    <row r="546" spans="1:12" x14ac:dyDescent="0.35">
      <c r="A546" t="s">
        <v>24</v>
      </c>
      <c r="D546" t="s">
        <v>32</v>
      </c>
      <c r="F546">
        <v>3</v>
      </c>
      <c r="G546">
        <v>3</v>
      </c>
      <c r="H546">
        <v>5</v>
      </c>
      <c r="I546">
        <v>35</v>
      </c>
      <c r="J546" s="6"/>
      <c r="K546" s="122">
        <v>45421</v>
      </c>
      <c r="L546">
        <v>0.14027000000000001</v>
      </c>
    </row>
    <row r="547" spans="1:12" x14ac:dyDescent="0.35">
      <c r="A547" t="s">
        <v>24</v>
      </c>
      <c r="D547" t="s">
        <v>32</v>
      </c>
      <c r="F547">
        <v>3</v>
      </c>
      <c r="G547">
        <v>3</v>
      </c>
      <c r="H547">
        <v>5</v>
      </c>
      <c r="I547">
        <v>35</v>
      </c>
      <c r="J547" s="6"/>
      <c r="K547" s="122">
        <v>45442</v>
      </c>
      <c r="L547">
        <v>0.52629999999999999</v>
      </c>
    </row>
    <row r="548" spans="1:12" x14ac:dyDescent="0.35">
      <c r="A548" t="s">
        <v>24</v>
      </c>
      <c r="D548" t="s">
        <v>32</v>
      </c>
      <c r="F548">
        <v>3</v>
      </c>
      <c r="G548">
        <v>3</v>
      </c>
      <c r="H548">
        <v>5</v>
      </c>
      <c r="I548">
        <v>35</v>
      </c>
      <c r="J548" s="6"/>
      <c r="K548" s="122">
        <v>45461</v>
      </c>
      <c r="L548">
        <v>0.86809000000000003</v>
      </c>
    </row>
    <row r="549" spans="1:12" x14ac:dyDescent="0.35">
      <c r="A549" t="s">
        <v>24</v>
      </c>
      <c r="D549" t="s">
        <v>32</v>
      </c>
      <c r="F549">
        <v>3</v>
      </c>
      <c r="G549">
        <v>3</v>
      </c>
      <c r="H549">
        <v>5</v>
      </c>
      <c r="I549">
        <v>35</v>
      </c>
      <c r="J549" s="6"/>
      <c r="K549" s="122">
        <v>45477</v>
      </c>
      <c r="L549">
        <v>0.87929999999999997</v>
      </c>
    </row>
    <row r="550" spans="1:12" x14ac:dyDescent="0.35">
      <c r="A550" t="s">
        <v>24</v>
      </c>
      <c r="D550" t="s">
        <v>32</v>
      </c>
      <c r="F550">
        <v>3</v>
      </c>
      <c r="G550">
        <v>3</v>
      </c>
      <c r="H550">
        <v>5</v>
      </c>
      <c r="I550">
        <v>35</v>
      </c>
      <c r="J550" s="6"/>
      <c r="K550" s="122">
        <v>45510</v>
      </c>
      <c r="L550">
        <v>0.88473000000000002</v>
      </c>
    </row>
    <row r="551" spans="1:12" x14ac:dyDescent="0.35">
      <c r="A551" t="s">
        <v>24</v>
      </c>
      <c r="D551" t="s">
        <v>32</v>
      </c>
      <c r="F551">
        <v>3</v>
      </c>
      <c r="G551">
        <v>3</v>
      </c>
      <c r="H551">
        <v>5</v>
      </c>
      <c r="I551">
        <v>35</v>
      </c>
      <c r="J551" s="6"/>
      <c r="K551" s="122">
        <v>45519</v>
      </c>
      <c r="L551">
        <v>0.878</v>
      </c>
    </row>
    <row r="552" spans="1:12" x14ac:dyDescent="0.35">
      <c r="A552" t="s">
        <v>24</v>
      </c>
      <c r="D552" t="s">
        <v>32</v>
      </c>
      <c r="F552">
        <v>3</v>
      </c>
      <c r="G552">
        <v>3</v>
      </c>
      <c r="H552">
        <v>5</v>
      </c>
      <c r="I552">
        <v>35</v>
      </c>
      <c r="J552" s="6"/>
      <c r="K552" s="122">
        <v>45530</v>
      </c>
      <c r="L552">
        <v>0.94323000000000001</v>
      </c>
    </row>
    <row r="553" spans="1:12" x14ac:dyDescent="0.35">
      <c r="A553" t="s">
        <v>24</v>
      </c>
      <c r="D553" t="s">
        <v>32</v>
      </c>
      <c r="F553">
        <v>3</v>
      </c>
      <c r="G553">
        <v>3</v>
      </c>
      <c r="H553">
        <v>5</v>
      </c>
      <c r="I553">
        <v>35</v>
      </c>
      <c r="J553" s="6"/>
      <c r="K553" s="122">
        <v>45538</v>
      </c>
      <c r="L553">
        <v>0.95116999999999996</v>
      </c>
    </row>
    <row r="554" spans="1:12" x14ac:dyDescent="0.35">
      <c r="A554" t="s">
        <v>24</v>
      </c>
      <c r="D554" t="s">
        <v>32</v>
      </c>
      <c r="F554">
        <v>3</v>
      </c>
      <c r="G554">
        <v>3</v>
      </c>
      <c r="H554">
        <v>5</v>
      </c>
      <c r="I554">
        <v>35</v>
      </c>
      <c r="J554" s="6"/>
      <c r="K554" s="122">
        <v>45547</v>
      </c>
      <c r="L554">
        <v>0.97187999999999997</v>
      </c>
    </row>
    <row r="555" spans="1:12" x14ac:dyDescent="0.35">
      <c r="A555" t="s">
        <v>24</v>
      </c>
      <c r="D555" t="s">
        <v>32</v>
      </c>
      <c r="F555">
        <v>3</v>
      </c>
      <c r="G555">
        <v>3</v>
      </c>
      <c r="H555">
        <v>5</v>
      </c>
      <c r="I555">
        <v>35</v>
      </c>
      <c r="J555" s="6"/>
      <c r="K555" s="122">
        <v>45553</v>
      </c>
      <c r="L555">
        <v>0.95935999999999999</v>
      </c>
    </row>
    <row r="556" spans="1:12" x14ac:dyDescent="0.35">
      <c r="A556" t="s">
        <v>24</v>
      </c>
      <c r="D556" t="s">
        <v>32</v>
      </c>
      <c r="F556">
        <v>3</v>
      </c>
      <c r="G556">
        <v>3</v>
      </c>
      <c r="H556">
        <v>5</v>
      </c>
      <c r="I556">
        <v>35</v>
      </c>
      <c r="J556" s="6"/>
      <c r="K556" s="122">
        <v>45936</v>
      </c>
      <c r="L556">
        <v>0.90469999999999995</v>
      </c>
    </row>
    <row r="557" spans="1:12" x14ac:dyDescent="0.35">
      <c r="A557" t="s">
        <v>24</v>
      </c>
      <c r="D557" t="s">
        <v>32</v>
      </c>
      <c r="F557">
        <v>3</v>
      </c>
      <c r="G557">
        <v>3</v>
      </c>
      <c r="H557">
        <v>5</v>
      </c>
      <c r="I557">
        <v>35</v>
      </c>
      <c r="J557" s="6"/>
      <c r="K557" s="122">
        <v>45944</v>
      </c>
      <c r="L557">
        <v>0.86775000000000002</v>
      </c>
    </row>
    <row r="558" spans="1:12" x14ac:dyDescent="0.35">
      <c r="A558" t="s">
        <v>24</v>
      </c>
      <c r="D558" t="s">
        <v>32</v>
      </c>
      <c r="F558">
        <v>3</v>
      </c>
      <c r="G558">
        <v>3</v>
      </c>
      <c r="H558">
        <v>5</v>
      </c>
      <c r="I558">
        <v>35</v>
      </c>
      <c r="J558" s="6"/>
      <c r="K558" s="122">
        <v>45590</v>
      </c>
      <c r="L558">
        <v>0.78386</v>
      </c>
    </row>
    <row r="559" spans="1:12" x14ac:dyDescent="0.35">
      <c r="A559" t="s">
        <v>24</v>
      </c>
      <c r="D559" t="s">
        <v>32</v>
      </c>
      <c r="F559">
        <v>3</v>
      </c>
      <c r="G559">
        <v>3</v>
      </c>
      <c r="H559">
        <v>5</v>
      </c>
      <c r="I559">
        <v>35</v>
      </c>
      <c r="J559" s="6"/>
      <c r="K559" s="122">
        <v>45596</v>
      </c>
      <c r="L559">
        <v>0.59989000000000003</v>
      </c>
    </row>
    <row r="560" spans="1:12" x14ac:dyDescent="0.35">
      <c r="A560" t="s">
        <v>24</v>
      </c>
      <c r="D560" t="s">
        <v>32</v>
      </c>
      <c r="F560">
        <v>3</v>
      </c>
      <c r="G560">
        <v>3</v>
      </c>
      <c r="H560">
        <v>5</v>
      </c>
      <c r="I560">
        <v>35</v>
      </c>
      <c r="J560" s="6"/>
      <c r="K560" s="122">
        <v>45968</v>
      </c>
      <c r="L560">
        <v>0.32413999999999998</v>
      </c>
    </row>
    <row r="561" spans="1:12" x14ac:dyDescent="0.35">
      <c r="A561" t="s">
        <v>24</v>
      </c>
      <c r="D561" t="s">
        <v>32</v>
      </c>
      <c r="F561">
        <v>3</v>
      </c>
      <c r="G561">
        <v>3</v>
      </c>
      <c r="H561">
        <v>5</v>
      </c>
      <c r="I561">
        <v>35</v>
      </c>
      <c r="J561" s="6"/>
      <c r="K561" s="122">
        <v>45975</v>
      </c>
      <c r="L561">
        <v>0.24160000000000001</v>
      </c>
    </row>
    <row r="562" spans="1:12" x14ac:dyDescent="0.35">
      <c r="A562" t="s">
        <v>24</v>
      </c>
      <c r="D562" t="s">
        <v>28</v>
      </c>
      <c r="F562">
        <v>3</v>
      </c>
      <c r="G562">
        <v>4</v>
      </c>
      <c r="H562">
        <v>5</v>
      </c>
      <c r="I562">
        <v>36</v>
      </c>
      <c r="J562" s="6"/>
      <c r="K562" s="122">
        <v>45421</v>
      </c>
      <c r="L562">
        <v>0.12622</v>
      </c>
    </row>
    <row r="563" spans="1:12" x14ac:dyDescent="0.35">
      <c r="A563" t="s">
        <v>24</v>
      </c>
      <c r="D563" t="s">
        <v>28</v>
      </c>
      <c r="F563">
        <v>3</v>
      </c>
      <c r="G563">
        <v>4</v>
      </c>
      <c r="H563">
        <v>5</v>
      </c>
      <c r="I563">
        <v>36</v>
      </c>
      <c r="J563" s="6"/>
      <c r="K563" s="122">
        <v>45442</v>
      </c>
      <c r="L563">
        <v>0.44255</v>
      </c>
    </row>
    <row r="564" spans="1:12" x14ac:dyDescent="0.35">
      <c r="A564" t="s">
        <v>24</v>
      </c>
      <c r="D564" t="s">
        <v>28</v>
      </c>
      <c r="F564">
        <v>3</v>
      </c>
      <c r="G564">
        <v>4</v>
      </c>
      <c r="H564">
        <v>5</v>
      </c>
      <c r="I564">
        <v>36</v>
      </c>
      <c r="J564" s="6"/>
      <c r="K564" s="122">
        <v>45461</v>
      </c>
      <c r="L564">
        <v>0.83257999999999999</v>
      </c>
    </row>
    <row r="565" spans="1:12" x14ac:dyDescent="0.35">
      <c r="A565" t="s">
        <v>24</v>
      </c>
      <c r="D565" t="s">
        <v>28</v>
      </c>
      <c r="F565">
        <v>3</v>
      </c>
      <c r="G565">
        <v>4</v>
      </c>
      <c r="H565">
        <v>5</v>
      </c>
      <c r="I565">
        <v>36</v>
      </c>
      <c r="J565" s="6"/>
      <c r="K565" s="122">
        <v>45477</v>
      </c>
      <c r="L565">
        <v>0.87129999999999996</v>
      </c>
    </row>
    <row r="566" spans="1:12" x14ac:dyDescent="0.35">
      <c r="A566" t="s">
        <v>24</v>
      </c>
      <c r="D566" t="s">
        <v>28</v>
      </c>
      <c r="F566">
        <v>3</v>
      </c>
      <c r="G566">
        <v>4</v>
      </c>
      <c r="H566">
        <v>5</v>
      </c>
      <c r="I566">
        <v>36</v>
      </c>
      <c r="J566" s="6"/>
      <c r="K566" s="122">
        <v>45510</v>
      </c>
      <c r="L566">
        <v>0.88487000000000005</v>
      </c>
    </row>
    <row r="567" spans="1:12" x14ac:dyDescent="0.35">
      <c r="A567" t="s">
        <v>24</v>
      </c>
      <c r="D567" t="s">
        <v>28</v>
      </c>
      <c r="F567">
        <v>3</v>
      </c>
      <c r="G567">
        <v>4</v>
      </c>
      <c r="H567">
        <v>5</v>
      </c>
      <c r="I567">
        <v>36</v>
      </c>
      <c r="J567" s="6"/>
      <c r="K567" s="122">
        <v>45519</v>
      </c>
      <c r="L567">
        <v>0.88061999999999996</v>
      </c>
    </row>
    <row r="568" spans="1:12" x14ac:dyDescent="0.35">
      <c r="A568" t="s">
        <v>24</v>
      </c>
      <c r="D568" t="s">
        <v>28</v>
      </c>
      <c r="F568">
        <v>3</v>
      </c>
      <c r="G568">
        <v>4</v>
      </c>
      <c r="H568">
        <v>5</v>
      </c>
      <c r="I568">
        <v>36</v>
      </c>
      <c r="J568" s="6"/>
      <c r="K568" s="122">
        <v>45530</v>
      </c>
      <c r="L568">
        <v>0.93969999999999998</v>
      </c>
    </row>
    <row r="569" spans="1:12" x14ac:dyDescent="0.35">
      <c r="A569" t="s">
        <v>24</v>
      </c>
      <c r="D569" t="s">
        <v>28</v>
      </c>
      <c r="F569">
        <v>3</v>
      </c>
      <c r="G569">
        <v>4</v>
      </c>
      <c r="H569">
        <v>5</v>
      </c>
      <c r="I569">
        <v>36</v>
      </c>
      <c r="J569" s="6"/>
      <c r="K569" s="122">
        <v>45538</v>
      </c>
      <c r="L569">
        <v>0.94393000000000005</v>
      </c>
    </row>
    <row r="570" spans="1:12" x14ac:dyDescent="0.35">
      <c r="A570" t="s">
        <v>24</v>
      </c>
      <c r="D570" t="s">
        <v>28</v>
      </c>
      <c r="F570">
        <v>3</v>
      </c>
      <c r="G570">
        <v>4</v>
      </c>
      <c r="H570">
        <v>5</v>
      </c>
      <c r="I570">
        <v>36</v>
      </c>
      <c r="J570" s="6"/>
      <c r="K570" s="122">
        <v>45547</v>
      </c>
      <c r="L570">
        <v>0.97275</v>
      </c>
    </row>
    <row r="571" spans="1:12" x14ac:dyDescent="0.35">
      <c r="A571" t="s">
        <v>24</v>
      </c>
      <c r="D571" t="s">
        <v>28</v>
      </c>
      <c r="F571">
        <v>3</v>
      </c>
      <c r="G571">
        <v>4</v>
      </c>
      <c r="H571">
        <v>5</v>
      </c>
      <c r="I571">
        <v>36</v>
      </c>
      <c r="J571" s="6"/>
      <c r="K571" s="122">
        <v>45553</v>
      </c>
      <c r="L571">
        <v>0.95547000000000004</v>
      </c>
    </row>
    <row r="572" spans="1:12" x14ac:dyDescent="0.35">
      <c r="A572" t="s">
        <v>24</v>
      </c>
      <c r="D572" t="s">
        <v>28</v>
      </c>
      <c r="F572">
        <v>3</v>
      </c>
      <c r="G572">
        <v>4</v>
      </c>
      <c r="H572">
        <v>5</v>
      </c>
      <c r="I572">
        <v>36</v>
      </c>
      <c r="J572" s="6"/>
      <c r="K572" s="122">
        <v>45936</v>
      </c>
      <c r="L572">
        <v>0.92374999999999996</v>
      </c>
    </row>
    <row r="573" spans="1:12" x14ac:dyDescent="0.35">
      <c r="A573" t="s">
        <v>24</v>
      </c>
      <c r="D573" t="s">
        <v>28</v>
      </c>
      <c r="F573">
        <v>3</v>
      </c>
      <c r="G573">
        <v>4</v>
      </c>
      <c r="H573">
        <v>5</v>
      </c>
      <c r="I573">
        <v>36</v>
      </c>
      <c r="J573" s="6"/>
      <c r="K573" s="122">
        <v>45944</v>
      </c>
      <c r="L573">
        <v>0.76749999999999996</v>
      </c>
    </row>
    <row r="574" spans="1:12" x14ac:dyDescent="0.35">
      <c r="A574" t="s">
        <v>24</v>
      </c>
      <c r="D574" t="s">
        <v>28</v>
      </c>
      <c r="F574">
        <v>3</v>
      </c>
      <c r="G574">
        <v>4</v>
      </c>
      <c r="H574">
        <v>5</v>
      </c>
      <c r="I574">
        <v>36</v>
      </c>
      <c r="J574" s="6"/>
      <c r="K574" s="122">
        <v>45590</v>
      </c>
      <c r="L574">
        <v>0.59162999999999999</v>
      </c>
    </row>
    <row r="575" spans="1:12" x14ac:dyDescent="0.35">
      <c r="A575" t="s">
        <v>24</v>
      </c>
      <c r="D575" t="s">
        <v>28</v>
      </c>
      <c r="F575">
        <v>3</v>
      </c>
      <c r="G575">
        <v>4</v>
      </c>
      <c r="H575">
        <v>5</v>
      </c>
      <c r="I575">
        <v>36</v>
      </c>
      <c r="J575" s="6"/>
      <c r="K575" s="122">
        <v>45596</v>
      </c>
      <c r="L575">
        <v>0.33922000000000002</v>
      </c>
    </row>
    <row r="576" spans="1:12" x14ac:dyDescent="0.35">
      <c r="A576" t="s">
        <v>24</v>
      </c>
      <c r="D576" t="s">
        <v>28</v>
      </c>
      <c r="F576">
        <v>3</v>
      </c>
      <c r="G576">
        <v>4</v>
      </c>
      <c r="H576">
        <v>5</v>
      </c>
      <c r="I576">
        <v>36</v>
      </c>
      <c r="J576" s="6"/>
      <c r="K576" s="122">
        <v>45968</v>
      </c>
      <c r="L576">
        <v>0.23549999999999999</v>
      </c>
    </row>
    <row r="577" spans="1:12" x14ac:dyDescent="0.35">
      <c r="A577" t="s">
        <v>24</v>
      </c>
      <c r="D577" t="s">
        <v>28</v>
      </c>
      <c r="F577">
        <v>3</v>
      </c>
      <c r="G577">
        <v>4</v>
      </c>
      <c r="H577">
        <v>5</v>
      </c>
      <c r="I577">
        <v>36</v>
      </c>
      <c r="J577" s="6"/>
      <c r="K577" s="122">
        <v>45975</v>
      </c>
      <c r="L577">
        <v>0.21682999999999999</v>
      </c>
    </row>
    <row r="578" spans="1:12" x14ac:dyDescent="0.35">
      <c r="A578" t="s">
        <v>24</v>
      </c>
      <c r="D578" t="s">
        <v>27</v>
      </c>
      <c r="F578">
        <v>3</v>
      </c>
      <c r="G578">
        <v>5</v>
      </c>
      <c r="H578">
        <v>5</v>
      </c>
      <c r="I578">
        <v>37</v>
      </c>
      <c r="K578" s="122">
        <v>45421</v>
      </c>
      <c r="L578">
        <v>0.13766999999999999</v>
      </c>
    </row>
    <row r="579" spans="1:12" x14ac:dyDescent="0.35">
      <c r="A579" t="s">
        <v>24</v>
      </c>
      <c r="D579" t="s">
        <v>27</v>
      </c>
      <c r="F579">
        <v>3</v>
      </c>
      <c r="G579">
        <v>5</v>
      </c>
      <c r="H579">
        <v>5</v>
      </c>
      <c r="I579">
        <v>37</v>
      </c>
      <c r="K579" s="122">
        <v>45442</v>
      </c>
      <c r="L579">
        <v>0.52524999999999999</v>
      </c>
    </row>
    <row r="580" spans="1:12" x14ac:dyDescent="0.35">
      <c r="A580" t="s">
        <v>24</v>
      </c>
      <c r="D580" t="s">
        <v>27</v>
      </c>
      <c r="F580">
        <v>3</v>
      </c>
      <c r="G580">
        <v>5</v>
      </c>
      <c r="H580">
        <v>5</v>
      </c>
      <c r="I580">
        <v>37</v>
      </c>
      <c r="K580" s="122">
        <v>45461</v>
      </c>
      <c r="L580">
        <v>0.85916999999999999</v>
      </c>
    </row>
    <row r="581" spans="1:12" x14ac:dyDescent="0.35">
      <c r="A581" t="s">
        <v>24</v>
      </c>
      <c r="D581" t="s">
        <v>27</v>
      </c>
      <c r="F581">
        <v>3</v>
      </c>
      <c r="G581">
        <v>5</v>
      </c>
      <c r="H581">
        <v>5</v>
      </c>
      <c r="I581">
        <v>37</v>
      </c>
      <c r="K581" s="122">
        <v>45477</v>
      </c>
      <c r="L581">
        <v>0.88719999999999999</v>
      </c>
    </row>
    <row r="582" spans="1:12" x14ac:dyDescent="0.35">
      <c r="A582" t="s">
        <v>24</v>
      </c>
      <c r="D582" t="s">
        <v>27</v>
      </c>
      <c r="F582">
        <v>3</v>
      </c>
      <c r="G582">
        <v>5</v>
      </c>
      <c r="H582">
        <v>5</v>
      </c>
      <c r="I582">
        <v>37</v>
      </c>
      <c r="K582" s="122">
        <v>45510</v>
      </c>
      <c r="L582">
        <v>0.85868999999999995</v>
      </c>
    </row>
    <row r="583" spans="1:12" x14ac:dyDescent="0.35">
      <c r="A583" t="s">
        <v>24</v>
      </c>
      <c r="D583" t="s">
        <v>27</v>
      </c>
      <c r="F583">
        <v>3</v>
      </c>
      <c r="G583">
        <v>5</v>
      </c>
      <c r="H583">
        <v>5</v>
      </c>
      <c r="I583">
        <v>37</v>
      </c>
      <c r="K583" s="122">
        <v>45519</v>
      </c>
      <c r="L583">
        <v>0.81864000000000003</v>
      </c>
    </row>
    <row r="584" spans="1:12" x14ac:dyDescent="0.35">
      <c r="A584" t="s">
        <v>24</v>
      </c>
      <c r="D584" t="s">
        <v>27</v>
      </c>
      <c r="F584">
        <v>3</v>
      </c>
      <c r="G584">
        <v>5</v>
      </c>
      <c r="H584">
        <v>5</v>
      </c>
      <c r="I584">
        <v>37</v>
      </c>
      <c r="K584" s="122">
        <v>45530</v>
      </c>
      <c r="L584">
        <v>0.92793000000000003</v>
      </c>
    </row>
    <row r="585" spans="1:12" x14ac:dyDescent="0.35">
      <c r="A585" t="s">
        <v>24</v>
      </c>
      <c r="D585" t="s">
        <v>27</v>
      </c>
      <c r="F585">
        <v>3</v>
      </c>
      <c r="G585">
        <v>5</v>
      </c>
      <c r="H585">
        <v>5</v>
      </c>
      <c r="I585">
        <v>37</v>
      </c>
      <c r="K585" s="122">
        <v>45538</v>
      </c>
      <c r="L585">
        <v>0.93608000000000002</v>
      </c>
    </row>
    <row r="586" spans="1:12" x14ac:dyDescent="0.35">
      <c r="A586" t="s">
        <v>24</v>
      </c>
      <c r="D586" t="s">
        <v>27</v>
      </c>
      <c r="F586">
        <v>3</v>
      </c>
      <c r="G586">
        <v>5</v>
      </c>
      <c r="H586">
        <v>5</v>
      </c>
      <c r="I586">
        <v>37</v>
      </c>
      <c r="K586" s="122">
        <v>45547</v>
      </c>
      <c r="L586">
        <v>0.96150000000000002</v>
      </c>
    </row>
    <row r="587" spans="1:12" x14ac:dyDescent="0.35">
      <c r="A587" t="s">
        <v>24</v>
      </c>
      <c r="D587" t="s">
        <v>27</v>
      </c>
      <c r="F587">
        <v>3</v>
      </c>
      <c r="G587">
        <v>5</v>
      </c>
      <c r="H587">
        <v>5</v>
      </c>
      <c r="I587">
        <v>37</v>
      </c>
      <c r="K587" s="122">
        <v>45553</v>
      </c>
      <c r="L587">
        <v>0.95879000000000003</v>
      </c>
    </row>
    <row r="588" spans="1:12" x14ac:dyDescent="0.35">
      <c r="A588" t="s">
        <v>24</v>
      </c>
      <c r="D588" t="s">
        <v>27</v>
      </c>
      <c r="F588">
        <v>3</v>
      </c>
      <c r="G588">
        <v>5</v>
      </c>
      <c r="H588">
        <v>5</v>
      </c>
      <c r="I588">
        <v>37</v>
      </c>
      <c r="K588" s="122">
        <v>45936</v>
      </c>
      <c r="L588">
        <v>0.90835999999999995</v>
      </c>
    </row>
    <row r="589" spans="1:12" x14ac:dyDescent="0.35">
      <c r="A589" t="s">
        <v>24</v>
      </c>
      <c r="D589" t="s">
        <v>27</v>
      </c>
      <c r="F589">
        <v>3</v>
      </c>
      <c r="G589">
        <v>5</v>
      </c>
      <c r="H589">
        <v>5</v>
      </c>
      <c r="I589">
        <v>37</v>
      </c>
      <c r="K589" s="122">
        <v>45944</v>
      </c>
      <c r="L589">
        <v>0.82025000000000003</v>
      </c>
    </row>
    <row r="590" spans="1:12" x14ac:dyDescent="0.35">
      <c r="A590" t="s">
        <v>24</v>
      </c>
      <c r="D590" t="s">
        <v>27</v>
      </c>
      <c r="F590">
        <v>3</v>
      </c>
      <c r="G590">
        <v>5</v>
      </c>
      <c r="H590">
        <v>5</v>
      </c>
      <c r="I590">
        <v>37</v>
      </c>
      <c r="K590" s="122">
        <v>45590</v>
      </c>
      <c r="L590">
        <v>0.67288000000000003</v>
      </c>
    </row>
    <row r="591" spans="1:12" x14ac:dyDescent="0.35">
      <c r="A591" t="s">
        <v>24</v>
      </c>
      <c r="D591" t="s">
        <v>27</v>
      </c>
      <c r="F591">
        <v>3</v>
      </c>
      <c r="G591">
        <v>5</v>
      </c>
      <c r="H591">
        <v>5</v>
      </c>
      <c r="I591">
        <v>37</v>
      </c>
      <c r="K591" s="122">
        <v>45596</v>
      </c>
      <c r="L591">
        <v>0.44669999999999999</v>
      </c>
    </row>
    <row r="592" spans="1:12" x14ac:dyDescent="0.35">
      <c r="A592" t="s">
        <v>24</v>
      </c>
      <c r="D592" t="s">
        <v>27</v>
      </c>
      <c r="F592">
        <v>3</v>
      </c>
      <c r="G592">
        <v>5</v>
      </c>
      <c r="H592">
        <v>5</v>
      </c>
      <c r="I592">
        <v>37</v>
      </c>
      <c r="K592" s="122">
        <v>45968</v>
      </c>
      <c r="L592">
        <v>0.26989000000000002</v>
      </c>
    </row>
    <row r="593" spans="1:12" x14ac:dyDescent="0.35">
      <c r="A593" t="s">
        <v>24</v>
      </c>
      <c r="D593" t="s">
        <v>27</v>
      </c>
      <c r="F593">
        <v>3</v>
      </c>
      <c r="G593">
        <v>5</v>
      </c>
      <c r="H593">
        <v>5</v>
      </c>
      <c r="I593">
        <v>37</v>
      </c>
      <c r="K593" s="122">
        <v>45975</v>
      </c>
      <c r="L593">
        <v>0.21629000000000001</v>
      </c>
    </row>
    <row r="594" spans="1:12" x14ac:dyDescent="0.35">
      <c r="A594" t="s">
        <v>24</v>
      </c>
      <c r="D594" t="s">
        <v>335</v>
      </c>
      <c r="F594">
        <v>3</v>
      </c>
      <c r="G594">
        <v>6</v>
      </c>
      <c r="H594">
        <v>5</v>
      </c>
      <c r="I594">
        <v>38</v>
      </c>
      <c r="K594" s="122">
        <v>45421</v>
      </c>
      <c r="L594">
        <v>0.12354999999999999</v>
      </c>
    </row>
    <row r="595" spans="1:12" x14ac:dyDescent="0.35">
      <c r="A595" t="s">
        <v>24</v>
      </c>
      <c r="D595" t="s">
        <v>335</v>
      </c>
      <c r="F595">
        <v>3</v>
      </c>
      <c r="G595">
        <v>6</v>
      </c>
      <c r="H595">
        <v>5</v>
      </c>
      <c r="I595">
        <v>38</v>
      </c>
      <c r="K595" s="122">
        <v>45442</v>
      </c>
      <c r="L595">
        <v>0.40400000000000003</v>
      </c>
    </row>
    <row r="596" spans="1:12" x14ac:dyDescent="0.35">
      <c r="A596" t="s">
        <v>24</v>
      </c>
      <c r="D596" t="s">
        <v>335</v>
      </c>
      <c r="F596">
        <v>3</v>
      </c>
      <c r="G596">
        <v>6</v>
      </c>
      <c r="H596">
        <v>5</v>
      </c>
      <c r="I596">
        <v>38</v>
      </c>
      <c r="K596" s="122">
        <v>45461</v>
      </c>
      <c r="L596">
        <v>0.79808999999999997</v>
      </c>
    </row>
    <row r="597" spans="1:12" x14ac:dyDescent="0.35">
      <c r="A597" t="s">
        <v>24</v>
      </c>
      <c r="D597" t="s">
        <v>335</v>
      </c>
      <c r="F597">
        <v>3</v>
      </c>
      <c r="G597">
        <v>6</v>
      </c>
      <c r="H597">
        <v>5</v>
      </c>
      <c r="I597">
        <v>38</v>
      </c>
      <c r="K597" s="122">
        <v>45477</v>
      </c>
      <c r="L597">
        <v>0.85263999999999995</v>
      </c>
    </row>
    <row r="598" spans="1:12" x14ac:dyDescent="0.35">
      <c r="A598" t="s">
        <v>24</v>
      </c>
      <c r="D598" t="s">
        <v>335</v>
      </c>
      <c r="F598">
        <v>3</v>
      </c>
      <c r="G598">
        <v>6</v>
      </c>
      <c r="H598">
        <v>5</v>
      </c>
      <c r="I598">
        <v>38</v>
      </c>
      <c r="K598" s="122">
        <v>45510</v>
      </c>
      <c r="L598">
        <v>0.85956999999999995</v>
      </c>
    </row>
    <row r="599" spans="1:12" x14ac:dyDescent="0.35">
      <c r="A599" t="s">
        <v>24</v>
      </c>
      <c r="D599" t="s">
        <v>335</v>
      </c>
      <c r="F599">
        <v>3</v>
      </c>
      <c r="G599">
        <v>6</v>
      </c>
      <c r="H599">
        <v>5</v>
      </c>
      <c r="I599">
        <v>38</v>
      </c>
      <c r="K599" s="122">
        <v>45519</v>
      </c>
      <c r="L599">
        <v>0.85314999999999996</v>
      </c>
    </row>
    <row r="600" spans="1:12" x14ac:dyDescent="0.35">
      <c r="A600" t="s">
        <v>24</v>
      </c>
      <c r="D600" t="s">
        <v>335</v>
      </c>
      <c r="F600">
        <v>3</v>
      </c>
      <c r="G600">
        <v>6</v>
      </c>
      <c r="H600">
        <v>5</v>
      </c>
      <c r="I600">
        <v>38</v>
      </c>
      <c r="K600" s="122">
        <v>45530</v>
      </c>
      <c r="L600">
        <v>0.91142999999999996</v>
      </c>
    </row>
    <row r="601" spans="1:12" x14ac:dyDescent="0.35">
      <c r="A601" t="s">
        <v>24</v>
      </c>
      <c r="D601" t="s">
        <v>335</v>
      </c>
      <c r="F601">
        <v>3</v>
      </c>
      <c r="G601">
        <v>6</v>
      </c>
      <c r="H601">
        <v>5</v>
      </c>
      <c r="I601">
        <v>38</v>
      </c>
      <c r="K601" s="122">
        <v>45538</v>
      </c>
      <c r="L601">
        <v>0.94140000000000001</v>
      </c>
    </row>
    <row r="602" spans="1:12" x14ac:dyDescent="0.35">
      <c r="A602" t="s">
        <v>24</v>
      </c>
      <c r="D602" t="s">
        <v>335</v>
      </c>
      <c r="F602">
        <v>3</v>
      </c>
      <c r="G602">
        <v>6</v>
      </c>
      <c r="H602">
        <v>5</v>
      </c>
      <c r="I602">
        <v>38</v>
      </c>
      <c r="K602" s="122">
        <v>45547</v>
      </c>
      <c r="L602">
        <v>0.95909</v>
      </c>
    </row>
    <row r="603" spans="1:12" x14ac:dyDescent="0.35">
      <c r="A603" t="s">
        <v>24</v>
      </c>
      <c r="D603" t="s">
        <v>335</v>
      </c>
      <c r="F603">
        <v>3</v>
      </c>
      <c r="G603">
        <v>6</v>
      </c>
      <c r="H603">
        <v>5</v>
      </c>
      <c r="I603">
        <v>38</v>
      </c>
      <c r="K603" s="122">
        <v>45553</v>
      </c>
      <c r="L603">
        <v>0.94757000000000002</v>
      </c>
    </row>
    <row r="604" spans="1:12" x14ac:dyDescent="0.35">
      <c r="A604" t="s">
        <v>24</v>
      </c>
      <c r="D604" t="s">
        <v>335</v>
      </c>
      <c r="F604">
        <v>3</v>
      </c>
      <c r="G604">
        <v>6</v>
      </c>
      <c r="H604">
        <v>5</v>
      </c>
      <c r="I604">
        <v>38</v>
      </c>
      <c r="K604" s="122">
        <v>45936</v>
      </c>
      <c r="L604">
        <v>0.92149999999999999</v>
      </c>
    </row>
    <row r="605" spans="1:12" x14ac:dyDescent="0.35">
      <c r="A605" t="s">
        <v>24</v>
      </c>
      <c r="D605" t="s">
        <v>335</v>
      </c>
      <c r="F605">
        <v>3</v>
      </c>
      <c r="G605">
        <v>6</v>
      </c>
      <c r="H605">
        <v>5</v>
      </c>
      <c r="I605">
        <v>38</v>
      </c>
      <c r="K605" s="122">
        <v>45944</v>
      </c>
      <c r="L605">
        <v>0.84438000000000002</v>
      </c>
    </row>
    <row r="606" spans="1:12" x14ac:dyDescent="0.35">
      <c r="A606" t="s">
        <v>24</v>
      </c>
      <c r="D606" t="s">
        <v>335</v>
      </c>
      <c r="F606">
        <v>3</v>
      </c>
      <c r="G606">
        <v>6</v>
      </c>
      <c r="H606">
        <v>5</v>
      </c>
      <c r="I606">
        <v>38</v>
      </c>
      <c r="K606" s="122">
        <v>45590</v>
      </c>
      <c r="L606">
        <v>0.64324999999999999</v>
      </c>
    </row>
    <row r="607" spans="1:12" x14ac:dyDescent="0.35">
      <c r="A607" t="s">
        <v>24</v>
      </c>
      <c r="D607" t="s">
        <v>335</v>
      </c>
      <c r="F607">
        <v>3</v>
      </c>
      <c r="G607">
        <v>6</v>
      </c>
      <c r="H607">
        <v>5</v>
      </c>
      <c r="I607">
        <v>38</v>
      </c>
      <c r="K607" s="122">
        <v>45596</v>
      </c>
      <c r="L607">
        <v>0.40814</v>
      </c>
    </row>
    <row r="608" spans="1:12" x14ac:dyDescent="0.35">
      <c r="A608" t="s">
        <v>24</v>
      </c>
      <c r="D608" t="s">
        <v>335</v>
      </c>
      <c r="F608">
        <v>3</v>
      </c>
      <c r="G608">
        <v>6</v>
      </c>
      <c r="H608">
        <v>5</v>
      </c>
      <c r="I608">
        <v>38</v>
      </c>
      <c r="K608" s="122">
        <v>45968</v>
      </c>
      <c r="L608">
        <v>0.24388000000000001</v>
      </c>
    </row>
    <row r="609" spans="1:12" x14ac:dyDescent="0.35">
      <c r="A609" t="s">
        <v>24</v>
      </c>
      <c r="D609" t="s">
        <v>335</v>
      </c>
      <c r="F609">
        <v>3</v>
      </c>
      <c r="G609">
        <v>6</v>
      </c>
      <c r="H609">
        <v>5</v>
      </c>
      <c r="I609">
        <v>38</v>
      </c>
      <c r="K609" s="122">
        <v>45975</v>
      </c>
      <c r="L609">
        <v>0.21482999999999999</v>
      </c>
    </row>
    <row r="610" spans="1:12" x14ac:dyDescent="0.35">
      <c r="A610" t="s">
        <v>24</v>
      </c>
      <c r="D610" t="s">
        <v>29</v>
      </c>
      <c r="F610">
        <v>3</v>
      </c>
      <c r="G610">
        <v>7</v>
      </c>
      <c r="H610">
        <v>5</v>
      </c>
      <c r="I610">
        <v>39</v>
      </c>
      <c r="K610" s="122">
        <v>45421</v>
      </c>
      <c r="L610">
        <v>0.13039999999999999</v>
      </c>
    </row>
    <row r="611" spans="1:12" x14ac:dyDescent="0.35">
      <c r="A611" t="s">
        <v>24</v>
      </c>
      <c r="D611" t="s">
        <v>29</v>
      </c>
      <c r="F611">
        <v>3</v>
      </c>
      <c r="G611">
        <v>7</v>
      </c>
      <c r="H611">
        <v>5</v>
      </c>
      <c r="I611">
        <v>39</v>
      </c>
      <c r="K611" s="122">
        <v>45442</v>
      </c>
      <c r="L611">
        <v>0.4415</v>
      </c>
    </row>
    <row r="612" spans="1:12" x14ac:dyDescent="0.35">
      <c r="A612" t="s">
        <v>24</v>
      </c>
      <c r="D612" t="s">
        <v>29</v>
      </c>
      <c r="F612">
        <v>3</v>
      </c>
      <c r="G612">
        <v>7</v>
      </c>
      <c r="H612">
        <v>5</v>
      </c>
      <c r="I612">
        <v>39</v>
      </c>
      <c r="K612" s="122">
        <v>45461</v>
      </c>
      <c r="L612">
        <v>0.84672999999999998</v>
      </c>
    </row>
    <row r="613" spans="1:12" x14ac:dyDescent="0.35">
      <c r="A613" t="s">
        <v>24</v>
      </c>
      <c r="D613" t="s">
        <v>29</v>
      </c>
      <c r="F613">
        <v>3</v>
      </c>
      <c r="G613">
        <v>7</v>
      </c>
      <c r="H613">
        <v>5</v>
      </c>
      <c r="I613">
        <v>39</v>
      </c>
      <c r="K613" s="122">
        <v>45477</v>
      </c>
      <c r="L613">
        <v>0.88729999999999998</v>
      </c>
    </row>
    <row r="614" spans="1:12" x14ac:dyDescent="0.35">
      <c r="A614" t="s">
        <v>24</v>
      </c>
      <c r="D614" t="s">
        <v>29</v>
      </c>
      <c r="F614">
        <v>3</v>
      </c>
      <c r="G614">
        <v>7</v>
      </c>
      <c r="H614">
        <v>5</v>
      </c>
      <c r="I614">
        <v>39</v>
      </c>
      <c r="K614" s="122">
        <v>45510</v>
      </c>
      <c r="L614">
        <v>0.88107999999999997</v>
      </c>
    </row>
    <row r="615" spans="1:12" x14ac:dyDescent="0.35">
      <c r="A615" t="s">
        <v>24</v>
      </c>
      <c r="D615" t="s">
        <v>29</v>
      </c>
      <c r="F615">
        <v>3</v>
      </c>
      <c r="G615">
        <v>7</v>
      </c>
      <c r="H615">
        <v>5</v>
      </c>
      <c r="I615">
        <v>39</v>
      </c>
      <c r="K615" s="122">
        <v>45519</v>
      </c>
      <c r="L615">
        <v>0.88122999999999996</v>
      </c>
    </row>
    <row r="616" spans="1:12" x14ac:dyDescent="0.35">
      <c r="A616" t="s">
        <v>24</v>
      </c>
      <c r="D616" t="s">
        <v>29</v>
      </c>
      <c r="F616">
        <v>3</v>
      </c>
      <c r="G616">
        <v>7</v>
      </c>
      <c r="H616">
        <v>5</v>
      </c>
      <c r="I616">
        <v>39</v>
      </c>
      <c r="K616" s="122">
        <v>45530</v>
      </c>
      <c r="L616">
        <v>0.93742999999999999</v>
      </c>
    </row>
    <row r="617" spans="1:12" x14ac:dyDescent="0.35">
      <c r="A617" t="s">
        <v>24</v>
      </c>
      <c r="D617" t="s">
        <v>29</v>
      </c>
      <c r="F617">
        <v>3</v>
      </c>
      <c r="G617">
        <v>7</v>
      </c>
      <c r="H617">
        <v>5</v>
      </c>
      <c r="I617">
        <v>39</v>
      </c>
      <c r="K617" s="122">
        <v>45538</v>
      </c>
      <c r="L617">
        <v>0.95235999999999998</v>
      </c>
    </row>
    <row r="618" spans="1:12" x14ac:dyDescent="0.35">
      <c r="A618" t="s">
        <v>24</v>
      </c>
      <c r="D618" t="s">
        <v>29</v>
      </c>
      <c r="F618">
        <v>3</v>
      </c>
      <c r="G618">
        <v>7</v>
      </c>
      <c r="H618">
        <v>5</v>
      </c>
      <c r="I618">
        <v>39</v>
      </c>
      <c r="K618" s="122">
        <v>45547</v>
      </c>
      <c r="L618">
        <v>0.97526999999999997</v>
      </c>
    </row>
    <row r="619" spans="1:12" x14ac:dyDescent="0.35">
      <c r="A619" t="s">
        <v>24</v>
      </c>
      <c r="D619" t="s">
        <v>29</v>
      </c>
      <c r="F619">
        <v>3</v>
      </c>
      <c r="G619">
        <v>7</v>
      </c>
      <c r="H619">
        <v>5</v>
      </c>
      <c r="I619">
        <v>39</v>
      </c>
      <c r="K619" s="122">
        <v>45553</v>
      </c>
      <c r="L619">
        <v>0.95328999999999997</v>
      </c>
    </row>
    <row r="620" spans="1:12" x14ac:dyDescent="0.35">
      <c r="A620" t="s">
        <v>24</v>
      </c>
      <c r="D620" t="s">
        <v>29</v>
      </c>
      <c r="F620">
        <v>3</v>
      </c>
      <c r="G620">
        <v>7</v>
      </c>
      <c r="H620">
        <v>5</v>
      </c>
      <c r="I620">
        <v>39</v>
      </c>
      <c r="K620" s="122">
        <v>45936</v>
      </c>
      <c r="L620">
        <v>0.89510000000000001</v>
      </c>
    </row>
    <row r="621" spans="1:12" x14ac:dyDescent="0.35">
      <c r="A621" t="s">
        <v>24</v>
      </c>
      <c r="D621" t="s">
        <v>29</v>
      </c>
      <c r="F621">
        <v>3</v>
      </c>
      <c r="G621">
        <v>7</v>
      </c>
      <c r="H621">
        <v>5</v>
      </c>
      <c r="I621">
        <v>39</v>
      </c>
      <c r="K621" s="122">
        <v>45944</v>
      </c>
      <c r="L621">
        <v>0.86099999999999999</v>
      </c>
    </row>
    <row r="622" spans="1:12" x14ac:dyDescent="0.35">
      <c r="A622" t="s">
        <v>24</v>
      </c>
      <c r="D622" t="s">
        <v>29</v>
      </c>
      <c r="F622">
        <v>3</v>
      </c>
      <c r="G622">
        <v>7</v>
      </c>
      <c r="H622">
        <v>5</v>
      </c>
      <c r="I622">
        <v>39</v>
      </c>
      <c r="K622" s="122">
        <v>45590</v>
      </c>
      <c r="L622">
        <v>0.64963000000000004</v>
      </c>
    </row>
    <row r="623" spans="1:12" x14ac:dyDescent="0.35">
      <c r="A623" t="s">
        <v>24</v>
      </c>
      <c r="D623" t="s">
        <v>29</v>
      </c>
      <c r="F623">
        <v>3</v>
      </c>
      <c r="G623">
        <v>7</v>
      </c>
      <c r="H623">
        <v>5</v>
      </c>
      <c r="I623">
        <v>39</v>
      </c>
      <c r="K623" s="122">
        <v>45596</v>
      </c>
      <c r="L623">
        <v>0.47799999999999998</v>
      </c>
    </row>
    <row r="624" spans="1:12" x14ac:dyDescent="0.35">
      <c r="A624" t="s">
        <v>24</v>
      </c>
      <c r="D624" t="s">
        <v>29</v>
      </c>
      <c r="F624">
        <v>3</v>
      </c>
      <c r="G624">
        <v>7</v>
      </c>
      <c r="H624">
        <v>5</v>
      </c>
      <c r="I624">
        <v>39</v>
      </c>
      <c r="K624" s="122">
        <v>45968</v>
      </c>
      <c r="L624">
        <v>0.26085999999999998</v>
      </c>
    </row>
    <row r="625" spans="1:12" x14ac:dyDescent="0.35">
      <c r="A625" t="s">
        <v>24</v>
      </c>
      <c r="D625" t="s">
        <v>29</v>
      </c>
      <c r="F625">
        <v>3</v>
      </c>
      <c r="G625">
        <v>7</v>
      </c>
      <c r="H625">
        <v>5</v>
      </c>
      <c r="I625">
        <v>39</v>
      </c>
      <c r="K625" s="122">
        <v>45975</v>
      </c>
      <c r="L625">
        <v>0.19400000000000001</v>
      </c>
    </row>
    <row r="626" spans="1:12" x14ac:dyDescent="0.35">
      <c r="A626" t="s">
        <v>24</v>
      </c>
      <c r="D626" t="s">
        <v>26</v>
      </c>
      <c r="F626">
        <v>3</v>
      </c>
      <c r="G626">
        <v>8</v>
      </c>
      <c r="H626">
        <v>5</v>
      </c>
      <c r="I626">
        <v>40</v>
      </c>
      <c r="K626" s="122">
        <v>45421</v>
      </c>
      <c r="L626">
        <v>0.13433</v>
      </c>
    </row>
    <row r="627" spans="1:12" x14ac:dyDescent="0.35">
      <c r="A627" t="s">
        <v>24</v>
      </c>
      <c r="D627" t="s">
        <v>26</v>
      </c>
      <c r="F627">
        <v>3</v>
      </c>
      <c r="G627">
        <v>8</v>
      </c>
      <c r="H627">
        <v>5</v>
      </c>
      <c r="I627">
        <v>40</v>
      </c>
      <c r="K627" s="122">
        <v>45442</v>
      </c>
      <c r="L627">
        <v>0.5645</v>
      </c>
    </row>
    <row r="628" spans="1:12" x14ac:dyDescent="0.35">
      <c r="A628" t="s">
        <v>24</v>
      </c>
      <c r="D628" t="s">
        <v>26</v>
      </c>
      <c r="F628">
        <v>3</v>
      </c>
      <c r="G628">
        <v>8</v>
      </c>
      <c r="H628">
        <v>5</v>
      </c>
      <c r="I628">
        <v>40</v>
      </c>
      <c r="K628" s="122">
        <v>45461</v>
      </c>
      <c r="L628">
        <v>0.87482000000000004</v>
      </c>
    </row>
    <row r="629" spans="1:12" x14ac:dyDescent="0.35">
      <c r="A629" t="s">
        <v>24</v>
      </c>
      <c r="D629" t="s">
        <v>26</v>
      </c>
      <c r="F629">
        <v>3</v>
      </c>
      <c r="G629">
        <v>8</v>
      </c>
      <c r="H629">
        <v>5</v>
      </c>
      <c r="I629">
        <v>40</v>
      </c>
      <c r="K629" s="122">
        <v>45477</v>
      </c>
      <c r="L629">
        <v>0.90022999999999997</v>
      </c>
    </row>
    <row r="630" spans="1:12" x14ac:dyDescent="0.35">
      <c r="A630" t="s">
        <v>24</v>
      </c>
      <c r="D630" t="s">
        <v>26</v>
      </c>
      <c r="F630">
        <v>3</v>
      </c>
      <c r="G630">
        <v>8</v>
      </c>
      <c r="H630">
        <v>5</v>
      </c>
      <c r="I630">
        <v>40</v>
      </c>
      <c r="K630" s="122">
        <v>45510</v>
      </c>
      <c r="L630">
        <v>0.89331000000000005</v>
      </c>
    </row>
    <row r="631" spans="1:12" x14ac:dyDescent="0.35">
      <c r="A631" t="s">
        <v>24</v>
      </c>
      <c r="D631" t="s">
        <v>26</v>
      </c>
      <c r="F631">
        <v>3</v>
      </c>
      <c r="G631">
        <v>8</v>
      </c>
      <c r="H631">
        <v>5</v>
      </c>
      <c r="I631">
        <v>40</v>
      </c>
      <c r="K631" s="122">
        <v>45519</v>
      </c>
      <c r="L631">
        <v>0.88227</v>
      </c>
    </row>
    <row r="632" spans="1:12" x14ac:dyDescent="0.35">
      <c r="A632" t="s">
        <v>24</v>
      </c>
      <c r="D632" t="s">
        <v>26</v>
      </c>
      <c r="F632">
        <v>3</v>
      </c>
      <c r="G632">
        <v>8</v>
      </c>
      <c r="H632">
        <v>5</v>
      </c>
      <c r="I632">
        <v>40</v>
      </c>
      <c r="K632" s="122">
        <v>45530</v>
      </c>
      <c r="L632">
        <v>0.94871000000000005</v>
      </c>
    </row>
    <row r="633" spans="1:12" x14ac:dyDescent="0.35">
      <c r="A633" t="s">
        <v>24</v>
      </c>
      <c r="D633" t="s">
        <v>26</v>
      </c>
      <c r="F633">
        <v>3</v>
      </c>
      <c r="G633">
        <v>8</v>
      </c>
      <c r="H633">
        <v>5</v>
      </c>
      <c r="I633">
        <v>40</v>
      </c>
      <c r="K633" s="122">
        <v>45538</v>
      </c>
      <c r="L633">
        <v>0.94808000000000003</v>
      </c>
    </row>
    <row r="634" spans="1:12" x14ac:dyDescent="0.35">
      <c r="A634" t="s">
        <v>24</v>
      </c>
      <c r="D634" t="s">
        <v>26</v>
      </c>
      <c r="F634">
        <v>3</v>
      </c>
      <c r="G634">
        <v>8</v>
      </c>
      <c r="H634">
        <v>5</v>
      </c>
      <c r="I634">
        <v>40</v>
      </c>
      <c r="K634" s="122">
        <v>45547</v>
      </c>
      <c r="L634">
        <v>0.97199999999999998</v>
      </c>
    </row>
    <row r="635" spans="1:12" x14ac:dyDescent="0.35">
      <c r="A635" t="s">
        <v>24</v>
      </c>
      <c r="D635" t="s">
        <v>26</v>
      </c>
      <c r="F635">
        <v>3</v>
      </c>
      <c r="G635">
        <v>8</v>
      </c>
      <c r="H635">
        <v>5</v>
      </c>
      <c r="I635">
        <v>40</v>
      </c>
      <c r="K635" s="122">
        <v>45553</v>
      </c>
      <c r="L635">
        <v>0.95162000000000002</v>
      </c>
    </row>
    <row r="636" spans="1:12" x14ac:dyDescent="0.35">
      <c r="A636" t="s">
        <v>24</v>
      </c>
      <c r="D636" t="s">
        <v>26</v>
      </c>
      <c r="F636">
        <v>3</v>
      </c>
      <c r="G636">
        <v>8</v>
      </c>
      <c r="H636">
        <v>5</v>
      </c>
      <c r="I636">
        <v>40</v>
      </c>
      <c r="K636" s="122">
        <v>45936</v>
      </c>
      <c r="L636">
        <v>0.91764000000000001</v>
      </c>
    </row>
    <row r="637" spans="1:12" x14ac:dyDescent="0.35">
      <c r="A637" t="s">
        <v>24</v>
      </c>
      <c r="D637" t="s">
        <v>26</v>
      </c>
      <c r="F637">
        <v>3</v>
      </c>
      <c r="G637">
        <v>8</v>
      </c>
      <c r="H637">
        <v>5</v>
      </c>
      <c r="I637">
        <v>40</v>
      </c>
      <c r="K637" s="122">
        <v>45944</v>
      </c>
      <c r="L637">
        <v>0.85343999999999998</v>
      </c>
    </row>
    <row r="638" spans="1:12" x14ac:dyDescent="0.35">
      <c r="A638" t="s">
        <v>24</v>
      </c>
      <c r="D638" t="s">
        <v>26</v>
      </c>
      <c r="F638">
        <v>3</v>
      </c>
      <c r="G638">
        <v>8</v>
      </c>
      <c r="H638">
        <v>5</v>
      </c>
      <c r="I638">
        <v>40</v>
      </c>
      <c r="K638" s="122">
        <v>45590</v>
      </c>
      <c r="L638">
        <v>0.63919999999999999</v>
      </c>
    </row>
    <row r="639" spans="1:12" x14ac:dyDescent="0.35">
      <c r="A639" t="s">
        <v>24</v>
      </c>
      <c r="D639" t="s">
        <v>26</v>
      </c>
      <c r="F639">
        <v>3</v>
      </c>
      <c r="G639">
        <v>8</v>
      </c>
      <c r="H639">
        <v>5</v>
      </c>
      <c r="I639">
        <v>40</v>
      </c>
      <c r="K639" s="122">
        <v>45596</v>
      </c>
      <c r="L639">
        <v>0.43025000000000002</v>
      </c>
    </row>
    <row r="640" spans="1:12" x14ac:dyDescent="0.35">
      <c r="A640" t="s">
        <v>24</v>
      </c>
      <c r="D640" t="s">
        <v>26</v>
      </c>
      <c r="F640">
        <v>3</v>
      </c>
      <c r="G640">
        <v>8</v>
      </c>
      <c r="H640">
        <v>5</v>
      </c>
      <c r="I640">
        <v>40</v>
      </c>
      <c r="K640" s="122">
        <v>45968</v>
      </c>
      <c r="L640">
        <v>0.25971</v>
      </c>
    </row>
    <row r="641" spans="1:12" x14ac:dyDescent="0.35">
      <c r="A641" t="s">
        <v>24</v>
      </c>
      <c r="D641" t="s">
        <v>26</v>
      </c>
      <c r="F641">
        <v>3</v>
      </c>
      <c r="G641">
        <v>8</v>
      </c>
      <c r="H641">
        <v>5</v>
      </c>
      <c r="I641">
        <v>40</v>
      </c>
      <c r="K641" s="122">
        <v>45975</v>
      </c>
      <c r="L641">
        <v>0.20716999999999999</v>
      </c>
    </row>
    <row r="642" spans="1:12" x14ac:dyDescent="0.35">
      <c r="A642" t="s">
        <v>34</v>
      </c>
      <c r="D642" t="s">
        <v>41</v>
      </c>
      <c r="F642">
        <v>3</v>
      </c>
      <c r="G642">
        <v>1</v>
      </c>
      <c r="H642">
        <v>6</v>
      </c>
      <c r="I642">
        <v>41</v>
      </c>
      <c r="K642" s="122">
        <v>45421</v>
      </c>
    </row>
    <row r="643" spans="1:12" x14ac:dyDescent="0.35">
      <c r="A643" t="s">
        <v>34</v>
      </c>
      <c r="D643" t="s">
        <v>41</v>
      </c>
      <c r="F643">
        <v>3</v>
      </c>
      <c r="G643">
        <v>1</v>
      </c>
      <c r="H643">
        <v>6</v>
      </c>
      <c r="I643">
        <v>41</v>
      </c>
      <c r="K643" s="122">
        <v>45442</v>
      </c>
      <c r="L643">
        <v>0.14255000000000001</v>
      </c>
    </row>
    <row r="644" spans="1:12" x14ac:dyDescent="0.35">
      <c r="A644" t="s">
        <v>34</v>
      </c>
      <c r="D644" t="s">
        <v>41</v>
      </c>
      <c r="F644">
        <v>3</v>
      </c>
      <c r="G644">
        <v>1</v>
      </c>
      <c r="H644">
        <v>6</v>
      </c>
      <c r="I644">
        <v>41</v>
      </c>
      <c r="K644" s="122">
        <v>45461</v>
      </c>
      <c r="L644">
        <v>0.33079999999999998</v>
      </c>
    </row>
    <row r="645" spans="1:12" x14ac:dyDescent="0.35">
      <c r="A645" t="s">
        <v>34</v>
      </c>
      <c r="D645" t="s">
        <v>41</v>
      </c>
      <c r="F645">
        <v>3</v>
      </c>
      <c r="G645">
        <v>1</v>
      </c>
      <c r="H645">
        <v>6</v>
      </c>
      <c r="I645">
        <v>41</v>
      </c>
      <c r="K645" s="122">
        <v>45477</v>
      </c>
      <c r="L645">
        <v>0.49042000000000002</v>
      </c>
    </row>
    <row r="646" spans="1:12" x14ac:dyDescent="0.35">
      <c r="A646" t="s">
        <v>34</v>
      </c>
      <c r="D646" t="s">
        <v>41</v>
      </c>
      <c r="F646">
        <v>3</v>
      </c>
      <c r="G646">
        <v>1</v>
      </c>
      <c r="H646">
        <v>6</v>
      </c>
      <c r="I646">
        <v>41</v>
      </c>
      <c r="K646" s="122">
        <v>45510</v>
      </c>
      <c r="L646">
        <v>0.84880999999999995</v>
      </c>
    </row>
    <row r="647" spans="1:12" x14ac:dyDescent="0.35">
      <c r="A647" t="s">
        <v>34</v>
      </c>
      <c r="D647" t="s">
        <v>41</v>
      </c>
      <c r="F647">
        <v>3</v>
      </c>
      <c r="G647">
        <v>1</v>
      </c>
      <c r="H647">
        <v>6</v>
      </c>
      <c r="I647">
        <v>41</v>
      </c>
      <c r="K647" s="122">
        <v>45519</v>
      </c>
      <c r="L647">
        <v>0.89536000000000004</v>
      </c>
    </row>
    <row r="648" spans="1:12" x14ac:dyDescent="0.35">
      <c r="A648" t="s">
        <v>34</v>
      </c>
      <c r="D648" t="s">
        <v>41</v>
      </c>
      <c r="F648">
        <v>3</v>
      </c>
      <c r="G648">
        <v>1</v>
      </c>
      <c r="H648">
        <v>6</v>
      </c>
      <c r="I648">
        <v>41</v>
      </c>
      <c r="K648" s="122">
        <v>45530</v>
      </c>
      <c r="L648">
        <v>0.93342999999999998</v>
      </c>
    </row>
    <row r="649" spans="1:12" x14ac:dyDescent="0.35">
      <c r="A649" t="s">
        <v>34</v>
      </c>
      <c r="D649" t="s">
        <v>41</v>
      </c>
      <c r="F649">
        <v>3</v>
      </c>
      <c r="G649">
        <v>1</v>
      </c>
      <c r="H649">
        <v>6</v>
      </c>
      <c r="I649">
        <v>41</v>
      </c>
      <c r="K649" s="122">
        <v>45538</v>
      </c>
      <c r="L649">
        <v>0.93093000000000004</v>
      </c>
    </row>
    <row r="650" spans="1:12" x14ac:dyDescent="0.35">
      <c r="A650" t="s">
        <v>34</v>
      </c>
      <c r="D650" t="s">
        <v>41</v>
      </c>
      <c r="F650">
        <v>3</v>
      </c>
      <c r="G650">
        <v>1</v>
      </c>
      <c r="H650">
        <v>6</v>
      </c>
      <c r="I650">
        <v>41</v>
      </c>
      <c r="K650" s="122">
        <v>45547</v>
      </c>
      <c r="L650">
        <v>0.97113000000000005</v>
      </c>
    </row>
    <row r="651" spans="1:12" x14ac:dyDescent="0.35">
      <c r="A651" t="s">
        <v>34</v>
      </c>
      <c r="D651" t="s">
        <v>41</v>
      </c>
      <c r="F651">
        <v>3</v>
      </c>
      <c r="G651">
        <v>1</v>
      </c>
      <c r="H651">
        <v>6</v>
      </c>
      <c r="I651">
        <v>41</v>
      </c>
      <c r="K651" s="122">
        <v>45553</v>
      </c>
      <c r="L651">
        <v>0.95921000000000001</v>
      </c>
    </row>
    <row r="652" spans="1:12" x14ac:dyDescent="0.35">
      <c r="A652" t="s">
        <v>34</v>
      </c>
      <c r="D652" t="s">
        <v>41</v>
      </c>
      <c r="F652">
        <v>3</v>
      </c>
      <c r="G652">
        <v>1</v>
      </c>
      <c r="H652">
        <v>6</v>
      </c>
      <c r="I652">
        <v>41</v>
      </c>
      <c r="K652" s="122">
        <v>45936</v>
      </c>
      <c r="L652">
        <v>0.90200000000000002</v>
      </c>
    </row>
    <row r="653" spans="1:12" x14ac:dyDescent="0.35">
      <c r="A653" t="s">
        <v>34</v>
      </c>
      <c r="D653" t="s">
        <v>41</v>
      </c>
      <c r="F653">
        <v>3</v>
      </c>
      <c r="G653">
        <v>1</v>
      </c>
      <c r="H653">
        <v>6</v>
      </c>
      <c r="I653">
        <v>41</v>
      </c>
      <c r="K653" s="122">
        <v>45944</v>
      </c>
      <c r="L653">
        <v>0.75578000000000001</v>
      </c>
    </row>
    <row r="654" spans="1:12" x14ac:dyDescent="0.35">
      <c r="A654" t="s">
        <v>34</v>
      </c>
      <c r="D654" t="s">
        <v>41</v>
      </c>
      <c r="F654">
        <v>3</v>
      </c>
      <c r="G654">
        <v>1</v>
      </c>
      <c r="H654">
        <v>6</v>
      </c>
      <c r="I654">
        <v>41</v>
      </c>
      <c r="K654" s="122">
        <v>45590</v>
      </c>
      <c r="L654">
        <v>0.49113000000000001</v>
      </c>
    </row>
    <row r="655" spans="1:12" x14ac:dyDescent="0.35">
      <c r="A655" t="s">
        <v>34</v>
      </c>
      <c r="D655" t="s">
        <v>41</v>
      </c>
      <c r="F655">
        <v>3</v>
      </c>
      <c r="G655">
        <v>1</v>
      </c>
      <c r="H655">
        <v>6</v>
      </c>
      <c r="I655">
        <v>41</v>
      </c>
      <c r="K655" s="122">
        <v>45596</v>
      </c>
      <c r="L655">
        <v>0.27150000000000002</v>
      </c>
    </row>
    <row r="656" spans="1:12" x14ac:dyDescent="0.35">
      <c r="A656" t="s">
        <v>34</v>
      </c>
      <c r="D656" t="s">
        <v>41</v>
      </c>
      <c r="F656">
        <v>3</v>
      </c>
      <c r="G656">
        <v>1</v>
      </c>
      <c r="H656">
        <v>6</v>
      </c>
      <c r="I656">
        <v>41</v>
      </c>
      <c r="K656" s="122">
        <v>45968</v>
      </c>
      <c r="L656">
        <v>0.20849999999999999</v>
      </c>
    </row>
    <row r="657" spans="1:12" x14ac:dyDescent="0.35">
      <c r="A657" t="s">
        <v>34</v>
      </c>
      <c r="D657" t="s">
        <v>41</v>
      </c>
      <c r="F657">
        <v>3</v>
      </c>
      <c r="G657">
        <v>1</v>
      </c>
      <c r="H657">
        <v>6</v>
      </c>
      <c r="I657">
        <v>41</v>
      </c>
      <c r="K657" s="122">
        <v>45975</v>
      </c>
      <c r="L657">
        <v>0.19814000000000001</v>
      </c>
    </row>
    <row r="658" spans="1:12" x14ac:dyDescent="0.35">
      <c r="A658" t="s">
        <v>34</v>
      </c>
      <c r="D658" t="s">
        <v>36</v>
      </c>
      <c r="F658">
        <v>3</v>
      </c>
      <c r="G658">
        <v>2</v>
      </c>
      <c r="H658">
        <v>6</v>
      </c>
      <c r="I658">
        <v>42</v>
      </c>
      <c r="K658" s="122">
        <v>45421</v>
      </c>
    </row>
    <row r="659" spans="1:12" x14ac:dyDescent="0.35">
      <c r="A659" t="s">
        <v>34</v>
      </c>
      <c r="D659" t="s">
        <v>36</v>
      </c>
      <c r="F659">
        <v>3</v>
      </c>
      <c r="G659">
        <v>2</v>
      </c>
      <c r="H659">
        <v>6</v>
      </c>
      <c r="I659">
        <v>42</v>
      </c>
      <c r="K659" s="122">
        <v>45442</v>
      </c>
      <c r="L659">
        <v>0.14935999999999999</v>
      </c>
    </row>
    <row r="660" spans="1:12" x14ac:dyDescent="0.35">
      <c r="A660" t="s">
        <v>34</v>
      </c>
      <c r="D660" t="s">
        <v>36</v>
      </c>
      <c r="F660">
        <v>3</v>
      </c>
      <c r="G660">
        <v>2</v>
      </c>
      <c r="H660">
        <v>6</v>
      </c>
      <c r="I660">
        <v>42</v>
      </c>
      <c r="K660" s="122">
        <v>45461</v>
      </c>
      <c r="L660">
        <v>0.31208999999999998</v>
      </c>
    </row>
    <row r="661" spans="1:12" x14ac:dyDescent="0.35">
      <c r="A661" t="s">
        <v>34</v>
      </c>
      <c r="D661" t="s">
        <v>36</v>
      </c>
      <c r="F661">
        <v>3</v>
      </c>
      <c r="G661">
        <v>2</v>
      </c>
      <c r="H661">
        <v>6</v>
      </c>
      <c r="I661">
        <v>42</v>
      </c>
      <c r="K661" s="122">
        <v>45477</v>
      </c>
      <c r="L661">
        <v>0.45784999999999998</v>
      </c>
    </row>
    <row r="662" spans="1:12" x14ac:dyDescent="0.35">
      <c r="A662" t="s">
        <v>34</v>
      </c>
      <c r="D662" t="s">
        <v>36</v>
      </c>
      <c r="F662">
        <v>3</v>
      </c>
      <c r="G662">
        <v>2</v>
      </c>
      <c r="H662">
        <v>6</v>
      </c>
      <c r="I662">
        <v>42</v>
      </c>
      <c r="K662" s="122">
        <v>45510</v>
      </c>
      <c r="L662">
        <v>0.84767000000000003</v>
      </c>
    </row>
    <row r="663" spans="1:12" x14ac:dyDescent="0.35">
      <c r="A663" t="s">
        <v>34</v>
      </c>
      <c r="D663" t="s">
        <v>36</v>
      </c>
      <c r="F663">
        <v>3</v>
      </c>
      <c r="G663">
        <v>2</v>
      </c>
      <c r="H663">
        <v>6</v>
      </c>
      <c r="I663">
        <v>42</v>
      </c>
      <c r="K663" s="122">
        <v>45519</v>
      </c>
      <c r="L663">
        <v>0.89800000000000002</v>
      </c>
    </row>
    <row r="664" spans="1:12" x14ac:dyDescent="0.35">
      <c r="A664" t="s">
        <v>34</v>
      </c>
      <c r="D664" t="s">
        <v>36</v>
      </c>
      <c r="F664">
        <v>3</v>
      </c>
      <c r="G664">
        <v>2</v>
      </c>
      <c r="H664">
        <v>6</v>
      </c>
      <c r="I664">
        <v>42</v>
      </c>
      <c r="K664" s="122">
        <v>45530</v>
      </c>
      <c r="L664">
        <v>0.92184999999999995</v>
      </c>
    </row>
    <row r="665" spans="1:12" x14ac:dyDescent="0.35">
      <c r="A665" t="s">
        <v>34</v>
      </c>
      <c r="D665" t="s">
        <v>36</v>
      </c>
      <c r="F665">
        <v>3</v>
      </c>
      <c r="G665">
        <v>2</v>
      </c>
      <c r="H665">
        <v>6</v>
      </c>
      <c r="I665">
        <v>42</v>
      </c>
      <c r="K665" s="122">
        <v>45538</v>
      </c>
      <c r="L665">
        <v>0.90690999999999999</v>
      </c>
    </row>
    <row r="666" spans="1:12" x14ac:dyDescent="0.35">
      <c r="A666" t="s">
        <v>34</v>
      </c>
      <c r="D666" t="s">
        <v>36</v>
      </c>
      <c r="F666">
        <v>3</v>
      </c>
      <c r="G666">
        <v>2</v>
      </c>
      <c r="H666">
        <v>6</v>
      </c>
      <c r="I666">
        <v>42</v>
      </c>
      <c r="K666" s="122">
        <v>45547</v>
      </c>
      <c r="L666">
        <v>0.97355999999999998</v>
      </c>
    </row>
    <row r="667" spans="1:12" x14ac:dyDescent="0.35">
      <c r="A667" t="s">
        <v>34</v>
      </c>
      <c r="D667" t="s">
        <v>36</v>
      </c>
      <c r="F667">
        <v>3</v>
      </c>
      <c r="G667">
        <v>2</v>
      </c>
      <c r="H667">
        <v>6</v>
      </c>
      <c r="I667">
        <v>42</v>
      </c>
      <c r="K667" s="122">
        <v>45553</v>
      </c>
      <c r="L667">
        <v>0.96521000000000001</v>
      </c>
    </row>
    <row r="668" spans="1:12" x14ac:dyDescent="0.35">
      <c r="A668" t="s">
        <v>34</v>
      </c>
      <c r="D668" t="s">
        <v>36</v>
      </c>
      <c r="F668">
        <v>3</v>
      </c>
      <c r="G668">
        <v>2</v>
      </c>
      <c r="H668">
        <v>6</v>
      </c>
      <c r="I668">
        <v>42</v>
      </c>
      <c r="K668" s="122">
        <v>45936</v>
      </c>
      <c r="L668">
        <v>0.89692000000000005</v>
      </c>
    </row>
    <row r="669" spans="1:12" x14ac:dyDescent="0.35">
      <c r="A669" t="s">
        <v>34</v>
      </c>
      <c r="D669" t="s">
        <v>36</v>
      </c>
      <c r="F669">
        <v>3</v>
      </c>
      <c r="G669">
        <v>2</v>
      </c>
      <c r="H669">
        <v>6</v>
      </c>
      <c r="I669">
        <v>42</v>
      </c>
      <c r="K669" s="122">
        <v>45944</v>
      </c>
      <c r="L669">
        <v>0.82467000000000001</v>
      </c>
    </row>
    <row r="670" spans="1:12" x14ac:dyDescent="0.35">
      <c r="A670" t="s">
        <v>34</v>
      </c>
      <c r="D670" t="s">
        <v>36</v>
      </c>
      <c r="F670">
        <v>3</v>
      </c>
      <c r="G670">
        <v>2</v>
      </c>
      <c r="H670">
        <v>6</v>
      </c>
      <c r="I670">
        <v>42</v>
      </c>
      <c r="K670" s="122">
        <v>45590</v>
      </c>
      <c r="L670">
        <v>0.62649999999999995</v>
      </c>
    </row>
    <row r="671" spans="1:12" x14ac:dyDescent="0.35">
      <c r="A671" t="s">
        <v>34</v>
      </c>
      <c r="D671" t="s">
        <v>36</v>
      </c>
      <c r="F671">
        <v>3</v>
      </c>
      <c r="G671">
        <v>2</v>
      </c>
      <c r="H671">
        <v>6</v>
      </c>
      <c r="I671">
        <v>42</v>
      </c>
      <c r="K671" s="122">
        <v>45596</v>
      </c>
      <c r="L671">
        <v>0.36587999999999998</v>
      </c>
    </row>
    <row r="672" spans="1:12" x14ac:dyDescent="0.35">
      <c r="A672" t="s">
        <v>34</v>
      </c>
      <c r="D672" t="s">
        <v>36</v>
      </c>
      <c r="F672">
        <v>3</v>
      </c>
      <c r="G672">
        <v>2</v>
      </c>
      <c r="H672">
        <v>6</v>
      </c>
      <c r="I672">
        <v>42</v>
      </c>
      <c r="K672" s="122">
        <v>45968</v>
      </c>
      <c r="L672">
        <v>0.26283000000000001</v>
      </c>
    </row>
    <row r="673" spans="1:12" x14ac:dyDescent="0.35">
      <c r="A673" t="s">
        <v>34</v>
      </c>
      <c r="D673" t="s">
        <v>36</v>
      </c>
      <c r="F673">
        <v>3</v>
      </c>
      <c r="G673">
        <v>2</v>
      </c>
      <c r="H673">
        <v>6</v>
      </c>
      <c r="I673">
        <v>42</v>
      </c>
      <c r="K673" s="122">
        <v>45975</v>
      </c>
      <c r="L673">
        <v>0.20429</v>
      </c>
    </row>
    <row r="674" spans="1:12" x14ac:dyDescent="0.35">
      <c r="A674" t="s">
        <v>34</v>
      </c>
      <c r="D674" t="s">
        <v>37</v>
      </c>
      <c r="F674">
        <v>3</v>
      </c>
      <c r="G674">
        <v>3</v>
      </c>
      <c r="H674">
        <v>6</v>
      </c>
      <c r="I674">
        <v>43</v>
      </c>
      <c r="K674" s="122">
        <v>45421</v>
      </c>
    </row>
    <row r="675" spans="1:12" x14ac:dyDescent="0.35">
      <c r="A675" t="s">
        <v>34</v>
      </c>
      <c r="D675" t="s">
        <v>37</v>
      </c>
      <c r="F675">
        <v>3</v>
      </c>
      <c r="G675">
        <v>3</v>
      </c>
      <c r="H675">
        <v>6</v>
      </c>
      <c r="I675">
        <v>43</v>
      </c>
      <c r="K675" s="122">
        <v>45442</v>
      </c>
      <c r="L675">
        <v>0.14143</v>
      </c>
    </row>
    <row r="676" spans="1:12" x14ac:dyDescent="0.35">
      <c r="A676" t="s">
        <v>34</v>
      </c>
      <c r="D676" t="s">
        <v>37</v>
      </c>
      <c r="F676">
        <v>3</v>
      </c>
      <c r="G676">
        <v>3</v>
      </c>
      <c r="H676">
        <v>6</v>
      </c>
      <c r="I676">
        <v>43</v>
      </c>
      <c r="K676" s="122">
        <v>45461</v>
      </c>
      <c r="L676">
        <v>0.33245000000000002</v>
      </c>
    </row>
    <row r="677" spans="1:12" x14ac:dyDescent="0.35">
      <c r="A677" t="s">
        <v>34</v>
      </c>
      <c r="D677" t="s">
        <v>37</v>
      </c>
      <c r="F677">
        <v>3</v>
      </c>
      <c r="G677">
        <v>3</v>
      </c>
      <c r="H677">
        <v>6</v>
      </c>
      <c r="I677">
        <v>43</v>
      </c>
      <c r="K677" s="122">
        <v>45477</v>
      </c>
      <c r="L677">
        <v>0.46200000000000002</v>
      </c>
    </row>
    <row r="678" spans="1:12" x14ac:dyDescent="0.35">
      <c r="A678" t="s">
        <v>34</v>
      </c>
      <c r="D678" t="s">
        <v>37</v>
      </c>
      <c r="F678">
        <v>3</v>
      </c>
      <c r="G678">
        <v>3</v>
      </c>
      <c r="H678">
        <v>6</v>
      </c>
      <c r="I678">
        <v>43</v>
      </c>
      <c r="K678" s="122">
        <v>45510</v>
      </c>
      <c r="L678">
        <v>0.85818000000000005</v>
      </c>
    </row>
    <row r="679" spans="1:12" x14ac:dyDescent="0.35">
      <c r="A679" t="s">
        <v>34</v>
      </c>
      <c r="D679" t="s">
        <v>37</v>
      </c>
      <c r="F679">
        <v>3</v>
      </c>
      <c r="G679">
        <v>3</v>
      </c>
      <c r="H679">
        <v>6</v>
      </c>
      <c r="I679">
        <v>43</v>
      </c>
      <c r="K679" s="122">
        <v>45519</v>
      </c>
      <c r="L679">
        <v>0.89410999999999996</v>
      </c>
    </row>
    <row r="680" spans="1:12" x14ac:dyDescent="0.35">
      <c r="A680" t="s">
        <v>34</v>
      </c>
      <c r="D680" t="s">
        <v>37</v>
      </c>
      <c r="F680">
        <v>3</v>
      </c>
      <c r="G680">
        <v>3</v>
      </c>
      <c r="H680">
        <v>6</v>
      </c>
      <c r="I680">
        <v>43</v>
      </c>
      <c r="K680" s="122">
        <v>45530</v>
      </c>
      <c r="L680">
        <v>0.90766999999999998</v>
      </c>
    </row>
    <row r="681" spans="1:12" x14ac:dyDescent="0.35">
      <c r="A681" t="s">
        <v>34</v>
      </c>
      <c r="D681" t="s">
        <v>37</v>
      </c>
      <c r="F681">
        <v>3</v>
      </c>
      <c r="G681">
        <v>3</v>
      </c>
      <c r="H681">
        <v>6</v>
      </c>
      <c r="I681">
        <v>43</v>
      </c>
      <c r="K681" s="122">
        <v>45538</v>
      </c>
      <c r="L681">
        <v>0.91117000000000004</v>
      </c>
    </row>
    <row r="682" spans="1:12" x14ac:dyDescent="0.35">
      <c r="A682" t="s">
        <v>34</v>
      </c>
      <c r="D682" t="s">
        <v>37</v>
      </c>
      <c r="F682">
        <v>3</v>
      </c>
      <c r="G682">
        <v>3</v>
      </c>
      <c r="H682">
        <v>6</v>
      </c>
      <c r="I682">
        <v>43</v>
      </c>
      <c r="K682" s="122">
        <v>45547</v>
      </c>
      <c r="L682">
        <v>0.96262000000000003</v>
      </c>
    </row>
    <row r="683" spans="1:12" x14ac:dyDescent="0.35">
      <c r="A683" t="s">
        <v>34</v>
      </c>
      <c r="D683" t="s">
        <v>37</v>
      </c>
      <c r="F683">
        <v>3</v>
      </c>
      <c r="G683">
        <v>3</v>
      </c>
      <c r="H683">
        <v>6</v>
      </c>
      <c r="I683">
        <v>43</v>
      </c>
      <c r="K683" s="122">
        <v>45553</v>
      </c>
      <c r="L683">
        <v>0.97057000000000004</v>
      </c>
    </row>
    <row r="684" spans="1:12" x14ac:dyDescent="0.35">
      <c r="A684" t="s">
        <v>34</v>
      </c>
      <c r="D684" t="s">
        <v>37</v>
      </c>
      <c r="F684">
        <v>3</v>
      </c>
      <c r="G684">
        <v>3</v>
      </c>
      <c r="H684">
        <v>6</v>
      </c>
      <c r="I684">
        <v>43</v>
      </c>
      <c r="K684" s="122">
        <v>45936</v>
      </c>
      <c r="L684">
        <v>0.92600000000000005</v>
      </c>
    </row>
    <row r="685" spans="1:12" x14ac:dyDescent="0.35">
      <c r="A685" t="s">
        <v>34</v>
      </c>
      <c r="D685" t="s">
        <v>37</v>
      </c>
      <c r="F685">
        <v>3</v>
      </c>
      <c r="G685">
        <v>3</v>
      </c>
      <c r="H685">
        <v>6</v>
      </c>
      <c r="I685">
        <v>43</v>
      </c>
      <c r="K685" s="122">
        <v>45944</v>
      </c>
      <c r="L685">
        <v>0.85785999999999996</v>
      </c>
    </row>
    <row r="686" spans="1:12" x14ac:dyDescent="0.35">
      <c r="A686" t="s">
        <v>34</v>
      </c>
      <c r="D686" t="s">
        <v>37</v>
      </c>
      <c r="F686">
        <v>3</v>
      </c>
      <c r="G686">
        <v>3</v>
      </c>
      <c r="H686">
        <v>6</v>
      </c>
      <c r="I686">
        <v>43</v>
      </c>
      <c r="K686" s="122">
        <v>45590</v>
      </c>
      <c r="L686">
        <v>0.56713999999999998</v>
      </c>
    </row>
    <row r="687" spans="1:12" x14ac:dyDescent="0.35">
      <c r="A687" t="s">
        <v>34</v>
      </c>
      <c r="D687" t="s">
        <v>37</v>
      </c>
      <c r="F687">
        <v>3</v>
      </c>
      <c r="G687">
        <v>3</v>
      </c>
      <c r="H687">
        <v>6</v>
      </c>
      <c r="I687">
        <v>43</v>
      </c>
      <c r="K687" s="122">
        <v>45596</v>
      </c>
      <c r="L687">
        <v>0.36599999999999999</v>
      </c>
    </row>
    <row r="688" spans="1:12" x14ac:dyDescent="0.35">
      <c r="A688" t="s">
        <v>34</v>
      </c>
      <c r="D688" t="s">
        <v>37</v>
      </c>
      <c r="F688">
        <v>3</v>
      </c>
      <c r="G688">
        <v>3</v>
      </c>
      <c r="H688">
        <v>6</v>
      </c>
      <c r="I688">
        <v>43</v>
      </c>
      <c r="K688" s="122">
        <v>45968</v>
      </c>
      <c r="L688">
        <v>0.25370999999999999</v>
      </c>
    </row>
    <row r="689" spans="1:12" x14ac:dyDescent="0.35">
      <c r="A689" t="s">
        <v>34</v>
      </c>
      <c r="D689" t="s">
        <v>37</v>
      </c>
      <c r="F689">
        <v>3</v>
      </c>
      <c r="G689">
        <v>3</v>
      </c>
      <c r="H689">
        <v>6</v>
      </c>
      <c r="I689">
        <v>43</v>
      </c>
      <c r="K689" s="122">
        <v>45975</v>
      </c>
      <c r="L689">
        <v>0.20888000000000001</v>
      </c>
    </row>
    <row r="690" spans="1:12" x14ac:dyDescent="0.35">
      <c r="A690" t="s">
        <v>34</v>
      </c>
      <c r="D690" t="s">
        <v>42</v>
      </c>
      <c r="F690">
        <v>3</v>
      </c>
      <c r="G690">
        <v>4</v>
      </c>
      <c r="H690">
        <v>6</v>
      </c>
      <c r="I690">
        <v>44</v>
      </c>
      <c r="K690" s="122">
        <v>45421</v>
      </c>
    </row>
    <row r="691" spans="1:12" x14ac:dyDescent="0.35">
      <c r="A691" t="s">
        <v>34</v>
      </c>
      <c r="D691" t="s">
        <v>42</v>
      </c>
      <c r="F691">
        <v>3</v>
      </c>
      <c r="G691">
        <v>4</v>
      </c>
      <c r="H691">
        <v>6</v>
      </c>
      <c r="I691">
        <v>44</v>
      </c>
      <c r="K691" s="122">
        <v>45442</v>
      </c>
      <c r="L691">
        <v>0.14263999999999999</v>
      </c>
    </row>
    <row r="692" spans="1:12" x14ac:dyDescent="0.35">
      <c r="A692" t="s">
        <v>34</v>
      </c>
      <c r="D692" t="s">
        <v>42</v>
      </c>
      <c r="F692">
        <v>3</v>
      </c>
      <c r="G692">
        <v>4</v>
      </c>
      <c r="H692">
        <v>6</v>
      </c>
      <c r="I692">
        <v>44</v>
      </c>
      <c r="K692" s="122">
        <v>45461</v>
      </c>
      <c r="L692">
        <v>0.315</v>
      </c>
    </row>
    <row r="693" spans="1:12" x14ac:dyDescent="0.35">
      <c r="A693" t="s">
        <v>34</v>
      </c>
      <c r="D693" t="s">
        <v>42</v>
      </c>
      <c r="F693">
        <v>3</v>
      </c>
      <c r="G693">
        <v>4</v>
      </c>
      <c r="H693">
        <v>6</v>
      </c>
      <c r="I693">
        <v>44</v>
      </c>
      <c r="K693" s="122">
        <v>45477</v>
      </c>
      <c r="L693">
        <v>0.47520000000000001</v>
      </c>
    </row>
    <row r="694" spans="1:12" x14ac:dyDescent="0.35">
      <c r="A694" t="s">
        <v>34</v>
      </c>
      <c r="D694" t="s">
        <v>42</v>
      </c>
      <c r="F694">
        <v>3</v>
      </c>
      <c r="G694">
        <v>4</v>
      </c>
      <c r="H694">
        <v>6</v>
      </c>
      <c r="I694">
        <v>44</v>
      </c>
      <c r="K694" s="122">
        <v>45510</v>
      </c>
      <c r="L694">
        <v>0.80630999999999997</v>
      </c>
    </row>
    <row r="695" spans="1:12" x14ac:dyDescent="0.35">
      <c r="A695" t="s">
        <v>34</v>
      </c>
      <c r="D695" t="s">
        <v>42</v>
      </c>
      <c r="F695">
        <v>3</v>
      </c>
      <c r="G695">
        <v>4</v>
      </c>
      <c r="H695">
        <v>6</v>
      </c>
      <c r="I695">
        <v>44</v>
      </c>
      <c r="K695" s="122">
        <v>45519</v>
      </c>
      <c r="L695">
        <v>0.84157999999999999</v>
      </c>
    </row>
    <row r="696" spans="1:12" x14ac:dyDescent="0.35">
      <c r="A696" t="s">
        <v>34</v>
      </c>
      <c r="D696" t="s">
        <v>42</v>
      </c>
      <c r="F696">
        <v>3</v>
      </c>
      <c r="G696">
        <v>4</v>
      </c>
      <c r="H696">
        <v>6</v>
      </c>
      <c r="I696">
        <v>44</v>
      </c>
      <c r="K696" s="122">
        <v>45530</v>
      </c>
      <c r="L696">
        <v>0.90264</v>
      </c>
    </row>
    <row r="697" spans="1:12" x14ac:dyDescent="0.35">
      <c r="A697" t="s">
        <v>34</v>
      </c>
      <c r="D697" t="s">
        <v>42</v>
      </c>
      <c r="F697">
        <v>3</v>
      </c>
      <c r="G697">
        <v>4</v>
      </c>
      <c r="H697">
        <v>6</v>
      </c>
      <c r="I697">
        <v>44</v>
      </c>
      <c r="K697" s="122">
        <v>45538</v>
      </c>
      <c r="L697">
        <v>0.91181999999999996</v>
      </c>
    </row>
    <row r="698" spans="1:12" x14ac:dyDescent="0.35">
      <c r="A698" t="s">
        <v>34</v>
      </c>
      <c r="D698" t="s">
        <v>42</v>
      </c>
      <c r="F698">
        <v>3</v>
      </c>
      <c r="G698">
        <v>4</v>
      </c>
      <c r="H698">
        <v>6</v>
      </c>
      <c r="I698">
        <v>44</v>
      </c>
      <c r="K698" s="122">
        <v>45547</v>
      </c>
      <c r="L698">
        <v>0.95269999999999999</v>
      </c>
    </row>
    <row r="699" spans="1:12" x14ac:dyDescent="0.35">
      <c r="A699" t="s">
        <v>34</v>
      </c>
      <c r="D699" t="s">
        <v>42</v>
      </c>
      <c r="F699">
        <v>3</v>
      </c>
      <c r="G699">
        <v>4</v>
      </c>
      <c r="H699">
        <v>6</v>
      </c>
      <c r="I699">
        <v>44</v>
      </c>
      <c r="K699" s="122">
        <v>45553</v>
      </c>
      <c r="L699">
        <v>0.95891999999999999</v>
      </c>
    </row>
    <row r="700" spans="1:12" x14ac:dyDescent="0.35">
      <c r="A700" t="s">
        <v>34</v>
      </c>
      <c r="D700" t="s">
        <v>42</v>
      </c>
      <c r="F700">
        <v>3</v>
      </c>
      <c r="G700">
        <v>4</v>
      </c>
      <c r="H700">
        <v>6</v>
      </c>
      <c r="I700">
        <v>44</v>
      </c>
      <c r="K700" s="122">
        <v>45936</v>
      </c>
      <c r="L700">
        <v>0.89914000000000005</v>
      </c>
    </row>
    <row r="701" spans="1:12" x14ac:dyDescent="0.35">
      <c r="A701" t="s">
        <v>34</v>
      </c>
      <c r="D701" t="s">
        <v>42</v>
      </c>
      <c r="F701">
        <v>3</v>
      </c>
      <c r="G701">
        <v>4</v>
      </c>
      <c r="H701">
        <v>6</v>
      </c>
      <c r="I701">
        <v>44</v>
      </c>
      <c r="K701" s="122">
        <v>45944</v>
      </c>
      <c r="L701">
        <v>0.76488</v>
      </c>
    </row>
    <row r="702" spans="1:12" x14ac:dyDescent="0.35">
      <c r="A702" t="s">
        <v>34</v>
      </c>
      <c r="D702" t="s">
        <v>42</v>
      </c>
      <c r="F702">
        <v>3</v>
      </c>
      <c r="G702">
        <v>4</v>
      </c>
      <c r="H702">
        <v>6</v>
      </c>
      <c r="I702">
        <v>44</v>
      </c>
      <c r="K702" s="122">
        <v>45590</v>
      </c>
      <c r="L702">
        <v>0.49470999999999998</v>
      </c>
    </row>
    <row r="703" spans="1:12" x14ac:dyDescent="0.35">
      <c r="A703" t="s">
        <v>34</v>
      </c>
      <c r="D703" t="s">
        <v>42</v>
      </c>
      <c r="F703">
        <v>3</v>
      </c>
      <c r="G703">
        <v>4</v>
      </c>
      <c r="H703">
        <v>6</v>
      </c>
      <c r="I703">
        <v>44</v>
      </c>
      <c r="K703" s="122">
        <v>45596</v>
      </c>
      <c r="L703">
        <v>0.29399999999999998</v>
      </c>
    </row>
    <row r="704" spans="1:12" x14ac:dyDescent="0.35">
      <c r="A704" t="s">
        <v>34</v>
      </c>
      <c r="D704" t="s">
        <v>42</v>
      </c>
      <c r="F704">
        <v>3</v>
      </c>
      <c r="G704">
        <v>4</v>
      </c>
      <c r="H704">
        <v>6</v>
      </c>
      <c r="I704">
        <v>44</v>
      </c>
      <c r="K704" s="122">
        <v>45968</v>
      </c>
      <c r="L704">
        <v>0.21432999999999999</v>
      </c>
    </row>
    <row r="705" spans="1:12" x14ac:dyDescent="0.35">
      <c r="A705" t="s">
        <v>34</v>
      </c>
      <c r="D705" t="s">
        <v>42</v>
      </c>
      <c r="F705">
        <v>3</v>
      </c>
      <c r="G705">
        <v>4</v>
      </c>
      <c r="H705">
        <v>6</v>
      </c>
      <c r="I705">
        <v>44</v>
      </c>
      <c r="K705" s="122">
        <v>45975</v>
      </c>
      <c r="L705">
        <v>0.20899999999999999</v>
      </c>
    </row>
    <row r="706" spans="1:12" x14ac:dyDescent="0.35">
      <c r="A706" t="s">
        <v>34</v>
      </c>
      <c r="D706" t="s">
        <v>43</v>
      </c>
      <c r="F706">
        <v>3</v>
      </c>
      <c r="G706">
        <v>5</v>
      </c>
      <c r="H706">
        <v>6</v>
      </c>
      <c r="I706">
        <v>45</v>
      </c>
      <c r="K706" s="122">
        <v>45421</v>
      </c>
    </row>
    <row r="707" spans="1:12" x14ac:dyDescent="0.35">
      <c r="A707" t="s">
        <v>34</v>
      </c>
      <c r="D707" t="s">
        <v>43</v>
      </c>
      <c r="F707">
        <v>3</v>
      </c>
      <c r="G707">
        <v>5</v>
      </c>
      <c r="H707">
        <v>6</v>
      </c>
      <c r="I707">
        <v>45</v>
      </c>
      <c r="K707" s="122">
        <v>45442</v>
      </c>
      <c r="L707">
        <v>0.13966999999999999</v>
      </c>
    </row>
    <row r="708" spans="1:12" x14ac:dyDescent="0.35">
      <c r="A708" t="s">
        <v>34</v>
      </c>
      <c r="D708" t="s">
        <v>43</v>
      </c>
      <c r="F708">
        <v>3</v>
      </c>
      <c r="G708">
        <v>5</v>
      </c>
      <c r="H708">
        <v>6</v>
      </c>
      <c r="I708">
        <v>45</v>
      </c>
      <c r="K708" s="122">
        <v>45461</v>
      </c>
      <c r="L708">
        <v>0.29326999999999998</v>
      </c>
    </row>
    <row r="709" spans="1:12" x14ac:dyDescent="0.35">
      <c r="A709" t="s">
        <v>34</v>
      </c>
      <c r="D709" t="s">
        <v>43</v>
      </c>
      <c r="F709">
        <v>3</v>
      </c>
      <c r="G709">
        <v>5</v>
      </c>
      <c r="H709">
        <v>6</v>
      </c>
      <c r="I709">
        <v>45</v>
      </c>
      <c r="K709" s="122">
        <v>45477</v>
      </c>
      <c r="L709">
        <v>0.44590999999999997</v>
      </c>
    </row>
    <row r="710" spans="1:12" x14ac:dyDescent="0.35">
      <c r="A710" t="s">
        <v>34</v>
      </c>
      <c r="D710" t="s">
        <v>43</v>
      </c>
      <c r="F710">
        <v>3</v>
      </c>
      <c r="G710">
        <v>5</v>
      </c>
      <c r="H710">
        <v>6</v>
      </c>
      <c r="I710">
        <v>45</v>
      </c>
      <c r="K710" s="122">
        <v>45510</v>
      </c>
      <c r="L710">
        <v>0.83982000000000001</v>
      </c>
    </row>
    <row r="711" spans="1:12" x14ac:dyDescent="0.35">
      <c r="A711" t="s">
        <v>34</v>
      </c>
      <c r="D711" t="s">
        <v>43</v>
      </c>
      <c r="F711">
        <v>3</v>
      </c>
      <c r="G711">
        <v>5</v>
      </c>
      <c r="H711">
        <v>6</v>
      </c>
      <c r="I711">
        <v>45</v>
      </c>
      <c r="K711" s="122">
        <v>45519</v>
      </c>
      <c r="L711">
        <v>0.86724999999999997</v>
      </c>
    </row>
    <row r="712" spans="1:12" x14ac:dyDescent="0.35">
      <c r="A712" t="s">
        <v>34</v>
      </c>
      <c r="D712" t="s">
        <v>43</v>
      </c>
      <c r="F712">
        <v>3</v>
      </c>
      <c r="G712">
        <v>5</v>
      </c>
      <c r="H712">
        <v>6</v>
      </c>
      <c r="I712">
        <v>45</v>
      </c>
      <c r="K712" s="122">
        <v>45530</v>
      </c>
      <c r="L712">
        <v>0.90959999999999996</v>
      </c>
    </row>
    <row r="713" spans="1:12" x14ac:dyDescent="0.35">
      <c r="A713" t="s">
        <v>34</v>
      </c>
      <c r="D713" t="s">
        <v>43</v>
      </c>
      <c r="F713">
        <v>3</v>
      </c>
      <c r="G713">
        <v>5</v>
      </c>
      <c r="H713">
        <v>6</v>
      </c>
      <c r="I713">
        <v>45</v>
      </c>
      <c r="K713" s="122">
        <v>45538</v>
      </c>
      <c r="L713">
        <v>0.91273000000000004</v>
      </c>
    </row>
    <row r="714" spans="1:12" x14ac:dyDescent="0.35">
      <c r="A714" t="s">
        <v>34</v>
      </c>
      <c r="D714" t="s">
        <v>43</v>
      </c>
      <c r="F714">
        <v>3</v>
      </c>
      <c r="G714">
        <v>5</v>
      </c>
      <c r="H714">
        <v>6</v>
      </c>
      <c r="I714">
        <v>45</v>
      </c>
      <c r="K714" s="122">
        <v>45547</v>
      </c>
      <c r="L714">
        <v>0.96557999999999999</v>
      </c>
    </row>
    <row r="715" spans="1:12" x14ac:dyDescent="0.35">
      <c r="A715" t="s">
        <v>34</v>
      </c>
      <c r="D715" t="s">
        <v>43</v>
      </c>
      <c r="F715">
        <v>3</v>
      </c>
      <c r="G715">
        <v>5</v>
      </c>
      <c r="H715">
        <v>6</v>
      </c>
      <c r="I715">
        <v>45</v>
      </c>
      <c r="K715" s="122">
        <v>45553</v>
      </c>
      <c r="L715">
        <v>0.96699999999999997</v>
      </c>
    </row>
    <row r="716" spans="1:12" x14ac:dyDescent="0.35">
      <c r="A716" t="s">
        <v>34</v>
      </c>
      <c r="D716" t="s">
        <v>43</v>
      </c>
      <c r="F716">
        <v>3</v>
      </c>
      <c r="G716">
        <v>5</v>
      </c>
      <c r="H716">
        <v>6</v>
      </c>
      <c r="I716">
        <v>45</v>
      </c>
      <c r="K716" s="122">
        <v>45936</v>
      </c>
      <c r="L716">
        <v>0.92244999999999999</v>
      </c>
    </row>
    <row r="717" spans="1:12" x14ac:dyDescent="0.35">
      <c r="A717" t="s">
        <v>34</v>
      </c>
      <c r="D717" t="s">
        <v>43</v>
      </c>
      <c r="F717">
        <v>3</v>
      </c>
      <c r="G717">
        <v>5</v>
      </c>
      <c r="H717">
        <v>6</v>
      </c>
      <c r="I717">
        <v>45</v>
      </c>
      <c r="K717" s="122">
        <v>45944</v>
      </c>
      <c r="L717">
        <v>0.85363</v>
      </c>
    </row>
    <row r="718" spans="1:12" x14ac:dyDescent="0.35">
      <c r="A718" t="s">
        <v>34</v>
      </c>
      <c r="D718" t="s">
        <v>43</v>
      </c>
      <c r="F718">
        <v>3</v>
      </c>
      <c r="G718">
        <v>5</v>
      </c>
      <c r="H718">
        <v>6</v>
      </c>
      <c r="I718">
        <v>45</v>
      </c>
      <c r="K718" s="122">
        <v>45590</v>
      </c>
      <c r="L718">
        <v>0.69467000000000001</v>
      </c>
    </row>
    <row r="719" spans="1:12" x14ac:dyDescent="0.35">
      <c r="A719" t="s">
        <v>34</v>
      </c>
      <c r="D719" t="s">
        <v>43</v>
      </c>
      <c r="F719">
        <v>3</v>
      </c>
      <c r="G719">
        <v>5</v>
      </c>
      <c r="H719">
        <v>6</v>
      </c>
      <c r="I719">
        <v>45</v>
      </c>
      <c r="K719" s="122">
        <v>45596</v>
      </c>
      <c r="L719">
        <v>0.44629000000000002</v>
      </c>
    </row>
    <row r="720" spans="1:12" x14ac:dyDescent="0.35">
      <c r="A720" t="s">
        <v>34</v>
      </c>
      <c r="D720" t="s">
        <v>43</v>
      </c>
      <c r="F720">
        <v>3</v>
      </c>
      <c r="G720">
        <v>5</v>
      </c>
      <c r="H720">
        <v>6</v>
      </c>
      <c r="I720">
        <v>45</v>
      </c>
      <c r="K720" s="122">
        <v>45968</v>
      </c>
      <c r="L720">
        <v>0.24288000000000001</v>
      </c>
    </row>
    <row r="721" spans="1:12" x14ac:dyDescent="0.35">
      <c r="A721" t="s">
        <v>34</v>
      </c>
      <c r="D721" t="s">
        <v>43</v>
      </c>
      <c r="F721">
        <v>3</v>
      </c>
      <c r="G721">
        <v>5</v>
      </c>
      <c r="H721">
        <v>6</v>
      </c>
      <c r="I721">
        <v>45</v>
      </c>
      <c r="K721" s="122">
        <v>45975</v>
      </c>
      <c r="L721">
        <v>0.19886000000000001</v>
      </c>
    </row>
    <row r="722" spans="1:12" x14ac:dyDescent="0.35">
      <c r="A722" t="s">
        <v>34</v>
      </c>
      <c r="D722" t="s">
        <v>39</v>
      </c>
      <c r="F722">
        <v>3</v>
      </c>
      <c r="G722">
        <v>6</v>
      </c>
      <c r="H722">
        <v>6</v>
      </c>
      <c r="I722">
        <v>46</v>
      </c>
      <c r="K722" s="122">
        <v>45421</v>
      </c>
    </row>
    <row r="723" spans="1:12" x14ac:dyDescent="0.35">
      <c r="A723" t="s">
        <v>34</v>
      </c>
      <c r="D723" t="s">
        <v>39</v>
      </c>
      <c r="F723">
        <v>3</v>
      </c>
      <c r="G723">
        <v>6</v>
      </c>
      <c r="H723">
        <v>6</v>
      </c>
      <c r="I723">
        <v>46</v>
      </c>
      <c r="K723" s="122">
        <v>45442</v>
      </c>
      <c r="L723">
        <v>0.13893</v>
      </c>
    </row>
    <row r="724" spans="1:12" x14ac:dyDescent="0.35">
      <c r="A724" t="s">
        <v>34</v>
      </c>
      <c r="D724" t="s">
        <v>39</v>
      </c>
      <c r="F724">
        <v>3</v>
      </c>
      <c r="G724">
        <v>6</v>
      </c>
      <c r="H724">
        <v>6</v>
      </c>
      <c r="I724">
        <v>46</v>
      </c>
      <c r="K724" s="122">
        <v>45461</v>
      </c>
      <c r="L724">
        <v>0.35899999999999999</v>
      </c>
    </row>
    <row r="725" spans="1:12" x14ac:dyDescent="0.35">
      <c r="A725" t="s">
        <v>34</v>
      </c>
      <c r="D725" t="s">
        <v>39</v>
      </c>
      <c r="F725">
        <v>3</v>
      </c>
      <c r="G725">
        <v>6</v>
      </c>
      <c r="H725">
        <v>6</v>
      </c>
      <c r="I725">
        <v>46</v>
      </c>
      <c r="K725" s="122">
        <v>45477</v>
      </c>
      <c r="L725">
        <v>0.54420000000000002</v>
      </c>
    </row>
    <row r="726" spans="1:12" x14ac:dyDescent="0.35">
      <c r="A726" t="s">
        <v>34</v>
      </c>
      <c r="D726" t="s">
        <v>39</v>
      </c>
      <c r="F726">
        <v>3</v>
      </c>
      <c r="G726">
        <v>6</v>
      </c>
      <c r="H726">
        <v>6</v>
      </c>
      <c r="I726">
        <v>46</v>
      </c>
      <c r="K726" s="122">
        <v>45510</v>
      </c>
      <c r="L726">
        <v>0.83933000000000002</v>
      </c>
    </row>
    <row r="727" spans="1:12" x14ac:dyDescent="0.35">
      <c r="A727" t="s">
        <v>34</v>
      </c>
      <c r="D727" t="s">
        <v>39</v>
      </c>
      <c r="F727">
        <v>3</v>
      </c>
      <c r="G727">
        <v>6</v>
      </c>
      <c r="H727">
        <v>6</v>
      </c>
      <c r="I727">
        <v>46</v>
      </c>
      <c r="K727" s="122">
        <v>45519</v>
      </c>
      <c r="L727">
        <v>0.86545000000000005</v>
      </c>
    </row>
    <row r="728" spans="1:12" x14ac:dyDescent="0.35">
      <c r="A728" t="s">
        <v>34</v>
      </c>
      <c r="D728" t="s">
        <v>39</v>
      </c>
      <c r="F728">
        <v>3</v>
      </c>
      <c r="G728">
        <v>6</v>
      </c>
      <c r="H728">
        <v>6</v>
      </c>
      <c r="I728">
        <v>46</v>
      </c>
      <c r="K728" s="122">
        <v>45530</v>
      </c>
      <c r="L728">
        <v>0.89724999999999999</v>
      </c>
    </row>
    <row r="729" spans="1:12" x14ac:dyDescent="0.35">
      <c r="A729" t="s">
        <v>34</v>
      </c>
      <c r="D729" t="s">
        <v>39</v>
      </c>
      <c r="F729">
        <v>3</v>
      </c>
      <c r="G729">
        <v>6</v>
      </c>
      <c r="H729">
        <v>6</v>
      </c>
      <c r="I729">
        <v>46</v>
      </c>
      <c r="K729" s="122">
        <v>45538</v>
      </c>
      <c r="L729">
        <v>0.89629999999999999</v>
      </c>
    </row>
    <row r="730" spans="1:12" x14ac:dyDescent="0.35">
      <c r="A730" t="s">
        <v>34</v>
      </c>
      <c r="D730" t="s">
        <v>39</v>
      </c>
      <c r="F730">
        <v>3</v>
      </c>
      <c r="G730">
        <v>6</v>
      </c>
      <c r="H730">
        <v>6</v>
      </c>
      <c r="I730">
        <v>46</v>
      </c>
      <c r="K730" s="122">
        <v>45547</v>
      </c>
      <c r="L730">
        <v>0.93455999999999995</v>
      </c>
    </row>
    <row r="731" spans="1:12" x14ac:dyDescent="0.35">
      <c r="A731" t="s">
        <v>34</v>
      </c>
      <c r="D731" t="s">
        <v>39</v>
      </c>
      <c r="F731">
        <v>3</v>
      </c>
      <c r="G731">
        <v>6</v>
      </c>
      <c r="H731">
        <v>6</v>
      </c>
      <c r="I731">
        <v>46</v>
      </c>
      <c r="K731" s="122">
        <v>45553</v>
      </c>
      <c r="L731">
        <v>0.93871000000000004</v>
      </c>
    </row>
    <row r="732" spans="1:12" x14ac:dyDescent="0.35">
      <c r="A732" t="s">
        <v>34</v>
      </c>
      <c r="D732" t="s">
        <v>39</v>
      </c>
      <c r="F732">
        <v>3</v>
      </c>
      <c r="G732">
        <v>6</v>
      </c>
      <c r="H732">
        <v>6</v>
      </c>
      <c r="I732">
        <v>46</v>
      </c>
      <c r="K732" s="122">
        <v>45936</v>
      </c>
      <c r="L732">
        <v>0.86729999999999996</v>
      </c>
    </row>
    <row r="733" spans="1:12" x14ac:dyDescent="0.35">
      <c r="A733" t="s">
        <v>34</v>
      </c>
      <c r="D733" t="s">
        <v>39</v>
      </c>
      <c r="F733">
        <v>3</v>
      </c>
      <c r="G733">
        <v>6</v>
      </c>
      <c r="H733">
        <v>6</v>
      </c>
      <c r="I733">
        <v>46</v>
      </c>
      <c r="K733" s="122">
        <v>45944</v>
      </c>
      <c r="L733">
        <v>0.71199999999999997</v>
      </c>
    </row>
    <row r="734" spans="1:12" x14ac:dyDescent="0.35">
      <c r="A734" t="s">
        <v>34</v>
      </c>
      <c r="D734" t="s">
        <v>39</v>
      </c>
      <c r="F734">
        <v>3</v>
      </c>
      <c r="G734">
        <v>6</v>
      </c>
      <c r="H734">
        <v>6</v>
      </c>
      <c r="I734">
        <v>46</v>
      </c>
      <c r="K734" s="122">
        <v>45590</v>
      </c>
      <c r="L734">
        <v>0.49125000000000002</v>
      </c>
    </row>
    <row r="735" spans="1:12" x14ac:dyDescent="0.35">
      <c r="A735" t="s">
        <v>34</v>
      </c>
      <c r="D735" t="s">
        <v>39</v>
      </c>
      <c r="F735">
        <v>3</v>
      </c>
      <c r="G735">
        <v>6</v>
      </c>
      <c r="H735">
        <v>6</v>
      </c>
      <c r="I735">
        <v>46</v>
      </c>
      <c r="K735" s="122">
        <v>45596</v>
      </c>
      <c r="L735">
        <v>0.30199999999999999</v>
      </c>
    </row>
    <row r="736" spans="1:12" x14ac:dyDescent="0.35">
      <c r="A736" t="s">
        <v>34</v>
      </c>
      <c r="D736" t="s">
        <v>39</v>
      </c>
      <c r="F736">
        <v>3</v>
      </c>
      <c r="G736">
        <v>6</v>
      </c>
      <c r="H736">
        <v>6</v>
      </c>
      <c r="I736">
        <v>46</v>
      </c>
      <c r="K736" s="122">
        <v>45968</v>
      </c>
      <c r="L736">
        <v>0.21487999999999999</v>
      </c>
    </row>
    <row r="737" spans="1:12" x14ac:dyDescent="0.35">
      <c r="A737" t="s">
        <v>34</v>
      </c>
      <c r="D737" t="s">
        <v>39</v>
      </c>
      <c r="F737">
        <v>3</v>
      </c>
      <c r="G737">
        <v>6</v>
      </c>
      <c r="H737">
        <v>6</v>
      </c>
      <c r="I737">
        <v>46</v>
      </c>
      <c r="K737" s="122">
        <v>45975</v>
      </c>
      <c r="L737">
        <v>0.20300000000000001</v>
      </c>
    </row>
    <row r="738" spans="1:12" x14ac:dyDescent="0.35">
      <c r="A738" t="s">
        <v>34</v>
      </c>
      <c r="D738" t="s">
        <v>38</v>
      </c>
      <c r="F738">
        <v>3</v>
      </c>
      <c r="G738">
        <v>7</v>
      </c>
      <c r="H738">
        <v>6</v>
      </c>
      <c r="I738">
        <v>47</v>
      </c>
      <c r="K738" s="122">
        <v>45421</v>
      </c>
    </row>
    <row r="739" spans="1:12" x14ac:dyDescent="0.35">
      <c r="A739" t="s">
        <v>34</v>
      </c>
      <c r="D739" t="s">
        <v>38</v>
      </c>
      <c r="F739">
        <v>3</v>
      </c>
      <c r="G739">
        <v>7</v>
      </c>
      <c r="H739">
        <v>6</v>
      </c>
      <c r="I739">
        <v>47</v>
      </c>
      <c r="K739" s="122">
        <v>45442</v>
      </c>
      <c r="L739">
        <v>0.13333</v>
      </c>
    </row>
    <row r="740" spans="1:12" x14ac:dyDescent="0.35">
      <c r="A740" t="s">
        <v>34</v>
      </c>
      <c r="D740" t="s">
        <v>38</v>
      </c>
      <c r="F740">
        <v>3</v>
      </c>
      <c r="G740">
        <v>7</v>
      </c>
      <c r="H740">
        <v>6</v>
      </c>
      <c r="I740">
        <v>47</v>
      </c>
      <c r="K740" s="122">
        <v>45461</v>
      </c>
      <c r="L740">
        <v>0.28360000000000002</v>
      </c>
    </row>
    <row r="741" spans="1:12" x14ac:dyDescent="0.35">
      <c r="A741" t="s">
        <v>34</v>
      </c>
      <c r="D741" t="s">
        <v>38</v>
      </c>
      <c r="F741">
        <v>3</v>
      </c>
      <c r="G741">
        <v>7</v>
      </c>
      <c r="H741">
        <v>6</v>
      </c>
      <c r="I741">
        <v>47</v>
      </c>
      <c r="K741" s="122">
        <v>45477</v>
      </c>
      <c r="L741">
        <v>0.40311000000000002</v>
      </c>
    </row>
    <row r="742" spans="1:12" x14ac:dyDescent="0.35">
      <c r="A742" t="s">
        <v>34</v>
      </c>
      <c r="D742" t="s">
        <v>38</v>
      </c>
      <c r="F742">
        <v>3</v>
      </c>
      <c r="G742">
        <v>7</v>
      </c>
      <c r="H742">
        <v>6</v>
      </c>
      <c r="I742">
        <v>47</v>
      </c>
      <c r="K742" s="122">
        <v>45510</v>
      </c>
      <c r="L742">
        <v>0.78249999999999997</v>
      </c>
    </row>
    <row r="743" spans="1:12" x14ac:dyDescent="0.35">
      <c r="A743" t="s">
        <v>34</v>
      </c>
      <c r="D743" t="s">
        <v>38</v>
      </c>
      <c r="F743">
        <v>3</v>
      </c>
      <c r="G743">
        <v>7</v>
      </c>
      <c r="H743">
        <v>6</v>
      </c>
      <c r="I743">
        <v>47</v>
      </c>
      <c r="K743" s="122">
        <v>45519</v>
      </c>
      <c r="L743">
        <v>0.81908000000000003</v>
      </c>
    </row>
    <row r="744" spans="1:12" x14ac:dyDescent="0.35">
      <c r="A744" t="s">
        <v>34</v>
      </c>
      <c r="D744" t="s">
        <v>38</v>
      </c>
      <c r="F744">
        <v>3</v>
      </c>
      <c r="G744">
        <v>7</v>
      </c>
      <c r="H744">
        <v>6</v>
      </c>
      <c r="I744">
        <v>47</v>
      </c>
      <c r="K744" s="122">
        <v>45530</v>
      </c>
      <c r="L744">
        <v>0.89675000000000005</v>
      </c>
    </row>
    <row r="745" spans="1:12" x14ac:dyDescent="0.35">
      <c r="A745" t="s">
        <v>34</v>
      </c>
      <c r="D745" t="s">
        <v>38</v>
      </c>
      <c r="F745">
        <v>3</v>
      </c>
      <c r="G745">
        <v>7</v>
      </c>
      <c r="H745">
        <v>6</v>
      </c>
      <c r="I745">
        <v>47</v>
      </c>
      <c r="K745" s="122">
        <v>45538</v>
      </c>
      <c r="L745">
        <v>0.88</v>
      </c>
    </row>
    <row r="746" spans="1:12" x14ac:dyDescent="0.35">
      <c r="A746" t="s">
        <v>34</v>
      </c>
      <c r="D746" t="s">
        <v>38</v>
      </c>
      <c r="F746">
        <v>3</v>
      </c>
      <c r="G746">
        <v>7</v>
      </c>
      <c r="H746">
        <v>6</v>
      </c>
      <c r="I746">
        <v>47</v>
      </c>
      <c r="K746" s="122">
        <v>45547</v>
      </c>
      <c r="L746">
        <v>0.94618000000000002</v>
      </c>
    </row>
    <row r="747" spans="1:12" x14ac:dyDescent="0.35">
      <c r="A747" t="s">
        <v>34</v>
      </c>
      <c r="D747" t="s">
        <v>38</v>
      </c>
      <c r="F747">
        <v>3</v>
      </c>
      <c r="G747">
        <v>7</v>
      </c>
      <c r="H747">
        <v>6</v>
      </c>
      <c r="I747">
        <v>47</v>
      </c>
      <c r="K747" s="122">
        <v>45553</v>
      </c>
      <c r="L747">
        <v>0.94850000000000001</v>
      </c>
    </row>
    <row r="748" spans="1:12" x14ac:dyDescent="0.35">
      <c r="A748" t="s">
        <v>34</v>
      </c>
      <c r="D748" t="s">
        <v>38</v>
      </c>
      <c r="F748">
        <v>3</v>
      </c>
      <c r="G748">
        <v>7</v>
      </c>
      <c r="H748">
        <v>6</v>
      </c>
      <c r="I748">
        <v>47</v>
      </c>
      <c r="K748" s="122">
        <v>45936</v>
      </c>
      <c r="L748">
        <v>0.89800000000000002</v>
      </c>
    </row>
    <row r="749" spans="1:12" x14ac:dyDescent="0.35">
      <c r="A749" t="s">
        <v>34</v>
      </c>
      <c r="D749" t="s">
        <v>38</v>
      </c>
      <c r="F749">
        <v>3</v>
      </c>
      <c r="G749">
        <v>7</v>
      </c>
      <c r="H749">
        <v>6</v>
      </c>
      <c r="I749">
        <v>47</v>
      </c>
      <c r="K749" s="122">
        <v>45944</v>
      </c>
      <c r="L749">
        <v>0.82957000000000003</v>
      </c>
    </row>
    <row r="750" spans="1:12" x14ac:dyDescent="0.35">
      <c r="A750" t="s">
        <v>34</v>
      </c>
      <c r="D750" t="s">
        <v>38</v>
      </c>
      <c r="F750">
        <v>3</v>
      </c>
      <c r="G750">
        <v>7</v>
      </c>
      <c r="H750">
        <v>6</v>
      </c>
      <c r="I750">
        <v>47</v>
      </c>
      <c r="K750" s="122">
        <v>45590</v>
      </c>
      <c r="L750">
        <v>0.59570999999999996</v>
      </c>
    </row>
    <row r="751" spans="1:12" x14ac:dyDescent="0.35">
      <c r="A751" t="s">
        <v>34</v>
      </c>
      <c r="D751" t="s">
        <v>38</v>
      </c>
      <c r="F751">
        <v>3</v>
      </c>
      <c r="G751">
        <v>7</v>
      </c>
      <c r="H751">
        <v>6</v>
      </c>
      <c r="I751">
        <v>47</v>
      </c>
      <c r="K751" s="122">
        <v>45596</v>
      </c>
      <c r="L751">
        <v>0.36399999999999999</v>
      </c>
    </row>
    <row r="752" spans="1:12" x14ac:dyDescent="0.35">
      <c r="A752" t="s">
        <v>34</v>
      </c>
      <c r="D752" t="s">
        <v>38</v>
      </c>
      <c r="F752">
        <v>3</v>
      </c>
      <c r="G752">
        <v>7</v>
      </c>
      <c r="H752">
        <v>6</v>
      </c>
      <c r="I752">
        <v>47</v>
      </c>
      <c r="K752" s="122">
        <v>45968</v>
      </c>
      <c r="L752">
        <v>0.22</v>
      </c>
    </row>
    <row r="753" spans="1:12" x14ac:dyDescent="0.35">
      <c r="A753" t="s">
        <v>34</v>
      </c>
      <c r="D753" t="s">
        <v>38</v>
      </c>
      <c r="F753">
        <v>3</v>
      </c>
      <c r="G753">
        <v>7</v>
      </c>
      <c r="H753">
        <v>6</v>
      </c>
      <c r="I753">
        <v>47</v>
      </c>
      <c r="K753" s="122">
        <v>45975</v>
      </c>
      <c r="L753">
        <v>0.17967</v>
      </c>
    </row>
    <row r="754" spans="1:12" x14ac:dyDescent="0.35">
      <c r="A754" t="s">
        <v>34</v>
      </c>
      <c r="D754" t="s">
        <v>343</v>
      </c>
      <c r="F754">
        <v>3</v>
      </c>
      <c r="G754">
        <v>8</v>
      </c>
      <c r="H754">
        <v>6</v>
      </c>
      <c r="I754">
        <v>48</v>
      </c>
      <c r="K754" s="122">
        <v>45421</v>
      </c>
    </row>
    <row r="755" spans="1:12" x14ac:dyDescent="0.35">
      <c r="A755" t="s">
        <v>34</v>
      </c>
      <c r="D755" t="s">
        <v>343</v>
      </c>
      <c r="F755">
        <v>3</v>
      </c>
      <c r="G755">
        <v>8</v>
      </c>
      <c r="H755">
        <v>6</v>
      </c>
      <c r="I755">
        <v>48</v>
      </c>
      <c r="K755" s="122">
        <v>45442</v>
      </c>
      <c r="L755">
        <v>0.13364000000000001</v>
      </c>
    </row>
    <row r="756" spans="1:12" x14ac:dyDescent="0.35">
      <c r="A756" t="s">
        <v>34</v>
      </c>
      <c r="D756" t="s">
        <v>343</v>
      </c>
      <c r="F756">
        <v>3</v>
      </c>
      <c r="G756">
        <v>8</v>
      </c>
      <c r="H756">
        <v>6</v>
      </c>
      <c r="I756">
        <v>48</v>
      </c>
      <c r="K756" s="122">
        <v>45461</v>
      </c>
      <c r="L756">
        <v>0.28488999999999998</v>
      </c>
    </row>
    <row r="757" spans="1:12" x14ac:dyDescent="0.35">
      <c r="A757" t="s">
        <v>34</v>
      </c>
      <c r="D757" t="s">
        <v>343</v>
      </c>
      <c r="F757">
        <v>3</v>
      </c>
      <c r="G757">
        <v>8</v>
      </c>
      <c r="H757">
        <v>6</v>
      </c>
      <c r="I757">
        <v>48</v>
      </c>
      <c r="K757" s="122">
        <v>45477</v>
      </c>
      <c r="L757">
        <v>0.36621999999999999</v>
      </c>
    </row>
    <row r="758" spans="1:12" x14ac:dyDescent="0.35">
      <c r="A758" t="s">
        <v>34</v>
      </c>
      <c r="D758" t="s">
        <v>343</v>
      </c>
      <c r="F758">
        <v>3</v>
      </c>
      <c r="G758">
        <v>8</v>
      </c>
      <c r="H758">
        <v>6</v>
      </c>
      <c r="I758">
        <v>48</v>
      </c>
      <c r="K758" s="122">
        <v>45510</v>
      </c>
      <c r="L758">
        <v>0.68620999999999999</v>
      </c>
    </row>
    <row r="759" spans="1:12" x14ac:dyDescent="0.35">
      <c r="A759" t="s">
        <v>34</v>
      </c>
      <c r="D759" t="s">
        <v>343</v>
      </c>
      <c r="F759">
        <v>3</v>
      </c>
      <c r="G759">
        <v>8</v>
      </c>
      <c r="H759">
        <v>6</v>
      </c>
      <c r="I759">
        <v>48</v>
      </c>
      <c r="K759" s="122">
        <v>45519</v>
      </c>
      <c r="L759">
        <v>0.83089999999999997</v>
      </c>
    </row>
    <row r="760" spans="1:12" x14ac:dyDescent="0.35">
      <c r="A760" t="s">
        <v>34</v>
      </c>
      <c r="D760" t="s">
        <v>343</v>
      </c>
      <c r="F760">
        <v>3</v>
      </c>
      <c r="G760">
        <v>8</v>
      </c>
      <c r="H760">
        <v>6</v>
      </c>
      <c r="I760">
        <v>48</v>
      </c>
      <c r="K760" s="122">
        <v>45530</v>
      </c>
      <c r="L760">
        <v>0.88417000000000001</v>
      </c>
    </row>
    <row r="761" spans="1:12" x14ac:dyDescent="0.35">
      <c r="A761" t="s">
        <v>34</v>
      </c>
      <c r="D761" t="s">
        <v>343</v>
      </c>
      <c r="F761">
        <v>3</v>
      </c>
      <c r="G761">
        <v>8</v>
      </c>
      <c r="H761">
        <v>6</v>
      </c>
      <c r="I761">
        <v>48</v>
      </c>
      <c r="K761" s="122">
        <v>45538</v>
      </c>
      <c r="L761">
        <v>0.88327</v>
      </c>
    </row>
    <row r="762" spans="1:12" x14ac:dyDescent="0.35">
      <c r="A762" t="s">
        <v>34</v>
      </c>
      <c r="D762" t="s">
        <v>343</v>
      </c>
      <c r="F762">
        <v>3</v>
      </c>
      <c r="G762">
        <v>8</v>
      </c>
      <c r="H762">
        <v>6</v>
      </c>
      <c r="I762">
        <v>48</v>
      </c>
      <c r="K762" s="122">
        <v>45547</v>
      </c>
      <c r="L762">
        <v>0.93671000000000004</v>
      </c>
    </row>
    <row r="763" spans="1:12" x14ac:dyDescent="0.35">
      <c r="A763" t="s">
        <v>34</v>
      </c>
      <c r="D763" t="s">
        <v>343</v>
      </c>
      <c r="F763">
        <v>3</v>
      </c>
      <c r="G763">
        <v>8</v>
      </c>
      <c r="H763">
        <v>6</v>
      </c>
      <c r="I763">
        <v>48</v>
      </c>
      <c r="K763" s="122">
        <v>45553</v>
      </c>
      <c r="L763">
        <v>0.95850000000000002</v>
      </c>
    </row>
    <row r="764" spans="1:12" x14ac:dyDescent="0.35">
      <c r="A764" t="s">
        <v>34</v>
      </c>
      <c r="D764" t="s">
        <v>343</v>
      </c>
      <c r="F764">
        <v>3</v>
      </c>
      <c r="G764">
        <v>8</v>
      </c>
      <c r="H764">
        <v>6</v>
      </c>
      <c r="I764">
        <v>48</v>
      </c>
      <c r="K764" s="122">
        <v>45936</v>
      </c>
      <c r="L764">
        <v>0.88832999999999995</v>
      </c>
    </row>
    <row r="765" spans="1:12" x14ac:dyDescent="0.35">
      <c r="A765" t="s">
        <v>34</v>
      </c>
      <c r="D765" t="s">
        <v>343</v>
      </c>
      <c r="F765">
        <v>3</v>
      </c>
      <c r="G765">
        <v>8</v>
      </c>
      <c r="H765">
        <v>6</v>
      </c>
      <c r="I765">
        <v>48</v>
      </c>
      <c r="K765" s="122">
        <v>45944</v>
      </c>
      <c r="L765">
        <v>0.79588000000000003</v>
      </c>
    </row>
    <row r="766" spans="1:12" x14ac:dyDescent="0.35">
      <c r="A766" t="s">
        <v>34</v>
      </c>
      <c r="D766" t="s">
        <v>343</v>
      </c>
      <c r="F766">
        <v>3</v>
      </c>
      <c r="G766">
        <v>8</v>
      </c>
      <c r="H766">
        <v>6</v>
      </c>
      <c r="I766">
        <v>48</v>
      </c>
      <c r="K766" s="122">
        <v>45590</v>
      </c>
      <c r="L766">
        <v>0.56799999999999995</v>
      </c>
    </row>
    <row r="767" spans="1:12" x14ac:dyDescent="0.35">
      <c r="A767" t="s">
        <v>34</v>
      </c>
      <c r="D767" t="s">
        <v>343</v>
      </c>
      <c r="F767">
        <v>3</v>
      </c>
      <c r="G767">
        <v>8</v>
      </c>
      <c r="H767">
        <v>6</v>
      </c>
      <c r="I767">
        <v>48</v>
      </c>
      <c r="K767" s="122">
        <v>45596</v>
      </c>
      <c r="L767">
        <v>0.30649999999999999</v>
      </c>
    </row>
    <row r="768" spans="1:12" x14ac:dyDescent="0.35">
      <c r="A768" t="s">
        <v>34</v>
      </c>
      <c r="D768" t="s">
        <v>343</v>
      </c>
      <c r="F768">
        <v>3</v>
      </c>
      <c r="G768">
        <v>8</v>
      </c>
      <c r="H768">
        <v>6</v>
      </c>
      <c r="I768">
        <v>48</v>
      </c>
      <c r="K768" s="122">
        <v>45968</v>
      </c>
      <c r="L768">
        <v>0.21085999999999999</v>
      </c>
    </row>
    <row r="769" spans="1:12" x14ac:dyDescent="0.35">
      <c r="A769" t="s">
        <v>34</v>
      </c>
      <c r="D769" t="s">
        <v>343</v>
      </c>
      <c r="F769">
        <v>3</v>
      </c>
      <c r="G769">
        <v>8</v>
      </c>
      <c r="H769">
        <v>6</v>
      </c>
      <c r="I769">
        <v>48</v>
      </c>
      <c r="K769" s="122">
        <v>45975</v>
      </c>
      <c r="L769">
        <v>0.183</v>
      </c>
    </row>
    <row r="770" spans="1:12" x14ac:dyDescent="0.35">
      <c r="A770" t="s">
        <v>24</v>
      </c>
      <c r="D770" t="s">
        <v>32</v>
      </c>
      <c r="F770">
        <v>4</v>
      </c>
      <c r="G770">
        <v>1</v>
      </c>
      <c r="H770">
        <v>7</v>
      </c>
      <c r="I770">
        <v>49</v>
      </c>
      <c r="K770" s="122">
        <v>45421</v>
      </c>
      <c r="L770">
        <v>0.13788</v>
      </c>
    </row>
    <row r="771" spans="1:12" x14ac:dyDescent="0.35">
      <c r="A771" t="s">
        <v>24</v>
      </c>
      <c r="D771" t="s">
        <v>32</v>
      </c>
      <c r="F771">
        <v>4</v>
      </c>
      <c r="G771">
        <v>1</v>
      </c>
      <c r="H771">
        <v>7</v>
      </c>
      <c r="I771">
        <v>49</v>
      </c>
      <c r="K771" s="122">
        <v>45442</v>
      </c>
      <c r="L771">
        <v>0.57770999999999995</v>
      </c>
    </row>
    <row r="772" spans="1:12" x14ac:dyDescent="0.35">
      <c r="A772" t="s">
        <v>24</v>
      </c>
      <c r="D772" t="s">
        <v>32</v>
      </c>
      <c r="F772">
        <v>4</v>
      </c>
      <c r="G772">
        <v>1</v>
      </c>
      <c r="H772">
        <v>7</v>
      </c>
      <c r="I772">
        <v>49</v>
      </c>
      <c r="K772" s="122">
        <v>45461</v>
      </c>
      <c r="L772">
        <v>0.874</v>
      </c>
    </row>
    <row r="773" spans="1:12" x14ac:dyDescent="0.35">
      <c r="A773" t="s">
        <v>24</v>
      </c>
      <c r="D773" t="s">
        <v>32</v>
      </c>
      <c r="F773">
        <v>4</v>
      </c>
      <c r="G773">
        <v>1</v>
      </c>
      <c r="H773">
        <v>7</v>
      </c>
      <c r="I773">
        <v>49</v>
      </c>
      <c r="K773" s="122">
        <v>45477</v>
      </c>
      <c r="L773">
        <v>0.88800000000000001</v>
      </c>
    </row>
    <row r="774" spans="1:12" x14ac:dyDescent="0.35">
      <c r="A774" t="s">
        <v>24</v>
      </c>
      <c r="D774" t="s">
        <v>32</v>
      </c>
      <c r="F774">
        <v>4</v>
      </c>
      <c r="G774">
        <v>1</v>
      </c>
      <c r="H774">
        <v>7</v>
      </c>
      <c r="I774">
        <v>49</v>
      </c>
      <c r="K774" s="122">
        <v>45510</v>
      </c>
      <c r="L774">
        <v>0.87885000000000002</v>
      </c>
    </row>
    <row r="775" spans="1:12" x14ac:dyDescent="0.35">
      <c r="A775" t="s">
        <v>24</v>
      </c>
      <c r="D775" t="s">
        <v>32</v>
      </c>
      <c r="F775">
        <v>4</v>
      </c>
      <c r="G775">
        <v>1</v>
      </c>
      <c r="H775">
        <v>7</v>
      </c>
      <c r="I775">
        <v>49</v>
      </c>
      <c r="K775" s="122">
        <v>45519</v>
      </c>
      <c r="L775">
        <v>0.87641999999999998</v>
      </c>
    </row>
    <row r="776" spans="1:12" x14ac:dyDescent="0.35">
      <c r="A776" t="s">
        <v>24</v>
      </c>
      <c r="D776" t="s">
        <v>32</v>
      </c>
      <c r="F776">
        <v>4</v>
      </c>
      <c r="G776">
        <v>1</v>
      </c>
      <c r="H776">
        <v>7</v>
      </c>
      <c r="I776">
        <v>49</v>
      </c>
      <c r="K776" s="122">
        <v>45530</v>
      </c>
      <c r="L776">
        <v>0.95038</v>
      </c>
    </row>
    <row r="777" spans="1:12" x14ac:dyDescent="0.35">
      <c r="A777" t="s">
        <v>24</v>
      </c>
      <c r="D777" t="s">
        <v>32</v>
      </c>
      <c r="F777">
        <v>4</v>
      </c>
      <c r="G777">
        <v>1</v>
      </c>
      <c r="H777">
        <v>7</v>
      </c>
      <c r="I777">
        <v>49</v>
      </c>
      <c r="K777" s="122">
        <v>45538</v>
      </c>
      <c r="L777">
        <v>0.94581999999999999</v>
      </c>
    </row>
    <row r="778" spans="1:12" x14ac:dyDescent="0.35">
      <c r="A778" t="s">
        <v>24</v>
      </c>
      <c r="D778" t="s">
        <v>32</v>
      </c>
      <c r="F778">
        <v>4</v>
      </c>
      <c r="G778">
        <v>1</v>
      </c>
      <c r="H778">
        <v>7</v>
      </c>
      <c r="I778">
        <v>49</v>
      </c>
      <c r="K778" s="122">
        <v>45547</v>
      </c>
      <c r="L778">
        <v>0.97287999999999997</v>
      </c>
    </row>
    <row r="779" spans="1:12" x14ac:dyDescent="0.35">
      <c r="A779" t="s">
        <v>24</v>
      </c>
      <c r="D779" t="s">
        <v>32</v>
      </c>
      <c r="F779">
        <v>4</v>
      </c>
      <c r="G779">
        <v>1</v>
      </c>
      <c r="H779">
        <v>7</v>
      </c>
      <c r="I779">
        <v>49</v>
      </c>
      <c r="K779" s="122">
        <v>45553</v>
      </c>
      <c r="L779">
        <v>0.95753999999999995</v>
      </c>
    </row>
    <row r="780" spans="1:12" x14ac:dyDescent="0.35">
      <c r="A780" t="s">
        <v>24</v>
      </c>
      <c r="D780" t="s">
        <v>32</v>
      </c>
      <c r="F780">
        <v>4</v>
      </c>
      <c r="G780">
        <v>1</v>
      </c>
      <c r="H780">
        <v>7</v>
      </c>
      <c r="I780">
        <v>49</v>
      </c>
      <c r="K780" s="122">
        <v>45936</v>
      </c>
      <c r="L780">
        <v>0.93930000000000002</v>
      </c>
    </row>
    <row r="781" spans="1:12" x14ac:dyDescent="0.35">
      <c r="A781" t="s">
        <v>24</v>
      </c>
      <c r="D781" t="s">
        <v>32</v>
      </c>
      <c r="F781">
        <v>4</v>
      </c>
      <c r="G781">
        <v>1</v>
      </c>
      <c r="H781">
        <v>7</v>
      </c>
      <c r="I781">
        <v>49</v>
      </c>
      <c r="K781" s="122">
        <v>45944</v>
      </c>
      <c r="L781">
        <v>0.85170999999999997</v>
      </c>
    </row>
    <row r="782" spans="1:12" x14ac:dyDescent="0.35">
      <c r="A782" t="s">
        <v>24</v>
      </c>
      <c r="D782" t="s">
        <v>32</v>
      </c>
      <c r="F782">
        <v>4</v>
      </c>
      <c r="G782">
        <v>1</v>
      </c>
      <c r="H782">
        <v>7</v>
      </c>
      <c r="I782">
        <v>49</v>
      </c>
      <c r="K782" s="122">
        <v>45590</v>
      </c>
      <c r="L782">
        <v>0.78632999999999997</v>
      </c>
    </row>
    <row r="783" spans="1:12" x14ac:dyDescent="0.35">
      <c r="A783" t="s">
        <v>24</v>
      </c>
      <c r="D783" t="s">
        <v>32</v>
      </c>
      <c r="F783">
        <v>4</v>
      </c>
      <c r="G783">
        <v>1</v>
      </c>
      <c r="H783">
        <v>7</v>
      </c>
      <c r="I783">
        <v>49</v>
      </c>
      <c r="K783" s="122">
        <v>45596</v>
      </c>
      <c r="L783">
        <v>0.53371000000000002</v>
      </c>
    </row>
    <row r="784" spans="1:12" x14ac:dyDescent="0.35">
      <c r="A784" t="s">
        <v>24</v>
      </c>
      <c r="D784" t="s">
        <v>32</v>
      </c>
      <c r="F784">
        <v>4</v>
      </c>
      <c r="G784">
        <v>1</v>
      </c>
      <c r="H784">
        <v>7</v>
      </c>
      <c r="I784">
        <v>49</v>
      </c>
      <c r="K784" s="122">
        <v>45968</v>
      </c>
      <c r="L784">
        <v>0.29499999999999998</v>
      </c>
    </row>
    <row r="785" spans="1:12" x14ac:dyDescent="0.35">
      <c r="A785" t="s">
        <v>24</v>
      </c>
      <c r="D785" t="s">
        <v>32</v>
      </c>
      <c r="F785">
        <v>4</v>
      </c>
      <c r="G785">
        <v>1</v>
      </c>
      <c r="H785">
        <v>7</v>
      </c>
      <c r="I785">
        <v>49</v>
      </c>
      <c r="K785" s="122">
        <v>45975</v>
      </c>
      <c r="L785">
        <v>0.24199999999999999</v>
      </c>
    </row>
    <row r="786" spans="1:12" x14ac:dyDescent="0.35">
      <c r="A786" t="s">
        <v>24</v>
      </c>
      <c r="D786" t="s">
        <v>29</v>
      </c>
      <c r="F786">
        <v>4</v>
      </c>
      <c r="G786">
        <v>2</v>
      </c>
      <c r="H786">
        <v>7</v>
      </c>
      <c r="I786">
        <v>50</v>
      </c>
      <c r="K786" s="122">
        <v>45421</v>
      </c>
      <c r="L786">
        <v>0.12790000000000001</v>
      </c>
    </row>
    <row r="787" spans="1:12" x14ac:dyDescent="0.35">
      <c r="A787" t="s">
        <v>24</v>
      </c>
      <c r="D787" t="s">
        <v>29</v>
      </c>
      <c r="F787">
        <v>4</v>
      </c>
      <c r="G787">
        <v>2</v>
      </c>
      <c r="H787">
        <v>7</v>
      </c>
      <c r="I787">
        <v>50</v>
      </c>
      <c r="K787" s="122">
        <v>45442</v>
      </c>
      <c r="L787">
        <v>0.45811000000000002</v>
      </c>
    </row>
    <row r="788" spans="1:12" x14ac:dyDescent="0.35">
      <c r="A788" t="s">
        <v>24</v>
      </c>
      <c r="D788" t="s">
        <v>29</v>
      </c>
      <c r="F788">
        <v>4</v>
      </c>
      <c r="G788">
        <v>2</v>
      </c>
      <c r="H788">
        <v>7</v>
      </c>
      <c r="I788">
        <v>50</v>
      </c>
      <c r="K788" s="122">
        <v>45461</v>
      </c>
      <c r="L788">
        <v>0.86017999999999994</v>
      </c>
    </row>
    <row r="789" spans="1:12" x14ac:dyDescent="0.35">
      <c r="A789" t="s">
        <v>24</v>
      </c>
      <c r="D789" t="s">
        <v>29</v>
      </c>
      <c r="F789">
        <v>4</v>
      </c>
      <c r="G789">
        <v>2</v>
      </c>
      <c r="H789">
        <v>7</v>
      </c>
      <c r="I789">
        <v>50</v>
      </c>
      <c r="K789" s="122">
        <v>45477</v>
      </c>
      <c r="L789">
        <v>0.89783000000000002</v>
      </c>
    </row>
    <row r="790" spans="1:12" x14ac:dyDescent="0.35">
      <c r="A790" t="s">
        <v>24</v>
      </c>
      <c r="D790" t="s">
        <v>29</v>
      </c>
      <c r="F790">
        <v>4</v>
      </c>
      <c r="G790">
        <v>2</v>
      </c>
      <c r="H790">
        <v>7</v>
      </c>
      <c r="I790">
        <v>50</v>
      </c>
      <c r="K790" s="122">
        <v>45510</v>
      </c>
      <c r="L790">
        <v>0.89807000000000003</v>
      </c>
    </row>
    <row r="791" spans="1:12" x14ac:dyDescent="0.35">
      <c r="A791" t="s">
        <v>24</v>
      </c>
      <c r="D791" t="s">
        <v>29</v>
      </c>
      <c r="F791">
        <v>4</v>
      </c>
      <c r="G791">
        <v>2</v>
      </c>
      <c r="H791">
        <v>7</v>
      </c>
      <c r="I791">
        <v>50</v>
      </c>
      <c r="K791" s="122">
        <v>45519</v>
      </c>
      <c r="L791">
        <v>0.90680000000000005</v>
      </c>
    </row>
    <row r="792" spans="1:12" x14ac:dyDescent="0.35">
      <c r="A792" t="s">
        <v>24</v>
      </c>
      <c r="D792" t="s">
        <v>29</v>
      </c>
      <c r="F792">
        <v>4</v>
      </c>
      <c r="G792">
        <v>2</v>
      </c>
      <c r="H792">
        <v>7</v>
      </c>
      <c r="I792">
        <v>50</v>
      </c>
      <c r="K792" s="122">
        <v>45530</v>
      </c>
      <c r="L792">
        <v>0.94484999999999997</v>
      </c>
    </row>
    <row r="793" spans="1:12" x14ac:dyDescent="0.35">
      <c r="A793" t="s">
        <v>24</v>
      </c>
      <c r="D793" t="s">
        <v>29</v>
      </c>
      <c r="F793">
        <v>4</v>
      </c>
      <c r="G793">
        <v>2</v>
      </c>
      <c r="H793">
        <v>7</v>
      </c>
      <c r="I793">
        <v>50</v>
      </c>
      <c r="K793" s="122">
        <v>45538</v>
      </c>
      <c r="L793">
        <v>0.95608000000000004</v>
      </c>
    </row>
    <row r="794" spans="1:12" x14ac:dyDescent="0.35">
      <c r="A794" t="s">
        <v>24</v>
      </c>
      <c r="D794" t="s">
        <v>29</v>
      </c>
      <c r="F794">
        <v>4</v>
      </c>
      <c r="G794">
        <v>2</v>
      </c>
      <c r="H794">
        <v>7</v>
      </c>
      <c r="I794">
        <v>50</v>
      </c>
      <c r="K794" s="122">
        <v>45547</v>
      </c>
      <c r="L794">
        <v>0.96825000000000006</v>
      </c>
    </row>
    <row r="795" spans="1:12" x14ac:dyDescent="0.35">
      <c r="A795" t="s">
        <v>24</v>
      </c>
      <c r="D795" t="s">
        <v>29</v>
      </c>
      <c r="F795">
        <v>4</v>
      </c>
      <c r="G795">
        <v>2</v>
      </c>
      <c r="H795">
        <v>7</v>
      </c>
      <c r="I795">
        <v>50</v>
      </c>
      <c r="K795" s="122">
        <v>45553</v>
      </c>
      <c r="L795">
        <v>0.95770999999999995</v>
      </c>
    </row>
    <row r="796" spans="1:12" x14ac:dyDescent="0.35">
      <c r="A796" t="s">
        <v>24</v>
      </c>
      <c r="D796" t="s">
        <v>29</v>
      </c>
      <c r="F796">
        <v>4</v>
      </c>
      <c r="G796">
        <v>2</v>
      </c>
      <c r="H796">
        <v>7</v>
      </c>
      <c r="I796">
        <v>50</v>
      </c>
      <c r="K796" s="122">
        <v>45936</v>
      </c>
      <c r="L796">
        <v>0.91356000000000004</v>
      </c>
    </row>
    <row r="797" spans="1:12" x14ac:dyDescent="0.35">
      <c r="A797" t="s">
        <v>24</v>
      </c>
      <c r="D797" t="s">
        <v>29</v>
      </c>
      <c r="F797">
        <v>4</v>
      </c>
      <c r="G797">
        <v>2</v>
      </c>
      <c r="H797">
        <v>7</v>
      </c>
      <c r="I797">
        <v>50</v>
      </c>
      <c r="K797" s="122">
        <v>45944</v>
      </c>
      <c r="L797">
        <v>0.84114</v>
      </c>
    </row>
    <row r="798" spans="1:12" x14ac:dyDescent="0.35">
      <c r="A798" t="s">
        <v>24</v>
      </c>
      <c r="D798" t="s">
        <v>29</v>
      </c>
      <c r="F798">
        <v>4</v>
      </c>
      <c r="G798">
        <v>2</v>
      </c>
      <c r="H798">
        <v>7</v>
      </c>
      <c r="I798">
        <v>50</v>
      </c>
      <c r="K798" s="122">
        <v>45590</v>
      </c>
      <c r="L798">
        <v>0.65817000000000003</v>
      </c>
    </row>
    <row r="799" spans="1:12" x14ac:dyDescent="0.35">
      <c r="A799" t="s">
        <v>24</v>
      </c>
      <c r="D799" t="s">
        <v>29</v>
      </c>
      <c r="F799">
        <v>4</v>
      </c>
      <c r="G799">
        <v>2</v>
      </c>
      <c r="H799">
        <v>7</v>
      </c>
      <c r="I799">
        <v>50</v>
      </c>
      <c r="K799" s="122">
        <v>45596</v>
      </c>
      <c r="L799">
        <v>0.42382999999999998</v>
      </c>
    </row>
    <row r="800" spans="1:12" x14ac:dyDescent="0.35">
      <c r="A800" t="s">
        <v>24</v>
      </c>
      <c r="D800" t="s">
        <v>29</v>
      </c>
      <c r="F800">
        <v>4</v>
      </c>
      <c r="G800">
        <v>2</v>
      </c>
      <c r="H800">
        <v>7</v>
      </c>
      <c r="I800">
        <v>50</v>
      </c>
      <c r="K800" s="122">
        <v>45968</v>
      </c>
      <c r="L800">
        <v>0.25037999999999999</v>
      </c>
    </row>
    <row r="801" spans="1:12" x14ac:dyDescent="0.35">
      <c r="A801" t="s">
        <v>24</v>
      </c>
      <c r="D801" t="s">
        <v>29</v>
      </c>
      <c r="F801">
        <v>4</v>
      </c>
      <c r="G801">
        <v>2</v>
      </c>
      <c r="H801">
        <v>7</v>
      </c>
      <c r="I801">
        <v>50</v>
      </c>
      <c r="K801" s="122">
        <v>45975</v>
      </c>
      <c r="L801">
        <v>0.19642999999999999</v>
      </c>
    </row>
    <row r="802" spans="1:12" x14ac:dyDescent="0.35">
      <c r="A802" t="s">
        <v>24</v>
      </c>
      <c r="D802" t="s">
        <v>337</v>
      </c>
      <c r="F802">
        <v>4</v>
      </c>
      <c r="G802">
        <v>3</v>
      </c>
      <c r="H802">
        <v>7</v>
      </c>
      <c r="I802">
        <v>51</v>
      </c>
      <c r="K802" s="122">
        <v>45421</v>
      </c>
      <c r="L802">
        <v>0.13639999999999999</v>
      </c>
    </row>
    <row r="803" spans="1:12" x14ac:dyDescent="0.35">
      <c r="A803" t="s">
        <v>24</v>
      </c>
      <c r="D803" t="s">
        <v>337</v>
      </c>
      <c r="F803">
        <v>4</v>
      </c>
      <c r="G803">
        <v>3</v>
      </c>
      <c r="H803">
        <v>7</v>
      </c>
      <c r="I803">
        <v>51</v>
      </c>
      <c r="K803" s="122">
        <v>45442</v>
      </c>
      <c r="L803">
        <v>0.45138</v>
      </c>
    </row>
    <row r="804" spans="1:12" x14ac:dyDescent="0.35">
      <c r="A804" t="s">
        <v>24</v>
      </c>
      <c r="D804" t="s">
        <v>337</v>
      </c>
      <c r="F804">
        <v>4</v>
      </c>
      <c r="G804">
        <v>3</v>
      </c>
      <c r="H804">
        <v>7</v>
      </c>
      <c r="I804">
        <v>51</v>
      </c>
      <c r="K804" s="122">
        <v>45461</v>
      </c>
      <c r="L804">
        <v>0.86190999999999995</v>
      </c>
    </row>
    <row r="805" spans="1:12" x14ac:dyDescent="0.35">
      <c r="A805" t="s">
        <v>24</v>
      </c>
      <c r="D805" t="s">
        <v>337</v>
      </c>
      <c r="F805">
        <v>4</v>
      </c>
      <c r="G805">
        <v>3</v>
      </c>
      <c r="H805">
        <v>7</v>
      </c>
      <c r="I805">
        <v>51</v>
      </c>
      <c r="K805" s="122">
        <v>45477</v>
      </c>
      <c r="L805">
        <v>0.89007999999999998</v>
      </c>
    </row>
    <row r="806" spans="1:12" x14ac:dyDescent="0.35">
      <c r="A806" t="s">
        <v>24</v>
      </c>
      <c r="D806" t="s">
        <v>337</v>
      </c>
      <c r="F806">
        <v>4</v>
      </c>
      <c r="G806">
        <v>3</v>
      </c>
      <c r="H806">
        <v>7</v>
      </c>
      <c r="I806">
        <v>51</v>
      </c>
      <c r="K806" s="122">
        <v>45510</v>
      </c>
      <c r="L806">
        <v>0.88863999999999999</v>
      </c>
    </row>
    <row r="807" spans="1:12" x14ac:dyDescent="0.35">
      <c r="A807" t="s">
        <v>24</v>
      </c>
      <c r="D807" t="s">
        <v>337</v>
      </c>
      <c r="F807">
        <v>4</v>
      </c>
      <c r="G807">
        <v>3</v>
      </c>
      <c r="H807">
        <v>7</v>
      </c>
      <c r="I807">
        <v>51</v>
      </c>
      <c r="K807" s="122">
        <v>45519</v>
      </c>
      <c r="L807">
        <v>0.86529999999999996</v>
      </c>
    </row>
    <row r="808" spans="1:12" x14ac:dyDescent="0.35">
      <c r="A808" t="s">
        <v>24</v>
      </c>
      <c r="D808" t="s">
        <v>337</v>
      </c>
      <c r="F808">
        <v>4</v>
      </c>
      <c r="G808">
        <v>3</v>
      </c>
      <c r="H808">
        <v>7</v>
      </c>
      <c r="I808">
        <v>51</v>
      </c>
      <c r="K808" s="122">
        <v>45530</v>
      </c>
      <c r="L808">
        <v>0.9224</v>
      </c>
    </row>
    <row r="809" spans="1:12" x14ac:dyDescent="0.35">
      <c r="A809" t="s">
        <v>24</v>
      </c>
      <c r="D809" t="s">
        <v>337</v>
      </c>
      <c r="F809">
        <v>4</v>
      </c>
      <c r="G809">
        <v>3</v>
      </c>
      <c r="H809">
        <v>7</v>
      </c>
      <c r="I809">
        <v>51</v>
      </c>
      <c r="K809" s="122">
        <v>45538</v>
      </c>
      <c r="L809">
        <v>0.94762000000000002</v>
      </c>
    </row>
    <row r="810" spans="1:12" x14ac:dyDescent="0.35">
      <c r="A810" t="s">
        <v>24</v>
      </c>
      <c r="D810" t="s">
        <v>337</v>
      </c>
      <c r="F810">
        <v>4</v>
      </c>
      <c r="G810">
        <v>3</v>
      </c>
      <c r="H810">
        <v>7</v>
      </c>
      <c r="I810">
        <v>51</v>
      </c>
      <c r="K810" s="122">
        <v>45547</v>
      </c>
      <c r="L810">
        <v>0.96409</v>
      </c>
    </row>
    <row r="811" spans="1:12" x14ac:dyDescent="0.35">
      <c r="A811" t="s">
        <v>24</v>
      </c>
      <c r="D811" t="s">
        <v>337</v>
      </c>
      <c r="F811">
        <v>4</v>
      </c>
      <c r="G811">
        <v>3</v>
      </c>
      <c r="H811">
        <v>7</v>
      </c>
      <c r="I811">
        <v>51</v>
      </c>
      <c r="K811" s="122">
        <v>45553</v>
      </c>
      <c r="L811">
        <v>0.95</v>
      </c>
    </row>
    <row r="812" spans="1:12" x14ac:dyDescent="0.35">
      <c r="A812" t="s">
        <v>24</v>
      </c>
      <c r="D812" t="s">
        <v>337</v>
      </c>
      <c r="F812">
        <v>4</v>
      </c>
      <c r="G812">
        <v>3</v>
      </c>
      <c r="H812">
        <v>7</v>
      </c>
      <c r="I812">
        <v>51</v>
      </c>
      <c r="K812" s="122">
        <v>45936</v>
      </c>
      <c r="L812">
        <v>0.90239999999999998</v>
      </c>
    </row>
    <row r="813" spans="1:12" x14ac:dyDescent="0.35">
      <c r="A813" t="s">
        <v>24</v>
      </c>
      <c r="D813" t="s">
        <v>337</v>
      </c>
      <c r="F813">
        <v>4</v>
      </c>
      <c r="G813">
        <v>3</v>
      </c>
      <c r="H813">
        <v>7</v>
      </c>
      <c r="I813">
        <v>51</v>
      </c>
      <c r="K813" s="122">
        <v>45944</v>
      </c>
      <c r="L813">
        <v>0.83143</v>
      </c>
    </row>
    <row r="814" spans="1:12" x14ac:dyDescent="0.35">
      <c r="A814" t="s">
        <v>24</v>
      </c>
      <c r="D814" t="s">
        <v>337</v>
      </c>
      <c r="F814">
        <v>4</v>
      </c>
      <c r="G814">
        <v>3</v>
      </c>
      <c r="H814">
        <v>7</v>
      </c>
      <c r="I814">
        <v>51</v>
      </c>
      <c r="K814" s="122">
        <v>45590</v>
      </c>
      <c r="L814">
        <v>0.67913000000000001</v>
      </c>
    </row>
    <row r="815" spans="1:12" x14ac:dyDescent="0.35">
      <c r="A815" t="s">
        <v>24</v>
      </c>
      <c r="D815" t="s">
        <v>337</v>
      </c>
      <c r="F815">
        <v>4</v>
      </c>
      <c r="G815">
        <v>3</v>
      </c>
      <c r="H815">
        <v>7</v>
      </c>
      <c r="I815">
        <v>51</v>
      </c>
      <c r="K815" s="122">
        <v>45596</v>
      </c>
      <c r="L815">
        <v>0.50138000000000005</v>
      </c>
    </row>
    <row r="816" spans="1:12" x14ac:dyDescent="0.35">
      <c r="A816" t="s">
        <v>24</v>
      </c>
      <c r="D816" t="s">
        <v>337</v>
      </c>
      <c r="F816">
        <v>4</v>
      </c>
      <c r="G816">
        <v>3</v>
      </c>
      <c r="H816">
        <v>7</v>
      </c>
      <c r="I816">
        <v>51</v>
      </c>
      <c r="K816" s="122">
        <v>45968</v>
      </c>
      <c r="L816">
        <v>0.2525</v>
      </c>
    </row>
    <row r="817" spans="1:12" x14ac:dyDescent="0.35">
      <c r="A817" t="s">
        <v>24</v>
      </c>
      <c r="D817" t="s">
        <v>337</v>
      </c>
      <c r="F817">
        <v>4</v>
      </c>
      <c r="G817">
        <v>3</v>
      </c>
      <c r="H817">
        <v>7</v>
      </c>
      <c r="I817">
        <v>51</v>
      </c>
      <c r="K817" s="122">
        <v>45975</v>
      </c>
      <c r="L817">
        <v>0.21567</v>
      </c>
    </row>
    <row r="818" spans="1:12" x14ac:dyDescent="0.35">
      <c r="A818" t="s">
        <v>24</v>
      </c>
      <c r="D818" t="s">
        <v>27</v>
      </c>
      <c r="F818">
        <v>4</v>
      </c>
      <c r="G818">
        <v>4</v>
      </c>
      <c r="H818">
        <v>7</v>
      </c>
      <c r="I818">
        <v>52</v>
      </c>
      <c r="K818" s="122">
        <v>45421</v>
      </c>
      <c r="L818">
        <v>0.14155999999999999</v>
      </c>
    </row>
    <row r="819" spans="1:12" x14ac:dyDescent="0.35">
      <c r="A819" t="s">
        <v>24</v>
      </c>
      <c r="D819" t="s">
        <v>27</v>
      </c>
      <c r="F819">
        <v>4</v>
      </c>
      <c r="G819">
        <v>4</v>
      </c>
      <c r="H819">
        <v>7</v>
      </c>
      <c r="I819">
        <v>52</v>
      </c>
      <c r="K819" s="122">
        <v>45442</v>
      </c>
      <c r="L819">
        <v>0.54269999999999996</v>
      </c>
    </row>
    <row r="820" spans="1:12" x14ac:dyDescent="0.35">
      <c r="A820" t="s">
        <v>24</v>
      </c>
      <c r="D820" t="s">
        <v>27</v>
      </c>
      <c r="F820">
        <v>4</v>
      </c>
      <c r="G820">
        <v>4</v>
      </c>
      <c r="H820">
        <v>7</v>
      </c>
      <c r="I820">
        <v>52</v>
      </c>
      <c r="K820" s="122">
        <v>45461</v>
      </c>
      <c r="L820">
        <v>0.86675000000000002</v>
      </c>
    </row>
    <row r="821" spans="1:12" x14ac:dyDescent="0.35">
      <c r="A821" t="s">
        <v>24</v>
      </c>
      <c r="D821" t="s">
        <v>27</v>
      </c>
      <c r="F821">
        <v>4</v>
      </c>
      <c r="G821">
        <v>4</v>
      </c>
      <c r="H821">
        <v>7</v>
      </c>
      <c r="I821">
        <v>52</v>
      </c>
      <c r="K821" s="122">
        <v>45477</v>
      </c>
      <c r="L821">
        <v>0.89273000000000002</v>
      </c>
    </row>
    <row r="822" spans="1:12" x14ac:dyDescent="0.35">
      <c r="A822" t="s">
        <v>24</v>
      </c>
      <c r="D822" t="s">
        <v>27</v>
      </c>
      <c r="F822">
        <v>4</v>
      </c>
      <c r="G822">
        <v>4</v>
      </c>
      <c r="H822">
        <v>7</v>
      </c>
      <c r="I822">
        <v>52</v>
      </c>
      <c r="K822" s="122">
        <v>45510</v>
      </c>
      <c r="L822">
        <v>0.89187000000000005</v>
      </c>
    </row>
    <row r="823" spans="1:12" x14ac:dyDescent="0.35">
      <c r="A823" t="s">
        <v>24</v>
      </c>
      <c r="D823" t="s">
        <v>27</v>
      </c>
      <c r="F823">
        <v>4</v>
      </c>
      <c r="G823">
        <v>4</v>
      </c>
      <c r="H823">
        <v>7</v>
      </c>
      <c r="I823">
        <v>52</v>
      </c>
      <c r="K823" s="122">
        <v>45519</v>
      </c>
      <c r="L823">
        <v>0.87721000000000005</v>
      </c>
    </row>
    <row r="824" spans="1:12" x14ac:dyDescent="0.35">
      <c r="A824" t="s">
        <v>24</v>
      </c>
      <c r="D824" t="s">
        <v>27</v>
      </c>
      <c r="F824">
        <v>4</v>
      </c>
      <c r="G824">
        <v>4</v>
      </c>
      <c r="H824">
        <v>7</v>
      </c>
      <c r="I824">
        <v>52</v>
      </c>
      <c r="K824" s="122">
        <v>45530</v>
      </c>
      <c r="L824">
        <v>0.93564000000000003</v>
      </c>
    </row>
    <row r="825" spans="1:12" x14ac:dyDescent="0.35">
      <c r="A825" t="s">
        <v>24</v>
      </c>
      <c r="D825" t="s">
        <v>27</v>
      </c>
      <c r="F825">
        <v>4</v>
      </c>
      <c r="G825">
        <v>4</v>
      </c>
      <c r="H825">
        <v>7</v>
      </c>
      <c r="I825">
        <v>52</v>
      </c>
      <c r="K825" s="122">
        <v>45538</v>
      </c>
      <c r="L825">
        <v>0.94728999999999997</v>
      </c>
    </row>
    <row r="826" spans="1:12" x14ac:dyDescent="0.35">
      <c r="A826" t="s">
        <v>24</v>
      </c>
      <c r="D826" t="s">
        <v>27</v>
      </c>
      <c r="F826">
        <v>4</v>
      </c>
      <c r="G826">
        <v>4</v>
      </c>
      <c r="H826">
        <v>7</v>
      </c>
      <c r="I826">
        <v>52</v>
      </c>
      <c r="K826" s="122">
        <v>45547</v>
      </c>
      <c r="L826">
        <v>0.96421000000000001</v>
      </c>
    </row>
    <row r="827" spans="1:12" x14ac:dyDescent="0.35">
      <c r="A827" t="s">
        <v>24</v>
      </c>
      <c r="D827" t="s">
        <v>27</v>
      </c>
      <c r="F827">
        <v>4</v>
      </c>
      <c r="G827">
        <v>4</v>
      </c>
      <c r="H827">
        <v>7</v>
      </c>
      <c r="I827">
        <v>52</v>
      </c>
      <c r="K827" s="122">
        <v>45553</v>
      </c>
      <c r="L827">
        <v>0.95270999999999995</v>
      </c>
    </row>
    <row r="828" spans="1:12" x14ac:dyDescent="0.35">
      <c r="A828" t="s">
        <v>24</v>
      </c>
      <c r="D828" t="s">
        <v>27</v>
      </c>
      <c r="F828">
        <v>4</v>
      </c>
      <c r="G828">
        <v>4</v>
      </c>
      <c r="H828">
        <v>7</v>
      </c>
      <c r="I828">
        <v>52</v>
      </c>
      <c r="K828" s="122">
        <v>45936</v>
      </c>
      <c r="L828">
        <v>0.92025000000000001</v>
      </c>
    </row>
    <row r="829" spans="1:12" x14ac:dyDescent="0.35">
      <c r="A829" t="s">
        <v>24</v>
      </c>
      <c r="D829" t="s">
        <v>27</v>
      </c>
      <c r="F829">
        <v>4</v>
      </c>
      <c r="G829">
        <v>4</v>
      </c>
      <c r="H829">
        <v>7</v>
      </c>
      <c r="I829">
        <v>52</v>
      </c>
      <c r="K829" s="122">
        <v>45944</v>
      </c>
      <c r="L829">
        <v>0.87263000000000002</v>
      </c>
    </row>
    <row r="830" spans="1:12" x14ac:dyDescent="0.35">
      <c r="A830" t="s">
        <v>24</v>
      </c>
      <c r="D830" t="s">
        <v>27</v>
      </c>
      <c r="F830">
        <v>4</v>
      </c>
      <c r="G830">
        <v>4</v>
      </c>
      <c r="H830">
        <v>7</v>
      </c>
      <c r="I830">
        <v>52</v>
      </c>
      <c r="K830" s="122">
        <v>45590</v>
      </c>
      <c r="L830">
        <v>0.70187999999999995</v>
      </c>
    </row>
    <row r="831" spans="1:12" x14ac:dyDescent="0.35">
      <c r="A831" t="s">
        <v>24</v>
      </c>
      <c r="D831" t="s">
        <v>27</v>
      </c>
      <c r="F831">
        <v>4</v>
      </c>
      <c r="G831">
        <v>4</v>
      </c>
      <c r="H831">
        <v>7</v>
      </c>
      <c r="I831">
        <v>52</v>
      </c>
      <c r="K831" s="122">
        <v>45596</v>
      </c>
      <c r="L831">
        <v>0.46488000000000002</v>
      </c>
    </row>
    <row r="832" spans="1:12" x14ac:dyDescent="0.35">
      <c r="A832" t="s">
        <v>24</v>
      </c>
      <c r="D832" t="s">
        <v>27</v>
      </c>
      <c r="F832">
        <v>4</v>
      </c>
      <c r="G832">
        <v>4</v>
      </c>
      <c r="H832">
        <v>7</v>
      </c>
      <c r="I832">
        <v>52</v>
      </c>
      <c r="K832" s="122">
        <v>45968</v>
      </c>
      <c r="L832">
        <v>0.29649999999999999</v>
      </c>
    </row>
    <row r="833" spans="1:12" x14ac:dyDescent="0.35">
      <c r="A833" t="s">
        <v>24</v>
      </c>
      <c r="D833" t="s">
        <v>27</v>
      </c>
      <c r="F833">
        <v>4</v>
      </c>
      <c r="G833">
        <v>4</v>
      </c>
      <c r="H833">
        <v>7</v>
      </c>
      <c r="I833">
        <v>52</v>
      </c>
      <c r="K833" s="122">
        <v>45975</v>
      </c>
      <c r="L833">
        <v>0.22556999999999999</v>
      </c>
    </row>
    <row r="834" spans="1:12" x14ac:dyDescent="0.35">
      <c r="A834" t="s">
        <v>24</v>
      </c>
      <c r="D834" t="s">
        <v>28</v>
      </c>
      <c r="F834">
        <v>4</v>
      </c>
      <c r="G834">
        <v>5</v>
      </c>
      <c r="H834">
        <v>7</v>
      </c>
      <c r="I834">
        <v>53</v>
      </c>
      <c r="K834" s="122">
        <v>45421</v>
      </c>
      <c r="L834">
        <v>0.12945000000000001</v>
      </c>
    </row>
    <row r="835" spans="1:12" x14ac:dyDescent="0.35">
      <c r="A835" t="s">
        <v>24</v>
      </c>
      <c r="D835" t="s">
        <v>28</v>
      </c>
      <c r="F835">
        <v>4</v>
      </c>
      <c r="G835">
        <v>5</v>
      </c>
      <c r="H835">
        <v>7</v>
      </c>
      <c r="I835">
        <v>53</v>
      </c>
      <c r="K835" s="122">
        <v>45442</v>
      </c>
      <c r="L835">
        <v>0.46022000000000002</v>
      </c>
    </row>
    <row r="836" spans="1:12" x14ac:dyDescent="0.35">
      <c r="A836" t="s">
        <v>24</v>
      </c>
      <c r="D836" t="s">
        <v>28</v>
      </c>
      <c r="F836">
        <v>4</v>
      </c>
      <c r="G836">
        <v>5</v>
      </c>
      <c r="H836">
        <v>7</v>
      </c>
      <c r="I836">
        <v>53</v>
      </c>
      <c r="K836" s="122">
        <v>45461</v>
      </c>
      <c r="L836">
        <v>0.83964000000000005</v>
      </c>
    </row>
    <row r="837" spans="1:12" x14ac:dyDescent="0.35">
      <c r="A837" t="s">
        <v>24</v>
      </c>
      <c r="D837" t="s">
        <v>28</v>
      </c>
      <c r="F837">
        <v>4</v>
      </c>
      <c r="G837">
        <v>5</v>
      </c>
      <c r="H837">
        <v>7</v>
      </c>
      <c r="I837">
        <v>53</v>
      </c>
      <c r="K837" s="122">
        <v>45477</v>
      </c>
      <c r="L837">
        <v>0.88807000000000003</v>
      </c>
    </row>
    <row r="838" spans="1:12" x14ac:dyDescent="0.35">
      <c r="A838" t="s">
        <v>24</v>
      </c>
      <c r="D838" t="s">
        <v>28</v>
      </c>
      <c r="F838">
        <v>4</v>
      </c>
      <c r="G838">
        <v>5</v>
      </c>
      <c r="H838">
        <v>7</v>
      </c>
      <c r="I838">
        <v>53</v>
      </c>
      <c r="K838" s="122">
        <v>45510</v>
      </c>
      <c r="L838">
        <v>0.90507000000000004</v>
      </c>
    </row>
    <row r="839" spans="1:12" x14ac:dyDescent="0.35">
      <c r="A839" t="s">
        <v>24</v>
      </c>
      <c r="D839" t="s">
        <v>28</v>
      </c>
      <c r="F839">
        <v>4</v>
      </c>
      <c r="G839">
        <v>5</v>
      </c>
      <c r="H839">
        <v>7</v>
      </c>
      <c r="I839">
        <v>53</v>
      </c>
      <c r="K839" s="122">
        <v>45519</v>
      </c>
      <c r="L839">
        <v>0.90900000000000003</v>
      </c>
    </row>
    <row r="840" spans="1:12" x14ac:dyDescent="0.35">
      <c r="A840" t="s">
        <v>24</v>
      </c>
      <c r="D840" t="s">
        <v>28</v>
      </c>
      <c r="F840">
        <v>4</v>
      </c>
      <c r="G840">
        <v>5</v>
      </c>
      <c r="H840">
        <v>7</v>
      </c>
      <c r="I840">
        <v>53</v>
      </c>
      <c r="K840" s="122">
        <v>45530</v>
      </c>
      <c r="L840">
        <v>0.94593000000000005</v>
      </c>
    </row>
    <row r="841" spans="1:12" x14ac:dyDescent="0.35">
      <c r="A841" t="s">
        <v>24</v>
      </c>
      <c r="D841" t="s">
        <v>28</v>
      </c>
      <c r="F841">
        <v>4</v>
      </c>
      <c r="G841">
        <v>5</v>
      </c>
      <c r="H841">
        <v>7</v>
      </c>
      <c r="I841">
        <v>53</v>
      </c>
      <c r="K841" s="122">
        <v>45538</v>
      </c>
      <c r="L841">
        <v>0.94655</v>
      </c>
    </row>
    <row r="842" spans="1:12" x14ac:dyDescent="0.35">
      <c r="A842" t="s">
        <v>24</v>
      </c>
      <c r="D842" t="s">
        <v>28</v>
      </c>
      <c r="F842">
        <v>4</v>
      </c>
      <c r="G842">
        <v>5</v>
      </c>
      <c r="H842">
        <v>7</v>
      </c>
      <c r="I842">
        <v>53</v>
      </c>
      <c r="K842" s="122">
        <v>45547</v>
      </c>
      <c r="L842">
        <v>0.9768</v>
      </c>
    </row>
    <row r="843" spans="1:12" x14ac:dyDescent="0.35">
      <c r="A843" t="s">
        <v>24</v>
      </c>
      <c r="D843" t="s">
        <v>28</v>
      </c>
      <c r="F843">
        <v>4</v>
      </c>
      <c r="G843">
        <v>5</v>
      </c>
      <c r="H843">
        <v>7</v>
      </c>
      <c r="I843">
        <v>53</v>
      </c>
      <c r="K843" s="122">
        <v>45553</v>
      </c>
      <c r="L843">
        <v>0.95786000000000004</v>
      </c>
    </row>
    <row r="844" spans="1:12" x14ac:dyDescent="0.35">
      <c r="A844" t="s">
        <v>24</v>
      </c>
      <c r="D844" t="s">
        <v>28</v>
      </c>
      <c r="F844">
        <v>4</v>
      </c>
      <c r="G844">
        <v>5</v>
      </c>
      <c r="H844">
        <v>7</v>
      </c>
      <c r="I844">
        <v>53</v>
      </c>
      <c r="K844" s="122">
        <v>45936</v>
      </c>
      <c r="L844">
        <v>0.90429000000000004</v>
      </c>
    </row>
    <row r="845" spans="1:12" x14ac:dyDescent="0.35">
      <c r="A845" t="s">
        <v>24</v>
      </c>
      <c r="D845" t="s">
        <v>28</v>
      </c>
      <c r="F845">
        <v>4</v>
      </c>
      <c r="G845">
        <v>5</v>
      </c>
      <c r="H845">
        <v>7</v>
      </c>
      <c r="I845">
        <v>53</v>
      </c>
      <c r="K845" s="122">
        <v>45944</v>
      </c>
      <c r="L845">
        <v>0.84128999999999998</v>
      </c>
    </row>
    <row r="846" spans="1:12" x14ac:dyDescent="0.35">
      <c r="A846" t="s">
        <v>24</v>
      </c>
      <c r="D846" t="s">
        <v>28</v>
      </c>
      <c r="F846">
        <v>4</v>
      </c>
      <c r="G846">
        <v>5</v>
      </c>
      <c r="H846">
        <v>7</v>
      </c>
      <c r="I846">
        <v>53</v>
      </c>
      <c r="K846" s="122">
        <v>45590</v>
      </c>
      <c r="L846">
        <v>0.66132999999999997</v>
      </c>
    </row>
    <row r="847" spans="1:12" x14ac:dyDescent="0.35">
      <c r="A847" t="s">
        <v>24</v>
      </c>
      <c r="D847" t="s">
        <v>28</v>
      </c>
      <c r="F847">
        <v>4</v>
      </c>
      <c r="G847">
        <v>5</v>
      </c>
      <c r="H847">
        <v>7</v>
      </c>
      <c r="I847">
        <v>53</v>
      </c>
      <c r="K847" s="122">
        <v>45596</v>
      </c>
      <c r="L847">
        <v>0.38643</v>
      </c>
    </row>
    <row r="848" spans="1:12" x14ac:dyDescent="0.35">
      <c r="A848" t="s">
        <v>24</v>
      </c>
      <c r="D848" t="s">
        <v>28</v>
      </c>
      <c r="F848">
        <v>4</v>
      </c>
      <c r="G848">
        <v>5</v>
      </c>
      <c r="H848">
        <v>7</v>
      </c>
      <c r="I848">
        <v>53</v>
      </c>
      <c r="K848" s="122">
        <v>45968</v>
      </c>
      <c r="L848">
        <v>0.24987999999999999</v>
      </c>
    </row>
    <row r="849" spans="1:12" x14ac:dyDescent="0.35">
      <c r="A849" t="s">
        <v>24</v>
      </c>
      <c r="D849" t="s">
        <v>28</v>
      </c>
      <c r="F849">
        <v>4</v>
      </c>
      <c r="G849">
        <v>5</v>
      </c>
      <c r="H849">
        <v>7</v>
      </c>
      <c r="I849">
        <v>53</v>
      </c>
      <c r="K849" s="122">
        <v>45975</v>
      </c>
      <c r="L849">
        <v>0.20957000000000001</v>
      </c>
    </row>
    <row r="850" spans="1:12" x14ac:dyDescent="0.35">
      <c r="A850" t="s">
        <v>24</v>
      </c>
      <c r="D850" t="s">
        <v>26</v>
      </c>
      <c r="F850">
        <v>4</v>
      </c>
      <c r="G850">
        <v>6</v>
      </c>
      <c r="H850">
        <v>7</v>
      </c>
      <c r="I850">
        <v>54</v>
      </c>
      <c r="K850" s="122">
        <v>45421</v>
      </c>
      <c r="L850">
        <v>0.14208999999999999</v>
      </c>
    </row>
    <row r="851" spans="1:12" x14ac:dyDescent="0.35">
      <c r="A851" t="s">
        <v>24</v>
      </c>
      <c r="D851" t="s">
        <v>26</v>
      </c>
      <c r="F851">
        <v>4</v>
      </c>
      <c r="G851">
        <v>6</v>
      </c>
      <c r="H851">
        <v>7</v>
      </c>
      <c r="I851">
        <v>54</v>
      </c>
      <c r="K851" s="122">
        <v>45442</v>
      </c>
      <c r="L851">
        <v>0.54788999999999999</v>
      </c>
    </row>
    <row r="852" spans="1:12" x14ac:dyDescent="0.35">
      <c r="A852" t="s">
        <v>24</v>
      </c>
      <c r="D852" t="s">
        <v>26</v>
      </c>
      <c r="F852">
        <v>4</v>
      </c>
      <c r="G852">
        <v>6</v>
      </c>
      <c r="H852">
        <v>7</v>
      </c>
      <c r="I852">
        <v>54</v>
      </c>
      <c r="K852" s="122">
        <v>45461</v>
      </c>
      <c r="L852">
        <v>0.88509000000000004</v>
      </c>
    </row>
    <row r="853" spans="1:12" x14ac:dyDescent="0.35">
      <c r="A853" t="s">
        <v>24</v>
      </c>
      <c r="D853" t="s">
        <v>26</v>
      </c>
      <c r="F853">
        <v>4</v>
      </c>
      <c r="G853">
        <v>6</v>
      </c>
      <c r="H853">
        <v>7</v>
      </c>
      <c r="I853">
        <v>54</v>
      </c>
      <c r="K853" s="122">
        <v>45477</v>
      </c>
      <c r="L853">
        <v>0.90164</v>
      </c>
    </row>
    <row r="854" spans="1:12" x14ac:dyDescent="0.35">
      <c r="A854" t="s">
        <v>24</v>
      </c>
      <c r="D854" t="s">
        <v>26</v>
      </c>
      <c r="F854">
        <v>4</v>
      </c>
      <c r="G854">
        <v>6</v>
      </c>
      <c r="H854">
        <v>7</v>
      </c>
      <c r="I854">
        <v>54</v>
      </c>
      <c r="K854" s="122">
        <v>45510</v>
      </c>
      <c r="L854">
        <v>0.89044999999999996</v>
      </c>
    </row>
    <row r="855" spans="1:12" x14ac:dyDescent="0.35">
      <c r="A855" t="s">
        <v>24</v>
      </c>
      <c r="D855" t="s">
        <v>26</v>
      </c>
      <c r="F855">
        <v>4</v>
      </c>
      <c r="G855">
        <v>6</v>
      </c>
      <c r="H855">
        <v>7</v>
      </c>
      <c r="I855">
        <v>54</v>
      </c>
      <c r="K855" s="122">
        <v>45519</v>
      </c>
      <c r="L855">
        <v>0.88371</v>
      </c>
    </row>
    <row r="856" spans="1:12" x14ac:dyDescent="0.35">
      <c r="A856" t="s">
        <v>24</v>
      </c>
      <c r="D856" t="s">
        <v>26</v>
      </c>
      <c r="F856">
        <v>4</v>
      </c>
      <c r="G856">
        <v>6</v>
      </c>
      <c r="H856">
        <v>7</v>
      </c>
      <c r="I856">
        <v>54</v>
      </c>
      <c r="K856" s="122">
        <v>45530</v>
      </c>
      <c r="L856">
        <v>0.94694</v>
      </c>
    </row>
    <row r="857" spans="1:12" x14ac:dyDescent="0.35">
      <c r="A857" t="s">
        <v>24</v>
      </c>
      <c r="D857" t="s">
        <v>26</v>
      </c>
      <c r="F857">
        <v>4</v>
      </c>
      <c r="G857">
        <v>6</v>
      </c>
      <c r="H857">
        <v>7</v>
      </c>
      <c r="I857">
        <v>54</v>
      </c>
      <c r="K857" s="122">
        <v>45538</v>
      </c>
      <c r="L857">
        <v>0.94715000000000005</v>
      </c>
    </row>
    <row r="858" spans="1:12" x14ac:dyDescent="0.35">
      <c r="A858" t="s">
        <v>24</v>
      </c>
      <c r="D858" t="s">
        <v>26</v>
      </c>
      <c r="F858">
        <v>4</v>
      </c>
      <c r="G858">
        <v>6</v>
      </c>
      <c r="H858">
        <v>7</v>
      </c>
      <c r="I858">
        <v>54</v>
      </c>
      <c r="K858" s="122">
        <v>45547</v>
      </c>
      <c r="L858">
        <v>0.96516999999999997</v>
      </c>
    </row>
    <row r="859" spans="1:12" x14ac:dyDescent="0.35">
      <c r="A859" t="s">
        <v>24</v>
      </c>
      <c r="D859" t="s">
        <v>26</v>
      </c>
      <c r="F859">
        <v>4</v>
      </c>
      <c r="G859">
        <v>6</v>
      </c>
      <c r="H859">
        <v>7</v>
      </c>
      <c r="I859">
        <v>54</v>
      </c>
      <c r="K859" s="122">
        <v>45553</v>
      </c>
      <c r="L859">
        <v>0.95040000000000002</v>
      </c>
    </row>
    <row r="860" spans="1:12" x14ac:dyDescent="0.35">
      <c r="A860" t="s">
        <v>24</v>
      </c>
      <c r="D860" t="s">
        <v>26</v>
      </c>
      <c r="F860">
        <v>4</v>
      </c>
      <c r="G860">
        <v>6</v>
      </c>
      <c r="H860">
        <v>7</v>
      </c>
      <c r="I860">
        <v>54</v>
      </c>
      <c r="K860" s="122">
        <v>45936</v>
      </c>
      <c r="L860">
        <v>0.89981999999999995</v>
      </c>
    </row>
    <row r="861" spans="1:12" x14ac:dyDescent="0.35">
      <c r="A861" t="s">
        <v>24</v>
      </c>
      <c r="D861" t="s">
        <v>26</v>
      </c>
      <c r="F861">
        <v>4</v>
      </c>
      <c r="G861">
        <v>6</v>
      </c>
      <c r="H861">
        <v>7</v>
      </c>
      <c r="I861">
        <v>54</v>
      </c>
      <c r="K861" s="122">
        <v>45944</v>
      </c>
      <c r="L861">
        <v>0.85155999999999998</v>
      </c>
    </row>
    <row r="862" spans="1:12" x14ac:dyDescent="0.35">
      <c r="A862" t="s">
        <v>24</v>
      </c>
      <c r="D862" t="s">
        <v>26</v>
      </c>
      <c r="F862">
        <v>4</v>
      </c>
      <c r="G862">
        <v>6</v>
      </c>
      <c r="H862">
        <v>7</v>
      </c>
      <c r="I862">
        <v>54</v>
      </c>
      <c r="K862" s="122">
        <v>45590</v>
      </c>
      <c r="L862">
        <v>0.70170999999999994</v>
      </c>
    </row>
    <row r="863" spans="1:12" x14ac:dyDescent="0.35">
      <c r="A863" t="s">
        <v>24</v>
      </c>
      <c r="D863" t="s">
        <v>26</v>
      </c>
      <c r="F863">
        <v>4</v>
      </c>
      <c r="G863">
        <v>6</v>
      </c>
      <c r="H863">
        <v>7</v>
      </c>
      <c r="I863">
        <v>54</v>
      </c>
      <c r="K863" s="122">
        <v>45596</v>
      </c>
      <c r="L863">
        <v>0.441</v>
      </c>
    </row>
    <row r="864" spans="1:12" x14ac:dyDescent="0.35">
      <c r="A864" t="s">
        <v>24</v>
      </c>
      <c r="D864" t="s">
        <v>26</v>
      </c>
      <c r="F864">
        <v>4</v>
      </c>
      <c r="G864">
        <v>6</v>
      </c>
      <c r="H864">
        <v>7</v>
      </c>
      <c r="I864">
        <v>54</v>
      </c>
      <c r="K864" s="122">
        <v>45968</v>
      </c>
      <c r="L864">
        <v>0.25283</v>
      </c>
    </row>
    <row r="865" spans="1:12" x14ac:dyDescent="0.35">
      <c r="A865" t="s">
        <v>24</v>
      </c>
      <c r="D865" t="s">
        <v>26</v>
      </c>
      <c r="F865">
        <v>4</v>
      </c>
      <c r="G865">
        <v>6</v>
      </c>
      <c r="H865">
        <v>7</v>
      </c>
      <c r="I865">
        <v>54</v>
      </c>
      <c r="K865" s="122">
        <v>45975</v>
      </c>
      <c r="L865">
        <v>0.20416999999999999</v>
      </c>
    </row>
    <row r="866" spans="1:12" x14ac:dyDescent="0.35">
      <c r="A866" t="s">
        <v>24</v>
      </c>
      <c r="D866" t="s">
        <v>335</v>
      </c>
      <c r="F866">
        <v>4</v>
      </c>
      <c r="G866">
        <v>7</v>
      </c>
      <c r="H866">
        <v>7</v>
      </c>
      <c r="I866">
        <v>55</v>
      </c>
      <c r="K866" s="122">
        <v>45421</v>
      </c>
      <c r="L866">
        <v>0.13708999999999999</v>
      </c>
    </row>
    <row r="867" spans="1:12" x14ac:dyDescent="0.35">
      <c r="A867" t="s">
        <v>24</v>
      </c>
      <c r="D867" t="s">
        <v>335</v>
      </c>
      <c r="F867">
        <v>4</v>
      </c>
      <c r="G867">
        <v>7</v>
      </c>
      <c r="H867">
        <v>7</v>
      </c>
      <c r="I867">
        <v>55</v>
      </c>
      <c r="K867" s="122">
        <v>45442</v>
      </c>
      <c r="L867">
        <v>0.51432999999999995</v>
      </c>
    </row>
    <row r="868" spans="1:12" x14ac:dyDescent="0.35">
      <c r="A868" t="s">
        <v>24</v>
      </c>
      <c r="D868" t="s">
        <v>335</v>
      </c>
      <c r="F868">
        <v>4</v>
      </c>
      <c r="G868">
        <v>7</v>
      </c>
      <c r="H868">
        <v>7</v>
      </c>
      <c r="I868">
        <v>55</v>
      </c>
      <c r="K868" s="122">
        <v>45461</v>
      </c>
      <c r="L868">
        <v>0.86140000000000005</v>
      </c>
    </row>
    <row r="869" spans="1:12" x14ac:dyDescent="0.35">
      <c r="A869" t="s">
        <v>24</v>
      </c>
      <c r="D869" t="s">
        <v>335</v>
      </c>
      <c r="F869">
        <v>4</v>
      </c>
      <c r="G869">
        <v>7</v>
      </c>
      <c r="H869">
        <v>7</v>
      </c>
      <c r="I869">
        <v>55</v>
      </c>
      <c r="K869" s="122">
        <v>45477</v>
      </c>
      <c r="L869">
        <v>0.87438000000000005</v>
      </c>
    </row>
    <row r="870" spans="1:12" x14ac:dyDescent="0.35">
      <c r="A870" t="s">
        <v>24</v>
      </c>
      <c r="D870" t="s">
        <v>335</v>
      </c>
      <c r="F870">
        <v>4</v>
      </c>
      <c r="G870">
        <v>7</v>
      </c>
      <c r="H870">
        <v>7</v>
      </c>
      <c r="I870">
        <v>55</v>
      </c>
      <c r="K870" s="122">
        <v>45510</v>
      </c>
      <c r="L870">
        <v>0.89554</v>
      </c>
    </row>
    <row r="871" spans="1:12" x14ac:dyDescent="0.35">
      <c r="A871" t="s">
        <v>24</v>
      </c>
      <c r="D871" t="s">
        <v>335</v>
      </c>
      <c r="F871">
        <v>4</v>
      </c>
      <c r="G871">
        <v>7</v>
      </c>
      <c r="H871">
        <v>7</v>
      </c>
      <c r="I871">
        <v>55</v>
      </c>
      <c r="K871" s="122">
        <v>45519</v>
      </c>
      <c r="L871">
        <v>0.87921000000000005</v>
      </c>
    </row>
    <row r="872" spans="1:12" x14ac:dyDescent="0.35">
      <c r="A872" t="s">
        <v>24</v>
      </c>
      <c r="D872" t="s">
        <v>335</v>
      </c>
      <c r="F872">
        <v>4</v>
      </c>
      <c r="G872">
        <v>7</v>
      </c>
      <c r="H872">
        <v>7</v>
      </c>
      <c r="I872">
        <v>55</v>
      </c>
      <c r="K872" s="122">
        <v>45530</v>
      </c>
      <c r="L872">
        <v>0.94399999999999995</v>
      </c>
    </row>
    <row r="873" spans="1:12" x14ac:dyDescent="0.35">
      <c r="A873" t="s">
        <v>24</v>
      </c>
      <c r="D873" t="s">
        <v>335</v>
      </c>
      <c r="F873">
        <v>4</v>
      </c>
      <c r="G873">
        <v>7</v>
      </c>
      <c r="H873">
        <v>7</v>
      </c>
      <c r="I873">
        <v>55</v>
      </c>
      <c r="K873" s="122">
        <v>45538</v>
      </c>
      <c r="L873">
        <v>0.93127000000000004</v>
      </c>
    </row>
    <row r="874" spans="1:12" x14ac:dyDescent="0.35">
      <c r="A874" t="s">
        <v>24</v>
      </c>
      <c r="D874" t="s">
        <v>335</v>
      </c>
      <c r="F874">
        <v>4</v>
      </c>
      <c r="G874">
        <v>7</v>
      </c>
      <c r="H874">
        <v>7</v>
      </c>
      <c r="I874">
        <v>55</v>
      </c>
      <c r="K874" s="122">
        <v>45547</v>
      </c>
      <c r="L874">
        <v>0.96426999999999996</v>
      </c>
    </row>
    <row r="875" spans="1:12" x14ac:dyDescent="0.35">
      <c r="A875" t="s">
        <v>24</v>
      </c>
      <c r="D875" t="s">
        <v>335</v>
      </c>
      <c r="F875">
        <v>4</v>
      </c>
      <c r="G875">
        <v>7</v>
      </c>
      <c r="H875">
        <v>7</v>
      </c>
      <c r="I875">
        <v>55</v>
      </c>
      <c r="K875" s="122">
        <v>45553</v>
      </c>
      <c r="L875">
        <v>0.94779000000000002</v>
      </c>
    </row>
    <row r="876" spans="1:12" x14ac:dyDescent="0.35">
      <c r="A876" t="s">
        <v>24</v>
      </c>
      <c r="D876" t="s">
        <v>335</v>
      </c>
      <c r="F876">
        <v>4</v>
      </c>
      <c r="G876">
        <v>7</v>
      </c>
      <c r="H876">
        <v>7</v>
      </c>
      <c r="I876">
        <v>55</v>
      </c>
      <c r="K876" s="122">
        <v>45936</v>
      </c>
      <c r="L876">
        <v>0.92356000000000005</v>
      </c>
    </row>
    <row r="877" spans="1:12" x14ac:dyDescent="0.35">
      <c r="A877" t="s">
        <v>24</v>
      </c>
      <c r="D877" t="s">
        <v>335</v>
      </c>
      <c r="F877">
        <v>4</v>
      </c>
      <c r="G877">
        <v>7</v>
      </c>
      <c r="H877">
        <v>7</v>
      </c>
      <c r="I877">
        <v>55</v>
      </c>
      <c r="K877" s="122">
        <v>45944</v>
      </c>
      <c r="L877">
        <v>0.79622000000000004</v>
      </c>
    </row>
    <row r="878" spans="1:12" x14ac:dyDescent="0.35">
      <c r="A878" t="s">
        <v>24</v>
      </c>
      <c r="D878" t="s">
        <v>335</v>
      </c>
      <c r="F878">
        <v>4</v>
      </c>
      <c r="G878">
        <v>7</v>
      </c>
      <c r="H878">
        <v>7</v>
      </c>
      <c r="I878">
        <v>55</v>
      </c>
      <c r="K878" s="122">
        <v>45590</v>
      </c>
      <c r="L878">
        <v>0.59913000000000005</v>
      </c>
    </row>
    <row r="879" spans="1:12" x14ac:dyDescent="0.35">
      <c r="A879" t="s">
        <v>24</v>
      </c>
      <c r="D879" t="s">
        <v>335</v>
      </c>
      <c r="F879">
        <v>4</v>
      </c>
      <c r="G879">
        <v>7</v>
      </c>
      <c r="H879">
        <v>7</v>
      </c>
      <c r="I879">
        <v>55</v>
      </c>
      <c r="K879" s="122">
        <v>45596</v>
      </c>
      <c r="L879">
        <v>0.38685999999999998</v>
      </c>
    </row>
    <row r="880" spans="1:12" x14ac:dyDescent="0.35">
      <c r="A880" t="s">
        <v>24</v>
      </c>
      <c r="D880" t="s">
        <v>335</v>
      </c>
      <c r="F880">
        <v>4</v>
      </c>
      <c r="G880">
        <v>7</v>
      </c>
      <c r="H880">
        <v>7</v>
      </c>
      <c r="I880">
        <v>55</v>
      </c>
      <c r="K880" s="122">
        <v>45968</v>
      </c>
      <c r="L880">
        <v>0.26474999999999999</v>
      </c>
    </row>
    <row r="881" spans="1:12" x14ac:dyDescent="0.35">
      <c r="A881" t="s">
        <v>24</v>
      </c>
      <c r="D881" t="s">
        <v>335</v>
      </c>
      <c r="F881">
        <v>4</v>
      </c>
      <c r="G881">
        <v>7</v>
      </c>
      <c r="H881">
        <v>7</v>
      </c>
      <c r="I881">
        <v>55</v>
      </c>
      <c r="K881" s="122">
        <v>45975</v>
      </c>
      <c r="L881">
        <v>0.23100000000000001</v>
      </c>
    </row>
    <row r="882" spans="1:12" x14ac:dyDescent="0.35">
      <c r="A882" t="s">
        <v>24</v>
      </c>
      <c r="D882" t="s">
        <v>336</v>
      </c>
      <c r="F882">
        <v>4</v>
      </c>
      <c r="G882">
        <v>8</v>
      </c>
      <c r="H882">
        <v>7</v>
      </c>
      <c r="I882">
        <v>56</v>
      </c>
      <c r="K882" s="122">
        <v>45421</v>
      </c>
      <c r="L882">
        <v>0.15759999999999999</v>
      </c>
    </row>
    <row r="883" spans="1:12" x14ac:dyDescent="0.35">
      <c r="A883" t="s">
        <v>24</v>
      </c>
      <c r="D883" t="s">
        <v>336</v>
      </c>
      <c r="F883">
        <v>4</v>
      </c>
      <c r="G883">
        <v>8</v>
      </c>
      <c r="H883">
        <v>7</v>
      </c>
      <c r="I883">
        <v>56</v>
      </c>
      <c r="K883" s="122">
        <v>45442</v>
      </c>
      <c r="L883">
        <v>0.59877999999999998</v>
      </c>
    </row>
    <row r="884" spans="1:12" x14ac:dyDescent="0.35">
      <c r="A884" t="s">
        <v>24</v>
      </c>
      <c r="D884" t="s">
        <v>336</v>
      </c>
      <c r="F884">
        <v>4</v>
      </c>
      <c r="G884">
        <v>8</v>
      </c>
      <c r="H884">
        <v>7</v>
      </c>
      <c r="I884">
        <v>56</v>
      </c>
      <c r="K884" s="122">
        <v>45461</v>
      </c>
      <c r="L884">
        <v>0.86699999999999999</v>
      </c>
    </row>
    <row r="885" spans="1:12" x14ac:dyDescent="0.35">
      <c r="A885" t="s">
        <v>24</v>
      </c>
      <c r="D885" t="s">
        <v>336</v>
      </c>
      <c r="F885">
        <v>4</v>
      </c>
      <c r="G885">
        <v>8</v>
      </c>
      <c r="H885">
        <v>7</v>
      </c>
      <c r="I885">
        <v>56</v>
      </c>
      <c r="K885" s="122">
        <v>45477</v>
      </c>
      <c r="L885">
        <v>0.88907999999999998</v>
      </c>
    </row>
    <row r="886" spans="1:12" x14ac:dyDescent="0.35">
      <c r="A886" t="s">
        <v>24</v>
      </c>
      <c r="D886" t="s">
        <v>336</v>
      </c>
      <c r="F886">
        <v>4</v>
      </c>
      <c r="G886">
        <v>8</v>
      </c>
      <c r="H886">
        <v>7</v>
      </c>
      <c r="I886">
        <v>56</v>
      </c>
      <c r="K886" s="122">
        <v>45510</v>
      </c>
      <c r="L886">
        <v>0.878</v>
      </c>
    </row>
    <row r="887" spans="1:12" x14ac:dyDescent="0.35">
      <c r="A887" t="s">
        <v>24</v>
      </c>
      <c r="D887" t="s">
        <v>336</v>
      </c>
      <c r="F887">
        <v>4</v>
      </c>
      <c r="G887">
        <v>8</v>
      </c>
      <c r="H887">
        <v>7</v>
      </c>
      <c r="I887">
        <v>56</v>
      </c>
      <c r="K887" s="122">
        <v>45519</v>
      </c>
      <c r="L887">
        <v>0.83938000000000001</v>
      </c>
    </row>
    <row r="888" spans="1:12" x14ac:dyDescent="0.35">
      <c r="A888" t="s">
        <v>24</v>
      </c>
      <c r="D888" t="s">
        <v>336</v>
      </c>
      <c r="F888">
        <v>4</v>
      </c>
      <c r="G888">
        <v>8</v>
      </c>
      <c r="H888">
        <v>7</v>
      </c>
      <c r="I888">
        <v>56</v>
      </c>
      <c r="K888" s="122">
        <v>45530</v>
      </c>
      <c r="L888">
        <v>0.94108000000000003</v>
      </c>
    </row>
    <row r="889" spans="1:12" x14ac:dyDescent="0.35">
      <c r="A889" t="s">
        <v>24</v>
      </c>
      <c r="D889" t="s">
        <v>336</v>
      </c>
      <c r="F889">
        <v>4</v>
      </c>
      <c r="G889">
        <v>8</v>
      </c>
      <c r="H889">
        <v>7</v>
      </c>
      <c r="I889">
        <v>56</v>
      </c>
      <c r="K889" s="122">
        <v>45538</v>
      </c>
      <c r="L889">
        <v>0.93691999999999998</v>
      </c>
    </row>
    <row r="890" spans="1:12" x14ac:dyDescent="0.35">
      <c r="A890" t="s">
        <v>24</v>
      </c>
      <c r="D890" t="s">
        <v>336</v>
      </c>
      <c r="F890">
        <v>4</v>
      </c>
      <c r="G890">
        <v>8</v>
      </c>
      <c r="H890">
        <v>7</v>
      </c>
      <c r="I890">
        <v>56</v>
      </c>
      <c r="K890" s="122">
        <v>45547</v>
      </c>
      <c r="L890">
        <v>0.95555000000000001</v>
      </c>
    </row>
    <row r="891" spans="1:12" x14ac:dyDescent="0.35">
      <c r="A891" t="s">
        <v>24</v>
      </c>
      <c r="D891" t="s">
        <v>336</v>
      </c>
      <c r="F891">
        <v>4</v>
      </c>
      <c r="G891">
        <v>8</v>
      </c>
      <c r="H891">
        <v>7</v>
      </c>
      <c r="I891">
        <v>56</v>
      </c>
      <c r="K891" s="122">
        <v>45553</v>
      </c>
      <c r="L891">
        <v>0.95164000000000004</v>
      </c>
    </row>
    <row r="892" spans="1:12" x14ac:dyDescent="0.35">
      <c r="A892" t="s">
        <v>24</v>
      </c>
      <c r="D892" t="s">
        <v>336</v>
      </c>
      <c r="F892">
        <v>4</v>
      </c>
      <c r="G892">
        <v>8</v>
      </c>
      <c r="H892">
        <v>7</v>
      </c>
      <c r="I892">
        <v>56</v>
      </c>
      <c r="K892" s="122">
        <v>45936</v>
      </c>
      <c r="L892">
        <v>0.92425000000000002</v>
      </c>
    </row>
    <row r="893" spans="1:12" x14ac:dyDescent="0.35">
      <c r="A893" t="s">
        <v>24</v>
      </c>
      <c r="D893" t="s">
        <v>336</v>
      </c>
      <c r="F893">
        <v>4</v>
      </c>
      <c r="G893">
        <v>8</v>
      </c>
      <c r="H893">
        <v>7</v>
      </c>
      <c r="I893">
        <v>56</v>
      </c>
      <c r="K893" s="122">
        <v>45944</v>
      </c>
      <c r="L893">
        <v>0.86350000000000005</v>
      </c>
    </row>
    <row r="894" spans="1:12" x14ac:dyDescent="0.35">
      <c r="A894" t="s">
        <v>24</v>
      </c>
      <c r="D894" t="s">
        <v>336</v>
      </c>
      <c r="F894">
        <v>4</v>
      </c>
      <c r="G894">
        <v>8</v>
      </c>
      <c r="H894">
        <v>7</v>
      </c>
      <c r="I894">
        <v>56</v>
      </c>
      <c r="K894" s="122">
        <v>45590</v>
      </c>
      <c r="L894">
        <v>0.73289000000000004</v>
      </c>
    </row>
    <row r="895" spans="1:12" x14ac:dyDescent="0.35">
      <c r="A895" t="s">
        <v>24</v>
      </c>
      <c r="D895" t="s">
        <v>336</v>
      </c>
      <c r="F895">
        <v>4</v>
      </c>
      <c r="G895">
        <v>8</v>
      </c>
      <c r="H895">
        <v>7</v>
      </c>
      <c r="I895">
        <v>56</v>
      </c>
      <c r="K895" s="122">
        <v>45596</v>
      </c>
      <c r="L895">
        <v>0.50812999999999997</v>
      </c>
    </row>
    <row r="896" spans="1:12" x14ac:dyDescent="0.35">
      <c r="A896" t="s">
        <v>24</v>
      </c>
      <c r="D896" t="s">
        <v>336</v>
      </c>
      <c r="F896">
        <v>4</v>
      </c>
      <c r="G896">
        <v>8</v>
      </c>
      <c r="H896">
        <v>7</v>
      </c>
      <c r="I896">
        <v>56</v>
      </c>
      <c r="K896" s="122">
        <v>45968</v>
      </c>
      <c r="L896">
        <v>0.28271000000000002</v>
      </c>
    </row>
    <row r="897" spans="1:12" x14ac:dyDescent="0.35">
      <c r="A897" t="s">
        <v>24</v>
      </c>
      <c r="D897" t="s">
        <v>336</v>
      </c>
      <c r="F897">
        <v>4</v>
      </c>
      <c r="G897">
        <v>8</v>
      </c>
      <c r="H897">
        <v>7</v>
      </c>
      <c r="I897">
        <v>56</v>
      </c>
      <c r="K897" s="122">
        <v>45975</v>
      </c>
      <c r="L897">
        <v>0.215</v>
      </c>
    </row>
    <row r="898" spans="1:12" x14ac:dyDescent="0.35">
      <c r="A898" t="s">
        <v>34</v>
      </c>
      <c r="D898" t="s">
        <v>39</v>
      </c>
      <c r="F898">
        <v>4</v>
      </c>
      <c r="G898">
        <v>1</v>
      </c>
      <c r="H898">
        <v>8</v>
      </c>
      <c r="I898">
        <v>57</v>
      </c>
      <c r="K898" s="122">
        <v>45421</v>
      </c>
    </row>
    <row r="899" spans="1:12" x14ac:dyDescent="0.35">
      <c r="A899" t="s">
        <v>34</v>
      </c>
      <c r="D899" t="s">
        <v>39</v>
      </c>
      <c r="F899">
        <v>4</v>
      </c>
      <c r="G899">
        <v>1</v>
      </c>
      <c r="H899">
        <v>8</v>
      </c>
      <c r="I899">
        <v>57</v>
      </c>
      <c r="K899" s="122">
        <v>45442</v>
      </c>
      <c r="L899">
        <v>0.127</v>
      </c>
    </row>
    <row r="900" spans="1:12" x14ac:dyDescent="0.35">
      <c r="A900" t="s">
        <v>34</v>
      </c>
      <c r="D900" t="s">
        <v>39</v>
      </c>
      <c r="F900">
        <v>4</v>
      </c>
      <c r="G900">
        <v>1</v>
      </c>
      <c r="H900">
        <v>8</v>
      </c>
      <c r="I900">
        <v>57</v>
      </c>
      <c r="K900" s="122">
        <v>45461</v>
      </c>
      <c r="L900">
        <v>0.27460000000000001</v>
      </c>
    </row>
    <row r="901" spans="1:12" x14ac:dyDescent="0.35">
      <c r="A901" t="s">
        <v>34</v>
      </c>
      <c r="D901" t="s">
        <v>39</v>
      </c>
      <c r="F901">
        <v>4</v>
      </c>
      <c r="G901">
        <v>1</v>
      </c>
      <c r="H901">
        <v>8</v>
      </c>
      <c r="I901">
        <v>57</v>
      </c>
      <c r="K901" s="122">
        <v>45477</v>
      </c>
      <c r="L901">
        <v>0.34179999999999999</v>
      </c>
    </row>
    <row r="902" spans="1:12" x14ac:dyDescent="0.35">
      <c r="A902" t="s">
        <v>34</v>
      </c>
      <c r="D902" t="s">
        <v>39</v>
      </c>
      <c r="F902">
        <v>4</v>
      </c>
      <c r="G902">
        <v>1</v>
      </c>
      <c r="H902">
        <v>8</v>
      </c>
      <c r="I902">
        <v>57</v>
      </c>
      <c r="K902" s="122">
        <v>45510</v>
      </c>
      <c r="L902">
        <v>0.76409000000000005</v>
      </c>
    </row>
    <row r="903" spans="1:12" x14ac:dyDescent="0.35">
      <c r="A903" t="s">
        <v>34</v>
      </c>
      <c r="D903" t="s">
        <v>39</v>
      </c>
      <c r="F903">
        <v>4</v>
      </c>
      <c r="G903">
        <v>1</v>
      </c>
      <c r="H903">
        <v>8</v>
      </c>
      <c r="I903">
        <v>57</v>
      </c>
      <c r="K903" s="122">
        <v>45519</v>
      </c>
      <c r="L903">
        <v>0.84036</v>
      </c>
    </row>
    <row r="904" spans="1:12" x14ac:dyDescent="0.35">
      <c r="A904" t="s">
        <v>34</v>
      </c>
      <c r="D904" t="s">
        <v>39</v>
      </c>
      <c r="F904">
        <v>4</v>
      </c>
      <c r="G904">
        <v>1</v>
      </c>
      <c r="H904">
        <v>8</v>
      </c>
      <c r="I904">
        <v>57</v>
      </c>
      <c r="K904" s="122">
        <v>45530</v>
      </c>
      <c r="L904">
        <v>0.87373000000000001</v>
      </c>
    </row>
    <row r="905" spans="1:12" x14ac:dyDescent="0.35">
      <c r="A905" t="s">
        <v>34</v>
      </c>
      <c r="D905" t="s">
        <v>39</v>
      </c>
      <c r="F905">
        <v>4</v>
      </c>
      <c r="G905">
        <v>1</v>
      </c>
      <c r="H905">
        <v>8</v>
      </c>
      <c r="I905">
        <v>57</v>
      </c>
      <c r="K905" s="122">
        <v>45538</v>
      </c>
      <c r="L905">
        <v>0.87749999999999995</v>
      </c>
    </row>
    <row r="906" spans="1:12" x14ac:dyDescent="0.35">
      <c r="A906" t="s">
        <v>34</v>
      </c>
      <c r="D906" t="s">
        <v>39</v>
      </c>
      <c r="F906">
        <v>4</v>
      </c>
      <c r="G906">
        <v>1</v>
      </c>
      <c r="H906">
        <v>8</v>
      </c>
      <c r="I906">
        <v>57</v>
      </c>
      <c r="K906" s="122">
        <v>45547</v>
      </c>
      <c r="L906">
        <v>0.93855</v>
      </c>
    </row>
    <row r="907" spans="1:12" x14ac:dyDescent="0.35">
      <c r="A907" t="s">
        <v>34</v>
      </c>
      <c r="D907" t="s">
        <v>39</v>
      </c>
      <c r="F907">
        <v>4</v>
      </c>
      <c r="G907">
        <v>1</v>
      </c>
      <c r="H907">
        <v>8</v>
      </c>
      <c r="I907">
        <v>57</v>
      </c>
      <c r="K907" s="122">
        <v>45553</v>
      </c>
      <c r="L907">
        <v>0.93872999999999995</v>
      </c>
    </row>
    <row r="908" spans="1:12" x14ac:dyDescent="0.35">
      <c r="A908" t="s">
        <v>34</v>
      </c>
      <c r="D908" t="s">
        <v>39</v>
      </c>
      <c r="F908">
        <v>4</v>
      </c>
      <c r="G908">
        <v>1</v>
      </c>
      <c r="H908">
        <v>8</v>
      </c>
      <c r="I908">
        <v>57</v>
      </c>
      <c r="K908" s="122">
        <v>45936</v>
      </c>
      <c r="L908">
        <v>0.82825000000000004</v>
      </c>
    </row>
    <row r="909" spans="1:12" x14ac:dyDescent="0.35">
      <c r="A909" t="s">
        <v>34</v>
      </c>
      <c r="D909" t="s">
        <v>39</v>
      </c>
      <c r="F909">
        <v>4</v>
      </c>
      <c r="G909">
        <v>1</v>
      </c>
      <c r="H909">
        <v>8</v>
      </c>
      <c r="I909">
        <v>57</v>
      </c>
      <c r="K909" s="122">
        <v>45944</v>
      </c>
      <c r="L909">
        <v>0.66339999999999999</v>
      </c>
    </row>
    <row r="910" spans="1:12" x14ac:dyDescent="0.35">
      <c r="A910" t="s">
        <v>34</v>
      </c>
      <c r="D910" t="s">
        <v>39</v>
      </c>
      <c r="F910">
        <v>4</v>
      </c>
      <c r="G910">
        <v>1</v>
      </c>
      <c r="H910">
        <v>8</v>
      </c>
      <c r="I910">
        <v>57</v>
      </c>
      <c r="K910" s="122">
        <v>45590</v>
      </c>
      <c r="L910">
        <v>0.48343999999999998</v>
      </c>
    </row>
    <row r="911" spans="1:12" x14ac:dyDescent="0.35">
      <c r="A911" t="s">
        <v>34</v>
      </c>
      <c r="D911" t="s">
        <v>39</v>
      </c>
      <c r="F911">
        <v>4</v>
      </c>
      <c r="G911">
        <v>1</v>
      </c>
      <c r="H911">
        <v>8</v>
      </c>
      <c r="I911">
        <v>57</v>
      </c>
      <c r="K911" s="122">
        <v>45596</v>
      </c>
      <c r="L911">
        <v>0.28466999999999998</v>
      </c>
    </row>
    <row r="912" spans="1:12" x14ac:dyDescent="0.35">
      <c r="A912" t="s">
        <v>34</v>
      </c>
      <c r="D912" t="s">
        <v>39</v>
      </c>
      <c r="F912">
        <v>4</v>
      </c>
      <c r="G912">
        <v>1</v>
      </c>
      <c r="H912">
        <v>8</v>
      </c>
      <c r="I912">
        <v>57</v>
      </c>
      <c r="K912" s="122">
        <v>45968</v>
      </c>
      <c r="L912">
        <v>0.22428999999999999</v>
      </c>
    </row>
    <row r="913" spans="1:12" x14ac:dyDescent="0.35">
      <c r="A913" t="s">
        <v>34</v>
      </c>
      <c r="D913" t="s">
        <v>39</v>
      </c>
      <c r="F913">
        <v>4</v>
      </c>
      <c r="G913">
        <v>1</v>
      </c>
      <c r="H913">
        <v>8</v>
      </c>
      <c r="I913">
        <v>57</v>
      </c>
      <c r="K913" s="122">
        <v>45975</v>
      </c>
      <c r="L913">
        <v>0.18837999999999999</v>
      </c>
    </row>
    <row r="914" spans="1:12" x14ac:dyDescent="0.35">
      <c r="A914" t="s">
        <v>34</v>
      </c>
      <c r="D914" t="s">
        <v>37</v>
      </c>
      <c r="F914">
        <v>4</v>
      </c>
      <c r="G914">
        <v>2</v>
      </c>
      <c r="H914">
        <v>8</v>
      </c>
      <c r="I914">
        <v>58</v>
      </c>
      <c r="K914" s="122">
        <v>45421</v>
      </c>
    </row>
    <row r="915" spans="1:12" x14ac:dyDescent="0.35">
      <c r="A915" t="s">
        <v>34</v>
      </c>
      <c r="D915" t="s">
        <v>37</v>
      </c>
      <c r="F915">
        <v>4</v>
      </c>
      <c r="G915">
        <v>2</v>
      </c>
      <c r="H915">
        <v>8</v>
      </c>
      <c r="I915">
        <v>58</v>
      </c>
      <c r="K915" s="122">
        <v>45442</v>
      </c>
      <c r="L915">
        <v>0.13469999999999999</v>
      </c>
    </row>
    <row r="916" spans="1:12" x14ac:dyDescent="0.35">
      <c r="A916" t="s">
        <v>34</v>
      </c>
      <c r="D916" t="s">
        <v>37</v>
      </c>
      <c r="F916">
        <v>4</v>
      </c>
      <c r="G916">
        <v>2</v>
      </c>
      <c r="H916">
        <v>8</v>
      </c>
      <c r="I916">
        <v>58</v>
      </c>
      <c r="K916" s="122">
        <v>45461</v>
      </c>
      <c r="L916">
        <v>0.27411000000000002</v>
      </c>
    </row>
    <row r="917" spans="1:12" x14ac:dyDescent="0.35">
      <c r="A917" t="s">
        <v>34</v>
      </c>
      <c r="D917" t="s">
        <v>37</v>
      </c>
      <c r="F917">
        <v>4</v>
      </c>
      <c r="G917">
        <v>2</v>
      </c>
      <c r="H917">
        <v>8</v>
      </c>
      <c r="I917">
        <v>58</v>
      </c>
      <c r="K917" s="122">
        <v>45477</v>
      </c>
      <c r="L917">
        <v>0.39860000000000001</v>
      </c>
    </row>
    <row r="918" spans="1:12" x14ac:dyDescent="0.35">
      <c r="A918" t="s">
        <v>34</v>
      </c>
      <c r="D918" t="s">
        <v>37</v>
      </c>
      <c r="F918">
        <v>4</v>
      </c>
      <c r="G918">
        <v>2</v>
      </c>
      <c r="H918">
        <v>8</v>
      </c>
      <c r="I918">
        <v>58</v>
      </c>
      <c r="K918" s="122">
        <v>45510</v>
      </c>
      <c r="L918">
        <v>0.84675</v>
      </c>
    </row>
    <row r="919" spans="1:12" x14ac:dyDescent="0.35">
      <c r="A919" t="s">
        <v>34</v>
      </c>
      <c r="D919" t="s">
        <v>37</v>
      </c>
      <c r="F919">
        <v>4</v>
      </c>
      <c r="G919">
        <v>2</v>
      </c>
      <c r="H919">
        <v>8</v>
      </c>
      <c r="I919">
        <v>58</v>
      </c>
      <c r="K919" s="122">
        <v>45519</v>
      </c>
      <c r="L919">
        <v>0.87782000000000004</v>
      </c>
    </row>
    <row r="920" spans="1:12" x14ac:dyDescent="0.35">
      <c r="A920" t="s">
        <v>34</v>
      </c>
      <c r="D920" t="s">
        <v>37</v>
      </c>
      <c r="F920">
        <v>4</v>
      </c>
      <c r="G920">
        <v>2</v>
      </c>
      <c r="H920">
        <v>8</v>
      </c>
      <c r="I920">
        <v>58</v>
      </c>
      <c r="K920" s="122">
        <v>45530</v>
      </c>
      <c r="L920">
        <v>0.90239999999999998</v>
      </c>
    </row>
    <row r="921" spans="1:12" x14ac:dyDescent="0.35">
      <c r="A921" t="s">
        <v>34</v>
      </c>
      <c r="D921" t="s">
        <v>37</v>
      </c>
      <c r="F921">
        <v>4</v>
      </c>
      <c r="G921">
        <v>2</v>
      </c>
      <c r="H921">
        <v>8</v>
      </c>
      <c r="I921">
        <v>58</v>
      </c>
      <c r="K921" s="122">
        <v>45538</v>
      </c>
      <c r="L921">
        <v>0.91883000000000004</v>
      </c>
    </row>
    <row r="922" spans="1:12" x14ac:dyDescent="0.35">
      <c r="A922" t="s">
        <v>34</v>
      </c>
      <c r="D922" t="s">
        <v>37</v>
      </c>
      <c r="F922">
        <v>4</v>
      </c>
      <c r="G922">
        <v>2</v>
      </c>
      <c r="H922">
        <v>8</v>
      </c>
      <c r="I922">
        <v>58</v>
      </c>
      <c r="K922" s="122">
        <v>45547</v>
      </c>
      <c r="L922">
        <v>0.96923000000000004</v>
      </c>
    </row>
    <row r="923" spans="1:12" x14ac:dyDescent="0.35">
      <c r="A923" t="s">
        <v>34</v>
      </c>
      <c r="D923" t="s">
        <v>37</v>
      </c>
      <c r="F923">
        <v>4</v>
      </c>
      <c r="G923">
        <v>2</v>
      </c>
      <c r="H923">
        <v>8</v>
      </c>
      <c r="I923">
        <v>58</v>
      </c>
      <c r="K923" s="122">
        <v>45553</v>
      </c>
      <c r="L923">
        <v>0.95920000000000005</v>
      </c>
    </row>
    <row r="924" spans="1:12" x14ac:dyDescent="0.35">
      <c r="A924" t="s">
        <v>34</v>
      </c>
      <c r="D924" t="s">
        <v>37</v>
      </c>
      <c r="F924">
        <v>4</v>
      </c>
      <c r="G924">
        <v>2</v>
      </c>
      <c r="H924">
        <v>8</v>
      </c>
      <c r="I924">
        <v>58</v>
      </c>
      <c r="K924" s="122">
        <v>45936</v>
      </c>
      <c r="L924">
        <v>0.92600000000000005</v>
      </c>
    </row>
    <row r="925" spans="1:12" x14ac:dyDescent="0.35">
      <c r="A925" t="s">
        <v>34</v>
      </c>
      <c r="D925" t="s">
        <v>37</v>
      </c>
      <c r="F925">
        <v>4</v>
      </c>
      <c r="G925">
        <v>2</v>
      </c>
      <c r="H925">
        <v>8</v>
      </c>
      <c r="I925">
        <v>58</v>
      </c>
      <c r="K925" s="122">
        <v>45944</v>
      </c>
      <c r="L925">
        <v>0.86812999999999996</v>
      </c>
    </row>
    <row r="926" spans="1:12" x14ac:dyDescent="0.35">
      <c r="A926" t="s">
        <v>34</v>
      </c>
      <c r="D926" t="s">
        <v>37</v>
      </c>
      <c r="F926">
        <v>4</v>
      </c>
      <c r="G926">
        <v>2</v>
      </c>
      <c r="H926">
        <v>8</v>
      </c>
      <c r="I926">
        <v>58</v>
      </c>
      <c r="K926" s="122">
        <v>45590</v>
      </c>
      <c r="L926">
        <v>0.62978000000000001</v>
      </c>
    </row>
    <row r="927" spans="1:12" x14ac:dyDescent="0.35">
      <c r="A927" t="s">
        <v>34</v>
      </c>
      <c r="D927" t="s">
        <v>37</v>
      </c>
      <c r="F927">
        <v>4</v>
      </c>
      <c r="G927">
        <v>2</v>
      </c>
      <c r="H927">
        <v>8</v>
      </c>
      <c r="I927">
        <v>58</v>
      </c>
      <c r="K927" s="122">
        <v>45596</v>
      </c>
      <c r="L927">
        <v>0.41963</v>
      </c>
    </row>
    <row r="928" spans="1:12" x14ac:dyDescent="0.35">
      <c r="A928" t="s">
        <v>34</v>
      </c>
      <c r="D928" t="s">
        <v>37</v>
      </c>
      <c r="F928">
        <v>4</v>
      </c>
      <c r="G928">
        <v>2</v>
      </c>
      <c r="H928">
        <v>8</v>
      </c>
      <c r="I928">
        <v>58</v>
      </c>
      <c r="K928" s="122">
        <v>45968</v>
      </c>
      <c r="L928">
        <v>0.25086000000000003</v>
      </c>
    </row>
    <row r="929" spans="1:12" x14ac:dyDescent="0.35">
      <c r="A929" t="s">
        <v>34</v>
      </c>
      <c r="D929" t="s">
        <v>37</v>
      </c>
      <c r="F929">
        <v>4</v>
      </c>
      <c r="G929">
        <v>2</v>
      </c>
      <c r="H929">
        <v>8</v>
      </c>
      <c r="I929">
        <v>58</v>
      </c>
      <c r="K929" s="122">
        <v>45975</v>
      </c>
      <c r="L929">
        <v>0.20699999999999999</v>
      </c>
    </row>
    <row r="930" spans="1:12" x14ac:dyDescent="0.35">
      <c r="A930" t="s">
        <v>34</v>
      </c>
      <c r="D930" t="s">
        <v>36</v>
      </c>
      <c r="F930">
        <v>4</v>
      </c>
      <c r="G930">
        <v>3</v>
      </c>
      <c r="H930">
        <v>8</v>
      </c>
      <c r="I930">
        <v>59</v>
      </c>
      <c r="K930" s="122">
        <v>45421</v>
      </c>
    </row>
    <row r="931" spans="1:12" x14ac:dyDescent="0.35">
      <c r="A931" t="s">
        <v>34</v>
      </c>
      <c r="D931" t="s">
        <v>36</v>
      </c>
      <c r="F931">
        <v>4</v>
      </c>
      <c r="G931">
        <v>3</v>
      </c>
      <c r="H931">
        <v>8</v>
      </c>
      <c r="I931">
        <v>59</v>
      </c>
      <c r="K931" s="122">
        <v>45442</v>
      </c>
      <c r="L931">
        <v>0.13100000000000001</v>
      </c>
    </row>
    <row r="932" spans="1:12" x14ac:dyDescent="0.35">
      <c r="A932" t="s">
        <v>34</v>
      </c>
      <c r="D932" t="s">
        <v>36</v>
      </c>
      <c r="F932">
        <v>4</v>
      </c>
      <c r="G932">
        <v>3</v>
      </c>
      <c r="H932">
        <v>8</v>
      </c>
      <c r="I932">
        <v>59</v>
      </c>
      <c r="K932" s="122">
        <v>45461</v>
      </c>
      <c r="L932">
        <v>0.32562999999999998</v>
      </c>
    </row>
    <row r="933" spans="1:12" x14ac:dyDescent="0.35">
      <c r="A933" t="s">
        <v>34</v>
      </c>
      <c r="D933" t="s">
        <v>36</v>
      </c>
      <c r="F933">
        <v>4</v>
      </c>
      <c r="G933">
        <v>3</v>
      </c>
      <c r="H933">
        <v>8</v>
      </c>
      <c r="I933">
        <v>59</v>
      </c>
      <c r="K933" s="122">
        <v>45477</v>
      </c>
      <c r="L933">
        <v>0.41625000000000001</v>
      </c>
    </row>
    <row r="934" spans="1:12" x14ac:dyDescent="0.35">
      <c r="A934" t="s">
        <v>34</v>
      </c>
      <c r="D934" t="s">
        <v>36</v>
      </c>
      <c r="F934">
        <v>4</v>
      </c>
      <c r="G934">
        <v>3</v>
      </c>
      <c r="H934">
        <v>8</v>
      </c>
      <c r="I934">
        <v>59</v>
      </c>
      <c r="K934" s="122">
        <v>45510</v>
      </c>
      <c r="L934">
        <v>0.82899999999999996</v>
      </c>
    </row>
    <row r="935" spans="1:12" x14ac:dyDescent="0.35">
      <c r="A935" t="s">
        <v>34</v>
      </c>
      <c r="D935" t="s">
        <v>36</v>
      </c>
      <c r="F935">
        <v>4</v>
      </c>
      <c r="G935">
        <v>3</v>
      </c>
      <c r="H935">
        <v>8</v>
      </c>
      <c r="I935">
        <v>59</v>
      </c>
      <c r="K935" s="122">
        <v>45519</v>
      </c>
      <c r="L935">
        <v>0.85290999999999995</v>
      </c>
    </row>
    <row r="936" spans="1:12" x14ac:dyDescent="0.35">
      <c r="A936" t="s">
        <v>34</v>
      </c>
      <c r="D936" t="s">
        <v>36</v>
      </c>
      <c r="F936">
        <v>4</v>
      </c>
      <c r="G936">
        <v>3</v>
      </c>
      <c r="H936">
        <v>8</v>
      </c>
      <c r="I936">
        <v>59</v>
      </c>
      <c r="K936" s="122">
        <v>45530</v>
      </c>
      <c r="L936">
        <v>0.89473000000000003</v>
      </c>
    </row>
    <row r="937" spans="1:12" x14ac:dyDescent="0.35">
      <c r="A937" t="s">
        <v>34</v>
      </c>
      <c r="D937" t="s">
        <v>36</v>
      </c>
      <c r="F937">
        <v>4</v>
      </c>
      <c r="G937">
        <v>3</v>
      </c>
      <c r="H937">
        <v>8</v>
      </c>
      <c r="I937">
        <v>59</v>
      </c>
      <c r="K937" s="122">
        <v>45538</v>
      </c>
      <c r="L937">
        <v>0.90508999999999995</v>
      </c>
    </row>
    <row r="938" spans="1:12" x14ac:dyDescent="0.35">
      <c r="A938" t="s">
        <v>34</v>
      </c>
      <c r="D938" t="s">
        <v>36</v>
      </c>
      <c r="F938">
        <v>4</v>
      </c>
      <c r="G938">
        <v>3</v>
      </c>
      <c r="H938">
        <v>8</v>
      </c>
      <c r="I938">
        <v>59</v>
      </c>
      <c r="K938" s="122">
        <v>45547</v>
      </c>
      <c r="L938">
        <v>0.95435999999999999</v>
      </c>
    </row>
    <row r="939" spans="1:12" x14ac:dyDescent="0.35">
      <c r="A939" t="s">
        <v>34</v>
      </c>
      <c r="D939" t="s">
        <v>36</v>
      </c>
      <c r="F939">
        <v>4</v>
      </c>
      <c r="G939">
        <v>3</v>
      </c>
      <c r="H939">
        <v>8</v>
      </c>
      <c r="I939">
        <v>59</v>
      </c>
      <c r="K939" s="122">
        <v>45553</v>
      </c>
      <c r="L939">
        <v>0.95621</v>
      </c>
    </row>
    <row r="940" spans="1:12" x14ac:dyDescent="0.35">
      <c r="A940" t="s">
        <v>34</v>
      </c>
      <c r="D940" t="s">
        <v>36</v>
      </c>
      <c r="F940">
        <v>4</v>
      </c>
      <c r="G940">
        <v>3</v>
      </c>
      <c r="H940">
        <v>8</v>
      </c>
      <c r="I940">
        <v>59</v>
      </c>
      <c r="K940" s="122">
        <v>45936</v>
      </c>
      <c r="L940">
        <v>0.90036000000000005</v>
      </c>
    </row>
    <row r="941" spans="1:12" x14ac:dyDescent="0.35">
      <c r="A941" t="s">
        <v>34</v>
      </c>
      <c r="D941" t="s">
        <v>36</v>
      </c>
      <c r="F941">
        <v>4</v>
      </c>
      <c r="G941">
        <v>3</v>
      </c>
      <c r="H941">
        <v>8</v>
      </c>
      <c r="I941">
        <v>59</v>
      </c>
      <c r="K941" s="122">
        <v>45944</v>
      </c>
      <c r="L941">
        <v>0.81200000000000006</v>
      </c>
    </row>
    <row r="942" spans="1:12" x14ac:dyDescent="0.35">
      <c r="A942" t="s">
        <v>34</v>
      </c>
      <c r="D942" t="s">
        <v>36</v>
      </c>
      <c r="F942">
        <v>4</v>
      </c>
      <c r="G942">
        <v>3</v>
      </c>
      <c r="H942">
        <v>8</v>
      </c>
      <c r="I942">
        <v>59</v>
      </c>
      <c r="K942" s="122">
        <v>45590</v>
      </c>
      <c r="L942">
        <v>0.62638000000000005</v>
      </c>
    </row>
    <row r="943" spans="1:12" x14ac:dyDescent="0.35">
      <c r="A943" t="s">
        <v>34</v>
      </c>
      <c r="D943" t="s">
        <v>36</v>
      </c>
      <c r="F943">
        <v>4</v>
      </c>
      <c r="G943">
        <v>3</v>
      </c>
      <c r="H943">
        <v>8</v>
      </c>
      <c r="I943">
        <v>59</v>
      </c>
      <c r="K943" s="122">
        <v>45596</v>
      </c>
      <c r="L943">
        <v>0.376</v>
      </c>
    </row>
    <row r="944" spans="1:12" x14ac:dyDescent="0.35">
      <c r="A944" t="s">
        <v>34</v>
      </c>
      <c r="D944" t="s">
        <v>36</v>
      </c>
      <c r="F944">
        <v>4</v>
      </c>
      <c r="G944">
        <v>3</v>
      </c>
      <c r="H944">
        <v>8</v>
      </c>
      <c r="I944">
        <v>59</v>
      </c>
      <c r="K944" s="122">
        <v>45968</v>
      </c>
      <c r="L944">
        <v>0.24238000000000001</v>
      </c>
    </row>
    <row r="945" spans="1:12" x14ac:dyDescent="0.35">
      <c r="A945" t="s">
        <v>34</v>
      </c>
      <c r="D945" t="s">
        <v>36</v>
      </c>
      <c r="F945">
        <v>4</v>
      </c>
      <c r="G945">
        <v>3</v>
      </c>
      <c r="H945">
        <v>8</v>
      </c>
      <c r="I945">
        <v>59</v>
      </c>
      <c r="K945" s="122">
        <v>45975</v>
      </c>
      <c r="L945">
        <v>0.18717</v>
      </c>
    </row>
    <row r="946" spans="1:12" x14ac:dyDescent="0.35">
      <c r="A946" t="s">
        <v>34</v>
      </c>
      <c r="D946" t="s">
        <v>343</v>
      </c>
      <c r="F946">
        <v>4</v>
      </c>
      <c r="G946">
        <v>4</v>
      </c>
      <c r="H946">
        <v>8</v>
      </c>
      <c r="I946">
        <v>60</v>
      </c>
      <c r="K946" s="122">
        <v>45421</v>
      </c>
    </row>
    <row r="947" spans="1:12" x14ac:dyDescent="0.35">
      <c r="A947" t="s">
        <v>34</v>
      </c>
      <c r="D947" t="s">
        <v>343</v>
      </c>
      <c r="F947">
        <v>4</v>
      </c>
      <c r="G947">
        <v>4</v>
      </c>
      <c r="H947">
        <v>8</v>
      </c>
      <c r="I947">
        <v>60</v>
      </c>
      <c r="K947" s="122">
        <v>45442</v>
      </c>
      <c r="L947">
        <v>0.13636000000000001</v>
      </c>
    </row>
    <row r="948" spans="1:12" x14ac:dyDescent="0.35">
      <c r="A948" t="s">
        <v>34</v>
      </c>
      <c r="D948" t="s">
        <v>343</v>
      </c>
      <c r="F948">
        <v>4</v>
      </c>
      <c r="G948">
        <v>4</v>
      </c>
      <c r="H948">
        <v>8</v>
      </c>
      <c r="I948">
        <v>60</v>
      </c>
      <c r="K948" s="122">
        <v>45461</v>
      </c>
      <c r="L948">
        <v>0.3135</v>
      </c>
    </row>
    <row r="949" spans="1:12" x14ac:dyDescent="0.35">
      <c r="A949" t="s">
        <v>34</v>
      </c>
      <c r="D949" t="s">
        <v>343</v>
      </c>
      <c r="F949">
        <v>4</v>
      </c>
      <c r="G949">
        <v>4</v>
      </c>
      <c r="H949">
        <v>8</v>
      </c>
      <c r="I949">
        <v>60</v>
      </c>
      <c r="K949" s="122">
        <v>45477</v>
      </c>
      <c r="L949">
        <v>0.43759999999999999</v>
      </c>
    </row>
    <row r="950" spans="1:12" x14ac:dyDescent="0.35">
      <c r="A950" t="s">
        <v>34</v>
      </c>
      <c r="D950" t="s">
        <v>343</v>
      </c>
      <c r="F950">
        <v>4</v>
      </c>
      <c r="G950">
        <v>4</v>
      </c>
      <c r="H950">
        <v>8</v>
      </c>
      <c r="I950">
        <v>60</v>
      </c>
      <c r="K950" s="122">
        <v>45510</v>
      </c>
      <c r="L950">
        <v>0.85599999999999998</v>
      </c>
    </row>
    <row r="951" spans="1:12" x14ac:dyDescent="0.35">
      <c r="A951" t="s">
        <v>34</v>
      </c>
      <c r="D951" t="s">
        <v>343</v>
      </c>
      <c r="F951">
        <v>4</v>
      </c>
      <c r="G951">
        <v>4</v>
      </c>
      <c r="H951">
        <v>8</v>
      </c>
      <c r="I951">
        <v>60</v>
      </c>
      <c r="K951" s="122">
        <v>45519</v>
      </c>
      <c r="L951">
        <v>0.87549999999999994</v>
      </c>
    </row>
    <row r="952" spans="1:12" x14ac:dyDescent="0.35">
      <c r="A952" t="s">
        <v>34</v>
      </c>
      <c r="D952" t="s">
        <v>343</v>
      </c>
      <c r="F952">
        <v>4</v>
      </c>
      <c r="G952">
        <v>4</v>
      </c>
      <c r="H952">
        <v>8</v>
      </c>
      <c r="I952">
        <v>60</v>
      </c>
      <c r="K952" s="122">
        <v>45530</v>
      </c>
      <c r="L952">
        <v>0.92332999999999998</v>
      </c>
    </row>
    <row r="953" spans="1:12" x14ac:dyDescent="0.35">
      <c r="A953" t="s">
        <v>34</v>
      </c>
      <c r="D953" t="s">
        <v>343</v>
      </c>
      <c r="F953">
        <v>4</v>
      </c>
      <c r="G953">
        <v>4</v>
      </c>
      <c r="H953">
        <v>8</v>
      </c>
      <c r="I953">
        <v>60</v>
      </c>
      <c r="K953" s="122">
        <v>45538</v>
      </c>
      <c r="L953">
        <v>0.91679999999999995</v>
      </c>
    </row>
    <row r="954" spans="1:12" x14ac:dyDescent="0.35">
      <c r="A954" t="s">
        <v>34</v>
      </c>
      <c r="D954" t="s">
        <v>343</v>
      </c>
      <c r="F954">
        <v>4</v>
      </c>
      <c r="G954">
        <v>4</v>
      </c>
      <c r="H954">
        <v>8</v>
      </c>
      <c r="I954">
        <v>60</v>
      </c>
      <c r="K954" s="122">
        <v>45547</v>
      </c>
      <c r="L954">
        <v>0.96711000000000003</v>
      </c>
    </row>
    <row r="955" spans="1:12" x14ac:dyDescent="0.35">
      <c r="A955" t="s">
        <v>34</v>
      </c>
      <c r="D955" t="s">
        <v>343</v>
      </c>
      <c r="F955">
        <v>4</v>
      </c>
      <c r="G955">
        <v>4</v>
      </c>
      <c r="H955">
        <v>8</v>
      </c>
      <c r="I955">
        <v>60</v>
      </c>
      <c r="K955" s="122">
        <v>45553</v>
      </c>
      <c r="L955">
        <v>0.96311999999999998</v>
      </c>
    </row>
    <row r="956" spans="1:12" x14ac:dyDescent="0.35">
      <c r="A956" t="s">
        <v>34</v>
      </c>
      <c r="D956" t="s">
        <v>343</v>
      </c>
      <c r="F956">
        <v>4</v>
      </c>
      <c r="G956">
        <v>4</v>
      </c>
      <c r="H956">
        <v>8</v>
      </c>
      <c r="I956">
        <v>60</v>
      </c>
      <c r="K956" s="122">
        <v>45936</v>
      </c>
      <c r="L956">
        <v>0.90800000000000003</v>
      </c>
    </row>
    <row r="957" spans="1:12" x14ac:dyDescent="0.35">
      <c r="A957" t="s">
        <v>34</v>
      </c>
      <c r="D957" t="s">
        <v>343</v>
      </c>
      <c r="F957">
        <v>4</v>
      </c>
      <c r="G957">
        <v>4</v>
      </c>
      <c r="H957">
        <v>8</v>
      </c>
      <c r="I957">
        <v>60</v>
      </c>
      <c r="K957" s="122">
        <v>45944</v>
      </c>
      <c r="L957">
        <v>0.84275</v>
      </c>
    </row>
    <row r="958" spans="1:12" x14ac:dyDescent="0.35">
      <c r="A958" t="s">
        <v>34</v>
      </c>
      <c r="D958" t="s">
        <v>343</v>
      </c>
      <c r="F958">
        <v>4</v>
      </c>
      <c r="G958">
        <v>4</v>
      </c>
      <c r="H958">
        <v>8</v>
      </c>
      <c r="I958">
        <v>60</v>
      </c>
      <c r="K958" s="122">
        <v>45590</v>
      </c>
      <c r="L958">
        <v>0.60829</v>
      </c>
    </row>
    <row r="959" spans="1:12" x14ac:dyDescent="0.35">
      <c r="A959" t="s">
        <v>34</v>
      </c>
      <c r="D959" t="s">
        <v>343</v>
      </c>
      <c r="F959">
        <v>4</v>
      </c>
      <c r="G959">
        <v>4</v>
      </c>
      <c r="H959">
        <v>8</v>
      </c>
      <c r="I959">
        <v>60</v>
      </c>
      <c r="K959" s="122">
        <v>45596</v>
      </c>
      <c r="L959">
        <v>0.377</v>
      </c>
    </row>
    <row r="960" spans="1:12" x14ac:dyDescent="0.35">
      <c r="A960" t="s">
        <v>34</v>
      </c>
      <c r="D960" t="s">
        <v>343</v>
      </c>
      <c r="F960">
        <v>4</v>
      </c>
      <c r="G960">
        <v>4</v>
      </c>
      <c r="H960">
        <v>8</v>
      </c>
      <c r="I960">
        <v>60</v>
      </c>
      <c r="K960" s="122">
        <v>45968</v>
      </c>
      <c r="L960">
        <v>0.25137999999999999</v>
      </c>
    </row>
    <row r="961" spans="1:12" x14ac:dyDescent="0.35">
      <c r="A961" t="s">
        <v>34</v>
      </c>
      <c r="D961" t="s">
        <v>343</v>
      </c>
      <c r="F961">
        <v>4</v>
      </c>
      <c r="G961">
        <v>4</v>
      </c>
      <c r="H961">
        <v>8</v>
      </c>
      <c r="I961">
        <v>60</v>
      </c>
      <c r="K961" s="122">
        <v>45975</v>
      </c>
      <c r="L961">
        <v>0.1905</v>
      </c>
    </row>
    <row r="962" spans="1:12" x14ac:dyDescent="0.35">
      <c r="A962" t="s">
        <v>34</v>
      </c>
      <c r="D962" t="s">
        <v>41</v>
      </c>
      <c r="F962">
        <v>4</v>
      </c>
      <c r="G962">
        <v>5</v>
      </c>
      <c r="H962">
        <v>8</v>
      </c>
      <c r="I962">
        <v>61</v>
      </c>
      <c r="K962" s="122">
        <v>45421</v>
      </c>
    </row>
    <row r="963" spans="1:12" x14ac:dyDescent="0.35">
      <c r="A963" t="s">
        <v>34</v>
      </c>
      <c r="D963" t="s">
        <v>41</v>
      </c>
      <c r="F963">
        <v>4</v>
      </c>
      <c r="G963">
        <v>5</v>
      </c>
      <c r="H963">
        <v>8</v>
      </c>
      <c r="I963">
        <v>61</v>
      </c>
      <c r="K963" s="122">
        <v>45442</v>
      </c>
      <c r="L963">
        <v>0.13044</v>
      </c>
    </row>
    <row r="964" spans="1:12" x14ac:dyDescent="0.35">
      <c r="A964" t="s">
        <v>34</v>
      </c>
      <c r="D964" t="s">
        <v>41</v>
      </c>
      <c r="F964">
        <v>4</v>
      </c>
      <c r="G964">
        <v>5</v>
      </c>
      <c r="H964">
        <v>8</v>
      </c>
      <c r="I964">
        <v>61</v>
      </c>
      <c r="K964" s="122">
        <v>45461</v>
      </c>
      <c r="L964">
        <v>0.32190999999999997</v>
      </c>
    </row>
    <row r="965" spans="1:12" x14ac:dyDescent="0.35">
      <c r="A965" t="s">
        <v>34</v>
      </c>
      <c r="D965" t="s">
        <v>41</v>
      </c>
      <c r="F965">
        <v>4</v>
      </c>
      <c r="G965">
        <v>5</v>
      </c>
      <c r="H965">
        <v>8</v>
      </c>
      <c r="I965">
        <v>61</v>
      </c>
      <c r="K965" s="122">
        <v>45477</v>
      </c>
      <c r="L965">
        <v>0.39850000000000002</v>
      </c>
    </row>
    <row r="966" spans="1:12" x14ac:dyDescent="0.35">
      <c r="A966" t="s">
        <v>34</v>
      </c>
      <c r="D966" t="s">
        <v>41</v>
      </c>
      <c r="F966">
        <v>4</v>
      </c>
      <c r="G966">
        <v>5</v>
      </c>
      <c r="H966">
        <v>8</v>
      </c>
      <c r="I966">
        <v>61</v>
      </c>
      <c r="K966" s="122">
        <v>45510</v>
      </c>
      <c r="L966">
        <v>0.80200000000000005</v>
      </c>
    </row>
    <row r="967" spans="1:12" x14ac:dyDescent="0.35">
      <c r="A967" t="s">
        <v>34</v>
      </c>
      <c r="D967" t="s">
        <v>41</v>
      </c>
      <c r="F967">
        <v>4</v>
      </c>
      <c r="G967">
        <v>5</v>
      </c>
      <c r="H967">
        <v>8</v>
      </c>
      <c r="I967">
        <v>61</v>
      </c>
      <c r="K967" s="122">
        <v>45519</v>
      </c>
      <c r="L967">
        <v>0.85214999999999996</v>
      </c>
    </row>
    <row r="968" spans="1:12" x14ac:dyDescent="0.35">
      <c r="A968" t="s">
        <v>34</v>
      </c>
      <c r="D968" t="s">
        <v>41</v>
      </c>
      <c r="F968">
        <v>4</v>
      </c>
      <c r="G968">
        <v>5</v>
      </c>
      <c r="H968">
        <v>8</v>
      </c>
      <c r="I968">
        <v>61</v>
      </c>
      <c r="K968" s="122">
        <v>45530</v>
      </c>
      <c r="L968">
        <v>0.90200000000000002</v>
      </c>
    </row>
    <row r="969" spans="1:12" x14ac:dyDescent="0.35">
      <c r="A969" t="s">
        <v>34</v>
      </c>
      <c r="D969" t="s">
        <v>41</v>
      </c>
      <c r="F969">
        <v>4</v>
      </c>
      <c r="G969">
        <v>5</v>
      </c>
      <c r="H969">
        <v>8</v>
      </c>
      <c r="I969">
        <v>61</v>
      </c>
      <c r="K969" s="122">
        <v>45538</v>
      </c>
      <c r="L969">
        <v>0.90571000000000002</v>
      </c>
    </row>
    <row r="970" spans="1:12" x14ac:dyDescent="0.35">
      <c r="A970" t="s">
        <v>34</v>
      </c>
      <c r="D970" t="s">
        <v>41</v>
      </c>
      <c r="F970">
        <v>4</v>
      </c>
      <c r="G970">
        <v>5</v>
      </c>
      <c r="H970">
        <v>8</v>
      </c>
      <c r="I970">
        <v>61</v>
      </c>
      <c r="K970" s="122">
        <v>45547</v>
      </c>
      <c r="L970">
        <v>0.94721999999999995</v>
      </c>
    </row>
    <row r="971" spans="1:12" x14ac:dyDescent="0.35">
      <c r="A971" t="s">
        <v>34</v>
      </c>
      <c r="D971" t="s">
        <v>41</v>
      </c>
      <c r="F971">
        <v>4</v>
      </c>
      <c r="G971">
        <v>5</v>
      </c>
      <c r="H971">
        <v>8</v>
      </c>
      <c r="I971">
        <v>61</v>
      </c>
      <c r="K971" s="122">
        <v>45553</v>
      </c>
      <c r="L971">
        <v>0.92505999999999999</v>
      </c>
    </row>
    <row r="972" spans="1:12" x14ac:dyDescent="0.35">
      <c r="A972" t="s">
        <v>34</v>
      </c>
      <c r="D972" t="s">
        <v>41</v>
      </c>
      <c r="F972">
        <v>4</v>
      </c>
      <c r="G972">
        <v>5</v>
      </c>
      <c r="H972">
        <v>8</v>
      </c>
      <c r="I972">
        <v>61</v>
      </c>
      <c r="K972" s="122">
        <v>45936</v>
      </c>
      <c r="L972">
        <v>0.86938000000000004</v>
      </c>
    </row>
    <row r="973" spans="1:12" x14ac:dyDescent="0.35">
      <c r="A973" t="s">
        <v>34</v>
      </c>
      <c r="D973" t="s">
        <v>41</v>
      </c>
      <c r="F973">
        <v>4</v>
      </c>
      <c r="G973">
        <v>5</v>
      </c>
      <c r="H973">
        <v>8</v>
      </c>
      <c r="I973">
        <v>61</v>
      </c>
      <c r="K973" s="122">
        <v>45944</v>
      </c>
      <c r="L973">
        <v>0.69913999999999998</v>
      </c>
    </row>
    <row r="974" spans="1:12" x14ac:dyDescent="0.35">
      <c r="A974" t="s">
        <v>34</v>
      </c>
      <c r="D974" t="s">
        <v>41</v>
      </c>
      <c r="F974">
        <v>4</v>
      </c>
      <c r="G974">
        <v>5</v>
      </c>
      <c r="H974">
        <v>8</v>
      </c>
      <c r="I974">
        <v>61</v>
      </c>
      <c r="K974" s="122">
        <v>45590</v>
      </c>
      <c r="L974">
        <v>0.49325000000000002</v>
      </c>
    </row>
    <row r="975" spans="1:12" x14ac:dyDescent="0.35">
      <c r="A975" t="s">
        <v>34</v>
      </c>
      <c r="D975" t="s">
        <v>41</v>
      </c>
      <c r="F975">
        <v>4</v>
      </c>
      <c r="G975">
        <v>5</v>
      </c>
      <c r="H975">
        <v>8</v>
      </c>
      <c r="I975">
        <v>61</v>
      </c>
      <c r="K975" s="122">
        <v>45596</v>
      </c>
      <c r="L975">
        <v>0.29382999999999998</v>
      </c>
    </row>
    <row r="976" spans="1:12" x14ac:dyDescent="0.35">
      <c r="A976" t="s">
        <v>34</v>
      </c>
      <c r="D976" t="s">
        <v>41</v>
      </c>
      <c r="F976">
        <v>4</v>
      </c>
      <c r="G976">
        <v>5</v>
      </c>
      <c r="H976">
        <v>8</v>
      </c>
      <c r="I976">
        <v>61</v>
      </c>
      <c r="K976" s="122">
        <v>45968</v>
      </c>
      <c r="L976">
        <v>0.20674999999999999</v>
      </c>
    </row>
    <row r="977" spans="1:12" x14ac:dyDescent="0.35">
      <c r="A977" t="s">
        <v>34</v>
      </c>
      <c r="D977" t="s">
        <v>41</v>
      </c>
      <c r="F977">
        <v>4</v>
      </c>
      <c r="G977">
        <v>5</v>
      </c>
      <c r="H977">
        <v>8</v>
      </c>
      <c r="I977">
        <v>61</v>
      </c>
      <c r="K977" s="122">
        <v>45975</v>
      </c>
      <c r="L977">
        <v>0.18967000000000001</v>
      </c>
    </row>
    <row r="978" spans="1:12" x14ac:dyDescent="0.35">
      <c r="A978" t="s">
        <v>34</v>
      </c>
      <c r="D978" t="s">
        <v>38</v>
      </c>
      <c r="F978">
        <v>4</v>
      </c>
      <c r="G978">
        <v>6</v>
      </c>
      <c r="H978">
        <v>8</v>
      </c>
      <c r="I978">
        <v>62</v>
      </c>
      <c r="K978" s="122">
        <v>45421</v>
      </c>
    </row>
    <row r="979" spans="1:12" x14ac:dyDescent="0.35">
      <c r="A979" t="s">
        <v>34</v>
      </c>
      <c r="D979" t="s">
        <v>38</v>
      </c>
      <c r="F979">
        <v>4</v>
      </c>
      <c r="G979">
        <v>6</v>
      </c>
      <c r="H979">
        <v>8</v>
      </c>
      <c r="I979">
        <v>62</v>
      </c>
      <c r="K979" s="122">
        <v>45442</v>
      </c>
      <c r="L979">
        <v>0.13963999999999999</v>
      </c>
    </row>
    <row r="980" spans="1:12" x14ac:dyDescent="0.35">
      <c r="A980" t="s">
        <v>34</v>
      </c>
      <c r="D980" t="s">
        <v>38</v>
      </c>
      <c r="F980">
        <v>4</v>
      </c>
      <c r="G980">
        <v>6</v>
      </c>
      <c r="H980">
        <v>8</v>
      </c>
      <c r="I980">
        <v>62</v>
      </c>
      <c r="K980" s="122">
        <v>45461</v>
      </c>
      <c r="L980">
        <v>0.34029999999999999</v>
      </c>
    </row>
    <row r="981" spans="1:12" x14ac:dyDescent="0.35">
      <c r="A981" t="s">
        <v>34</v>
      </c>
      <c r="D981" t="s">
        <v>38</v>
      </c>
      <c r="F981">
        <v>4</v>
      </c>
      <c r="G981">
        <v>6</v>
      </c>
      <c r="H981">
        <v>8</v>
      </c>
      <c r="I981">
        <v>62</v>
      </c>
      <c r="K981" s="122">
        <v>45477</v>
      </c>
      <c r="L981">
        <v>0.43343999999999999</v>
      </c>
    </row>
    <row r="982" spans="1:12" x14ac:dyDescent="0.35">
      <c r="A982" t="s">
        <v>34</v>
      </c>
      <c r="D982" t="s">
        <v>38</v>
      </c>
      <c r="F982">
        <v>4</v>
      </c>
      <c r="G982">
        <v>6</v>
      </c>
      <c r="H982">
        <v>8</v>
      </c>
      <c r="I982">
        <v>62</v>
      </c>
      <c r="K982" s="122">
        <v>45510</v>
      </c>
      <c r="L982">
        <v>0.82379999999999998</v>
      </c>
    </row>
    <row r="983" spans="1:12" x14ac:dyDescent="0.35">
      <c r="A983" t="s">
        <v>34</v>
      </c>
      <c r="D983" t="s">
        <v>38</v>
      </c>
      <c r="F983">
        <v>4</v>
      </c>
      <c r="G983">
        <v>6</v>
      </c>
      <c r="H983">
        <v>8</v>
      </c>
      <c r="I983">
        <v>62</v>
      </c>
      <c r="K983" s="122">
        <v>45519</v>
      </c>
      <c r="L983">
        <v>0.84909000000000001</v>
      </c>
    </row>
    <row r="984" spans="1:12" x14ac:dyDescent="0.35">
      <c r="A984" t="s">
        <v>34</v>
      </c>
      <c r="D984" t="s">
        <v>38</v>
      </c>
      <c r="F984">
        <v>4</v>
      </c>
      <c r="G984">
        <v>6</v>
      </c>
      <c r="H984">
        <v>8</v>
      </c>
      <c r="I984">
        <v>62</v>
      </c>
      <c r="K984" s="122">
        <v>45530</v>
      </c>
      <c r="L984">
        <v>0.92542999999999997</v>
      </c>
    </row>
    <row r="985" spans="1:12" x14ac:dyDescent="0.35">
      <c r="A985" t="s">
        <v>34</v>
      </c>
      <c r="D985" t="s">
        <v>38</v>
      </c>
      <c r="F985">
        <v>4</v>
      </c>
      <c r="G985">
        <v>6</v>
      </c>
      <c r="H985">
        <v>8</v>
      </c>
      <c r="I985">
        <v>62</v>
      </c>
      <c r="K985" s="122">
        <v>45538</v>
      </c>
      <c r="L985">
        <v>0.91235999999999995</v>
      </c>
    </row>
    <row r="986" spans="1:12" x14ac:dyDescent="0.35">
      <c r="A986" t="s">
        <v>34</v>
      </c>
      <c r="D986" t="s">
        <v>38</v>
      </c>
      <c r="F986">
        <v>4</v>
      </c>
      <c r="G986">
        <v>6</v>
      </c>
      <c r="H986">
        <v>8</v>
      </c>
      <c r="I986">
        <v>62</v>
      </c>
      <c r="K986" s="122">
        <v>45547</v>
      </c>
      <c r="L986">
        <v>0.96572999999999998</v>
      </c>
    </row>
    <row r="987" spans="1:12" x14ac:dyDescent="0.35">
      <c r="A987" t="s">
        <v>34</v>
      </c>
      <c r="D987" t="s">
        <v>38</v>
      </c>
      <c r="F987">
        <v>4</v>
      </c>
      <c r="G987">
        <v>6</v>
      </c>
      <c r="H987">
        <v>8</v>
      </c>
      <c r="I987">
        <v>62</v>
      </c>
      <c r="K987" s="122">
        <v>45553</v>
      </c>
      <c r="L987">
        <v>0.95518999999999998</v>
      </c>
    </row>
    <row r="988" spans="1:12" x14ac:dyDescent="0.35">
      <c r="A988" t="s">
        <v>34</v>
      </c>
      <c r="D988" t="s">
        <v>38</v>
      </c>
      <c r="F988">
        <v>4</v>
      </c>
      <c r="G988">
        <v>6</v>
      </c>
      <c r="H988">
        <v>8</v>
      </c>
      <c r="I988">
        <v>62</v>
      </c>
      <c r="K988" s="122">
        <v>45936</v>
      </c>
      <c r="L988">
        <v>0.91830000000000001</v>
      </c>
    </row>
    <row r="989" spans="1:12" x14ac:dyDescent="0.35">
      <c r="A989" t="s">
        <v>34</v>
      </c>
      <c r="D989" t="s">
        <v>38</v>
      </c>
      <c r="F989">
        <v>4</v>
      </c>
      <c r="G989">
        <v>6</v>
      </c>
      <c r="H989">
        <v>8</v>
      </c>
      <c r="I989">
        <v>62</v>
      </c>
      <c r="K989" s="122">
        <v>45944</v>
      </c>
      <c r="L989">
        <v>0.81200000000000006</v>
      </c>
    </row>
    <row r="990" spans="1:12" x14ac:dyDescent="0.35">
      <c r="A990" t="s">
        <v>34</v>
      </c>
      <c r="D990" t="s">
        <v>38</v>
      </c>
      <c r="F990">
        <v>4</v>
      </c>
      <c r="G990">
        <v>6</v>
      </c>
      <c r="H990">
        <v>8</v>
      </c>
      <c r="I990">
        <v>62</v>
      </c>
      <c r="K990" s="122">
        <v>45590</v>
      </c>
      <c r="L990">
        <v>0.57957000000000003</v>
      </c>
    </row>
    <row r="991" spans="1:12" x14ac:dyDescent="0.35">
      <c r="A991" t="s">
        <v>34</v>
      </c>
      <c r="D991" t="s">
        <v>38</v>
      </c>
      <c r="F991">
        <v>4</v>
      </c>
      <c r="G991">
        <v>6</v>
      </c>
      <c r="H991">
        <v>8</v>
      </c>
      <c r="I991">
        <v>62</v>
      </c>
      <c r="K991" s="122">
        <v>45596</v>
      </c>
      <c r="L991">
        <v>0.35216999999999998</v>
      </c>
    </row>
    <row r="992" spans="1:12" x14ac:dyDescent="0.35">
      <c r="A992" t="s">
        <v>34</v>
      </c>
      <c r="D992" t="s">
        <v>38</v>
      </c>
      <c r="F992">
        <v>4</v>
      </c>
      <c r="G992">
        <v>6</v>
      </c>
      <c r="H992">
        <v>8</v>
      </c>
      <c r="I992">
        <v>62</v>
      </c>
      <c r="K992" s="122">
        <v>45968</v>
      </c>
      <c r="L992">
        <v>0.21167</v>
      </c>
    </row>
    <row r="993" spans="1:12" x14ac:dyDescent="0.35">
      <c r="A993" t="s">
        <v>34</v>
      </c>
      <c r="D993" t="s">
        <v>38</v>
      </c>
      <c r="F993">
        <v>4</v>
      </c>
      <c r="G993">
        <v>6</v>
      </c>
      <c r="H993">
        <v>8</v>
      </c>
      <c r="I993">
        <v>62</v>
      </c>
      <c r="K993" s="122">
        <v>45975</v>
      </c>
      <c r="L993">
        <v>0.19350000000000001</v>
      </c>
    </row>
    <row r="994" spans="1:12" x14ac:dyDescent="0.35">
      <c r="A994" t="s">
        <v>34</v>
      </c>
      <c r="D994" t="s">
        <v>42</v>
      </c>
      <c r="F994">
        <v>4</v>
      </c>
      <c r="G994">
        <v>7</v>
      </c>
      <c r="H994">
        <v>8</v>
      </c>
      <c r="I994">
        <v>63</v>
      </c>
      <c r="K994" s="122">
        <v>45421</v>
      </c>
    </row>
    <row r="995" spans="1:12" x14ac:dyDescent="0.35">
      <c r="A995" t="s">
        <v>34</v>
      </c>
      <c r="D995" t="s">
        <v>42</v>
      </c>
      <c r="F995">
        <v>4</v>
      </c>
      <c r="G995">
        <v>7</v>
      </c>
      <c r="H995">
        <v>8</v>
      </c>
      <c r="I995">
        <v>63</v>
      </c>
      <c r="K995" s="122">
        <v>45442</v>
      </c>
      <c r="L995">
        <v>0.13746</v>
      </c>
    </row>
    <row r="996" spans="1:12" x14ac:dyDescent="0.35">
      <c r="A996" t="s">
        <v>34</v>
      </c>
      <c r="D996" t="s">
        <v>42</v>
      </c>
      <c r="F996">
        <v>4</v>
      </c>
      <c r="G996">
        <v>7</v>
      </c>
      <c r="H996">
        <v>8</v>
      </c>
      <c r="I996">
        <v>63</v>
      </c>
      <c r="K996" s="122">
        <v>45461</v>
      </c>
      <c r="L996">
        <v>0.29143000000000002</v>
      </c>
    </row>
    <row r="997" spans="1:12" x14ac:dyDescent="0.35">
      <c r="A997" t="s">
        <v>34</v>
      </c>
      <c r="D997" t="s">
        <v>42</v>
      </c>
      <c r="F997">
        <v>4</v>
      </c>
      <c r="G997">
        <v>7</v>
      </c>
      <c r="H997">
        <v>8</v>
      </c>
      <c r="I997">
        <v>63</v>
      </c>
      <c r="K997" s="122">
        <v>45477</v>
      </c>
      <c r="L997">
        <v>0.36377999999999999</v>
      </c>
    </row>
    <row r="998" spans="1:12" x14ac:dyDescent="0.35">
      <c r="A998" t="s">
        <v>34</v>
      </c>
      <c r="D998" t="s">
        <v>42</v>
      </c>
      <c r="F998">
        <v>4</v>
      </c>
      <c r="G998">
        <v>7</v>
      </c>
      <c r="H998">
        <v>8</v>
      </c>
      <c r="I998">
        <v>63</v>
      </c>
      <c r="K998" s="122">
        <v>45510</v>
      </c>
      <c r="L998">
        <v>0.82267000000000001</v>
      </c>
    </row>
    <row r="999" spans="1:12" x14ac:dyDescent="0.35">
      <c r="A999" t="s">
        <v>34</v>
      </c>
      <c r="D999" t="s">
        <v>42</v>
      </c>
      <c r="F999">
        <v>4</v>
      </c>
      <c r="G999">
        <v>7</v>
      </c>
      <c r="H999">
        <v>8</v>
      </c>
      <c r="I999">
        <v>63</v>
      </c>
      <c r="K999" s="122">
        <v>45519</v>
      </c>
      <c r="L999">
        <v>0.82955999999999996</v>
      </c>
    </row>
    <row r="1000" spans="1:12" x14ac:dyDescent="0.35">
      <c r="A1000" t="s">
        <v>34</v>
      </c>
      <c r="D1000" t="s">
        <v>42</v>
      </c>
      <c r="F1000">
        <v>4</v>
      </c>
      <c r="G1000">
        <v>7</v>
      </c>
      <c r="H1000">
        <v>8</v>
      </c>
      <c r="I1000">
        <v>63</v>
      </c>
      <c r="K1000" s="122">
        <v>45530</v>
      </c>
      <c r="L1000">
        <v>0.88178999999999996</v>
      </c>
    </row>
    <row r="1001" spans="1:12" x14ac:dyDescent="0.35">
      <c r="A1001" t="s">
        <v>34</v>
      </c>
      <c r="D1001" t="s">
        <v>42</v>
      </c>
      <c r="F1001">
        <v>4</v>
      </c>
      <c r="G1001">
        <v>7</v>
      </c>
      <c r="H1001">
        <v>8</v>
      </c>
      <c r="I1001">
        <v>63</v>
      </c>
      <c r="K1001" s="122">
        <v>45538</v>
      </c>
      <c r="L1001">
        <v>0.86707999999999996</v>
      </c>
    </row>
    <row r="1002" spans="1:12" x14ac:dyDescent="0.35">
      <c r="A1002" t="s">
        <v>34</v>
      </c>
      <c r="D1002" t="s">
        <v>42</v>
      </c>
      <c r="F1002">
        <v>4</v>
      </c>
      <c r="G1002">
        <v>7</v>
      </c>
      <c r="H1002">
        <v>8</v>
      </c>
      <c r="I1002">
        <v>63</v>
      </c>
      <c r="K1002" s="122">
        <v>45547</v>
      </c>
      <c r="L1002">
        <v>0.93700000000000006</v>
      </c>
    </row>
    <row r="1003" spans="1:12" x14ac:dyDescent="0.35">
      <c r="A1003" t="s">
        <v>34</v>
      </c>
      <c r="D1003" t="s">
        <v>42</v>
      </c>
      <c r="F1003">
        <v>4</v>
      </c>
      <c r="G1003">
        <v>7</v>
      </c>
      <c r="H1003">
        <v>8</v>
      </c>
      <c r="I1003">
        <v>63</v>
      </c>
      <c r="K1003" s="122">
        <v>45553</v>
      </c>
      <c r="L1003">
        <v>0.94613999999999998</v>
      </c>
    </row>
    <row r="1004" spans="1:12" x14ac:dyDescent="0.35">
      <c r="A1004" t="s">
        <v>34</v>
      </c>
      <c r="D1004" t="s">
        <v>42</v>
      </c>
      <c r="F1004">
        <v>4</v>
      </c>
      <c r="G1004">
        <v>7</v>
      </c>
      <c r="H1004">
        <v>8</v>
      </c>
      <c r="I1004">
        <v>63</v>
      </c>
      <c r="K1004" s="122">
        <v>45936</v>
      </c>
      <c r="L1004">
        <v>0.92342999999999997</v>
      </c>
    </row>
    <row r="1005" spans="1:12" x14ac:dyDescent="0.35">
      <c r="A1005" t="s">
        <v>34</v>
      </c>
      <c r="D1005" t="s">
        <v>42</v>
      </c>
      <c r="F1005">
        <v>4</v>
      </c>
      <c r="G1005">
        <v>7</v>
      </c>
      <c r="H1005">
        <v>8</v>
      </c>
      <c r="I1005">
        <v>63</v>
      </c>
      <c r="K1005" s="122">
        <v>45944</v>
      </c>
      <c r="L1005">
        <v>0.79549999999999998</v>
      </c>
    </row>
    <row r="1006" spans="1:12" x14ac:dyDescent="0.35">
      <c r="A1006" t="s">
        <v>34</v>
      </c>
      <c r="D1006" t="s">
        <v>42</v>
      </c>
      <c r="F1006">
        <v>4</v>
      </c>
      <c r="G1006">
        <v>7</v>
      </c>
      <c r="H1006">
        <v>8</v>
      </c>
      <c r="I1006">
        <v>63</v>
      </c>
      <c r="K1006" s="122">
        <v>45590</v>
      </c>
      <c r="L1006">
        <v>0.50512999999999997</v>
      </c>
    </row>
    <row r="1007" spans="1:12" x14ac:dyDescent="0.35">
      <c r="A1007" t="s">
        <v>34</v>
      </c>
      <c r="D1007" t="s">
        <v>42</v>
      </c>
      <c r="F1007">
        <v>4</v>
      </c>
      <c r="G1007">
        <v>7</v>
      </c>
      <c r="H1007">
        <v>8</v>
      </c>
      <c r="I1007">
        <v>63</v>
      </c>
      <c r="K1007" s="122">
        <v>45596</v>
      </c>
      <c r="L1007">
        <v>0.30249999999999999</v>
      </c>
    </row>
    <row r="1008" spans="1:12" x14ac:dyDescent="0.35">
      <c r="A1008" t="s">
        <v>34</v>
      </c>
      <c r="D1008" t="s">
        <v>42</v>
      </c>
      <c r="F1008">
        <v>4</v>
      </c>
      <c r="G1008">
        <v>7</v>
      </c>
      <c r="H1008">
        <v>8</v>
      </c>
      <c r="I1008">
        <v>63</v>
      </c>
      <c r="K1008" s="122">
        <v>45968</v>
      </c>
      <c r="L1008">
        <v>0.23200000000000001</v>
      </c>
    </row>
    <row r="1009" spans="1:12" x14ac:dyDescent="0.35">
      <c r="A1009" t="s">
        <v>34</v>
      </c>
      <c r="D1009" t="s">
        <v>42</v>
      </c>
      <c r="F1009">
        <v>4</v>
      </c>
      <c r="G1009">
        <v>7</v>
      </c>
      <c r="H1009">
        <v>8</v>
      </c>
      <c r="I1009">
        <v>63</v>
      </c>
      <c r="K1009" s="122">
        <v>45975</v>
      </c>
      <c r="L1009">
        <v>0.191</v>
      </c>
    </row>
    <row r="1010" spans="1:12" x14ac:dyDescent="0.35">
      <c r="A1010" t="s">
        <v>34</v>
      </c>
      <c r="D1010" t="s">
        <v>43</v>
      </c>
      <c r="F1010">
        <v>4</v>
      </c>
      <c r="G1010">
        <v>8</v>
      </c>
      <c r="H1010">
        <v>8</v>
      </c>
      <c r="I1010">
        <v>64</v>
      </c>
      <c r="K1010" s="122">
        <v>45421</v>
      </c>
    </row>
    <row r="1011" spans="1:12" x14ac:dyDescent="0.35">
      <c r="A1011" t="s">
        <v>34</v>
      </c>
      <c r="D1011" t="s">
        <v>43</v>
      </c>
      <c r="F1011">
        <v>4</v>
      </c>
      <c r="G1011">
        <v>8</v>
      </c>
      <c r="H1011">
        <v>8</v>
      </c>
      <c r="I1011">
        <v>64</v>
      </c>
      <c r="K1011" s="122">
        <v>45442</v>
      </c>
      <c r="L1011">
        <v>0.13772999999999999</v>
      </c>
    </row>
    <row r="1012" spans="1:12" x14ac:dyDescent="0.35">
      <c r="A1012" t="s">
        <v>34</v>
      </c>
      <c r="D1012" t="s">
        <v>43</v>
      </c>
      <c r="F1012">
        <v>4</v>
      </c>
      <c r="G1012">
        <v>8</v>
      </c>
      <c r="H1012">
        <v>8</v>
      </c>
      <c r="I1012">
        <v>64</v>
      </c>
      <c r="K1012" s="122">
        <v>45461</v>
      </c>
      <c r="L1012">
        <v>0.26256000000000002</v>
      </c>
    </row>
    <row r="1013" spans="1:12" x14ac:dyDescent="0.35">
      <c r="A1013" t="s">
        <v>34</v>
      </c>
      <c r="D1013" t="s">
        <v>43</v>
      </c>
      <c r="F1013">
        <v>4</v>
      </c>
      <c r="G1013">
        <v>8</v>
      </c>
      <c r="H1013">
        <v>8</v>
      </c>
      <c r="I1013">
        <v>64</v>
      </c>
      <c r="K1013" s="122">
        <v>45477</v>
      </c>
      <c r="L1013">
        <v>0.32129000000000002</v>
      </c>
    </row>
    <row r="1014" spans="1:12" x14ac:dyDescent="0.35">
      <c r="A1014" t="s">
        <v>34</v>
      </c>
      <c r="D1014" t="s">
        <v>43</v>
      </c>
      <c r="F1014">
        <v>4</v>
      </c>
      <c r="G1014">
        <v>8</v>
      </c>
      <c r="H1014">
        <v>8</v>
      </c>
      <c r="I1014">
        <v>64</v>
      </c>
      <c r="K1014" s="122">
        <v>45510</v>
      </c>
      <c r="L1014">
        <v>0.65722000000000003</v>
      </c>
    </row>
    <row r="1015" spans="1:12" x14ac:dyDescent="0.35">
      <c r="A1015" t="s">
        <v>34</v>
      </c>
      <c r="D1015" t="s">
        <v>43</v>
      </c>
      <c r="F1015">
        <v>4</v>
      </c>
      <c r="G1015">
        <v>8</v>
      </c>
      <c r="H1015">
        <v>8</v>
      </c>
      <c r="I1015">
        <v>64</v>
      </c>
      <c r="K1015" s="122">
        <v>45519</v>
      </c>
      <c r="L1015">
        <v>0.76600000000000001</v>
      </c>
    </row>
    <row r="1016" spans="1:12" x14ac:dyDescent="0.35">
      <c r="A1016" t="s">
        <v>34</v>
      </c>
      <c r="D1016" t="s">
        <v>43</v>
      </c>
      <c r="F1016">
        <v>4</v>
      </c>
      <c r="G1016">
        <v>8</v>
      </c>
      <c r="H1016">
        <v>8</v>
      </c>
      <c r="I1016">
        <v>64</v>
      </c>
      <c r="K1016" s="122">
        <v>45530</v>
      </c>
      <c r="L1016">
        <v>0.85536000000000001</v>
      </c>
    </row>
    <row r="1017" spans="1:12" x14ac:dyDescent="0.35">
      <c r="A1017" t="s">
        <v>34</v>
      </c>
      <c r="D1017" t="s">
        <v>43</v>
      </c>
      <c r="F1017">
        <v>4</v>
      </c>
      <c r="G1017">
        <v>8</v>
      </c>
      <c r="H1017">
        <v>8</v>
      </c>
      <c r="I1017">
        <v>64</v>
      </c>
      <c r="K1017" s="122">
        <v>45538</v>
      </c>
      <c r="L1017">
        <v>0.86675000000000002</v>
      </c>
    </row>
    <row r="1018" spans="1:12" x14ac:dyDescent="0.35">
      <c r="A1018" t="s">
        <v>34</v>
      </c>
      <c r="D1018" t="s">
        <v>43</v>
      </c>
      <c r="F1018">
        <v>4</v>
      </c>
      <c r="G1018">
        <v>8</v>
      </c>
      <c r="H1018">
        <v>8</v>
      </c>
      <c r="I1018">
        <v>64</v>
      </c>
      <c r="K1018" s="122">
        <v>45547</v>
      </c>
      <c r="L1018">
        <v>0.91678000000000004</v>
      </c>
    </row>
    <row r="1019" spans="1:12" x14ac:dyDescent="0.35">
      <c r="A1019" t="s">
        <v>34</v>
      </c>
      <c r="D1019" t="s">
        <v>43</v>
      </c>
      <c r="F1019">
        <v>4</v>
      </c>
      <c r="G1019">
        <v>8</v>
      </c>
      <c r="H1019">
        <v>8</v>
      </c>
      <c r="I1019">
        <v>64</v>
      </c>
      <c r="K1019" s="122">
        <v>45553</v>
      </c>
      <c r="L1019">
        <v>0.91237999999999997</v>
      </c>
    </row>
    <row r="1020" spans="1:12" x14ac:dyDescent="0.35">
      <c r="A1020" t="s">
        <v>34</v>
      </c>
      <c r="D1020" t="s">
        <v>43</v>
      </c>
      <c r="F1020">
        <v>4</v>
      </c>
      <c r="G1020">
        <v>8</v>
      </c>
      <c r="H1020">
        <v>8</v>
      </c>
      <c r="I1020">
        <v>64</v>
      </c>
      <c r="K1020" s="122">
        <v>45936</v>
      </c>
      <c r="L1020">
        <v>0.91232999999999997</v>
      </c>
    </row>
    <row r="1021" spans="1:12" x14ac:dyDescent="0.35">
      <c r="A1021" t="s">
        <v>34</v>
      </c>
      <c r="D1021" t="s">
        <v>43</v>
      </c>
      <c r="F1021">
        <v>4</v>
      </c>
      <c r="G1021">
        <v>8</v>
      </c>
      <c r="H1021">
        <v>8</v>
      </c>
      <c r="I1021">
        <v>64</v>
      </c>
      <c r="K1021" s="122">
        <v>45944</v>
      </c>
      <c r="L1021">
        <v>0.82899999999999996</v>
      </c>
    </row>
    <row r="1022" spans="1:12" x14ac:dyDescent="0.35">
      <c r="A1022" t="s">
        <v>34</v>
      </c>
      <c r="D1022" t="s">
        <v>43</v>
      </c>
      <c r="F1022">
        <v>4</v>
      </c>
      <c r="G1022">
        <v>8</v>
      </c>
      <c r="H1022">
        <v>8</v>
      </c>
      <c r="I1022">
        <v>64</v>
      </c>
      <c r="K1022" s="122">
        <v>45590</v>
      </c>
      <c r="L1022">
        <v>0.72175</v>
      </c>
    </row>
    <row r="1023" spans="1:12" x14ac:dyDescent="0.35">
      <c r="A1023" t="s">
        <v>34</v>
      </c>
      <c r="D1023" t="s">
        <v>43</v>
      </c>
      <c r="F1023">
        <v>4</v>
      </c>
      <c r="G1023">
        <v>8</v>
      </c>
      <c r="H1023">
        <v>8</v>
      </c>
      <c r="I1023">
        <v>64</v>
      </c>
      <c r="K1023" s="122">
        <v>45596</v>
      </c>
      <c r="L1023">
        <v>0.41239999999999999</v>
      </c>
    </row>
    <row r="1024" spans="1:12" x14ac:dyDescent="0.35">
      <c r="A1024" t="s">
        <v>34</v>
      </c>
      <c r="D1024" t="s">
        <v>43</v>
      </c>
      <c r="F1024">
        <v>4</v>
      </c>
      <c r="G1024">
        <v>8</v>
      </c>
      <c r="H1024">
        <v>8</v>
      </c>
      <c r="I1024">
        <v>64</v>
      </c>
      <c r="K1024" s="122">
        <v>45968</v>
      </c>
      <c r="L1024">
        <v>0.18617</v>
      </c>
    </row>
    <row r="1025" spans="1:12" x14ac:dyDescent="0.35">
      <c r="A1025" t="s">
        <v>34</v>
      </c>
      <c r="D1025" t="s">
        <v>43</v>
      </c>
      <c r="F1025">
        <v>4</v>
      </c>
      <c r="G1025">
        <v>8</v>
      </c>
      <c r="H1025">
        <v>8</v>
      </c>
      <c r="I1025">
        <v>64</v>
      </c>
      <c r="K1025" s="122">
        <v>45975</v>
      </c>
      <c r="L1025">
        <v>0.20014000000000001</v>
      </c>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3B83-FE2B-4466-B48A-94013F892B5F}">
  <sheetPr>
    <tabColor theme="9" tint="0.59999389629810485"/>
  </sheetPr>
  <dimension ref="A1:M961"/>
  <sheetViews>
    <sheetView workbookViewId="0">
      <selection activeCell="M3" sqref="M3"/>
    </sheetView>
  </sheetViews>
  <sheetFormatPr defaultRowHeight="14.5" x14ac:dyDescent="0.35"/>
  <cols>
    <col min="11" max="11" width="10.7265625" bestFit="1" customWidth="1"/>
    <col min="12" max="12" width="11.453125"/>
  </cols>
  <sheetData>
    <row r="1" spans="1:13" ht="43.5" x14ac:dyDescent="0.35">
      <c r="A1" s="70" t="s">
        <v>44</v>
      </c>
      <c r="B1" s="70" t="s">
        <v>45</v>
      </c>
      <c r="C1" s="70" t="s">
        <v>46</v>
      </c>
      <c r="D1" s="70" t="s">
        <v>47</v>
      </c>
      <c r="E1" s="70" t="s">
        <v>48</v>
      </c>
      <c r="F1" s="70" t="s">
        <v>49</v>
      </c>
      <c r="G1" s="70" t="s">
        <v>50</v>
      </c>
      <c r="H1" s="70" t="s">
        <v>51</v>
      </c>
      <c r="I1" s="70" t="s">
        <v>54</v>
      </c>
      <c r="J1" s="70" t="s">
        <v>155</v>
      </c>
      <c r="K1" s="4" t="s">
        <v>156</v>
      </c>
      <c r="L1" s="1" t="s">
        <v>740</v>
      </c>
      <c r="M1" s="4" t="s">
        <v>163</v>
      </c>
    </row>
    <row r="2" spans="1:13" x14ac:dyDescent="0.35">
      <c r="A2" t="s">
        <v>24</v>
      </c>
      <c r="D2" t="s">
        <v>27</v>
      </c>
      <c r="F2">
        <v>1</v>
      </c>
      <c r="G2">
        <v>1</v>
      </c>
      <c r="H2">
        <v>1</v>
      </c>
      <c r="I2">
        <v>1</v>
      </c>
      <c r="K2" s="124">
        <v>45421</v>
      </c>
      <c r="L2">
        <v>130</v>
      </c>
      <c r="M2">
        <v>10</v>
      </c>
    </row>
    <row r="3" spans="1:13" x14ac:dyDescent="0.35">
      <c r="A3" t="s">
        <v>24</v>
      </c>
      <c r="D3" t="s">
        <v>27</v>
      </c>
      <c r="F3">
        <v>1</v>
      </c>
      <c r="G3">
        <v>1</v>
      </c>
      <c r="H3">
        <v>1</v>
      </c>
      <c r="I3">
        <v>1</v>
      </c>
      <c r="K3" s="124">
        <v>45442</v>
      </c>
      <c r="L3">
        <v>151</v>
      </c>
      <c r="M3">
        <v>19</v>
      </c>
    </row>
    <row r="4" spans="1:13" x14ac:dyDescent="0.35">
      <c r="A4" t="s">
        <v>24</v>
      </c>
      <c r="D4" t="s">
        <v>27</v>
      </c>
      <c r="F4">
        <v>1</v>
      </c>
      <c r="G4">
        <v>1</v>
      </c>
      <c r="H4">
        <v>1</v>
      </c>
      <c r="I4">
        <v>1</v>
      </c>
      <c r="K4" s="124">
        <v>45461</v>
      </c>
      <c r="L4">
        <v>170</v>
      </c>
      <c r="M4">
        <v>30</v>
      </c>
    </row>
    <row r="5" spans="1:13" x14ac:dyDescent="0.35">
      <c r="A5" t="s">
        <v>24</v>
      </c>
      <c r="D5" t="s">
        <v>27</v>
      </c>
      <c r="F5">
        <v>1</v>
      </c>
      <c r="G5">
        <v>1</v>
      </c>
      <c r="H5">
        <v>1</v>
      </c>
      <c r="I5">
        <v>1</v>
      </c>
      <c r="K5" s="124">
        <v>45477</v>
      </c>
      <c r="L5">
        <v>186</v>
      </c>
      <c r="M5">
        <v>33</v>
      </c>
    </row>
    <row r="6" spans="1:13" x14ac:dyDescent="0.35">
      <c r="A6" t="s">
        <v>24</v>
      </c>
      <c r="D6" t="s">
        <v>27</v>
      </c>
      <c r="F6">
        <v>1</v>
      </c>
      <c r="G6">
        <v>1</v>
      </c>
      <c r="H6">
        <v>1</v>
      </c>
      <c r="I6">
        <v>1</v>
      </c>
      <c r="K6" s="124">
        <v>45491</v>
      </c>
      <c r="L6">
        <v>200</v>
      </c>
      <c r="M6">
        <v>38</v>
      </c>
    </row>
    <row r="7" spans="1:13" x14ac:dyDescent="0.35">
      <c r="A7" t="s">
        <v>24</v>
      </c>
      <c r="D7" t="s">
        <v>27</v>
      </c>
      <c r="F7">
        <v>1</v>
      </c>
      <c r="G7">
        <v>1</v>
      </c>
      <c r="H7">
        <v>1</v>
      </c>
      <c r="I7">
        <v>1</v>
      </c>
      <c r="K7" s="124">
        <v>45510</v>
      </c>
      <c r="L7">
        <v>219</v>
      </c>
      <c r="M7">
        <v>46</v>
      </c>
    </row>
    <row r="8" spans="1:13" x14ac:dyDescent="0.35">
      <c r="A8" t="s">
        <v>24</v>
      </c>
      <c r="D8" t="s">
        <v>27</v>
      </c>
      <c r="F8">
        <v>1</v>
      </c>
      <c r="G8">
        <v>1</v>
      </c>
      <c r="H8">
        <v>1</v>
      </c>
      <c r="I8">
        <v>1</v>
      </c>
      <c r="K8" s="124">
        <v>45530</v>
      </c>
      <c r="L8">
        <v>239</v>
      </c>
      <c r="M8">
        <v>62</v>
      </c>
    </row>
    <row r="9" spans="1:13" x14ac:dyDescent="0.35">
      <c r="A9" t="s">
        <v>24</v>
      </c>
      <c r="D9" t="s">
        <v>27</v>
      </c>
      <c r="F9">
        <v>1</v>
      </c>
      <c r="G9">
        <v>1</v>
      </c>
      <c r="H9">
        <v>1</v>
      </c>
      <c r="I9">
        <v>1</v>
      </c>
      <c r="K9" s="124">
        <v>45538</v>
      </c>
      <c r="L9">
        <v>247</v>
      </c>
      <c r="M9">
        <v>62</v>
      </c>
    </row>
    <row r="10" spans="1:13" x14ac:dyDescent="0.35">
      <c r="A10" t="s">
        <v>24</v>
      </c>
      <c r="D10" t="s">
        <v>27</v>
      </c>
      <c r="F10">
        <v>1</v>
      </c>
      <c r="G10">
        <v>1</v>
      </c>
      <c r="H10">
        <v>1</v>
      </c>
      <c r="I10">
        <v>1</v>
      </c>
      <c r="K10" s="124">
        <v>45547</v>
      </c>
      <c r="L10">
        <v>256</v>
      </c>
      <c r="M10">
        <v>71</v>
      </c>
    </row>
    <row r="11" spans="1:13" x14ac:dyDescent="0.35">
      <c r="A11" t="s">
        <v>24</v>
      </c>
      <c r="D11" t="s">
        <v>27</v>
      </c>
      <c r="F11">
        <v>1</v>
      </c>
      <c r="G11">
        <v>1</v>
      </c>
      <c r="H11">
        <v>1</v>
      </c>
      <c r="I11">
        <v>1</v>
      </c>
      <c r="K11" s="124">
        <v>45553</v>
      </c>
      <c r="L11">
        <v>262</v>
      </c>
      <c r="M11">
        <v>74</v>
      </c>
    </row>
    <row r="12" spans="1:13" x14ac:dyDescent="0.35">
      <c r="A12" t="s">
        <v>24</v>
      </c>
      <c r="D12" t="s">
        <v>27</v>
      </c>
      <c r="F12">
        <v>1</v>
      </c>
      <c r="G12">
        <v>1</v>
      </c>
      <c r="H12">
        <v>1</v>
      </c>
      <c r="I12">
        <v>1</v>
      </c>
      <c r="K12" s="124">
        <v>45558</v>
      </c>
      <c r="L12">
        <v>267</v>
      </c>
      <c r="M12">
        <v>78</v>
      </c>
    </row>
    <row r="13" spans="1:13" x14ac:dyDescent="0.35">
      <c r="A13" t="s">
        <v>24</v>
      </c>
      <c r="D13" t="s">
        <v>27</v>
      </c>
      <c r="F13">
        <v>1</v>
      </c>
      <c r="G13">
        <v>1</v>
      </c>
      <c r="H13">
        <v>1</v>
      </c>
      <c r="I13">
        <v>1</v>
      </c>
      <c r="K13" s="124">
        <v>45562</v>
      </c>
      <c r="L13">
        <v>271</v>
      </c>
      <c r="M13">
        <v>80</v>
      </c>
    </row>
    <row r="14" spans="1:13" x14ac:dyDescent="0.35">
      <c r="A14" t="s">
        <v>24</v>
      </c>
      <c r="D14" t="s">
        <v>27</v>
      </c>
      <c r="F14">
        <v>1</v>
      </c>
      <c r="G14">
        <v>1</v>
      </c>
      <c r="H14">
        <v>1</v>
      </c>
      <c r="I14">
        <v>1</v>
      </c>
      <c r="K14" s="124">
        <v>45571</v>
      </c>
      <c r="L14">
        <v>280</v>
      </c>
      <c r="M14">
        <v>99</v>
      </c>
    </row>
    <row r="15" spans="1:13" x14ac:dyDescent="0.35">
      <c r="A15" t="s">
        <v>24</v>
      </c>
      <c r="D15" t="s">
        <v>27</v>
      </c>
      <c r="F15">
        <v>1</v>
      </c>
      <c r="G15">
        <v>1</v>
      </c>
      <c r="H15">
        <v>1</v>
      </c>
      <c r="I15">
        <v>1</v>
      </c>
      <c r="K15" s="124">
        <v>45576</v>
      </c>
      <c r="L15">
        <v>285</v>
      </c>
      <c r="M15">
        <v>96</v>
      </c>
    </row>
    <row r="16" spans="1:13" x14ac:dyDescent="0.35">
      <c r="A16" t="s">
        <v>24</v>
      </c>
      <c r="D16" t="s">
        <v>27</v>
      </c>
      <c r="F16">
        <v>1</v>
      </c>
      <c r="G16">
        <v>1</v>
      </c>
      <c r="H16">
        <v>1</v>
      </c>
      <c r="I16">
        <v>1</v>
      </c>
      <c r="K16" s="124">
        <v>45590</v>
      </c>
      <c r="L16">
        <v>299</v>
      </c>
      <c r="M16">
        <v>100</v>
      </c>
    </row>
    <row r="17" spans="1:13" x14ac:dyDescent="0.35">
      <c r="A17" t="s">
        <v>24</v>
      </c>
      <c r="D17" t="s">
        <v>26</v>
      </c>
      <c r="F17">
        <v>1</v>
      </c>
      <c r="G17">
        <v>2</v>
      </c>
      <c r="H17">
        <v>1</v>
      </c>
      <c r="I17">
        <v>2</v>
      </c>
      <c r="K17" s="124">
        <v>45421</v>
      </c>
      <c r="L17">
        <v>130</v>
      </c>
      <c r="M17">
        <v>15</v>
      </c>
    </row>
    <row r="18" spans="1:13" x14ac:dyDescent="0.35">
      <c r="A18" t="s">
        <v>24</v>
      </c>
      <c r="D18" t="s">
        <v>26</v>
      </c>
      <c r="F18">
        <v>1</v>
      </c>
      <c r="G18">
        <v>2</v>
      </c>
      <c r="H18">
        <v>1</v>
      </c>
      <c r="I18">
        <v>2</v>
      </c>
      <c r="K18" s="124">
        <v>45442</v>
      </c>
      <c r="L18">
        <v>151</v>
      </c>
      <c r="M18">
        <v>17</v>
      </c>
    </row>
    <row r="19" spans="1:13" x14ac:dyDescent="0.35">
      <c r="A19" t="s">
        <v>24</v>
      </c>
      <c r="D19" t="s">
        <v>26</v>
      </c>
      <c r="F19">
        <v>1</v>
      </c>
      <c r="G19">
        <v>2</v>
      </c>
      <c r="H19">
        <v>1</v>
      </c>
      <c r="I19">
        <v>2</v>
      </c>
      <c r="K19" s="124">
        <v>45461</v>
      </c>
      <c r="L19">
        <v>170</v>
      </c>
      <c r="M19">
        <v>30</v>
      </c>
    </row>
    <row r="20" spans="1:13" x14ac:dyDescent="0.35">
      <c r="A20" t="s">
        <v>24</v>
      </c>
      <c r="D20" t="s">
        <v>26</v>
      </c>
      <c r="F20">
        <v>1</v>
      </c>
      <c r="G20">
        <v>2</v>
      </c>
      <c r="H20">
        <v>1</v>
      </c>
      <c r="I20">
        <v>2</v>
      </c>
      <c r="K20" s="124">
        <v>45477</v>
      </c>
      <c r="L20">
        <v>186</v>
      </c>
      <c r="M20">
        <v>33</v>
      </c>
    </row>
    <row r="21" spans="1:13" x14ac:dyDescent="0.35">
      <c r="A21" t="s">
        <v>24</v>
      </c>
      <c r="D21" t="s">
        <v>26</v>
      </c>
      <c r="F21">
        <v>1</v>
      </c>
      <c r="G21">
        <v>2</v>
      </c>
      <c r="H21">
        <v>1</v>
      </c>
      <c r="I21">
        <v>2</v>
      </c>
      <c r="K21" s="124">
        <v>45491</v>
      </c>
      <c r="L21">
        <v>200</v>
      </c>
      <c r="M21">
        <v>40</v>
      </c>
    </row>
    <row r="22" spans="1:13" x14ac:dyDescent="0.35">
      <c r="A22" t="s">
        <v>24</v>
      </c>
      <c r="D22" t="s">
        <v>26</v>
      </c>
      <c r="F22">
        <v>1</v>
      </c>
      <c r="G22">
        <v>2</v>
      </c>
      <c r="H22">
        <v>1</v>
      </c>
      <c r="I22">
        <v>2</v>
      </c>
      <c r="K22" s="124">
        <v>45510</v>
      </c>
      <c r="L22">
        <v>219</v>
      </c>
      <c r="M22">
        <v>44</v>
      </c>
    </row>
    <row r="23" spans="1:13" x14ac:dyDescent="0.35">
      <c r="A23" t="s">
        <v>24</v>
      </c>
      <c r="D23" t="s">
        <v>26</v>
      </c>
      <c r="F23">
        <v>1</v>
      </c>
      <c r="G23">
        <v>2</v>
      </c>
      <c r="H23">
        <v>1</v>
      </c>
      <c r="I23">
        <v>2</v>
      </c>
      <c r="K23" s="124">
        <v>45530</v>
      </c>
      <c r="L23">
        <v>239</v>
      </c>
      <c r="M23">
        <v>59</v>
      </c>
    </row>
    <row r="24" spans="1:13" x14ac:dyDescent="0.35">
      <c r="A24" t="s">
        <v>24</v>
      </c>
      <c r="D24" t="s">
        <v>26</v>
      </c>
      <c r="F24">
        <v>1</v>
      </c>
      <c r="G24">
        <v>2</v>
      </c>
      <c r="H24">
        <v>1</v>
      </c>
      <c r="I24">
        <v>2</v>
      </c>
      <c r="K24" s="124">
        <v>45538</v>
      </c>
      <c r="L24">
        <v>247</v>
      </c>
      <c r="M24">
        <v>65</v>
      </c>
    </row>
    <row r="25" spans="1:13" x14ac:dyDescent="0.35">
      <c r="A25" t="s">
        <v>24</v>
      </c>
      <c r="D25" t="s">
        <v>26</v>
      </c>
      <c r="F25">
        <v>1</v>
      </c>
      <c r="G25">
        <v>2</v>
      </c>
      <c r="H25">
        <v>1</v>
      </c>
      <c r="I25">
        <v>2</v>
      </c>
      <c r="K25" s="124">
        <v>45547</v>
      </c>
      <c r="L25">
        <v>256</v>
      </c>
      <c r="M25">
        <v>74</v>
      </c>
    </row>
    <row r="26" spans="1:13" x14ac:dyDescent="0.35">
      <c r="A26" t="s">
        <v>24</v>
      </c>
      <c r="D26" t="s">
        <v>26</v>
      </c>
      <c r="F26">
        <v>1</v>
      </c>
      <c r="G26">
        <v>2</v>
      </c>
      <c r="H26">
        <v>1</v>
      </c>
      <c r="I26">
        <v>2</v>
      </c>
      <c r="K26" s="124">
        <v>45553</v>
      </c>
      <c r="L26">
        <v>262</v>
      </c>
      <c r="M26">
        <v>78</v>
      </c>
    </row>
    <row r="27" spans="1:13" x14ac:dyDescent="0.35">
      <c r="A27" t="s">
        <v>24</v>
      </c>
      <c r="D27" t="s">
        <v>26</v>
      </c>
      <c r="F27">
        <v>1</v>
      </c>
      <c r="G27">
        <v>2</v>
      </c>
      <c r="H27">
        <v>1</v>
      </c>
      <c r="I27">
        <v>2</v>
      </c>
      <c r="K27" s="124">
        <v>45558</v>
      </c>
      <c r="L27">
        <v>267</v>
      </c>
      <c r="M27">
        <v>84</v>
      </c>
    </row>
    <row r="28" spans="1:13" x14ac:dyDescent="0.35">
      <c r="A28" t="s">
        <v>24</v>
      </c>
      <c r="D28" t="s">
        <v>26</v>
      </c>
      <c r="F28">
        <v>1</v>
      </c>
      <c r="G28">
        <v>2</v>
      </c>
      <c r="H28">
        <v>1</v>
      </c>
      <c r="I28">
        <v>2</v>
      </c>
      <c r="K28" s="124">
        <v>45562</v>
      </c>
      <c r="L28">
        <v>271</v>
      </c>
      <c r="M28">
        <v>89</v>
      </c>
    </row>
    <row r="29" spans="1:13" x14ac:dyDescent="0.35">
      <c r="A29" t="s">
        <v>24</v>
      </c>
      <c r="D29" t="s">
        <v>26</v>
      </c>
      <c r="F29">
        <v>1</v>
      </c>
      <c r="G29">
        <v>2</v>
      </c>
      <c r="H29">
        <v>1</v>
      </c>
      <c r="I29">
        <v>2</v>
      </c>
      <c r="K29" s="124">
        <v>45571</v>
      </c>
      <c r="L29">
        <v>280</v>
      </c>
      <c r="M29">
        <v>102</v>
      </c>
    </row>
    <row r="30" spans="1:13" x14ac:dyDescent="0.35">
      <c r="A30" t="s">
        <v>24</v>
      </c>
      <c r="D30" t="s">
        <v>26</v>
      </c>
      <c r="F30">
        <v>1</v>
      </c>
      <c r="G30">
        <v>2</v>
      </c>
      <c r="H30">
        <v>1</v>
      </c>
      <c r="I30">
        <v>2</v>
      </c>
      <c r="K30" s="124">
        <v>45576</v>
      </c>
      <c r="L30">
        <v>285</v>
      </c>
      <c r="M30">
        <v>106</v>
      </c>
    </row>
    <row r="31" spans="1:13" x14ac:dyDescent="0.35">
      <c r="A31" t="s">
        <v>24</v>
      </c>
      <c r="D31" t="s">
        <v>26</v>
      </c>
      <c r="F31">
        <v>1</v>
      </c>
      <c r="G31">
        <v>2</v>
      </c>
      <c r="H31">
        <v>1</v>
      </c>
      <c r="I31">
        <v>2</v>
      </c>
      <c r="K31" s="124">
        <v>45590</v>
      </c>
      <c r="L31">
        <v>299</v>
      </c>
      <c r="M31">
        <v>109</v>
      </c>
    </row>
    <row r="32" spans="1:13" x14ac:dyDescent="0.35">
      <c r="A32" t="s">
        <v>24</v>
      </c>
      <c r="D32" t="s">
        <v>335</v>
      </c>
      <c r="F32">
        <v>1</v>
      </c>
      <c r="G32">
        <v>3</v>
      </c>
      <c r="H32">
        <v>1</v>
      </c>
      <c r="I32">
        <v>3</v>
      </c>
      <c r="K32" s="124">
        <v>45421</v>
      </c>
      <c r="L32">
        <v>130</v>
      </c>
      <c r="M32">
        <v>12</v>
      </c>
    </row>
    <row r="33" spans="1:13" x14ac:dyDescent="0.35">
      <c r="A33" t="s">
        <v>24</v>
      </c>
      <c r="D33" t="s">
        <v>335</v>
      </c>
      <c r="F33">
        <v>1</v>
      </c>
      <c r="G33">
        <v>3</v>
      </c>
      <c r="H33">
        <v>1</v>
      </c>
      <c r="I33">
        <v>3</v>
      </c>
      <c r="K33" s="124">
        <v>45442</v>
      </c>
      <c r="L33">
        <v>151</v>
      </c>
      <c r="M33">
        <v>14</v>
      </c>
    </row>
    <row r="34" spans="1:13" x14ac:dyDescent="0.35">
      <c r="A34" t="s">
        <v>24</v>
      </c>
      <c r="D34" t="s">
        <v>335</v>
      </c>
      <c r="F34">
        <v>1</v>
      </c>
      <c r="G34">
        <v>3</v>
      </c>
      <c r="H34">
        <v>1</v>
      </c>
      <c r="I34">
        <v>3</v>
      </c>
      <c r="K34" s="124">
        <v>45461</v>
      </c>
      <c r="L34">
        <v>170</v>
      </c>
      <c r="M34">
        <v>28</v>
      </c>
    </row>
    <row r="35" spans="1:13" x14ac:dyDescent="0.35">
      <c r="A35" t="s">
        <v>24</v>
      </c>
      <c r="D35" t="s">
        <v>335</v>
      </c>
      <c r="F35">
        <v>1</v>
      </c>
      <c r="G35">
        <v>3</v>
      </c>
      <c r="H35">
        <v>1</v>
      </c>
      <c r="I35">
        <v>3</v>
      </c>
      <c r="K35" s="124">
        <v>45477</v>
      </c>
      <c r="L35">
        <v>186</v>
      </c>
      <c r="M35">
        <v>33</v>
      </c>
    </row>
    <row r="36" spans="1:13" x14ac:dyDescent="0.35">
      <c r="A36" t="s">
        <v>24</v>
      </c>
      <c r="D36" t="s">
        <v>335</v>
      </c>
      <c r="F36">
        <v>1</v>
      </c>
      <c r="G36">
        <v>3</v>
      </c>
      <c r="H36">
        <v>1</v>
      </c>
      <c r="I36">
        <v>3</v>
      </c>
      <c r="K36" s="124">
        <v>45491</v>
      </c>
      <c r="L36">
        <v>200</v>
      </c>
      <c r="M36">
        <v>40</v>
      </c>
    </row>
    <row r="37" spans="1:13" x14ac:dyDescent="0.35">
      <c r="A37" t="s">
        <v>24</v>
      </c>
      <c r="D37" t="s">
        <v>335</v>
      </c>
      <c r="F37">
        <v>1</v>
      </c>
      <c r="G37">
        <v>3</v>
      </c>
      <c r="H37">
        <v>1</v>
      </c>
      <c r="I37">
        <v>3</v>
      </c>
      <c r="K37" s="124">
        <v>45510</v>
      </c>
      <c r="L37">
        <v>219</v>
      </c>
      <c r="M37">
        <v>46</v>
      </c>
    </row>
    <row r="38" spans="1:13" x14ac:dyDescent="0.35">
      <c r="A38" t="s">
        <v>24</v>
      </c>
      <c r="D38" t="s">
        <v>335</v>
      </c>
      <c r="F38">
        <v>1</v>
      </c>
      <c r="G38">
        <v>3</v>
      </c>
      <c r="H38">
        <v>1</v>
      </c>
      <c r="I38">
        <v>3</v>
      </c>
      <c r="K38" s="124">
        <v>45530</v>
      </c>
      <c r="L38">
        <v>239</v>
      </c>
      <c r="M38">
        <v>61</v>
      </c>
    </row>
    <row r="39" spans="1:13" x14ac:dyDescent="0.35">
      <c r="A39" t="s">
        <v>24</v>
      </c>
      <c r="D39" t="s">
        <v>335</v>
      </c>
      <c r="F39">
        <v>1</v>
      </c>
      <c r="G39">
        <v>3</v>
      </c>
      <c r="H39">
        <v>1</v>
      </c>
      <c r="I39">
        <v>3</v>
      </c>
      <c r="K39" s="124">
        <v>45538</v>
      </c>
      <c r="L39">
        <v>247</v>
      </c>
      <c r="M39">
        <v>69</v>
      </c>
    </row>
    <row r="40" spans="1:13" x14ac:dyDescent="0.35">
      <c r="A40" t="s">
        <v>24</v>
      </c>
      <c r="D40" t="s">
        <v>335</v>
      </c>
      <c r="F40">
        <v>1</v>
      </c>
      <c r="G40">
        <v>3</v>
      </c>
      <c r="H40">
        <v>1</v>
      </c>
      <c r="I40">
        <v>3</v>
      </c>
      <c r="K40" s="124">
        <v>45547</v>
      </c>
      <c r="L40">
        <v>256</v>
      </c>
      <c r="M40">
        <v>73</v>
      </c>
    </row>
    <row r="41" spans="1:13" x14ac:dyDescent="0.35">
      <c r="A41" t="s">
        <v>24</v>
      </c>
      <c r="D41" t="s">
        <v>335</v>
      </c>
      <c r="F41">
        <v>1</v>
      </c>
      <c r="G41">
        <v>3</v>
      </c>
      <c r="H41">
        <v>1</v>
      </c>
      <c r="I41">
        <v>3</v>
      </c>
      <c r="K41" s="124">
        <v>45553</v>
      </c>
      <c r="L41">
        <v>262</v>
      </c>
      <c r="M41">
        <v>77</v>
      </c>
    </row>
    <row r="42" spans="1:13" x14ac:dyDescent="0.35">
      <c r="A42" t="s">
        <v>24</v>
      </c>
      <c r="D42" t="s">
        <v>335</v>
      </c>
      <c r="F42">
        <v>1</v>
      </c>
      <c r="G42">
        <v>3</v>
      </c>
      <c r="H42">
        <v>1</v>
      </c>
      <c r="I42">
        <v>3</v>
      </c>
      <c r="K42" s="124">
        <v>45558</v>
      </c>
      <c r="L42">
        <v>267</v>
      </c>
      <c r="M42">
        <v>77</v>
      </c>
    </row>
    <row r="43" spans="1:13" x14ac:dyDescent="0.35">
      <c r="A43" t="s">
        <v>24</v>
      </c>
      <c r="D43" t="s">
        <v>335</v>
      </c>
      <c r="F43">
        <v>1</v>
      </c>
      <c r="G43">
        <v>3</v>
      </c>
      <c r="H43">
        <v>1</v>
      </c>
      <c r="I43">
        <v>3</v>
      </c>
      <c r="K43" s="124">
        <v>45562</v>
      </c>
      <c r="L43">
        <v>271</v>
      </c>
      <c r="M43">
        <v>83</v>
      </c>
    </row>
    <row r="44" spans="1:13" x14ac:dyDescent="0.35">
      <c r="A44" t="s">
        <v>24</v>
      </c>
      <c r="D44" t="s">
        <v>335</v>
      </c>
      <c r="F44">
        <v>1</v>
      </c>
      <c r="G44">
        <v>3</v>
      </c>
      <c r="H44">
        <v>1</v>
      </c>
      <c r="I44">
        <v>3</v>
      </c>
      <c r="K44" s="124">
        <v>45571</v>
      </c>
      <c r="L44">
        <v>280</v>
      </c>
      <c r="M44">
        <v>95</v>
      </c>
    </row>
    <row r="45" spans="1:13" x14ac:dyDescent="0.35">
      <c r="A45" t="s">
        <v>24</v>
      </c>
      <c r="D45" t="s">
        <v>335</v>
      </c>
      <c r="F45">
        <v>1</v>
      </c>
      <c r="G45">
        <v>3</v>
      </c>
      <c r="H45">
        <v>1</v>
      </c>
      <c r="I45">
        <v>3</v>
      </c>
      <c r="K45" s="124">
        <v>45576</v>
      </c>
      <c r="L45">
        <v>285</v>
      </c>
      <c r="M45">
        <v>95</v>
      </c>
    </row>
    <row r="46" spans="1:13" x14ac:dyDescent="0.35">
      <c r="A46" t="s">
        <v>24</v>
      </c>
      <c r="D46" t="s">
        <v>335</v>
      </c>
      <c r="F46">
        <v>1</v>
      </c>
      <c r="G46">
        <v>3</v>
      </c>
      <c r="H46">
        <v>1</v>
      </c>
      <c r="I46">
        <v>3</v>
      </c>
      <c r="K46" s="124">
        <v>45590</v>
      </c>
      <c r="L46">
        <v>299</v>
      </c>
      <c r="M46">
        <v>95</v>
      </c>
    </row>
    <row r="47" spans="1:13" x14ac:dyDescent="0.35">
      <c r="A47" t="s">
        <v>24</v>
      </c>
      <c r="D47" t="s">
        <v>29</v>
      </c>
      <c r="F47">
        <v>1</v>
      </c>
      <c r="G47">
        <v>4</v>
      </c>
      <c r="H47">
        <v>1</v>
      </c>
      <c r="I47">
        <v>4</v>
      </c>
      <c r="K47" s="124">
        <v>45421</v>
      </c>
      <c r="L47">
        <v>130</v>
      </c>
      <c r="M47">
        <v>15</v>
      </c>
    </row>
    <row r="48" spans="1:13" x14ac:dyDescent="0.35">
      <c r="A48" t="s">
        <v>24</v>
      </c>
      <c r="D48" t="s">
        <v>29</v>
      </c>
      <c r="F48">
        <v>1</v>
      </c>
      <c r="G48">
        <v>4</v>
      </c>
      <c r="H48">
        <v>1</v>
      </c>
      <c r="I48">
        <v>4</v>
      </c>
      <c r="K48" s="124">
        <v>45442</v>
      </c>
      <c r="L48">
        <v>151</v>
      </c>
      <c r="M48">
        <v>15</v>
      </c>
    </row>
    <row r="49" spans="1:13" x14ac:dyDescent="0.35">
      <c r="A49" t="s">
        <v>24</v>
      </c>
      <c r="D49" t="s">
        <v>29</v>
      </c>
      <c r="F49">
        <v>1</v>
      </c>
      <c r="G49">
        <v>4</v>
      </c>
      <c r="H49">
        <v>1</v>
      </c>
      <c r="I49">
        <v>4</v>
      </c>
      <c r="K49" s="124">
        <v>45461</v>
      </c>
      <c r="L49">
        <v>170</v>
      </c>
      <c r="M49">
        <v>26</v>
      </c>
    </row>
    <row r="50" spans="1:13" x14ac:dyDescent="0.35">
      <c r="A50" t="s">
        <v>24</v>
      </c>
      <c r="D50" t="s">
        <v>29</v>
      </c>
      <c r="F50">
        <v>1</v>
      </c>
      <c r="G50">
        <v>4</v>
      </c>
      <c r="H50">
        <v>1</v>
      </c>
      <c r="I50">
        <v>4</v>
      </c>
      <c r="K50" s="124">
        <v>45477</v>
      </c>
      <c r="L50">
        <v>186</v>
      </c>
      <c r="M50">
        <v>33</v>
      </c>
    </row>
    <row r="51" spans="1:13" x14ac:dyDescent="0.35">
      <c r="A51" t="s">
        <v>24</v>
      </c>
      <c r="D51" t="s">
        <v>29</v>
      </c>
      <c r="F51">
        <v>1</v>
      </c>
      <c r="G51">
        <v>4</v>
      </c>
      <c r="H51">
        <v>1</v>
      </c>
      <c r="I51">
        <v>4</v>
      </c>
      <c r="K51" s="124">
        <v>45491</v>
      </c>
      <c r="L51">
        <v>200</v>
      </c>
      <c r="M51">
        <v>40</v>
      </c>
    </row>
    <row r="52" spans="1:13" x14ac:dyDescent="0.35">
      <c r="A52" t="s">
        <v>24</v>
      </c>
      <c r="D52" t="s">
        <v>29</v>
      </c>
      <c r="F52">
        <v>1</v>
      </c>
      <c r="G52">
        <v>4</v>
      </c>
      <c r="H52">
        <v>1</v>
      </c>
      <c r="I52">
        <v>4</v>
      </c>
      <c r="K52" s="124">
        <v>45510</v>
      </c>
      <c r="L52">
        <v>219</v>
      </c>
      <c r="M52">
        <v>44</v>
      </c>
    </row>
    <row r="53" spans="1:13" x14ac:dyDescent="0.35">
      <c r="A53" t="s">
        <v>24</v>
      </c>
      <c r="D53" t="s">
        <v>29</v>
      </c>
      <c r="F53">
        <v>1</v>
      </c>
      <c r="G53">
        <v>4</v>
      </c>
      <c r="H53">
        <v>1</v>
      </c>
      <c r="I53">
        <v>4</v>
      </c>
      <c r="K53" s="124">
        <v>45530</v>
      </c>
      <c r="L53">
        <v>239</v>
      </c>
      <c r="M53">
        <v>57</v>
      </c>
    </row>
    <row r="54" spans="1:13" x14ac:dyDescent="0.35">
      <c r="A54" t="s">
        <v>24</v>
      </c>
      <c r="D54" t="s">
        <v>29</v>
      </c>
      <c r="F54">
        <v>1</v>
      </c>
      <c r="G54">
        <v>4</v>
      </c>
      <c r="H54">
        <v>1</v>
      </c>
      <c r="I54">
        <v>4</v>
      </c>
      <c r="K54" s="124">
        <v>45538</v>
      </c>
      <c r="L54">
        <v>247</v>
      </c>
      <c r="M54">
        <v>63</v>
      </c>
    </row>
    <row r="55" spans="1:13" x14ac:dyDescent="0.35">
      <c r="A55" t="s">
        <v>24</v>
      </c>
      <c r="D55" t="s">
        <v>29</v>
      </c>
      <c r="F55">
        <v>1</v>
      </c>
      <c r="G55">
        <v>4</v>
      </c>
      <c r="H55">
        <v>1</v>
      </c>
      <c r="I55">
        <v>4</v>
      </c>
      <c r="K55" s="124">
        <v>45547</v>
      </c>
      <c r="L55">
        <v>256</v>
      </c>
      <c r="M55">
        <v>69</v>
      </c>
    </row>
    <row r="56" spans="1:13" x14ac:dyDescent="0.35">
      <c r="A56" t="s">
        <v>24</v>
      </c>
      <c r="D56" t="s">
        <v>29</v>
      </c>
      <c r="F56">
        <v>1</v>
      </c>
      <c r="G56">
        <v>4</v>
      </c>
      <c r="H56">
        <v>1</v>
      </c>
      <c r="I56">
        <v>4</v>
      </c>
      <c r="K56" s="124">
        <v>45553</v>
      </c>
      <c r="L56">
        <v>262</v>
      </c>
      <c r="M56">
        <v>73</v>
      </c>
    </row>
    <row r="57" spans="1:13" x14ac:dyDescent="0.35">
      <c r="A57" t="s">
        <v>24</v>
      </c>
      <c r="D57" t="s">
        <v>29</v>
      </c>
      <c r="F57">
        <v>1</v>
      </c>
      <c r="G57">
        <v>4</v>
      </c>
      <c r="H57">
        <v>1</v>
      </c>
      <c r="I57">
        <v>4</v>
      </c>
      <c r="K57" s="124">
        <v>45558</v>
      </c>
      <c r="L57">
        <v>267</v>
      </c>
      <c r="M57">
        <v>77</v>
      </c>
    </row>
    <row r="58" spans="1:13" x14ac:dyDescent="0.35">
      <c r="A58" t="s">
        <v>24</v>
      </c>
      <c r="D58" t="s">
        <v>29</v>
      </c>
      <c r="F58">
        <v>1</v>
      </c>
      <c r="G58">
        <v>4</v>
      </c>
      <c r="H58">
        <v>1</v>
      </c>
      <c r="I58">
        <v>4</v>
      </c>
      <c r="K58" s="124">
        <v>45562</v>
      </c>
      <c r="L58">
        <v>271</v>
      </c>
      <c r="M58">
        <v>82</v>
      </c>
    </row>
    <row r="59" spans="1:13" x14ac:dyDescent="0.35">
      <c r="A59" t="s">
        <v>24</v>
      </c>
      <c r="D59" t="s">
        <v>29</v>
      </c>
      <c r="F59">
        <v>1</v>
      </c>
      <c r="G59">
        <v>4</v>
      </c>
      <c r="H59">
        <v>1</v>
      </c>
      <c r="I59">
        <v>4</v>
      </c>
      <c r="K59" s="124">
        <v>45571</v>
      </c>
      <c r="L59">
        <v>280</v>
      </c>
      <c r="M59">
        <v>97</v>
      </c>
    </row>
    <row r="60" spans="1:13" x14ac:dyDescent="0.35">
      <c r="A60" t="s">
        <v>24</v>
      </c>
      <c r="D60" t="s">
        <v>29</v>
      </c>
      <c r="F60">
        <v>1</v>
      </c>
      <c r="G60">
        <v>4</v>
      </c>
      <c r="H60">
        <v>1</v>
      </c>
      <c r="I60">
        <v>4</v>
      </c>
      <c r="K60" s="124">
        <v>45576</v>
      </c>
      <c r="L60">
        <v>285</v>
      </c>
      <c r="M60">
        <v>97</v>
      </c>
    </row>
    <row r="61" spans="1:13" x14ac:dyDescent="0.35">
      <c r="A61" t="s">
        <v>24</v>
      </c>
      <c r="D61" t="s">
        <v>29</v>
      </c>
      <c r="F61">
        <v>1</v>
      </c>
      <c r="G61">
        <v>4</v>
      </c>
      <c r="H61">
        <v>1</v>
      </c>
      <c r="I61">
        <v>4</v>
      </c>
      <c r="K61" s="124">
        <v>45590</v>
      </c>
      <c r="L61">
        <v>299</v>
      </c>
      <c r="M61">
        <v>98</v>
      </c>
    </row>
    <row r="62" spans="1:13" x14ac:dyDescent="0.35">
      <c r="A62" t="s">
        <v>24</v>
      </c>
      <c r="D62" t="s">
        <v>336</v>
      </c>
      <c r="F62">
        <v>1</v>
      </c>
      <c r="G62">
        <v>5</v>
      </c>
      <c r="H62">
        <v>1</v>
      </c>
      <c r="I62">
        <v>5</v>
      </c>
      <c r="K62" s="124">
        <v>45421</v>
      </c>
      <c r="L62">
        <v>130</v>
      </c>
      <c r="M62">
        <v>16</v>
      </c>
    </row>
    <row r="63" spans="1:13" x14ac:dyDescent="0.35">
      <c r="A63" t="s">
        <v>24</v>
      </c>
      <c r="D63" t="s">
        <v>336</v>
      </c>
      <c r="F63">
        <v>1</v>
      </c>
      <c r="G63">
        <v>5</v>
      </c>
      <c r="H63">
        <v>1</v>
      </c>
      <c r="I63">
        <v>5</v>
      </c>
      <c r="K63" s="124">
        <v>45442</v>
      </c>
      <c r="L63">
        <v>151</v>
      </c>
      <c r="M63">
        <v>17</v>
      </c>
    </row>
    <row r="64" spans="1:13" x14ac:dyDescent="0.35">
      <c r="A64" t="s">
        <v>24</v>
      </c>
      <c r="D64" t="s">
        <v>336</v>
      </c>
      <c r="F64">
        <v>1</v>
      </c>
      <c r="G64">
        <v>5</v>
      </c>
      <c r="H64">
        <v>1</v>
      </c>
      <c r="I64">
        <v>5</v>
      </c>
      <c r="K64" s="124">
        <v>45461</v>
      </c>
      <c r="L64">
        <v>170</v>
      </c>
      <c r="M64">
        <v>30</v>
      </c>
    </row>
    <row r="65" spans="1:13" x14ac:dyDescent="0.35">
      <c r="A65" t="s">
        <v>24</v>
      </c>
      <c r="D65" t="s">
        <v>336</v>
      </c>
      <c r="F65">
        <v>1</v>
      </c>
      <c r="G65">
        <v>5</v>
      </c>
      <c r="H65">
        <v>1</v>
      </c>
      <c r="I65">
        <v>5</v>
      </c>
      <c r="K65" s="124">
        <v>45477</v>
      </c>
      <c r="L65">
        <v>186</v>
      </c>
      <c r="M65">
        <v>34</v>
      </c>
    </row>
    <row r="66" spans="1:13" x14ac:dyDescent="0.35">
      <c r="A66" t="s">
        <v>24</v>
      </c>
      <c r="D66" t="s">
        <v>336</v>
      </c>
      <c r="F66">
        <v>1</v>
      </c>
      <c r="G66">
        <v>5</v>
      </c>
      <c r="H66">
        <v>1</v>
      </c>
      <c r="I66">
        <v>5</v>
      </c>
      <c r="K66" s="124">
        <v>45491</v>
      </c>
      <c r="L66">
        <v>200</v>
      </c>
      <c r="M66">
        <v>39</v>
      </c>
    </row>
    <row r="67" spans="1:13" x14ac:dyDescent="0.35">
      <c r="A67" t="s">
        <v>24</v>
      </c>
      <c r="D67" t="s">
        <v>336</v>
      </c>
      <c r="F67">
        <v>1</v>
      </c>
      <c r="G67">
        <v>5</v>
      </c>
      <c r="H67">
        <v>1</v>
      </c>
      <c r="I67">
        <v>5</v>
      </c>
      <c r="K67" s="124">
        <v>45510</v>
      </c>
      <c r="L67">
        <v>219</v>
      </c>
      <c r="M67">
        <v>49</v>
      </c>
    </row>
    <row r="68" spans="1:13" x14ac:dyDescent="0.35">
      <c r="A68" t="s">
        <v>24</v>
      </c>
      <c r="D68" t="s">
        <v>336</v>
      </c>
      <c r="F68">
        <v>1</v>
      </c>
      <c r="G68">
        <v>5</v>
      </c>
      <c r="H68">
        <v>1</v>
      </c>
      <c r="I68">
        <v>5</v>
      </c>
      <c r="K68" s="124">
        <v>45530</v>
      </c>
      <c r="L68">
        <v>239</v>
      </c>
      <c r="M68">
        <v>54</v>
      </c>
    </row>
    <row r="69" spans="1:13" x14ac:dyDescent="0.35">
      <c r="A69" t="s">
        <v>24</v>
      </c>
      <c r="D69" t="s">
        <v>336</v>
      </c>
      <c r="F69">
        <v>1</v>
      </c>
      <c r="G69">
        <v>5</v>
      </c>
      <c r="H69">
        <v>1</v>
      </c>
      <c r="I69">
        <v>5</v>
      </c>
      <c r="K69" s="124">
        <v>45538</v>
      </c>
      <c r="L69">
        <v>247</v>
      </c>
      <c r="M69">
        <v>63</v>
      </c>
    </row>
    <row r="70" spans="1:13" x14ac:dyDescent="0.35">
      <c r="A70" t="s">
        <v>24</v>
      </c>
      <c r="D70" t="s">
        <v>336</v>
      </c>
      <c r="F70">
        <v>1</v>
      </c>
      <c r="G70">
        <v>5</v>
      </c>
      <c r="H70">
        <v>1</v>
      </c>
      <c r="I70">
        <v>5</v>
      </c>
      <c r="K70" s="124">
        <v>45547</v>
      </c>
      <c r="L70">
        <v>256</v>
      </c>
      <c r="M70">
        <v>65</v>
      </c>
    </row>
    <row r="71" spans="1:13" x14ac:dyDescent="0.35">
      <c r="A71" t="s">
        <v>24</v>
      </c>
      <c r="D71" t="s">
        <v>336</v>
      </c>
      <c r="F71">
        <v>1</v>
      </c>
      <c r="G71">
        <v>5</v>
      </c>
      <c r="H71">
        <v>1</v>
      </c>
      <c r="I71">
        <v>5</v>
      </c>
      <c r="K71" s="124">
        <v>45553</v>
      </c>
      <c r="L71">
        <v>262</v>
      </c>
      <c r="M71">
        <v>69</v>
      </c>
    </row>
    <row r="72" spans="1:13" x14ac:dyDescent="0.35">
      <c r="A72" t="s">
        <v>24</v>
      </c>
      <c r="D72" t="s">
        <v>336</v>
      </c>
      <c r="F72">
        <v>1</v>
      </c>
      <c r="G72">
        <v>5</v>
      </c>
      <c r="H72">
        <v>1</v>
      </c>
      <c r="I72">
        <v>5</v>
      </c>
      <c r="K72" s="124">
        <v>45558</v>
      </c>
      <c r="L72">
        <v>267</v>
      </c>
      <c r="M72">
        <v>70</v>
      </c>
    </row>
    <row r="73" spans="1:13" x14ac:dyDescent="0.35">
      <c r="A73" t="s">
        <v>24</v>
      </c>
      <c r="D73" t="s">
        <v>336</v>
      </c>
      <c r="F73">
        <v>1</v>
      </c>
      <c r="G73">
        <v>5</v>
      </c>
      <c r="H73">
        <v>1</v>
      </c>
      <c r="I73">
        <v>5</v>
      </c>
      <c r="K73" s="124">
        <v>45562</v>
      </c>
      <c r="L73">
        <v>271</v>
      </c>
      <c r="M73">
        <v>74</v>
      </c>
    </row>
    <row r="74" spans="1:13" x14ac:dyDescent="0.35">
      <c r="A74" t="s">
        <v>24</v>
      </c>
      <c r="D74" t="s">
        <v>336</v>
      </c>
      <c r="F74">
        <v>1</v>
      </c>
      <c r="G74">
        <v>5</v>
      </c>
      <c r="H74">
        <v>1</v>
      </c>
      <c r="I74">
        <v>5</v>
      </c>
      <c r="K74" s="124">
        <v>45571</v>
      </c>
      <c r="L74">
        <v>280</v>
      </c>
      <c r="M74">
        <v>85</v>
      </c>
    </row>
    <row r="75" spans="1:13" x14ac:dyDescent="0.35">
      <c r="A75" t="s">
        <v>24</v>
      </c>
      <c r="D75" t="s">
        <v>336</v>
      </c>
      <c r="F75">
        <v>1</v>
      </c>
      <c r="G75">
        <v>5</v>
      </c>
      <c r="H75">
        <v>1</v>
      </c>
      <c r="I75">
        <v>5</v>
      </c>
      <c r="K75" s="124">
        <v>45576</v>
      </c>
      <c r="L75">
        <v>285</v>
      </c>
      <c r="M75">
        <v>93</v>
      </c>
    </row>
    <row r="76" spans="1:13" x14ac:dyDescent="0.35">
      <c r="A76" t="s">
        <v>24</v>
      </c>
      <c r="D76" t="s">
        <v>336</v>
      </c>
      <c r="F76">
        <v>1</v>
      </c>
      <c r="G76">
        <v>5</v>
      </c>
      <c r="H76">
        <v>1</v>
      </c>
      <c r="I76">
        <v>5</v>
      </c>
      <c r="K76" s="124">
        <v>45590</v>
      </c>
      <c r="L76">
        <v>299</v>
      </c>
      <c r="M76">
        <v>96</v>
      </c>
    </row>
    <row r="77" spans="1:13" x14ac:dyDescent="0.35">
      <c r="A77" t="s">
        <v>24</v>
      </c>
      <c r="D77" t="s">
        <v>32</v>
      </c>
      <c r="F77">
        <v>1</v>
      </c>
      <c r="G77">
        <v>6</v>
      </c>
      <c r="H77">
        <v>1</v>
      </c>
      <c r="I77">
        <v>6</v>
      </c>
      <c r="K77" s="124">
        <v>45421</v>
      </c>
      <c r="L77">
        <v>130</v>
      </c>
      <c r="M77">
        <v>15</v>
      </c>
    </row>
    <row r="78" spans="1:13" x14ac:dyDescent="0.35">
      <c r="A78" t="s">
        <v>24</v>
      </c>
      <c r="D78" t="s">
        <v>32</v>
      </c>
      <c r="F78">
        <v>1</v>
      </c>
      <c r="G78">
        <v>6</v>
      </c>
      <c r="H78">
        <v>1</v>
      </c>
      <c r="I78">
        <v>6</v>
      </c>
      <c r="K78" s="124">
        <v>45442</v>
      </c>
      <c r="L78">
        <v>151</v>
      </c>
      <c r="M78">
        <v>16</v>
      </c>
    </row>
    <row r="79" spans="1:13" x14ac:dyDescent="0.35">
      <c r="A79" t="s">
        <v>24</v>
      </c>
      <c r="D79" t="s">
        <v>32</v>
      </c>
      <c r="F79">
        <v>1</v>
      </c>
      <c r="G79">
        <v>6</v>
      </c>
      <c r="H79">
        <v>1</v>
      </c>
      <c r="I79">
        <v>6</v>
      </c>
      <c r="K79" s="124">
        <v>45461</v>
      </c>
      <c r="L79">
        <v>170</v>
      </c>
      <c r="M79">
        <v>28</v>
      </c>
    </row>
    <row r="80" spans="1:13" x14ac:dyDescent="0.35">
      <c r="A80" t="s">
        <v>24</v>
      </c>
      <c r="D80" t="s">
        <v>32</v>
      </c>
      <c r="F80">
        <v>1</v>
      </c>
      <c r="G80">
        <v>6</v>
      </c>
      <c r="H80">
        <v>1</v>
      </c>
      <c r="I80">
        <v>6</v>
      </c>
      <c r="K80" s="124">
        <v>45477</v>
      </c>
      <c r="L80">
        <v>186</v>
      </c>
      <c r="M80">
        <v>32</v>
      </c>
    </row>
    <row r="81" spans="1:13" x14ac:dyDescent="0.35">
      <c r="A81" t="s">
        <v>24</v>
      </c>
      <c r="D81" t="s">
        <v>32</v>
      </c>
      <c r="F81">
        <v>1</v>
      </c>
      <c r="G81">
        <v>6</v>
      </c>
      <c r="H81">
        <v>1</v>
      </c>
      <c r="I81">
        <v>6</v>
      </c>
      <c r="K81" s="124">
        <v>45491</v>
      </c>
      <c r="L81">
        <v>200</v>
      </c>
      <c r="M81">
        <v>40</v>
      </c>
    </row>
    <row r="82" spans="1:13" x14ac:dyDescent="0.35">
      <c r="A82" t="s">
        <v>24</v>
      </c>
      <c r="D82" t="s">
        <v>32</v>
      </c>
      <c r="F82">
        <v>1</v>
      </c>
      <c r="G82">
        <v>6</v>
      </c>
      <c r="H82">
        <v>1</v>
      </c>
      <c r="I82">
        <v>6</v>
      </c>
      <c r="K82" s="124">
        <v>45510</v>
      </c>
      <c r="L82">
        <v>219</v>
      </c>
      <c r="M82">
        <v>45</v>
      </c>
    </row>
    <row r="83" spans="1:13" x14ac:dyDescent="0.35">
      <c r="A83" t="s">
        <v>24</v>
      </c>
      <c r="D83" t="s">
        <v>32</v>
      </c>
      <c r="F83">
        <v>1</v>
      </c>
      <c r="G83">
        <v>6</v>
      </c>
      <c r="H83">
        <v>1</v>
      </c>
      <c r="I83">
        <v>6</v>
      </c>
      <c r="K83" s="124">
        <v>45530</v>
      </c>
      <c r="L83">
        <v>239</v>
      </c>
      <c r="M83">
        <v>54</v>
      </c>
    </row>
    <row r="84" spans="1:13" x14ac:dyDescent="0.35">
      <c r="A84" t="s">
        <v>24</v>
      </c>
      <c r="D84" t="s">
        <v>32</v>
      </c>
      <c r="F84">
        <v>1</v>
      </c>
      <c r="G84">
        <v>6</v>
      </c>
      <c r="H84">
        <v>1</v>
      </c>
      <c r="I84">
        <v>6</v>
      </c>
      <c r="K84" s="124">
        <v>45538</v>
      </c>
      <c r="L84">
        <v>247</v>
      </c>
      <c r="M84">
        <v>63</v>
      </c>
    </row>
    <row r="85" spans="1:13" x14ac:dyDescent="0.35">
      <c r="A85" t="s">
        <v>24</v>
      </c>
      <c r="D85" t="s">
        <v>32</v>
      </c>
      <c r="F85">
        <v>1</v>
      </c>
      <c r="G85">
        <v>6</v>
      </c>
      <c r="H85">
        <v>1</v>
      </c>
      <c r="I85">
        <v>6</v>
      </c>
      <c r="K85" s="124">
        <v>45547</v>
      </c>
      <c r="L85">
        <v>256</v>
      </c>
      <c r="M85">
        <v>68</v>
      </c>
    </row>
    <row r="86" spans="1:13" x14ac:dyDescent="0.35">
      <c r="A86" t="s">
        <v>24</v>
      </c>
      <c r="D86" t="s">
        <v>32</v>
      </c>
      <c r="F86">
        <v>1</v>
      </c>
      <c r="G86">
        <v>6</v>
      </c>
      <c r="H86">
        <v>1</v>
      </c>
      <c r="I86">
        <v>6</v>
      </c>
      <c r="K86" s="124">
        <v>45553</v>
      </c>
      <c r="L86">
        <v>262</v>
      </c>
      <c r="M86">
        <v>68</v>
      </c>
    </row>
    <row r="87" spans="1:13" x14ac:dyDescent="0.35">
      <c r="A87" t="s">
        <v>24</v>
      </c>
      <c r="D87" t="s">
        <v>32</v>
      </c>
      <c r="F87">
        <v>1</v>
      </c>
      <c r="G87">
        <v>6</v>
      </c>
      <c r="H87">
        <v>1</v>
      </c>
      <c r="I87">
        <v>6</v>
      </c>
      <c r="K87" s="124">
        <v>45558</v>
      </c>
      <c r="L87">
        <v>267</v>
      </c>
      <c r="M87">
        <v>72</v>
      </c>
    </row>
    <row r="88" spans="1:13" x14ac:dyDescent="0.35">
      <c r="A88" t="s">
        <v>24</v>
      </c>
      <c r="D88" t="s">
        <v>32</v>
      </c>
      <c r="F88">
        <v>1</v>
      </c>
      <c r="G88">
        <v>6</v>
      </c>
      <c r="H88">
        <v>1</v>
      </c>
      <c r="I88">
        <v>6</v>
      </c>
      <c r="K88" s="124">
        <v>45562</v>
      </c>
      <c r="L88">
        <v>271</v>
      </c>
      <c r="M88">
        <v>72</v>
      </c>
    </row>
    <row r="89" spans="1:13" x14ac:dyDescent="0.35">
      <c r="A89" t="s">
        <v>24</v>
      </c>
      <c r="D89" t="s">
        <v>32</v>
      </c>
      <c r="F89">
        <v>1</v>
      </c>
      <c r="G89">
        <v>6</v>
      </c>
      <c r="H89">
        <v>1</v>
      </c>
      <c r="I89">
        <v>6</v>
      </c>
      <c r="K89" s="124">
        <v>45571</v>
      </c>
      <c r="L89">
        <v>280</v>
      </c>
      <c r="M89">
        <v>84</v>
      </c>
    </row>
    <row r="90" spans="1:13" x14ac:dyDescent="0.35">
      <c r="A90" t="s">
        <v>24</v>
      </c>
      <c r="D90" t="s">
        <v>32</v>
      </c>
      <c r="F90">
        <v>1</v>
      </c>
      <c r="G90">
        <v>6</v>
      </c>
      <c r="H90">
        <v>1</v>
      </c>
      <c r="I90">
        <v>6</v>
      </c>
      <c r="K90" s="124">
        <v>45576</v>
      </c>
      <c r="L90">
        <v>285</v>
      </c>
      <c r="M90">
        <v>85</v>
      </c>
    </row>
    <row r="91" spans="1:13" x14ac:dyDescent="0.35">
      <c r="A91" t="s">
        <v>24</v>
      </c>
      <c r="D91" t="s">
        <v>32</v>
      </c>
      <c r="F91">
        <v>1</v>
      </c>
      <c r="G91">
        <v>6</v>
      </c>
      <c r="H91">
        <v>1</v>
      </c>
      <c r="I91">
        <v>6</v>
      </c>
      <c r="K91" s="124">
        <v>45590</v>
      </c>
      <c r="L91">
        <v>299</v>
      </c>
      <c r="M91">
        <v>85</v>
      </c>
    </row>
    <row r="92" spans="1:13" x14ac:dyDescent="0.35">
      <c r="A92" t="s">
        <v>24</v>
      </c>
      <c r="D92" t="s">
        <v>28</v>
      </c>
      <c r="F92">
        <v>1</v>
      </c>
      <c r="G92">
        <v>7</v>
      </c>
      <c r="H92">
        <v>1</v>
      </c>
      <c r="I92">
        <v>7</v>
      </c>
      <c r="K92" s="124">
        <v>45421</v>
      </c>
      <c r="L92">
        <v>130</v>
      </c>
      <c r="M92">
        <v>15</v>
      </c>
    </row>
    <row r="93" spans="1:13" x14ac:dyDescent="0.35">
      <c r="A93" t="s">
        <v>24</v>
      </c>
      <c r="D93" t="s">
        <v>28</v>
      </c>
      <c r="F93">
        <v>1</v>
      </c>
      <c r="G93">
        <v>7</v>
      </c>
      <c r="H93">
        <v>1</v>
      </c>
      <c r="I93">
        <v>7</v>
      </c>
      <c r="K93" s="124">
        <v>45442</v>
      </c>
      <c r="L93">
        <v>151</v>
      </c>
      <c r="M93">
        <v>17</v>
      </c>
    </row>
    <row r="94" spans="1:13" x14ac:dyDescent="0.35">
      <c r="A94" t="s">
        <v>24</v>
      </c>
      <c r="D94" t="s">
        <v>28</v>
      </c>
      <c r="F94">
        <v>1</v>
      </c>
      <c r="G94">
        <v>7</v>
      </c>
      <c r="H94">
        <v>1</v>
      </c>
      <c r="I94">
        <v>7</v>
      </c>
      <c r="K94" s="124">
        <v>45461</v>
      </c>
      <c r="L94">
        <v>170</v>
      </c>
      <c r="M94">
        <v>29</v>
      </c>
    </row>
    <row r="95" spans="1:13" x14ac:dyDescent="0.35">
      <c r="A95" t="s">
        <v>24</v>
      </c>
      <c r="D95" t="s">
        <v>28</v>
      </c>
      <c r="F95">
        <v>1</v>
      </c>
      <c r="G95">
        <v>7</v>
      </c>
      <c r="H95">
        <v>1</v>
      </c>
      <c r="I95">
        <v>7</v>
      </c>
      <c r="K95" s="124">
        <v>45477</v>
      </c>
      <c r="L95">
        <v>186</v>
      </c>
      <c r="M95">
        <v>31</v>
      </c>
    </row>
    <row r="96" spans="1:13" x14ac:dyDescent="0.35">
      <c r="A96" t="s">
        <v>24</v>
      </c>
      <c r="D96" t="s">
        <v>28</v>
      </c>
      <c r="F96">
        <v>1</v>
      </c>
      <c r="G96">
        <v>7</v>
      </c>
      <c r="H96">
        <v>1</v>
      </c>
      <c r="I96">
        <v>7</v>
      </c>
      <c r="K96" s="124">
        <v>45491</v>
      </c>
      <c r="L96">
        <v>200</v>
      </c>
      <c r="M96">
        <v>39</v>
      </c>
    </row>
    <row r="97" spans="1:13" x14ac:dyDescent="0.35">
      <c r="A97" t="s">
        <v>24</v>
      </c>
      <c r="D97" t="s">
        <v>28</v>
      </c>
      <c r="F97">
        <v>1</v>
      </c>
      <c r="G97">
        <v>7</v>
      </c>
      <c r="H97">
        <v>1</v>
      </c>
      <c r="I97">
        <v>7</v>
      </c>
      <c r="K97" s="124">
        <v>45510</v>
      </c>
      <c r="L97">
        <v>219</v>
      </c>
      <c r="M97">
        <v>44</v>
      </c>
    </row>
    <row r="98" spans="1:13" x14ac:dyDescent="0.35">
      <c r="A98" t="s">
        <v>24</v>
      </c>
      <c r="D98" t="s">
        <v>28</v>
      </c>
      <c r="F98">
        <v>1</v>
      </c>
      <c r="G98">
        <v>7</v>
      </c>
      <c r="H98">
        <v>1</v>
      </c>
      <c r="I98">
        <v>7</v>
      </c>
      <c r="K98" s="124">
        <v>45530</v>
      </c>
      <c r="L98">
        <v>239</v>
      </c>
      <c r="M98">
        <v>57</v>
      </c>
    </row>
    <row r="99" spans="1:13" x14ac:dyDescent="0.35">
      <c r="A99" t="s">
        <v>24</v>
      </c>
      <c r="D99" t="s">
        <v>28</v>
      </c>
      <c r="F99">
        <v>1</v>
      </c>
      <c r="G99">
        <v>7</v>
      </c>
      <c r="H99">
        <v>1</v>
      </c>
      <c r="I99">
        <v>7</v>
      </c>
      <c r="K99" s="124">
        <v>45538</v>
      </c>
      <c r="L99">
        <v>247</v>
      </c>
      <c r="M99">
        <v>62</v>
      </c>
    </row>
    <row r="100" spans="1:13" x14ac:dyDescent="0.35">
      <c r="A100" t="s">
        <v>24</v>
      </c>
      <c r="D100" t="s">
        <v>28</v>
      </c>
      <c r="F100">
        <v>1</v>
      </c>
      <c r="G100">
        <v>7</v>
      </c>
      <c r="H100">
        <v>1</v>
      </c>
      <c r="I100">
        <v>7</v>
      </c>
      <c r="K100" s="124">
        <v>45547</v>
      </c>
      <c r="L100">
        <v>256</v>
      </c>
      <c r="M100">
        <v>70</v>
      </c>
    </row>
    <row r="101" spans="1:13" x14ac:dyDescent="0.35">
      <c r="A101" t="s">
        <v>24</v>
      </c>
      <c r="D101" t="s">
        <v>28</v>
      </c>
      <c r="F101">
        <v>1</v>
      </c>
      <c r="G101">
        <v>7</v>
      </c>
      <c r="H101">
        <v>1</v>
      </c>
      <c r="I101">
        <v>7</v>
      </c>
      <c r="K101" s="124">
        <v>45553</v>
      </c>
      <c r="L101">
        <v>262</v>
      </c>
      <c r="M101">
        <v>72</v>
      </c>
    </row>
    <row r="102" spans="1:13" x14ac:dyDescent="0.35">
      <c r="A102" t="s">
        <v>24</v>
      </c>
      <c r="D102" t="s">
        <v>28</v>
      </c>
      <c r="F102">
        <v>1</v>
      </c>
      <c r="G102">
        <v>7</v>
      </c>
      <c r="H102">
        <v>1</v>
      </c>
      <c r="I102">
        <v>7</v>
      </c>
      <c r="K102" s="124">
        <v>45558</v>
      </c>
      <c r="L102">
        <v>267</v>
      </c>
      <c r="M102">
        <v>73</v>
      </c>
    </row>
    <row r="103" spans="1:13" x14ac:dyDescent="0.35">
      <c r="A103" t="s">
        <v>24</v>
      </c>
      <c r="D103" t="s">
        <v>28</v>
      </c>
      <c r="F103">
        <v>1</v>
      </c>
      <c r="G103">
        <v>7</v>
      </c>
      <c r="H103">
        <v>1</v>
      </c>
      <c r="I103">
        <v>7</v>
      </c>
      <c r="K103" s="124">
        <v>45562</v>
      </c>
      <c r="L103">
        <v>271</v>
      </c>
      <c r="M103">
        <v>78</v>
      </c>
    </row>
    <row r="104" spans="1:13" x14ac:dyDescent="0.35">
      <c r="A104" t="s">
        <v>24</v>
      </c>
      <c r="D104" t="s">
        <v>28</v>
      </c>
      <c r="F104">
        <v>1</v>
      </c>
      <c r="G104">
        <v>7</v>
      </c>
      <c r="H104">
        <v>1</v>
      </c>
      <c r="I104">
        <v>7</v>
      </c>
      <c r="K104" s="124">
        <v>45571</v>
      </c>
      <c r="L104">
        <v>280</v>
      </c>
      <c r="M104">
        <v>95</v>
      </c>
    </row>
    <row r="105" spans="1:13" x14ac:dyDescent="0.35">
      <c r="A105" t="s">
        <v>24</v>
      </c>
      <c r="D105" t="s">
        <v>28</v>
      </c>
      <c r="F105">
        <v>1</v>
      </c>
      <c r="G105">
        <v>7</v>
      </c>
      <c r="H105">
        <v>1</v>
      </c>
      <c r="I105">
        <v>7</v>
      </c>
      <c r="K105" s="124">
        <v>45576</v>
      </c>
      <c r="L105">
        <v>285</v>
      </c>
      <c r="M105">
        <v>95</v>
      </c>
    </row>
    <row r="106" spans="1:13" x14ac:dyDescent="0.35">
      <c r="A106" t="s">
        <v>24</v>
      </c>
      <c r="D106" t="s">
        <v>28</v>
      </c>
      <c r="F106">
        <v>1</v>
      </c>
      <c r="G106">
        <v>7</v>
      </c>
      <c r="H106">
        <v>1</v>
      </c>
      <c r="I106">
        <v>7</v>
      </c>
      <c r="K106" s="124">
        <v>45590</v>
      </c>
      <c r="L106">
        <v>299</v>
      </c>
      <c r="M106">
        <v>95</v>
      </c>
    </row>
    <row r="107" spans="1:13" x14ac:dyDescent="0.35">
      <c r="A107" t="s">
        <v>24</v>
      </c>
      <c r="D107" t="s">
        <v>337</v>
      </c>
      <c r="F107">
        <v>1</v>
      </c>
      <c r="G107">
        <v>8</v>
      </c>
      <c r="H107">
        <v>1</v>
      </c>
      <c r="I107">
        <v>8</v>
      </c>
      <c r="K107" s="124">
        <v>45421</v>
      </c>
      <c r="L107">
        <v>130</v>
      </c>
      <c r="M107">
        <v>14</v>
      </c>
    </row>
    <row r="108" spans="1:13" x14ac:dyDescent="0.35">
      <c r="A108" t="s">
        <v>24</v>
      </c>
      <c r="D108" t="s">
        <v>337</v>
      </c>
      <c r="F108">
        <v>1</v>
      </c>
      <c r="G108">
        <v>8</v>
      </c>
      <c r="H108">
        <v>1</v>
      </c>
      <c r="I108">
        <v>8</v>
      </c>
      <c r="K108" s="124">
        <v>45442</v>
      </c>
      <c r="L108">
        <v>151</v>
      </c>
      <c r="M108">
        <v>17</v>
      </c>
    </row>
    <row r="109" spans="1:13" x14ac:dyDescent="0.35">
      <c r="A109" t="s">
        <v>24</v>
      </c>
      <c r="D109" t="s">
        <v>337</v>
      </c>
      <c r="F109">
        <v>1</v>
      </c>
      <c r="G109">
        <v>8</v>
      </c>
      <c r="H109">
        <v>1</v>
      </c>
      <c r="I109">
        <v>8</v>
      </c>
      <c r="K109" s="124">
        <v>45461</v>
      </c>
      <c r="L109">
        <v>170</v>
      </c>
      <c r="M109">
        <v>22</v>
      </c>
    </row>
    <row r="110" spans="1:13" x14ac:dyDescent="0.35">
      <c r="A110" t="s">
        <v>24</v>
      </c>
      <c r="D110" t="s">
        <v>337</v>
      </c>
      <c r="F110">
        <v>1</v>
      </c>
      <c r="G110">
        <v>8</v>
      </c>
      <c r="H110">
        <v>1</v>
      </c>
      <c r="I110">
        <v>8</v>
      </c>
      <c r="K110" s="124">
        <v>45477</v>
      </c>
      <c r="L110">
        <v>186</v>
      </c>
      <c r="M110">
        <v>25</v>
      </c>
    </row>
    <row r="111" spans="1:13" x14ac:dyDescent="0.35">
      <c r="A111" t="s">
        <v>24</v>
      </c>
      <c r="D111" t="s">
        <v>337</v>
      </c>
      <c r="F111">
        <v>1</v>
      </c>
      <c r="G111">
        <v>8</v>
      </c>
      <c r="H111">
        <v>1</v>
      </c>
      <c r="I111">
        <v>8</v>
      </c>
      <c r="K111" s="124">
        <v>45491</v>
      </c>
      <c r="L111">
        <v>200</v>
      </c>
      <c r="M111">
        <v>39</v>
      </c>
    </row>
    <row r="112" spans="1:13" x14ac:dyDescent="0.35">
      <c r="A112" t="s">
        <v>24</v>
      </c>
      <c r="D112" t="s">
        <v>337</v>
      </c>
      <c r="F112">
        <v>1</v>
      </c>
      <c r="G112">
        <v>8</v>
      </c>
      <c r="H112">
        <v>1</v>
      </c>
      <c r="I112">
        <v>8</v>
      </c>
      <c r="K112" s="124">
        <v>45510</v>
      </c>
      <c r="L112">
        <v>219</v>
      </c>
      <c r="M112">
        <v>47</v>
      </c>
    </row>
    <row r="113" spans="1:13" x14ac:dyDescent="0.35">
      <c r="A113" t="s">
        <v>24</v>
      </c>
      <c r="D113" t="s">
        <v>337</v>
      </c>
      <c r="F113">
        <v>1</v>
      </c>
      <c r="G113">
        <v>8</v>
      </c>
      <c r="H113">
        <v>1</v>
      </c>
      <c r="I113">
        <v>8</v>
      </c>
      <c r="K113" s="124">
        <v>45530</v>
      </c>
      <c r="L113">
        <v>239</v>
      </c>
      <c r="M113">
        <v>58</v>
      </c>
    </row>
    <row r="114" spans="1:13" x14ac:dyDescent="0.35">
      <c r="A114" t="s">
        <v>24</v>
      </c>
      <c r="D114" t="s">
        <v>337</v>
      </c>
      <c r="F114">
        <v>1</v>
      </c>
      <c r="G114">
        <v>8</v>
      </c>
      <c r="H114">
        <v>1</v>
      </c>
      <c r="I114">
        <v>8</v>
      </c>
      <c r="K114" s="124">
        <v>45538</v>
      </c>
      <c r="L114">
        <v>247</v>
      </c>
      <c r="M114">
        <v>64</v>
      </c>
    </row>
    <row r="115" spans="1:13" x14ac:dyDescent="0.35">
      <c r="A115" t="s">
        <v>24</v>
      </c>
      <c r="D115" t="s">
        <v>337</v>
      </c>
      <c r="F115">
        <v>1</v>
      </c>
      <c r="G115">
        <v>8</v>
      </c>
      <c r="H115">
        <v>1</v>
      </c>
      <c r="I115">
        <v>8</v>
      </c>
      <c r="K115" s="124">
        <v>45547</v>
      </c>
      <c r="L115">
        <v>256</v>
      </c>
      <c r="M115">
        <v>69</v>
      </c>
    </row>
    <row r="116" spans="1:13" x14ac:dyDescent="0.35">
      <c r="A116" t="s">
        <v>24</v>
      </c>
      <c r="D116" t="s">
        <v>337</v>
      </c>
      <c r="F116">
        <v>1</v>
      </c>
      <c r="G116">
        <v>8</v>
      </c>
      <c r="H116">
        <v>1</v>
      </c>
      <c r="I116">
        <v>8</v>
      </c>
      <c r="K116" s="124">
        <v>45553</v>
      </c>
      <c r="L116">
        <v>262</v>
      </c>
      <c r="M116">
        <v>73</v>
      </c>
    </row>
    <row r="117" spans="1:13" x14ac:dyDescent="0.35">
      <c r="A117" t="s">
        <v>24</v>
      </c>
      <c r="D117" t="s">
        <v>337</v>
      </c>
      <c r="F117">
        <v>1</v>
      </c>
      <c r="G117">
        <v>8</v>
      </c>
      <c r="H117">
        <v>1</v>
      </c>
      <c r="I117">
        <v>8</v>
      </c>
      <c r="K117" s="124">
        <v>45558</v>
      </c>
      <c r="L117">
        <v>267</v>
      </c>
      <c r="M117">
        <v>73</v>
      </c>
    </row>
    <row r="118" spans="1:13" x14ac:dyDescent="0.35">
      <c r="A118" t="s">
        <v>24</v>
      </c>
      <c r="D118" t="s">
        <v>337</v>
      </c>
      <c r="F118">
        <v>1</v>
      </c>
      <c r="G118">
        <v>8</v>
      </c>
      <c r="H118">
        <v>1</v>
      </c>
      <c r="I118">
        <v>8</v>
      </c>
      <c r="K118" s="124">
        <v>45562</v>
      </c>
      <c r="L118">
        <v>271</v>
      </c>
      <c r="M118">
        <v>73</v>
      </c>
    </row>
    <row r="119" spans="1:13" x14ac:dyDescent="0.35">
      <c r="A119" t="s">
        <v>24</v>
      </c>
      <c r="D119" t="s">
        <v>337</v>
      </c>
      <c r="F119">
        <v>1</v>
      </c>
      <c r="G119">
        <v>8</v>
      </c>
      <c r="H119">
        <v>1</v>
      </c>
      <c r="I119">
        <v>8</v>
      </c>
      <c r="K119" s="124">
        <v>45571</v>
      </c>
      <c r="L119">
        <v>280</v>
      </c>
      <c r="M119">
        <v>92</v>
      </c>
    </row>
    <row r="120" spans="1:13" x14ac:dyDescent="0.35">
      <c r="A120" t="s">
        <v>24</v>
      </c>
      <c r="D120" t="s">
        <v>337</v>
      </c>
      <c r="F120">
        <v>1</v>
      </c>
      <c r="G120">
        <v>8</v>
      </c>
      <c r="H120">
        <v>1</v>
      </c>
      <c r="I120">
        <v>8</v>
      </c>
      <c r="K120" s="124">
        <v>45576</v>
      </c>
      <c r="L120">
        <v>285</v>
      </c>
      <c r="M120">
        <v>92</v>
      </c>
    </row>
    <row r="121" spans="1:13" x14ac:dyDescent="0.35">
      <c r="A121" t="s">
        <v>24</v>
      </c>
      <c r="D121" t="s">
        <v>337</v>
      </c>
      <c r="F121">
        <v>1</v>
      </c>
      <c r="G121">
        <v>8</v>
      </c>
      <c r="H121">
        <v>1</v>
      </c>
      <c r="I121">
        <v>8</v>
      </c>
      <c r="K121" s="124">
        <v>45590</v>
      </c>
      <c r="L121">
        <v>299</v>
      </c>
      <c r="M121">
        <v>93</v>
      </c>
    </row>
    <row r="122" spans="1:13" x14ac:dyDescent="0.35">
      <c r="A122" t="s">
        <v>34</v>
      </c>
      <c r="D122" t="s">
        <v>42</v>
      </c>
      <c r="F122">
        <v>1</v>
      </c>
      <c r="G122">
        <v>1</v>
      </c>
      <c r="H122">
        <v>2</v>
      </c>
      <c r="I122">
        <v>9</v>
      </c>
      <c r="K122" s="124">
        <v>45421</v>
      </c>
      <c r="L122">
        <v>130</v>
      </c>
    </row>
    <row r="123" spans="1:13" x14ac:dyDescent="0.35">
      <c r="A123" t="s">
        <v>34</v>
      </c>
      <c r="D123" t="s">
        <v>42</v>
      </c>
      <c r="F123">
        <v>1</v>
      </c>
      <c r="G123">
        <v>1</v>
      </c>
      <c r="H123">
        <v>2</v>
      </c>
      <c r="I123">
        <v>9</v>
      </c>
      <c r="K123" s="124">
        <v>45442</v>
      </c>
      <c r="L123">
        <v>151</v>
      </c>
      <c r="M123">
        <v>8</v>
      </c>
    </row>
    <row r="124" spans="1:13" x14ac:dyDescent="0.35">
      <c r="A124" t="s">
        <v>34</v>
      </c>
      <c r="D124" t="s">
        <v>42</v>
      </c>
      <c r="F124">
        <v>1</v>
      </c>
      <c r="G124">
        <v>1</v>
      </c>
      <c r="H124">
        <v>2</v>
      </c>
      <c r="I124">
        <v>9</v>
      </c>
      <c r="K124" s="124">
        <v>45461</v>
      </c>
      <c r="L124">
        <v>170</v>
      </c>
      <c r="M124">
        <v>16</v>
      </c>
    </row>
    <row r="125" spans="1:13" x14ac:dyDescent="0.35">
      <c r="A125" t="s">
        <v>34</v>
      </c>
      <c r="D125" t="s">
        <v>42</v>
      </c>
      <c r="F125">
        <v>1</v>
      </c>
      <c r="G125">
        <v>1</v>
      </c>
      <c r="H125">
        <v>2</v>
      </c>
      <c r="I125">
        <v>9</v>
      </c>
      <c r="K125" s="124">
        <v>45477</v>
      </c>
      <c r="L125">
        <v>186</v>
      </c>
      <c r="M125">
        <v>17</v>
      </c>
    </row>
    <row r="126" spans="1:13" x14ac:dyDescent="0.35">
      <c r="A126" t="s">
        <v>34</v>
      </c>
      <c r="D126" t="s">
        <v>42</v>
      </c>
      <c r="F126">
        <v>1</v>
      </c>
      <c r="G126">
        <v>1</v>
      </c>
      <c r="H126">
        <v>2</v>
      </c>
      <c r="I126">
        <v>9</v>
      </c>
      <c r="K126" s="124">
        <v>45491</v>
      </c>
      <c r="L126">
        <v>200</v>
      </c>
      <c r="M126">
        <v>25</v>
      </c>
    </row>
    <row r="127" spans="1:13" x14ac:dyDescent="0.35">
      <c r="A127" t="s">
        <v>34</v>
      </c>
      <c r="D127" t="s">
        <v>42</v>
      </c>
      <c r="F127">
        <v>1</v>
      </c>
      <c r="G127">
        <v>1</v>
      </c>
      <c r="H127">
        <v>2</v>
      </c>
      <c r="I127">
        <v>9</v>
      </c>
      <c r="K127" s="124">
        <v>45510</v>
      </c>
      <c r="L127">
        <v>219</v>
      </c>
      <c r="M127">
        <v>35</v>
      </c>
    </row>
    <row r="128" spans="1:13" x14ac:dyDescent="0.35">
      <c r="A128" t="s">
        <v>34</v>
      </c>
      <c r="D128" t="s">
        <v>42</v>
      </c>
      <c r="F128">
        <v>1</v>
      </c>
      <c r="G128">
        <v>1</v>
      </c>
      <c r="H128">
        <v>2</v>
      </c>
      <c r="I128">
        <v>9</v>
      </c>
      <c r="K128" s="124">
        <v>45530</v>
      </c>
      <c r="L128">
        <v>239</v>
      </c>
      <c r="M128">
        <v>59</v>
      </c>
    </row>
    <row r="129" spans="1:13" x14ac:dyDescent="0.35">
      <c r="A129" t="s">
        <v>34</v>
      </c>
      <c r="D129" t="s">
        <v>42</v>
      </c>
      <c r="F129">
        <v>1</v>
      </c>
      <c r="G129">
        <v>1</v>
      </c>
      <c r="H129">
        <v>2</v>
      </c>
      <c r="I129">
        <v>9</v>
      </c>
      <c r="K129" s="124">
        <v>45538</v>
      </c>
      <c r="L129">
        <v>247</v>
      </c>
      <c r="M129">
        <v>61</v>
      </c>
    </row>
    <row r="130" spans="1:13" x14ac:dyDescent="0.35">
      <c r="A130" t="s">
        <v>34</v>
      </c>
      <c r="D130" t="s">
        <v>42</v>
      </c>
      <c r="F130">
        <v>1</v>
      </c>
      <c r="G130">
        <v>1</v>
      </c>
      <c r="H130">
        <v>2</v>
      </c>
      <c r="I130">
        <v>9</v>
      </c>
      <c r="K130" s="124">
        <v>45547</v>
      </c>
      <c r="L130">
        <v>256</v>
      </c>
      <c r="M130">
        <v>73</v>
      </c>
    </row>
    <row r="131" spans="1:13" x14ac:dyDescent="0.35">
      <c r="A131" t="s">
        <v>34</v>
      </c>
      <c r="D131" t="s">
        <v>42</v>
      </c>
      <c r="F131">
        <v>1</v>
      </c>
      <c r="G131">
        <v>1</v>
      </c>
      <c r="H131">
        <v>2</v>
      </c>
      <c r="I131">
        <v>9</v>
      </c>
      <c r="K131" s="124">
        <v>45553</v>
      </c>
      <c r="L131">
        <v>262</v>
      </c>
      <c r="M131">
        <v>75</v>
      </c>
    </row>
    <row r="132" spans="1:13" x14ac:dyDescent="0.35">
      <c r="A132" t="s">
        <v>34</v>
      </c>
      <c r="D132" t="s">
        <v>42</v>
      </c>
      <c r="F132">
        <v>1</v>
      </c>
      <c r="G132">
        <v>1</v>
      </c>
      <c r="H132">
        <v>2</v>
      </c>
      <c r="I132">
        <v>9</v>
      </c>
      <c r="K132" s="124">
        <v>45558</v>
      </c>
      <c r="L132">
        <v>267</v>
      </c>
      <c r="M132">
        <v>75</v>
      </c>
    </row>
    <row r="133" spans="1:13" x14ac:dyDescent="0.35">
      <c r="A133" t="s">
        <v>34</v>
      </c>
      <c r="D133" t="s">
        <v>42</v>
      </c>
      <c r="F133">
        <v>1</v>
      </c>
      <c r="G133">
        <v>1</v>
      </c>
      <c r="H133">
        <v>2</v>
      </c>
      <c r="I133">
        <v>9</v>
      </c>
      <c r="K133" s="124">
        <v>45562</v>
      </c>
      <c r="L133">
        <v>271</v>
      </c>
      <c r="M133">
        <v>80</v>
      </c>
    </row>
    <row r="134" spans="1:13" x14ac:dyDescent="0.35">
      <c r="A134" t="s">
        <v>34</v>
      </c>
      <c r="D134" t="s">
        <v>42</v>
      </c>
      <c r="F134">
        <v>1</v>
      </c>
      <c r="G134">
        <v>1</v>
      </c>
      <c r="H134">
        <v>2</v>
      </c>
      <c r="I134">
        <v>9</v>
      </c>
      <c r="K134" s="124">
        <v>45571</v>
      </c>
      <c r="L134">
        <v>280</v>
      </c>
      <c r="M134">
        <v>93</v>
      </c>
    </row>
    <row r="135" spans="1:13" x14ac:dyDescent="0.35">
      <c r="A135" t="s">
        <v>34</v>
      </c>
      <c r="D135" t="s">
        <v>42</v>
      </c>
      <c r="F135">
        <v>1</v>
      </c>
      <c r="G135">
        <v>1</v>
      </c>
      <c r="H135">
        <v>2</v>
      </c>
      <c r="I135">
        <v>9</v>
      </c>
      <c r="K135" s="124">
        <v>45576</v>
      </c>
      <c r="L135">
        <v>285</v>
      </c>
      <c r="M135">
        <v>93</v>
      </c>
    </row>
    <row r="136" spans="1:13" x14ac:dyDescent="0.35">
      <c r="A136" t="s">
        <v>34</v>
      </c>
      <c r="D136" t="s">
        <v>42</v>
      </c>
      <c r="F136">
        <v>1</v>
      </c>
      <c r="G136">
        <v>1</v>
      </c>
      <c r="H136">
        <v>2</v>
      </c>
      <c r="I136">
        <v>9</v>
      </c>
      <c r="K136" s="124">
        <v>45590</v>
      </c>
      <c r="L136">
        <v>299</v>
      </c>
      <c r="M136">
        <v>94</v>
      </c>
    </row>
    <row r="137" spans="1:13" x14ac:dyDescent="0.35">
      <c r="A137" t="s">
        <v>34</v>
      </c>
      <c r="D137" t="s">
        <v>38</v>
      </c>
      <c r="F137">
        <v>1</v>
      </c>
      <c r="G137">
        <v>2</v>
      </c>
      <c r="H137">
        <v>2</v>
      </c>
      <c r="I137">
        <v>10</v>
      </c>
      <c r="K137" s="124">
        <v>45421</v>
      </c>
      <c r="L137">
        <v>130</v>
      </c>
    </row>
    <row r="138" spans="1:13" x14ac:dyDescent="0.35">
      <c r="A138" t="s">
        <v>34</v>
      </c>
      <c r="D138" t="s">
        <v>38</v>
      </c>
      <c r="F138">
        <v>1</v>
      </c>
      <c r="G138">
        <v>2</v>
      </c>
      <c r="H138">
        <v>2</v>
      </c>
      <c r="I138">
        <v>10</v>
      </c>
      <c r="K138" s="124">
        <v>45442</v>
      </c>
      <c r="L138">
        <v>151</v>
      </c>
      <c r="M138">
        <v>7</v>
      </c>
    </row>
    <row r="139" spans="1:13" x14ac:dyDescent="0.35">
      <c r="A139" t="s">
        <v>34</v>
      </c>
      <c r="D139" t="s">
        <v>38</v>
      </c>
      <c r="F139">
        <v>1</v>
      </c>
      <c r="G139">
        <v>2</v>
      </c>
      <c r="H139">
        <v>2</v>
      </c>
      <c r="I139">
        <v>10</v>
      </c>
      <c r="K139" s="124">
        <v>45461</v>
      </c>
      <c r="L139">
        <v>170</v>
      </c>
      <c r="M139">
        <v>15</v>
      </c>
    </row>
    <row r="140" spans="1:13" x14ac:dyDescent="0.35">
      <c r="A140" t="s">
        <v>34</v>
      </c>
      <c r="D140" t="s">
        <v>38</v>
      </c>
      <c r="F140">
        <v>1</v>
      </c>
      <c r="G140">
        <v>2</v>
      </c>
      <c r="H140">
        <v>2</v>
      </c>
      <c r="I140">
        <v>10</v>
      </c>
      <c r="K140" s="124">
        <v>45477</v>
      </c>
      <c r="L140">
        <v>186</v>
      </c>
      <c r="M140">
        <v>18</v>
      </c>
    </row>
    <row r="141" spans="1:13" x14ac:dyDescent="0.35">
      <c r="A141" t="s">
        <v>34</v>
      </c>
      <c r="D141" t="s">
        <v>38</v>
      </c>
      <c r="F141">
        <v>1</v>
      </c>
      <c r="G141">
        <v>2</v>
      </c>
      <c r="H141">
        <v>2</v>
      </c>
      <c r="I141">
        <v>10</v>
      </c>
      <c r="K141" s="124">
        <v>45491</v>
      </c>
      <c r="L141">
        <v>200</v>
      </c>
      <c r="M141">
        <v>24</v>
      </c>
    </row>
    <row r="142" spans="1:13" x14ac:dyDescent="0.35">
      <c r="A142" t="s">
        <v>34</v>
      </c>
      <c r="D142" t="s">
        <v>38</v>
      </c>
      <c r="F142">
        <v>1</v>
      </c>
      <c r="G142">
        <v>2</v>
      </c>
      <c r="H142">
        <v>2</v>
      </c>
      <c r="I142">
        <v>10</v>
      </c>
      <c r="K142" s="124">
        <v>45510</v>
      </c>
      <c r="L142">
        <v>219</v>
      </c>
      <c r="M142">
        <v>37</v>
      </c>
    </row>
    <row r="143" spans="1:13" x14ac:dyDescent="0.35">
      <c r="A143" t="s">
        <v>34</v>
      </c>
      <c r="D143" t="s">
        <v>38</v>
      </c>
      <c r="F143">
        <v>1</v>
      </c>
      <c r="G143">
        <v>2</v>
      </c>
      <c r="H143">
        <v>2</v>
      </c>
      <c r="I143">
        <v>10</v>
      </c>
      <c r="K143" s="124">
        <v>45530</v>
      </c>
      <c r="L143">
        <v>239</v>
      </c>
      <c r="M143">
        <v>54</v>
      </c>
    </row>
    <row r="144" spans="1:13" x14ac:dyDescent="0.35">
      <c r="A144" t="s">
        <v>34</v>
      </c>
      <c r="D144" t="s">
        <v>38</v>
      </c>
      <c r="F144">
        <v>1</v>
      </c>
      <c r="G144">
        <v>2</v>
      </c>
      <c r="H144">
        <v>2</v>
      </c>
      <c r="I144">
        <v>10</v>
      </c>
      <c r="K144" s="124">
        <v>45538</v>
      </c>
      <c r="L144">
        <v>247</v>
      </c>
      <c r="M144">
        <v>57</v>
      </c>
    </row>
    <row r="145" spans="1:13" x14ac:dyDescent="0.35">
      <c r="A145" t="s">
        <v>34</v>
      </c>
      <c r="D145" t="s">
        <v>38</v>
      </c>
      <c r="F145">
        <v>1</v>
      </c>
      <c r="G145">
        <v>2</v>
      </c>
      <c r="H145">
        <v>2</v>
      </c>
      <c r="I145">
        <v>10</v>
      </c>
      <c r="K145" s="124">
        <v>45547</v>
      </c>
      <c r="L145">
        <v>256</v>
      </c>
      <c r="M145">
        <v>66</v>
      </c>
    </row>
    <row r="146" spans="1:13" x14ac:dyDescent="0.35">
      <c r="A146" t="s">
        <v>34</v>
      </c>
      <c r="D146" t="s">
        <v>38</v>
      </c>
      <c r="F146">
        <v>1</v>
      </c>
      <c r="G146">
        <v>2</v>
      </c>
      <c r="H146">
        <v>2</v>
      </c>
      <c r="I146">
        <v>10</v>
      </c>
      <c r="K146" s="124">
        <v>45553</v>
      </c>
      <c r="L146">
        <v>262</v>
      </c>
      <c r="M146">
        <v>69</v>
      </c>
    </row>
    <row r="147" spans="1:13" x14ac:dyDescent="0.35">
      <c r="A147" t="s">
        <v>34</v>
      </c>
      <c r="D147" t="s">
        <v>38</v>
      </c>
      <c r="F147">
        <v>1</v>
      </c>
      <c r="G147">
        <v>2</v>
      </c>
      <c r="H147">
        <v>2</v>
      </c>
      <c r="I147">
        <v>10</v>
      </c>
      <c r="K147" s="124">
        <v>45558</v>
      </c>
      <c r="L147">
        <v>267</v>
      </c>
      <c r="M147">
        <v>74</v>
      </c>
    </row>
    <row r="148" spans="1:13" x14ac:dyDescent="0.35">
      <c r="A148" t="s">
        <v>34</v>
      </c>
      <c r="D148" t="s">
        <v>38</v>
      </c>
      <c r="F148">
        <v>1</v>
      </c>
      <c r="G148">
        <v>2</v>
      </c>
      <c r="H148">
        <v>2</v>
      </c>
      <c r="I148">
        <v>10</v>
      </c>
      <c r="K148" s="124">
        <v>45562</v>
      </c>
      <c r="L148">
        <v>271</v>
      </c>
      <c r="M148">
        <v>76</v>
      </c>
    </row>
    <row r="149" spans="1:13" x14ac:dyDescent="0.35">
      <c r="A149" t="s">
        <v>34</v>
      </c>
      <c r="D149" t="s">
        <v>38</v>
      </c>
      <c r="F149">
        <v>1</v>
      </c>
      <c r="G149">
        <v>2</v>
      </c>
      <c r="H149">
        <v>2</v>
      </c>
      <c r="I149">
        <v>10</v>
      </c>
      <c r="K149" s="124">
        <v>45571</v>
      </c>
      <c r="L149">
        <v>280</v>
      </c>
      <c r="M149">
        <v>92</v>
      </c>
    </row>
    <row r="150" spans="1:13" x14ac:dyDescent="0.35">
      <c r="A150" t="s">
        <v>34</v>
      </c>
      <c r="D150" t="s">
        <v>38</v>
      </c>
      <c r="F150">
        <v>1</v>
      </c>
      <c r="G150">
        <v>2</v>
      </c>
      <c r="H150">
        <v>2</v>
      </c>
      <c r="I150">
        <v>10</v>
      </c>
      <c r="K150" s="124">
        <v>45576</v>
      </c>
      <c r="L150">
        <v>285</v>
      </c>
      <c r="M150">
        <v>97</v>
      </c>
    </row>
    <row r="151" spans="1:13" x14ac:dyDescent="0.35">
      <c r="A151" t="s">
        <v>34</v>
      </c>
      <c r="D151" t="s">
        <v>38</v>
      </c>
      <c r="F151">
        <v>1</v>
      </c>
      <c r="G151">
        <v>2</v>
      </c>
      <c r="H151">
        <v>2</v>
      </c>
      <c r="I151">
        <v>10</v>
      </c>
      <c r="K151" s="124">
        <v>45590</v>
      </c>
      <c r="L151">
        <v>299</v>
      </c>
      <c r="M151">
        <v>97</v>
      </c>
    </row>
    <row r="152" spans="1:13" x14ac:dyDescent="0.35">
      <c r="A152" t="s">
        <v>34</v>
      </c>
      <c r="D152" t="s">
        <v>43</v>
      </c>
      <c r="F152">
        <v>1</v>
      </c>
      <c r="G152">
        <v>3</v>
      </c>
      <c r="H152">
        <v>2</v>
      </c>
      <c r="I152">
        <v>11</v>
      </c>
      <c r="K152" s="124">
        <v>45421</v>
      </c>
      <c r="L152">
        <v>130</v>
      </c>
    </row>
    <row r="153" spans="1:13" x14ac:dyDescent="0.35">
      <c r="A153" t="s">
        <v>34</v>
      </c>
      <c r="D153" t="s">
        <v>43</v>
      </c>
      <c r="F153">
        <v>1</v>
      </c>
      <c r="G153">
        <v>3</v>
      </c>
      <c r="H153">
        <v>2</v>
      </c>
      <c r="I153">
        <v>11</v>
      </c>
      <c r="K153" s="124">
        <v>45442</v>
      </c>
      <c r="L153">
        <v>151</v>
      </c>
      <c r="M153">
        <v>5</v>
      </c>
    </row>
    <row r="154" spans="1:13" x14ac:dyDescent="0.35">
      <c r="A154" t="s">
        <v>34</v>
      </c>
      <c r="D154" t="s">
        <v>43</v>
      </c>
      <c r="F154">
        <v>1</v>
      </c>
      <c r="G154">
        <v>3</v>
      </c>
      <c r="H154">
        <v>2</v>
      </c>
      <c r="I154">
        <v>11</v>
      </c>
      <c r="K154" s="124">
        <v>45461</v>
      </c>
      <c r="L154">
        <v>170</v>
      </c>
      <c r="M154">
        <v>16</v>
      </c>
    </row>
    <row r="155" spans="1:13" x14ac:dyDescent="0.35">
      <c r="A155" t="s">
        <v>34</v>
      </c>
      <c r="D155" t="s">
        <v>43</v>
      </c>
      <c r="F155">
        <v>1</v>
      </c>
      <c r="G155">
        <v>3</v>
      </c>
      <c r="H155">
        <v>2</v>
      </c>
      <c r="I155">
        <v>11</v>
      </c>
      <c r="K155" s="124">
        <v>45477</v>
      </c>
      <c r="L155">
        <v>186</v>
      </c>
      <c r="M155">
        <v>18</v>
      </c>
    </row>
    <row r="156" spans="1:13" x14ac:dyDescent="0.35">
      <c r="A156" t="s">
        <v>34</v>
      </c>
      <c r="D156" t="s">
        <v>43</v>
      </c>
      <c r="F156">
        <v>1</v>
      </c>
      <c r="G156">
        <v>3</v>
      </c>
      <c r="H156">
        <v>2</v>
      </c>
      <c r="I156">
        <v>11</v>
      </c>
      <c r="K156" s="124">
        <v>45491</v>
      </c>
      <c r="L156">
        <v>200</v>
      </c>
      <c r="M156">
        <v>26</v>
      </c>
    </row>
    <row r="157" spans="1:13" x14ac:dyDescent="0.35">
      <c r="A157" t="s">
        <v>34</v>
      </c>
      <c r="D157" t="s">
        <v>43</v>
      </c>
      <c r="F157">
        <v>1</v>
      </c>
      <c r="G157">
        <v>3</v>
      </c>
      <c r="H157">
        <v>2</v>
      </c>
      <c r="I157">
        <v>11</v>
      </c>
      <c r="K157" s="124">
        <v>45510</v>
      </c>
      <c r="L157">
        <v>219</v>
      </c>
      <c r="M157">
        <v>36</v>
      </c>
    </row>
    <row r="158" spans="1:13" x14ac:dyDescent="0.35">
      <c r="A158" t="s">
        <v>34</v>
      </c>
      <c r="D158" t="s">
        <v>43</v>
      </c>
      <c r="F158">
        <v>1</v>
      </c>
      <c r="G158">
        <v>3</v>
      </c>
      <c r="H158">
        <v>2</v>
      </c>
      <c r="I158">
        <v>11</v>
      </c>
      <c r="K158" s="124">
        <v>45530</v>
      </c>
      <c r="L158">
        <v>239</v>
      </c>
      <c r="M158">
        <v>54</v>
      </c>
    </row>
    <row r="159" spans="1:13" x14ac:dyDescent="0.35">
      <c r="A159" t="s">
        <v>34</v>
      </c>
      <c r="D159" t="s">
        <v>43</v>
      </c>
      <c r="F159">
        <v>1</v>
      </c>
      <c r="G159">
        <v>3</v>
      </c>
      <c r="H159">
        <v>2</v>
      </c>
      <c r="I159">
        <v>11</v>
      </c>
      <c r="K159" s="124">
        <v>45538</v>
      </c>
      <c r="L159">
        <v>247</v>
      </c>
      <c r="M159">
        <v>55</v>
      </c>
    </row>
    <row r="160" spans="1:13" x14ac:dyDescent="0.35">
      <c r="A160" t="s">
        <v>34</v>
      </c>
      <c r="D160" t="s">
        <v>43</v>
      </c>
      <c r="F160">
        <v>1</v>
      </c>
      <c r="G160">
        <v>3</v>
      </c>
      <c r="H160">
        <v>2</v>
      </c>
      <c r="I160">
        <v>11</v>
      </c>
      <c r="K160" s="124">
        <v>45547</v>
      </c>
      <c r="L160">
        <v>256</v>
      </c>
      <c r="M160">
        <v>66</v>
      </c>
    </row>
    <row r="161" spans="1:13" x14ac:dyDescent="0.35">
      <c r="A161" t="s">
        <v>34</v>
      </c>
      <c r="D161" t="s">
        <v>43</v>
      </c>
      <c r="F161">
        <v>1</v>
      </c>
      <c r="G161">
        <v>3</v>
      </c>
      <c r="H161">
        <v>2</v>
      </c>
      <c r="I161">
        <v>11</v>
      </c>
      <c r="K161" s="124">
        <v>45553</v>
      </c>
      <c r="L161">
        <v>262</v>
      </c>
      <c r="M161">
        <v>69</v>
      </c>
    </row>
    <row r="162" spans="1:13" x14ac:dyDescent="0.35">
      <c r="A162" t="s">
        <v>34</v>
      </c>
      <c r="D162" t="s">
        <v>43</v>
      </c>
      <c r="F162">
        <v>1</v>
      </c>
      <c r="G162">
        <v>3</v>
      </c>
      <c r="H162">
        <v>2</v>
      </c>
      <c r="I162">
        <v>11</v>
      </c>
      <c r="K162" s="124">
        <v>45558</v>
      </c>
      <c r="L162">
        <v>267</v>
      </c>
      <c r="M162">
        <v>70</v>
      </c>
    </row>
    <row r="163" spans="1:13" x14ac:dyDescent="0.35">
      <c r="A163" t="s">
        <v>34</v>
      </c>
      <c r="D163" t="s">
        <v>43</v>
      </c>
      <c r="F163">
        <v>1</v>
      </c>
      <c r="G163">
        <v>3</v>
      </c>
      <c r="H163">
        <v>2</v>
      </c>
      <c r="I163">
        <v>11</v>
      </c>
      <c r="K163" s="124">
        <v>45562</v>
      </c>
      <c r="L163">
        <v>271</v>
      </c>
      <c r="M163">
        <v>74</v>
      </c>
    </row>
    <row r="164" spans="1:13" x14ac:dyDescent="0.35">
      <c r="A164" t="s">
        <v>34</v>
      </c>
      <c r="D164" t="s">
        <v>43</v>
      </c>
      <c r="F164">
        <v>1</v>
      </c>
      <c r="G164">
        <v>3</v>
      </c>
      <c r="H164">
        <v>2</v>
      </c>
      <c r="I164">
        <v>11</v>
      </c>
      <c r="K164" s="124">
        <v>45571</v>
      </c>
      <c r="L164">
        <v>280</v>
      </c>
      <c r="M164">
        <v>86</v>
      </c>
    </row>
    <row r="165" spans="1:13" x14ac:dyDescent="0.35">
      <c r="A165" t="s">
        <v>34</v>
      </c>
      <c r="D165" t="s">
        <v>43</v>
      </c>
      <c r="F165">
        <v>1</v>
      </c>
      <c r="G165">
        <v>3</v>
      </c>
      <c r="H165">
        <v>2</v>
      </c>
      <c r="I165">
        <v>11</v>
      </c>
      <c r="K165" s="124">
        <v>45576</v>
      </c>
      <c r="L165">
        <v>285</v>
      </c>
      <c r="M165">
        <v>91</v>
      </c>
    </row>
    <row r="166" spans="1:13" x14ac:dyDescent="0.35">
      <c r="A166" t="s">
        <v>34</v>
      </c>
      <c r="D166" t="s">
        <v>43</v>
      </c>
      <c r="F166">
        <v>1</v>
      </c>
      <c r="G166">
        <v>3</v>
      </c>
      <c r="H166">
        <v>2</v>
      </c>
      <c r="I166">
        <v>11</v>
      </c>
      <c r="K166" s="124">
        <v>45590</v>
      </c>
      <c r="L166">
        <v>299</v>
      </c>
      <c r="M166">
        <v>91</v>
      </c>
    </row>
    <row r="167" spans="1:13" x14ac:dyDescent="0.35">
      <c r="A167" t="s">
        <v>34</v>
      </c>
      <c r="D167" t="s">
        <v>41</v>
      </c>
      <c r="F167">
        <v>1</v>
      </c>
      <c r="G167">
        <v>4</v>
      </c>
      <c r="H167">
        <v>2</v>
      </c>
      <c r="I167">
        <v>12</v>
      </c>
      <c r="K167" s="124">
        <v>45421</v>
      </c>
      <c r="L167">
        <v>130</v>
      </c>
    </row>
    <row r="168" spans="1:13" x14ac:dyDescent="0.35">
      <c r="A168" t="s">
        <v>34</v>
      </c>
      <c r="D168" t="s">
        <v>41</v>
      </c>
      <c r="F168">
        <v>1</v>
      </c>
      <c r="G168">
        <v>4</v>
      </c>
      <c r="H168">
        <v>2</v>
      </c>
      <c r="I168">
        <v>12</v>
      </c>
      <c r="K168" s="124">
        <v>45442</v>
      </c>
      <c r="L168">
        <v>151</v>
      </c>
      <c r="M168">
        <v>6</v>
      </c>
    </row>
    <row r="169" spans="1:13" x14ac:dyDescent="0.35">
      <c r="A169" t="s">
        <v>34</v>
      </c>
      <c r="D169" t="s">
        <v>41</v>
      </c>
      <c r="F169">
        <v>1</v>
      </c>
      <c r="G169">
        <v>4</v>
      </c>
      <c r="H169">
        <v>2</v>
      </c>
      <c r="I169">
        <v>12</v>
      </c>
      <c r="K169" s="124">
        <v>45461</v>
      </c>
      <c r="L169">
        <v>170</v>
      </c>
      <c r="M169">
        <v>15</v>
      </c>
    </row>
    <row r="170" spans="1:13" x14ac:dyDescent="0.35">
      <c r="A170" t="s">
        <v>34</v>
      </c>
      <c r="D170" t="s">
        <v>41</v>
      </c>
      <c r="F170">
        <v>1</v>
      </c>
      <c r="G170">
        <v>4</v>
      </c>
      <c r="H170">
        <v>2</v>
      </c>
      <c r="I170">
        <v>12</v>
      </c>
      <c r="K170" s="124">
        <v>45477</v>
      </c>
      <c r="L170">
        <v>186</v>
      </c>
      <c r="M170">
        <v>19</v>
      </c>
    </row>
    <row r="171" spans="1:13" x14ac:dyDescent="0.35">
      <c r="A171" t="s">
        <v>34</v>
      </c>
      <c r="D171" t="s">
        <v>41</v>
      </c>
      <c r="F171">
        <v>1</v>
      </c>
      <c r="G171">
        <v>4</v>
      </c>
      <c r="H171">
        <v>2</v>
      </c>
      <c r="I171">
        <v>12</v>
      </c>
      <c r="K171" s="124">
        <v>45491</v>
      </c>
      <c r="L171">
        <v>200</v>
      </c>
      <c r="M171">
        <v>25</v>
      </c>
    </row>
    <row r="172" spans="1:13" x14ac:dyDescent="0.35">
      <c r="A172" t="s">
        <v>34</v>
      </c>
      <c r="D172" t="s">
        <v>41</v>
      </c>
      <c r="F172">
        <v>1</v>
      </c>
      <c r="G172">
        <v>4</v>
      </c>
      <c r="H172">
        <v>2</v>
      </c>
      <c r="I172">
        <v>12</v>
      </c>
      <c r="K172" s="124">
        <v>45510</v>
      </c>
      <c r="L172">
        <v>219</v>
      </c>
      <c r="M172">
        <v>39</v>
      </c>
    </row>
    <row r="173" spans="1:13" x14ac:dyDescent="0.35">
      <c r="A173" t="s">
        <v>34</v>
      </c>
      <c r="D173" t="s">
        <v>41</v>
      </c>
      <c r="F173">
        <v>1</v>
      </c>
      <c r="G173">
        <v>4</v>
      </c>
      <c r="H173">
        <v>2</v>
      </c>
      <c r="I173">
        <v>12</v>
      </c>
      <c r="K173" s="124">
        <v>45530</v>
      </c>
      <c r="L173">
        <v>239</v>
      </c>
      <c r="M173">
        <v>57</v>
      </c>
    </row>
    <row r="174" spans="1:13" x14ac:dyDescent="0.35">
      <c r="A174" t="s">
        <v>34</v>
      </c>
      <c r="D174" t="s">
        <v>41</v>
      </c>
      <c r="F174">
        <v>1</v>
      </c>
      <c r="G174">
        <v>4</v>
      </c>
      <c r="H174">
        <v>2</v>
      </c>
      <c r="I174">
        <v>12</v>
      </c>
      <c r="K174" s="124">
        <v>45538</v>
      </c>
      <c r="L174">
        <v>247</v>
      </c>
      <c r="M174">
        <v>64</v>
      </c>
    </row>
    <row r="175" spans="1:13" x14ac:dyDescent="0.35">
      <c r="A175" t="s">
        <v>34</v>
      </c>
      <c r="D175" t="s">
        <v>41</v>
      </c>
      <c r="F175">
        <v>1</v>
      </c>
      <c r="G175">
        <v>4</v>
      </c>
      <c r="H175">
        <v>2</v>
      </c>
      <c r="I175">
        <v>12</v>
      </c>
      <c r="K175" s="124">
        <v>45547</v>
      </c>
      <c r="L175">
        <v>256</v>
      </c>
      <c r="M175">
        <v>71</v>
      </c>
    </row>
    <row r="176" spans="1:13" x14ac:dyDescent="0.35">
      <c r="A176" t="s">
        <v>34</v>
      </c>
      <c r="D176" t="s">
        <v>41</v>
      </c>
      <c r="F176">
        <v>1</v>
      </c>
      <c r="G176">
        <v>4</v>
      </c>
      <c r="H176">
        <v>2</v>
      </c>
      <c r="I176">
        <v>12</v>
      </c>
      <c r="K176" s="124">
        <v>45553</v>
      </c>
      <c r="L176">
        <v>262</v>
      </c>
      <c r="M176">
        <v>72</v>
      </c>
    </row>
    <row r="177" spans="1:13" x14ac:dyDescent="0.35">
      <c r="A177" t="s">
        <v>34</v>
      </c>
      <c r="D177" t="s">
        <v>41</v>
      </c>
      <c r="F177">
        <v>1</v>
      </c>
      <c r="G177">
        <v>4</v>
      </c>
      <c r="H177">
        <v>2</v>
      </c>
      <c r="I177">
        <v>12</v>
      </c>
      <c r="K177" s="124">
        <v>45558</v>
      </c>
      <c r="L177">
        <v>267</v>
      </c>
      <c r="M177">
        <v>74</v>
      </c>
    </row>
    <row r="178" spans="1:13" x14ac:dyDescent="0.35">
      <c r="A178" t="s">
        <v>34</v>
      </c>
      <c r="D178" t="s">
        <v>41</v>
      </c>
      <c r="F178">
        <v>1</v>
      </c>
      <c r="G178">
        <v>4</v>
      </c>
      <c r="H178">
        <v>2</v>
      </c>
      <c r="I178">
        <v>12</v>
      </c>
      <c r="K178" s="124">
        <v>45562</v>
      </c>
      <c r="L178">
        <v>271</v>
      </c>
      <c r="M178">
        <v>77</v>
      </c>
    </row>
    <row r="179" spans="1:13" x14ac:dyDescent="0.35">
      <c r="A179" t="s">
        <v>34</v>
      </c>
      <c r="D179" t="s">
        <v>41</v>
      </c>
      <c r="F179">
        <v>1</v>
      </c>
      <c r="G179">
        <v>4</v>
      </c>
      <c r="H179">
        <v>2</v>
      </c>
      <c r="I179">
        <v>12</v>
      </c>
      <c r="K179" s="124">
        <v>45571</v>
      </c>
      <c r="L179">
        <v>280</v>
      </c>
      <c r="M179">
        <v>91</v>
      </c>
    </row>
    <row r="180" spans="1:13" x14ac:dyDescent="0.35">
      <c r="A180" t="s">
        <v>34</v>
      </c>
      <c r="D180" t="s">
        <v>41</v>
      </c>
      <c r="F180">
        <v>1</v>
      </c>
      <c r="G180">
        <v>4</v>
      </c>
      <c r="H180">
        <v>2</v>
      </c>
      <c r="I180">
        <v>12</v>
      </c>
      <c r="K180" s="124">
        <v>45576</v>
      </c>
      <c r="L180">
        <v>285</v>
      </c>
      <c r="M180">
        <v>90</v>
      </c>
    </row>
    <row r="181" spans="1:13" x14ac:dyDescent="0.35">
      <c r="A181" t="s">
        <v>34</v>
      </c>
      <c r="D181" t="s">
        <v>41</v>
      </c>
      <c r="F181">
        <v>1</v>
      </c>
      <c r="G181">
        <v>4</v>
      </c>
      <c r="H181">
        <v>2</v>
      </c>
      <c r="I181">
        <v>12</v>
      </c>
      <c r="K181" s="124">
        <v>45590</v>
      </c>
      <c r="L181">
        <v>299</v>
      </c>
      <c r="M181">
        <v>89</v>
      </c>
    </row>
    <row r="182" spans="1:13" x14ac:dyDescent="0.35">
      <c r="A182" t="s">
        <v>34</v>
      </c>
      <c r="D182" t="s">
        <v>37</v>
      </c>
      <c r="F182">
        <v>1</v>
      </c>
      <c r="G182">
        <v>5</v>
      </c>
      <c r="H182">
        <v>2</v>
      </c>
      <c r="I182">
        <v>13</v>
      </c>
      <c r="K182" s="124">
        <v>45421</v>
      </c>
      <c r="L182">
        <v>130</v>
      </c>
    </row>
    <row r="183" spans="1:13" x14ac:dyDescent="0.35">
      <c r="A183" t="s">
        <v>34</v>
      </c>
      <c r="D183" t="s">
        <v>37</v>
      </c>
      <c r="F183">
        <v>1</v>
      </c>
      <c r="G183">
        <v>5</v>
      </c>
      <c r="H183">
        <v>2</v>
      </c>
      <c r="I183">
        <v>13</v>
      </c>
      <c r="K183" s="124">
        <v>45442</v>
      </c>
      <c r="L183">
        <v>151</v>
      </c>
      <c r="M183">
        <v>7</v>
      </c>
    </row>
    <row r="184" spans="1:13" x14ac:dyDescent="0.35">
      <c r="A184" t="s">
        <v>34</v>
      </c>
      <c r="D184" t="s">
        <v>37</v>
      </c>
      <c r="F184">
        <v>1</v>
      </c>
      <c r="G184">
        <v>5</v>
      </c>
      <c r="H184">
        <v>2</v>
      </c>
      <c r="I184">
        <v>13</v>
      </c>
      <c r="K184" s="124">
        <v>45461</v>
      </c>
      <c r="L184">
        <v>170</v>
      </c>
      <c r="M184">
        <v>14</v>
      </c>
    </row>
    <row r="185" spans="1:13" x14ac:dyDescent="0.35">
      <c r="A185" t="s">
        <v>34</v>
      </c>
      <c r="D185" t="s">
        <v>37</v>
      </c>
      <c r="F185">
        <v>1</v>
      </c>
      <c r="G185">
        <v>5</v>
      </c>
      <c r="H185">
        <v>2</v>
      </c>
      <c r="I185">
        <v>13</v>
      </c>
      <c r="K185" s="124">
        <v>45477</v>
      </c>
      <c r="L185">
        <v>186</v>
      </c>
      <c r="M185">
        <v>14</v>
      </c>
    </row>
    <row r="186" spans="1:13" x14ac:dyDescent="0.35">
      <c r="A186" t="s">
        <v>34</v>
      </c>
      <c r="D186" t="s">
        <v>37</v>
      </c>
      <c r="F186">
        <v>1</v>
      </c>
      <c r="G186">
        <v>5</v>
      </c>
      <c r="H186">
        <v>2</v>
      </c>
      <c r="I186">
        <v>13</v>
      </c>
      <c r="K186" s="124">
        <v>45491</v>
      </c>
      <c r="L186">
        <v>200</v>
      </c>
      <c r="M186">
        <v>26</v>
      </c>
    </row>
    <row r="187" spans="1:13" x14ac:dyDescent="0.35">
      <c r="A187" t="s">
        <v>34</v>
      </c>
      <c r="D187" t="s">
        <v>37</v>
      </c>
      <c r="F187">
        <v>1</v>
      </c>
      <c r="G187">
        <v>5</v>
      </c>
      <c r="H187">
        <v>2</v>
      </c>
      <c r="I187">
        <v>13</v>
      </c>
      <c r="K187" s="124">
        <v>45510</v>
      </c>
      <c r="L187">
        <v>219</v>
      </c>
      <c r="M187">
        <v>38</v>
      </c>
    </row>
    <row r="188" spans="1:13" x14ac:dyDescent="0.35">
      <c r="A188" t="s">
        <v>34</v>
      </c>
      <c r="D188" t="s">
        <v>37</v>
      </c>
      <c r="F188">
        <v>1</v>
      </c>
      <c r="G188">
        <v>5</v>
      </c>
      <c r="H188">
        <v>2</v>
      </c>
      <c r="I188">
        <v>13</v>
      </c>
      <c r="K188" s="124">
        <v>45530</v>
      </c>
      <c r="L188">
        <v>239</v>
      </c>
      <c r="M188">
        <v>52</v>
      </c>
    </row>
    <row r="189" spans="1:13" x14ac:dyDescent="0.35">
      <c r="A189" t="s">
        <v>34</v>
      </c>
      <c r="D189" t="s">
        <v>37</v>
      </c>
      <c r="F189">
        <v>1</v>
      </c>
      <c r="G189">
        <v>5</v>
      </c>
      <c r="H189">
        <v>2</v>
      </c>
      <c r="I189">
        <v>13</v>
      </c>
      <c r="K189" s="124">
        <v>45538</v>
      </c>
      <c r="L189">
        <v>247</v>
      </c>
      <c r="M189">
        <v>56</v>
      </c>
    </row>
    <row r="190" spans="1:13" x14ac:dyDescent="0.35">
      <c r="A190" t="s">
        <v>34</v>
      </c>
      <c r="D190" t="s">
        <v>37</v>
      </c>
      <c r="F190">
        <v>1</v>
      </c>
      <c r="G190">
        <v>5</v>
      </c>
      <c r="H190">
        <v>2</v>
      </c>
      <c r="I190">
        <v>13</v>
      </c>
      <c r="K190" s="124">
        <v>45547</v>
      </c>
      <c r="L190">
        <v>256</v>
      </c>
      <c r="M190">
        <v>65</v>
      </c>
    </row>
    <row r="191" spans="1:13" x14ac:dyDescent="0.35">
      <c r="A191" t="s">
        <v>34</v>
      </c>
      <c r="D191" t="s">
        <v>37</v>
      </c>
      <c r="F191">
        <v>1</v>
      </c>
      <c r="G191">
        <v>5</v>
      </c>
      <c r="H191">
        <v>2</v>
      </c>
      <c r="I191">
        <v>13</v>
      </c>
      <c r="K191" s="124">
        <v>45553</v>
      </c>
      <c r="L191">
        <v>262</v>
      </c>
      <c r="M191">
        <v>70</v>
      </c>
    </row>
    <row r="192" spans="1:13" x14ac:dyDescent="0.35">
      <c r="A192" t="s">
        <v>34</v>
      </c>
      <c r="D192" t="s">
        <v>37</v>
      </c>
      <c r="F192">
        <v>1</v>
      </c>
      <c r="G192">
        <v>5</v>
      </c>
      <c r="H192">
        <v>2</v>
      </c>
      <c r="I192">
        <v>13</v>
      </c>
      <c r="K192" s="124">
        <v>45558</v>
      </c>
      <c r="L192">
        <v>267</v>
      </c>
      <c r="M192">
        <v>72</v>
      </c>
    </row>
    <row r="193" spans="1:13" x14ac:dyDescent="0.35">
      <c r="A193" t="s">
        <v>34</v>
      </c>
      <c r="D193" t="s">
        <v>37</v>
      </c>
      <c r="F193">
        <v>1</v>
      </c>
      <c r="G193">
        <v>5</v>
      </c>
      <c r="H193">
        <v>2</v>
      </c>
      <c r="I193">
        <v>13</v>
      </c>
      <c r="K193" s="124">
        <v>45562</v>
      </c>
      <c r="L193">
        <v>271</v>
      </c>
      <c r="M193">
        <v>76</v>
      </c>
    </row>
    <row r="194" spans="1:13" x14ac:dyDescent="0.35">
      <c r="A194" t="s">
        <v>34</v>
      </c>
      <c r="D194" t="s">
        <v>37</v>
      </c>
      <c r="F194">
        <v>1</v>
      </c>
      <c r="G194">
        <v>5</v>
      </c>
      <c r="H194">
        <v>2</v>
      </c>
      <c r="I194">
        <v>13</v>
      </c>
      <c r="K194" s="124">
        <v>45571</v>
      </c>
      <c r="L194">
        <v>280</v>
      </c>
      <c r="M194">
        <v>91</v>
      </c>
    </row>
    <row r="195" spans="1:13" x14ac:dyDescent="0.35">
      <c r="A195" t="s">
        <v>34</v>
      </c>
      <c r="D195" t="s">
        <v>37</v>
      </c>
      <c r="F195">
        <v>1</v>
      </c>
      <c r="G195">
        <v>5</v>
      </c>
      <c r="H195">
        <v>2</v>
      </c>
      <c r="I195">
        <v>13</v>
      </c>
      <c r="K195" s="124">
        <v>45576</v>
      </c>
      <c r="L195">
        <v>285</v>
      </c>
      <c r="M195">
        <v>89</v>
      </c>
    </row>
    <row r="196" spans="1:13" x14ac:dyDescent="0.35">
      <c r="A196" t="s">
        <v>34</v>
      </c>
      <c r="D196" t="s">
        <v>37</v>
      </c>
      <c r="F196">
        <v>1</v>
      </c>
      <c r="G196">
        <v>5</v>
      </c>
      <c r="H196">
        <v>2</v>
      </c>
      <c r="I196">
        <v>13</v>
      </c>
      <c r="K196" s="124">
        <v>45590</v>
      </c>
      <c r="L196">
        <v>299</v>
      </c>
      <c r="M196">
        <v>93</v>
      </c>
    </row>
    <row r="197" spans="1:13" x14ac:dyDescent="0.35">
      <c r="A197" t="s">
        <v>34</v>
      </c>
      <c r="D197" t="s">
        <v>343</v>
      </c>
      <c r="F197">
        <v>1</v>
      </c>
      <c r="G197">
        <v>6</v>
      </c>
      <c r="H197">
        <v>2</v>
      </c>
      <c r="I197">
        <v>14</v>
      </c>
      <c r="K197" s="124">
        <v>45421</v>
      </c>
      <c r="L197">
        <v>130</v>
      </c>
    </row>
    <row r="198" spans="1:13" x14ac:dyDescent="0.35">
      <c r="A198" t="s">
        <v>34</v>
      </c>
      <c r="D198" t="s">
        <v>343</v>
      </c>
      <c r="F198">
        <v>1</v>
      </c>
      <c r="G198">
        <v>6</v>
      </c>
      <c r="H198">
        <v>2</v>
      </c>
      <c r="I198">
        <v>14</v>
      </c>
      <c r="K198" s="124">
        <v>45442</v>
      </c>
      <c r="L198">
        <v>151</v>
      </c>
      <c r="M198">
        <v>7</v>
      </c>
    </row>
    <row r="199" spans="1:13" x14ac:dyDescent="0.35">
      <c r="A199" t="s">
        <v>34</v>
      </c>
      <c r="D199" t="s">
        <v>343</v>
      </c>
      <c r="F199">
        <v>1</v>
      </c>
      <c r="G199">
        <v>6</v>
      </c>
      <c r="H199">
        <v>2</v>
      </c>
      <c r="I199">
        <v>14</v>
      </c>
      <c r="K199" s="124">
        <v>45461</v>
      </c>
      <c r="L199">
        <v>170</v>
      </c>
      <c r="M199">
        <v>15</v>
      </c>
    </row>
    <row r="200" spans="1:13" x14ac:dyDescent="0.35">
      <c r="A200" t="s">
        <v>34</v>
      </c>
      <c r="D200" t="s">
        <v>343</v>
      </c>
      <c r="F200">
        <v>1</v>
      </c>
      <c r="G200">
        <v>6</v>
      </c>
      <c r="H200">
        <v>2</v>
      </c>
      <c r="I200">
        <v>14</v>
      </c>
      <c r="K200" s="124">
        <v>45477</v>
      </c>
      <c r="L200">
        <v>186</v>
      </c>
      <c r="M200">
        <v>17</v>
      </c>
    </row>
    <row r="201" spans="1:13" x14ac:dyDescent="0.35">
      <c r="A201" t="s">
        <v>34</v>
      </c>
      <c r="D201" t="s">
        <v>343</v>
      </c>
      <c r="F201">
        <v>1</v>
      </c>
      <c r="G201">
        <v>6</v>
      </c>
      <c r="H201">
        <v>2</v>
      </c>
      <c r="I201">
        <v>14</v>
      </c>
      <c r="K201" s="124">
        <v>45491</v>
      </c>
      <c r="L201">
        <v>200</v>
      </c>
      <c r="M201">
        <v>26</v>
      </c>
    </row>
    <row r="202" spans="1:13" x14ac:dyDescent="0.35">
      <c r="A202" t="s">
        <v>34</v>
      </c>
      <c r="D202" t="s">
        <v>343</v>
      </c>
      <c r="F202">
        <v>1</v>
      </c>
      <c r="G202">
        <v>6</v>
      </c>
      <c r="H202">
        <v>2</v>
      </c>
      <c r="I202">
        <v>14</v>
      </c>
      <c r="K202" s="124">
        <v>45510</v>
      </c>
      <c r="L202">
        <v>219</v>
      </c>
      <c r="M202">
        <v>38</v>
      </c>
    </row>
    <row r="203" spans="1:13" x14ac:dyDescent="0.35">
      <c r="A203" t="s">
        <v>34</v>
      </c>
      <c r="D203" t="s">
        <v>343</v>
      </c>
      <c r="F203">
        <v>1</v>
      </c>
      <c r="G203">
        <v>6</v>
      </c>
      <c r="H203">
        <v>2</v>
      </c>
      <c r="I203">
        <v>14</v>
      </c>
      <c r="K203" s="124">
        <v>45530</v>
      </c>
      <c r="L203">
        <v>239</v>
      </c>
      <c r="M203">
        <v>55</v>
      </c>
    </row>
    <row r="204" spans="1:13" x14ac:dyDescent="0.35">
      <c r="A204" t="s">
        <v>34</v>
      </c>
      <c r="D204" t="s">
        <v>343</v>
      </c>
      <c r="F204">
        <v>1</v>
      </c>
      <c r="G204">
        <v>6</v>
      </c>
      <c r="H204">
        <v>2</v>
      </c>
      <c r="I204">
        <v>14</v>
      </c>
      <c r="K204" s="124">
        <v>45538</v>
      </c>
      <c r="L204">
        <v>247</v>
      </c>
      <c r="M204">
        <v>62</v>
      </c>
    </row>
    <row r="205" spans="1:13" x14ac:dyDescent="0.35">
      <c r="A205" t="s">
        <v>34</v>
      </c>
      <c r="D205" t="s">
        <v>343</v>
      </c>
      <c r="F205">
        <v>1</v>
      </c>
      <c r="G205">
        <v>6</v>
      </c>
      <c r="H205">
        <v>2</v>
      </c>
      <c r="I205">
        <v>14</v>
      </c>
      <c r="K205" s="124">
        <v>45547</v>
      </c>
      <c r="L205">
        <v>256</v>
      </c>
      <c r="M205">
        <v>73</v>
      </c>
    </row>
    <row r="206" spans="1:13" x14ac:dyDescent="0.35">
      <c r="A206" t="s">
        <v>34</v>
      </c>
      <c r="D206" t="s">
        <v>343</v>
      </c>
      <c r="F206">
        <v>1</v>
      </c>
      <c r="G206">
        <v>6</v>
      </c>
      <c r="H206">
        <v>2</v>
      </c>
      <c r="I206">
        <v>14</v>
      </c>
      <c r="K206" s="124">
        <v>45553</v>
      </c>
      <c r="L206">
        <v>262</v>
      </c>
      <c r="M206">
        <v>77</v>
      </c>
    </row>
    <row r="207" spans="1:13" x14ac:dyDescent="0.35">
      <c r="A207" t="s">
        <v>34</v>
      </c>
      <c r="D207" t="s">
        <v>343</v>
      </c>
      <c r="F207">
        <v>1</v>
      </c>
      <c r="G207">
        <v>6</v>
      </c>
      <c r="H207">
        <v>2</v>
      </c>
      <c r="I207">
        <v>14</v>
      </c>
      <c r="K207" s="124">
        <v>45558</v>
      </c>
      <c r="L207">
        <v>267</v>
      </c>
      <c r="M207">
        <v>83</v>
      </c>
    </row>
    <row r="208" spans="1:13" x14ac:dyDescent="0.35">
      <c r="A208" t="s">
        <v>34</v>
      </c>
      <c r="D208" t="s">
        <v>343</v>
      </c>
      <c r="F208">
        <v>1</v>
      </c>
      <c r="G208">
        <v>6</v>
      </c>
      <c r="H208">
        <v>2</v>
      </c>
      <c r="I208">
        <v>14</v>
      </c>
      <c r="K208" s="124">
        <v>45562</v>
      </c>
      <c r="L208">
        <v>271</v>
      </c>
      <c r="M208">
        <v>85</v>
      </c>
    </row>
    <row r="209" spans="1:13" x14ac:dyDescent="0.35">
      <c r="A209" t="s">
        <v>34</v>
      </c>
      <c r="D209" t="s">
        <v>343</v>
      </c>
      <c r="F209">
        <v>1</v>
      </c>
      <c r="G209">
        <v>6</v>
      </c>
      <c r="H209">
        <v>2</v>
      </c>
      <c r="I209">
        <v>14</v>
      </c>
      <c r="K209" s="124">
        <v>45571</v>
      </c>
      <c r="L209">
        <v>280</v>
      </c>
      <c r="M209">
        <v>98</v>
      </c>
    </row>
    <row r="210" spans="1:13" x14ac:dyDescent="0.35">
      <c r="A210" t="s">
        <v>34</v>
      </c>
      <c r="D210" t="s">
        <v>343</v>
      </c>
      <c r="F210">
        <v>1</v>
      </c>
      <c r="G210">
        <v>6</v>
      </c>
      <c r="H210">
        <v>2</v>
      </c>
      <c r="I210">
        <v>14</v>
      </c>
      <c r="K210" s="124">
        <v>45576</v>
      </c>
      <c r="L210">
        <v>285</v>
      </c>
      <c r="M210">
        <v>105</v>
      </c>
    </row>
    <row r="211" spans="1:13" x14ac:dyDescent="0.35">
      <c r="A211" t="s">
        <v>34</v>
      </c>
      <c r="D211" t="s">
        <v>343</v>
      </c>
      <c r="F211">
        <v>1</v>
      </c>
      <c r="G211">
        <v>6</v>
      </c>
      <c r="H211">
        <v>2</v>
      </c>
      <c r="I211">
        <v>14</v>
      </c>
      <c r="K211" s="124">
        <v>45590</v>
      </c>
      <c r="L211">
        <v>299</v>
      </c>
      <c r="M211">
        <v>105</v>
      </c>
    </row>
    <row r="212" spans="1:13" x14ac:dyDescent="0.35">
      <c r="A212" t="s">
        <v>34</v>
      </c>
      <c r="D212" t="s">
        <v>36</v>
      </c>
      <c r="F212">
        <v>1</v>
      </c>
      <c r="G212">
        <v>7</v>
      </c>
      <c r="H212">
        <v>2</v>
      </c>
      <c r="I212">
        <v>15</v>
      </c>
      <c r="K212" s="124">
        <v>45421</v>
      </c>
      <c r="L212">
        <v>130</v>
      </c>
    </row>
    <row r="213" spans="1:13" x14ac:dyDescent="0.35">
      <c r="A213" t="s">
        <v>34</v>
      </c>
      <c r="D213" t="s">
        <v>36</v>
      </c>
      <c r="F213">
        <v>1</v>
      </c>
      <c r="G213">
        <v>7</v>
      </c>
      <c r="H213">
        <v>2</v>
      </c>
      <c r="I213">
        <v>15</v>
      </c>
      <c r="K213" s="124">
        <v>45442</v>
      </c>
      <c r="L213">
        <v>151</v>
      </c>
      <c r="M213">
        <v>7</v>
      </c>
    </row>
    <row r="214" spans="1:13" x14ac:dyDescent="0.35">
      <c r="A214" t="s">
        <v>34</v>
      </c>
      <c r="D214" t="s">
        <v>36</v>
      </c>
      <c r="F214">
        <v>1</v>
      </c>
      <c r="G214">
        <v>7</v>
      </c>
      <c r="H214">
        <v>2</v>
      </c>
      <c r="I214">
        <v>15</v>
      </c>
      <c r="K214" s="124">
        <v>45461</v>
      </c>
      <c r="L214">
        <v>170</v>
      </c>
      <c r="M214">
        <v>10</v>
      </c>
    </row>
    <row r="215" spans="1:13" x14ac:dyDescent="0.35">
      <c r="A215" t="s">
        <v>34</v>
      </c>
      <c r="D215" t="s">
        <v>36</v>
      </c>
      <c r="F215">
        <v>1</v>
      </c>
      <c r="G215">
        <v>7</v>
      </c>
      <c r="H215">
        <v>2</v>
      </c>
      <c r="I215">
        <v>15</v>
      </c>
      <c r="K215" s="124">
        <v>45477</v>
      </c>
      <c r="L215">
        <v>186</v>
      </c>
      <c r="M215">
        <v>16</v>
      </c>
    </row>
    <row r="216" spans="1:13" x14ac:dyDescent="0.35">
      <c r="A216" t="s">
        <v>34</v>
      </c>
      <c r="D216" t="s">
        <v>36</v>
      </c>
      <c r="F216">
        <v>1</v>
      </c>
      <c r="G216">
        <v>7</v>
      </c>
      <c r="H216">
        <v>2</v>
      </c>
      <c r="I216">
        <v>15</v>
      </c>
      <c r="K216" s="124">
        <v>45491</v>
      </c>
      <c r="L216">
        <v>200</v>
      </c>
      <c r="M216">
        <v>25</v>
      </c>
    </row>
    <row r="217" spans="1:13" x14ac:dyDescent="0.35">
      <c r="A217" t="s">
        <v>34</v>
      </c>
      <c r="D217" t="s">
        <v>36</v>
      </c>
      <c r="F217">
        <v>1</v>
      </c>
      <c r="G217">
        <v>7</v>
      </c>
      <c r="H217">
        <v>2</v>
      </c>
      <c r="I217">
        <v>15</v>
      </c>
      <c r="K217" s="124">
        <v>45510</v>
      </c>
      <c r="L217">
        <v>219</v>
      </c>
      <c r="M217">
        <v>37</v>
      </c>
    </row>
    <row r="218" spans="1:13" x14ac:dyDescent="0.35">
      <c r="A218" t="s">
        <v>34</v>
      </c>
      <c r="D218" t="s">
        <v>36</v>
      </c>
      <c r="F218">
        <v>1</v>
      </c>
      <c r="G218">
        <v>7</v>
      </c>
      <c r="H218">
        <v>2</v>
      </c>
      <c r="I218">
        <v>15</v>
      </c>
      <c r="K218" s="124">
        <v>45530</v>
      </c>
      <c r="L218">
        <v>239</v>
      </c>
      <c r="M218">
        <v>51</v>
      </c>
    </row>
    <row r="219" spans="1:13" x14ac:dyDescent="0.35">
      <c r="A219" t="s">
        <v>34</v>
      </c>
      <c r="D219" t="s">
        <v>36</v>
      </c>
      <c r="F219">
        <v>1</v>
      </c>
      <c r="G219">
        <v>7</v>
      </c>
      <c r="H219">
        <v>2</v>
      </c>
      <c r="I219">
        <v>15</v>
      </c>
      <c r="K219" s="124">
        <v>45538</v>
      </c>
      <c r="L219">
        <v>247</v>
      </c>
      <c r="M219">
        <v>54</v>
      </c>
    </row>
    <row r="220" spans="1:13" x14ac:dyDescent="0.35">
      <c r="A220" t="s">
        <v>34</v>
      </c>
      <c r="D220" t="s">
        <v>36</v>
      </c>
      <c r="F220">
        <v>1</v>
      </c>
      <c r="G220">
        <v>7</v>
      </c>
      <c r="H220">
        <v>2</v>
      </c>
      <c r="I220">
        <v>15</v>
      </c>
      <c r="K220" s="124">
        <v>45547</v>
      </c>
      <c r="L220">
        <v>256</v>
      </c>
      <c r="M220">
        <v>65</v>
      </c>
    </row>
    <row r="221" spans="1:13" x14ac:dyDescent="0.35">
      <c r="A221" t="s">
        <v>34</v>
      </c>
      <c r="D221" t="s">
        <v>36</v>
      </c>
      <c r="F221">
        <v>1</v>
      </c>
      <c r="G221">
        <v>7</v>
      </c>
      <c r="H221">
        <v>2</v>
      </c>
      <c r="I221">
        <v>15</v>
      </c>
      <c r="K221" s="124">
        <v>45553</v>
      </c>
      <c r="L221">
        <v>262</v>
      </c>
      <c r="M221">
        <v>68</v>
      </c>
    </row>
    <row r="222" spans="1:13" x14ac:dyDescent="0.35">
      <c r="A222" t="s">
        <v>34</v>
      </c>
      <c r="D222" t="s">
        <v>36</v>
      </c>
      <c r="F222">
        <v>1</v>
      </c>
      <c r="G222">
        <v>7</v>
      </c>
      <c r="H222">
        <v>2</v>
      </c>
      <c r="I222">
        <v>15</v>
      </c>
      <c r="K222" s="124">
        <v>45558</v>
      </c>
      <c r="L222">
        <v>267</v>
      </c>
      <c r="M222">
        <v>70</v>
      </c>
    </row>
    <row r="223" spans="1:13" x14ac:dyDescent="0.35">
      <c r="A223" t="s">
        <v>34</v>
      </c>
      <c r="D223" t="s">
        <v>36</v>
      </c>
      <c r="F223">
        <v>1</v>
      </c>
      <c r="G223">
        <v>7</v>
      </c>
      <c r="H223">
        <v>2</v>
      </c>
      <c r="I223">
        <v>15</v>
      </c>
      <c r="K223" s="124">
        <v>45562</v>
      </c>
      <c r="L223">
        <v>271</v>
      </c>
      <c r="M223">
        <v>75</v>
      </c>
    </row>
    <row r="224" spans="1:13" x14ac:dyDescent="0.35">
      <c r="A224" t="s">
        <v>34</v>
      </c>
      <c r="D224" t="s">
        <v>36</v>
      </c>
      <c r="F224">
        <v>1</v>
      </c>
      <c r="G224">
        <v>7</v>
      </c>
      <c r="H224">
        <v>2</v>
      </c>
      <c r="I224">
        <v>15</v>
      </c>
      <c r="K224" s="124">
        <v>45571</v>
      </c>
      <c r="L224">
        <v>280</v>
      </c>
      <c r="M224">
        <v>90</v>
      </c>
    </row>
    <row r="225" spans="1:13" x14ac:dyDescent="0.35">
      <c r="A225" t="s">
        <v>34</v>
      </c>
      <c r="D225" t="s">
        <v>36</v>
      </c>
      <c r="F225">
        <v>1</v>
      </c>
      <c r="G225">
        <v>7</v>
      </c>
      <c r="H225">
        <v>2</v>
      </c>
      <c r="I225">
        <v>15</v>
      </c>
      <c r="K225" s="124">
        <v>45576</v>
      </c>
      <c r="L225">
        <v>285</v>
      </c>
      <c r="M225">
        <v>93</v>
      </c>
    </row>
    <row r="226" spans="1:13" x14ac:dyDescent="0.35">
      <c r="A226" t="s">
        <v>34</v>
      </c>
      <c r="D226" t="s">
        <v>36</v>
      </c>
      <c r="F226">
        <v>1</v>
      </c>
      <c r="G226">
        <v>7</v>
      </c>
      <c r="H226">
        <v>2</v>
      </c>
      <c r="I226">
        <v>15</v>
      </c>
      <c r="K226" s="124">
        <v>45590</v>
      </c>
      <c r="L226">
        <v>299</v>
      </c>
      <c r="M226">
        <v>92</v>
      </c>
    </row>
    <row r="227" spans="1:13" x14ac:dyDescent="0.35">
      <c r="A227" t="s">
        <v>34</v>
      </c>
      <c r="D227" t="s">
        <v>39</v>
      </c>
      <c r="F227">
        <v>1</v>
      </c>
      <c r="G227">
        <v>8</v>
      </c>
      <c r="H227">
        <v>2</v>
      </c>
      <c r="I227">
        <v>16</v>
      </c>
      <c r="K227" s="124">
        <v>45421</v>
      </c>
      <c r="L227">
        <v>130</v>
      </c>
    </row>
    <row r="228" spans="1:13" x14ac:dyDescent="0.35">
      <c r="A228" t="s">
        <v>34</v>
      </c>
      <c r="D228" t="s">
        <v>39</v>
      </c>
      <c r="F228">
        <v>1</v>
      </c>
      <c r="G228">
        <v>8</v>
      </c>
      <c r="H228">
        <v>2</v>
      </c>
      <c r="I228">
        <v>16</v>
      </c>
      <c r="K228" s="124">
        <v>45442</v>
      </c>
      <c r="L228">
        <v>151</v>
      </c>
      <c r="M228">
        <v>6</v>
      </c>
    </row>
    <row r="229" spans="1:13" x14ac:dyDescent="0.35">
      <c r="A229" t="s">
        <v>34</v>
      </c>
      <c r="D229" t="s">
        <v>39</v>
      </c>
      <c r="F229">
        <v>1</v>
      </c>
      <c r="G229">
        <v>8</v>
      </c>
      <c r="H229">
        <v>2</v>
      </c>
      <c r="I229">
        <v>16</v>
      </c>
      <c r="K229" s="124">
        <v>45461</v>
      </c>
      <c r="L229">
        <v>170</v>
      </c>
      <c r="M229">
        <v>12</v>
      </c>
    </row>
    <row r="230" spans="1:13" x14ac:dyDescent="0.35">
      <c r="A230" t="s">
        <v>34</v>
      </c>
      <c r="D230" t="s">
        <v>39</v>
      </c>
      <c r="F230">
        <v>1</v>
      </c>
      <c r="G230">
        <v>8</v>
      </c>
      <c r="H230">
        <v>2</v>
      </c>
      <c r="I230">
        <v>16</v>
      </c>
      <c r="K230" s="124">
        <v>45477</v>
      </c>
      <c r="L230">
        <v>186</v>
      </c>
      <c r="M230">
        <v>14</v>
      </c>
    </row>
    <row r="231" spans="1:13" x14ac:dyDescent="0.35">
      <c r="A231" t="s">
        <v>34</v>
      </c>
      <c r="D231" t="s">
        <v>39</v>
      </c>
      <c r="F231">
        <v>1</v>
      </c>
      <c r="G231">
        <v>8</v>
      </c>
      <c r="H231">
        <v>2</v>
      </c>
      <c r="I231">
        <v>16</v>
      </c>
      <c r="K231" s="124">
        <v>45491</v>
      </c>
      <c r="L231">
        <v>200</v>
      </c>
      <c r="M231">
        <v>23</v>
      </c>
    </row>
    <row r="232" spans="1:13" x14ac:dyDescent="0.35">
      <c r="A232" t="s">
        <v>34</v>
      </c>
      <c r="D232" t="s">
        <v>39</v>
      </c>
      <c r="F232">
        <v>1</v>
      </c>
      <c r="G232">
        <v>8</v>
      </c>
      <c r="H232">
        <v>2</v>
      </c>
      <c r="I232">
        <v>16</v>
      </c>
      <c r="K232" s="124">
        <v>45510</v>
      </c>
      <c r="L232">
        <v>219</v>
      </c>
      <c r="M232">
        <v>32</v>
      </c>
    </row>
    <row r="233" spans="1:13" x14ac:dyDescent="0.35">
      <c r="A233" t="s">
        <v>34</v>
      </c>
      <c r="D233" t="s">
        <v>39</v>
      </c>
      <c r="F233">
        <v>1</v>
      </c>
      <c r="G233">
        <v>8</v>
      </c>
      <c r="H233">
        <v>2</v>
      </c>
      <c r="I233">
        <v>16</v>
      </c>
      <c r="K233" s="124">
        <v>45530</v>
      </c>
      <c r="L233">
        <v>239</v>
      </c>
      <c r="M233">
        <v>49</v>
      </c>
    </row>
    <row r="234" spans="1:13" x14ac:dyDescent="0.35">
      <c r="A234" t="s">
        <v>34</v>
      </c>
      <c r="D234" t="s">
        <v>39</v>
      </c>
      <c r="F234">
        <v>1</v>
      </c>
      <c r="G234">
        <v>8</v>
      </c>
      <c r="H234">
        <v>2</v>
      </c>
      <c r="I234">
        <v>16</v>
      </c>
      <c r="K234" s="124">
        <v>45538</v>
      </c>
      <c r="L234">
        <v>247</v>
      </c>
      <c r="M234">
        <v>55</v>
      </c>
    </row>
    <row r="235" spans="1:13" x14ac:dyDescent="0.35">
      <c r="A235" t="s">
        <v>34</v>
      </c>
      <c r="D235" t="s">
        <v>39</v>
      </c>
      <c r="F235">
        <v>1</v>
      </c>
      <c r="G235">
        <v>8</v>
      </c>
      <c r="H235">
        <v>2</v>
      </c>
      <c r="I235">
        <v>16</v>
      </c>
      <c r="K235" s="124">
        <v>45547</v>
      </c>
      <c r="L235">
        <v>256</v>
      </c>
      <c r="M235">
        <v>62</v>
      </c>
    </row>
    <row r="236" spans="1:13" x14ac:dyDescent="0.35">
      <c r="A236" t="s">
        <v>34</v>
      </c>
      <c r="D236" t="s">
        <v>39</v>
      </c>
      <c r="F236">
        <v>1</v>
      </c>
      <c r="G236">
        <v>8</v>
      </c>
      <c r="H236">
        <v>2</v>
      </c>
      <c r="I236">
        <v>16</v>
      </c>
      <c r="K236" s="124">
        <v>45553</v>
      </c>
      <c r="L236">
        <v>262</v>
      </c>
      <c r="M236">
        <v>69</v>
      </c>
    </row>
    <row r="237" spans="1:13" x14ac:dyDescent="0.35">
      <c r="A237" t="s">
        <v>34</v>
      </c>
      <c r="D237" t="s">
        <v>39</v>
      </c>
      <c r="F237">
        <v>1</v>
      </c>
      <c r="G237">
        <v>8</v>
      </c>
      <c r="H237">
        <v>2</v>
      </c>
      <c r="I237">
        <v>16</v>
      </c>
      <c r="K237" s="124">
        <v>45558</v>
      </c>
      <c r="L237">
        <v>267</v>
      </c>
      <c r="M237">
        <v>69</v>
      </c>
    </row>
    <row r="238" spans="1:13" x14ac:dyDescent="0.35">
      <c r="A238" t="s">
        <v>34</v>
      </c>
      <c r="D238" t="s">
        <v>39</v>
      </c>
      <c r="F238">
        <v>1</v>
      </c>
      <c r="G238">
        <v>8</v>
      </c>
      <c r="H238">
        <v>2</v>
      </c>
      <c r="I238">
        <v>16</v>
      </c>
      <c r="K238" s="124">
        <v>45562</v>
      </c>
      <c r="L238">
        <v>271</v>
      </c>
      <c r="M238">
        <v>69</v>
      </c>
    </row>
    <row r="239" spans="1:13" x14ac:dyDescent="0.35">
      <c r="A239" t="s">
        <v>34</v>
      </c>
      <c r="D239" t="s">
        <v>39</v>
      </c>
      <c r="F239">
        <v>1</v>
      </c>
      <c r="G239">
        <v>8</v>
      </c>
      <c r="H239">
        <v>2</v>
      </c>
      <c r="I239">
        <v>16</v>
      </c>
      <c r="K239" s="124">
        <v>45571</v>
      </c>
      <c r="L239">
        <v>280</v>
      </c>
      <c r="M239">
        <v>81</v>
      </c>
    </row>
    <row r="240" spans="1:13" x14ac:dyDescent="0.35">
      <c r="A240" t="s">
        <v>34</v>
      </c>
      <c r="D240" t="s">
        <v>39</v>
      </c>
      <c r="F240">
        <v>1</v>
      </c>
      <c r="G240">
        <v>8</v>
      </c>
      <c r="H240">
        <v>2</v>
      </c>
      <c r="I240">
        <v>16</v>
      </c>
      <c r="K240" s="124">
        <v>45576</v>
      </c>
      <c r="L240">
        <v>285</v>
      </c>
      <c r="M240">
        <v>80</v>
      </c>
    </row>
    <row r="241" spans="1:13" x14ac:dyDescent="0.35">
      <c r="A241" t="s">
        <v>34</v>
      </c>
      <c r="D241" t="s">
        <v>39</v>
      </c>
      <c r="F241">
        <v>1</v>
      </c>
      <c r="G241">
        <v>8</v>
      </c>
      <c r="H241">
        <v>2</v>
      </c>
      <c r="I241">
        <v>16</v>
      </c>
      <c r="K241" s="124">
        <v>45590</v>
      </c>
      <c r="L241">
        <v>299</v>
      </c>
      <c r="M241">
        <v>79</v>
      </c>
    </row>
    <row r="242" spans="1:13" x14ac:dyDescent="0.35">
      <c r="A242" t="s">
        <v>24</v>
      </c>
      <c r="D242" t="s">
        <v>335</v>
      </c>
      <c r="F242">
        <v>2</v>
      </c>
      <c r="G242">
        <v>1</v>
      </c>
      <c r="H242">
        <v>3</v>
      </c>
      <c r="I242">
        <v>17</v>
      </c>
      <c r="K242" s="124">
        <v>45421</v>
      </c>
      <c r="L242">
        <v>130</v>
      </c>
      <c r="M242">
        <v>16</v>
      </c>
    </row>
    <row r="243" spans="1:13" x14ac:dyDescent="0.35">
      <c r="A243" t="s">
        <v>24</v>
      </c>
      <c r="D243" t="s">
        <v>335</v>
      </c>
      <c r="F243">
        <v>2</v>
      </c>
      <c r="G243">
        <v>1</v>
      </c>
      <c r="H243">
        <v>3</v>
      </c>
      <c r="I243">
        <v>17</v>
      </c>
      <c r="K243" s="124">
        <v>45442</v>
      </c>
      <c r="L243">
        <v>151</v>
      </c>
      <c r="M243">
        <v>17</v>
      </c>
    </row>
    <row r="244" spans="1:13" x14ac:dyDescent="0.35">
      <c r="A244" t="s">
        <v>24</v>
      </c>
      <c r="D244" t="s">
        <v>335</v>
      </c>
      <c r="F244">
        <v>2</v>
      </c>
      <c r="G244">
        <v>1</v>
      </c>
      <c r="H244">
        <v>3</v>
      </c>
      <c r="I244">
        <v>17</v>
      </c>
      <c r="K244" s="124">
        <v>45461</v>
      </c>
      <c r="L244">
        <v>170</v>
      </c>
      <c r="M244">
        <v>26</v>
      </c>
    </row>
    <row r="245" spans="1:13" x14ac:dyDescent="0.35">
      <c r="A245" t="s">
        <v>24</v>
      </c>
      <c r="D245" t="s">
        <v>335</v>
      </c>
      <c r="F245">
        <v>2</v>
      </c>
      <c r="G245">
        <v>1</v>
      </c>
      <c r="H245">
        <v>3</v>
      </c>
      <c r="I245">
        <v>17</v>
      </c>
      <c r="K245" s="124">
        <v>45477</v>
      </c>
      <c r="L245">
        <v>186</v>
      </c>
      <c r="M245">
        <v>33</v>
      </c>
    </row>
    <row r="246" spans="1:13" x14ac:dyDescent="0.35">
      <c r="A246" t="s">
        <v>24</v>
      </c>
      <c r="D246" t="s">
        <v>335</v>
      </c>
      <c r="F246">
        <v>2</v>
      </c>
      <c r="G246">
        <v>1</v>
      </c>
      <c r="H246">
        <v>3</v>
      </c>
      <c r="I246">
        <v>17</v>
      </c>
      <c r="K246" s="124">
        <v>45491</v>
      </c>
      <c r="L246">
        <v>200</v>
      </c>
      <c r="M246">
        <v>38</v>
      </c>
    </row>
    <row r="247" spans="1:13" x14ac:dyDescent="0.35">
      <c r="A247" t="s">
        <v>24</v>
      </c>
      <c r="D247" t="s">
        <v>335</v>
      </c>
      <c r="F247">
        <v>2</v>
      </c>
      <c r="G247">
        <v>1</v>
      </c>
      <c r="H247">
        <v>3</v>
      </c>
      <c r="I247">
        <v>17</v>
      </c>
      <c r="K247" s="124">
        <v>45510</v>
      </c>
      <c r="L247">
        <v>219</v>
      </c>
      <c r="M247">
        <v>44</v>
      </c>
    </row>
    <row r="248" spans="1:13" x14ac:dyDescent="0.35">
      <c r="A248" t="s">
        <v>24</v>
      </c>
      <c r="D248" t="s">
        <v>335</v>
      </c>
      <c r="F248">
        <v>2</v>
      </c>
      <c r="G248">
        <v>1</v>
      </c>
      <c r="H248">
        <v>3</v>
      </c>
      <c r="I248">
        <v>17</v>
      </c>
      <c r="K248" s="124">
        <v>45530</v>
      </c>
      <c r="L248">
        <v>239</v>
      </c>
      <c r="M248">
        <v>60</v>
      </c>
    </row>
    <row r="249" spans="1:13" x14ac:dyDescent="0.35">
      <c r="A249" t="s">
        <v>24</v>
      </c>
      <c r="D249" t="s">
        <v>335</v>
      </c>
      <c r="F249">
        <v>2</v>
      </c>
      <c r="G249">
        <v>1</v>
      </c>
      <c r="H249">
        <v>3</v>
      </c>
      <c r="I249">
        <v>17</v>
      </c>
      <c r="K249" s="124">
        <v>45538</v>
      </c>
      <c r="L249">
        <v>247</v>
      </c>
      <c r="M249">
        <v>67</v>
      </c>
    </row>
    <row r="250" spans="1:13" x14ac:dyDescent="0.35">
      <c r="A250" t="s">
        <v>24</v>
      </c>
      <c r="D250" t="s">
        <v>335</v>
      </c>
      <c r="F250">
        <v>2</v>
      </c>
      <c r="G250">
        <v>1</v>
      </c>
      <c r="H250">
        <v>3</v>
      </c>
      <c r="I250">
        <v>17</v>
      </c>
      <c r="K250" s="124">
        <v>45547</v>
      </c>
      <c r="L250">
        <v>256</v>
      </c>
      <c r="M250">
        <v>71</v>
      </c>
    </row>
    <row r="251" spans="1:13" x14ac:dyDescent="0.35">
      <c r="A251" t="s">
        <v>24</v>
      </c>
      <c r="D251" t="s">
        <v>335</v>
      </c>
      <c r="F251">
        <v>2</v>
      </c>
      <c r="G251">
        <v>1</v>
      </c>
      <c r="H251">
        <v>3</v>
      </c>
      <c r="I251">
        <v>17</v>
      </c>
      <c r="K251" s="124">
        <v>45553</v>
      </c>
      <c r="L251">
        <v>262</v>
      </c>
      <c r="M251">
        <v>74</v>
      </c>
    </row>
    <row r="252" spans="1:13" x14ac:dyDescent="0.35">
      <c r="A252" t="s">
        <v>24</v>
      </c>
      <c r="D252" t="s">
        <v>335</v>
      </c>
      <c r="F252">
        <v>2</v>
      </c>
      <c r="G252">
        <v>1</v>
      </c>
      <c r="H252">
        <v>3</v>
      </c>
      <c r="I252">
        <v>17</v>
      </c>
      <c r="K252" s="124">
        <v>45558</v>
      </c>
      <c r="L252">
        <v>267</v>
      </c>
      <c r="M252">
        <v>79</v>
      </c>
    </row>
    <row r="253" spans="1:13" x14ac:dyDescent="0.35">
      <c r="A253" t="s">
        <v>24</v>
      </c>
      <c r="D253" t="s">
        <v>335</v>
      </c>
      <c r="F253">
        <v>2</v>
      </c>
      <c r="G253">
        <v>1</v>
      </c>
      <c r="H253">
        <v>3</v>
      </c>
      <c r="I253">
        <v>17</v>
      </c>
      <c r="K253" s="124">
        <v>45562</v>
      </c>
      <c r="L253">
        <v>271</v>
      </c>
      <c r="M253">
        <v>85</v>
      </c>
    </row>
    <row r="254" spans="1:13" x14ac:dyDescent="0.35">
      <c r="A254" t="s">
        <v>24</v>
      </c>
      <c r="D254" t="s">
        <v>335</v>
      </c>
      <c r="F254">
        <v>2</v>
      </c>
      <c r="G254">
        <v>1</v>
      </c>
      <c r="H254">
        <v>3</v>
      </c>
      <c r="I254">
        <v>17</v>
      </c>
      <c r="K254" s="124">
        <v>45571</v>
      </c>
      <c r="L254">
        <v>280</v>
      </c>
      <c r="M254">
        <v>95</v>
      </c>
    </row>
    <row r="255" spans="1:13" x14ac:dyDescent="0.35">
      <c r="A255" t="s">
        <v>24</v>
      </c>
      <c r="D255" t="s">
        <v>335</v>
      </c>
      <c r="F255">
        <v>2</v>
      </c>
      <c r="G255">
        <v>1</v>
      </c>
      <c r="H255">
        <v>3</v>
      </c>
      <c r="I255">
        <v>17</v>
      </c>
      <c r="K255" s="124">
        <v>45576</v>
      </c>
      <c r="L255">
        <v>285</v>
      </c>
      <c r="M255">
        <v>95</v>
      </c>
    </row>
    <row r="256" spans="1:13" x14ac:dyDescent="0.35">
      <c r="A256" t="s">
        <v>24</v>
      </c>
      <c r="D256" t="s">
        <v>335</v>
      </c>
      <c r="F256">
        <v>2</v>
      </c>
      <c r="G256">
        <v>1</v>
      </c>
      <c r="H256">
        <v>3</v>
      </c>
      <c r="I256">
        <v>17</v>
      </c>
      <c r="K256" s="124">
        <v>45590</v>
      </c>
      <c r="L256">
        <v>299</v>
      </c>
      <c r="M256">
        <v>97</v>
      </c>
    </row>
    <row r="257" spans="1:13" x14ac:dyDescent="0.35">
      <c r="A257" t="s">
        <v>24</v>
      </c>
      <c r="D257" t="s">
        <v>28</v>
      </c>
      <c r="F257">
        <v>2</v>
      </c>
      <c r="G257">
        <v>2</v>
      </c>
      <c r="H257">
        <v>3</v>
      </c>
      <c r="I257">
        <v>18</v>
      </c>
      <c r="K257" s="124">
        <v>45421</v>
      </c>
      <c r="L257">
        <v>130</v>
      </c>
      <c r="M257">
        <v>13</v>
      </c>
    </row>
    <row r="258" spans="1:13" x14ac:dyDescent="0.35">
      <c r="A258" t="s">
        <v>24</v>
      </c>
      <c r="D258" t="s">
        <v>28</v>
      </c>
      <c r="F258">
        <v>2</v>
      </c>
      <c r="G258">
        <v>2</v>
      </c>
      <c r="H258">
        <v>3</v>
      </c>
      <c r="I258">
        <v>18</v>
      </c>
      <c r="K258" s="124">
        <v>45442</v>
      </c>
      <c r="L258">
        <v>151</v>
      </c>
      <c r="M258">
        <v>19</v>
      </c>
    </row>
    <row r="259" spans="1:13" x14ac:dyDescent="0.35">
      <c r="A259" t="s">
        <v>24</v>
      </c>
      <c r="D259" t="s">
        <v>28</v>
      </c>
      <c r="F259">
        <v>2</v>
      </c>
      <c r="G259">
        <v>2</v>
      </c>
      <c r="H259">
        <v>3</v>
      </c>
      <c r="I259">
        <v>18</v>
      </c>
      <c r="K259" s="124">
        <v>45461</v>
      </c>
      <c r="L259">
        <v>170</v>
      </c>
      <c r="M259">
        <v>30</v>
      </c>
    </row>
    <row r="260" spans="1:13" x14ac:dyDescent="0.35">
      <c r="A260" t="s">
        <v>24</v>
      </c>
      <c r="D260" t="s">
        <v>28</v>
      </c>
      <c r="F260">
        <v>2</v>
      </c>
      <c r="G260">
        <v>2</v>
      </c>
      <c r="H260">
        <v>3</v>
      </c>
      <c r="I260">
        <v>18</v>
      </c>
      <c r="K260" s="124">
        <v>45477</v>
      </c>
      <c r="L260">
        <v>186</v>
      </c>
      <c r="M260">
        <v>36</v>
      </c>
    </row>
    <row r="261" spans="1:13" x14ac:dyDescent="0.35">
      <c r="A261" t="s">
        <v>24</v>
      </c>
      <c r="D261" t="s">
        <v>28</v>
      </c>
      <c r="F261">
        <v>2</v>
      </c>
      <c r="G261">
        <v>2</v>
      </c>
      <c r="H261">
        <v>3</v>
      </c>
      <c r="I261">
        <v>18</v>
      </c>
      <c r="K261" s="124">
        <v>45491</v>
      </c>
      <c r="L261">
        <v>200</v>
      </c>
      <c r="M261">
        <v>42</v>
      </c>
    </row>
    <row r="262" spans="1:13" x14ac:dyDescent="0.35">
      <c r="A262" t="s">
        <v>24</v>
      </c>
      <c r="D262" t="s">
        <v>28</v>
      </c>
      <c r="F262">
        <v>2</v>
      </c>
      <c r="G262">
        <v>2</v>
      </c>
      <c r="H262">
        <v>3</v>
      </c>
      <c r="I262">
        <v>18</v>
      </c>
      <c r="K262" s="124">
        <v>45510</v>
      </c>
      <c r="L262">
        <v>219</v>
      </c>
      <c r="M262">
        <v>46</v>
      </c>
    </row>
    <row r="263" spans="1:13" x14ac:dyDescent="0.35">
      <c r="A263" t="s">
        <v>24</v>
      </c>
      <c r="D263" t="s">
        <v>28</v>
      </c>
      <c r="F263">
        <v>2</v>
      </c>
      <c r="G263">
        <v>2</v>
      </c>
      <c r="H263">
        <v>3</v>
      </c>
      <c r="I263">
        <v>18</v>
      </c>
      <c r="K263" s="124">
        <v>45530</v>
      </c>
      <c r="L263">
        <v>239</v>
      </c>
      <c r="M263">
        <v>60</v>
      </c>
    </row>
    <row r="264" spans="1:13" x14ac:dyDescent="0.35">
      <c r="A264" t="s">
        <v>24</v>
      </c>
      <c r="D264" t="s">
        <v>28</v>
      </c>
      <c r="F264">
        <v>2</v>
      </c>
      <c r="G264">
        <v>2</v>
      </c>
      <c r="H264">
        <v>3</v>
      </c>
      <c r="I264">
        <v>18</v>
      </c>
      <c r="K264" s="124">
        <v>45538</v>
      </c>
      <c r="L264">
        <v>247</v>
      </c>
      <c r="M264">
        <v>65</v>
      </c>
    </row>
    <row r="265" spans="1:13" x14ac:dyDescent="0.35">
      <c r="A265" t="s">
        <v>24</v>
      </c>
      <c r="D265" t="s">
        <v>28</v>
      </c>
      <c r="F265">
        <v>2</v>
      </c>
      <c r="G265">
        <v>2</v>
      </c>
      <c r="H265">
        <v>3</v>
      </c>
      <c r="I265">
        <v>18</v>
      </c>
      <c r="K265" s="124">
        <v>45547</v>
      </c>
      <c r="L265">
        <v>256</v>
      </c>
      <c r="M265">
        <v>70</v>
      </c>
    </row>
    <row r="266" spans="1:13" x14ac:dyDescent="0.35">
      <c r="A266" t="s">
        <v>24</v>
      </c>
      <c r="D266" t="s">
        <v>28</v>
      </c>
      <c r="F266">
        <v>2</v>
      </c>
      <c r="G266">
        <v>2</v>
      </c>
      <c r="H266">
        <v>3</v>
      </c>
      <c r="I266">
        <v>18</v>
      </c>
      <c r="K266" s="124">
        <v>45553</v>
      </c>
      <c r="L266">
        <v>262</v>
      </c>
      <c r="M266">
        <v>74</v>
      </c>
    </row>
    <row r="267" spans="1:13" x14ac:dyDescent="0.35">
      <c r="A267" t="s">
        <v>24</v>
      </c>
      <c r="D267" t="s">
        <v>28</v>
      </c>
      <c r="F267">
        <v>2</v>
      </c>
      <c r="G267">
        <v>2</v>
      </c>
      <c r="H267">
        <v>3</v>
      </c>
      <c r="I267">
        <v>18</v>
      </c>
      <c r="K267" s="124">
        <v>45558</v>
      </c>
      <c r="L267">
        <v>267</v>
      </c>
      <c r="M267">
        <v>75</v>
      </c>
    </row>
    <row r="268" spans="1:13" x14ac:dyDescent="0.35">
      <c r="A268" t="s">
        <v>24</v>
      </c>
      <c r="D268" t="s">
        <v>28</v>
      </c>
      <c r="F268">
        <v>2</v>
      </c>
      <c r="G268">
        <v>2</v>
      </c>
      <c r="H268">
        <v>3</v>
      </c>
      <c r="I268">
        <v>18</v>
      </c>
      <c r="K268" s="124">
        <v>45562</v>
      </c>
      <c r="L268">
        <v>271</v>
      </c>
      <c r="M268">
        <v>83</v>
      </c>
    </row>
    <row r="269" spans="1:13" x14ac:dyDescent="0.35">
      <c r="A269" t="s">
        <v>24</v>
      </c>
      <c r="D269" t="s">
        <v>28</v>
      </c>
      <c r="F269">
        <v>2</v>
      </c>
      <c r="G269">
        <v>2</v>
      </c>
      <c r="H269">
        <v>3</v>
      </c>
      <c r="I269">
        <v>18</v>
      </c>
      <c r="K269" s="124">
        <v>45571</v>
      </c>
      <c r="L269">
        <v>280</v>
      </c>
      <c r="M269">
        <v>94</v>
      </c>
    </row>
    <row r="270" spans="1:13" x14ac:dyDescent="0.35">
      <c r="A270" t="s">
        <v>24</v>
      </c>
      <c r="D270" t="s">
        <v>28</v>
      </c>
      <c r="F270">
        <v>2</v>
      </c>
      <c r="G270">
        <v>2</v>
      </c>
      <c r="H270">
        <v>3</v>
      </c>
      <c r="I270">
        <v>18</v>
      </c>
      <c r="K270" s="124">
        <v>45576</v>
      </c>
      <c r="L270">
        <v>285</v>
      </c>
      <c r="M270">
        <v>96</v>
      </c>
    </row>
    <row r="271" spans="1:13" x14ac:dyDescent="0.35">
      <c r="A271" t="s">
        <v>24</v>
      </c>
      <c r="D271" t="s">
        <v>28</v>
      </c>
      <c r="F271">
        <v>2</v>
      </c>
      <c r="G271">
        <v>2</v>
      </c>
      <c r="H271">
        <v>3</v>
      </c>
      <c r="I271">
        <v>18</v>
      </c>
      <c r="K271" s="124">
        <v>45590</v>
      </c>
      <c r="L271">
        <v>299</v>
      </c>
      <c r="M271">
        <v>94</v>
      </c>
    </row>
    <row r="272" spans="1:13" x14ac:dyDescent="0.35">
      <c r="A272" t="s">
        <v>24</v>
      </c>
      <c r="D272" t="s">
        <v>26</v>
      </c>
      <c r="F272">
        <v>2</v>
      </c>
      <c r="G272">
        <v>3</v>
      </c>
      <c r="H272">
        <v>3</v>
      </c>
      <c r="I272">
        <v>19</v>
      </c>
      <c r="K272" s="124">
        <v>45421</v>
      </c>
      <c r="L272">
        <v>130</v>
      </c>
      <c r="M272">
        <v>16</v>
      </c>
    </row>
    <row r="273" spans="1:13" x14ac:dyDescent="0.35">
      <c r="A273" t="s">
        <v>24</v>
      </c>
      <c r="D273" t="s">
        <v>26</v>
      </c>
      <c r="F273">
        <v>2</v>
      </c>
      <c r="G273">
        <v>3</v>
      </c>
      <c r="H273">
        <v>3</v>
      </c>
      <c r="I273">
        <v>19</v>
      </c>
      <c r="K273" s="124">
        <v>45442</v>
      </c>
      <c r="L273">
        <v>151</v>
      </c>
      <c r="M273">
        <v>18</v>
      </c>
    </row>
    <row r="274" spans="1:13" x14ac:dyDescent="0.35">
      <c r="A274" t="s">
        <v>24</v>
      </c>
      <c r="D274" t="s">
        <v>26</v>
      </c>
      <c r="F274">
        <v>2</v>
      </c>
      <c r="G274">
        <v>3</v>
      </c>
      <c r="H274">
        <v>3</v>
      </c>
      <c r="I274">
        <v>19</v>
      </c>
      <c r="K274" s="124">
        <v>45461</v>
      </c>
      <c r="L274">
        <v>170</v>
      </c>
      <c r="M274">
        <v>30</v>
      </c>
    </row>
    <row r="275" spans="1:13" x14ac:dyDescent="0.35">
      <c r="A275" t="s">
        <v>24</v>
      </c>
      <c r="D275" t="s">
        <v>26</v>
      </c>
      <c r="F275">
        <v>2</v>
      </c>
      <c r="G275">
        <v>3</v>
      </c>
      <c r="H275">
        <v>3</v>
      </c>
      <c r="I275">
        <v>19</v>
      </c>
      <c r="K275" s="124">
        <v>45477</v>
      </c>
      <c r="L275">
        <v>186</v>
      </c>
      <c r="M275">
        <v>35</v>
      </c>
    </row>
    <row r="276" spans="1:13" x14ac:dyDescent="0.35">
      <c r="A276" t="s">
        <v>24</v>
      </c>
      <c r="D276" t="s">
        <v>26</v>
      </c>
      <c r="F276">
        <v>2</v>
      </c>
      <c r="G276">
        <v>3</v>
      </c>
      <c r="H276">
        <v>3</v>
      </c>
      <c r="I276">
        <v>19</v>
      </c>
      <c r="K276" s="124">
        <v>45491</v>
      </c>
      <c r="L276">
        <v>200</v>
      </c>
      <c r="M276">
        <v>41</v>
      </c>
    </row>
    <row r="277" spans="1:13" x14ac:dyDescent="0.35">
      <c r="A277" t="s">
        <v>24</v>
      </c>
      <c r="D277" t="s">
        <v>26</v>
      </c>
      <c r="F277">
        <v>2</v>
      </c>
      <c r="G277">
        <v>3</v>
      </c>
      <c r="H277">
        <v>3</v>
      </c>
      <c r="I277">
        <v>19</v>
      </c>
      <c r="K277" s="124">
        <v>45510</v>
      </c>
      <c r="L277">
        <v>219</v>
      </c>
      <c r="M277">
        <v>43</v>
      </c>
    </row>
    <row r="278" spans="1:13" x14ac:dyDescent="0.35">
      <c r="A278" t="s">
        <v>24</v>
      </c>
      <c r="D278" t="s">
        <v>26</v>
      </c>
      <c r="F278">
        <v>2</v>
      </c>
      <c r="G278">
        <v>3</v>
      </c>
      <c r="H278">
        <v>3</v>
      </c>
      <c r="I278">
        <v>19</v>
      </c>
      <c r="K278" s="124">
        <v>45530</v>
      </c>
      <c r="L278">
        <v>239</v>
      </c>
      <c r="M278">
        <v>62</v>
      </c>
    </row>
    <row r="279" spans="1:13" x14ac:dyDescent="0.35">
      <c r="A279" t="s">
        <v>24</v>
      </c>
      <c r="D279" t="s">
        <v>26</v>
      </c>
      <c r="F279">
        <v>2</v>
      </c>
      <c r="G279">
        <v>3</v>
      </c>
      <c r="H279">
        <v>3</v>
      </c>
      <c r="I279">
        <v>19</v>
      </c>
      <c r="K279" s="124">
        <v>45538</v>
      </c>
      <c r="L279">
        <v>247</v>
      </c>
      <c r="M279">
        <v>66</v>
      </c>
    </row>
    <row r="280" spans="1:13" x14ac:dyDescent="0.35">
      <c r="A280" t="s">
        <v>24</v>
      </c>
      <c r="D280" t="s">
        <v>26</v>
      </c>
      <c r="F280">
        <v>2</v>
      </c>
      <c r="G280">
        <v>3</v>
      </c>
      <c r="H280">
        <v>3</v>
      </c>
      <c r="I280">
        <v>19</v>
      </c>
      <c r="K280" s="124">
        <v>45547</v>
      </c>
      <c r="L280">
        <v>256</v>
      </c>
      <c r="M280">
        <v>74</v>
      </c>
    </row>
    <row r="281" spans="1:13" x14ac:dyDescent="0.35">
      <c r="A281" t="s">
        <v>24</v>
      </c>
      <c r="D281" t="s">
        <v>26</v>
      </c>
      <c r="F281">
        <v>2</v>
      </c>
      <c r="G281">
        <v>3</v>
      </c>
      <c r="H281">
        <v>3</v>
      </c>
      <c r="I281">
        <v>19</v>
      </c>
      <c r="K281" s="124">
        <v>45553</v>
      </c>
      <c r="L281">
        <v>262</v>
      </c>
      <c r="M281">
        <v>75</v>
      </c>
    </row>
    <row r="282" spans="1:13" x14ac:dyDescent="0.35">
      <c r="A282" t="s">
        <v>24</v>
      </c>
      <c r="D282" t="s">
        <v>26</v>
      </c>
      <c r="F282">
        <v>2</v>
      </c>
      <c r="G282">
        <v>3</v>
      </c>
      <c r="H282">
        <v>3</v>
      </c>
      <c r="I282">
        <v>19</v>
      </c>
      <c r="K282" s="124">
        <v>45558</v>
      </c>
      <c r="L282">
        <v>267</v>
      </c>
      <c r="M282">
        <v>83</v>
      </c>
    </row>
    <row r="283" spans="1:13" x14ac:dyDescent="0.35">
      <c r="A283" t="s">
        <v>24</v>
      </c>
      <c r="D283" t="s">
        <v>26</v>
      </c>
      <c r="F283">
        <v>2</v>
      </c>
      <c r="G283">
        <v>3</v>
      </c>
      <c r="H283">
        <v>3</v>
      </c>
      <c r="I283">
        <v>19</v>
      </c>
      <c r="K283" s="124">
        <v>45562</v>
      </c>
      <c r="L283">
        <v>271</v>
      </c>
      <c r="M283">
        <v>88</v>
      </c>
    </row>
    <row r="284" spans="1:13" x14ac:dyDescent="0.35">
      <c r="A284" t="s">
        <v>24</v>
      </c>
      <c r="D284" t="s">
        <v>26</v>
      </c>
      <c r="F284">
        <v>2</v>
      </c>
      <c r="G284">
        <v>3</v>
      </c>
      <c r="H284">
        <v>3</v>
      </c>
      <c r="I284">
        <v>19</v>
      </c>
      <c r="K284" s="124">
        <v>45571</v>
      </c>
      <c r="L284">
        <v>280</v>
      </c>
      <c r="M284">
        <v>103</v>
      </c>
    </row>
    <row r="285" spans="1:13" x14ac:dyDescent="0.35">
      <c r="A285" t="s">
        <v>24</v>
      </c>
      <c r="D285" t="s">
        <v>26</v>
      </c>
      <c r="F285">
        <v>2</v>
      </c>
      <c r="G285">
        <v>3</v>
      </c>
      <c r="H285">
        <v>3</v>
      </c>
      <c r="I285">
        <v>19</v>
      </c>
      <c r="K285" s="124">
        <v>45576</v>
      </c>
      <c r="L285">
        <v>285</v>
      </c>
      <c r="M285">
        <v>105</v>
      </c>
    </row>
    <row r="286" spans="1:13" x14ac:dyDescent="0.35">
      <c r="A286" t="s">
        <v>24</v>
      </c>
      <c r="D286" t="s">
        <v>26</v>
      </c>
      <c r="F286">
        <v>2</v>
      </c>
      <c r="G286">
        <v>3</v>
      </c>
      <c r="H286">
        <v>3</v>
      </c>
      <c r="I286">
        <v>19</v>
      </c>
      <c r="K286" s="124">
        <v>45590</v>
      </c>
      <c r="L286">
        <v>299</v>
      </c>
      <c r="M286">
        <v>105</v>
      </c>
    </row>
    <row r="287" spans="1:13" x14ac:dyDescent="0.35">
      <c r="A287" t="s">
        <v>24</v>
      </c>
      <c r="D287" t="s">
        <v>336</v>
      </c>
      <c r="F287">
        <v>2</v>
      </c>
      <c r="G287">
        <v>4</v>
      </c>
      <c r="H287">
        <v>3</v>
      </c>
      <c r="I287">
        <v>20</v>
      </c>
      <c r="K287" s="124">
        <v>45421</v>
      </c>
      <c r="L287">
        <v>130</v>
      </c>
      <c r="M287">
        <v>16</v>
      </c>
    </row>
    <row r="288" spans="1:13" x14ac:dyDescent="0.35">
      <c r="A288" t="s">
        <v>24</v>
      </c>
      <c r="D288" t="s">
        <v>336</v>
      </c>
      <c r="F288">
        <v>2</v>
      </c>
      <c r="G288">
        <v>4</v>
      </c>
      <c r="H288">
        <v>3</v>
      </c>
      <c r="I288">
        <v>20</v>
      </c>
      <c r="K288" s="124">
        <v>45442</v>
      </c>
      <c r="L288">
        <v>151</v>
      </c>
      <c r="M288">
        <v>18</v>
      </c>
    </row>
    <row r="289" spans="1:13" x14ac:dyDescent="0.35">
      <c r="A289" t="s">
        <v>24</v>
      </c>
      <c r="D289" t="s">
        <v>336</v>
      </c>
      <c r="F289">
        <v>2</v>
      </c>
      <c r="G289">
        <v>4</v>
      </c>
      <c r="H289">
        <v>3</v>
      </c>
      <c r="I289">
        <v>20</v>
      </c>
      <c r="K289" s="124">
        <v>45461</v>
      </c>
      <c r="L289">
        <v>170</v>
      </c>
      <c r="M289">
        <v>27</v>
      </c>
    </row>
    <row r="290" spans="1:13" x14ac:dyDescent="0.35">
      <c r="A290" t="s">
        <v>24</v>
      </c>
      <c r="D290" t="s">
        <v>336</v>
      </c>
      <c r="F290">
        <v>2</v>
      </c>
      <c r="G290">
        <v>4</v>
      </c>
      <c r="H290">
        <v>3</v>
      </c>
      <c r="I290">
        <v>20</v>
      </c>
      <c r="K290" s="124">
        <v>45477</v>
      </c>
      <c r="L290">
        <v>186</v>
      </c>
      <c r="M290">
        <v>36</v>
      </c>
    </row>
    <row r="291" spans="1:13" x14ac:dyDescent="0.35">
      <c r="A291" t="s">
        <v>24</v>
      </c>
      <c r="D291" t="s">
        <v>336</v>
      </c>
      <c r="F291">
        <v>2</v>
      </c>
      <c r="G291">
        <v>4</v>
      </c>
      <c r="H291">
        <v>3</v>
      </c>
      <c r="I291">
        <v>20</v>
      </c>
      <c r="K291" s="124">
        <v>45491</v>
      </c>
      <c r="L291">
        <v>200</v>
      </c>
      <c r="M291">
        <v>39</v>
      </c>
    </row>
    <row r="292" spans="1:13" x14ac:dyDescent="0.35">
      <c r="A292" t="s">
        <v>24</v>
      </c>
      <c r="D292" t="s">
        <v>336</v>
      </c>
      <c r="F292">
        <v>2</v>
      </c>
      <c r="G292">
        <v>4</v>
      </c>
      <c r="H292">
        <v>3</v>
      </c>
      <c r="I292">
        <v>20</v>
      </c>
      <c r="K292" s="124">
        <v>45510</v>
      </c>
      <c r="L292">
        <v>219</v>
      </c>
      <c r="M292">
        <v>45</v>
      </c>
    </row>
    <row r="293" spans="1:13" x14ac:dyDescent="0.35">
      <c r="A293" t="s">
        <v>24</v>
      </c>
      <c r="D293" t="s">
        <v>336</v>
      </c>
      <c r="F293">
        <v>2</v>
      </c>
      <c r="G293">
        <v>4</v>
      </c>
      <c r="H293">
        <v>3</v>
      </c>
      <c r="I293">
        <v>20</v>
      </c>
      <c r="K293" s="124">
        <v>45530</v>
      </c>
      <c r="L293">
        <v>239</v>
      </c>
      <c r="M293">
        <v>55</v>
      </c>
    </row>
    <row r="294" spans="1:13" x14ac:dyDescent="0.35">
      <c r="A294" t="s">
        <v>24</v>
      </c>
      <c r="D294" t="s">
        <v>336</v>
      </c>
      <c r="F294">
        <v>2</v>
      </c>
      <c r="G294">
        <v>4</v>
      </c>
      <c r="H294">
        <v>3</v>
      </c>
      <c r="I294">
        <v>20</v>
      </c>
      <c r="K294" s="124">
        <v>45538</v>
      </c>
      <c r="L294">
        <v>247</v>
      </c>
      <c r="M294">
        <v>64</v>
      </c>
    </row>
    <row r="295" spans="1:13" x14ac:dyDescent="0.35">
      <c r="A295" t="s">
        <v>24</v>
      </c>
      <c r="D295" t="s">
        <v>336</v>
      </c>
      <c r="F295">
        <v>2</v>
      </c>
      <c r="G295">
        <v>4</v>
      </c>
      <c r="H295">
        <v>3</v>
      </c>
      <c r="I295">
        <v>20</v>
      </c>
      <c r="K295" s="124">
        <v>45547</v>
      </c>
      <c r="L295">
        <v>256</v>
      </c>
      <c r="M295">
        <v>65</v>
      </c>
    </row>
    <row r="296" spans="1:13" x14ac:dyDescent="0.35">
      <c r="A296" t="s">
        <v>24</v>
      </c>
      <c r="D296" t="s">
        <v>336</v>
      </c>
      <c r="F296">
        <v>2</v>
      </c>
      <c r="G296">
        <v>4</v>
      </c>
      <c r="H296">
        <v>3</v>
      </c>
      <c r="I296">
        <v>20</v>
      </c>
      <c r="K296" s="124">
        <v>45553</v>
      </c>
      <c r="L296">
        <v>262</v>
      </c>
      <c r="M296">
        <v>67</v>
      </c>
    </row>
    <row r="297" spans="1:13" x14ac:dyDescent="0.35">
      <c r="A297" t="s">
        <v>24</v>
      </c>
      <c r="D297" t="s">
        <v>336</v>
      </c>
      <c r="F297">
        <v>2</v>
      </c>
      <c r="G297">
        <v>4</v>
      </c>
      <c r="H297">
        <v>3</v>
      </c>
      <c r="I297">
        <v>20</v>
      </c>
      <c r="K297" s="124">
        <v>45558</v>
      </c>
      <c r="L297">
        <v>267</v>
      </c>
      <c r="M297">
        <v>68</v>
      </c>
    </row>
    <row r="298" spans="1:13" x14ac:dyDescent="0.35">
      <c r="A298" t="s">
        <v>24</v>
      </c>
      <c r="D298" t="s">
        <v>336</v>
      </c>
      <c r="F298">
        <v>2</v>
      </c>
      <c r="G298">
        <v>4</v>
      </c>
      <c r="H298">
        <v>3</v>
      </c>
      <c r="I298">
        <v>20</v>
      </c>
      <c r="K298" s="124">
        <v>45562</v>
      </c>
      <c r="L298">
        <v>271</v>
      </c>
      <c r="M298">
        <v>75</v>
      </c>
    </row>
    <row r="299" spans="1:13" x14ac:dyDescent="0.35">
      <c r="A299" t="s">
        <v>24</v>
      </c>
      <c r="D299" t="s">
        <v>336</v>
      </c>
      <c r="F299">
        <v>2</v>
      </c>
      <c r="G299">
        <v>4</v>
      </c>
      <c r="H299">
        <v>3</v>
      </c>
      <c r="I299">
        <v>20</v>
      </c>
      <c r="K299" s="124">
        <v>45571</v>
      </c>
      <c r="L299">
        <v>280</v>
      </c>
      <c r="M299">
        <v>90</v>
      </c>
    </row>
    <row r="300" spans="1:13" x14ac:dyDescent="0.35">
      <c r="A300" t="s">
        <v>24</v>
      </c>
      <c r="D300" t="s">
        <v>336</v>
      </c>
      <c r="F300">
        <v>2</v>
      </c>
      <c r="G300">
        <v>4</v>
      </c>
      <c r="H300">
        <v>3</v>
      </c>
      <c r="I300">
        <v>20</v>
      </c>
      <c r="K300" s="124">
        <v>45576</v>
      </c>
      <c r="L300">
        <v>285</v>
      </c>
      <c r="M300">
        <v>94</v>
      </c>
    </row>
    <row r="301" spans="1:13" x14ac:dyDescent="0.35">
      <c r="A301" t="s">
        <v>24</v>
      </c>
      <c r="D301" t="s">
        <v>336</v>
      </c>
      <c r="F301">
        <v>2</v>
      </c>
      <c r="G301">
        <v>4</v>
      </c>
      <c r="H301">
        <v>3</v>
      </c>
      <c r="I301">
        <v>20</v>
      </c>
      <c r="K301" s="124">
        <v>45590</v>
      </c>
      <c r="L301">
        <v>299</v>
      </c>
      <c r="M301">
        <v>96</v>
      </c>
    </row>
    <row r="302" spans="1:13" x14ac:dyDescent="0.35">
      <c r="A302" t="s">
        <v>24</v>
      </c>
      <c r="D302" t="s">
        <v>29</v>
      </c>
      <c r="F302">
        <v>2</v>
      </c>
      <c r="G302">
        <v>5</v>
      </c>
      <c r="H302">
        <v>3</v>
      </c>
      <c r="I302">
        <v>21</v>
      </c>
      <c r="K302" s="124">
        <v>45421</v>
      </c>
      <c r="L302">
        <v>130</v>
      </c>
      <c r="M302">
        <v>17</v>
      </c>
    </row>
    <row r="303" spans="1:13" x14ac:dyDescent="0.35">
      <c r="A303" t="s">
        <v>24</v>
      </c>
      <c r="D303" t="s">
        <v>29</v>
      </c>
      <c r="F303">
        <v>2</v>
      </c>
      <c r="G303">
        <v>5</v>
      </c>
      <c r="H303">
        <v>3</v>
      </c>
      <c r="I303">
        <v>21</v>
      </c>
      <c r="K303" s="124">
        <v>45442</v>
      </c>
      <c r="L303">
        <v>151</v>
      </c>
      <c r="M303">
        <v>18</v>
      </c>
    </row>
    <row r="304" spans="1:13" x14ac:dyDescent="0.35">
      <c r="A304" t="s">
        <v>24</v>
      </c>
      <c r="D304" t="s">
        <v>29</v>
      </c>
      <c r="F304">
        <v>2</v>
      </c>
      <c r="G304">
        <v>5</v>
      </c>
      <c r="H304">
        <v>3</v>
      </c>
      <c r="I304">
        <v>21</v>
      </c>
      <c r="K304" s="124">
        <v>45461</v>
      </c>
      <c r="L304">
        <v>170</v>
      </c>
      <c r="M304">
        <v>27</v>
      </c>
    </row>
    <row r="305" spans="1:13" x14ac:dyDescent="0.35">
      <c r="A305" t="s">
        <v>24</v>
      </c>
      <c r="D305" t="s">
        <v>29</v>
      </c>
      <c r="F305">
        <v>2</v>
      </c>
      <c r="G305">
        <v>5</v>
      </c>
      <c r="H305">
        <v>3</v>
      </c>
      <c r="I305">
        <v>21</v>
      </c>
      <c r="K305" s="124">
        <v>45477</v>
      </c>
      <c r="L305">
        <v>186</v>
      </c>
      <c r="M305">
        <v>33</v>
      </c>
    </row>
    <row r="306" spans="1:13" x14ac:dyDescent="0.35">
      <c r="A306" t="s">
        <v>24</v>
      </c>
      <c r="D306" t="s">
        <v>29</v>
      </c>
      <c r="F306">
        <v>2</v>
      </c>
      <c r="G306">
        <v>5</v>
      </c>
      <c r="H306">
        <v>3</v>
      </c>
      <c r="I306">
        <v>21</v>
      </c>
      <c r="K306" s="124">
        <v>45491</v>
      </c>
      <c r="L306">
        <v>200</v>
      </c>
      <c r="M306">
        <v>40</v>
      </c>
    </row>
    <row r="307" spans="1:13" x14ac:dyDescent="0.35">
      <c r="A307" t="s">
        <v>24</v>
      </c>
      <c r="D307" t="s">
        <v>29</v>
      </c>
      <c r="F307">
        <v>2</v>
      </c>
      <c r="G307">
        <v>5</v>
      </c>
      <c r="H307">
        <v>3</v>
      </c>
      <c r="I307">
        <v>21</v>
      </c>
      <c r="K307" s="124">
        <v>45510</v>
      </c>
      <c r="L307">
        <v>219</v>
      </c>
      <c r="M307">
        <v>43</v>
      </c>
    </row>
    <row r="308" spans="1:13" x14ac:dyDescent="0.35">
      <c r="A308" t="s">
        <v>24</v>
      </c>
      <c r="D308" t="s">
        <v>29</v>
      </c>
      <c r="F308">
        <v>2</v>
      </c>
      <c r="G308">
        <v>5</v>
      </c>
      <c r="H308">
        <v>3</v>
      </c>
      <c r="I308">
        <v>21</v>
      </c>
      <c r="K308" s="124">
        <v>45530</v>
      </c>
      <c r="L308">
        <v>239</v>
      </c>
      <c r="M308">
        <v>58</v>
      </c>
    </row>
    <row r="309" spans="1:13" x14ac:dyDescent="0.35">
      <c r="A309" t="s">
        <v>24</v>
      </c>
      <c r="D309" t="s">
        <v>29</v>
      </c>
      <c r="F309">
        <v>2</v>
      </c>
      <c r="G309">
        <v>5</v>
      </c>
      <c r="H309">
        <v>3</v>
      </c>
      <c r="I309">
        <v>21</v>
      </c>
      <c r="K309" s="124">
        <v>45538</v>
      </c>
      <c r="L309">
        <v>247</v>
      </c>
      <c r="M309">
        <v>60</v>
      </c>
    </row>
    <row r="310" spans="1:13" x14ac:dyDescent="0.35">
      <c r="A310" t="s">
        <v>24</v>
      </c>
      <c r="D310" t="s">
        <v>29</v>
      </c>
      <c r="F310">
        <v>2</v>
      </c>
      <c r="G310">
        <v>5</v>
      </c>
      <c r="H310">
        <v>3</v>
      </c>
      <c r="I310">
        <v>21</v>
      </c>
      <c r="K310" s="124">
        <v>45547</v>
      </c>
      <c r="L310">
        <v>256</v>
      </c>
      <c r="M310">
        <v>69</v>
      </c>
    </row>
    <row r="311" spans="1:13" x14ac:dyDescent="0.35">
      <c r="A311" t="s">
        <v>24</v>
      </c>
      <c r="D311" t="s">
        <v>29</v>
      </c>
      <c r="F311">
        <v>2</v>
      </c>
      <c r="G311">
        <v>5</v>
      </c>
      <c r="H311">
        <v>3</v>
      </c>
      <c r="I311">
        <v>21</v>
      </c>
      <c r="K311" s="124">
        <v>45553</v>
      </c>
      <c r="L311">
        <v>262</v>
      </c>
      <c r="M311">
        <v>71</v>
      </c>
    </row>
    <row r="312" spans="1:13" x14ac:dyDescent="0.35">
      <c r="A312" t="s">
        <v>24</v>
      </c>
      <c r="D312" t="s">
        <v>29</v>
      </c>
      <c r="F312">
        <v>2</v>
      </c>
      <c r="G312">
        <v>5</v>
      </c>
      <c r="H312">
        <v>3</v>
      </c>
      <c r="I312">
        <v>21</v>
      </c>
      <c r="K312" s="124">
        <v>45558</v>
      </c>
      <c r="L312">
        <v>267</v>
      </c>
      <c r="M312">
        <v>77</v>
      </c>
    </row>
    <row r="313" spans="1:13" x14ac:dyDescent="0.35">
      <c r="A313" t="s">
        <v>24</v>
      </c>
      <c r="D313" t="s">
        <v>29</v>
      </c>
      <c r="F313">
        <v>2</v>
      </c>
      <c r="G313">
        <v>5</v>
      </c>
      <c r="H313">
        <v>3</v>
      </c>
      <c r="I313">
        <v>21</v>
      </c>
      <c r="K313" s="124">
        <v>45562</v>
      </c>
      <c r="L313">
        <v>271</v>
      </c>
      <c r="M313">
        <v>79</v>
      </c>
    </row>
    <row r="314" spans="1:13" x14ac:dyDescent="0.35">
      <c r="A314" t="s">
        <v>24</v>
      </c>
      <c r="D314" t="s">
        <v>29</v>
      </c>
      <c r="F314">
        <v>2</v>
      </c>
      <c r="G314">
        <v>5</v>
      </c>
      <c r="H314">
        <v>3</v>
      </c>
      <c r="I314">
        <v>21</v>
      </c>
      <c r="K314" s="124">
        <v>45571</v>
      </c>
      <c r="L314">
        <v>280</v>
      </c>
      <c r="M314">
        <v>94</v>
      </c>
    </row>
    <row r="315" spans="1:13" x14ac:dyDescent="0.35">
      <c r="A315" t="s">
        <v>24</v>
      </c>
      <c r="D315" t="s">
        <v>29</v>
      </c>
      <c r="F315">
        <v>2</v>
      </c>
      <c r="G315">
        <v>5</v>
      </c>
      <c r="H315">
        <v>3</v>
      </c>
      <c r="I315">
        <v>21</v>
      </c>
      <c r="K315" s="124">
        <v>45576</v>
      </c>
      <c r="L315">
        <v>285</v>
      </c>
      <c r="M315">
        <v>95</v>
      </c>
    </row>
    <row r="316" spans="1:13" x14ac:dyDescent="0.35">
      <c r="A316" t="s">
        <v>24</v>
      </c>
      <c r="D316" t="s">
        <v>29</v>
      </c>
      <c r="F316">
        <v>2</v>
      </c>
      <c r="G316">
        <v>5</v>
      </c>
      <c r="H316">
        <v>3</v>
      </c>
      <c r="I316">
        <v>21</v>
      </c>
      <c r="K316" s="124">
        <v>45590</v>
      </c>
      <c r="L316">
        <v>299</v>
      </c>
      <c r="M316">
        <v>94</v>
      </c>
    </row>
    <row r="317" spans="1:13" x14ac:dyDescent="0.35">
      <c r="A317" t="s">
        <v>24</v>
      </c>
      <c r="D317" t="s">
        <v>337</v>
      </c>
      <c r="F317">
        <v>2</v>
      </c>
      <c r="G317">
        <v>6</v>
      </c>
      <c r="H317">
        <v>3</v>
      </c>
      <c r="I317">
        <v>22</v>
      </c>
      <c r="K317" s="124">
        <v>45421</v>
      </c>
      <c r="L317">
        <v>130</v>
      </c>
      <c r="M317">
        <v>16</v>
      </c>
    </row>
    <row r="318" spans="1:13" x14ac:dyDescent="0.35">
      <c r="A318" t="s">
        <v>24</v>
      </c>
      <c r="D318" t="s">
        <v>337</v>
      </c>
      <c r="F318">
        <v>2</v>
      </c>
      <c r="G318">
        <v>6</v>
      </c>
      <c r="H318">
        <v>3</v>
      </c>
      <c r="I318">
        <v>22</v>
      </c>
      <c r="K318" s="124">
        <v>45442</v>
      </c>
      <c r="L318">
        <v>151</v>
      </c>
      <c r="M318">
        <v>18</v>
      </c>
    </row>
    <row r="319" spans="1:13" x14ac:dyDescent="0.35">
      <c r="A319" t="s">
        <v>24</v>
      </c>
      <c r="D319" t="s">
        <v>337</v>
      </c>
      <c r="F319">
        <v>2</v>
      </c>
      <c r="G319">
        <v>6</v>
      </c>
      <c r="H319">
        <v>3</v>
      </c>
      <c r="I319">
        <v>22</v>
      </c>
      <c r="K319" s="124">
        <v>45461</v>
      </c>
      <c r="L319">
        <v>170</v>
      </c>
      <c r="M319">
        <v>26</v>
      </c>
    </row>
    <row r="320" spans="1:13" x14ac:dyDescent="0.35">
      <c r="A320" t="s">
        <v>24</v>
      </c>
      <c r="D320" t="s">
        <v>337</v>
      </c>
      <c r="F320">
        <v>2</v>
      </c>
      <c r="G320">
        <v>6</v>
      </c>
      <c r="H320">
        <v>3</v>
      </c>
      <c r="I320">
        <v>22</v>
      </c>
      <c r="K320" s="124">
        <v>45477</v>
      </c>
      <c r="L320">
        <v>186</v>
      </c>
      <c r="M320">
        <v>33</v>
      </c>
    </row>
    <row r="321" spans="1:13" x14ac:dyDescent="0.35">
      <c r="A321" t="s">
        <v>24</v>
      </c>
      <c r="D321" t="s">
        <v>337</v>
      </c>
      <c r="F321">
        <v>2</v>
      </c>
      <c r="G321">
        <v>6</v>
      </c>
      <c r="H321">
        <v>3</v>
      </c>
      <c r="I321">
        <v>22</v>
      </c>
      <c r="K321" s="124">
        <v>45491</v>
      </c>
      <c r="L321">
        <v>200</v>
      </c>
      <c r="M321">
        <v>39</v>
      </c>
    </row>
    <row r="322" spans="1:13" x14ac:dyDescent="0.35">
      <c r="A322" t="s">
        <v>24</v>
      </c>
      <c r="D322" t="s">
        <v>337</v>
      </c>
      <c r="F322">
        <v>2</v>
      </c>
      <c r="G322">
        <v>6</v>
      </c>
      <c r="H322">
        <v>3</v>
      </c>
      <c r="I322">
        <v>22</v>
      </c>
      <c r="K322" s="124">
        <v>45510</v>
      </c>
      <c r="L322">
        <v>219</v>
      </c>
      <c r="M322">
        <v>44</v>
      </c>
    </row>
    <row r="323" spans="1:13" x14ac:dyDescent="0.35">
      <c r="A323" t="s">
        <v>24</v>
      </c>
      <c r="D323" t="s">
        <v>337</v>
      </c>
      <c r="F323">
        <v>2</v>
      </c>
      <c r="G323">
        <v>6</v>
      </c>
      <c r="H323">
        <v>3</v>
      </c>
      <c r="I323">
        <v>22</v>
      </c>
      <c r="K323" s="124">
        <v>45530</v>
      </c>
      <c r="L323">
        <v>239</v>
      </c>
      <c r="M323">
        <v>58</v>
      </c>
    </row>
    <row r="324" spans="1:13" x14ac:dyDescent="0.35">
      <c r="A324" t="s">
        <v>24</v>
      </c>
      <c r="D324" t="s">
        <v>337</v>
      </c>
      <c r="F324">
        <v>2</v>
      </c>
      <c r="G324">
        <v>6</v>
      </c>
      <c r="H324">
        <v>3</v>
      </c>
      <c r="I324">
        <v>22</v>
      </c>
      <c r="K324" s="124">
        <v>45538</v>
      </c>
      <c r="L324">
        <v>247</v>
      </c>
      <c r="M324">
        <v>65</v>
      </c>
    </row>
    <row r="325" spans="1:13" x14ac:dyDescent="0.35">
      <c r="A325" t="s">
        <v>24</v>
      </c>
      <c r="D325" t="s">
        <v>337</v>
      </c>
      <c r="F325">
        <v>2</v>
      </c>
      <c r="G325">
        <v>6</v>
      </c>
      <c r="H325">
        <v>3</v>
      </c>
      <c r="I325">
        <v>22</v>
      </c>
      <c r="K325" s="124">
        <v>45547</v>
      </c>
      <c r="L325">
        <v>256</v>
      </c>
      <c r="M325">
        <v>68</v>
      </c>
    </row>
    <row r="326" spans="1:13" x14ac:dyDescent="0.35">
      <c r="A326" t="s">
        <v>24</v>
      </c>
      <c r="D326" t="s">
        <v>337</v>
      </c>
      <c r="F326">
        <v>2</v>
      </c>
      <c r="G326">
        <v>6</v>
      </c>
      <c r="H326">
        <v>3</v>
      </c>
      <c r="I326">
        <v>22</v>
      </c>
      <c r="K326" s="124">
        <v>45553</v>
      </c>
      <c r="L326">
        <v>262</v>
      </c>
      <c r="M326">
        <v>72</v>
      </c>
    </row>
    <row r="327" spans="1:13" x14ac:dyDescent="0.35">
      <c r="A327" t="s">
        <v>24</v>
      </c>
      <c r="D327" t="s">
        <v>337</v>
      </c>
      <c r="F327">
        <v>2</v>
      </c>
      <c r="G327">
        <v>6</v>
      </c>
      <c r="H327">
        <v>3</v>
      </c>
      <c r="I327">
        <v>22</v>
      </c>
      <c r="K327" s="124">
        <v>45558</v>
      </c>
      <c r="L327">
        <v>267</v>
      </c>
      <c r="M327">
        <v>73</v>
      </c>
    </row>
    <row r="328" spans="1:13" x14ac:dyDescent="0.35">
      <c r="A328" t="s">
        <v>24</v>
      </c>
      <c r="D328" t="s">
        <v>337</v>
      </c>
      <c r="F328">
        <v>2</v>
      </c>
      <c r="G328">
        <v>6</v>
      </c>
      <c r="H328">
        <v>3</v>
      </c>
      <c r="I328">
        <v>22</v>
      </c>
      <c r="K328" s="124">
        <v>45562</v>
      </c>
      <c r="L328">
        <v>271</v>
      </c>
      <c r="M328">
        <v>75</v>
      </c>
    </row>
    <row r="329" spans="1:13" x14ac:dyDescent="0.35">
      <c r="A329" t="s">
        <v>24</v>
      </c>
      <c r="D329" t="s">
        <v>337</v>
      </c>
      <c r="F329">
        <v>2</v>
      </c>
      <c r="G329">
        <v>6</v>
      </c>
      <c r="H329">
        <v>3</v>
      </c>
      <c r="I329">
        <v>22</v>
      </c>
      <c r="K329" s="124">
        <v>45571</v>
      </c>
      <c r="L329">
        <v>280</v>
      </c>
      <c r="M329">
        <v>91</v>
      </c>
    </row>
    <row r="330" spans="1:13" x14ac:dyDescent="0.35">
      <c r="A330" t="s">
        <v>24</v>
      </c>
      <c r="D330" t="s">
        <v>337</v>
      </c>
      <c r="F330">
        <v>2</v>
      </c>
      <c r="G330">
        <v>6</v>
      </c>
      <c r="H330">
        <v>3</v>
      </c>
      <c r="I330">
        <v>22</v>
      </c>
      <c r="K330" s="124">
        <v>45576</v>
      </c>
      <c r="L330">
        <v>285</v>
      </c>
      <c r="M330">
        <v>93</v>
      </c>
    </row>
    <row r="331" spans="1:13" x14ac:dyDescent="0.35">
      <c r="A331" t="s">
        <v>24</v>
      </c>
      <c r="D331" t="s">
        <v>337</v>
      </c>
      <c r="F331">
        <v>2</v>
      </c>
      <c r="G331">
        <v>6</v>
      </c>
      <c r="H331">
        <v>3</v>
      </c>
      <c r="I331">
        <v>22</v>
      </c>
      <c r="K331" s="124">
        <v>45590</v>
      </c>
      <c r="L331">
        <v>299</v>
      </c>
      <c r="M331">
        <v>92</v>
      </c>
    </row>
    <row r="332" spans="1:13" x14ac:dyDescent="0.35">
      <c r="A332" t="s">
        <v>24</v>
      </c>
      <c r="D332" t="s">
        <v>32</v>
      </c>
      <c r="F332">
        <v>2</v>
      </c>
      <c r="G332">
        <v>7</v>
      </c>
      <c r="H332">
        <v>3</v>
      </c>
      <c r="I332">
        <v>23</v>
      </c>
      <c r="K332" s="124">
        <v>45421</v>
      </c>
      <c r="L332">
        <v>130</v>
      </c>
      <c r="M332">
        <v>16</v>
      </c>
    </row>
    <row r="333" spans="1:13" x14ac:dyDescent="0.35">
      <c r="A333" t="s">
        <v>24</v>
      </c>
      <c r="D333" t="s">
        <v>32</v>
      </c>
      <c r="F333">
        <v>2</v>
      </c>
      <c r="G333">
        <v>7</v>
      </c>
      <c r="H333">
        <v>3</v>
      </c>
      <c r="I333">
        <v>23</v>
      </c>
      <c r="K333" s="124">
        <v>45442</v>
      </c>
      <c r="L333">
        <v>151</v>
      </c>
      <c r="M333">
        <v>18</v>
      </c>
    </row>
    <row r="334" spans="1:13" x14ac:dyDescent="0.35">
      <c r="A334" t="s">
        <v>24</v>
      </c>
      <c r="D334" t="s">
        <v>32</v>
      </c>
      <c r="F334">
        <v>2</v>
      </c>
      <c r="G334">
        <v>7</v>
      </c>
      <c r="H334">
        <v>3</v>
      </c>
      <c r="I334">
        <v>23</v>
      </c>
      <c r="K334" s="124">
        <v>45461</v>
      </c>
      <c r="L334">
        <v>170</v>
      </c>
      <c r="M334">
        <v>26</v>
      </c>
    </row>
    <row r="335" spans="1:13" x14ac:dyDescent="0.35">
      <c r="A335" t="s">
        <v>24</v>
      </c>
      <c r="D335" t="s">
        <v>32</v>
      </c>
      <c r="F335">
        <v>2</v>
      </c>
      <c r="G335">
        <v>7</v>
      </c>
      <c r="H335">
        <v>3</v>
      </c>
      <c r="I335">
        <v>23</v>
      </c>
      <c r="K335" s="124">
        <v>45477</v>
      </c>
      <c r="L335">
        <v>186</v>
      </c>
      <c r="M335">
        <v>32</v>
      </c>
    </row>
    <row r="336" spans="1:13" x14ac:dyDescent="0.35">
      <c r="A336" t="s">
        <v>24</v>
      </c>
      <c r="D336" t="s">
        <v>32</v>
      </c>
      <c r="F336">
        <v>2</v>
      </c>
      <c r="G336">
        <v>7</v>
      </c>
      <c r="H336">
        <v>3</v>
      </c>
      <c r="I336">
        <v>23</v>
      </c>
      <c r="K336" s="124">
        <v>45491</v>
      </c>
      <c r="L336">
        <v>200</v>
      </c>
      <c r="M336">
        <v>39</v>
      </c>
    </row>
    <row r="337" spans="1:13" x14ac:dyDescent="0.35">
      <c r="A337" t="s">
        <v>24</v>
      </c>
      <c r="D337" t="s">
        <v>32</v>
      </c>
      <c r="F337">
        <v>2</v>
      </c>
      <c r="G337">
        <v>7</v>
      </c>
      <c r="H337">
        <v>3</v>
      </c>
      <c r="I337">
        <v>23</v>
      </c>
      <c r="K337" s="124">
        <v>45510</v>
      </c>
      <c r="L337">
        <v>219</v>
      </c>
      <c r="M337">
        <v>42</v>
      </c>
    </row>
    <row r="338" spans="1:13" x14ac:dyDescent="0.35">
      <c r="A338" t="s">
        <v>24</v>
      </c>
      <c r="D338" t="s">
        <v>32</v>
      </c>
      <c r="F338">
        <v>2</v>
      </c>
      <c r="G338">
        <v>7</v>
      </c>
      <c r="H338">
        <v>3</v>
      </c>
      <c r="I338">
        <v>23</v>
      </c>
      <c r="K338" s="124">
        <v>45530</v>
      </c>
      <c r="L338">
        <v>239</v>
      </c>
      <c r="M338">
        <v>58</v>
      </c>
    </row>
    <row r="339" spans="1:13" x14ac:dyDescent="0.35">
      <c r="A339" t="s">
        <v>24</v>
      </c>
      <c r="D339" t="s">
        <v>32</v>
      </c>
      <c r="F339">
        <v>2</v>
      </c>
      <c r="G339">
        <v>7</v>
      </c>
      <c r="H339">
        <v>3</v>
      </c>
      <c r="I339">
        <v>23</v>
      </c>
      <c r="K339" s="124">
        <v>45538</v>
      </c>
      <c r="L339">
        <v>247</v>
      </c>
      <c r="M339">
        <v>63</v>
      </c>
    </row>
    <row r="340" spans="1:13" x14ac:dyDescent="0.35">
      <c r="A340" t="s">
        <v>24</v>
      </c>
      <c r="D340" t="s">
        <v>32</v>
      </c>
      <c r="F340">
        <v>2</v>
      </c>
      <c r="G340">
        <v>7</v>
      </c>
      <c r="H340">
        <v>3</v>
      </c>
      <c r="I340">
        <v>23</v>
      </c>
      <c r="K340" s="124">
        <v>45547</v>
      </c>
      <c r="L340">
        <v>256</v>
      </c>
      <c r="M340">
        <v>63</v>
      </c>
    </row>
    <row r="341" spans="1:13" x14ac:dyDescent="0.35">
      <c r="A341" t="s">
        <v>24</v>
      </c>
      <c r="D341" t="s">
        <v>32</v>
      </c>
      <c r="F341">
        <v>2</v>
      </c>
      <c r="G341">
        <v>7</v>
      </c>
      <c r="H341">
        <v>3</v>
      </c>
      <c r="I341">
        <v>23</v>
      </c>
      <c r="K341" s="124">
        <v>45553</v>
      </c>
      <c r="L341">
        <v>262</v>
      </c>
      <c r="M341">
        <v>66</v>
      </c>
    </row>
    <row r="342" spans="1:13" x14ac:dyDescent="0.35">
      <c r="A342" t="s">
        <v>24</v>
      </c>
      <c r="D342" t="s">
        <v>32</v>
      </c>
      <c r="F342">
        <v>2</v>
      </c>
      <c r="G342">
        <v>7</v>
      </c>
      <c r="H342">
        <v>3</v>
      </c>
      <c r="I342">
        <v>23</v>
      </c>
      <c r="K342" s="124">
        <v>45558</v>
      </c>
      <c r="L342">
        <v>267</v>
      </c>
      <c r="M342">
        <v>67</v>
      </c>
    </row>
    <row r="343" spans="1:13" x14ac:dyDescent="0.35">
      <c r="A343" t="s">
        <v>24</v>
      </c>
      <c r="D343" t="s">
        <v>32</v>
      </c>
      <c r="F343">
        <v>2</v>
      </c>
      <c r="G343">
        <v>7</v>
      </c>
      <c r="H343">
        <v>3</v>
      </c>
      <c r="I343">
        <v>23</v>
      </c>
      <c r="K343" s="124">
        <v>45562</v>
      </c>
      <c r="L343">
        <v>271</v>
      </c>
      <c r="M343">
        <v>67</v>
      </c>
    </row>
    <row r="344" spans="1:13" x14ac:dyDescent="0.35">
      <c r="A344" t="s">
        <v>24</v>
      </c>
      <c r="D344" t="s">
        <v>32</v>
      </c>
      <c r="F344">
        <v>2</v>
      </c>
      <c r="G344">
        <v>7</v>
      </c>
      <c r="H344">
        <v>3</v>
      </c>
      <c r="I344">
        <v>23</v>
      </c>
      <c r="K344" s="124">
        <v>45571</v>
      </c>
      <c r="L344">
        <v>280</v>
      </c>
      <c r="M344">
        <v>83</v>
      </c>
    </row>
    <row r="345" spans="1:13" x14ac:dyDescent="0.35">
      <c r="A345" t="s">
        <v>24</v>
      </c>
      <c r="D345" t="s">
        <v>32</v>
      </c>
      <c r="F345">
        <v>2</v>
      </c>
      <c r="G345">
        <v>7</v>
      </c>
      <c r="H345">
        <v>3</v>
      </c>
      <c r="I345">
        <v>23</v>
      </c>
      <c r="K345" s="124">
        <v>45576</v>
      </c>
      <c r="L345">
        <v>285</v>
      </c>
      <c r="M345">
        <v>82</v>
      </c>
    </row>
    <row r="346" spans="1:13" x14ac:dyDescent="0.35">
      <c r="A346" t="s">
        <v>24</v>
      </c>
      <c r="D346" t="s">
        <v>32</v>
      </c>
      <c r="F346">
        <v>2</v>
      </c>
      <c r="G346">
        <v>7</v>
      </c>
      <c r="H346">
        <v>3</v>
      </c>
      <c r="I346">
        <v>23</v>
      </c>
      <c r="K346" s="124">
        <v>45590</v>
      </c>
      <c r="L346">
        <v>299</v>
      </c>
      <c r="M346">
        <v>81</v>
      </c>
    </row>
    <row r="347" spans="1:13" x14ac:dyDescent="0.35">
      <c r="A347" t="s">
        <v>24</v>
      </c>
      <c r="D347" t="s">
        <v>27</v>
      </c>
      <c r="F347">
        <v>2</v>
      </c>
      <c r="G347">
        <v>8</v>
      </c>
      <c r="H347">
        <v>3</v>
      </c>
      <c r="I347">
        <v>24</v>
      </c>
      <c r="K347" s="124">
        <v>45421</v>
      </c>
      <c r="L347">
        <v>130</v>
      </c>
      <c r="M347">
        <v>14</v>
      </c>
    </row>
    <row r="348" spans="1:13" x14ac:dyDescent="0.35">
      <c r="A348" t="s">
        <v>24</v>
      </c>
      <c r="D348" t="s">
        <v>27</v>
      </c>
      <c r="F348">
        <v>2</v>
      </c>
      <c r="G348">
        <v>8</v>
      </c>
      <c r="H348">
        <v>3</v>
      </c>
      <c r="I348">
        <v>24</v>
      </c>
      <c r="K348" s="124">
        <v>45442</v>
      </c>
      <c r="L348">
        <v>151</v>
      </c>
      <c r="M348">
        <v>16</v>
      </c>
    </row>
    <row r="349" spans="1:13" x14ac:dyDescent="0.35">
      <c r="A349" t="s">
        <v>24</v>
      </c>
      <c r="D349" t="s">
        <v>27</v>
      </c>
      <c r="F349">
        <v>2</v>
      </c>
      <c r="G349">
        <v>8</v>
      </c>
      <c r="H349">
        <v>3</v>
      </c>
      <c r="I349">
        <v>24</v>
      </c>
      <c r="K349" s="124">
        <v>45461</v>
      </c>
      <c r="L349">
        <v>170</v>
      </c>
      <c r="M349">
        <v>26</v>
      </c>
    </row>
    <row r="350" spans="1:13" x14ac:dyDescent="0.35">
      <c r="A350" t="s">
        <v>24</v>
      </c>
      <c r="D350" t="s">
        <v>27</v>
      </c>
      <c r="F350">
        <v>2</v>
      </c>
      <c r="G350">
        <v>8</v>
      </c>
      <c r="H350">
        <v>3</v>
      </c>
      <c r="I350">
        <v>24</v>
      </c>
      <c r="K350" s="124">
        <v>45477</v>
      </c>
      <c r="L350">
        <v>186</v>
      </c>
      <c r="M350">
        <v>31</v>
      </c>
    </row>
    <row r="351" spans="1:13" x14ac:dyDescent="0.35">
      <c r="A351" t="s">
        <v>24</v>
      </c>
      <c r="D351" t="s">
        <v>27</v>
      </c>
      <c r="F351">
        <v>2</v>
      </c>
      <c r="G351">
        <v>8</v>
      </c>
      <c r="H351">
        <v>3</v>
      </c>
      <c r="I351">
        <v>24</v>
      </c>
      <c r="K351" s="124">
        <v>45491</v>
      </c>
      <c r="L351">
        <v>200</v>
      </c>
      <c r="M351">
        <v>41</v>
      </c>
    </row>
    <row r="352" spans="1:13" x14ac:dyDescent="0.35">
      <c r="A352" t="s">
        <v>24</v>
      </c>
      <c r="D352" t="s">
        <v>27</v>
      </c>
      <c r="F352">
        <v>2</v>
      </c>
      <c r="G352">
        <v>8</v>
      </c>
      <c r="H352">
        <v>3</v>
      </c>
      <c r="I352">
        <v>24</v>
      </c>
      <c r="K352" s="124">
        <v>45510</v>
      </c>
      <c r="L352">
        <v>219</v>
      </c>
      <c r="M352">
        <v>45</v>
      </c>
    </row>
    <row r="353" spans="1:13" x14ac:dyDescent="0.35">
      <c r="A353" t="s">
        <v>24</v>
      </c>
      <c r="D353" t="s">
        <v>27</v>
      </c>
      <c r="F353">
        <v>2</v>
      </c>
      <c r="G353">
        <v>8</v>
      </c>
      <c r="H353">
        <v>3</v>
      </c>
      <c r="I353">
        <v>24</v>
      </c>
      <c r="K353" s="124">
        <v>45530</v>
      </c>
      <c r="L353">
        <v>239</v>
      </c>
      <c r="M353">
        <v>57</v>
      </c>
    </row>
    <row r="354" spans="1:13" x14ac:dyDescent="0.35">
      <c r="A354" t="s">
        <v>24</v>
      </c>
      <c r="D354" t="s">
        <v>27</v>
      </c>
      <c r="F354">
        <v>2</v>
      </c>
      <c r="G354">
        <v>8</v>
      </c>
      <c r="H354">
        <v>3</v>
      </c>
      <c r="I354">
        <v>24</v>
      </c>
      <c r="K354" s="124">
        <v>45538</v>
      </c>
      <c r="L354">
        <v>247</v>
      </c>
      <c r="M354">
        <v>64</v>
      </c>
    </row>
    <row r="355" spans="1:13" x14ac:dyDescent="0.35">
      <c r="A355" t="s">
        <v>24</v>
      </c>
      <c r="D355" t="s">
        <v>27</v>
      </c>
      <c r="F355">
        <v>2</v>
      </c>
      <c r="G355">
        <v>8</v>
      </c>
      <c r="H355">
        <v>3</v>
      </c>
      <c r="I355">
        <v>24</v>
      </c>
      <c r="K355" s="124">
        <v>45547</v>
      </c>
      <c r="L355">
        <v>256</v>
      </c>
      <c r="M355">
        <v>70</v>
      </c>
    </row>
    <row r="356" spans="1:13" x14ac:dyDescent="0.35">
      <c r="A356" t="s">
        <v>24</v>
      </c>
      <c r="D356" t="s">
        <v>27</v>
      </c>
      <c r="F356">
        <v>2</v>
      </c>
      <c r="G356">
        <v>8</v>
      </c>
      <c r="H356">
        <v>3</v>
      </c>
      <c r="I356">
        <v>24</v>
      </c>
      <c r="K356" s="124">
        <v>45553</v>
      </c>
      <c r="L356">
        <v>262</v>
      </c>
      <c r="M356">
        <v>72</v>
      </c>
    </row>
    <row r="357" spans="1:13" x14ac:dyDescent="0.35">
      <c r="A357" t="s">
        <v>24</v>
      </c>
      <c r="D357" t="s">
        <v>27</v>
      </c>
      <c r="F357">
        <v>2</v>
      </c>
      <c r="G357">
        <v>8</v>
      </c>
      <c r="H357">
        <v>3</v>
      </c>
      <c r="I357">
        <v>24</v>
      </c>
      <c r="K357" s="124">
        <v>45558</v>
      </c>
      <c r="L357">
        <v>267</v>
      </c>
      <c r="M357">
        <v>76</v>
      </c>
    </row>
    <row r="358" spans="1:13" x14ac:dyDescent="0.35">
      <c r="A358" t="s">
        <v>24</v>
      </c>
      <c r="D358" t="s">
        <v>27</v>
      </c>
      <c r="F358">
        <v>2</v>
      </c>
      <c r="G358">
        <v>8</v>
      </c>
      <c r="H358">
        <v>3</v>
      </c>
      <c r="I358">
        <v>24</v>
      </c>
      <c r="K358" s="124">
        <v>45562</v>
      </c>
      <c r="L358">
        <v>271</v>
      </c>
      <c r="M358">
        <v>80</v>
      </c>
    </row>
    <row r="359" spans="1:13" x14ac:dyDescent="0.35">
      <c r="A359" t="s">
        <v>24</v>
      </c>
      <c r="D359" t="s">
        <v>27</v>
      </c>
      <c r="F359">
        <v>2</v>
      </c>
      <c r="G359">
        <v>8</v>
      </c>
      <c r="H359">
        <v>3</v>
      </c>
      <c r="I359">
        <v>24</v>
      </c>
      <c r="K359" s="124">
        <v>45571</v>
      </c>
      <c r="L359">
        <v>280</v>
      </c>
      <c r="M359">
        <v>99</v>
      </c>
    </row>
    <row r="360" spans="1:13" x14ac:dyDescent="0.35">
      <c r="A360" t="s">
        <v>24</v>
      </c>
      <c r="D360" t="s">
        <v>27</v>
      </c>
      <c r="F360">
        <v>2</v>
      </c>
      <c r="G360">
        <v>8</v>
      </c>
      <c r="H360">
        <v>3</v>
      </c>
      <c r="I360">
        <v>24</v>
      </c>
      <c r="K360" s="124">
        <v>45576</v>
      </c>
      <c r="L360">
        <v>285</v>
      </c>
      <c r="M360">
        <v>100</v>
      </c>
    </row>
    <row r="361" spans="1:13" x14ac:dyDescent="0.35">
      <c r="A361" t="s">
        <v>24</v>
      </c>
      <c r="D361" t="s">
        <v>27</v>
      </c>
      <c r="F361">
        <v>2</v>
      </c>
      <c r="G361">
        <v>8</v>
      </c>
      <c r="H361">
        <v>3</v>
      </c>
      <c r="I361">
        <v>24</v>
      </c>
      <c r="K361" s="124">
        <v>45590</v>
      </c>
      <c r="L361">
        <v>299</v>
      </c>
      <c r="M361">
        <v>99</v>
      </c>
    </row>
    <row r="362" spans="1:13" x14ac:dyDescent="0.35">
      <c r="A362" t="s">
        <v>34</v>
      </c>
      <c r="D362" t="s">
        <v>343</v>
      </c>
      <c r="F362">
        <v>2</v>
      </c>
      <c r="G362">
        <v>1</v>
      </c>
      <c r="H362">
        <v>4</v>
      </c>
      <c r="I362">
        <v>25</v>
      </c>
      <c r="K362" s="124">
        <v>45421</v>
      </c>
      <c r="L362">
        <v>130</v>
      </c>
    </row>
    <row r="363" spans="1:13" x14ac:dyDescent="0.35">
      <c r="A363" t="s">
        <v>34</v>
      </c>
      <c r="D363" t="s">
        <v>343</v>
      </c>
      <c r="F363">
        <v>2</v>
      </c>
      <c r="G363">
        <v>1</v>
      </c>
      <c r="H363">
        <v>4</v>
      </c>
      <c r="I363">
        <v>25</v>
      </c>
      <c r="K363" s="124">
        <v>45442</v>
      </c>
      <c r="L363">
        <v>151</v>
      </c>
      <c r="M363">
        <v>8</v>
      </c>
    </row>
    <row r="364" spans="1:13" x14ac:dyDescent="0.35">
      <c r="A364" t="s">
        <v>34</v>
      </c>
      <c r="D364" t="s">
        <v>343</v>
      </c>
      <c r="F364">
        <v>2</v>
      </c>
      <c r="G364">
        <v>1</v>
      </c>
      <c r="H364">
        <v>4</v>
      </c>
      <c r="I364">
        <v>25</v>
      </c>
      <c r="K364" s="124">
        <v>45461</v>
      </c>
      <c r="L364">
        <v>170</v>
      </c>
      <c r="M364">
        <v>14</v>
      </c>
    </row>
    <row r="365" spans="1:13" x14ac:dyDescent="0.35">
      <c r="A365" t="s">
        <v>34</v>
      </c>
      <c r="D365" t="s">
        <v>343</v>
      </c>
      <c r="F365">
        <v>2</v>
      </c>
      <c r="G365">
        <v>1</v>
      </c>
      <c r="H365">
        <v>4</v>
      </c>
      <c r="I365">
        <v>25</v>
      </c>
      <c r="K365" s="124">
        <v>45477</v>
      </c>
      <c r="L365">
        <v>186</v>
      </c>
      <c r="M365">
        <v>15</v>
      </c>
    </row>
    <row r="366" spans="1:13" x14ac:dyDescent="0.35">
      <c r="A366" t="s">
        <v>34</v>
      </c>
      <c r="D366" t="s">
        <v>343</v>
      </c>
      <c r="F366">
        <v>2</v>
      </c>
      <c r="G366">
        <v>1</v>
      </c>
      <c r="H366">
        <v>4</v>
      </c>
      <c r="I366">
        <v>25</v>
      </c>
      <c r="K366" s="124">
        <v>45491</v>
      </c>
      <c r="L366">
        <v>200</v>
      </c>
      <c r="M366">
        <v>22</v>
      </c>
    </row>
    <row r="367" spans="1:13" x14ac:dyDescent="0.35">
      <c r="A367" t="s">
        <v>34</v>
      </c>
      <c r="D367" t="s">
        <v>343</v>
      </c>
      <c r="F367">
        <v>2</v>
      </c>
      <c r="G367">
        <v>1</v>
      </c>
      <c r="H367">
        <v>4</v>
      </c>
      <c r="I367">
        <v>25</v>
      </c>
      <c r="K367" s="124">
        <v>45510</v>
      </c>
      <c r="L367">
        <v>219</v>
      </c>
      <c r="M367">
        <v>31</v>
      </c>
    </row>
    <row r="368" spans="1:13" x14ac:dyDescent="0.35">
      <c r="A368" t="s">
        <v>34</v>
      </c>
      <c r="D368" t="s">
        <v>343</v>
      </c>
      <c r="F368">
        <v>2</v>
      </c>
      <c r="G368">
        <v>1</v>
      </c>
      <c r="H368">
        <v>4</v>
      </c>
      <c r="I368">
        <v>25</v>
      </c>
      <c r="K368" s="124">
        <v>45530</v>
      </c>
      <c r="L368">
        <v>239</v>
      </c>
      <c r="M368">
        <v>54</v>
      </c>
    </row>
    <row r="369" spans="1:13" x14ac:dyDescent="0.35">
      <c r="A369" t="s">
        <v>34</v>
      </c>
      <c r="D369" t="s">
        <v>343</v>
      </c>
      <c r="F369">
        <v>2</v>
      </c>
      <c r="G369">
        <v>1</v>
      </c>
      <c r="H369">
        <v>4</v>
      </c>
      <c r="I369">
        <v>25</v>
      </c>
      <c r="K369" s="124">
        <v>45538</v>
      </c>
      <c r="L369">
        <v>247</v>
      </c>
      <c r="M369">
        <v>62</v>
      </c>
    </row>
    <row r="370" spans="1:13" x14ac:dyDescent="0.35">
      <c r="A370" t="s">
        <v>34</v>
      </c>
      <c r="D370" t="s">
        <v>343</v>
      </c>
      <c r="F370">
        <v>2</v>
      </c>
      <c r="G370">
        <v>1</v>
      </c>
      <c r="H370">
        <v>4</v>
      </c>
      <c r="I370">
        <v>25</v>
      </c>
      <c r="K370" s="124">
        <v>45547</v>
      </c>
      <c r="L370">
        <v>256</v>
      </c>
      <c r="M370">
        <v>69</v>
      </c>
    </row>
    <row r="371" spans="1:13" x14ac:dyDescent="0.35">
      <c r="A371" t="s">
        <v>34</v>
      </c>
      <c r="D371" t="s">
        <v>343</v>
      </c>
      <c r="F371">
        <v>2</v>
      </c>
      <c r="G371">
        <v>1</v>
      </c>
      <c r="H371">
        <v>4</v>
      </c>
      <c r="I371">
        <v>25</v>
      </c>
      <c r="K371" s="124">
        <v>45553</v>
      </c>
      <c r="L371">
        <v>262</v>
      </c>
      <c r="M371">
        <v>77</v>
      </c>
    </row>
    <row r="372" spans="1:13" x14ac:dyDescent="0.35">
      <c r="A372" t="s">
        <v>34</v>
      </c>
      <c r="D372" t="s">
        <v>343</v>
      </c>
      <c r="F372">
        <v>2</v>
      </c>
      <c r="G372">
        <v>1</v>
      </c>
      <c r="H372">
        <v>4</v>
      </c>
      <c r="I372">
        <v>25</v>
      </c>
      <c r="K372" s="124">
        <v>45558</v>
      </c>
      <c r="L372">
        <v>267</v>
      </c>
      <c r="M372">
        <v>79</v>
      </c>
    </row>
    <row r="373" spans="1:13" x14ac:dyDescent="0.35">
      <c r="A373" t="s">
        <v>34</v>
      </c>
      <c r="D373" t="s">
        <v>343</v>
      </c>
      <c r="F373">
        <v>2</v>
      </c>
      <c r="G373">
        <v>1</v>
      </c>
      <c r="H373">
        <v>4</v>
      </c>
      <c r="I373">
        <v>25</v>
      </c>
      <c r="K373" s="124">
        <v>45562</v>
      </c>
      <c r="L373">
        <v>271</v>
      </c>
      <c r="M373">
        <v>81</v>
      </c>
    </row>
    <row r="374" spans="1:13" x14ac:dyDescent="0.35">
      <c r="A374" t="s">
        <v>34</v>
      </c>
      <c r="D374" t="s">
        <v>343</v>
      </c>
      <c r="F374">
        <v>2</v>
      </c>
      <c r="G374">
        <v>1</v>
      </c>
      <c r="H374">
        <v>4</v>
      </c>
      <c r="I374">
        <v>25</v>
      </c>
      <c r="K374" s="124">
        <v>45571</v>
      </c>
      <c r="L374">
        <v>280</v>
      </c>
      <c r="M374">
        <v>100</v>
      </c>
    </row>
    <row r="375" spans="1:13" x14ac:dyDescent="0.35">
      <c r="A375" t="s">
        <v>34</v>
      </c>
      <c r="D375" t="s">
        <v>343</v>
      </c>
      <c r="F375">
        <v>2</v>
      </c>
      <c r="G375">
        <v>1</v>
      </c>
      <c r="H375">
        <v>4</v>
      </c>
      <c r="I375">
        <v>25</v>
      </c>
      <c r="K375" s="124">
        <v>45576</v>
      </c>
      <c r="L375">
        <v>285</v>
      </c>
      <c r="M375">
        <v>100</v>
      </c>
    </row>
    <row r="376" spans="1:13" x14ac:dyDescent="0.35">
      <c r="A376" t="s">
        <v>34</v>
      </c>
      <c r="D376" t="s">
        <v>343</v>
      </c>
      <c r="F376">
        <v>2</v>
      </c>
      <c r="G376">
        <v>1</v>
      </c>
      <c r="H376">
        <v>4</v>
      </c>
      <c r="I376">
        <v>25</v>
      </c>
      <c r="K376" s="124">
        <v>45590</v>
      </c>
      <c r="L376">
        <v>299</v>
      </c>
      <c r="M376">
        <v>101</v>
      </c>
    </row>
    <row r="377" spans="1:13" x14ac:dyDescent="0.35">
      <c r="A377" t="s">
        <v>34</v>
      </c>
      <c r="D377" t="s">
        <v>43</v>
      </c>
      <c r="F377">
        <v>2</v>
      </c>
      <c r="G377">
        <v>2</v>
      </c>
      <c r="H377">
        <v>4</v>
      </c>
      <c r="I377">
        <v>26</v>
      </c>
      <c r="K377" s="124">
        <v>45421</v>
      </c>
      <c r="L377">
        <v>130</v>
      </c>
    </row>
    <row r="378" spans="1:13" x14ac:dyDescent="0.35">
      <c r="A378" t="s">
        <v>34</v>
      </c>
      <c r="D378" t="s">
        <v>43</v>
      </c>
      <c r="F378">
        <v>2</v>
      </c>
      <c r="G378">
        <v>2</v>
      </c>
      <c r="H378">
        <v>4</v>
      </c>
      <c r="I378">
        <v>26</v>
      </c>
      <c r="K378" s="124">
        <v>45442</v>
      </c>
      <c r="L378">
        <v>151</v>
      </c>
      <c r="M378">
        <v>8</v>
      </c>
    </row>
    <row r="379" spans="1:13" x14ac:dyDescent="0.35">
      <c r="A379" t="s">
        <v>34</v>
      </c>
      <c r="D379" t="s">
        <v>43</v>
      </c>
      <c r="F379">
        <v>2</v>
      </c>
      <c r="G379">
        <v>2</v>
      </c>
      <c r="H379">
        <v>4</v>
      </c>
      <c r="I379">
        <v>26</v>
      </c>
      <c r="K379" s="124">
        <v>45461</v>
      </c>
      <c r="L379">
        <v>170</v>
      </c>
      <c r="M379">
        <v>18</v>
      </c>
    </row>
    <row r="380" spans="1:13" x14ac:dyDescent="0.35">
      <c r="A380" t="s">
        <v>34</v>
      </c>
      <c r="D380" t="s">
        <v>43</v>
      </c>
      <c r="F380">
        <v>2</v>
      </c>
      <c r="G380">
        <v>2</v>
      </c>
      <c r="H380">
        <v>4</v>
      </c>
      <c r="I380">
        <v>26</v>
      </c>
      <c r="K380" s="124">
        <v>45477</v>
      </c>
      <c r="L380">
        <v>186</v>
      </c>
      <c r="M380">
        <v>22</v>
      </c>
    </row>
    <row r="381" spans="1:13" x14ac:dyDescent="0.35">
      <c r="A381" t="s">
        <v>34</v>
      </c>
      <c r="D381" t="s">
        <v>43</v>
      </c>
      <c r="F381">
        <v>2</v>
      </c>
      <c r="G381">
        <v>2</v>
      </c>
      <c r="H381">
        <v>4</v>
      </c>
      <c r="I381">
        <v>26</v>
      </c>
      <c r="K381" s="124">
        <v>45491</v>
      </c>
      <c r="L381">
        <v>200</v>
      </c>
      <c r="M381">
        <v>30</v>
      </c>
    </row>
    <row r="382" spans="1:13" x14ac:dyDescent="0.35">
      <c r="A382" t="s">
        <v>34</v>
      </c>
      <c r="D382" t="s">
        <v>43</v>
      </c>
      <c r="F382">
        <v>2</v>
      </c>
      <c r="G382">
        <v>2</v>
      </c>
      <c r="H382">
        <v>4</v>
      </c>
      <c r="I382">
        <v>26</v>
      </c>
      <c r="K382" s="124">
        <v>45510</v>
      </c>
      <c r="L382">
        <v>219</v>
      </c>
      <c r="M382">
        <v>37</v>
      </c>
    </row>
    <row r="383" spans="1:13" x14ac:dyDescent="0.35">
      <c r="A383" t="s">
        <v>34</v>
      </c>
      <c r="D383" t="s">
        <v>43</v>
      </c>
      <c r="F383">
        <v>2</v>
      </c>
      <c r="G383">
        <v>2</v>
      </c>
      <c r="H383">
        <v>4</v>
      </c>
      <c r="I383">
        <v>26</v>
      </c>
      <c r="K383" s="124">
        <v>45530</v>
      </c>
      <c r="L383">
        <v>239</v>
      </c>
      <c r="M383">
        <v>53</v>
      </c>
    </row>
    <row r="384" spans="1:13" x14ac:dyDescent="0.35">
      <c r="A384" t="s">
        <v>34</v>
      </c>
      <c r="D384" t="s">
        <v>43</v>
      </c>
      <c r="F384">
        <v>2</v>
      </c>
      <c r="G384">
        <v>2</v>
      </c>
      <c r="H384">
        <v>4</v>
      </c>
      <c r="I384">
        <v>26</v>
      </c>
      <c r="K384" s="124">
        <v>45538</v>
      </c>
      <c r="L384">
        <v>247</v>
      </c>
      <c r="M384">
        <v>57</v>
      </c>
    </row>
    <row r="385" spans="1:13" x14ac:dyDescent="0.35">
      <c r="A385" t="s">
        <v>34</v>
      </c>
      <c r="D385" t="s">
        <v>43</v>
      </c>
      <c r="F385">
        <v>2</v>
      </c>
      <c r="G385">
        <v>2</v>
      </c>
      <c r="H385">
        <v>4</v>
      </c>
      <c r="I385">
        <v>26</v>
      </c>
      <c r="K385" s="124">
        <v>45547</v>
      </c>
      <c r="L385">
        <v>256</v>
      </c>
      <c r="M385">
        <v>63</v>
      </c>
    </row>
    <row r="386" spans="1:13" x14ac:dyDescent="0.35">
      <c r="A386" t="s">
        <v>34</v>
      </c>
      <c r="D386" t="s">
        <v>43</v>
      </c>
      <c r="F386">
        <v>2</v>
      </c>
      <c r="G386">
        <v>2</v>
      </c>
      <c r="H386">
        <v>4</v>
      </c>
      <c r="I386">
        <v>26</v>
      </c>
      <c r="K386" s="124">
        <v>45553</v>
      </c>
      <c r="L386">
        <v>262</v>
      </c>
      <c r="M386">
        <v>70</v>
      </c>
    </row>
    <row r="387" spans="1:13" x14ac:dyDescent="0.35">
      <c r="A387" t="s">
        <v>34</v>
      </c>
      <c r="D387" t="s">
        <v>43</v>
      </c>
      <c r="F387">
        <v>2</v>
      </c>
      <c r="G387">
        <v>2</v>
      </c>
      <c r="H387">
        <v>4</v>
      </c>
      <c r="I387">
        <v>26</v>
      </c>
      <c r="K387" s="124">
        <v>45558</v>
      </c>
      <c r="L387">
        <v>267</v>
      </c>
      <c r="M387">
        <v>74</v>
      </c>
    </row>
    <row r="388" spans="1:13" x14ac:dyDescent="0.35">
      <c r="A388" t="s">
        <v>34</v>
      </c>
      <c r="D388" t="s">
        <v>43</v>
      </c>
      <c r="F388">
        <v>2</v>
      </c>
      <c r="G388">
        <v>2</v>
      </c>
      <c r="H388">
        <v>4</v>
      </c>
      <c r="I388">
        <v>26</v>
      </c>
      <c r="K388" s="124">
        <v>45562</v>
      </c>
      <c r="L388">
        <v>271</v>
      </c>
      <c r="M388">
        <v>74</v>
      </c>
    </row>
    <row r="389" spans="1:13" x14ac:dyDescent="0.35">
      <c r="A389" t="s">
        <v>34</v>
      </c>
      <c r="D389" t="s">
        <v>43</v>
      </c>
      <c r="F389">
        <v>2</v>
      </c>
      <c r="G389">
        <v>2</v>
      </c>
      <c r="H389">
        <v>4</v>
      </c>
      <c r="I389">
        <v>26</v>
      </c>
      <c r="K389" s="124">
        <v>45571</v>
      </c>
      <c r="L389">
        <v>280</v>
      </c>
      <c r="M389">
        <v>90</v>
      </c>
    </row>
    <row r="390" spans="1:13" x14ac:dyDescent="0.35">
      <c r="A390" t="s">
        <v>34</v>
      </c>
      <c r="D390" t="s">
        <v>43</v>
      </c>
      <c r="F390">
        <v>2</v>
      </c>
      <c r="G390">
        <v>2</v>
      </c>
      <c r="H390">
        <v>4</v>
      </c>
      <c r="I390">
        <v>26</v>
      </c>
      <c r="K390" s="124">
        <v>45576</v>
      </c>
      <c r="L390">
        <v>285</v>
      </c>
      <c r="M390">
        <v>93</v>
      </c>
    </row>
    <row r="391" spans="1:13" x14ac:dyDescent="0.35">
      <c r="A391" t="s">
        <v>34</v>
      </c>
      <c r="D391" t="s">
        <v>43</v>
      </c>
      <c r="F391">
        <v>2</v>
      </c>
      <c r="G391">
        <v>2</v>
      </c>
      <c r="H391">
        <v>4</v>
      </c>
      <c r="I391">
        <v>26</v>
      </c>
      <c r="K391" s="124">
        <v>45590</v>
      </c>
      <c r="L391">
        <v>299</v>
      </c>
      <c r="M391">
        <v>93</v>
      </c>
    </row>
    <row r="392" spans="1:13" x14ac:dyDescent="0.35">
      <c r="A392" t="s">
        <v>34</v>
      </c>
      <c r="D392" t="s">
        <v>38</v>
      </c>
      <c r="F392">
        <v>2</v>
      </c>
      <c r="G392">
        <v>3</v>
      </c>
      <c r="H392">
        <v>4</v>
      </c>
      <c r="I392">
        <v>27</v>
      </c>
      <c r="K392" s="124">
        <v>45421</v>
      </c>
      <c r="L392">
        <v>130</v>
      </c>
    </row>
    <row r="393" spans="1:13" x14ac:dyDescent="0.35">
      <c r="A393" t="s">
        <v>34</v>
      </c>
      <c r="D393" t="s">
        <v>38</v>
      </c>
      <c r="F393">
        <v>2</v>
      </c>
      <c r="G393">
        <v>3</v>
      </c>
      <c r="H393">
        <v>4</v>
      </c>
      <c r="I393">
        <v>27</v>
      </c>
      <c r="K393" s="124">
        <v>45442</v>
      </c>
      <c r="L393">
        <v>151</v>
      </c>
      <c r="M393">
        <v>8</v>
      </c>
    </row>
    <row r="394" spans="1:13" x14ac:dyDescent="0.35">
      <c r="A394" t="s">
        <v>34</v>
      </c>
      <c r="D394" t="s">
        <v>38</v>
      </c>
      <c r="F394">
        <v>2</v>
      </c>
      <c r="G394">
        <v>3</v>
      </c>
      <c r="H394">
        <v>4</v>
      </c>
      <c r="I394">
        <v>27</v>
      </c>
      <c r="K394" s="124">
        <v>45461</v>
      </c>
      <c r="L394">
        <v>170</v>
      </c>
      <c r="M394">
        <v>14</v>
      </c>
    </row>
    <row r="395" spans="1:13" x14ac:dyDescent="0.35">
      <c r="A395" t="s">
        <v>34</v>
      </c>
      <c r="D395" t="s">
        <v>38</v>
      </c>
      <c r="F395">
        <v>2</v>
      </c>
      <c r="G395">
        <v>3</v>
      </c>
      <c r="H395">
        <v>4</v>
      </c>
      <c r="I395">
        <v>27</v>
      </c>
      <c r="K395" s="124">
        <v>45477</v>
      </c>
      <c r="L395">
        <v>186</v>
      </c>
      <c r="M395">
        <v>20</v>
      </c>
    </row>
    <row r="396" spans="1:13" x14ac:dyDescent="0.35">
      <c r="A396" t="s">
        <v>34</v>
      </c>
      <c r="D396" t="s">
        <v>38</v>
      </c>
      <c r="F396">
        <v>2</v>
      </c>
      <c r="G396">
        <v>3</v>
      </c>
      <c r="H396">
        <v>4</v>
      </c>
      <c r="I396">
        <v>27</v>
      </c>
      <c r="K396" s="124">
        <v>45491</v>
      </c>
      <c r="L396">
        <v>200</v>
      </c>
      <c r="M396">
        <v>29</v>
      </c>
    </row>
    <row r="397" spans="1:13" x14ac:dyDescent="0.35">
      <c r="A397" t="s">
        <v>34</v>
      </c>
      <c r="D397" t="s">
        <v>38</v>
      </c>
      <c r="F397">
        <v>2</v>
      </c>
      <c r="G397">
        <v>3</v>
      </c>
      <c r="H397">
        <v>4</v>
      </c>
      <c r="I397">
        <v>27</v>
      </c>
      <c r="K397" s="124">
        <v>45510</v>
      </c>
      <c r="L397">
        <v>219</v>
      </c>
      <c r="M397">
        <v>36</v>
      </c>
    </row>
    <row r="398" spans="1:13" x14ac:dyDescent="0.35">
      <c r="A398" t="s">
        <v>34</v>
      </c>
      <c r="D398" t="s">
        <v>38</v>
      </c>
      <c r="F398">
        <v>2</v>
      </c>
      <c r="G398">
        <v>3</v>
      </c>
      <c r="H398">
        <v>4</v>
      </c>
      <c r="I398">
        <v>27</v>
      </c>
      <c r="K398" s="124">
        <v>45530</v>
      </c>
      <c r="L398">
        <v>239</v>
      </c>
      <c r="M398">
        <v>57</v>
      </c>
    </row>
    <row r="399" spans="1:13" x14ac:dyDescent="0.35">
      <c r="A399" t="s">
        <v>34</v>
      </c>
      <c r="D399" t="s">
        <v>38</v>
      </c>
      <c r="F399">
        <v>2</v>
      </c>
      <c r="G399">
        <v>3</v>
      </c>
      <c r="H399">
        <v>4</v>
      </c>
      <c r="I399">
        <v>27</v>
      </c>
      <c r="K399" s="124">
        <v>45538</v>
      </c>
      <c r="L399">
        <v>247</v>
      </c>
      <c r="M399">
        <v>59</v>
      </c>
    </row>
    <row r="400" spans="1:13" x14ac:dyDescent="0.35">
      <c r="A400" t="s">
        <v>34</v>
      </c>
      <c r="D400" t="s">
        <v>38</v>
      </c>
      <c r="F400">
        <v>2</v>
      </c>
      <c r="G400">
        <v>3</v>
      </c>
      <c r="H400">
        <v>4</v>
      </c>
      <c r="I400">
        <v>27</v>
      </c>
      <c r="K400" s="124">
        <v>45547</v>
      </c>
      <c r="L400">
        <v>256</v>
      </c>
      <c r="M400">
        <v>68</v>
      </c>
    </row>
    <row r="401" spans="1:13" x14ac:dyDescent="0.35">
      <c r="A401" t="s">
        <v>34</v>
      </c>
      <c r="D401" t="s">
        <v>38</v>
      </c>
      <c r="F401">
        <v>2</v>
      </c>
      <c r="G401">
        <v>3</v>
      </c>
      <c r="H401">
        <v>4</v>
      </c>
      <c r="I401">
        <v>27</v>
      </c>
      <c r="K401" s="124">
        <v>45553</v>
      </c>
      <c r="L401">
        <v>262</v>
      </c>
      <c r="M401">
        <v>72</v>
      </c>
    </row>
    <row r="402" spans="1:13" x14ac:dyDescent="0.35">
      <c r="A402" t="s">
        <v>34</v>
      </c>
      <c r="D402" t="s">
        <v>38</v>
      </c>
      <c r="F402">
        <v>2</v>
      </c>
      <c r="G402">
        <v>3</v>
      </c>
      <c r="H402">
        <v>4</v>
      </c>
      <c r="I402">
        <v>27</v>
      </c>
      <c r="K402" s="124">
        <v>45558</v>
      </c>
      <c r="L402">
        <v>267</v>
      </c>
      <c r="M402">
        <v>73</v>
      </c>
    </row>
    <row r="403" spans="1:13" x14ac:dyDescent="0.35">
      <c r="A403" t="s">
        <v>34</v>
      </c>
      <c r="D403" t="s">
        <v>38</v>
      </c>
      <c r="F403">
        <v>2</v>
      </c>
      <c r="G403">
        <v>3</v>
      </c>
      <c r="H403">
        <v>4</v>
      </c>
      <c r="I403">
        <v>27</v>
      </c>
      <c r="K403" s="124">
        <v>45562</v>
      </c>
      <c r="L403">
        <v>271</v>
      </c>
      <c r="M403">
        <v>77</v>
      </c>
    </row>
    <row r="404" spans="1:13" x14ac:dyDescent="0.35">
      <c r="A404" t="s">
        <v>34</v>
      </c>
      <c r="D404" t="s">
        <v>38</v>
      </c>
      <c r="F404">
        <v>2</v>
      </c>
      <c r="G404">
        <v>3</v>
      </c>
      <c r="H404">
        <v>4</v>
      </c>
      <c r="I404">
        <v>27</v>
      </c>
      <c r="K404" s="124">
        <v>45571</v>
      </c>
      <c r="L404">
        <v>280</v>
      </c>
      <c r="M404">
        <v>93</v>
      </c>
    </row>
    <row r="405" spans="1:13" x14ac:dyDescent="0.35">
      <c r="A405" t="s">
        <v>34</v>
      </c>
      <c r="D405" t="s">
        <v>38</v>
      </c>
      <c r="F405">
        <v>2</v>
      </c>
      <c r="G405">
        <v>3</v>
      </c>
      <c r="H405">
        <v>4</v>
      </c>
      <c r="I405">
        <v>27</v>
      </c>
      <c r="K405" s="124">
        <v>45576</v>
      </c>
      <c r="L405">
        <v>285</v>
      </c>
      <c r="M405">
        <v>96</v>
      </c>
    </row>
    <row r="406" spans="1:13" x14ac:dyDescent="0.35">
      <c r="A406" t="s">
        <v>34</v>
      </c>
      <c r="D406" t="s">
        <v>38</v>
      </c>
      <c r="F406">
        <v>2</v>
      </c>
      <c r="G406">
        <v>3</v>
      </c>
      <c r="H406">
        <v>4</v>
      </c>
      <c r="I406">
        <v>27</v>
      </c>
      <c r="K406" s="124">
        <v>45590</v>
      </c>
      <c r="L406">
        <v>299</v>
      </c>
      <c r="M406">
        <v>97</v>
      </c>
    </row>
    <row r="407" spans="1:13" x14ac:dyDescent="0.35">
      <c r="A407" t="s">
        <v>34</v>
      </c>
      <c r="D407" t="s">
        <v>39</v>
      </c>
      <c r="F407">
        <v>2</v>
      </c>
      <c r="G407">
        <v>4</v>
      </c>
      <c r="H407">
        <v>4</v>
      </c>
      <c r="I407">
        <v>28</v>
      </c>
      <c r="K407" s="124">
        <v>45421</v>
      </c>
      <c r="L407">
        <v>130</v>
      </c>
    </row>
    <row r="408" spans="1:13" x14ac:dyDescent="0.35">
      <c r="A408" t="s">
        <v>34</v>
      </c>
      <c r="D408" t="s">
        <v>39</v>
      </c>
      <c r="F408">
        <v>2</v>
      </c>
      <c r="G408">
        <v>4</v>
      </c>
      <c r="H408">
        <v>4</v>
      </c>
      <c r="I408">
        <v>28</v>
      </c>
      <c r="K408" s="124">
        <v>45442</v>
      </c>
      <c r="L408">
        <v>151</v>
      </c>
      <c r="M408">
        <v>7</v>
      </c>
    </row>
    <row r="409" spans="1:13" x14ac:dyDescent="0.35">
      <c r="A409" t="s">
        <v>34</v>
      </c>
      <c r="D409" t="s">
        <v>39</v>
      </c>
      <c r="F409">
        <v>2</v>
      </c>
      <c r="G409">
        <v>4</v>
      </c>
      <c r="H409">
        <v>4</v>
      </c>
      <c r="I409">
        <v>28</v>
      </c>
      <c r="K409" s="124">
        <v>45461</v>
      </c>
      <c r="L409">
        <v>170</v>
      </c>
      <c r="M409">
        <v>12</v>
      </c>
    </row>
    <row r="410" spans="1:13" x14ac:dyDescent="0.35">
      <c r="A410" t="s">
        <v>34</v>
      </c>
      <c r="D410" t="s">
        <v>39</v>
      </c>
      <c r="F410">
        <v>2</v>
      </c>
      <c r="G410">
        <v>4</v>
      </c>
      <c r="H410">
        <v>4</v>
      </c>
      <c r="I410">
        <v>28</v>
      </c>
      <c r="K410" s="124">
        <v>45477</v>
      </c>
      <c r="L410">
        <v>186</v>
      </c>
      <c r="M410">
        <v>15</v>
      </c>
    </row>
    <row r="411" spans="1:13" x14ac:dyDescent="0.35">
      <c r="A411" t="s">
        <v>34</v>
      </c>
      <c r="D411" t="s">
        <v>39</v>
      </c>
      <c r="F411">
        <v>2</v>
      </c>
      <c r="G411">
        <v>4</v>
      </c>
      <c r="H411">
        <v>4</v>
      </c>
      <c r="I411">
        <v>28</v>
      </c>
      <c r="K411" s="124">
        <v>45491</v>
      </c>
      <c r="L411">
        <v>200</v>
      </c>
      <c r="M411">
        <v>20</v>
      </c>
    </row>
    <row r="412" spans="1:13" x14ac:dyDescent="0.35">
      <c r="A412" t="s">
        <v>34</v>
      </c>
      <c r="D412" t="s">
        <v>39</v>
      </c>
      <c r="F412">
        <v>2</v>
      </c>
      <c r="G412">
        <v>4</v>
      </c>
      <c r="H412">
        <v>4</v>
      </c>
      <c r="I412">
        <v>28</v>
      </c>
      <c r="K412" s="124">
        <v>45510</v>
      </c>
      <c r="L412">
        <v>219</v>
      </c>
      <c r="M412">
        <v>33</v>
      </c>
    </row>
    <row r="413" spans="1:13" x14ac:dyDescent="0.35">
      <c r="A413" t="s">
        <v>34</v>
      </c>
      <c r="D413" t="s">
        <v>39</v>
      </c>
      <c r="F413">
        <v>2</v>
      </c>
      <c r="G413">
        <v>4</v>
      </c>
      <c r="H413">
        <v>4</v>
      </c>
      <c r="I413">
        <v>28</v>
      </c>
      <c r="K413" s="124">
        <v>45530</v>
      </c>
      <c r="L413">
        <v>239</v>
      </c>
      <c r="M413">
        <v>50</v>
      </c>
    </row>
    <row r="414" spans="1:13" x14ac:dyDescent="0.35">
      <c r="A414" t="s">
        <v>34</v>
      </c>
      <c r="D414" t="s">
        <v>39</v>
      </c>
      <c r="F414">
        <v>2</v>
      </c>
      <c r="G414">
        <v>4</v>
      </c>
      <c r="H414">
        <v>4</v>
      </c>
      <c r="I414">
        <v>28</v>
      </c>
      <c r="K414" s="124">
        <v>45538</v>
      </c>
      <c r="L414">
        <v>247</v>
      </c>
      <c r="M414">
        <v>57</v>
      </c>
    </row>
    <row r="415" spans="1:13" x14ac:dyDescent="0.35">
      <c r="A415" t="s">
        <v>34</v>
      </c>
      <c r="D415" t="s">
        <v>39</v>
      </c>
      <c r="F415">
        <v>2</v>
      </c>
      <c r="G415">
        <v>4</v>
      </c>
      <c r="H415">
        <v>4</v>
      </c>
      <c r="I415">
        <v>28</v>
      </c>
      <c r="K415" s="124">
        <v>45547</v>
      </c>
      <c r="L415">
        <v>256</v>
      </c>
      <c r="M415">
        <v>65</v>
      </c>
    </row>
    <row r="416" spans="1:13" x14ac:dyDescent="0.35">
      <c r="A416" t="s">
        <v>34</v>
      </c>
      <c r="D416" t="s">
        <v>39</v>
      </c>
      <c r="F416">
        <v>2</v>
      </c>
      <c r="G416">
        <v>4</v>
      </c>
      <c r="H416">
        <v>4</v>
      </c>
      <c r="I416">
        <v>28</v>
      </c>
      <c r="K416" s="124">
        <v>45553</v>
      </c>
      <c r="L416">
        <v>262</v>
      </c>
      <c r="M416">
        <v>71</v>
      </c>
    </row>
    <row r="417" spans="1:13" x14ac:dyDescent="0.35">
      <c r="A417" t="s">
        <v>34</v>
      </c>
      <c r="D417" t="s">
        <v>39</v>
      </c>
      <c r="F417">
        <v>2</v>
      </c>
      <c r="G417">
        <v>4</v>
      </c>
      <c r="H417">
        <v>4</v>
      </c>
      <c r="I417">
        <v>28</v>
      </c>
      <c r="K417" s="124">
        <v>45558</v>
      </c>
      <c r="L417">
        <v>267</v>
      </c>
      <c r="M417">
        <v>71</v>
      </c>
    </row>
    <row r="418" spans="1:13" x14ac:dyDescent="0.35">
      <c r="A418" t="s">
        <v>34</v>
      </c>
      <c r="D418" t="s">
        <v>39</v>
      </c>
      <c r="F418">
        <v>2</v>
      </c>
      <c r="G418">
        <v>4</v>
      </c>
      <c r="H418">
        <v>4</v>
      </c>
      <c r="I418">
        <v>28</v>
      </c>
      <c r="K418" s="124">
        <v>45562</v>
      </c>
      <c r="L418">
        <v>271</v>
      </c>
      <c r="M418">
        <v>71</v>
      </c>
    </row>
    <row r="419" spans="1:13" x14ac:dyDescent="0.35">
      <c r="A419" t="s">
        <v>34</v>
      </c>
      <c r="D419" t="s">
        <v>39</v>
      </c>
      <c r="F419">
        <v>2</v>
      </c>
      <c r="G419">
        <v>4</v>
      </c>
      <c r="H419">
        <v>4</v>
      </c>
      <c r="I419">
        <v>28</v>
      </c>
      <c r="K419" s="124">
        <v>45571</v>
      </c>
      <c r="L419">
        <v>280</v>
      </c>
      <c r="M419">
        <v>80</v>
      </c>
    </row>
    <row r="420" spans="1:13" x14ac:dyDescent="0.35">
      <c r="A420" t="s">
        <v>34</v>
      </c>
      <c r="D420" t="s">
        <v>39</v>
      </c>
      <c r="F420">
        <v>2</v>
      </c>
      <c r="G420">
        <v>4</v>
      </c>
      <c r="H420">
        <v>4</v>
      </c>
      <c r="I420">
        <v>28</v>
      </c>
      <c r="K420" s="124">
        <v>45576</v>
      </c>
      <c r="L420">
        <v>285</v>
      </c>
      <c r="M420">
        <v>80</v>
      </c>
    </row>
    <row r="421" spans="1:13" x14ac:dyDescent="0.35">
      <c r="A421" t="s">
        <v>34</v>
      </c>
      <c r="D421" t="s">
        <v>39</v>
      </c>
      <c r="F421">
        <v>2</v>
      </c>
      <c r="G421">
        <v>4</v>
      </c>
      <c r="H421">
        <v>4</v>
      </c>
      <c r="I421">
        <v>28</v>
      </c>
      <c r="K421" s="124">
        <v>45590</v>
      </c>
      <c r="L421">
        <v>299</v>
      </c>
      <c r="M421">
        <v>80</v>
      </c>
    </row>
    <row r="422" spans="1:13" x14ac:dyDescent="0.35">
      <c r="A422" t="s">
        <v>34</v>
      </c>
      <c r="D422" t="s">
        <v>42</v>
      </c>
      <c r="F422">
        <v>2</v>
      </c>
      <c r="G422">
        <v>5</v>
      </c>
      <c r="H422">
        <v>4</v>
      </c>
      <c r="I422">
        <v>29</v>
      </c>
      <c r="K422" s="124">
        <v>45421</v>
      </c>
      <c r="L422">
        <v>130</v>
      </c>
    </row>
    <row r="423" spans="1:13" x14ac:dyDescent="0.35">
      <c r="A423" t="s">
        <v>34</v>
      </c>
      <c r="D423" t="s">
        <v>42</v>
      </c>
      <c r="F423">
        <v>2</v>
      </c>
      <c r="G423">
        <v>5</v>
      </c>
      <c r="H423">
        <v>4</v>
      </c>
      <c r="I423">
        <v>29</v>
      </c>
      <c r="K423" s="124">
        <v>45442</v>
      </c>
      <c r="L423">
        <v>151</v>
      </c>
      <c r="M423">
        <v>7</v>
      </c>
    </row>
    <row r="424" spans="1:13" x14ac:dyDescent="0.35">
      <c r="A424" t="s">
        <v>34</v>
      </c>
      <c r="D424" t="s">
        <v>42</v>
      </c>
      <c r="F424">
        <v>2</v>
      </c>
      <c r="G424">
        <v>5</v>
      </c>
      <c r="H424">
        <v>4</v>
      </c>
      <c r="I424">
        <v>29</v>
      </c>
      <c r="K424" s="124">
        <v>45461</v>
      </c>
      <c r="L424">
        <v>170</v>
      </c>
      <c r="M424">
        <v>17</v>
      </c>
    </row>
    <row r="425" spans="1:13" x14ac:dyDescent="0.35">
      <c r="A425" t="s">
        <v>34</v>
      </c>
      <c r="D425" t="s">
        <v>42</v>
      </c>
      <c r="F425">
        <v>2</v>
      </c>
      <c r="G425">
        <v>5</v>
      </c>
      <c r="H425">
        <v>4</v>
      </c>
      <c r="I425">
        <v>29</v>
      </c>
      <c r="K425" s="124">
        <v>45477</v>
      </c>
      <c r="L425">
        <v>186</v>
      </c>
      <c r="M425">
        <v>19</v>
      </c>
    </row>
    <row r="426" spans="1:13" x14ac:dyDescent="0.35">
      <c r="A426" t="s">
        <v>34</v>
      </c>
      <c r="D426" t="s">
        <v>42</v>
      </c>
      <c r="F426">
        <v>2</v>
      </c>
      <c r="G426">
        <v>5</v>
      </c>
      <c r="H426">
        <v>4</v>
      </c>
      <c r="I426">
        <v>29</v>
      </c>
      <c r="K426" s="124">
        <v>45491</v>
      </c>
      <c r="L426">
        <v>200</v>
      </c>
      <c r="M426">
        <v>24</v>
      </c>
    </row>
    <row r="427" spans="1:13" x14ac:dyDescent="0.35">
      <c r="A427" t="s">
        <v>34</v>
      </c>
      <c r="D427" t="s">
        <v>42</v>
      </c>
      <c r="F427">
        <v>2</v>
      </c>
      <c r="G427">
        <v>5</v>
      </c>
      <c r="H427">
        <v>4</v>
      </c>
      <c r="I427">
        <v>29</v>
      </c>
      <c r="K427" s="124">
        <v>45510</v>
      </c>
      <c r="L427">
        <v>219</v>
      </c>
      <c r="M427">
        <v>37</v>
      </c>
    </row>
    <row r="428" spans="1:13" x14ac:dyDescent="0.35">
      <c r="A428" t="s">
        <v>34</v>
      </c>
      <c r="D428" t="s">
        <v>42</v>
      </c>
      <c r="F428">
        <v>2</v>
      </c>
      <c r="G428">
        <v>5</v>
      </c>
      <c r="H428">
        <v>4</v>
      </c>
      <c r="I428">
        <v>29</v>
      </c>
      <c r="K428" s="124">
        <v>45530</v>
      </c>
      <c r="L428">
        <v>239</v>
      </c>
      <c r="M428">
        <v>58</v>
      </c>
    </row>
    <row r="429" spans="1:13" x14ac:dyDescent="0.35">
      <c r="A429" t="s">
        <v>34</v>
      </c>
      <c r="D429" t="s">
        <v>42</v>
      </c>
      <c r="F429">
        <v>2</v>
      </c>
      <c r="G429">
        <v>5</v>
      </c>
      <c r="H429">
        <v>4</v>
      </c>
      <c r="I429">
        <v>29</v>
      </c>
      <c r="K429" s="124">
        <v>45538</v>
      </c>
      <c r="L429">
        <v>247</v>
      </c>
      <c r="M429">
        <v>62</v>
      </c>
    </row>
    <row r="430" spans="1:13" x14ac:dyDescent="0.35">
      <c r="A430" t="s">
        <v>34</v>
      </c>
      <c r="D430" t="s">
        <v>42</v>
      </c>
      <c r="F430">
        <v>2</v>
      </c>
      <c r="G430">
        <v>5</v>
      </c>
      <c r="H430">
        <v>4</v>
      </c>
      <c r="I430">
        <v>29</v>
      </c>
      <c r="K430" s="124">
        <v>45547</v>
      </c>
      <c r="L430">
        <v>256</v>
      </c>
      <c r="M430">
        <v>69</v>
      </c>
    </row>
    <row r="431" spans="1:13" x14ac:dyDescent="0.35">
      <c r="A431" t="s">
        <v>34</v>
      </c>
      <c r="D431" t="s">
        <v>42</v>
      </c>
      <c r="F431">
        <v>2</v>
      </c>
      <c r="G431">
        <v>5</v>
      </c>
      <c r="H431">
        <v>4</v>
      </c>
      <c r="I431">
        <v>29</v>
      </c>
      <c r="K431" s="124">
        <v>45553</v>
      </c>
      <c r="L431">
        <v>262</v>
      </c>
      <c r="M431">
        <v>72</v>
      </c>
    </row>
    <row r="432" spans="1:13" x14ac:dyDescent="0.35">
      <c r="A432" t="s">
        <v>34</v>
      </c>
      <c r="D432" t="s">
        <v>42</v>
      </c>
      <c r="F432">
        <v>2</v>
      </c>
      <c r="G432">
        <v>5</v>
      </c>
      <c r="H432">
        <v>4</v>
      </c>
      <c r="I432">
        <v>29</v>
      </c>
      <c r="K432" s="124">
        <v>45558</v>
      </c>
      <c r="L432">
        <v>267</v>
      </c>
      <c r="M432">
        <v>74</v>
      </c>
    </row>
    <row r="433" spans="1:13" x14ac:dyDescent="0.35">
      <c r="A433" t="s">
        <v>34</v>
      </c>
      <c r="D433" t="s">
        <v>42</v>
      </c>
      <c r="F433">
        <v>2</v>
      </c>
      <c r="G433">
        <v>5</v>
      </c>
      <c r="H433">
        <v>4</v>
      </c>
      <c r="I433">
        <v>29</v>
      </c>
      <c r="K433" s="124">
        <v>45562</v>
      </c>
      <c r="L433">
        <v>271</v>
      </c>
      <c r="M433">
        <v>76</v>
      </c>
    </row>
    <row r="434" spans="1:13" x14ac:dyDescent="0.35">
      <c r="A434" t="s">
        <v>34</v>
      </c>
      <c r="D434" t="s">
        <v>42</v>
      </c>
      <c r="F434">
        <v>2</v>
      </c>
      <c r="G434">
        <v>5</v>
      </c>
      <c r="H434">
        <v>4</v>
      </c>
      <c r="I434">
        <v>29</v>
      </c>
      <c r="K434" s="124">
        <v>45571</v>
      </c>
      <c r="L434">
        <v>280</v>
      </c>
      <c r="M434">
        <v>87</v>
      </c>
    </row>
    <row r="435" spans="1:13" x14ac:dyDescent="0.35">
      <c r="A435" t="s">
        <v>34</v>
      </c>
      <c r="D435" t="s">
        <v>42</v>
      </c>
      <c r="F435">
        <v>2</v>
      </c>
      <c r="G435">
        <v>5</v>
      </c>
      <c r="H435">
        <v>4</v>
      </c>
      <c r="I435">
        <v>29</v>
      </c>
      <c r="K435" s="124">
        <v>45576</v>
      </c>
      <c r="L435">
        <v>285</v>
      </c>
      <c r="M435">
        <v>87</v>
      </c>
    </row>
    <row r="436" spans="1:13" x14ac:dyDescent="0.35">
      <c r="A436" t="s">
        <v>34</v>
      </c>
      <c r="D436" t="s">
        <v>42</v>
      </c>
      <c r="F436">
        <v>2</v>
      </c>
      <c r="G436">
        <v>5</v>
      </c>
      <c r="H436">
        <v>4</v>
      </c>
      <c r="I436">
        <v>29</v>
      </c>
      <c r="K436" s="124">
        <v>45590</v>
      </c>
      <c r="L436">
        <v>299</v>
      </c>
      <c r="M436">
        <v>87</v>
      </c>
    </row>
    <row r="437" spans="1:13" x14ac:dyDescent="0.35">
      <c r="A437" t="s">
        <v>34</v>
      </c>
      <c r="D437" t="s">
        <v>36</v>
      </c>
      <c r="F437">
        <v>2</v>
      </c>
      <c r="G437">
        <v>6</v>
      </c>
      <c r="H437">
        <v>4</v>
      </c>
      <c r="I437">
        <v>30</v>
      </c>
      <c r="K437" s="124">
        <v>45421</v>
      </c>
      <c r="L437">
        <v>130</v>
      </c>
    </row>
    <row r="438" spans="1:13" x14ac:dyDescent="0.35">
      <c r="A438" t="s">
        <v>34</v>
      </c>
      <c r="D438" t="s">
        <v>36</v>
      </c>
      <c r="F438">
        <v>2</v>
      </c>
      <c r="G438">
        <v>6</v>
      </c>
      <c r="H438">
        <v>4</v>
      </c>
      <c r="I438">
        <v>30</v>
      </c>
      <c r="K438" s="124">
        <v>45442</v>
      </c>
      <c r="L438">
        <v>151</v>
      </c>
      <c r="M438">
        <v>7</v>
      </c>
    </row>
    <row r="439" spans="1:13" x14ac:dyDescent="0.35">
      <c r="A439" t="s">
        <v>34</v>
      </c>
      <c r="D439" t="s">
        <v>36</v>
      </c>
      <c r="F439">
        <v>2</v>
      </c>
      <c r="G439">
        <v>6</v>
      </c>
      <c r="H439">
        <v>4</v>
      </c>
      <c r="I439">
        <v>30</v>
      </c>
      <c r="K439" s="124">
        <v>45461</v>
      </c>
      <c r="L439">
        <v>170</v>
      </c>
      <c r="M439">
        <v>17</v>
      </c>
    </row>
    <row r="440" spans="1:13" x14ac:dyDescent="0.35">
      <c r="A440" t="s">
        <v>34</v>
      </c>
      <c r="D440" t="s">
        <v>36</v>
      </c>
      <c r="F440">
        <v>2</v>
      </c>
      <c r="G440">
        <v>6</v>
      </c>
      <c r="H440">
        <v>4</v>
      </c>
      <c r="I440">
        <v>30</v>
      </c>
      <c r="K440" s="124">
        <v>45477</v>
      </c>
      <c r="L440">
        <v>186</v>
      </c>
      <c r="M440">
        <v>17</v>
      </c>
    </row>
    <row r="441" spans="1:13" x14ac:dyDescent="0.35">
      <c r="A441" t="s">
        <v>34</v>
      </c>
      <c r="D441" t="s">
        <v>36</v>
      </c>
      <c r="F441">
        <v>2</v>
      </c>
      <c r="G441">
        <v>6</v>
      </c>
      <c r="H441">
        <v>4</v>
      </c>
      <c r="I441">
        <v>30</v>
      </c>
      <c r="K441" s="124">
        <v>45491</v>
      </c>
      <c r="L441">
        <v>200</v>
      </c>
      <c r="M441">
        <v>24</v>
      </c>
    </row>
    <row r="442" spans="1:13" x14ac:dyDescent="0.35">
      <c r="A442" t="s">
        <v>34</v>
      </c>
      <c r="D442" t="s">
        <v>36</v>
      </c>
      <c r="F442">
        <v>2</v>
      </c>
      <c r="G442">
        <v>6</v>
      </c>
      <c r="H442">
        <v>4</v>
      </c>
      <c r="I442">
        <v>30</v>
      </c>
      <c r="K442" s="124">
        <v>45510</v>
      </c>
      <c r="L442">
        <v>219</v>
      </c>
      <c r="M442">
        <v>35</v>
      </c>
    </row>
    <row r="443" spans="1:13" x14ac:dyDescent="0.35">
      <c r="A443" t="s">
        <v>34</v>
      </c>
      <c r="D443" t="s">
        <v>36</v>
      </c>
      <c r="F443">
        <v>2</v>
      </c>
      <c r="G443">
        <v>6</v>
      </c>
      <c r="H443">
        <v>4</v>
      </c>
      <c r="I443">
        <v>30</v>
      </c>
      <c r="K443" s="124">
        <v>45530</v>
      </c>
      <c r="L443">
        <v>239</v>
      </c>
      <c r="M443">
        <v>50</v>
      </c>
    </row>
    <row r="444" spans="1:13" x14ac:dyDescent="0.35">
      <c r="A444" t="s">
        <v>34</v>
      </c>
      <c r="D444" t="s">
        <v>36</v>
      </c>
      <c r="F444">
        <v>2</v>
      </c>
      <c r="G444">
        <v>6</v>
      </c>
      <c r="H444">
        <v>4</v>
      </c>
      <c r="I444">
        <v>30</v>
      </c>
      <c r="K444" s="124">
        <v>45538</v>
      </c>
      <c r="L444">
        <v>247</v>
      </c>
      <c r="M444">
        <v>53</v>
      </c>
    </row>
    <row r="445" spans="1:13" x14ac:dyDescent="0.35">
      <c r="A445" t="s">
        <v>34</v>
      </c>
      <c r="D445" t="s">
        <v>36</v>
      </c>
      <c r="F445">
        <v>2</v>
      </c>
      <c r="G445">
        <v>6</v>
      </c>
      <c r="H445">
        <v>4</v>
      </c>
      <c r="I445">
        <v>30</v>
      </c>
      <c r="K445" s="124">
        <v>45547</v>
      </c>
      <c r="L445">
        <v>256</v>
      </c>
      <c r="M445">
        <v>64</v>
      </c>
    </row>
    <row r="446" spans="1:13" x14ac:dyDescent="0.35">
      <c r="A446" t="s">
        <v>34</v>
      </c>
      <c r="D446" t="s">
        <v>36</v>
      </c>
      <c r="F446">
        <v>2</v>
      </c>
      <c r="G446">
        <v>6</v>
      </c>
      <c r="H446">
        <v>4</v>
      </c>
      <c r="I446">
        <v>30</v>
      </c>
      <c r="K446" s="124">
        <v>45553</v>
      </c>
      <c r="L446">
        <v>262</v>
      </c>
      <c r="M446">
        <v>66</v>
      </c>
    </row>
    <row r="447" spans="1:13" x14ac:dyDescent="0.35">
      <c r="A447" t="s">
        <v>34</v>
      </c>
      <c r="D447" t="s">
        <v>36</v>
      </c>
      <c r="F447">
        <v>2</v>
      </c>
      <c r="G447">
        <v>6</v>
      </c>
      <c r="H447">
        <v>4</v>
      </c>
      <c r="I447">
        <v>30</v>
      </c>
      <c r="K447" s="124">
        <v>45558</v>
      </c>
      <c r="L447">
        <v>267</v>
      </c>
      <c r="M447">
        <v>73</v>
      </c>
    </row>
    <row r="448" spans="1:13" x14ac:dyDescent="0.35">
      <c r="A448" t="s">
        <v>34</v>
      </c>
      <c r="D448" t="s">
        <v>36</v>
      </c>
      <c r="F448">
        <v>2</v>
      </c>
      <c r="G448">
        <v>6</v>
      </c>
      <c r="H448">
        <v>4</v>
      </c>
      <c r="I448">
        <v>30</v>
      </c>
      <c r="K448" s="124">
        <v>45562</v>
      </c>
      <c r="L448">
        <v>271</v>
      </c>
      <c r="M448">
        <v>73</v>
      </c>
    </row>
    <row r="449" spans="1:13" x14ac:dyDescent="0.35">
      <c r="A449" t="s">
        <v>34</v>
      </c>
      <c r="D449" t="s">
        <v>36</v>
      </c>
      <c r="F449">
        <v>2</v>
      </c>
      <c r="G449">
        <v>6</v>
      </c>
      <c r="H449">
        <v>4</v>
      </c>
      <c r="I449">
        <v>30</v>
      </c>
      <c r="K449" s="124">
        <v>45571</v>
      </c>
      <c r="L449">
        <v>280</v>
      </c>
      <c r="M449">
        <v>86</v>
      </c>
    </row>
    <row r="450" spans="1:13" x14ac:dyDescent="0.35">
      <c r="A450" t="s">
        <v>34</v>
      </c>
      <c r="D450" t="s">
        <v>36</v>
      </c>
      <c r="F450">
        <v>2</v>
      </c>
      <c r="G450">
        <v>6</v>
      </c>
      <c r="H450">
        <v>4</v>
      </c>
      <c r="I450">
        <v>30</v>
      </c>
      <c r="K450" s="124">
        <v>45576</v>
      </c>
      <c r="L450">
        <v>285</v>
      </c>
      <c r="M450">
        <v>88</v>
      </c>
    </row>
    <row r="451" spans="1:13" x14ac:dyDescent="0.35">
      <c r="A451" t="s">
        <v>34</v>
      </c>
      <c r="D451" t="s">
        <v>36</v>
      </c>
      <c r="F451">
        <v>2</v>
      </c>
      <c r="G451">
        <v>6</v>
      </c>
      <c r="H451">
        <v>4</v>
      </c>
      <c r="I451">
        <v>30</v>
      </c>
      <c r="K451" s="124">
        <v>45590</v>
      </c>
      <c r="L451">
        <v>299</v>
      </c>
      <c r="M451">
        <v>88</v>
      </c>
    </row>
    <row r="452" spans="1:13" x14ac:dyDescent="0.35">
      <c r="A452" t="s">
        <v>34</v>
      </c>
      <c r="D452" t="s">
        <v>41</v>
      </c>
      <c r="F452">
        <v>2</v>
      </c>
      <c r="G452">
        <v>7</v>
      </c>
      <c r="H452">
        <v>4</v>
      </c>
      <c r="I452">
        <v>31</v>
      </c>
      <c r="K452" s="124">
        <v>45421</v>
      </c>
      <c r="L452">
        <v>130</v>
      </c>
    </row>
    <row r="453" spans="1:13" x14ac:dyDescent="0.35">
      <c r="A453" t="s">
        <v>34</v>
      </c>
      <c r="D453" t="s">
        <v>41</v>
      </c>
      <c r="F453">
        <v>2</v>
      </c>
      <c r="G453">
        <v>7</v>
      </c>
      <c r="H453">
        <v>4</v>
      </c>
      <c r="I453">
        <v>31</v>
      </c>
      <c r="K453" s="124">
        <v>45442</v>
      </c>
      <c r="L453">
        <v>151</v>
      </c>
      <c r="M453">
        <v>7</v>
      </c>
    </row>
    <row r="454" spans="1:13" x14ac:dyDescent="0.35">
      <c r="A454" t="s">
        <v>34</v>
      </c>
      <c r="D454" t="s">
        <v>41</v>
      </c>
      <c r="F454">
        <v>2</v>
      </c>
      <c r="G454">
        <v>7</v>
      </c>
      <c r="H454">
        <v>4</v>
      </c>
      <c r="I454">
        <v>31</v>
      </c>
      <c r="K454" s="124">
        <v>45461</v>
      </c>
      <c r="L454">
        <v>170</v>
      </c>
      <c r="M454">
        <v>18</v>
      </c>
    </row>
    <row r="455" spans="1:13" x14ac:dyDescent="0.35">
      <c r="A455" t="s">
        <v>34</v>
      </c>
      <c r="D455" t="s">
        <v>41</v>
      </c>
      <c r="F455">
        <v>2</v>
      </c>
      <c r="G455">
        <v>7</v>
      </c>
      <c r="H455">
        <v>4</v>
      </c>
      <c r="I455">
        <v>31</v>
      </c>
      <c r="K455" s="124">
        <v>45477</v>
      </c>
      <c r="L455">
        <v>186</v>
      </c>
      <c r="M455">
        <v>20</v>
      </c>
    </row>
    <row r="456" spans="1:13" x14ac:dyDescent="0.35">
      <c r="A456" t="s">
        <v>34</v>
      </c>
      <c r="D456" t="s">
        <v>41</v>
      </c>
      <c r="F456">
        <v>2</v>
      </c>
      <c r="G456">
        <v>7</v>
      </c>
      <c r="H456">
        <v>4</v>
      </c>
      <c r="I456">
        <v>31</v>
      </c>
      <c r="K456" s="124">
        <v>45491</v>
      </c>
      <c r="L456">
        <v>200</v>
      </c>
      <c r="M456">
        <v>28</v>
      </c>
    </row>
    <row r="457" spans="1:13" x14ac:dyDescent="0.35">
      <c r="A457" t="s">
        <v>34</v>
      </c>
      <c r="D457" t="s">
        <v>41</v>
      </c>
      <c r="F457">
        <v>2</v>
      </c>
      <c r="G457">
        <v>7</v>
      </c>
      <c r="H457">
        <v>4</v>
      </c>
      <c r="I457">
        <v>31</v>
      </c>
      <c r="K457" s="124">
        <v>45510</v>
      </c>
      <c r="L457">
        <v>219</v>
      </c>
      <c r="M457">
        <v>37</v>
      </c>
    </row>
    <row r="458" spans="1:13" x14ac:dyDescent="0.35">
      <c r="A458" t="s">
        <v>34</v>
      </c>
      <c r="D458" t="s">
        <v>41</v>
      </c>
      <c r="F458">
        <v>2</v>
      </c>
      <c r="G458">
        <v>7</v>
      </c>
      <c r="H458">
        <v>4</v>
      </c>
      <c r="I458">
        <v>31</v>
      </c>
      <c r="K458" s="124">
        <v>45530</v>
      </c>
      <c r="L458">
        <v>239</v>
      </c>
      <c r="M458">
        <v>59</v>
      </c>
    </row>
    <row r="459" spans="1:13" x14ac:dyDescent="0.35">
      <c r="A459" t="s">
        <v>34</v>
      </c>
      <c r="D459" t="s">
        <v>41</v>
      </c>
      <c r="F459">
        <v>2</v>
      </c>
      <c r="G459">
        <v>7</v>
      </c>
      <c r="H459">
        <v>4</v>
      </c>
      <c r="I459">
        <v>31</v>
      </c>
      <c r="K459" s="124">
        <v>45538</v>
      </c>
      <c r="L459">
        <v>247</v>
      </c>
      <c r="M459">
        <v>63</v>
      </c>
    </row>
    <row r="460" spans="1:13" x14ac:dyDescent="0.35">
      <c r="A460" t="s">
        <v>34</v>
      </c>
      <c r="D460" t="s">
        <v>41</v>
      </c>
      <c r="F460">
        <v>2</v>
      </c>
      <c r="G460">
        <v>7</v>
      </c>
      <c r="H460">
        <v>4</v>
      </c>
      <c r="I460">
        <v>31</v>
      </c>
      <c r="K460" s="124">
        <v>45547</v>
      </c>
      <c r="L460">
        <v>256</v>
      </c>
      <c r="M460">
        <v>74</v>
      </c>
    </row>
    <row r="461" spans="1:13" x14ac:dyDescent="0.35">
      <c r="A461" t="s">
        <v>34</v>
      </c>
      <c r="D461" t="s">
        <v>41</v>
      </c>
      <c r="F461">
        <v>2</v>
      </c>
      <c r="G461">
        <v>7</v>
      </c>
      <c r="H461">
        <v>4</v>
      </c>
      <c r="I461">
        <v>31</v>
      </c>
      <c r="K461" s="124">
        <v>45553</v>
      </c>
      <c r="L461">
        <v>262</v>
      </c>
      <c r="M461">
        <v>75</v>
      </c>
    </row>
    <row r="462" spans="1:13" x14ac:dyDescent="0.35">
      <c r="A462" t="s">
        <v>34</v>
      </c>
      <c r="D462" t="s">
        <v>41</v>
      </c>
      <c r="F462">
        <v>2</v>
      </c>
      <c r="G462">
        <v>7</v>
      </c>
      <c r="H462">
        <v>4</v>
      </c>
      <c r="I462">
        <v>31</v>
      </c>
      <c r="K462" s="124">
        <v>45558</v>
      </c>
      <c r="L462">
        <v>267</v>
      </c>
      <c r="M462">
        <v>75</v>
      </c>
    </row>
    <row r="463" spans="1:13" x14ac:dyDescent="0.35">
      <c r="A463" t="s">
        <v>34</v>
      </c>
      <c r="D463" t="s">
        <v>41</v>
      </c>
      <c r="F463">
        <v>2</v>
      </c>
      <c r="G463">
        <v>7</v>
      </c>
      <c r="H463">
        <v>4</v>
      </c>
      <c r="I463">
        <v>31</v>
      </c>
      <c r="K463" s="124">
        <v>45562</v>
      </c>
      <c r="L463">
        <v>271</v>
      </c>
      <c r="M463">
        <v>78</v>
      </c>
    </row>
    <row r="464" spans="1:13" x14ac:dyDescent="0.35">
      <c r="A464" t="s">
        <v>34</v>
      </c>
      <c r="D464" t="s">
        <v>41</v>
      </c>
      <c r="F464">
        <v>2</v>
      </c>
      <c r="G464">
        <v>7</v>
      </c>
      <c r="H464">
        <v>4</v>
      </c>
      <c r="I464">
        <v>31</v>
      </c>
      <c r="K464" s="124">
        <v>45571</v>
      </c>
      <c r="L464">
        <v>280</v>
      </c>
      <c r="M464">
        <v>86</v>
      </c>
    </row>
    <row r="465" spans="1:13" x14ac:dyDescent="0.35">
      <c r="A465" t="s">
        <v>34</v>
      </c>
      <c r="D465" t="s">
        <v>41</v>
      </c>
      <c r="F465">
        <v>2</v>
      </c>
      <c r="G465">
        <v>7</v>
      </c>
      <c r="H465">
        <v>4</v>
      </c>
      <c r="I465">
        <v>31</v>
      </c>
      <c r="K465" s="124">
        <v>45576</v>
      </c>
      <c r="L465">
        <v>285</v>
      </c>
      <c r="M465">
        <v>90</v>
      </c>
    </row>
    <row r="466" spans="1:13" x14ac:dyDescent="0.35">
      <c r="A466" t="s">
        <v>34</v>
      </c>
      <c r="D466" t="s">
        <v>41</v>
      </c>
      <c r="F466">
        <v>2</v>
      </c>
      <c r="G466">
        <v>7</v>
      </c>
      <c r="H466">
        <v>4</v>
      </c>
      <c r="I466">
        <v>31</v>
      </c>
      <c r="K466" s="124">
        <v>45590</v>
      </c>
      <c r="L466">
        <v>299</v>
      </c>
      <c r="M466">
        <v>88</v>
      </c>
    </row>
    <row r="467" spans="1:13" x14ac:dyDescent="0.35">
      <c r="A467" t="s">
        <v>34</v>
      </c>
      <c r="D467" t="s">
        <v>37</v>
      </c>
      <c r="F467">
        <v>2</v>
      </c>
      <c r="G467">
        <v>8</v>
      </c>
      <c r="H467">
        <v>4</v>
      </c>
      <c r="I467">
        <v>32</v>
      </c>
      <c r="K467" s="124">
        <v>45421</v>
      </c>
      <c r="L467">
        <v>130</v>
      </c>
    </row>
    <row r="468" spans="1:13" x14ac:dyDescent="0.35">
      <c r="A468" t="s">
        <v>34</v>
      </c>
      <c r="D468" t="s">
        <v>37</v>
      </c>
      <c r="F468">
        <v>2</v>
      </c>
      <c r="G468">
        <v>8</v>
      </c>
      <c r="H468">
        <v>4</v>
      </c>
      <c r="I468">
        <v>32</v>
      </c>
      <c r="K468" s="124">
        <v>45442</v>
      </c>
      <c r="L468">
        <v>151</v>
      </c>
      <c r="M468">
        <v>5</v>
      </c>
    </row>
    <row r="469" spans="1:13" x14ac:dyDescent="0.35">
      <c r="A469" t="s">
        <v>34</v>
      </c>
      <c r="D469" t="s">
        <v>37</v>
      </c>
      <c r="F469">
        <v>2</v>
      </c>
      <c r="G469">
        <v>8</v>
      </c>
      <c r="H469">
        <v>4</v>
      </c>
      <c r="I469">
        <v>32</v>
      </c>
      <c r="K469" s="124">
        <v>45461</v>
      </c>
      <c r="L469">
        <v>170</v>
      </c>
      <c r="M469">
        <v>18</v>
      </c>
    </row>
    <row r="470" spans="1:13" x14ac:dyDescent="0.35">
      <c r="A470" t="s">
        <v>34</v>
      </c>
      <c r="D470" t="s">
        <v>37</v>
      </c>
      <c r="F470">
        <v>2</v>
      </c>
      <c r="G470">
        <v>8</v>
      </c>
      <c r="H470">
        <v>4</v>
      </c>
      <c r="I470">
        <v>32</v>
      </c>
      <c r="K470" s="124">
        <v>45477</v>
      </c>
      <c r="L470">
        <v>186</v>
      </c>
      <c r="M470">
        <v>18</v>
      </c>
    </row>
    <row r="471" spans="1:13" x14ac:dyDescent="0.35">
      <c r="A471" t="s">
        <v>34</v>
      </c>
      <c r="D471" t="s">
        <v>37</v>
      </c>
      <c r="F471">
        <v>2</v>
      </c>
      <c r="G471">
        <v>8</v>
      </c>
      <c r="H471">
        <v>4</v>
      </c>
      <c r="I471">
        <v>32</v>
      </c>
      <c r="K471" s="124">
        <v>45491</v>
      </c>
      <c r="L471">
        <v>200</v>
      </c>
      <c r="M471">
        <v>24</v>
      </c>
    </row>
    <row r="472" spans="1:13" x14ac:dyDescent="0.35">
      <c r="A472" t="s">
        <v>34</v>
      </c>
      <c r="D472" t="s">
        <v>37</v>
      </c>
      <c r="F472">
        <v>2</v>
      </c>
      <c r="G472">
        <v>8</v>
      </c>
      <c r="H472">
        <v>4</v>
      </c>
      <c r="I472">
        <v>32</v>
      </c>
      <c r="K472" s="124">
        <v>45510</v>
      </c>
      <c r="L472">
        <v>219</v>
      </c>
      <c r="M472">
        <v>36</v>
      </c>
    </row>
    <row r="473" spans="1:13" x14ac:dyDescent="0.35">
      <c r="A473" t="s">
        <v>34</v>
      </c>
      <c r="D473" t="s">
        <v>37</v>
      </c>
      <c r="F473">
        <v>2</v>
      </c>
      <c r="G473">
        <v>8</v>
      </c>
      <c r="H473">
        <v>4</v>
      </c>
      <c r="I473">
        <v>32</v>
      </c>
      <c r="K473" s="124">
        <v>45530</v>
      </c>
      <c r="L473">
        <v>239</v>
      </c>
      <c r="M473">
        <v>55</v>
      </c>
    </row>
    <row r="474" spans="1:13" x14ac:dyDescent="0.35">
      <c r="A474" t="s">
        <v>34</v>
      </c>
      <c r="D474" t="s">
        <v>37</v>
      </c>
      <c r="F474">
        <v>2</v>
      </c>
      <c r="G474">
        <v>8</v>
      </c>
      <c r="H474">
        <v>4</v>
      </c>
      <c r="I474">
        <v>32</v>
      </c>
      <c r="K474" s="124">
        <v>45538</v>
      </c>
      <c r="L474">
        <v>247</v>
      </c>
      <c r="M474">
        <v>60</v>
      </c>
    </row>
    <row r="475" spans="1:13" x14ac:dyDescent="0.35">
      <c r="A475" t="s">
        <v>34</v>
      </c>
      <c r="D475" t="s">
        <v>37</v>
      </c>
      <c r="F475">
        <v>2</v>
      </c>
      <c r="G475">
        <v>8</v>
      </c>
      <c r="H475">
        <v>4</v>
      </c>
      <c r="I475">
        <v>32</v>
      </c>
      <c r="K475" s="124">
        <v>45547</v>
      </c>
      <c r="L475">
        <v>256</v>
      </c>
      <c r="M475">
        <v>66</v>
      </c>
    </row>
    <row r="476" spans="1:13" x14ac:dyDescent="0.35">
      <c r="A476" t="s">
        <v>34</v>
      </c>
      <c r="D476" t="s">
        <v>37</v>
      </c>
      <c r="F476">
        <v>2</v>
      </c>
      <c r="G476">
        <v>8</v>
      </c>
      <c r="H476">
        <v>4</v>
      </c>
      <c r="I476">
        <v>32</v>
      </c>
      <c r="K476" s="124">
        <v>45553</v>
      </c>
      <c r="L476">
        <v>262</v>
      </c>
      <c r="M476">
        <v>72</v>
      </c>
    </row>
    <row r="477" spans="1:13" x14ac:dyDescent="0.35">
      <c r="A477" t="s">
        <v>34</v>
      </c>
      <c r="D477" t="s">
        <v>37</v>
      </c>
      <c r="F477">
        <v>2</v>
      </c>
      <c r="G477">
        <v>8</v>
      </c>
      <c r="H477">
        <v>4</v>
      </c>
      <c r="I477">
        <v>32</v>
      </c>
      <c r="K477" s="124">
        <v>45558</v>
      </c>
      <c r="L477">
        <v>267</v>
      </c>
      <c r="M477">
        <v>75</v>
      </c>
    </row>
    <row r="478" spans="1:13" x14ac:dyDescent="0.35">
      <c r="A478" t="s">
        <v>34</v>
      </c>
      <c r="D478" t="s">
        <v>37</v>
      </c>
      <c r="F478">
        <v>2</v>
      </c>
      <c r="G478">
        <v>8</v>
      </c>
      <c r="H478">
        <v>4</v>
      </c>
      <c r="I478">
        <v>32</v>
      </c>
      <c r="K478" s="124">
        <v>45562</v>
      </c>
      <c r="L478">
        <v>271</v>
      </c>
      <c r="M478">
        <v>77</v>
      </c>
    </row>
    <row r="479" spans="1:13" x14ac:dyDescent="0.35">
      <c r="A479" t="s">
        <v>34</v>
      </c>
      <c r="D479" t="s">
        <v>37</v>
      </c>
      <c r="F479">
        <v>2</v>
      </c>
      <c r="G479">
        <v>8</v>
      </c>
      <c r="H479">
        <v>4</v>
      </c>
      <c r="I479">
        <v>32</v>
      </c>
      <c r="K479" s="124">
        <v>45571</v>
      </c>
      <c r="L479">
        <v>280</v>
      </c>
      <c r="M479">
        <v>94</v>
      </c>
    </row>
    <row r="480" spans="1:13" x14ac:dyDescent="0.35">
      <c r="A480" t="s">
        <v>34</v>
      </c>
      <c r="D480" t="s">
        <v>37</v>
      </c>
      <c r="F480">
        <v>2</v>
      </c>
      <c r="G480">
        <v>8</v>
      </c>
      <c r="H480">
        <v>4</v>
      </c>
      <c r="I480">
        <v>32</v>
      </c>
      <c r="K480" s="124">
        <v>45576</v>
      </c>
      <c r="L480">
        <v>285</v>
      </c>
      <c r="M480">
        <v>91</v>
      </c>
    </row>
    <row r="481" spans="1:13" x14ac:dyDescent="0.35">
      <c r="A481" t="s">
        <v>34</v>
      </c>
      <c r="D481" t="s">
        <v>37</v>
      </c>
      <c r="F481">
        <v>2</v>
      </c>
      <c r="G481">
        <v>8</v>
      </c>
      <c r="H481">
        <v>4</v>
      </c>
      <c r="I481">
        <v>32</v>
      </c>
      <c r="K481" s="124">
        <v>45590</v>
      </c>
      <c r="L481">
        <v>299</v>
      </c>
      <c r="M481">
        <v>91</v>
      </c>
    </row>
    <row r="482" spans="1:13" x14ac:dyDescent="0.35">
      <c r="A482" t="s">
        <v>24</v>
      </c>
      <c r="D482" t="s">
        <v>336</v>
      </c>
      <c r="F482">
        <v>3</v>
      </c>
      <c r="G482">
        <v>1</v>
      </c>
      <c r="H482">
        <v>5</v>
      </c>
      <c r="I482">
        <v>33</v>
      </c>
      <c r="K482" s="124">
        <v>45421</v>
      </c>
      <c r="L482">
        <v>130</v>
      </c>
      <c r="M482">
        <v>16</v>
      </c>
    </row>
    <row r="483" spans="1:13" x14ac:dyDescent="0.35">
      <c r="A483" t="s">
        <v>24</v>
      </c>
      <c r="D483" t="s">
        <v>336</v>
      </c>
      <c r="F483">
        <v>3</v>
      </c>
      <c r="G483">
        <v>1</v>
      </c>
      <c r="H483">
        <v>5</v>
      </c>
      <c r="I483">
        <v>33</v>
      </c>
      <c r="K483" s="124">
        <v>45442</v>
      </c>
      <c r="L483">
        <v>151</v>
      </c>
      <c r="M483">
        <v>21</v>
      </c>
    </row>
    <row r="484" spans="1:13" x14ac:dyDescent="0.35">
      <c r="A484" t="s">
        <v>24</v>
      </c>
      <c r="D484" t="s">
        <v>336</v>
      </c>
      <c r="F484">
        <v>3</v>
      </c>
      <c r="G484">
        <v>1</v>
      </c>
      <c r="H484">
        <v>5</v>
      </c>
      <c r="I484">
        <v>33</v>
      </c>
      <c r="K484" s="124">
        <v>45461</v>
      </c>
      <c r="L484">
        <v>170</v>
      </c>
      <c r="M484">
        <v>30</v>
      </c>
    </row>
    <row r="485" spans="1:13" x14ac:dyDescent="0.35">
      <c r="A485" t="s">
        <v>24</v>
      </c>
      <c r="D485" t="s">
        <v>336</v>
      </c>
      <c r="F485">
        <v>3</v>
      </c>
      <c r="G485">
        <v>1</v>
      </c>
      <c r="H485">
        <v>5</v>
      </c>
      <c r="I485">
        <v>33</v>
      </c>
      <c r="K485" s="124">
        <v>45477</v>
      </c>
      <c r="L485">
        <v>186</v>
      </c>
      <c r="M485">
        <v>37</v>
      </c>
    </row>
    <row r="486" spans="1:13" x14ac:dyDescent="0.35">
      <c r="A486" t="s">
        <v>24</v>
      </c>
      <c r="D486" t="s">
        <v>336</v>
      </c>
      <c r="F486">
        <v>3</v>
      </c>
      <c r="G486">
        <v>1</v>
      </c>
      <c r="H486">
        <v>5</v>
      </c>
      <c r="I486">
        <v>33</v>
      </c>
      <c r="K486" s="124">
        <v>45491</v>
      </c>
      <c r="L486">
        <v>200</v>
      </c>
      <c r="M486">
        <v>40</v>
      </c>
    </row>
    <row r="487" spans="1:13" x14ac:dyDescent="0.35">
      <c r="A487" t="s">
        <v>24</v>
      </c>
      <c r="D487" t="s">
        <v>336</v>
      </c>
      <c r="F487">
        <v>3</v>
      </c>
      <c r="G487">
        <v>1</v>
      </c>
      <c r="H487">
        <v>5</v>
      </c>
      <c r="I487">
        <v>33</v>
      </c>
      <c r="K487" s="124">
        <v>45510</v>
      </c>
      <c r="L487">
        <v>219</v>
      </c>
      <c r="M487">
        <v>46</v>
      </c>
    </row>
    <row r="488" spans="1:13" x14ac:dyDescent="0.35">
      <c r="A488" t="s">
        <v>24</v>
      </c>
      <c r="D488" t="s">
        <v>336</v>
      </c>
      <c r="F488">
        <v>3</v>
      </c>
      <c r="G488">
        <v>1</v>
      </c>
      <c r="H488">
        <v>5</v>
      </c>
      <c r="I488">
        <v>33</v>
      </c>
      <c r="K488" s="124">
        <v>45530</v>
      </c>
      <c r="L488">
        <v>239</v>
      </c>
      <c r="M488">
        <v>59</v>
      </c>
    </row>
    <row r="489" spans="1:13" x14ac:dyDescent="0.35">
      <c r="A489" t="s">
        <v>24</v>
      </c>
      <c r="D489" t="s">
        <v>336</v>
      </c>
      <c r="F489">
        <v>3</v>
      </c>
      <c r="G489">
        <v>1</v>
      </c>
      <c r="H489">
        <v>5</v>
      </c>
      <c r="I489">
        <v>33</v>
      </c>
      <c r="K489" s="124">
        <v>45538</v>
      </c>
      <c r="L489">
        <v>247</v>
      </c>
      <c r="M489">
        <v>62</v>
      </c>
    </row>
    <row r="490" spans="1:13" x14ac:dyDescent="0.35">
      <c r="A490" t="s">
        <v>24</v>
      </c>
      <c r="D490" t="s">
        <v>336</v>
      </c>
      <c r="F490">
        <v>3</v>
      </c>
      <c r="G490">
        <v>1</v>
      </c>
      <c r="H490">
        <v>5</v>
      </c>
      <c r="I490">
        <v>33</v>
      </c>
      <c r="K490" s="124">
        <v>45547</v>
      </c>
      <c r="L490">
        <v>256</v>
      </c>
      <c r="M490">
        <v>70</v>
      </c>
    </row>
    <row r="491" spans="1:13" x14ac:dyDescent="0.35">
      <c r="A491" t="s">
        <v>24</v>
      </c>
      <c r="D491" t="s">
        <v>336</v>
      </c>
      <c r="F491">
        <v>3</v>
      </c>
      <c r="G491">
        <v>1</v>
      </c>
      <c r="H491">
        <v>5</v>
      </c>
      <c r="I491">
        <v>33</v>
      </c>
      <c r="K491" s="124">
        <v>45553</v>
      </c>
      <c r="L491">
        <v>262</v>
      </c>
      <c r="M491">
        <v>73</v>
      </c>
    </row>
    <row r="492" spans="1:13" x14ac:dyDescent="0.35">
      <c r="A492" t="s">
        <v>24</v>
      </c>
      <c r="D492" t="s">
        <v>336</v>
      </c>
      <c r="F492">
        <v>3</v>
      </c>
      <c r="G492">
        <v>1</v>
      </c>
      <c r="H492">
        <v>5</v>
      </c>
      <c r="I492">
        <v>33</v>
      </c>
      <c r="K492" s="124">
        <v>45558</v>
      </c>
      <c r="L492">
        <v>267</v>
      </c>
      <c r="M492">
        <v>73</v>
      </c>
    </row>
    <row r="493" spans="1:13" x14ac:dyDescent="0.35">
      <c r="A493" t="s">
        <v>24</v>
      </c>
      <c r="D493" t="s">
        <v>336</v>
      </c>
      <c r="F493">
        <v>3</v>
      </c>
      <c r="G493">
        <v>1</v>
      </c>
      <c r="H493">
        <v>5</v>
      </c>
      <c r="I493">
        <v>33</v>
      </c>
      <c r="K493" s="124">
        <v>45562</v>
      </c>
      <c r="L493">
        <v>271</v>
      </c>
      <c r="M493">
        <v>75</v>
      </c>
    </row>
    <row r="494" spans="1:13" x14ac:dyDescent="0.35">
      <c r="A494" t="s">
        <v>24</v>
      </c>
      <c r="D494" t="s">
        <v>336</v>
      </c>
      <c r="F494">
        <v>3</v>
      </c>
      <c r="G494">
        <v>1</v>
      </c>
      <c r="H494">
        <v>5</v>
      </c>
      <c r="I494">
        <v>33</v>
      </c>
      <c r="K494" s="124">
        <v>45571</v>
      </c>
      <c r="L494">
        <v>280</v>
      </c>
      <c r="M494">
        <v>93</v>
      </c>
    </row>
    <row r="495" spans="1:13" x14ac:dyDescent="0.35">
      <c r="A495" t="s">
        <v>24</v>
      </c>
      <c r="D495" t="s">
        <v>336</v>
      </c>
      <c r="F495">
        <v>3</v>
      </c>
      <c r="G495">
        <v>1</v>
      </c>
      <c r="H495">
        <v>5</v>
      </c>
      <c r="I495">
        <v>33</v>
      </c>
      <c r="K495" s="124">
        <v>45576</v>
      </c>
      <c r="L495">
        <v>285</v>
      </c>
      <c r="M495">
        <v>93</v>
      </c>
    </row>
    <row r="496" spans="1:13" x14ac:dyDescent="0.35">
      <c r="A496" t="s">
        <v>24</v>
      </c>
      <c r="D496" t="s">
        <v>336</v>
      </c>
      <c r="F496">
        <v>3</v>
      </c>
      <c r="G496">
        <v>1</v>
      </c>
      <c r="H496">
        <v>5</v>
      </c>
      <c r="I496">
        <v>33</v>
      </c>
      <c r="K496" s="124">
        <v>45590</v>
      </c>
      <c r="L496">
        <v>299</v>
      </c>
      <c r="M496">
        <v>96</v>
      </c>
    </row>
    <row r="497" spans="1:13" x14ac:dyDescent="0.35">
      <c r="A497" t="s">
        <v>24</v>
      </c>
      <c r="D497" t="s">
        <v>337</v>
      </c>
      <c r="F497">
        <v>3</v>
      </c>
      <c r="G497">
        <v>2</v>
      </c>
      <c r="H497">
        <v>5</v>
      </c>
      <c r="I497">
        <v>34</v>
      </c>
      <c r="K497" s="124">
        <v>45421</v>
      </c>
      <c r="L497">
        <v>130</v>
      </c>
      <c r="M497">
        <v>15</v>
      </c>
    </row>
    <row r="498" spans="1:13" x14ac:dyDescent="0.35">
      <c r="A498" t="s">
        <v>24</v>
      </c>
      <c r="D498" t="s">
        <v>337</v>
      </c>
      <c r="F498">
        <v>3</v>
      </c>
      <c r="G498">
        <v>2</v>
      </c>
      <c r="H498">
        <v>5</v>
      </c>
      <c r="I498">
        <v>34</v>
      </c>
      <c r="K498" s="124">
        <v>45442</v>
      </c>
      <c r="L498">
        <v>151</v>
      </c>
      <c r="M498">
        <v>17</v>
      </c>
    </row>
    <row r="499" spans="1:13" x14ac:dyDescent="0.35">
      <c r="A499" t="s">
        <v>24</v>
      </c>
      <c r="D499" t="s">
        <v>337</v>
      </c>
      <c r="F499">
        <v>3</v>
      </c>
      <c r="G499">
        <v>2</v>
      </c>
      <c r="H499">
        <v>5</v>
      </c>
      <c r="I499">
        <v>34</v>
      </c>
      <c r="K499" s="124">
        <v>45461</v>
      </c>
      <c r="L499">
        <v>170</v>
      </c>
      <c r="M499">
        <v>25</v>
      </c>
    </row>
    <row r="500" spans="1:13" x14ac:dyDescent="0.35">
      <c r="A500" t="s">
        <v>24</v>
      </c>
      <c r="D500" t="s">
        <v>337</v>
      </c>
      <c r="F500">
        <v>3</v>
      </c>
      <c r="G500">
        <v>2</v>
      </c>
      <c r="H500">
        <v>5</v>
      </c>
      <c r="I500">
        <v>34</v>
      </c>
      <c r="K500" s="124">
        <v>45477</v>
      </c>
      <c r="L500">
        <v>186</v>
      </c>
      <c r="M500">
        <v>36</v>
      </c>
    </row>
    <row r="501" spans="1:13" x14ac:dyDescent="0.35">
      <c r="A501" t="s">
        <v>24</v>
      </c>
      <c r="D501" t="s">
        <v>337</v>
      </c>
      <c r="F501">
        <v>3</v>
      </c>
      <c r="G501">
        <v>2</v>
      </c>
      <c r="H501">
        <v>5</v>
      </c>
      <c r="I501">
        <v>34</v>
      </c>
      <c r="K501" s="124">
        <v>45491</v>
      </c>
      <c r="L501">
        <v>200</v>
      </c>
      <c r="M501">
        <v>42</v>
      </c>
    </row>
    <row r="502" spans="1:13" x14ac:dyDescent="0.35">
      <c r="A502" t="s">
        <v>24</v>
      </c>
      <c r="D502" t="s">
        <v>337</v>
      </c>
      <c r="F502">
        <v>3</v>
      </c>
      <c r="G502">
        <v>2</v>
      </c>
      <c r="H502">
        <v>5</v>
      </c>
      <c r="I502">
        <v>34</v>
      </c>
      <c r="K502" s="124">
        <v>45510</v>
      </c>
      <c r="L502">
        <v>219</v>
      </c>
      <c r="M502">
        <v>45</v>
      </c>
    </row>
    <row r="503" spans="1:13" x14ac:dyDescent="0.35">
      <c r="A503" t="s">
        <v>24</v>
      </c>
      <c r="D503" t="s">
        <v>337</v>
      </c>
      <c r="F503">
        <v>3</v>
      </c>
      <c r="G503">
        <v>2</v>
      </c>
      <c r="H503">
        <v>5</v>
      </c>
      <c r="I503">
        <v>34</v>
      </c>
      <c r="K503" s="124">
        <v>45530</v>
      </c>
      <c r="L503">
        <v>239</v>
      </c>
      <c r="M503">
        <v>61</v>
      </c>
    </row>
    <row r="504" spans="1:13" x14ac:dyDescent="0.35">
      <c r="A504" t="s">
        <v>24</v>
      </c>
      <c r="D504" t="s">
        <v>337</v>
      </c>
      <c r="F504">
        <v>3</v>
      </c>
      <c r="G504">
        <v>2</v>
      </c>
      <c r="H504">
        <v>5</v>
      </c>
      <c r="I504">
        <v>34</v>
      </c>
      <c r="K504" s="124">
        <v>45538</v>
      </c>
      <c r="L504">
        <v>247</v>
      </c>
      <c r="M504">
        <v>65</v>
      </c>
    </row>
    <row r="505" spans="1:13" x14ac:dyDescent="0.35">
      <c r="A505" t="s">
        <v>24</v>
      </c>
      <c r="D505" t="s">
        <v>337</v>
      </c>
      <c r="F505">
        <v>3</v>
      </c>
      <c r="G505">
        <v>2</v>
      </c>
      <c r="H505">
        <v>5</v>
      </c>
      <c r="I505">
        <v>34</v>
      </c>
      <c r="K505" s="124">
        <v>45547</v>
      </c>
      <c r="L505">
        <v>256</v>
      </c>
      <c r="M505">
        <v>72</v>
      </c>
    </row>
    <row r="506" spans="1:13" x14ac:dyDescent="0.35">
      <c r="A506" t="s">
        <v>24</v>
      </c>
      <c r="D506" t="s">
        <v>337</v>
      </c>
      <c r="F506">
        <v>3</v>
      </c>
      <c r="G506">
        <v>2</v>
      </c>
      <c r="H506">
        <v>5</v>
      </c>
      <c r="I506">
        <v>34</v>
      </c>
      <c r="K506" s="124">
        <v>45553</v>
      </c>
      <c r="L506">
        <v>262</v>
      </c>
      <c r="M506">
        <v>72</v>
      </c>
    </row>
    <row r="507" spans="1:13" x14ac:dyDescent="0.35">
      <c r="A507" t="s">
        <v>24</v>
      </c>
      <c r="D507" t="s">
        <v>337</v>
      </c>
      <c r="F507">
        <v>3</v>
      </c>
      <c r="G507">
        <v>2</v>
      </c>
      <c r="H507">
        <v>5</v>
      </c>
      <c r="I507">
        <v>34</v>
      </c>
      <c r="K507" s="124">
        <v>45558</v>
      </c>
      <c r="L507">
        <v>267</v>
      </c>
      <c r="M507">
        <v>73</v>
      </c>
    </row>
    <row r="508" spans="1:13" x14ac:dyDescent="0.35">
      <c r="A508" t="s">
        <v>24</v>
      </c>
      <c r="D508" t="s">
        <v>337</v>
      </c>
      <c r="F508">
        <v>3</v>
      </c>
      <c r="G508">
        <v>2</v>
      </c>
      <c r="H508">
        <v>5</v>
      </c>
      <c r="I508">
        <v>34</v>
      </c>
      <c r="K508" s="124">
        <v>45562</v>
      </c>
      <c r="L508">
        <v>271</v>
      </c>
      <c r="M508">
        <v>77</v>
      </c>
    </row>
    <row r="509" spans="1:13" x14ac:dyDescent="0.35">
      <c r="A509" t="s">
        <v>24</v>
      </c>
      <c r="D509" t="s">
        <v>337</v>
      </c>
      <c r="F509">
        <v>3</v>
      </c>
      <c r="G509">
        <v>2</v>
      </c>
      <c r="H509">
        <v>5</v>
      </c>
      <c r="I509">
        <v>34</v>
      </c>
      <c r="K509" s="124">
        <v>45571</v>
      </c>
      <c r="L509">
        <v>280</v>
      </c>
      <c r="M509">
        <v>91</v>
      </c>
    </row>
    <row r="510" spans="1:13" x14ac:dyDescent="0.35">
      <c r="A510" t="s">
        <v>24</v>
      </c>
      <c r="D510" t="s">
        <v>337</v>
      </c>
      <c r="F510">
        <v>3</v>
      </c>
      <c r="G510">
        <v>2</v>
      </c>
      <c r="H510">
        <v>5</v>
      </c>
      <c r="I510">
        <v>34</v>
      </c>
      <c r="K510" s="124">
        <v>45576</v>
      </c>
      <c r="L510">
        <v>285</v>
      </c>
      <c r="M510">
        <v>95</v>
      </c>
    </row>
    <row r="511" spans="1:13" x14ac:dyDescent="0.35">
      <c r="A511" t="s">
        <v>24</v>
      </c>
      <c r="D511" t="s">
        <v>337</v>
      </c>
      <c r="F511">
        <v>3</v>
      </c>
      <c r="G511">
        <v>2</v>
      </c>
      <c r="H511">
        <v>5</v>
      </c>
      <c r="I511">
        <v>34</v>
      </c>
      <c r="K511" s="124">
        <v>45590</v>
      </c>
      <c r="L511">
        <v>299</v>
      </c>
      <c r="M511">
        <v>91</v>
      </c>
    </row>
    <row r="512" spans="1:13" x14ac:dyDescent="0.35">
      <c r="A512" t="s">
        <v>24</v>
      </c>
      <c r="D512" t="s">
        <v>32</v>
      </c>
      <c r="F512">
        <v>3</v>
      </c>
      <c r="G512">
        <v>3</v>
      </c>
      <c r="H512">
        <v>5</v>
      </c>
      <c r="I512">
        <v>35</v>
      </c>
      <c r="K512" s="124">
        <v>45421</v>
      </c>
      <c r="L512">
        <v>130</v>
      </c>
      <c r="M512">
        <v>14</v>
      </c>
    </row>
    <row r="513" spans="1:13" x14ac:dyDescent="0.35">
      <c r="A513" t="s">
        <v>24</v>
      </c>
      <c r="D513" t="s">
        <v>32</v>
      </c>
      <c r="F513">
        <v>3</v>
      </c>
      <c r="G513">
        <v>3</v>
      </c>
      <c r="H513">
        <v>5</v>
      </c>
      <c r="I513">
        <v>35</v>
      </c>
      <c r="K513" s="124">
        <v>45442</v>
      </c>
      <c r="L513">
        <v>151</v>
      </c>
      <c r="M513">
        <v>17</v>
      </c>
    </row>
    <row r="514" spans="1:13" x14ac:dyDescent="0.35">
      <c r="A514" t="s">
        <v>24</v>
      </c>
      <c r="D514" t="s">
        <v>32</v>
      </c>
      <c r="F514">
        <v>3</v>
      </c>
      <c r="G514">
        <v>3</v>
      </c>
      <c r="H514">
        <v>5</v>
      </c>
      <c r="I514">
        <v>35</v>
      </c>
      <c r="K514" s="124">
        <v>45461</v>
      </c>
      <c r="L514">
        <v>170</v>
      </c>
      <c r="M514">
        <v>27</v>
      </c>
    </row>
    <row r="515" spans="1:13" x14ac:dyDescent="0.35">
      <c r="A515" t="s">
        <v>24</v>
      </c>
      <c r="D515" t="s">
        <v>32</v>
      </c>
      <c r="F515">
        <v>3</v>
      </c>
      <c r="G515">
        <v>3</v>
      </c>
      <c r="H515">
        <v>5</v>
      </c>
      <c r="I515">
        <v>35</v>
      </c>
      <c r="K515" s="124">
        <v>45477</v>
      </c>
      <c r="L515">
        <v>186</v>
      </c>
      <c r="M515">
        <v>35</v>
      </c>
    </row>
    <row r="516" spans="1:13" x14ac:dyDescent="0.35">
      <c r="A516" t="s">
        <v>24</v>
      </c>
      <c r="D516" t="s">
        <v>32</v>
      </c>
      <c r="F516">
        <v>3</v>
      </c>
      <c r="G516">
        <v>3</v>
      </c>
      <c r="H516">
        <v>5</v>
      </c>
      <c r="I516">
        <v>35</v>
      </c>
      <c r="K516" s="124">
        <v>45491</v>
      </c>
      <c r="L516">
        <v>200</v>
      </c>
      <c r="M516">
        <v>42</v>
      </c>
    </row>
    <row r="517" spans="1:13" x14ac:dyDescent="0.35">
      <c r="A517" t="s">
        <v>24</v>
      </c>
      <c r="D517" t="s">
        <v>32</v>
      </c>
      <c r="F517">
        <v>3</v>
      </c>
      <c r="G517">
        <v>3</v>
      </c>
      <c r="H517">
        <v>5</v>
      </c>
      <c r="I517">
        <v>35</v>
      </c>
      <c r="K517" s="124">
        <v>45510</v>
      </c>
      <c r="L517">
        <v>219</v>
      </c>
      <c r="M517">
        <v>45</v>
      </c>
    </row>
    <row r="518" spans="1:13" x14ac:dyDescent="0.35">
      <c r="A518" t="s">
        <v>24</v>
      </c>
      <c r="D518" t="s">
        <v>32</v>
      </c>
      <c r="F518">
        <v>3</v>
      </c>
      <c r="G518">
        <v>3</v>
      </c>
      <c r="H518">
        <v>5</v>
      </c>
      <c r="I518">
        <v>35</v>
      </c>
      <c r="K518" s="124">
        <v>45530</v>
      </c>
      <c r="L518">
        <v>239</v>
      </c>
      <c r="M518">
        <v>59</v>
      </c>
    </row>
    <row r="519" spans="1:13" x14ac:dyDescent="0.35">
      <c r="A519" t="s">
        <v>24</v>
      </c>
      <c r="D519" t="s">
        <v>32</v>
      </c>
      <c r="F519">
        <v>3</v>
      </c>
      <c r="G519">
        <v>3</v>
      </c>
      <c r="H519">
        <v>5</v>
      </c>
      <c r="I519">
        <v>35</v>
      </c>
      <c r="K519" s="124">
        <v>45538</v>
      </c>
      <c r="L519">
        <v>247</v>
      </c>
      <c r="M519">
        <v>62</v>
      </c>
    </row>
    <row r="520" spans="1:13" x14ac:dyDescent="0.35">
      <c r="A520" t="s">
        <v>24</v>
      </c>
      <c r="D520" t="s">
        <v>32</v>
      </c>
      <c r="F520">
        <v>3</v>
      </c>
      <c r="G520">
        <v>3</v>
      </c>
      <c r="H520">
        <v>5</v>
      </c>
      <c r="I520">
        <v>35</v>
      </c>
      <c r="K520" s="124">
        <v>45547</v>
      </c>
      <c r="L520">
        <v>256</v>
      </c>
      <c r="M520">
        <v>66</v>
      </c>
    </row>
    <row r="521" spans="1:13" x14ac:dyDescent="0.35">
      <c r="A521" t="s">
        <v>24</v>
      </c>
      <c r="D521" t="s">
        <v>32</v>
      </c>
      <c r="F521">
        <v>3</v>
      </c>
      <c r="G521">
        <v>3</v>
      </c>
      <c r="H521">
        <v>5</v>
      </c>
      <c r="I521">
        <v>35</v>
      </c>
      <c r="K521" s="124">
        <v>45553</v>
      </c>
      <c r="L521">
        <v>262</v>
      </c>
      <c r="M521">
        <v>70</v>
      </c>
    </row>
    <row r="522" spans="1:13" x14ac:dyDescent="0.35">
      <c r="A522" t="s">
        <v>24</v>
      </c>
      <c r="D522" t="s">
        <v>32</v>
      </c>
      <c r="F522">
        <v>3</v>
      </c>
      <c r="G522">
        <v>3</v>
      </c>
      <c r="H522">
        <v>5</v>
      </c>
      <c r="I522">
        <v>35</v>
      </c>
      <c r="K522" s="124">
        <v>45558</v>
      </c>
      <c r="L522">
        <v>267</v>
      </c>
      <c r="M522">
        <v>71</v>
      </c>
    </row>
    <row r="523" spans="1:13" x14ac:dyDescent="0.35">
      <c r="A523" t="s">
        <v>24</v>
      </c>
      <c r="D523" t="s">
        <v>32</v>
      </c>
      <c r="F523">
        <v>3</v>
      </c>
      <c r="G523">
        <v>3</v>
      </c>
      <c r="H523">
        <v>5</v>
      </c>
      <c r="I523">
        <v>35</v>
      </c>
      <c r="K523" s="124">
        <v>45562</v>
      </c>
      <c r="L523">
        <v>271</v>
      </c>
      <c r="M523">
        <v>75</v>
      </c>
    </row>
    <row r="524" spans="1:13" x14ac:dyDescent="0.35">
      <c r="A524" t="s">
        <v>24</v>
      </c>
      <c r="D524" t="s">
        <v>32</v>
      </c>
      <c r="F524">
        <v>3</v>
      </c>
      <c r="G524">
        <v>3</v>
      </c>
      <c r="H524">
        <v>5</v>
      </c>
      <c r="I524">
        <v>35</v>
      </c>
      <c r="K524" s="124">
        <v>45571</v>
      </c>
      <c r="L524">
        <v>280</v>
      </c>
      <c r="M524">
        <v>86</v>
      </c>
    </row>
    <row r="525" spans="1:13" x14ac:dyDescent="0.35">
      <c r="A525" t="s">
        <v>24</v>
      </c>
      <c r="D525" t="s">
        <v>32</v>
      </c>
      <c r="F525">
        <v>3</v>
      </c>
      <c r="G525">
        <v>3</v>
      </c>
      <c r="H525">
        <v>5</v>
      </c>
      <c r="I525">
        <v>35</v>
      </c>
      <c r="K525" s="124">
        <v>45576</v>
      </c>
      <c r="L525">
        <v>285</v>
      </c>
      <c r="M525">
        <v>86</v>
      </c>
    </row>
    <row r="526" spans="1:13" x14ac:dyDescent="0.35">
      <c r="A526" t="s">
        <v>24</v>
      </c>
      <c r="D526" t="s">
        <v>32</v>
      </c>
      <c r="F526">
        <v>3</v>
      </c>
      <c r="G526">
        <v>3</v>
      </c>
      <c r="H526">
        <v>5</v>
      </c>
      <c r="I526">
        <v>35</v>
      </c>
      <c r="K526" s="124">
        <v>45590</v>
      </c>
      <c r="L526">
        <v>299</v>
      </c>
      <c r="M526">
        <v>85</v>
      </c>
    </row>
    <row r="527" spans="1:13" x14ac:dyDescent="0.35">
      <c r="A527" t="s">
        <v>24</v>
      </c>
      <c r="D527" t="s">
        <v>28</v>
      </c>
      <c r="F527">
        <v>3</v>
      </c>
      <c r="G527">
        <v>4</v>
      </c>
      <c r="H527">
        <v>5</v>
      </c>
      <c r="I527">
        <v>36</v>
      </c>
      <c r="K527" s="124">
        <v>45421</v>
      </c>
      <c r="L527">
        <v>130</v>
      </c>
      <c r="M527">
        <v>13</v>
      </c>
    </row>
    <row r="528" spans="1:13" x14ac:dyDescent="0.35">
      <c r="A528" t="s">
        <v>24</v>
      </c>
      <c r="D528" t="s">
        <v>28</v>
      </c>
      <c r="F528">
        <v>3</v>
      </c>
      <c r="G528">
        <v>4</v>
      </c>
      <c r="H528">
        <v>5</v>
      </c>
      <c r="I528">
        <v>36</v>
      </c>
      <c r="K528" s="124">
        <v>45442</v>
      </c>
      <c r="L528">
        <v>151</v>
      </c>
      <c r="M528">
        <v>18</v>
      </c>
    </row>
    <row r="529" spans="1:13" x14ac:dyDescent="0.35">
      <c r="A529" t="s">
        <v>24</v>
      </c>
      <c r="D529" t="s">
        <v>28</v>
      </c>
      <c r="F529">
        <v>3</v>
      </c>
      <c r="G529">
        <v>4</v>
      </c>
      <c r="H529">
        <v>5</v>
      </c>
      <c r="I529">
        <v>36</v>
      </c>
      <c r="K529" s="124">
        <v>45461</v>
      </c>
      <c r="L529">
        <v>170</v>
      </c>
      <c r="M529">
        <v>29</v>
      </c>
    </row>
    <row r="530" spans="1:13" x14ac:dyDescent="0.35">
      <c r="A530" t="s">
        <v>24</v>
      </c>
      <c r="D530" t="s">
        <v>28</v>
      </c>
      <c r="F530">
        <v>3</v>
      </c>
      <c r="G530">
        <v>4</v>
      </c>
      <c r="H530">
        <v>5</v>
      </c>
      <c r="I530">
        <v>36</v>
      </c>
      <c r="K530" s="124">
        <v>45477</v>
      </c>
      <c r="L530">
        <v>186</v>
      </c>
      <c r="M530">
        <v>39</v>
      </c>
    </row>
    <row r="531" spans="1:13" x14ac:dyDescent="0.35">
      <c r="A531" t="s">
        <v>24</v>
      </c>
      <c r="D531" t="s">
        <v>28</v>
      </c>
      <c r="F531">
        <v>3</v>
      </c>
      <c r="G531">
        <v>4</v>
      </c>
      <c r="H531">
        <v>5</v>
      </c>
      <c r="I531">
        <v>36</v>
      </c>
      <c r="K531" s="124">
        <v>45491</v>
      </c>
      <c r="L531">
        <v>200</v>
      </c>
      <c r="M531">
        <v>40</v>
      </c>
    </row>
    <row r="532" spans="1:13" x14ac:dyDescent="0.35">
      <c r="A532" t="s">
        <v>24</v>
      </c>
      <c r="D532" t="s">
        <v>28</v>
      </c>
      <c r="F532">
        <v>3</v>
      </c>
      <c r="G532">
        <v>4</v>
      </c>
      <c r="H532">
        <v>5</v>
      </c>
      <c r="I532">
        <v>36</v>
      </c>
      <c r="K532" s="124">
        <v>45510</v>
      </c>
      <c r="L532">
        <v>219</v>
      </c>
      <c r="M532">
        <v>44</v>
      </c>
    </row>
    <row r="533" spans="1:13" x14ac:dyDescent="0.35">
      <c r="A533" t="s">
        <v>24</v>
      </c>
      <c r="D533" t="s">
        <v>28</v>
      </c>
      <c r="F533">
        <v>3</v>
      </c>
      <c r="G533">
        <v>4</v>
      </c>
      <c r="H533">
        <v>5</v>
      </c>
      <c r="I533">
        <v>36</v>
      </c>
      <c r="K533" s="124">
        <v>45530</v>
      </c>
      <c r="L533">
        <v>239</v>
      </c>
      <c r="M533">
        <v>58</v>
      </c>
    </row>
    <row r="534" spans="1:13" x14ac:dyDescent="0.35">
      <c r="A534" t="s">
        <v>24</v>
      </c>
      <c r="D534" t="s">
        <v>28</v>
      </c>
      <c r="F534">
        <v>3</v>
      </c>
      <c r="G534">
        <v>4</v>
      </c>
      <c r="H534">
        <v>5</v>
      </c>
      <c r="I534">
        <v>36</v>
      </c>
      <c r="K534" s="124">
        <v>45538</v>
      </c>
      <c r="L534">
        <v>247</v>
      </c>
      <c r="M534">
        <v>67</v>
      </c>
    </row>
    <row r="535" spans="1:13" x14ac:dyDescent="0.35">
      <c r="A535" t="s">
        <v>24</v>
      </c>
      <c r="D535" t="s">
        <v>28</v>
      </c>
      <c r="F535">
        <v>3</v>
      </c>
      <c r="G535">
        <v>4</v>
      </c>
      <c r="H535">
        <v>5</v>
      </c>
      <c r="I535">
        <v>36</v>
      </c>
      <c r="K535" s="124">
        <v>45547</v>
      </c>
      <c r="L535">
        <v>256</v>
      </c>
      <c r="M535">
        <v>74</v>
      </c>
    </row>
    <row r="536" spans="1:13" x14ac:dyDescent="0.35">
      <c r="A536" t="s">
        <v>24</v>
      </c>
      <c r="D536" t="s">
        <v>28</v>
      </c>
      <c r="F536">
        <v>3</v>
      </c>
      <c r="G536">
        <v>4</v>
      </c>
      <c r="H536">
        <v>5</v>
      </c>
      <c r="I536">
        <v>36</v>
      </c>
      <c r="K536" s="124">
        <v>45553</v>
      </c>
      <c r="L536">
        <v>262</v>
      </c>
      <c r="M536">
        <v>76</v>
      </c>
    </row>
    <row r="537" spans="1:13" x14ac:dyDescent="0.35">
      <c r="A537" t="s">
        <v>24</v>
      </c>
      <c r="D537" t="s">
        <v>28</v>
      </c>
      <c r="F537">
        <v>3</v>
      </c>
      <c r="G537">
        <v>4</v>
      </c>
      <c r="H537">
        <v>5</v>
      </c>
      <c r="I537">
        <v>36</v>
      </c>
      <c r="K537" s="124">
        <v>45558</v>
      </c>
      <c r="L537">
        <v>267</v>
      </c>
      <c r="M537">
        <v>80</v>
      </c>
    </row>
    <row r="538" spans="1:13" x14ac:dyDescent="0.35">
      <c r="A538" t="s">
        <v>24</v>
      </c>
      <c r="D538" t="s">
        <v>28</v>
      </c>
      <c r="F538">
        <v>3</v>
      </c>
      <c r="G538">
        <v>4</v>
      </c>
      <c r="H538">
        <v>5</v>
      </c>
      <c r="I538">
        <v>36</v>
      </c>
      <c r="K538" s="124">
        <v>45562</v>
      </c>
      <c r="L538">
        <v>271</v>
      </c>
      <c r="M538">
        <v>80</v>
      </c>
    </row>
    <row r="539" spans="1:13" x14ac:dyDescent="0.35">
      <c r="A539" t="s">
        <v>24</v>
      </c>
      <c r="D539" t="s">
        <v>28</v>
      </c>
      <c r="F539">
        <v>3</v>
      </c>
      <c r="G539">
        <v>4</v>
      </c>
      <c r="H539">
        <v>5</v>
      </c>
      <c r="I539">
        <v>36</v>
      </c>
      <c r="K539" s="124">
        <v>45571</v>
      </c>
      <c r="L539">
        <v>280</v>
      </c>
      <c r="M539">
        <v>96</v>
      </c>
    </row>
    <row r="540" spans="1:13" x14ac:dyDescent="0.35">
      <c r="A540" t="s">
        <v>24</v>
      </c>
      <c r="D540" t="s">
        <v>28</v>
      </c>
      <c r="F540">
        <v>3</v>
      </c>
      <c r="G540">
        <v>4</v>
      </c>
      <c r="H540">
        <v>5</v>
      </c>
      <c r="I540">
        <v>36</v>
      </c>
      <c r="K540" s="124">
        <v>45576</v>
      </c>
      <c r="L540">
        <v>285</v>
      </c>
      <c r="M540">
        <v>95</v>
      </c>
    </row>
    <row r="541" spans="1:13" x14ac:dyDescent="0.35">
      <c r="A541" t="s">
        <v>24</v>
      </c>
      <c r="D541" t="s">
        <v>28</v>
      </c>
      <c r="F541">
        <v>3</v>
      </c>
      <c r="G541">
        <v>4</v>
      </c>
      <c r="H541">
        <v>5</v>
      </c>
      <c r="I541">
        <v>36</v>
      </c>
      <c r="K541" s="124">
        <v>45590</v>
      </c>
      <c r="L541">
        <v>299</v>
      </c>
      <c r="M541">
        <v>95</v>
      </c>
    </row>
    <row r="542" spans="1:13" x14ac:dyDescent="0.35">
      <c r="A542" t="s">
        <v>24</v>
      </c>
      <c r="D542" t="s">
        <v>27</v>
      </c>
      <c r="F542">
        <v>3</v>
      </c>
      <c r="G542">
        <v>5</v>
      </c>
      <c r="H542">
        <v>5</v>
      </c>
      <c r="I542">
        <v>37</v>
      </c>
      <c r="K542" s="124">
        <v>45421</v>
      </c>
      <c r="L542">
        <v>130</v>
      </c>
      <c r="M542">
        <v>16</v>
      </c>
    </row>
    <row r="543" spans="1:13" x14ac:dyDescent="0.35">
      <c r="A543" t="s">
        <v>24</v>
      </c>
      <c r="D543" t="s">
        <v>27</v>
      </c>
      <c r="F543">
        <v>3</v>
      </c>
      <c r="G543">
        <v>5</v>
      </c>
      <c r="H543">
        <v>5</v>
      </c>
      <c r="I543">
        <v>37</v>
      </c>
      <c r="K543" s="124">
        <v>45442</v>
      </c>
      <c r="L543">
        <v>151</v>
      </c>
      <c r="M543">
        <v>16</v>
      </c>
    </row>
    <row r="544" spans="1:13" x14ac:dyDescent="0.35">
      <c r="A544" t="s">
        <v>24</v>
      </c>
      <c r="D544" t="s">
        <v>27</v>
      </c>
      <c r="F544">
        <v>3</v>
      </c>
      <c r="G544">
        <v>5</v>
      </c>
      <c r="H544">
        <v>5</v>
      </c>
      <c r="I544">
        <v>37</v>
      </c>
      <c r="K544" s="124">
        <v>45461</v>
      </c>
      <c r="L544">
        <v>170</v>
      </c>
      <c r="M544">
        <v>28</v>
      </c>
    </row>
    <row r="545" spans="1:13" x14ac:dyDescent="0.35">
      <c r="A545" t="s">
        <v>24</v>
      </c>
      <c r="D545" t="s">
        <v>27</v>
      </c>
      <c r="F545">
        <v>3</v>
      </c>
      <c r="G545">
        <v>5</v>
      </c>
      <c r="H545">
        <v>5</v>
      </c>
      <c r="I545">
        <v>37</v>
      </c>
      <c r="K545" s="124">
        <v>45477</v>
      </c>
      <c r="L545">
        <v>186</v>
      </c>
      <c r="M545">
        <v>34</v>
      </c>
    </row>
    <row r="546" spans="1:13" x14ac:dyDescent="0.35">
      <c r="A546" t="s">
        <v>24</v>
      </c>
      <c r="D546" t="s">
        <v>27</v>
      </c>
      <c r="F546">
        <v>3</v>
      </c>
      <c r="G546">
        <v>5</v>
      </c>
      <c r="H546">
        <v>5</v>
      </c>
      <c r="I546">
        <v>37</v>
      </c>
      <c r="K546" s="124">
        <v>45491</v>
      </c>
      <c r="L546">
        <v>200</v>
      </c>
      <c r="M546">
        <v>43</v>
      </c>
    </row>
    <row r="547" spans="1:13" x14ac:dyDescent="0.35">
      <c r="A547" t="s">
        <v>24</v>
      </c>
      <c r="D547" t="s">
        <v>27</v>
      </c>
      <c r="F547">
        <v>3</v>
      </c>
      <c r="G547">
        <v>5</v>
      </c>
      <c r="H547">
        <v>5</v>
      </c>
      <c r="I547">
        <v>37</v>
      </c>
      <c r="K547" s="124">
        <v>45510</v>
      </c>
      <c r="L547">
        <v>219</v>
      </c>
      <c r="M547">
        <v>45</v>
      </c>
    </row>
    <row r="548" spans="1:13" x14ac:dyDescent="0.35">
      <c r="A548" t="s">
        <v>24</v>
      </c>
      <c r="D548" t="s">
        <v>27</v>
      </c>
      <c r="F548">
        <v>3</v>
      </c>
      <c r="G548">
        <v>5</v>
      </c>
      <c r="H548">
        <v>5</v>
      </c>
      <c r="I548">
        <v>37</v>
      </c>
      <c r="K548" s="124">
        <v>45530</v>
      </c>
      <c r="L548">
        <v>239</v>
      </c>
      <c r="M548">
        <v>54</v>
      </c>
    </row>
    <row r="549" spans="1:13" x14ac:dyDescent="0.35">
      <c r="A549" t="s">
        <v>24</v>
      </c>
      <c r="D549" t="s">
        <v>27</v>
      </c>
      <c r="F549">
        <v>3</v>
      </c>
      <c r="G549">
        <v>5</v>
      </c>
      <c r="H549">
        <v>5</v>
      </c>
      <c r="I549">
        <v>37</v>
      </c>
      <c r="K549" s="124">
        <v>45538</v>
      </c>
      <c r="L549">
        <v>247</v>
      </c>
      <c r="M549">
        <v>65</v>
      </c>
    </row>
    <row r="550" spans="1:13" x14ac:dyDescent="0.35">
      <c r="A550" t="s">
        <v>24</v>
      </c>
      <c r="D550" t="s">
        <v>27</v>
      </c>
      <c r="F550">
        <v>3</v>
      </c>
      <c r="G550">
        <v>5</v>
      </c>
      <c r="H550">
        <v>5</v>
      </c>
      <c r="I550">
        <v>37</v>
      </c>
      <c r="K550" s="124">
        <v>45547</v>
      </c>
      <c r="L550">
        <v>256</v>
      </c>
      <c r="M550">
        <v>71</v>
      </c>
    </row>
    <row r="551" spans="1:13" x14ac:dyDescent="0.35">
      <c r="A551" t="s">
        <v>24</v>
      </c>
      <c r="D551" t="s">
        <v>27</v>
      </c>
      <c r="F551">
        <v>3</v>
      </c>
      <c r="G551">
        <v>5</v>
      </c>
      <c r="H551">
        <v>5</v>
      </c>
      <c r="I551">
        <v>37</v>
      </c>
      <c r="K551" s="124">
        <v>45553</v>
      </c>
      <c r="L551">
        <v>262</v>
      </c>
      <c r="M551">
        <v>76</v>
      </c>
    </row>
    <row r="552" spans="1:13" x14ac:dyDescent="0.35">
      <c r="A552" t="s">
        <v>24</v>
      </c>
      <c r="D552" t="s">
        <v>27</v>
      </c>
      <c r="F552">
        <v>3</v>
      </c>
      <c r="G552">
        <v>5</v>
      </c>
      <c r="H552">
        <v>5</v>
      </c>
      <c r="I552">
        <v>37</v>
      </c>
      <c r="K552" s="124">
        <v>45558</v>
      </c>
      <c r="L552">
        <v>267</v>
      </c>
      <c r="M552">
        <v>79</v>
      </c>
    </row>
    <row r="553" spans="1:13" x14ac:dyDescent="0.35">
      <c r="A553" t="s">
        <v>24</v>
      </c>
      <c r="D553" t="s">
        <v>27</v>
      </c>
      <c r="F553">
        <v>3</v>
      </c>
      <c r="G553">
        <v>5</v>
      </c>
      <c r="H553">
        <v>5</v>
      </c>
      <c r="I553">
        <v>37</v>
      </c>
      <c r="K553" s="124">
        <v>45562</v>
      </c>
      <c r="L553">
        <v>271</v>
      </c>
      <c r="M553">
        <v>81</v>
      </c>
    </row>
    <row r="554" spans="1:13" x14ac:dyDescent="0.35">
      <c r="A554" t="s">
        <v>24</v>
      </c>
      <c r="D554" t="s">
        <v>27</v>
      </c>
      <c r="F554">
        <v>3</v>
      </c>
      <c r="G554">
        <v>5</v>
      </c>
      <c r="H554">
        <v>5</v>
      </c>
      <c r="I554">
        <v>37</v>
      </c>
      <c r="K554" s="124">
        <v>45571</v>
      </c>
      <c r="L554">
        <v>280</v>
      </c>
      <c r="M554">
        <v>99</v>
      </c>
    </row>
    <row r="555" spans="1:13" x14ac:dyDescent="0.35">
      <c r="A555" t="s">
        <v>24</v>
      </c>
      <c r="D555" t="s">
        <v>27</v>
      </c>
      <c r="F555">
        <v>3</v>
      </c>
      <c r="G555">
        <v>5</v>
      </c>
      <c r="H555">
        <v>5</v>
      </c>
      <c r="I555">
        <v>37</v>
      </c>
      <c r="K555" s="124">
        <v>45576</v>
      </c>
      <c r="L555">
        <v>285</v>
      </c>
      <c r="M555">
        <v>100</v>
      </c>
    </row>
    <row r="556" spans="1:13" x14ac:dyDescent="0.35">
      <c r="A556" t="s">
        <v>24</v>
      </c>
      <c r="D556" t="s">
        <v>27</v>
      </c>
      <c r="F556">
        <v>3</v>
      </c>
      <c r="G556">
        <v>5</v>
      </c>
      <c r="H556">
        <v>5</v>
      </c>
      <c r="I556">
        <v>37</v>
      </c>
      <c r="K556" s="124">
        <v>45590</v>
      </c>
      <c r="L556">
        <v>299</v>
      </c>
      <c r="M556">
        <v>99</v>
      </c>
    </row>
    <row r="557" spans="1:13" x14ac:dyDescent="0.35">
      <c r="A557" t="s">
        <v>24</v>
      </c>
      <c r="D557" t="s">
        <v>335</v>
      </c>
      <c r="F557">
        <v>3</v>
      </c>
      <c r="G557">
        <v>6</v>
      </c>
      <c r="H557">
        <v>5</v>
      </c>
      <c r="I557">
        <v>38</v>
      </c>
      <c r="K557" s="124">
        <v>45421</v>
      </c>
      <c r="L557">
        <v>130</v>
      </c>
      <c r="M557">
        <v>14</v>
      </c>
    </row>
    <row r="558" spans="1:13" x14ac:dyDescent="0.35">
      <c r="A558" t="s">
        <v>24</v>
      </c>
      <c r="D558" t="s">
        <v>335</v>
      </c>
      <c r="F558">
        <v>3</v>
      </c>
      <c r="G558">
        <v>6</v>
      </c>
      <c r="H558">
        <v>5</v>
      </c>
      <c r="I558">
        <v>38</v>
      </c>
      <c r="K558" s="124">
        <v>45442</v>
      </c>
      <c r="L558">
        <v>151</v>
      </c>
      <c r="M558">
        <v>14</v>
      </c>
    </row>
    <row r="559" spans="1:13" x14ac:dyDescent="0.35">
      <c r="A559" t="s">
        <v>24</v>
      </c>
      <c r="D559" t="s">
        <v>335</v>
      </c>
      <c r="F559">
        <v>3</v>
      </c>
      <c r="G559">
        <v>6</v>
      </c>
      <c r="H559">
        <v>5</v>
      </c>
      <c r="I559">
        <v>38</v>
      </c>
      <c r="K559" s="124">
        <v>45461</v>
      </c>
      <c r="L559">
        <v>170</v>
      </c>
      <c r="M559">
        <v>23</v>
      </c>
    </row>
    <row r="560" spans="1:13" x14ac:dyDescent="0.35">
      <c r="A560" t="s">
        <v>24</v>
      </c>
      <c r="D560" t="s">
        <v>335</v>
      </c>
      <c r="F560">
        <v>3</v>
      </c>
      <c r="G560">
        <v>6</v>
      </c>
      <c r="H560">
        <v>5</v>
      </c>
      <c r="I560">
        <v>38</v>
      </c>
      <c r="K560" s="124">
        <v>45477</v>
      </c>
      <c r="L560">
        <v>186</v>
      </c>
      <c r="M560">
        <v>28</v>
      </c>
    </row>
    <row r="561" spans="1:13" x14ac:dyDescent="0.35">
      <c r="A561" t="s">
        <v>24</v>
      </c>
      <c r="D561" t="s">
        <v>335</v>
      </c>
      <c r="F561">
        <v>3</v>
      </c>
      <c r="G561">
        <v>6</v>
      </c>
      <c r="H561">
        <v>5</v>
      </c>
      <c r="I561">
        <v>38</v>
      </c>
      <c r="K561" s="124">
        <v>45491</v>
      </c>
      <c r="L561">
        <v>200</v>
      </c>
      <c r="M561">
        <v>37</v>
      </c>
    </row>
    <row r="562" spans="1:13" x14ac:dyDescent="0.35">
      <c r="A562" t="s">
        <v>24</v>
      </c>
      <c r="D562" t="s">
        <v>335</v>
      </c>
      <c r="F562">
        <v>3</v>
      </c>
      <c r="G562">
        <v>6</v>
      </c>
      <c r="H562">
        <v>5</v>
      </c>
      <c r="I562">
        <v>38</v>
      </c>
      <c r="K562" s="124">
        <v>45510</v>
      </c>
      <c r="L562">
        <v>219</v>
      </c>
      <c r="M562">
        <v>42</v>
      </c>
    </row>
    <row r="563" spans="1:13" x14ac:dyDescent="0.35">
      <c r="A563" t="s">
        <v>24</v>
      </c>
      <c r="D563" t="s">
        <v>335</v>
      </c>
      <c r="F563">
        <v>3</v>
      </c>
      <c r="G563">
        <v>6</v>
      </c>
      <c r="H563">
        <v>5</v>
      </c>
      <c r="I563">
        <v>38</v>
      </c>
      <c r="K563" s="124">
        <v>45530</v>
      </c>
      <c r="L563">
        <v>239</v>
      </c>
      <c r="M563">
        <v>58</v>
      </c>
    </row>
    <row r="564" spans="1:13" x14ac:dyDescent="0.35">
      <c r="A564" t="s">
        <v>24</v>
      </c>
      <c r="D564" t="s">
        <v>335</v>
      </c>
      <c r="F564">
        <v>3</v>
      </c>
      <c r="G564">
        <v>6</v>
      </c>
      <c r="H564">
        <v>5</v>
      </c>
      <c r="I564">
        <v>38</v>
      </c>
      <c r="K564" s="124">
        <v>45538</v>
      </c>
      <c r="L564">
        <v>247</v>
      </c>
      <c r="M564">
        <v>67</v>
      </c>
    </row>
    <row r="565" spans="1:13" x14ac:dyDescent="0.35">
      <c r="A565" t="s">
        <v>24</v>
      </c>
      <c r="D565" t="s">
        <v>335</v>
      </c>
      <c r="F565">
        <v>3</v>
      </c>
      <c r="G565">
        <v>6</v>
      </c>
      <c r="H565">
        <v>5</v>
      </c>
      <c r="I565">
        <v>38</v>
      </c>
      <c r="K565" s="124">
        <v>45547</v>
      </c>
      <c r="L565">
        <v>256</v>
      </c>
      <c r="M565">
        <v>74</v>
      </c>
    </row>
    <row r="566" spans="1:13" x14ac:dyDescent="0.35">
      <c r="A566" t="s">
        <v>24</v>
      </c>
      <c r="D566" t="s">
        <v>335</v>
      </c>
      <c r="F566">
        <v>3</v>
      </c>
      <c r="G566">
        <v>6</v>
      </c>
      <c r="H566">
        <v>5</v>
      </c>
      <c r="I566">
        <v>38</v>
      </c>
      <c r="K566" s="124">
        <v>45553</v>
      </c>
      <c r="L566">
        <v>262</v>
      </c>
      <c r="M566">
        <v>75</v>
      </c>
    </row>
    <row r="567" spans="1:13" x14ac:dyDescent="0.35">
      <c r="A567" t="s">
        <v>24</v>
      </c>
      <c r="D567" t="s">
        <v>335</v>
      </c>
      <c r="F567">
        <v>3</v>
      </c>
      <c r="G567">
        <v>6</v>
      </c>
      <c r="H567">
        <v>5</v>
      </c>
      <c r="I567">
        <v>38</v>
      </c>
      <c r="K567" s="124">
        <v>45558</v>
      </c>
      <c r="L567">
        <v>267</v>
      </c>
      <c r="M567">
        <v>76</v>
      </c>
    </row>
    <row r="568" spans="1:13" x14ac:dyDescent="0.35">
      <c r="A568" t="s">
        <v>24</v>
      </c>
      <c r="D568" t="s">
        <v>335</v>
      </c>
      <c r="F568">
        <v>3</v>
      </c>
      <c r="G568">
        <v>6</v>
      </c>
      <c r="H568">
        <v>5</v>
      </c>
      <c r="I568">
        <v>38</v>
      </c>
      <c r="K568" s="124">
        <v>45562</v>
      </c>
      <c r="L568">
        <v>271</v>
      </c>
      <c r="M568">
        <v>80</v>
      </c>
    </row>
    <row r="569" spans="1:13" x14ac:dyDescent="0.35">
      <c r="A569" t="s">
        <v>24</v>
      </c>
      <c r="D569" t="s">
        <v>335</v>
      </c>
      <c r="F569">
        <v>3</v>
      </c>
      <c r="G569">
        <v>6</v>
      </c>
      <c r="H569">
        <v>5</v>
      </c>
      <c r="I569">
        <v>38</v>
      </c>
      <c r="K569" s="124">
        <v>45571</v>
      </c>
      <c r="L569">
        <v>280</v>
      </c>
      <c r="M569">
        <v>95</v>
      </c>
    </row>
    <row r="570" spans="1:13" x14ac:dyDescent="0.35">
      <c r="A570" t="s">
        <v>24</v>
      </c>
      <c r="D570" t="s">
        <v>335</v>
      </c>
      <c r="F570">
        <v>3</v>
      </c>
      <c r="G570">
        <v>6</v>
      </c>
      <c r="H570">
        <v>5</v>
      </c>
      <c r="I570">
        <v>38</v>
      </c>
      <c r="K570" s="124">
        <v>45576</v>
      </c>
      <c r="L570">
        <v>285</v>
      </c>
      <c r="M570">
        <v>95</v>
      </c>
    </row>
    <row r="571" spans="1:13" x14ac:dyDescent="0.35">
      <c r="A571" t="s">
        <v>24</v>
      </c>
      <c r="D571" t="s">
        <v>335</v>
      </c>
      <c r="F571">
        <v>3</v>
      </c>
      <c r="G571">
        <v>6</v>
      </c>
      <c r="H571">
        <v>5</v>
      </c>
      <c r="I571">
        <v>38</v>
      </c>
      <c r="K571" s="124">
        <v>45590</v>
      </c>
      <c r="L571">
        <v>299</v>
      </c>
      <c r="M571">
        <v>93</v>
      </c>
    </row>
    <row r="572" spans="1:13" x14ac:dyDescent="0.35">
      <c r="A572" t="s">
        <v>24</v>
      </c>
      <c r="D572" t="s">
        <v>29</v>
      </c>
      <c r="F572">
        <v>3</v>
      </c>
      <c r="G572">
        <v>7</v>
      </c>
      <c r="H572">
        <v>5</v>
      </c>
      <c r="I572">
        <v>39</v>
      </c>
      <c r="K572" s="124">
        <v>45421</v>
      </c>
      <c r="L572">
        <v>130</v>
      </c>
      <c r="M572">
        <v>17</v>
      </c>
    </row>
    <row r="573" spans="1:13" x14ac:dyDescent="0.35">
      <c r="A573" t="s">
        <v>24</v>
      </c>
      <c r="D573" t="s">
        <v>29</v>
      </c>
      <c r="F573">
        <v>3</v>
      </c>
      <c r="G573">
        <v>7</v>
      </c>
      <c r="H573">
        <v>5</v>
      </c>
      <c r="I573">
        <v>39</v>
      </c>
      <c r="K573" s="124">
        <v>45442</v>
      </c>
      <c r="L573">
        <v>151</v>
      </c>
      <c r="M573">
        <v>17</v>
      </c>
    </row>
    <row r="574" spans="1:13" x14ac:dyDescent="0.35">
      <c r="A574" t="s">
        <v>24</v>
      </c>
      <c r="D574" t="s">
        <v>29</v>
      </c>
      <c r="F574">
        <v>3</v>
      </c>
      <c r="G574">
        <v>7</v>
      </c>
      <c r="H574">
        <v>5</v>
      </c>
      <c r="I574">
        <v>39</v>
      </c>
      <c r="K574" s="124">
        <v>45461</v>
      </c>
      <c r="L574">
        <v>170</v>
      </c>
      <c r="M574">
        <v>26</v>
      </c>
    </row>
    <row r="575" spans="1:13" x14ac:dyDescent="0.35">
      <c r="A575" t="s">
        <v>24</v>
      </c>
      <c r="D575" t="s">
        <v>29</v>
      </c>
      <c r="F575">
        <v>3</v>
      </c>
      <c r="G575">
        <v>7</v>
      </c>
      <c r="H575">
        <v>5</v>
      </c>
      <c r="I575">
        <v>39</v>
      </c>
      <c r="K575" s="124">
        <v>45477</v>
      </c>
      <c r="L575">
        <v>186</v>
      </c>
      <c r="M575">
        <v>34</v>
      </c>
    </row>
    <row r="576" spans="1:13" x14ac:dyDescent="0.35">
      <c r="A576" t="s">
        <v>24</v>
      </c>
      <c r="D576" t="s">
        <v>29</v>
      </c>
      <c r="F576">
        <v>3</v>
      </c>
      <c r="G576">
        <v>7</v>
      </c>
      <c r="H576">
        <v>5</v>
      </c>
      <c r="I576">
        <v>39</v>
      </c>
      <c r="K576" s="124">
        <v>45491</v>
      </c>
      <c r="L576">
        <v>200</v>
      </c>
      <c r="M576">
        <v>35</v>
      </c>
    </row>
    <row r="577" spans="1:13" x14ac:dyDescent="0.35">
      <c r="A577" t="s">
        <v>24</v>
      </c>
      <c r="D577" t="s">
        <v>29</v>
      </c>
      <c r="F577">
        <v>3</v>
      </c>
      <c r="G577">
        <v>7</v>
      </c>
      <c r="H577">
        <v>5</v>
      </c>
      <c r="I577">
        <v>39</v>
      </c>
      <c r="K577" s="124">
        <v>45510</v>
      </c>
      <c r="L577">
        <v>219</v>
      </c>
      <c r="M577">
        <v>43</v>
      </c>
    </row>
    <row r="578" spans="1:13" x14ac:dyDescent="0.35">
      <c r="A578" t="s">
        <v>24</v>
      </c>
      <c r="D578" t="s">
        <v>29</v>
      </c>
      <c r="F578">
        <v>3</v>
      </c>
      <c r="G578">
        <v>7</v>
      </c>
      <c r="H578">
        <v>5</v>
      </c>
      <c r="I578">
        <v>39</v>
      </c>
      <c r="K578" s="124">
        <v>45530</v>
      </c>
      <c r="L578">
        <v>239</v>
      </c>
      <c r="M578">
        <v>58</v>
      </c>
    </row>
    <row r="579" spans="1:13" x14ac:dyDescent="0.35">
      <c r="A579" t="s">
        <v>24</v>
      </c>
      <c r="D579" t="s">
        <v>29</v>
      </c>
      <c r="F579">
        <v>3</v>
      </c>
      <c r="G579">
        <v>7</v>
      </c>
      <c r="H579">
        <v>5</v>
      </c>
      <c r="I579">
        <v>39</v>
      </c>
      <c r="K579" s="124">
        <v>45538</v>
      </c>
      <c r="L579">
        <v>247</v>
      </c>
      <c r="M579">
        <v>66</v>
      </c>
    </row>
    <row r="580" spans="1:13" x14ac:dyDescent="0.35">
      <c r="A580" t="s">
        <v>24</v>
      </c>
      <c r="D580" t="s">
        <v>29</v>
      </c>
      <c r="F580">
        <v>3</v>
      </c>
      <c r="G580">
        <v>7</v>
      </c>
      <c r="H580">
        <v>5</v>
      </c>
      <c r="I580">
        <v>39</v>
      </c>
      <c r="K580" s="124">
        <v>45547</v>
      </c>
      <c r="L580">
        <v>256</v>
      </c>
      <c r="M580">
        <v>70</v>
      </c>
    </row>
    <row r="581" spans="1:13" x14ac:dyDescent="0.35">
      <c r="A581" t="s">
        <v>24</v>
      </c>
      <c r="D581" t="s">
        <v>29</v>
      </c>
      <c r="F581">
        <v>3</v>
      </c>
      <c r="G581">
        <v>7</v>
      </c>
      <c r="H581">
        <v>5</v>
      </c>
      <c r="I581">
        <v>39</v>
      </c>
      <c r="K581" s="124">
        <v>45553</v>
      </c>
      <c r="L581">
        <v>262</v>
      </c>
      <c r="M581">
        <v>74</v>
      </c>
    </row>
    <row r="582" spans="1:13" x14ac:dyDescent="0.35">
      <c r="A582" t="s">
        <v>24</v>
      </c>
      <c r="D582" t="s">
        <v>29</v>
      </c>
      <c r="F582">
        <v>3</v>
      </c>
      <c r="G582">
        <v>7</v>
      </c>
      <c r="H582">
        <v>5</v>
      </c>
      <c r="I582">
        <v>39</v>
      </c>
      <c r="K582" s="124">
        <v>45558</v>
      </c>
      <c r="L582">
        <v>267</v>
      </c>
      <c r="M582">
        <v>76</v>
      </c>
    </row>
    <row r="583" spans="1:13" x14ac:dyDescent="0.35">
      <c r="A583" t="s">
        <v>24</v>
      </c>
      <c r="D583" t="s">
        <v>29</v>
      </c>
      <c r="F583">
        <v>3</v>
      </c>
      <c r="G583">
        <v>7</v>
      </c>
      <c r="H583">
        <v>5</v>
      </c>
      <c r="I583">
        <v>39</v>
      </c>
      <c r="K583" s="124">
        <v>45562</v>
      </c>
      <c r="L583">
        <v>271</v>
      </c>
      <c r="M583">
        <v>85</v>
      </c>
    </row>
    <row r="584" spans="1:13" x14ac:dyDescent="0.35">
      <c r="A584" t="s">
        <v>24</v>
      </c>
      <c r="D584" t="s">
        <v>29</v>
      </c>
      <c r="F584">
        <v>3</v>
      </c>
      <c r="G584">
        <v>7</v>
      </c>
      <c r="H584">
        <v>5</v>
      </c>
      <c r="I584">
        <v>39</v>
      </c>
      <c r="K584" s="124">
        <v>45571</v>
      </c>
      <c r="L584">
        <v>280</v>
      </c>
      <c r="M584">
        <v>100</v>
      </c>
    </row>
    <row r="585" spans="1:13" x14ac:dyDescent="0.35">
      <c r="A585" t="s">
        <v>24</v>
      </c>
      <c r="D585" t="s">
        <v>29</v>
      </c>
      <c r="F585">
        <v>3</v>
      </c>
      <c r="G585">
        <v>7</v>
      </c>
      <c r="H585">
        <v>5</v>
      </c>
      <c r="I585">
        <v>39</v>
      </c>
      <c r="K585" s="124">
        <v>45576</v>
      </c>
      <c r="L585">
        <v>285</v>
      </c>
      <c r="M585">
        <v>100</v>
      </c>
    </row>
    <row r="586" spans="1:13" x14ac:dyDescent="0.35">
      <c r="A586" t="s">
        <v>24</v>
      </c>
      <c r="D586" t="s">
        <v>29</v>
      </c>
      <c r="F586">
        <v>3</v>
      </c>
      <c r="G586">
        <v>7</v>
      </c>
      <c r="H586">
        <v>5</v>
      </c>
      <c r="I586">
        <v>39</v>
      </c>
      <c r="K586" s="124">
        <v>45590</v>
      </c>
      <c r="L586">
        <v>299</v>
      </c>
      <c r="M586">
        <v>99</v>
      </c>
    </row>
    <row r="587" spans="1:13" x14ac:dyDescent="0.35">
      <c r="A587" t="s">
        <v>24</v>
      </c>
      <c r="D587" t="s">
        <v>26</v>
      </c>
      <c r="F587">
        <v>3</v>
      </c>
      <c r="G587">
        <v>8</v>
      </c>
      <c r="H587">
        <v>5</v>
      </c>
      <c r="I587">
        <v>40</v>
      </c>
      <c r="K587" s="124">
        <v>45421</v>
      </c>
      <c r="L587">
        <v>130</v>
      </c>
      <c r="M587">
        <v>14</v>
      </c>
    </row>
    <row r="588" spans="1:13" x14ac:dyDescent="0.35">
      <c r="A588" t="s">
        <v>24</v>
      </c>
      <c r="D588" t="s">
        <v>26</v>
      </c>
      <c r="F588">
        <v>3</v>
      </c>
      <c r="G588">
        <v>8</v>
      </c>
      <c r="H588">
        <v>5</v>
      </c>
      <c r="I588">
        <v>40</v>
      </c>
      <c r="K588" s="124">
        <v>45442</v>
      </c>
      <c r="L588">
        <v>151</v>
      </c>
      <c r="M588">
        <v>18</v>
      </c>
    </row>
    <row r="589" spans="1:13" x14ac:dyDescent="0.35">
      <c r="A589" t="s">
        <v>24</v>
      </c>
      <c r="D589" t="s">
        <v>26</v>
      </c>
      <c r="F589">
        <v>3</v>
      </c>
      <c r="G589">
        <v>8</v>
      </c>
      <c r="H589">
        <v>5</v>
      </c>
      <c r="I589">
        <v>40</v>
      </c>
      <c r="K589" s="124">
        <v>45461</v>
      </c>
      <c r="L589">
        <v>170</v>
      </c>
      <c r="M589">
        <v>27</v>
      </c>
    </row>
    <row r="590" spans="1:13" x14ac:dyDescent="0.35">
      <c r="A590" t="s">
        <v>24</v>
      </c>
      <c r="D590" t="s">
        <v>26</v>
      </c>
      <c r="F590">
        <v>3</v>
      </c>
      <c r="G590">
        <v>8</v>
      </c>
      <c r="H590">
        <v>5</v>
      </c>
      <c r="I590">
        <v>40</v>
      </c>
      <c r="K590" s="124">
        <v>45477</v>
      </c>
      <c r="L590">
        <v>186</v>
      </c>
      <c r="M590">
        <v>38</v>
      </c>
    </row>
    <row r="591" spans="1:13" x14ac:dyDescent="0.35">
      <c r="A591" t="s">
        <v>24</v>
      </c>
      <c r="D591" t="s">
        <v>26</v>
      </c>
      <c r="F591">
        <v>3</v>
      </c>
      <c r="G591">
        <v>8</v>
      </c>
      <c r="H591">
        <v>5</v>
      </c>
      <c r="I591">
        <v>40</v>
      </c>
      <c r="K591" s="124">
        <v>45491</v>
      </c>
      <c r="L591">
        <v>200</v>
      </c>
      <c r="M591">
        <v>38</v>
      </c>
    </row>
    <row r="592" spans="1:13" x14ac:dyDescent="0.35">
      <c r="A592" t="s">
        <v>24</v>
      </c>
      <c r="D592" t="s">
        <v>26</v>
      </c>
      <c r="F592">
        <v>3</v>
      </c>
      <c r="G592">
        <v>8</v>
      </c>
      <c r="H592">
        <v>5</v>
      </c>
      <c r="I592">
        <v>40</v>
      </c>
      <c r="K592" s="124">
        <v>45510</v>
      </c>
      <c r="L592">
        <v>219</v>
      </c>
      <c r="M592">
        <v>43</v>
      </c>
    </row>
    <row r="593" spans="1:13" x14ac:dyDescent="0.35">
      <c r="A593" t="s">
        <v>24</v>
      </c>
      <c r="D593" t="s">
        <v>26</v>
      </c>
      <c r="F593">
        <v>3</v>
      </c>
      <c r="G593">
        <v>8</v>
      </c>
      <c r="H593">
        <v>5</v>
      </c>
      <c r="I593">
        <v>40</v>
      </c>
      <c r="K593" s="124">
        <v>45530</v>
      </c>
      <c r="L593">
        <v>239</v>
      </c>
      <c r="M593">
        <v>59</v>
      </c>
    </row>
    <row r="594" spans="1:13" x14ac:dyDescent="0.35">
      <c r="A594" t="s">
        <v>24</v>
      </c>
      <c r="D594" t="s">
        <v>26</v>
      </c>
      <c r="F594">
        <v>3</v>
      </c>
      <c r="G594">
        <v>8</v>
      </c>
      <c r="H594">
        <v>5</v>
      </c>
      <c r="I594">
        <v>40</v>
      </c>
      <c r="K594" s="124">
        <v>45538</v>
      </c>
      <c r="L594">
        <v>247</v>
      </c>
      <c r="M594">
        <v>70</v>
      </c>
    </row>
    <row r="595" spans="1:13" x14ac:dyDescent="0.35">
      <c r="A595" t="s">
        <v>24</v>
      </c>
      <c r="D595" t="s">
        <v>26</v>
      </c>
      <c r="F595">
        <v>3</v>
      </c>
      <c r="G595">
        <v>8</v>
      </c>
      <c r="H595">
        <v>5</v>
      </c>
      <c r="I595">
        <v>40</v>
      </c>
      <c r="K595" s="124">
        <v>45547</v>
      </c>
      <c r="L595">
        <v>256</v>
      </c>
      <c r="M595">
        <v>79</v>
      </c>
    </row>
    <row r="596" spans="1:13" x14ac:dyDescent="0.35">
      <c r="A596" t="s">
        <v>24</v>
      </c>
      <c r="D596" t="s">
        <v>26</v>
      </c>
      <c r="F596">
        <v>3</v>
      </c>
      <c r="G596">
        <v>8</v>
      </c>
      <c r="H596">
        <v>5</v>
      </c>
      <c r="I596">
        <v>40</v>
      </c>
      <c r="K596" s="124">
        <v>45553</v>
      </c>
      <c r="L596">
        <v>262</v>
      </c>
      <c r="M596">
        <v>82</v>
      </c>
    </row>
    <row r="597" spans="1:13" x14ac:dyDescent="0.35">
      <c r="A597" t="s">
        <v>24</v>
      </c>
      <c r="D597" t="s">
        <v>26</v>
      </c>
      <c r="F597">
        <v>3</v>
      </c>
      <c r="G597">
        <v>8</v>
      </c>
      <c r="H597">
        <v>5</v>
      </c>
      <c r="I597">
        <v>40</v>
      </c>
      <c r="K597" s="124">
        <v>45558</v>
      </c>
      <c r="L597">
        <v>267</v>
      </c>
      <c r="M597">
        <v>86</v>
      </c>
    </row>
    <row r="598" spans="1:13" x14ac:dyDescent="0.35">
      <c r="A598" t="s">
        <v>24</v>
      </c>
      <c r="D598" t="s">
        <v>26</v>
      </c>
      <c r="F598">
        <v>3</v>
      </c>
      <c r="G598">
        <v>8</v>
      </c>
      <c r="H598">
        <v>5</v>
      </c>
      <c r="I598">
        <v>40</v>
      </c>
      <c r="K598" s="124">
        <v>45562</v>
      </c>
      <c r="L598">
        <v>271</v>
      </c>
      <c r="M598">
        <v>90</v>
      </c>
    </row>
    <row r="599" spans="1:13" x14ac:dyDescent="0.35">
      <c r="A599" t="s">
        <v>24</v>
      </c>
      <c r="D599" t="s">
        <v>26</v>
      </c>
      <c r="F599">
        <v>3</v>
      </c>
      <c r="G599">
        <v>8</v>
      </c>
      <c r="H599">
        <v>5</v>
      </c>
      <c r="I599">
        <v>40</v>
      </c>
      <c r="K599" s="124">
        <v>45571</v>
      </c>
      <c r="L599">
        <v>280</v>
      </c>
      <c r="M599">
        <v>105</v>
      </c>
    </row>
    <row r="600" spans="1:13" x14ac:dyDescent="0.35">
      <c r="A600" t="s">
        <v>24</v>
      </c>
      <c r="D600" t="s">
        <v>26</v>
      </c>
      <c r="F600">
        <v>3</v>
      </c>
      <c r="G600">
        <v>8</v>
      </c>
      <c r="H600">
        <v>5</v>
      </c>
      <c r="I600">
        <v>40</v>
      </c>
      <c r="K600" s="124">
        <v>45576</v>
      </c>
      <c r="L600">
        <v>285</v>
      </c>
      <c r="M600">
        <v>110</v>
      </c>
    </row>
    <row r="601" spans="1:13" x14ac:dyDescent="0.35">
      <c r="A601" t="s">
        <v>24</v>
      </c>
      <c r="D601" t="s">
        <v>26</v>
      </c>
      <c r="F601">
        <v>3</v>
      </c>
      <c r="G601">
        <v>8</v>
      </c>
      <c r="H601">
        <v>5</v>
      </c>
      <c r="I601">
        <v>40</v>
      </c>
      <c r="K601" s="124">
        <v>45590</v>
      </c>
      <c r="L601">
        <v>299</v>
      </c>
      <c r="M601">
        <v>107</v>
      </c>
    </row>
    <row r="602" spans="1:13" x14ac:dyDescent="0.35">
      <c r="A602" t="s">
        <v>34</v>
      </c>
      <c r="D602" t="s">
        <v>41</v>
      </c>
      <c r="F602">
        <v>3</v>
      </c>
      <c r="G602">
        <v>1</v>
      </c>
      <c r="H602">
        <v>6</v>
      </c>
      <c r="I602">
        <v>41</v>
      </c>
      <c r="K602" s="124">
        <v>45421</v>
      </c>
      <c r="L602">
        <v>130</v>
      </c>
    </row>
    <row r="603" spans="1:13" x14ac:dyDescent="0.35">
      <c r="A603" t="s">
        <v>34</v>
      </c>
      <c r="D603" t="s">
        <v>41</v>
      </c>
      <c r="F603">
        <v>3</v>
      </c>
      <c r="G603">
        <v>1</v>
      </c>
      <c r="H603">
        <v>6</v>
      </c>
      <c r="I603">
        <v>41</v>
      </c>
      <c r="K603" s="124">
        <v>45442</v>
      </c>
      <c r="L603">
        <v>151</v>
      </c>
      <c r="M603">
        <v>8</v>
      </c>
    </row>
    <row r="604" spans="1:13" x14ac:dyDescent="0.35">
      <c r="A604" t="s">
        <v>34</v>
      </c>
      <c r="D604" t="s">
        <v>41</v>
      </c>
      <c r="F604">
        <v>3</v>
      </c>
      <c r="G604">
        <v>1</v>
      </c>
      <c r="H604">
        <v>6</v>
      </c>
      <c r="I604">
        <v>41</v>
      </c>
      <c r="K604" s="124">
        <v>45461</v>
      </c>
      <c r="L604">
        <v>170</v>
      </c>
      <c r="M604">
        <v>13</v>
      </c>
    </row>
    <row r="605" spans="1:13" x14ac:dyDescent="0.35">
      <c r="A605" t="s">
        <v>34</v>
      </c>
      <c r="D605" t="s">
        <v>41</v>
      </c>
      <c r="F605">
        <v>3</v>
      </c>
      <c r="G605">
        <v>1</v>
      </c>
      <c r="H605">
        <v>6</v>
      </c>
      <c r="I605">
        <v>41</v>
      </c>
      <c r="K605" s="124">
        <v>45477</v>
      </c>
      <c r="L605">
        <v>186</v>
      </c>
      <c r="M605">
        <v>18</v>
      </c>
    </row>
    <row r="606" spans="1:13" x14ac:dyDescent="0.35">
      <c r="A606" t="s">
        <v>34</v>
      </c>
      <c r="D606" t="s">
        <v>41</v>
      </c>
      <c r="F606">
        <v>3</v>
      </c>
      <c r="G606">
        <v>1</v>
      </c>
      <c r="H606">
        <v>6</v>
      </c>
      <c r="I606">
        <v>41</v>
      </c>
      <c r="K606" s="124">
        <v>45491</v>
      </c>
      <c r="L606">
        <v>200</v>
      </c>
      <c r="M606">
        <v>32</v>
      </c>
    </row>
    <row r="607" spans="1:13" x14ac:dyDescent="0.35">
      <c r="A607" t="s">
        <v>34</v>
      </c>
      <c r="D607" t="s">
        <v>41</v>
      </c>
      <c r="F607">
        <v>3</v>
      </c>
      <c r="G607">
        <v>1</v>
      </c>
      <c r="H607">
        <v>6</v>
      </c>
      <c r="I607">
        <v>41</v>
      </c>
      <c r="K607" s="124">
        <v>45510</v>
      </c>
      <c r="L607">
        <v>219</v>
      </c>
      <c r="M607">
        <v>41</v>
      </c>
    </row>
    <row r="608" spans="1:13" x14ac:dyDescent="0.35">
      <c r="A608" t="s">
        <v>34</v>
      </c>
      <c r="D608" t="s">
        <v>41</v>
      </c>
      <c r="F608">
        <v>3</v>
      </c>
      <c r="G608">
        <v>1</v>
      </c>
      <c r="H608">
        <v>6</v>
      </c>
      <c r="I608">
        <v>41</v>
      </c>
      <c r="K608" s="124">
        <v>45530</v>
      </c>
      <c r="L608">
        <v>239</v>
      </c>
      <c r="M608">
        <v>59</v>
      </c>
    </row>
    <row r="609" spans="1:13" x14ac:dyDescent="0.35">
      <c r="A609" t="s">
        <v>34</v>
      </c>
      <c r="D609" t="s">
        <v>41</v>
      </c>
      <c r="F609">
        <v>3</v>
      </c>
      <c r="G609">
        <v>1</v>
      </c>
      <c r="H609">
        <v>6</v>
      </c>
      <c r="I609">
        <v>41</v>
      </c>
      <c r="K609" s="124">
        <v>45538</v>
      </c>
      <c r="L609">
        <v>247</v>
      </c>
      <c r="M609">
        <v>62</v>
      </c>
    </row>
    <row r="610" spans="1:13" x14ac:dyDescent="0.35">
      <c r="A610" t="s">
        <v>34</v>
      </c>
      <c r="D610" t="s">
        <v>41</v>
      </c>
      <c r="F610">
        <v>3</v>
      </c>
      <c r="G610">
        <v>1</v>
      </c>
      <c r="H610">
        <v>6</v>
      </c>
      <c r="I610">
        <v>41</v>
      </c>
      <c r="K610" s="124">
        <v>45547</v>
      </c>
      <c r="L610">
        <v>256</v>
      </c>
      <c r="M610">
        <v>70</v>
      </c>
    </row>
    <row r="611" spans="1:13" x14ac:dyDescent="0.35">
      <c r="A611" t="s">
        <v>34</v>
      </c>
      <c r="D611" t="s">
        <v>41</v>
      </c>
      <c r="F611">
        <v>3</v>
      </c>
      <c r="G611">
        <v>1</v>
      </c>
      <c r="H611">
        <v>6</v>
      </c>
      <c r="I611">
        <v>41</v>
      </c>
      <c r="K611" s="124">
        <v>45553</v>
      </c>
      <c r="L611">
        <v>262</v>
      </c>
      <c r="M611">
        <v>73</v>
      </c>
    </row>
    <row r="612" spans="1:13" x14ac:dyDescent="0.35">
      <c r="A612" t="s">
        <v>34</v>
      </c>
      <c r="D612" t="s">
        <v>41</v>
      </c>
      <c r="F612">
        <v>3</v>
      </c>
      <c r="G612">
        <v>1</v>
      </c>
      <c r="H612">
        <v>6</v>
      </c>
      <c r="I612">
        <v>41</v>
      </c>
      <c r="K612" s="124">
        <v>45558</v>
      </c>
      <c r="L612">
        <v>267</v>
      </c>
      <c r="M612">
        <v>79</v>
      </c>
    </row>
    <row r="613" spans="1:13" x14ac:dyDescent="0.35">
      <c r="A613" t="s">
        <v>34</v>
      </c>
      <c r="D613" t="s">
        <v>41</v>
      </c>
      <c r="F613">
        <v>3</v>
      </c>
      <c r="G613">
        <v>1</v>
      </c>
      <c r="H613">
        <v>6</v>
      </c>
      <c r="I613">
        <v>41</v>
      </c>
      <c r="K613" s="124">
        <v>45562</v>
      </c>
      <c r="L613">
        <v>271</v>
      </c>
      <c r="M613">
        <v>85</v>
      </c>
    </row>
    <row r="614" spans="1:13" x14ac:dyDescent="0.35">
      <c r="A614" t="s">
        <v>34</v>
      </c>
      <c r="D614" t="s">
        <v>41</v>
      </c>
      <c r="F614">
        <v>3</v>
      </c>
      <c r="G614">
        <v>1</v>
      </c>
      <c r="H614">
        <v>6</v>
      </c>
      <c r="I614">
        <v>41</v>
      </c>
      <c r="K614" s="124">
        <v>45571</v>
      </c>
      <c r="L614">
        <v>280</v>
      </c>
      <c r="M614">
        <v>92</v>
      </c>
    </row>
    <row r="615" spans="1:13" x14ac:dyDescent="0.35">
      <c r="A615" t="s">
        <v>34</v>
      </c>
      <c r="D615" t="s">
        <v>41</v>
      </c>
      <c r="F615">
        <v>3</v>
      </c>
      <c r="G615">
        <v>1</v>
      </c>
      <c r="H615">
        <v>6</v>
      </c>
      <c r="I615">
        <v>41</v>
      </c>
      <c r="K615" s="124">
        <v>45576</v>
      </c>
      <c r="L615">
        <v>285</v>
      </c>
      <c r="M615">
        <v>91</v>
      </c>
    </row>
    <row r="616" spans="1:13" x14ac:dyDescent="0.35">
      <c r="A616" t="s">
        <v>34</v>
      </c>
      <c r="D616" t="s">
        <v>41</v>
      </c>
      <c r="F616">
        <v>3</v>
      </c>
      <c r="G616">
        <v>1</v>
      </c>
      <c r="H616">
        <v>6</v>
      </c>
      <c r="I616">
        <v>41</v>
      </c>
      <c r="K616" s="124">
        <v>45590</v>
      </c>
      <c r="L616">
        <v>299</v>
      </c>
      <c r="M616">
        <v>90</v>
      </c>
    </row>
    <row r="617" spans="1:13" x14ac:dyDescent="0.35">
      <c r="A617" t="s">
        <v>34</v>
      </c>
      <c r="D617" t="s">
        <v>36</v>
      </c>
      <c r="F617">
        <v>3</v>
      </c>
      <c r="G617">
        <v>2</v>
      </c>
      <c r="H617">
        <v>6</v>
      </c>
      <c r="I617">
        <v>42</v>
      </c>
      <c r="K617" s="124">
        <v>45421</v>
      </c>
      <c r="L617">
        <v>130</v>
      </c>
    </row>
    <row r="618" spans="1:13" x14ac:dyDescent="0.35">
      <c r="A618" t="s">
        <v>34</v>
      </c>
      <c r="D618" t="s">
        <v>36</v>
      </c>
      <c r="F618">
        <v>3</v>
      </c>
      <c r="G618">
        <v>2</v>
      </c>
      <c r="H618">
        <v>6</v>
      </c>
      <c r="I618">
        <v>42</v>
      </c>
      <c r="K618" s="124">
        <v>45442</v>
      </c>
      <c r="L618">
        <v>151</v>
      </c>
      <c r="M618">
        <v>7</v>
      </c>
    </row>
    <row r="619" spans="1:13" x14ac:dyDescent="0.35">
      <c r="A619" t="s">
        <v>34</v>
      </c>
      <c r="D619" t="s">
        <v>36</v>
      </c>
      <c r="F619">
        <v>3</v>
      </c>
      <c r="G619">
        <v>2</v>
      </c>
      <c r="H619">
        <v>6</v>
      </c>
      <c r="I619">
        <v>42</v>
      </c>
      <c r="K619" s="124">
        <v>45461</v>
      </c>
      <c r="L619">
        <v>170</v>
      </c>
      <c r="M619">
        <v>14</v>
      </c>
    </row>
    <row r="620" spans="1:13" x14ac:dyDescent="0.35">
      <c r="A620" t="s">
        <v>34</v>
      </c>
      <c r="D620" t="s">
        <v>36</v>
      </c>
      <c r="F620">
        <v>3</v>
      </c>
      <c r="G620">
        <v>2</v>
      </c>
      <c r="H620">
        <v>6</v>
      </c>
      <c r="I620">
        <v>42</v>
      </c>
      <c r="K620" s="124">
        <v>45477</v>
      </c>
      <c r="L620">
        <v>186</v>
      </c>
      <c r="M620">
        <v>18</v>
      </c>
    </row>
    <row r="621" spans="1:13" x14ac:dyDescent="0.35">
      <c r="A621" t="s">
        <v>34</v>
      </c>
      <c r="D621" t="s">
        <v>36</v>
      </c>
      <c r="F621">
        <v>3</v>
      </c>
      <c r="G621">
        <v>2</v>
      </c>
      <c r="H621">
        <v>6</v>
      </c>
      <c r="I621">
        <v>42</v>
      </c>
      <c r="K621" s="124">
        <v>45491</v>
      </c>
      <c r="L621">
        <v>200</v>
      </c>
      <c r="M621">
        <v>28</v>
      </c>
    </row>
    <row r="622" spans="1:13" x14ac:dyDescent="0.35">
      <c r="A622" t="s">
        <v>34</v>
      </c>
      <c r="D622" t="s">
        <v>36</v>
      </c>
      <c r="F622">
        <v>3</v>
      </c>
      <c r="G622">
        <v>2</v>
      </c>
      <c r="H622">
        <v>6</v>
      </c>
      <c r="I622">
        <v>42</v>
      </c>
      <c r="K622" s="124">
        <v>45510</v>
      </c>
      <c r="L622">
        <v>219</v>
      </c>
      <c r="M622">
        <v>36</v>
      </c>
    </row>
    <row r="623" spans="1:13" x14ac:dyDescent="0.35">
      <c r="A623" t="s">
        <v>34</v>
      </c>
      <c r="D623" t="s">
        <v>36</v>
      </c>
      <c r="F623">
        <v>3</v>
      </c>
      <c r="G623">
        <v>2</v>
      </c>
      <c r="H623">
        <v>6</v>
      </c>
      <c r="I623">
        <v>42</v>
      </c>
      <c r="K623" s="124">
        <v>45530</v>
      </c>
      <c r="L623">
        <v>239</v>
      </c>
      <c r="M623">
        <v>53</v>
      </c>
    </row>
    <row r="624" spans="1:13" x14ac:dyDescent="0.35">
      <c r="A624" t="s">
        <v>34</v>
      </c>
      <c r="D624" t="s">
        <v>36</v>
      </c>
      <c r="F624">
        <v>3</v>
      </c>
      <c r="G624">
        <v>2</v>
      </c>
      <c r="H624">
        <v>6</v>
      </c>
      <c r="I624">
        <v>42</v>
      </c>
      <c r="K624" s="124">
        <v>45538</v>
      </c>
      <c r="L624">
        <v>247</v>
      </c>
      <c r="M624">
        <v>59</v>
      </c>
    </row>
    <row r="625" spans="1:13" x14ac:dyDescent="0.35">
      <c r="A625" t="s">
        <v>34</v>
      </c>
      <c r="D625" t="s">
        <v>36</v>
      </c>
      <c r="F625">
        <v>3</v>
      </c>
      <c r="G625">
        <v>2</v>
      </c>
      <c r="H625">
        <v>6</v>
      </c>
      <c r="I625">
        <v>42</v>
      </c>
      <c r="K625" s="124">
        <v>45547</v>
      </c>
      <c r="L625">
        <v>256</v>
      </c>
      <c r="M625">
        <v>63</v>
      </c>
    </row>
    <row r="626" spans="1:13" x14ac:dyDescent="0.35">
      <c r="A626" t="s">
        <v>34</v>
      </c>
      <c r="D626" t="s">
        <v>36</v>
      </c>
      <c r="F626">
        <v>3</v>
      </c>
      <c r="G626">
        <v>2</v>
      </c>
      <c r="H626">
        <v>6</v>
      </c>
      <c r="I626">
        <v>42</v>
      </c>
      <c r="K626" s="124">
        <v>45553</v>
      </c>
      <c r="L626">
        <v>262</v>
      </c>
      <c r="M626">
        <v>70</v>
      </c>
    </row>
    <row r="627" spans="1:13" x14ac:dyDescent="0.35">
      <c r="A627" t="s">
        <v>34</v>
      </c>
      <c r="D627" t="s">
        <v>36</v>
      </c>
      <c r="F627">
        <v>3</v>
      </c>
      <c r="G627">
        <v>2</v>
      </c>
      <c r="H627">
        <v>6</v>
      </c>
      <c r="I627">
        <v>42</v>
      </c>
      <c r="K627" s="124">
        <v>45558</v>
      </c>
      <c r="L627">
        <v>267</v>
      </c>
      <c r="M627">
        <v>71</v>
      </c>
    </row>
    <row r="628" spans="1:13" x14ac:dyDescent="0.35">
      <c r="A628" t="s">
        <v>34</v>
      </c>
      <c r="D628" t="s">
        <v>36</v>
      </c>
      <c r="F628">
        <v>3</v>
      </c>
      <c r="G628">
        <v>2</v>
      </c>
      <c r="H628">
        <v>6</v>
      </c>
      <c r="I628">
        <v>42</v>
      </c>
      <c r="K628" s="124">
        <v>45562</v>
      </c>
      <c r="L628">
        <v>271</v>
      </c>
      <c r="M628">
        <v>71</v>
      </c>
    </row>
    <row r="629" spans="1:13" x14ac:dyDescent="0.35">
      <c r="A629" t="s">
        <v>34</v>
      </c>
      <c r="D629" t="s">
        <v>36</v>
      </c>
      <c r="F629">
        <v>3</v>
      </c>
      <c r="G629">
        <v>2</v>
      </c>
      <c r="H629">
        <v>6</v>
      </c>
      <c r="I629">
        <v>42</v>
      </c>
      <c r="K629" s="124">
        <v>45571</v>
      </c>
      <c r="L629">
        <v>280</v>
      </c>
      <c r="M629">
        <v>85</v>
      </c>
    </row>
    <row r="630" spans="1:13" x14ac:dyDescent="0.35">
      <c r="A630" t="s">
        <v>34</v>
      </c>
      <c r="D630" t="s">
        <v>36</v>
      </c>
      <c r="F630">
        <v>3</v>
      </c>
      <c r="G630">
        <v>2</v>
      </c>
      <c r="H630">
        <v>6</v>
      </c>
      <c r="I630">
        <v>42</v>
      </c>
      <c r="K630" s="124">
        <v>45576</v>
      </c>
      <c r="L630">
        <v>285</v>
      </c>
      <c r="M630">
        <v>83</v>
      </c>
    </row>
    <row r="631" spans="1:13" x14ac:dyDescent="0.35">
      <c r="A631" t="s">
        <v>34</v>
      </c>
      <c r="D631" t="s">
        <v>36</v>
      </c>
      <c r="F631">
        <v>3</v>
      </c>
      <c r="G631">
        <v>2</v>
      </c>
      <c r="H631">
        <v>6</v>
      </c>
      <c r="I631">
        <v>42</v>
      </c>
      <c r="K631" s="124">
        <v>45590</v>
      </c>
      <c r="L631">
        <v>299</v>
      </c>
      <c r="M631">
        <v>86</v>
      </c>
    </row>
    <row r="632" spans="1:13" x14ac:dyDescent="0.35">
      <c r="A632" t="s">
        <v>34</v>
      </c>
      <c r="D632" t="s">
        <v>37</v>
      </c>
      <c r="F632">
        <v>3</v>
      </c>
      <c r="G632">
        <v>3</v>
      </c>
      <c r="H632">
        <v>6</v>
      </c>
      <c r="I632">
        <v>43</v>
      </c>
      <c r="K632" s="124">
        <v>45421</v>
      </c>
      <c r="L632">
        <v>130</v>
      </c>
    </row>
    <row r="633" spans="1:13" x14ac:dyDescent="0.35">
      <c r="A633" t="s">
        <v>34</v>
      </c>
      <c r="D633" t="s">
        <v>37</v>
      </c>
      <c r="F633">
        <v>3</v>
      </c>
      <c r="G633">
        <v>3</v>
      </c>
      <c r="H633">
        <v>6</v>
      </c>
      <c r="I633">
        <v>43</v>
      </c>
      <c r="K633" s="124">
        <v>45442</v>
      </c>
      <c r="L633">
        <v>151</v>
      </c>
      <c r="M633">
        <v>5</v>
      </c>
    </row>
    <row r="634" spans="1:13" x14ac:dyDescent="0.35">
      <c r="A634" t="s">
        <v>34</v>
      </c>
      <c r="D634" t="s">
        <v>37</v>
      </c>
      <c r="F634">
        <v>3</v>
      </c>
      <c r="G634">
        <v>3</v>
      </c>
      <c r="H634">
        <v>6</v>
      </c>
      <c r="I634">
        <v>43</v>
      </c>
      <c r="K634" s="124">
        <v>45461</v>
      </c>
      <c r="L634">
        <v>170</v>
      </c>
      <c r="M634">
        <v>16</v>
      </c>
    </row>
    <row r="635" spans="1:13" x14ac:dyDescent="0.35">
      <c r="A635" t="s">
        <v>34</v>
      </c>
      <c r="D635" t="s">
        <v>37</v>
      </c>
      <c r="F635">
        <v>3</v>
      </c>
      <c r="G635">
        <v>3</v>
      </c>
      <c r="H635">
        <v>6</v>
      </c>
      <c r="I635">
        <v>43</v>
      </c>
      <c r="K635" s="124">
        <v>45477</v>
      </c>
      <c r="L635">
        <v>186</v>
      </c>
      <c r="M635">
        <v>16</v>
      </c>
    </row>
    <row r="636" spans="1:13" x14ac:dyDescent="0.35">
      <c r="A636" t="s">
        <v>34</v>
      </c>
      <c r="D636" t="s">
        <v>37</v>
      </c>
      <c r="F636">
        <v>3</v>
      </c>
      <c r="G636">
        <v>3</v>
      </c>
      <c r="H636">
        <v>6</v>
      </c>
      <c r="I636">
        <v>43</v>
      </c>
      <c r="K636" s="124">
        <v>45491</v>
      </c>
      <c r="L636">
        <v>200</v>
      </c>
      <c r="M636">
        <v>25</v>
      </c>
    </row>
    <row r="637" spans="1:13" x14ac:dyDescent="0.35">
      <c r="A637" t="s">
        <v>34</v>
      </c>
      <c r="D637" t="s">
        <v>37</v>
      </c>
      <c r="F637">
        <v>3</v>
      </c>
      <c r="G637">
        <v>3</v>
      </c>
      <c r="H637">
        <v>6</v>
      </c>
      <c r="I637">
        <v>43</v>
      </c>
      <c r="K637" s="124">
        <v>45510</v>
      </c>
      <c r="L637">
        <v>219</v>
      </c>
      <c r="M637">
        <v>35</v>
      </c>
    </row>
    <row r="638" spans="1:13" x14ac:dyDescent="0.35">
      <c r="A638" t="s">
        <v>34</v>
      </c>
      <c r="D638" t="s">
        <v>37</v>
      </c>
      <c r="F638">
        <v>3</v>
      </c>
      <c r="G638">
        <v>3</v>
      </c>
      <c r="H638">
        <v>6</v>
      </c>
      <c r="I638">
        <v>43</v>
      </c>
      <c r="K638" s="124">
        <v>45530</v>
      </c>
      <c r="L638">
        <v>239</v>
      </c>
      <c r="M638">
        <v>52</v>
      </c>
    </row>
    <row r="639" spans="1:13" x14ac:dyDescent="0.35">
      <c r="A639" t="s">
        <v>34</v>
      </c>
      <c r="D639" t="s">
        <v>37</v>
      </c>
      <c r="F639">
        <v>3</v>
      </c>
      <c r="G639">
        <v>3</v>
      </c>
      <c r="H639">
        <v>6</v>
      </c>
      <c r="I639">
        <v>43</v>
      </c>
      <c r="K639" s="124">
        <v>45538</v>
      </c>
      <c r="L639">
        <v>247</v>
      </c>
      <c r="M639">
        <v>56</v>
      </c>
    </row>
    <row r="640" spans="1:13" x14ac:dyDescent="0.35">
      <c r="A640" t="s">
        <v>34</v>
      </c>
      <c r="D640" t="s">
        <v>37</v>
      </c>
      <c r="F640">
        <v>3</v>
      </c>
      <c r="G640">
        <v>3</v>
      </c>
      <c r="H640">
        <v>6</v>
      </c>
      <c r="I640">
        <v>43</v>
      </c>
      <c r="K640" s="124">
        <v>45547</v>
      </c>
      <c r="L640">
        <v>256</v>
      </c>
      <c r="M640">
        <v>65</v>
      </c>
    </row>
    <row r="641" spans="1:13" x14ac:dyDescent="0.35">
      <c r="A641" t="s">
        <v>34</v>
      </c>
      <c r="D641" t="s">
        <v>37</v>
      </c>
      <c r="F641">
        <v>3</v>
      </c>
      <c r="G641">
        <v>3</v>
      </c>
      <c r="H641">
        <v>6</v>
      </c>
      <c r="I641">
        <v>43</v>
      </c>
      <c r="K641" s="124">
        <v>45553</v>
      </c>
      <c r="L641">
        <v>262</v>
      </c>
      <c r="M641">
        <v>72</v>
      </c>
    </row>
    <row r="642" spans="1:13" x14ac:dyDescent="0.35">
      <c r="A642" t="s">
        <v>34</v>
      </c>
      <c r="D642" t="s">
        <v>37</v>
      </c>
      <c r="F642">
        <v>3</v>
      </c>
      <c r="G642">
        <v>3</v>
      </c>
      <c r="H642">
        <v>6</v>
      </c>
      <c r="I642">
        <v>43</v>
      </c>
      <c r="K642" s="124">
        <v>45558</v>
      </c>
      <c r="L642">
        <v>267</v>
      </c>
      <c r="M642">
        <v>72</v>
      </c>
    </row>
    <row r="643" spans="1:13" x14ac:dyDescent="0.35">
      <c r="A643" t="s">
        <v>34</v>
      </c>
      <c r="D643" t="s">
        <v>37</v>
      </c>
      <c r="F643">
        <v>3</v>
      </c>
      <c r="G643">
        <v>3</v>
      </c>
      <c r="H643">
        <v>6</v>
      </c>
      <c r="I643">
        <v>43</v>
      </c>
      <c r="K643" s="124">
        <v>45562</v>
      </c>
      <c r="L643">
        <v>271</v>
      </c>
      <c r="M643">
        <v>76</v>
      </c>
    </row>
    <row r="644" spans="1:13" x14ac:dyDescent="0.35">
      <c r="A644" t="s">
        <v>34</v>
      </c>
      <c r="D644" t="s">
        <v>37</v>
      </c>
      <c r="F644">
        <v>3</v>
      </c>
      <c r="G644">
        <v>3</v>
      </c>
      <c r="H644">
        <v>6</v>
      </c>
      <c r="I644">
        <v>43</v>
      </c>
      <c r="K644" s="124">
        <v>45571</v>
      </c>
      <c r="L644">
        <v>280</v>
      </c>
      <c r="M644">
        <v>91</v>
      </c>
    </row>
    <row r="645" spans="1:13" x14ac:dyDescent="0.35">
      <c r="A645" t="s">
        <v>34</v>
      </c>
      <c r="D645" t="s">
        <v>37</v>
      </c>
      <c r="F645">
        <v>3</v>
      </c>
      <c r="G645">
        <v>3</v>
      </c>
      <c r="H645">
        <v>6</v>
      </c>
      <c r="I645">
        <v>43</v>
      </c>
      <c r="K645" s="124">
        <v>45576</v>
      </c>
      <c r="L645">
        <v>285</v>
      </c>
      <c r="M645">
        <v>91</v>
      </c>
    </row>
    <row r="646" spans="1:13" x14ac:dyDescent="0.35">
      <c r="A646" t="s">
        <v>34</v>
      </c>
      <c r="D646" t="s">
        <v>37</v>
      </c>
      <c r="F646">
        <v>3</v>
      </c>
      <c r="G646">
        <v>3</v>
      </c>
      <c r="H646">
        <v>6</v>
      </c>
      <c r="I646">
        <v>43</v>
      </c>
      <c r="K646" s="124">
        <v>45590</v>
      </c>
      <c r="L646">
        <v>299</v>
      </c>
      <c r="M646">
        <v>91</v>
      </c>
    </row>
    <row r="647" spans="1:13" x14ac:dyDescent="0.35">
      <c r="A647" t="s">
        <v>34</v>
      </c>
      <c r="D647" t="s">
        <v>42</v>
      </c>
      <c r="F647">
        <v>3</v>
      </c>
      <c r="G647">
        <v>4</v>
      </c>
      <c r="H647">
        <v>6</v>
      </c>
      <c r="I647">
        <v>44</v>
      </c>
      <c r="K647" s="124">
        <v>45421</v>
      </c>
      <c r="L647">
        <v>130</v>
      </c>
    </row>
    <row r="648" spans="1:13" x14ac:dyDescent="0.35">
      <c r="A648" t="s">
        <v>34</v>
      </c>
      <c r="D648" t="s">
        <v>42</v>
      </c>
      <c r="F648">
        <v>3</v>
      </c>
      <c r="G648">
        <v>4</v>
      </c>
      <c r="H648">
        <v>6</v>
      </c>
      <c r="I648">
        <v>44</v>
      </c>
      <c r="K648" s="124">
        <v>45442</v>
      </c>
      <c r="L648">
        <v>151</v>
      </c>
      <c r="M648">
        <v>7</v>
      </c>
    </row>
    <row r="649" spans="1:13" x14ac:dyDescent="0.35">
      <c r="A649" t="s">
        <v>34</v>
      </c>
      <c r="D649" t="s">
        <v>42</v>
      </c>
      <c r="F649">
        <v>3</v>
      </c>
      <c r="G649">
        <v>4</v>
      </c>
      <c r="H649">
        <v>6</v>
      </c>
      <c r="I649">
        <v>44</v>
      </c>
      <c r="K649" s="124">
        <v>45461</v>
      </c>
      <c r="L649">
        <v>170</v>
      </c>
      <c r="M649">
        <v>17</v>
      </c>
    </row>
    <row r="650" spans="1:13" x14ac:dyDescent="0.35">
      <c r="A650" t="s">
        <v>34</v>
      </c>
      <c r="D650" t="s">
        <v>42</v>
      </c>
      <c r="F650">
        <v>3</v>
      </c>
      <c r="G650">
        <v>4</v>
      </c>
      <c r="H650">
        <v>6</v>
      </c>
      <c r="I650">
        <v>44</v>
      </c>
      <c r="K650" s="124">
        <v>45477</v>
      </c>
      <c r="L650">
        <v>186</v>
      </c>
      <c r="M650">
        <v>17</v>
      </c>
    </row>
    <row r="651" spans="1:13" x14ac:dyDescent="0.35">
      <c r="A651" t="s">
        <v>34</v>
      </c>
      <c r="D651" t="s">
        <v>42</v>
      </c>
      <c r="F651">
        <v>3</v>
      </c>
      <c r="G651">
        <v>4</v>
      </c>
      <c r="H651">
        <v>6</v>
      </c>
      <c r="I651">
        <v>44</v>
      </c>
      <c r="K651" s="124">
        <v>45491</v>
      </c>
      <c r="L651">
        <v>200</v>
      </c>
      <c r="M651">
        <v>24</v>
      </c>
    </row>
    <row r="652" spans="1:13" x14ac:dyDescent="0.35">
      <c r="A652" t="s">
        <v>34</v>
      </c>
      <c r="D652" t="s">
        <v>42</v>
      </c>
      <c r="F652">
        <v>3</v>
      </c>
      <c r="G652">
        <v>4</v>
      </c>
      <c r="H652">
        <v>6</v>
      </c>
      <c r="I652">
        <v>44</v>
      </c>
      <c r="K652" s="124">
        <v>45510</v>
      </c>
      <c r="L652">
        <v>219</v>
      </c>
      <c r="M652">
        <v>36</v>
      </c>
    </row>
    <row r="653" spans="1:13" x14ac:dyDescent="0.35">
      <c r="A653" t="s">
        <v>34</v>
      </c>
      <c r="D653" t="s">
        <v>42</v>
      </c>
      <c r="F653">
        <v>3</v>
      </c>
      <c r="G653">
        <v>4</v>
      </c>
      <c r="H653">
        <v>6</v>
      </c>
      <c r="I653">
        <v>44</v>
      </c>
      <c r="K653" s="124">
        <v>45530</v>
      </c>
      <c r="L653">
        <v>239</v>
      </c>
      <c r="M653">
        <v>56</v>
      </c>
    </row>
    <row r="654" spans="1:13" x14ac:dyDescent="0.35">
      <c r="A654" t="s">
        <v>34</v>
      </c>
      <c r="D654" t="s">
        <v>42</v>
      </c>
      <c r="F654">
        <v>3</v>
      </c>
      <c r="G654">
        <v>4</v>
      </c>
      <c r="H654">
        <v>6</v>
      </c>
      <c r="I654">
        <v>44</v>
      </c>
      <c r="K654" s="124">
        <v>45538</v>
      </c>
      <c r="L654">
        <v>247</v>
      </c>
      <c r="M654">
        <v>62</v>
      </c>
    </row>
    <row r="655" spans="1:13" x14ac:dyDescent="0.35">
      <c r="A655" t="s">
        <v>34</v>
      </c>
      <c r="D655" t="s">
        <v>42</v>
      </c>
      <c r="F655">
        <v>3</v>
      </c>
      <c r="G655">
        <v>4</v>
      </c>
      <c r="H655">
        <v>6</v>
      </c>
      <c r="I655">
        <v>44</v>
      </c>
      <c r="K655" s="124">
        <v>45547</v>
      </c>
      <c r="L655">
        <v>256</v>
      </c>
      <c r="M655">
        <v>68</v>
      </c>
    </row>
    <row r="656" spans="1:13" x14ac:dyDescent="0.35">
      <c r="A656" t="s">
        <v>34</v>
      </c>
      <c r="D656" t="s">
        <v>42</v>
      </c>
      <c r="F656">
        <v>3</v>
      </c>
      <c r="G656">
        <v>4</v>
      </c>
      <c r="H656">
        <v>6</v>
      </c>
      <c r="I656">
        <v>44</v>
      </c>
      <c r="K656" s="124">
        <v>45553</v>
      </c>
      <c r="L656">
        <v>262</v>
      </c>
      <c r="M656">
        <v>73</v>
      </c>
    </row>
    <row r="657" spans="1:13" x14ac:dyDescent="0.35">
      <c r="A657" t="s">
        <v>34</v>
      </c>
      <c r="D657" t="s">
        <v>42</v>
      </c>
      <c r="F657">
        <v>3</v>
      </c>
      <c r="G657">
        <v>4</v>
      </c>
      <c r="H657">
        <v>6</v>
      </c>
      <c r="I657">
        <v>44</v>
      </c>
      <c r="K657" s="124">
        <v>45558</v>
      </c>
      <c r="L657">
        <v>267</v>
      </c>
      <c r="M657">
        <v>73</v>
      </c>
    </row>
    <row r="658" spans="1:13" x14ac:dyDescent="0.35">
      <c r="A658" t="s">
        <v>34</v>
      </c>
      <c r="D658" t="s">
        <v>42</v>
      </c>
      <c r="F658">
        <v>3</v>
      </c>
      <c r="G658">
        <v>4</v>
      </c>
      <c r="H658">
        <v>6</v>
      </c>
      <c r="I658">
        <v>44</v>
      </c>
      <c r="K658" s="124">
        <v>45562</v>
      </c>
      <c r="L658">
        <v>271</v>
      </c>
      <c r="M658">
        <v>78</v>
      </c>
    </row>
    <row r="659" spans="1:13" x14ac:dyDescent="0.35">
      <c r="A659" t="s">
        <v>34</v>
      </c>
      <c r="D659" t="s">
        <v>42</v>
      </c>
      <c r="F659">
        <v>3</v>
      </c>
      <c r="G659">
        <v>4</v>
      </c>
      <c r="H659">
        <v>6</v>
      </c>
      <c r="I659">
        <v>44</v>
      </c>
      <c r="K659" s="124">
        <v>45571</v>
      </c>
      <c r="L659">
        <v>280</v>
      </c>
      <c r="M659">
        <v>93</v>
      </c>
    </row>
    <row r="660" spans="1:13" x14ac:dyDescent="0.35">
      <c r="A660" t="s">
        <v>34</v>
      </c>
      <c r="D660" t="s">
        <v>42</v>
      </c>
      <c r="F660">
        <v>3</v>
      </c>
      <c r="G660">
        <v>4</v>
      </c>
      <c r="H660">
        <v>6</v>
      </c>
      <c r="I660">
        <v>44</v>
      </c>
      <c r="K660" s="124">
        <v>45576</v>
      </c>
      <c r="L660">
        <v>285</v>
      </c>
      <c r="M660">
        <v>89</v>
      </c>
    </row>
    <row r="661" spans="1:13" x14ac:dyDescent="0.35">
      <c r="A661" t="s">
        <v>34</v>
      </c>
      <c r="D661" t="s">
        <v>42</v>
      </c>
      <c r="F661">
        <v>3</v>
      </c>
      <c r="G661">
        <v>4</v>
      </c>
      <c r="H661">
        <v>6</v>
      </c>
      <c r="I661">
        <v>44</v>
      </c>
      <c r="K661" s="124">
        <v>45590</v>
      </c>
      <c r="L661">
        <v>299</v>
      </c>
      <c r="M661">
        <v>91</v>
      </c>
    </row>
    <row r="662" spans="1:13" x14ac:dyDescent="0.35">
      <c r="A662" t="s">
        <v>34</v>
      </c>
      <c r="D662" t="s">
        <v>43</v>
      </c>
      <c r="F662">
        <v>3</v>
      </c>
      <c r="G662">
        <v>5</v>
      </c>
      <c r="H662">
        <v>6</v>
      </c>
      <c r="I662">
        <v>45</v>
      </c>
      <c r="K662" s="124">
        <v>45421</v>
      </c>
      <c r="L662">
        <v>130</v>
      </c>
    </row>
    <row r="663" spans="1:13" x14ac:dyDescent="0.35">
      <c r="A663" t="s">
        <v>34</v>
      </c>
      <c r="D663" t="s">
        <v>43</v>
      </c>
      <c r="F663">
        <v>3</v>
      </c>
      <c r="G663">
        <v>5</v>
      </c>
      <c r="H663">
        <v>6</v>
      </c>
      <c r="I663">
        <v>45</v>
      </c>
      <c r="K663" s="124">
        <v>45442</v>
      </c>
      <c r="L663">
        <v>151</v>
      </c>
      <c r="M663">
        <v>7</v>
      </c>
    </row>
    <row r="664" spans="1:13" x14ac:dyDescent="0.35">
      <c r="A664" t="s">
        <v>34</v>
      </c>
      <c r="D664" t="s">
        <v>43</v>
      </c>
      <c r="F664">
        <v>3</v>
      </c>
      <c r="G664">
        <v>5</v>
      </c>
      <c r="H664">
        <v>6</v>
      </c>
      <c r="I664">
        <v>45</v>
      </c>
      <c r="K664" s="124">
        <v>45461</v>
      </c>
      <c r="L664">
        <v>170</v>
      </c>
      <c r="M664">
        <v>17</v>
      </c>
    </row>
    <row r="665" spans="1:13" x14ac:dyDescent="0.35">
      <c r="A665" t="s">
        <v>34</v>
      </c>
      <c r="D665" t="s">
        <v>43</v>
      </c>
      <c r="F665">
        <v>3</v>
      </c>
      <c r="G665">
        <v>5</v>
      </c>
      <c r="H665">
        <v>6</v>
      </c>
      <c r="I665">
        <v>45</v>
      </c>
      <c r="K665" s="124">
        <v>45477</v>
      </c>
      <c r="L665">
        <v>186</v>
      </c>
      <c r="M665">
        <v>22</v>
      </c>
    </row>
    <row r="666" spans="1:13" x14ac:dyDescent="0.35">
      <c r="A666" t="s">
        <v>34</v>
      </c>
      <c r="D666" t="s">
        <v>43</v>
      </c>
      <c r="F666">
        <v>3</v>
      </c>
      <c r="G666">
        <v>5</v>
      </c>
      <c r="H666">
        <v>6</v>
      </c>
      <c r="I666">
        <v>45</v>
      </c>
      <c r="K666" s="124">
        <v>45491</v>
      </c>
      <c r="L666">
        <v>200</v>
      </c>
      <c r="M666">
        <v>27</v>
      </c>
    </row>
    <row r="667" spans="1:13" x14ac:dyDescent="0.35">
      <c r="A667" t="s">
        <v>34</v>
      </c>
      <c r="D667" t="s">
        <v>43</v>
      </c>
      <c r="F667">
        <v>3</v>
      </c>
      <c r="G667">
        <v>5</v>
      </c>
      <c r="H667">
        <v>6</v>
      </c>
      <c r="I667">
        <v>45</v>
      </c>
      <c r="K667" s="124">
        <v>45510</v>
      </c>
      <c r="L667">
        <v>219</v>
      </c>
      <c r="M667">
        <v>33</v>
      </c>
    </row>
    <row r="668" spans="1:13" x14ac:dyDescent="0.35">
      <c r="A668" t="s">
        <v>34</v>
      </c>
      <c r="D668" t="s">
        <v>43</v>
      </c>
      <c r="F668">
        <v>3</v>
      </c>
      <c r="G668">
        <v>5</v>
      </c>
      <c r="H668">
        <v>6</v>
      </c>
      <c r="I668">
        <v>45</v>
      </c>
      <c r="K668" s="124">
        <v>45530</v>
      </c>
      <c r="L668">
        <v>239</v>
      </c>
      <c r="M668">
        <v>55</v>
      </c>
    </row>
    <row r="669" spans="1:13" x14ac:dyDescent="0.35">
      <c r="A669" t="s">
        <v>34</v>
      </c>
      <c r="D669" t="s">
        <v>43</v>
      </c>
      <c r="F669">
        <v>3</v>
      </c>
      <c r="G669">
        <v>5</v>
      </c>
      <c r="H669">
        <v>6</v>
      </c>
      <c r="I669">
        <v>45</v>
      </c>
      <c r="K669" s="124">
        <v>45538</v>
      </c>
      <c r="L669">
        <v>247</v>
      </c>
      <c r="M669">
        <v>61</v>
      </c>
    </row>
    <row r="670" spans="1:13" x14ac:dyDescent="0.35">
      <c r="A670" t="s">
        <v>34</v>
      </c>
      <c r="D670" t="s">
        <v>43</v>
      </c>
      <c r="F670">
        <v>3</v>
      </c>
      <c r="G670">
        <v>5</v>
      </c>
      <c r="H670">
        <v>6</v>
      </c>
      <c r="I670">
        <v>45</v>
      </c>
      <c r="K670" s="124">
        <v>45547</v>
      </c>
      <c r="L670">
        <v>256</v>
      </c>
      <c r="M670">
        <v>63</v>
      </c>
    </row>
    <row r="671" spans="1:13" x14ac:dyDescent="0.35">
      <c r="A671" t="s">
        <v>34</v>
      </c>
      <c r="D671" t="s">
        <v>43</v>
      </c>
      <c r="F671">
        <v>3</v>
      </c>
      <c r="G671">
        <v>5</v>
      </c>
      <c r="H671">
        <v>6</v>
      </c>
      <c r="I671">
        <v>45</v>
      </c>
      <c r="K671" s="124">
        <v>45553</v>
      </c>
      <c r="L671">
        <v>262</v>
      </c>
      <c r="M671">
        <v>70</v>
      </c>
    </row>
    <row r="672" spans="1:13" x14ac:dyDescent="0.35">
      <c r="A672" t="s">
        <v>34</v>
      </c>
      <c r="D672" t="s">
        <v>43</v>
      </c>
      <c r="F672">
        <v>3</v>
      </c>
      <c r="G672">
        <v>5</v>
      </c>
      <c r="H672">
        <v>6</v>
      </c>
      <c r="I672">
        <v>45</v>
      </c>
      <c r="K672" s="124">
        <v>45558</v>
      </c>
      <c r="L672">
        <v>267</v>
      </c>
      <c r="M672">
        <v>73</v>
      </c>
    </row>
    <row r="673" spans="1:13" x14ac:dyDescent="0.35">
      <c r="A673" t="s">
        <v>34</v>
      </c>
      <c r="D673" t="s">
        <v>43</v>
      </c>
      <c r="F673">
        <v>3</v>
      </c>
      <c r="G673">
        <v>5</v>
      </c>
      <c r="H673">
        <v>6</v>
      </c>
      <c r="I673">
        <v>45</v>
      </c>
      <c r="K673" s="124">
        <v>45562</v>
      </c>
      <c r="L673">
        <v>271</v>
      </c>
      <c r="M673">
        <v>75</v>
      </c>
    </row>
    <row r="674" spans="1:13" x14ac:dyDescent="0.35">
      <c r="A674" t="s">
        <v>34</v>
      </c>
      <c r="D674" t="s">
        <v>43</v>
      </c>
      <c r="F674">
        <v>3</v>
      </c>
      <c r="G674">
        <v>5</v>
      </c>
      <c r="H674">
        <v>6</v>
      </c>
      <c r="I674">
        <v>45</v>
      </c>
      <c r="K674" s="124">
        <v>45571</v>
      </c>
      <c r="L674">
        <v>280</v>
      </c>
      <c r="M674">
        <v>87</v>
      </c>
    </row>
    <row r="675" spans="1:13" x14ac:dyDescent="0.35">
      <c r="A675" t="s">
        <v>34</v>
      </c>
      <c r="D675" t="s">
        <v>43</v>
      </c>
      <c r="F675">
        <v>3</v>
      </c>
      <c r="G675">
        <v>5</v>
      </c>
      <c r="H675">
        <v>6</v>
      </c>
      <c r="I675">
        <v>45</v>
      </c>
      <c r="K675" s="124">
        <v>45576</v>
      </c>
      <c r="L675">
        <v>285</v>
      </c>
      <c r="M675">
        <v>89</v>
      </c>
    </row>
    <row r="676" spans="1:13" x14ac:dyDescent="0.35">
      <c r="A676" t="s">
        <v>34</v>
      </c>
      <c r="D676" t="s">
        <v>43</v>
      </c>
      <c r="F676">
        <v>3</v>
      </c>
      <c r="G676">
        <v>5</v>
      </c>
      <c r="H676">
        <v>6</v>
      </c>
      <c r="I676">
        <v>45</v>
      </c>
      <c r="K676" s="124">
        <v>45590</v>
      </c>
      <c r="L676">
        <v>299</v>
      </c>
      <c r="M676">
        <v>90</v>
      </c>
    </row>
    <row r="677" spans="1:13" x14ac:dyDescent="0.35">
      <c r="A677" t="s">
        <v>34</v>
      </c>
      <c r="D677" t="s">
        <v>39</v>
      </c>
      <c r="F677">
        <v>3</v>
      </c>
      <c r="G677">
        <v>6</v>
      </c>
      <c r="H677">
        <v>6</v>
      </c>
      <c r="I677">
        <v>46</v>
      </c>
      <c r="K677" s="124">
        <v>45421</v>
      </c>
      <c r="L677">
        <v>130</v>
      </c>
    </row>
    <row r="678" spans="1:13" x14ac:dyDescent="0.35">
      <c r="A678" t="s">
        <v>34</v>
      </c>
      <c r="D678" t="s">
        <v>39</v>
      </c>
      <c r="F678">
        <v>3</v>
      </c>
      <c r="G678">
        <v>6</v>
      </c>
      <c r="H678">
        <v>6</v>
      </c>
      <c r="I678">
        <v>46</v>
      </c>
      <c r="K678" s="124">
        <v>45442</v>
      </c>
      <c r="L678">
        <v>151</v>
      </c>
      <c r="M678">
        <v>7</v>
      </c>
    </row>
    <row r="679" spans="1:13" x14ac:dyDescent="0.35">
      <c r="A679" t="s">
        <v>34</v>
      </c>
      <c r="D679" t="s">
        <v>39</v>
      </c>
      <c r="F679">
        <v>3</v>
      </c>
      <c r="G679">
        <v>6</v>
      </c>
      <c r="H679">
        <v>6</v>
      </c>
      <c r="I679">
        <v>46</v>
      </c>
      <c r="K679" s="124">
        <v>45461</v>
      </c>
      <c r="L679">
        <v>170</v>
      </c>
      <c r="M679">
        <v>11</v>
      </c>
    </row>
    <row r="680" spans="1:13" x14ac:dyDescent="0.35">
      <c r="A680" t="s">
        <v>34</v>
      </c>
      <c r="D680" t="s">
        <v>39</v>
      </c>
      <c r="F680">
        <v>3</v>
      </c>
      <c r="G680">
        <v>6</v>
      </c>
      <c r="H680">
        <v>6</v>
      </c>
      <c r="I680">
        <v>46</v>
      </c>
      <c r="K680" s="124">
        <v>45477</v>
      </c>
      <c r="L680">
        <v>186</v>
      </c>
      <c r="M680">
        <v>20</v>
      </c>
    </row>
    <row r="681" spans="1:13" x14ac:dyDescent="0.35">
      <c r="A681" t="s">
        <v>34</v>
      </c>
      <c r="D681" t="s">
        <v>39</v>
      </c>
      <c r="F681">
        <v>3</v>
      </c>
      <c r="G681">
        <v>6</v>
      </c>
      <c r="H681">
        <v>6</v>
      </c>
      <c r="I681">
        <v>46</v>
      </c>
      <c r="K681" s="124">
        <v>45491</v>
      </c>
      <c r="L681">
        <v>200</v>
      </c>
      <c r="M681">
        <v>25</v>
      </c>
    </row>
    <row r="682" spans="1:13" x14ac:dyDescent="0.35">
      <c r="A682" t="s">
        <v>34</v>
      </c>
      <c r="D682" t="s">
        <v>39</v>
      </c>
      <c r="F682">
        <v>3</v>
      </c>
      <c r="G682">
        <v>6</v>
      </c>
      <c r="H682">
        <v>6</v>
      </c>
      <c r="I682">
        <v>46</v>
      </c>
      <c r="K682" s="124">
        <v>45510</v>
      </c>
      <c r="L682">
        <v>219</v>
      </c>
      <c r="M682">
        <v>37</v>
      </c>
    </row>
    <row r="683" spans="1:13" x14ac:dyDescent="0.35">
      <c r="A683" t="s">
        <v>34</v>
      </c>
      <c r="D683" t="s">
        <v>39</v>
      </c>
      <c r="F683">
        <v>3</v>
      </c>
      <c r="G683">
        <v>6</v>
      </c>
      <c r="H683">
        <v>6</v>
      </c>
      <c r="I683">
        <v>46</v>
      </c>
      <c r="K683" s="124">
        <v>45530</v>
      </c>
      <c r="L683">
        <v>239</v>
      </c>
      <c r="M683">
        <v>51</v>
      </c>
    </row>
    <row r="684" spans="1:13" x14ac:dyDescent="0.35">
      <c r="A684" t="s">
        <v>34</v>
      </c>
      <c r="D684" t="s">
        <v>39</v>
      </c>
      <c r="F684">
        <v>3</v>
      </c>
      <c r="G684">
        <v>6</v>
      </c>
      <c r="H684">
        <v>6</v>
      </c>
      <c r="I684">
        <v>46</v>
      </c>
      <c r="K684" s="124">
        <v>45538</v>
      </c>
      <c r="L684">
        <v>247</v>
      </c>
      <c r="M684">
        <v>58</v>
      </c>
    </row>
    <row r="685" spans="1:13" x14ac:dyDescent="0.35">
      <c r="A685" t="s">
        <v>34</v>
      </c>
      <c r="D685" t="s">
        <v>39</v>
      </c>
      <c r="F685">
        <v>3</v>
      </c>
      <c r="G685">
        <v>6</v>
      </c>
      <c r="H685">
        <v>6</v>
      </c>
      <c r="I685">
        <v>46</v>
      </c>
      <c r="K685" s="124">
        <v>45547</v>
      </c>
      <c r="L685">
        <v>256</v>
      </c>
      <c r="M685">
        <v>63</v>
      </c>
    </row>
    <row r="686" spans="1:13" x14ac:dyDescent="0.35">
      <c r="A686" t="s">
        <v>34</v>
      </c>
      <c r="D686" t="s">
        <v>39</v>
      </c>
      <c r="F686">
        <v>3</v>
      </c>
      <c r="G686">
        <v>6</v>
      </c>
      <c r="H686">
        <v>6</v>
      </c>
      <c r="I686">
        <v>46</v>
      </c>
      <c r="K686" s="124">
        <v>45553</v>
      </c>
      <c r="L686">
        <v>262</v>
      </c>
      <c r="M686">
        <v>69</v>
      </c>
    </row>
    <row r="687" spans="1:13" x14ac:dyDescent="0.35">
      <c r="A687" t="s">
        <v>34</v>
      </c>
      <c r="D687" t="s">
        <v>39</v>
      </c>
      <c r="F687">
        <v>3</v>
      </c>
      <c r="G687">
        <v>6</v>
      </c>
      <c r="H687">
        <v>6</v>
      </c>
      <c r="I687">
        <v>46</v>
      </c>
      <c r="K687" s="124">
        <v>45558</v>
      </c>
      <c r="L687">
        <v>267</v>
      </c>
      <c r="M687">
        <v>69</v>
      </c>
    </row>
    <row r="688" spans="1:13" x14ac:dyDescent="0.35">
      <c r="A688" t="s">
        <v>34</v>
      </c>
      <c r="D688" t="s">
        <v>39</v>
      </c>
      <c r="F688">
        <v>3</v>
      </c>
      <c r="G688">
        <v>6</v>
      </c>
      <c r="H688">
        <v>6</v>
      </c>
      <c r="I688">
        <v>46</v>
      </c>
      <c r="K688" s="124">
        <v>45562</v>
      </c>
      <c r="L688">
        <v>271</v>
      </c>
      <c r="M688">
        <v>73</v>
      </c>
    </row>
    <row r="689" spans="1:13" x14ac:dyDescent="0.35">
      <c r="A689" t="s">
        <v>34</v>
      </c>
      <c r="D689" t="s">
        <v>39</v>
      </c>
      <c r="F689">
        <v>3</v>
      </c>
      <c r="G689">
        <v>6</v>
      </c>
      <c r="H689">
        <v>6</v>
      </c>
      <c r="I689">
        <v>46</v>
      </c>
      <c r="K689" s="124">
        <v>45571</v>
      </c>
      <c r="L689">
        <v>280</v>
      </c>
      <c r="M689">
        <v>77</v>
      </c>
    </row>
    <row r="690" spans="1:13" x14ac:dyDescent="0.35">
      <c r="A690" t="s">
        <v>34</v>
      </c>
      <c r="D690" t="s">
        <v>39</v>
      </c>
      <c r="F690">
        <v>3</v>
      </c>
      <c r="G690">
        <v>6</v>
      </c>
      <c r="H690">
        <v>6</v>
      </c>
      <c r="I690">
        <v>46</v>
      </c>
      <c r="K690" s="124">
        <v>45576</v>
      </c>
      <c r="L690">
        <v>285</v>
      </c>
      <c r="M690">
        <v>78</v>
      </c>
    </row>
    <row r="691" spans="1:13" x14ac:dyDescent="0.35">
      <c r="A691" t="s">
        <v>34</v>
      </c>
      <c r="D691" t="s">
        <v>39</v>
      </c>
      <c r="F691">
        <v>3</v>
      </c>
      <c r="G691">
        <v>6</v>
      </c>
      <c r="H691">
        <v>6</v>
      </c>
      <c r="I691">
        <v>46</v>
      </c>
      <c r="K691" s="124">
        <v>45590</v>
      </c>
      <c r="L691">
        <v>299</v>
      </c>
      <c r="M691">
        <v>76</v>
      </c>
    </row>
    <row r="692" spans="1:13" x14ac:dyDescent="0.35">
      <c r="A692" t="s">
        <v>34</v>
      </c>
      <c r="D692" t="s">
        <v>38</v>
      </c>
      <c r="F692">
        <v>3</v>
      </c>
      <c r="G692">
        <v>7</v>
      </c>
      <c r="H692">
        <v>6</v>
      </c>
      <c r="I692">
        <v>47</v>
      </c>
      <c r="K692" s="124">
        <v>45421</v>
      </c>
      <c r="L692">
        <v>130</v>
      </c>
    </row>
    <row r="693" spans="1:13" x14ac:dyDescent="0.35">
      <c r="A693" t="s">
        <v>34</v>
      </c>
      <c r="D693" t="s">
        <v>38</v>
      </c>
      <c r="F693">
        <v>3</v>
      </c>
      <c r="G693">
        <v>7</v>
      </c>
      <c r="H693">
        <v>6</v>
      </c>
      <c r="I693">
        <v>47</v>
      </c>
      <c r="K693" s="124">
        <v>45442</v>
      </c>
      <c r="L693">
        <v>151</v>
      </c>
      <c r="M693">
        <v>6</v>
      </c>
    </row>
    <row r="694" spans="1:13" x14ac:dyDescent="0.35">
      <c r="A694" t="s">
        <v>34</v>
      </c>
      <c r="D694" t="s">
        <v>38</v>
      </c>
      <c r="F694">
        <v>3</v>
      </c>
      <c r="G694">
        <v>7</v>
      </c>
      <c r="H694">
        <v>6</v>
      </c>
      <c r="I694">
        <v>47</v>
      </c>
      <c r="K694" s="124">
        <v>45461</v>
      </c>
      <c r="L694">
        <v>170</v>
      </c>
      <c r="M694">
        <v>16</v>
      </c>
    </row>
    <row r="695" spans="1:13" x14ac:dyDescent="0.35">
      <c r="A695" t="s">
        <v>34</v>
      </c>
      <c r="D695" t="s">
        <v>38</v>
      </c>
      <c r="F695">
        <v>3</v>
      </c>
      <c r="G695">
        <v>7</v>
      </c>
      <c r="H695">
        <v>6</v>
      </c>
      <c r="I695">
        <v>47</v>
      </c>
      <c r="K695" s="124">
        <v>45477</v>
      </c>
      <c r="L695">
        <v>186</v>
      </c>
      <c r="M695">
        <v>16</v>
      </c>
    </row>
    <row r="696" spans="1:13" x14ac:dyDescent="0.35">
      <c r="A696" t="s">
        <v>34</v>
      </c>
      <c r="D696" t="s">
        <v>38</v>
      </c>
      <c r="F696">
        <v>3</v>
      </c>
      <c r="G696">
        <v>7</v>
      </c>
      <c r="H696">
        <v>6</v>
      </c>
      <c r="I696">
        <v>47</v>
      </c>
      <c r="K696" s="124">
        <v>45491</v>
      </c>
      <c r="L696">
        <v>200</v>
      </c>
      <c r="M696">
        <v>26</v>
      </c>
    </row>
    <row r="697" spans="1:13" x14ac:dyDescent="0.35">
      <c r="A697" t="s">
        <v>34</v>
      </c>
      <c r="D697" t="s">
        <v>38</v>
      </c>
      <c r="F697">
        <v>3</v>
      </c>
      <c r="G697">
        <v>7</v>
      </c>
      <c r="H697">
        <v>6</v>
      </c>
      <c r="I697">
        <v>47</v>
      </c>
      <c r="K697" s="124">
        <v>45510</v>
      </c>
      <c r="L697">
        <v>219</v>
      </c>
      <c r="M697">
        <v>36</v>
      </c>
    </row>
    <row r="698" spans="1:13" x14ac:dyDescent="0.35">
      <c r="A698" t="s">
        <v>34</v>
      </c>
      <c r="D698" t="s">
        <v>38</v>
      </c>
      <c r="F698">
        <v>3</v>
      </c>
      <c r="G698">
        <v>7</v>
      </c>
      <c r="H698">
        <v>6</v>
      </c>
      <c r="I698">
        <v>47</v>
      </c>
      <c r="K698" s="124">
        <v>45530</v>
      </c>
      <c r="L698">
        <v>239</v>
      </c>
      <c r="M698">
        <v>55</v>
      </c>
    </row>
    <row r="699" spans="1:13" x14ac:dyDescent="0.35">
      <c r="A699" t="s">
        <v>34</v>
      </c>
      <c r="D699" t="s">
        <v>38</v>
      </c>
      <c r="F699">
        <v>3</v>
      </c>
      <c r="G699">
        <v>7</v>
      </c>
      <c r="H699">
        <v>6</v>
      </c>
      <c r="I699">
        <v>47</v>
      </c>
      <c r="K699" s="124">
        <v>45538</v>
      </c>
      <c r="L699">
        <v>247</v>
      </c>
      <c r="M699">
        <v>58</v>
      </c>
    </row>
    <row r="700" spans="1:13" x14ac:dyDescent="0.35">
      <c r="A700" t="s">
        <v>34</v>
      </c>
      <c r="D700" t="s">
        <v>38</v>
      </c>
      <c r="F700">
        <v>3</v>
      </c>
      <c r="G700">
        <v>7</v>
      </c>
      <c r="H700">
        <v>6</v>
      </c>
      <c r="I700">
        <v>47</v>
      </c>
      <c r="K700" s="124">
        <v>45547</v>
      </c>
      <c r="L700">
        <v>256</v>
      </c>
      <c r="M700">
        <v>63</v>
      </c>
    </row>
    <row r="701" spans="1:13" x14ac:dyDescent="0.35">
      <c r="A701" t="s">
        <v>34</v>
      </c>
      <c r="D701" t="s">
        <v>38</v>
      </c>
      <c r="F701">
        <v>3</v>
      </c>
      <c r="G701">
        <v>7</v>
      </c>
      <c r="H701">
        <v>6</v>
      </c>
      <c r="I701">
        <v>47</v>
      </c>
      <c r="K701" s="124">
        <v>45553</v>
      </c>
      <c r="L701">
        <v>262</v>
      </c>
      <c r="M701">
        <v>65</v>
      </c>
    </row>
    <row r="702" spans="1:13" x14ac:dyDescent="0.35">
      <c r="A702" t="s">
        <v>34</v>
      </c>
      <c r="D702" t="s">
        <v>38</v>
      </c>
      <c r="F702">
        <v>3</v>
      </c>
      <c r="G702">
        <v>7</v>
      </c>
      <c r="H702">
        <v>6</v>
      </c>
      <c r="I702">
        <v>47</v>
      </c>
      <c r="K702" s="124">
        <v>45558</v>
      </c>
      <c r="L702">
        <v>267</v>
      </c>
      <c r="M702">
        <v>70</v>
      </c>
    </row>
    <row r="703" spans="1:13" x14ac:dyDescent="0.35">
      <c r="A703" t="s">
        <v>34</v>
      </c>
      <c r="D703" t="s">
        <v>38</v>
      </c>
      <c r="F703">
        <v>3</v>
      </c>
      <c r="G703">
        <v>7</v>
      </c>
      <c r="H703">
        <v>6</v>
      </c>
      <c r="I703">
        <v>47</v>
      </c>
      <c r="K703" s="124">
        <v>45562</v>
      </c>
      <c r="L703">
        <v>271</v>
      </c>
      <c r="M703">
        <v>73</v>
      </c>
    </row>
    <row r="704" spans="1:13" x14ac:dyDescent="0.35">
      <c r="A704" t="s">
        <v>34</v>
      </c>
      <c r="D704" t="s">
        <v>38</v>
      </c>
      <c r="F704">
        <v>3</v>
      </c>
      <c r="G704">
        <v>7</v>
      </c>
      <c r="H704">
        <v>6</v>
      </c>
      <c r="I704">
        <v>47</v>
      </c>
      <c r="K704" s="124">
        <v>45571</v>
      </c>
      <c r="L704">
        <v>280</v>
      </c>
      <c r="M704">
        <v>94</v>
      </c>
    </row>
    <row r="705" spans="1:13" x14ac:dyDescent="0.35">
      <c r="A705" t="s">
        <v>34</v>
      </c>
      <c r="D705" t="s">
        <v>38</v>
      </c>
      <c r="F705">
        <v>3</v>
      </c>
      <c r="G705">
        <v>7</v>
      </c>
      <c r="H705">
        <v>6</v>
      </c>
      <c r="I705">
        <v>47</v>
      </c>
      <c r="K705" s="124">
        <v>45576</v>
      </c>
      <c r="L705">
        <v>285</v>
      </c>
      <c r="M705">
        <v>94</v>
      </c>
    </row>
    <row r="706" spans="1:13" x14ac:dyDescent="0.35">
      <c r="A706" t="s">
        <v>34</v>
      </c>
      <c r="D706" t="s">
        <v>38</v>
      </c>
      <c r="F706">
        <v>3</v>
      </c>
      <c r="G706">
        <v>7</v>
      </c>
      <c r="H706">
        <v>6</v>
      </c>
      <c r="I706">
        <v>47</v>
      </c>
      <c r="K706" s="124">
        <v>45590</v>
      </c>
      <c r="L706">
        <v>299</v>
      </c>
      <c r="M706">
        <v>96</v>
      </c>
    </row>
    <row r="707" spans="1:13" x14ac:dyDescent="0.35">
      <c r="A707" t="s">
        <v>34</v>
      </c>
      <c r="D707" t="s">
        <v>343</v>
      </c>
      <c r="F707">
        <v>3</v>
      </c>
      <c r="G707">
        <v>8</v>
      </c>
      <c r="H707">
        <v>6</v>
      </c>
      <c r="I707">
        <v>48</v>
      </c>
      <c r="K707" s="124">
        <v>45421</v>
      </c>
      <c r="L707">
        <v>130</v>
      </c>
    </row>
    <row r="708" spans="1:13" x14ac:dyDescent="0.35">
      <c r="A708" t="s">
        <v>34</v>
      </c>
      <c r="D708" t="s">
        <v>343</v>
      </c>
      <c r="F708">
        <v>3</v>
      </c>
      <c r="G708">
        <v>8</v>
      </c>
      <c r="H708">
        <v>6</v>
      </c>
      <c r="I708">
        <v>48</v>
      </c>
      <c r="K708" s="124">
        <v>45442</v>
      </c>
      <c r="L708">
        <v>151</v>
      </c>
      <c r="M708">
        <v>7</v>
      </c>
    </row>
    <row r="709" spans="1:13" x14ac:dyDescent="0.35">
      <c r="A709" t="s">
        <v>34</v>
      </c>
      <c r="D709" t="s">
        <v>343</v>
      </c>
      <c r="F709">
        <v>3</v>
      </c>
      <c r="G709">
        <v>8</v>
      </c>
      <c r="H709">
        <v>6</v>
      </c>
      <c r="I709">
        <v>48</v>
      </c>
      <c r="K709" s="124">
        <v>45461</v>
      </c>
      <c r="L709">
        <v>170</v>
      </c>
      <c r="M709">
        <v>15</v>
      </c>
    </row>
    <row r="710" spans="1:13" x14ac:dyDescent="0.35">
      <c r="A710" t="s">
        <v>34</v>
      </c>
      <c r="D710" t="s">
        <v>343</v>
      </c>
      <c r="F710">
        <v>3</v>
      </c>
      <c r="G710">
        <v>8</v>
      </c>
      <c r="H710">
        <v>6</v>
      </c>
      <c r="I710">
        <v>48</v>
      </c>
      <c r="K710" s="124">
        <v>45477</v>
      </c>
      <c r="L710">
        <v>186</v>
      </c>
      <c r="M710">
        <v>16</v>
      </c>
    </row>
    <row r="711" spans="1:13" x14ac:dyDescent="0.35">
      <c r="A711" t="s">
        <v>34</v>
      </c>
      <c r="D711" t="s">
        <v>343</v>
      </c>
      <c r="F711">
        <v>3</v>
      </c>
      <c r="G711">
        <v>8</v>
      </c>
      <c r="H711">
        <v>6</v>
      </c>
      <c r="I711">
        <v>48</v>
      </c>
      <c r="K711" s="124">
        <v>45491</v>
      </c>
      <c r="L711">
        <v>200</v>
      </c>
      <c r="M711">
        <v>23</v>
      </c>
    </row>
    <row r="712" spans="1:13" x14ac:dyDescent="0.35">
      <c r="A712" t="s">
        <v>34</v>
      </c>
      <c r="D712" t="s">
        <v>343</v>
      </c>
      <c r="F712">
        <v>3</v>
      </c>
      <c r="G712">
        <v>8</v>
      </c>
      <c r="H712">
        <v>6</v>
      </c>
      <c r="I712">
        <v>48</v>
      </c>
      <c r="K712" s="124">
        <v>45510</v>
      </c>
      <c r="L712">
        <v>219</v>
      </c>
      <c r="M712">
        <v>32</v>
      </c>
    </row>
    <row r="713" spans="1:13" x14ac:dyDescent="0.35">
      <c r="A713" t="s">
        <v>34</v>
      </c>
      <c r="D713" t="s">
        <v>343</v>
      </c>
      <c r="F713">
        <v>3</v>
      </c>
      <c r="G713">
        <v>8</v>
      </c>
      <c r="H713">
        <v>6</v>
      </c>
      <c r="I713">
        <v>48</v>
      </c>
      <c r="K713" s="124">
        <v>45530</v>
      </c>
      <c r="L713">
        <v>239</v>
      </c>
      <c r="M713">
        <v>54</v>
      </c>
    </row>
    <row r="714" spans="1:13" x14ac:dyDescent="0.35">
      <c r="A714" t="s">
        <v>34</v>
      </c>
      <c r="D714" t="s">
        <v>343</v>
      </c>
      <c r="F714">
        <v>3</v>
      </c>
      <c r="G714">
        <v>8</v>
      </c>
      <c r="H714">
        <v>6</v>
      </c>
      <c r="I714">
        <v>48</v>
      </c>
      <c r="K714" s="124">
        <v>45538</v>
      </c>
      <c r="L714">
        <v>247</v>
      </c>
      <c r="M714">
        <v>55</v>
      </c>
    </row>
    <row r="715" spans="1:13" x14ac:dyDescent="0.35">
      <c r="A715" t="s">
        <v>34</v>
      </c>
      <c r="D715" t="s">
        <v>343</v>
      </c>
      <c r="F715">
        <v>3</v>
      </c>
      <c r="G715">
        <v>8</v>
      </c>
      <c r="H715">
        <v>6</v>
      </c>
      <c r="I715">
        <v>48</v>
      </c>
      <c r="K715" s="124">
        <v>45547</v>
      </c>
      <c r="L715">
        <v>256</v>
      </c>
      <c r="M715">
        <v>70</v>
      </c>
    </row>
    <row r="716" spans="1:13" x14ac:dyDescent="0.35">
      <c r="A716" t="s">
        <v>34</v>
      </c>
      <c r="D716" t="s">
        <v>343</v>
      </c>
      <c r="F716">
        <v>3</v>
      </c>
      <c r="G716">
        <v>8</v>
      </c>
      <c r="H716">
        <v>6</v>
      </c>
      <c r="I716">
        <v>48</v>
      </c>
      <c r="K716" s="124">
        <v>45553</v>
      </c>
      <c r="L716">
        <v>262</v>
      </c>
      <c r="M716">
        <v>72</v>
      </c>
    </row>
    <row r="717" spans="1:13" x14ac:dyDescent="0.35">
      <c r="A717" t="s">
        <v>34</v>
      </c>
      <c r="D717" t="s">
        <v>343</v>
      </c>
      <c r="F717">
        <v>3</v>
      </c>
      <c r="G717">
        <v>8</v>
      </c>
      <c r="H717">
        <v>6</v>
      </c>
      <c r="I717">
        <v>48</v>
      </c>
      <c r="K717" s="124">
        <v>45558</v>
      </c>
      <c r="L717">
        <v>267</v>
      </c>
      <c r="M717">
        <v>74</v>
      </c>
    </row>
    <row r="718" spans="1:13" x14ac:dyDescent="0.35">
      <c r="A718" t="s">
        <v>34</v>
      </c>
      <c r="D718" t="s">
        <v>343</v>
      </c>
      <c r="F718">
        <v>3</v>
      </c>
      <c r="G718">
        <v>8</v>
      </c>
      <c r="H718">
        <v>6</v>
      </c>
      <c r="I718">
        <v>48</v>
      </c>
      <c r="K718" s="124">
        <v>45562</v>
      </c>
      <c r="L718">
        <v>271</v>
      </c>
      <c r="M718">
        <v>75</v>
      </c>
    </row>
    <row r="719" spans="1:13" x14ac:dyDescent="0.35">
      <c r="A719" t="s">
        <v>34</v>
      </c>
      <c r="D719" t="s">
        <v>343</v>
      </c>
      <c r="F719">
        <v>3</v>
      </c>
      <c r="G719">
        <v>8</v>
      </c>
      <c r="H719">
        <v>6</v>
      </c>
      <c r="I719">
        <v>48</v>
      </c>
      <c r="K719" s="124">
        <v>45571</v>
      </c>
      <c r="L719">
        <v>280</v>
      </c>
      <c r="M719">
        <v>93</v>
      </c>
    </row>
    <row r="720" spans="1:13" x14ac:dyDescent="0.35">
      <c r="A720" t="s">
        <v>34</v>
      </c>
      <c r="D720" t="s">
        <v>343</v>
      </c>
      <c r="F720">
        <v>3</v>
      </c>
      <c r="G720">
        <v>8</v>
      </c>
      <c r="H720">
        <v>6</v>
      </c>
      <c r="I720">
        <v>48</v>
      </c>
      <c r="K720" s="124">
        <v>45576</v>
      </c>
      <c r="L720">
        <v>285</v>
      </c>
      <c r="M720">
        <v>97</v>
      </c>
    </row>
    <row r="721" spans="1:13" x14ac:dyDescent="0.35">
      <c r="A721" t="s">
        <v>34</v>
      </c>
      <c r="D721" t="s">
        <v>343</v>
      </c>
      <c r="F721">
        <v>3</v>
      </c>
      <c r="G721">
        <v>8</v>
      </c>
      <c r="H721">
        <v>6</v>
      </c>
      <c r="I721">
        <v>48</v>
      </c>
      <c r="K721" s="124">
        <v>45590</v>
      </c>
      <c r="L721">
        <v>299</v>
      </c>
      <c r="M721">
        <v>100</v>
      </c>
    </row>
    <row r="722" spans="1:13" x14ac:dyDescent="0.35">
      <c r="A722" t="s">
        <v>24</v>
      </c>
      <c r="D722" t="s">
        <v>32</v>
      </c>
      <c r="F722">
        <v>4</v>
      </c>
      <c r="G722">
        <v>1</v>
      </c>
      <c r="H722">
        <v>7</v>
      </c>
      <c r="I722">
        <v>49</v>
      </c>
      <c r="K722" s="124">
        <v>45421</v>
      </c>
      <c r="L722">
        <v>130</v>
      </c>
      <c r="M722">
        <v>15</v>
      </c>
    </row>
    <row r="723" spans="1:13" x14ac:dyDescent="0.35">
      <c r="A723" t="s">
        <v>24</v>
      </c>
      <c r="D723" t="s">
        <v>32</v>
      </c>
      <c r="F723">
        <v>4</v>
      </c>
      <c r="G723">
        <v>1</v>
      </c>
      <c r="H723">
        <v>7</v>
      </c>
      <c r="I723">
        <v>49</v>
      </c>
      <c r="K723" s="124">
        <v>45442</v>
      </c>
      <c r="L723">
        <v>151</v>
      </c>
      <c r="M723">
        <v>17</v>
      </c>
    </row>
    <row r="724" spans="1:13" x14ac:dyDescent="0.35">
      <c r="A724" t="s">
        <v>24</v>
      </c>
      <c r="D724" t="s">
        <v>32</v>
      </c>
      <c r="F724">
        <v>4</v>
      </c>
      <c r="G724">
        <v>1</v>
      </c>
      <c r="H724">
        <v>7</v>
      </c>
      <c r="I724">
        <v>49</v>
      </c>
      <c r="K724" s="124">
        <v>45461</v>
      </c>
      <c r="L724">
        <v>170</v>
      </c>
      <c r="M724">
        <v>28</v>
      </c>
    </row>
    <row r="725" spans="1:13" x14ac:dyDescent="0.35">
      <c r="A725" t="s">
        <v>24</v>
      </c>
      <c r="D725" t="s">
        <v>32</v>
      </c>
      <c r="F725">
        <v>4</v>
      </c>
      <c r="G725">
        <v>1</v>
      </c>
      <c r="H725">
        <v>7</v>
      </c>
      <c r="I725">
        <v>49</v>
      </c>
      <c r="K725" s="124">
        <v>45477</v>
      </c>
      <c r="L725">
        <v>186</v>
      </c>
      <c r="M725">
        <v>35</v>
      </c>
    </row>
    <row r="726" spans="1:13" x14ac:dyDescent="0.35">
      <c r="A726" t="s">
        <v>24</v>
      </c>
      <c r="D726" t="s">
        <v>32</v>
      </c>
      <c r="F726">
        <v>4</v>
      </c>
      <c r="G726">
        <v>1</v>
      </c>
      <c r="H726">
        <v>7</v>
      </c>
      <c r="I726">
        <v>49</v>
      </c>
      <c r="K726" s="124">
        <v>45491</v>
      </c>
      <c r="L726">
        <v>200</v>
      </c>
      <c r="M726">
        <v>39</v>
      </c>
    </row>
    <row r="727" spans="1:13" x14ac:dyDescent="0.35">
      <c r="A727" t="s">
        <v>24</v>
      </c>
      <c r="D727" t="s">
        <v>32</v>
      </c>
      <c r="F727">
        <v>4</v>
      </c>
      <c r="G727">
        <v>1</v>
      </c>
      <c r="H727">
        <v>7</v>
      </c>
      <c r="I727">
        <v>49</v>
      </c>
      <c r="K727" s="124">
        <v>45510</v>
      </c>
      <c r="L727">
        <v>219</v>
      </c>
      <c r="M727">
        <v>42</v>
      </c>
    </row>
    <row r="728" spans="1:13" x14ac:dyDescent="0.35">
      <c r="A728" t="s">
        <v>24</v>
      </c>
      <c r="D728" t="s">
        <v>32</v>
      </c>
      <c r="F728">
        <v>4</v>
      </c>
      <c r="G728">
        <v>1</v>
      </c>
      <c r="H728">
        <v>7</v>
      </c>
      <c r="I728">
        <v>49</v>
      </c>
      <c r="K728" s="124">
        <v>45530</v>
      </c>
      <c r="L728">
        <v>239</v>
      </c>
      <c r="M728">
        <v>58</v>
      </c>
    </row>
    <row r="729" spans="1:13" x14ac:dyDescent="0.35">
      <c r="A729" t="s">
        <v>24</v>
      </c>
      <c r="D729" t="s">
        <v>32</v>
      </c>
      <c r="F729">
        <v>4</v>
      </c>
      <c r="G729">
        <v>1</v>
      </c>
      <c r="H729">
        <v>7</v>
      </c>
      <c r="I729">
        <v>49</v>
      </c>
      <c r="K729" s="124">
        <v>45538</v>
      </c>
      <c r="L729">
        <v>247</v>
      </c>
      <c r="M729">
        <v>64</v>
      </c>
    </row>
    <row r="730" spans="1:13" x14ac:dyDescent="0.35">
      <c r="A730" t="s">
        <v>24</v>
      </c>
      <c r="D730" t="s">
        <v>32</v>
      </c>
      <c r="F730">
        <v>4</v>
      </c>
      <c r="G730">
        <v>1</v>
      </c>
      <c r="H730">
        <v>7</v>
      </c>
      <c r="I730">
        <v>49</v>
      </c>
      <c r="K730" s="124">
        <v>45547</v>
      </c>
      <c r="L730">
        <v>256</v>
      </c>
      <c r="M730">
        <v>67</v>
      </c>
    </row>
    <row r="731" spans="1:13" x14ac:dyDescent="0.35">
      <c r="A731" t="s">
        <v>24</v>
      </c>
      <c r="D731" t="s">
        <v>32</v>
      </c>
      <c r="F731">
        <v>4</v>
      </c>
      <c r="G731">
        <v>1</v>
      </c>
      <c r="H731">
        <v>7</v>
      </c>
      <c r="I731">
        <v>49</v>
      </c>
      <c r="K731" s="124">
        <v>45553</v>
      </c>
      <c r="L731">
        <v>262</v>
      </c>
      <c r="M731">
        <v>71</v>
      </c>
    </row>
    <row r="732" spans="1:13" x14ac:dyDescent="0.35">
      <c r="A732" t="s">
        <v>24</v>
      </c>
      <c r="D732" t="s">
        <v>32</v>
      </c>
      <c r="F732">
        <v>4</v>
      </c>
      <c r="G732">
        <v>1</v>
      </c>
      <c r="H732">
        <v>7</v>
      </c>
      <c r="I732">
        <v>49</v>
      </c>
      <c r="K732" s="124">
        <v>45558</v>
      </c>
      <c r="L732">
        <v>267</v>
      </c>
      <c r="M732">
        <v>71</v>
      </c>
    </row>
    <row r="733" spans="1:13" x14ac:dyDescent="0.35">
      <c r="A733" t="s">
        <v>24</v>
      </c>
      <c r="D733" t="s">
        <v>32</v>
      </c>
      <c r="F733">
        <v>4</v>
      </c>
      <c r="G733">
        <v>1</v>
      </c>
      <c r="H733">
        <v>7</v>
      </c>
      <c r="I733">
        <v>49</v>
      </c>
      <c r="K733" s="124">
        <v>45562</v>
      </c>
      <c r="L733">
        <v>271</v>
      </c>
      <c r="M733">
        <v>71</v>
      </c>
    </row>
    <row r="734" spans="1:13" x14ac:dyDescent="0.35">
      <c r="A734" t="s">
        <v>24</v>
      </c>
      <c r="D734" t="s">
        <v>32</v>
      </c>
      <c r="F734">
        <v>4</v>
      </c>
      <c r="G734">
        <v>1</v>
      </c>
      <c r="H734">
        <v>7</v>
      </c>
      <c r="I734">
        <v>49</v>
      </c>
      <c r="K734" s="124">
        <v>45571</v>
      </c>
      <c r="L734">
        <v>280</v>
      </c>
      <c r="M734">
        <v>85</v>
      </c>
    </row>
    <row r="735" spans="1:13" x14ac:dyDescent="0.35">
      <c r="A735" t="s">
        <v>24</v>
      </c>
      <c r="D735" t="s">
        <v>32</v>
      </c>
      <c r="F735">
        <v>4</v>
      </c>
      <c r="G735">
        <v>1</v>
      </c>
      <c r="H735">
        <v>7</v>
      </c>
      <c r="I735">
        <v>49</v>
      </c>
      <c r="K735" s="124">
        <v>45576</v>
      </c>
      <c r="L735">
        <v>285</v>
      </c>
      <c r="M735">
        <v>89</v>
      </c>
    </row>
    <row r="736" spans="1:13" x14ac:dyDescent="0.35">
      <c r="A736" t="s">
        <v>24</v>
      </c>
      <c r="D736" t="s">
        <v>32</v>
      </c>
      <c r="F736">
        <v>4</v>
      </c>
      <c r="G736">
        <v>1</v>
      </c>
      <c r="H736">
        <v>7</v>
      </c>
      <c r="I736">
        <v>49</v>
      </c>
      <c r="K736" s="124">
        <v>45590</v>
      </c>
      <c r="L736">
        <v>299</v>
      </c>
      <c r="M736">
        <v>84</v>
      </c>
    </row>
    <row r="737" spans="1:13" x14ac:dyDescent="0.35">
      <c r="A737" t="s">
        <v>24</v>
      </c>
      <c r="D737" t="s">
        <v>29</v>
      </c>
      <c r="F737">
        <v>4</v>
      </c>
      <c r="G737">
        <v>2</v>
      </c>
      <c r="H737">
        <v>7</v>
      </c>
      <c r="I737">
        <v>50</v>
      </c>
      <c r="K737" s="124">
        <v>45421</v>
      </c>
      <c r="L737">
        <v>130</v>
      </c>
      <c r="M737">
        <v>15</v>
      </c>
    </row>
    <row r="738" spans="1:13" x14ac:dyDescent="0.35">
      <c r="A738" t="s">
        <v>24</v>
      </c>
      <c r="D738" t="s">
        <v>29</v>
      </c>
      <c r="F738">
        <v>4</v>
      </c>
      <c r="G738">
        <v>2</v>
      </c>
      <c r="H738">
        <v>7</v>
      </c>
      <c r="I738">
        <v>50</v>
      </c>
      <c r="K738" s="124">
        <v>45442</v>
      </c>
      <c r="L738">
        <v>151</v>
      </c>
      <c r="M738">
        <v>19</v>
      </c>
    </row>
    <row r="739" spans="1:13" x14ac:dyDescent="0.35">
      <c r="A739" t="s">
        <v>24</v>
      </c>
      <c r="D739" t="s">
        <v>29</v>
      </c>
      <c r="F739">
        <v>4</v>
      </c>
      <c r="G739">
        <v>2</v>
      </c>
      <c r="H739">
        <v>7</v>
      </c>
      <c r="I739">
        <v>50</v>
      </c>
      <c r="K739" s="124">
        <v>45461</v>
      </c>
      <c r="L739">
        <v>170</v>
      </c>
      <c r="M739">
        <v>30</v>
      </c>
    </row>
    <row r="740" spans="1:13" x14ac:dyDescent="0.35">
      <c r="A740" t="s">
        <v>24</v>
      </c>
      <c r="D740" t="s">
        <v>29</v>
      </c>
      <c r="F740">
        <v>4</v>
      </c>
      <c r="G740">
        <v>2</v>
      </c>
      <c r="H740">
        <v>7</v>
      </c>
      <c r="I740">
        <v>50</v>
      </c>
      <c r="K740" s="124">
        <v>45477</v>
      </c>
      <c r="L740">
        <v>186</v>
      </c>
      <c r="M740">
        <v>35</v>
      </c>
    </row>
    <row r="741" spans="1:13" x14ac:dyDescent="0.35">
      <c r="A741" t="s">
        <v>24</v>
      </c>
      <c r="D741" t="s">
        <v>29</v>
      </c>
      <c r="F741">
        <v>4</v>
      </c>
      <c r="G741">
        <v>2</v>
      </c>
      <c r="H741">
        <v>7</v>
      </c>
      <c r="I741">
        <v>50</v>
      </c>
      <c r="K741" s="124">
        <v>45491</v>
      </c>
      <c r="L741">
        <v>200</v>
      </c>
      <c r="M741">
        <v>37</v>
      </c>
    </row>
    <row r="742" spans="1:13" x14ac:dyDescent="0.35">
      <c r="A742" t="s">
        <v>24</v>
      </c>
      <c r="D742" t="s">
        <v>29</v>
      </c>
      <c r="F742">
        <v>4</v>
      </c>
      <c r="G742">
        <v>2</v>
      </c>
      <c r="H742">
        <v>7</v>
      </c>
      <c r="I742">
        <v>50</v>
      </c>
      <c r="K742" s="124">
        <v>45510</v>
      </c>
      <c r="L742">
        <v>219</v>
      </c>
      <c r="M742">
        <v>41</v>
      </c>
    </row>
    <row r="743" spans="1:13" x14ac:dyDescent="0.35">
      <c r="A743" t="s">
        <v>24</v>
      </c>
      <c r="D743" t="s">
        <v>29</v>
      </c>
      <c r="F743">
        <v>4</v>
      </c>
      <c r="G743">
        <v>2</v>
      </c>
      <c r="H743">
        <v>7</v>
      </c>
      <c r="I743">
        <v>50</v>
      </c>
      <c r="K743" s="124">
        <v>45530</v>
      </c>
      <c r="L743">
        <v>239</v>
      </c>
      <c r="M743">
        <v>56</v>
      </c>
    </row>
    <row r="744" spans="1:13" x14ac:dyDescent="0.35">
      <c r="A744" t="s">
        <v>24</v>
      </c>
      <c r="D744" t="s">
        <v>29</v>
      </c>
      <c r="F744">
        <v>4</v>
      </c>
      <c r="G744">
        <v>2</v>
      </c>
      <c r="H744">
        <v>7</v>
      </c>
      <c r="I744">
        <v>50</v>
      </c>
      <c r="K744" s="124">
        <v>45538</v>
      </c>
      <c r="L744">
        <v>247</v>
      </c>
      <c r="M744">
        <v>60</v>
      </c>
    </row>
    <row r="745" spans="1:13" x14ac:dyDescent="0.35">
      <c r="A745" t="s">
        <v>24</v>
      </c>
      <c r="D745" t="s">
        <v>29</v>
      </c>
      <c r="F745">
        <v>4</v>
      </c>
      <c r="G745">
        <v>2</v>
      </c>
      <c r="H745">
        <v>7</v>
      </c>
      <c r="I745">
        <v>50</v>
      </c>
      <c r="K745" s="124">
        <v>45547</v>
      </c>
      <c r="L745">
        <v>256</v>
      </c>
      <c r="M745">
        <v>69</v>
      </c>
    </row>
    <row r="746" spans="1:13" x14ac:dyDescent="0.35">
      <c r="A746" t="s">
        <v>24</v>
      </c>
      <c r="D746" t="s">
        <v>29</v>
      </c>
      <c r="F746">
        <v>4</v>
      </c>
      <c r="G746">
        <v>2</v>
      </c>
      <c r="H746">
        <v>7</v>
      </c>
      <c r="I746">
        <v>50</v>
      </c>
      <c r="K746" s="124">
        <v>45553</v>
      </c>
      <c r="L746">
        <v>262</v>
      </c>
      <c r="M746">
        <v>72</v>
      </c>
    </row>
    <row r="747" spans="1:13" x14ac:dyDescent="0.35">
      <c r="A747" t="s">
        <v>24</v>
      </c>
      <c r="D747" t="s">
        <v>29</v>
      </c>
      <c r="F747">
        <v>4</v>
      </c>
      <c r="G747">
        <v>2</v>
      </c>
      <c r="H747">
        <v>7</v>
      </c>
      <c r="I747">
        <v>50</v>
      </c>
      <c r="K747" s="124">
        <v>45558</v>
      </c>
      <c r="L747">
        <v>267</v>
      </c>
      <c r="M747">
        <v>74</v>
      </c>
    </row>
    <row r="748" spans="1:13" x14ac:dyDescent="0.35">
      <c r="A748" t="s">
        <v>24</v>
      </c>
      <c r="D748" t="s">
        <v>29</v>
      </c>
      <c r="F748">
        <v>4</v>
      </c>
      <c r="G748">
        <v>2</v>
      </c>
      <c r="H748">
        <v>7</v>
      </c>
      <c r="I748">
        <v>50</v>
      </c>
      <c r="K748" s="124">
        <v>45562</v>
      </c>
      <c r="L748">
        <v>271</v>
      </c>
      <c r="M748">
        <v>80</v>
      </c>
    </row>
    <row r="749" spans="1:13" x14ac:dyDescent="0.35">
      <c r="A749" t="s">
        <v>24</v>
      </c>
      <c r="D749" t="s">
        <v>29</v>
      </c>
      <c r="F749">
        <v>4</v>
      </c>
      <c r="G749">
        <v>2</v>
      </c>
      <c r="H749">
        <v>7</v>
      </c>
      <c r="I749">
        <v>50</v>
      </c>
      <c r="K749" s="124">
        <v>45571</v>
      </c>
      <c r="L749">
        <v>280</v>
      </c>
      <c r="M749">
        <v>100</v>
      </c>
    </row>
    <row r="750" spans="1:13" x14ac:dyDescent="0.35">
      <c r="A750" t="s">
        <v>24</v>
      </c>
      <c r="D750" t="s">
        <v>29</v>
      </c>
      <c r="F750">
        <v>4</v>
      </c>
      <c r="G750">
        <v>2</v>
      </c>
      <c r="H750">
        <v>7</v>
      </c>
      <c r="I750">
        <v>50</v>
      </c>
      <c r="K750" s="124">
        <v>45576</v>
      </c>
      <c r="L750">
        <v>285</v>
      </c>
      <c r="M750">
        <v>100</v>
      </c>
    </row>
    <row r="751" spans="1:13" x14ac:dyDescent="0.35">
      <c r="A751" t="s">
        <v>24</v>
      </c>
      <c r="D751" t="s">
        <v>29</v>
      </c>
      <c r="F751">
        <v>4</v>
      </c>
      <c r="G751">
        <v>2</v>
      </c>
      <c r="H751">
        <v>7</v>
      </c>
      <c r="I751">
        <v>50</v>
      </c>
      <c r="K751" s="124">
        <v>45590</v>
      </c>
      <c r="L751">
        <v>299</v>
      </c>
      <c r="M751">
        <v>98</v>
      </c>
    </row>
    <row r="752" spans="1:13" x14ac:dyDescent="0.35">
      <c r="A752" t="s">
        <v>24</v>
      </c>
      <c r="D752" t="s">
        <v>337</v>
      </c>
      <c r="F752">
        <v>4</v>
      </c>
      <c r="G752">
        <v>3</v>
      </c>
      <c r="H752">
        <v>7</v>
      </c>
      <c r="I752">
        <v>51</v>
      </c>
      <c r="K752" s="124">
        <v>45421</v>
      </c>
      <c r="L752">
        <v>130</v>
      </c>
      <c r="M752">
        <v>15</v>
      </c>
    </row>
    <row r="753" spans="1:13" x14ac:dyDescent="0.35">
      <c r="A753" t="s">
        <v>24</v>
      </c>
      <c r="D753" t="s">
        <v>337</v>
      </c>
      <c r="F753">
        <v>4</v>
      </c>
      <c r="G753">
        <v>3</v>
      </c>
      <c r="H753">
        <v>7</v>
      </c>
      <c r="I753">
        <v>51</v>
      </c>
      <c r="K753" s="124">
        <v>45442</v>
      </c>
      <c r="L753">
        <v>151</v>
      </c>
      <c r="M753">
        <v>16</v>
      </c>
    </row>
    <row r="754" spans="1:13" x14ac:dyDescent="0.35">
      <c r="A754" t="s">
        <v>24</v>
      </c>
      <c r="D754" t="s">
        <v>337</v>
      </c>
      <c r="F754">
        <v>4</v>
      </c>
      <c r="G754">
        <v>3</v>
      </c>
      <c r="H754">
        <v>7</v>
      </c>
      <c r="I754">
        <v>51</v>
      </c>
      <c r="K754" s="124">
        <v>45461</v>
      </c>
      <c r="L754">
        <v>170</v>
      </c>
      <c r="M754">
        <v>28</v>
      </c>
    </row>
    <row r="755" spans="1:13" x14ac:dyDescent="0.35">
      <c r="A755" t="s">
        <v>24</v>
      </c>
      <c r="D755" t="s">
        <v>337</v>
      </c>
      <c r="F755">
        <v>4</v>
      </c>
      <c r="G755">
        <v>3</v>
      </c>
      <c r="H755">
        <v>7</v>
      </c>
      <c r="I755">
        <v>51</v>
      </c>
      <c r="K755" s="124">
        <v>45477</v>
      </c>
      <c r="L755">
        <v>186</v>
      </c>
      <c r="M755">
        <v>35</v>
      </c>
    </row>
    <row r="756" spans="1:13" x14ac:dyDescent="0.35">
      <c r="A756" t="s">
        <v>24</v>
      </c>
      <c r="D756" t="s">
        <v>337</v>
      </c>
      <c r="F756">
        <v>4</v>
      </c>
      <c r="G756">
        <v>3</v>
      </c>
      <c r="H756">
        <v>7</v>
      </c>
      <c r="I756">
        <v>51</v>
      </c>
      <c r="K756" s="124">
        <v>45491</v>
      </c>
      <c r="L756">
        <v>200</v>
      </c>
      <c r="M756">
        <v>41</v>
      </c>
    </row>
    <row r="757" spans="1:13" x14ac:dyDescent="0.35">
      <c r="A757" t="s">
        <v>24</v>
      </c>
      <c r="D757" t="s">
        <v>337</v>
      </c>
      <c r="F757">
        <v>4</v>
      </c>
      <c r="G757">
        <v>3</v>
      </c>
      <c r="H757">
        <v>7</v>
      </c>
      <c r="I757">
        <v>51</v>
      </c>
      <c r="K757" s="124">
        <v>45510</v>
      </c>
      <c r="L757">
        <v>219</v>
      </c>
      <c r="M757">
        <v>43</v>
      </c>
    </row>
    <row r="758" spans="1:13" x14ac:dyDescent="0.35">
      <c r="A758" t="s">
        <v>24</v>
      </c>
      <c r="D758" t="s">
        <v>337</v>
      </c>
      <c r="F758">
        <v>4</v>
      </c>
      <c r="G758">
        <v>3</v>
      </c>
      <c r="H758">
        <v>7</v>
      </c>
      <c r="I758">
        <v>51</v>
      </c>
      <c r="K758" s="124">
        <v>45530</v>
      </c>
      <c r="L758">
        <v>239</v>
      </c>
      <c r="M758">
        <v>57</v>
      </c>
    </row>
    <row r="759" spans="1:13" x14ac:dyDescent="0.35">
      <c r="A759" t="s">
        <v>24</v>
      </c>
      <c r="D759" t="s">
        <v>337</v>
      </c>
      <c r="F759">
        <v>4</v>
      </c>
      <c r="G759">
        <v>3</v>
      </c>
      <c r="H759">
        <v>7</v>
      </c>
      <c r="I759">
        <v>51</v>
      </c>
      <c r="K759" s="124">
        <v>45538</v>
      </c>
      <c r="L759">
        <v>247</v>
      </c>
      <c r="M759">
        <v>61</v>
      </c>
    </row>
    <row r="760" spans="1:13" x14ac:dyDescent="0.35">
      <c r="A760" t="s">
        <v>24</v>
      </c>
      <c r="D760" t="s">
        <v>337</v>
      </c>
      <c r="F760">
        <v>4</v>
      </c>
      <c r="G760">
        <v>3</v>
      </c>
      <c r="H760">
        <v>7</v>
      </c>
      <c r="I760">
        <v>51</v>
      </c>
      <c r="K760" s="124">
        <v>45547</v>
      </c>
      <c r="L760">
        <v>256</v>
      </c>
      <c r="M760">
        <v>71</v>
      </c>
    </row>
    <row r="761" spans="1:13" x14ac:dyDescent="0.35">
      <c r="A761" t="s">
        <v>24</v>
      </c>
      <c r="D761" t="s">
        <v>337</v>
      </c>
      <c r="F761">
        <v>4</v>
      </c>
      <c r="G761">
        <v>3</v>
      </c>
      <c r="H761">
        <v>7</v>
      </c>
      <c r="I761">
        <v>51</v>
      </c>
      <c r="K761" s="124">
        <v>45553</v>
      </c>
      <c r="L761">
        <v>262</v>
      </c>
      <c r="M761">
        <v>74</v>
      </c>
    </row>
    <row r="762" spans="1:13" x14ac:dyDescent="0.35">
      <c r="A762" t="s">
        <v>24</v>
      </c>
      <c r="D762" t="s">
        <v>337</v>
      </c>
      <c r="F762">
        <v>4</v>
      </c>
      <c r="G762">
        <v>3</v>
      </c>
      <c r="H762">
        <v>7</v>
      </c>
      <c r="I762">
        <v>51</v>
      </c>
      <c r="K762" s="124">
        <v>45558</v>
      </c>
      <c r="L762">
        <v>267</v>
      </c>
      <c r="M762">
        <v>74</v>
      </c>
    </row>
    <row r="763" spans="1:13" x14ac:dyDescent="0.35">
      <c r="A763" t="s">
        <v>24</v>
      </c>
      <c r="D763" t="s">
        <v>337</v>
      </c>
      <c r="F763">
        <v>4</v>
      </c>
      <c r="G763">
        <v>3</v>
      </c>
      <c r="H763">
        <v>7</v>
      </c>
      <c r="I763">
        <v>51</v>
      </c>
      <c r="K763" s="124">
        <v>45562</v>
      </c>
      <c r="L763">
        <v>271</v>
      </c>
      <c r="M763">
        <v>77</v>
      </c>
    </row>
    <row r="764" spans="1:13" x14ac:dyDescent="0.35">
      <c r="A764" t="s">
        <v>24</v>
      </c>
      <c r="D764" t="s">
        <v>337</v>
      </c>
      <c r="F764">
        <v>4</v>
      </c>
      <c r="G764">
        <v>3</v>
      </c>
      <c r="H764">
        <v>7</v>
      </c>
      <c r="I764">
        <v>51</v>
      </c>
      <c r="K764" s="124">
        <v>45571</v>
      </c>
      <c r="L764">
        <v>280</v>
      </c>
      <c r="M764">
        <v>97</v>
      </c>
    </row>
    <row r="765" spans="1:13" x14ac:dyDescent="0.35">
      <c r="A765" t="s">
        <v>24</v>
      </c>
      <c r="D765" t="s">
        <v>337</v>
      </c>
      <c r="F765">
        <v>4</v>
      </c>
      <c r="G765">
        <v>3</v>
      </c>
      <c r="H765">
        <v>7</v>
      </c>
      <c r="I765">
        <v>51</v>
      </c>
      <c r="K765" s="124">
        <v>45576</v>
      </c>
      <c r="L765">
        <v>285</v>
      </c>
      <c r="M765">
        <v>96</v>
      </c>
    </row>
    <row r="766" spans="1:13" x14ac:dyDescent="0.35">
      <c r="A766" t="s">
        <v>24</v>
      </c>
      <c r="D766" t="s">
        <v>337</v>
      </c>
      <c r="F766">
        <v>4</v>
      </c>
      <c r="G766">
        <v>3</v>
      </c>
      <c r="H766">
        <v>7</v>
      </c>
      <c r="I766">
        <v>51</v>
      </c>
      <c r="K766" s="124">
        <v>45590</v>
      </c>
      <c r="L766">
        <v>299</v>
      </c>
      <c r="M766">
        <v>94</v>
      </c>
    </row>
    <row r="767" spans="1:13" x14ac:dyDescent="0.35">
      <c r="A767" t="s">
        <v>24</v>
      </c>
      <c r="D767" t="s">
        <v>27</v>
      </c>
      <c r="F767">
        <v>4</v>
      </c>
      <c r="G767">
        <v>4</v>
      </c>
      <c r="H767">
        <v>7</v>
      </c>
      <c r="I767">
        <v>52</v>
      </c>
      <c r="K767" s="124">
        <v>45421</v>
      </c>
      <c r="L767">
        <v>130</v>
      </c>
      <c r="M767">
        <v>16</v>
      </c>
    </row>
    <row r="768" spans="1:13" x14ac:dyDescent="0.35">
      <c r="A768" t="s">
        <v>24</v>
      </c>
      <c r="D768" t="s">
        <v>27</v>
      </c>
      <c r="F768">
        <v>4</v>
      </c>
      <c r="G768">
        <v>4</v>
      </c>
      <c r="H768">
        <v>7</v>
      </c>
      <c r="I768">
        <v>52</v>
      </c>
      <c r="K768" s="124">
        <v>45442</v>
      </c>
      <c r="L768">
        <v>151</v>
      </c>
      <c r="M768">
        <v>17</v>
      </c>
    </row>
    <row r="769" spans="1:13" x14ac:dyDescent="0.35">
      <c r="A769" t="s">
        <v>24</v>
      </c>
      <c r="D769" t="s">
        <v>27</v>
      </c>
      <c r="F769">
        <v>4</v>
      </c>
      <c r="G769">
        <v>4</v>
      </c>
      <c r="H769">
        <v>7</v>
      </c>
      <c r="I769">
        <v>52</v>
      </c>
      <c r="K769" s="124">
        <v>45461</v>
      </c>
      <c r="L769">
        <v>170</v>
      </c>
      <c r="M769">
        <v>30</v>
      </c>
    </row>
    <row r="770" spans="1:13" x14ac:dyDescent="0.35">
      <c r="A770" t="s">
        <v>24</v>
      </c>
      <c r="D770" t="s">
        <v>27</v>
      </c>
      <c r="F770">
        <v>4</v>
      </c>
      <c r="G770">
        <v>4</v>
      </c>
      <c r="H770">
        <v>7</v>
      </c>
      <c r="I770">
        <v>52</v>
      </c>
      <c r="K770" s="124">
        <v>45477</v>
      </c>
      <c r="L770">
        <v>186</v>
      </c>
      <c r="M770">
        <v>37</v>
      </c>
    </row>
    <row r="771" spans="1:13" x14ac:dyDescent="0.35">
      <c r="A771" t="s">
        <v>24</v>
      </c>
      <c r="D771" t="s">
        <v>27</v>
      </c>
      <c r="F771">
        <v>4</v>
      </c>
      <c r="G771">
        <v>4</v>
      </c>
      <c r="H771">
        <v>7</v>
      </c>
      <c r="I771">
        <v>52</v>
      </c>
      <c r="K771" s="124">
        <v>45491</v>
      </c>
      <c r="L771">
        <v>200</v>
      </c>
      <c r="M771">
        <v>45</v>
      </c>
    </row>
    <row r="772" spans="1:13" x14ac:dyDescent="0.35">
      <c r="A772" t="s">
        <v>24</v>
      </c>
      <c r="D772" t="s">
        <v>27</v>
      </c>
      <c r="F772">
        <v>4</v>
      </c>
      <c r="G772">
        <v>4</v>
      </c>
      <c r="H772">
        <v>7</v>
      </c>
      <c r="I772">
        <v>52</v>
      </c>
      <c r="K772" s="124">
        <v>45510</v>
      </c>
      <c r="L772">
        <v>219</v>
      </c>
      <c r="M772">
        <v>46</v>
      </c>
    </row>
    <row r="773" spans="1:13" x14ac:dyDescent="0.35">
      <c r="A773" t="s">
        <v>24</v>
      </c>
      <c r="D773" t="s">
        <v>27</v>
      </c>
      <c r="F773">
        <v>4</v>
      </c>
      <c r="G773">
        <v>4</v>
      </c>
      <c r="H773">
        <v>7</v>
      </c>
      <c r="I773">
        <v>52</v>
      </c>
      <c r="K773" s="124">
        <v>45530</v>
      </c>
      <c r="L773">
        <v>239</v>
      </c>
      <c r="M773">
        <v>60</v>
      </c>
    </row>
    <row r="774" spans="1:13" x14ac:dyDescent="0.35">
      <c r="A774" t="s">
        <v>24</v>
      </c>
      <c r="D774" t="s">
        <v>27</v>
      </c>
      <c r="F774">
        <v>4</v>
      </c>
      <c r="G774">
        <v>4</v>
      </c>
      <c r="H774">
        <v>7</v>
      </c>
      <c r="I774">
        <v>52</v>
      </c>
      <c r="K774" s="124">
        <v>45538</v>
      </c>
      <c r="L774">
        <v>247</v>
      </c>
      <c r="M774">
        <v>63</v>
      </c>
    </row>
    <row r="775" spans="1:13" x14ac:dyDescent="0.35">
      <c r="A775" t="s">
        <v>24</v>
      </c>
      <c r="D775" t="s">
        <v>27</v>
      </c>
      <c r="F775">
        <v>4</v>
      </c>
      <c r="G775">
        <v>4</v>
      </c>
      <c r="H775">
        <v>7</v>
      </c>
      <c r="I775">
        <v>52</v>
      </c>
      <c r="K775" s="124">
        <v>45547</v>
      </c>
      <c r="L775">
        <v>256</v>
      </c>
      <c r="M775">
        <v>73</v>
      </c>
    </row>
    <row r="776" spans="1:13" x14ac:dyDescent="0.35">
      <c r="A776" t="s">
        <v>24</v>
      </c>
      <c r="D776" t="s">
        <v>27</v>
      </c>
      <c r="F776">
        <v>4</v>
      </c>
      <c r="G776">
        <v>4</v>
      </c>
      <c r="H776">
        <v>7</v>
      </c>
      <c r="I776">
        <v>52</v>
      </c>
      <c r="K776" s="124">
        <v>45553</v>
      </c>
      <c r="L776">
        <v>262</v>
      </c>
      <c r="M776">
        <v>75</v>
      </c>
    </row>
    <row r="777" spans="1:13" x14ac:dyDescent="0.35">
      <c r="A777" t="s">
        <v>24</v>
      </c>
      <c r="D777" t="s">
        <v>27</v>
      </c>
      <c r="F777">
        <v>4</v>
      </c>
      <c r="G777">
        <v>4</v>
      </c>
      <c r="H777">
        <v>7</v>
      </c>
      <c r="I777">
        <v>52</v>
      </c>
      <c r="K777" s="124">
        <v>45558</v>
      </c>
      <c r="L777">
        <v>267</v>
      </c>
      <c r="M777">
        <v>80</v>
      </c>
    </row>
    <row r="778" spans="1:13" x14ac:dyDescent="0.35">
      <c r="A778" t="s">
        <v>24</v>
      </c>
      <c r="D778" t="s">
        <v>27</v>
      </c>
      <c r="F778">
        <v>4</v>
      </c>
      <c r="G778">
        <v>4</v>
      </c>
      <c r="H778">
        <v>7</v>
      </c>
      <c r="I778">
        <v>52</v>
      </c>
      <c r="K778" s="124">
        <v>45562</v>
      </c>
      <c r="L778">
        <v>271</v>
      </c>
      <c r="M778">
        <v>82</v>
      </c>
    </row>
    <row r="779" spans="1:13" x14ac:dyDescent="0.35">
      <c r="A779" t="s">
        <v>24</v>
      </c>
      <c r="D779" t="s">
        <v>27</v>
      </c>
      <c r="F779">
        <v>4</v>
      </c>
      <c r="G779">
        <v>4</v>
      </c>
      <c r="H779">
        <v>7</v>
      </c>
      <c r="I779">
        <v>52</v>
      </c>
      <c r="K779" s="124">
        <v>45571</v>
      </c>
      <c r="L779">
        <v>280</v>
      </c>
      <c r="M779">
        <v>99</v>
      </c>
    </row>
    <row r="780" spans="1:13" x14ac:dyDescent="0.35">
      <c r="A780" t="s">
        <v>24</v>
      </c>
      <c r="D780" t="s">
        <v>27</v>
      </c>
      <c r="F780">
        <v>4</v>
      </c>
      <c r="G780">
        <v>4</v>
      </c>
      <c r="H780">
        <v>7</v>
      </c>
      <c r="I780">
        <v>52</v>
      </c>
      <c r="K780" s="124">
        <v>45576</v>
      </c>
      <c r="L780">
        <v>285</v>
      </c>
      <c r="M780">
        <v>100</v>
      </c>
    </row>
    <row r="781" spans="1:13" x14ac:dyDescent="0.35">
      <c r="A781" t="s">
        <v>24</v>
      </c>
      <c r="D781" t="s">
        <v>27</v>
      </c>
      <c r="F781">
        <v>4</v>
      </c>
      <c r="G781">
        <v>4</v>
      </c>
      <c r="H781">
        <v>7</v>
      </c>
      <c r="I781">
        <v>52</v>
      </c>
      <c r="K781" s="124">
        <v>45590</v>
      </c>
      <c r="L781">
        <v>299</v>
      </c>
      <c r="M781">
        <v>102</v>
      </c>
    </row>
    <row r="782" spans="1:13" x14ac:dyDescent="0.35">
      <c r="A782" t="s">
        <v>24</v>
      </c>
      <c r="D782" t="s">
        <v>28</v>
      </c>
      <c r="F782">
        <v>4</v>
      </c>
      <c r="G782">
        <v>5</v>
      </c>
      <c r="H782">
        <v>7</v>
      </c>
      <c r="I782">
        <v>53</v>
      </c>
      <c r="K782" s="124">
        <v>45421</v>
      </c>
      <c r="L782">
        <v>130</v>
      </c>
      <c r="M782">
        <v>14</v>
      </c>
    </row>
    <row r="783" spans="1:13" x14ac:dyDescent="0.35">
      <c r="A783" t="s">
        <v>24</v>
      </c>
      <c r="D783" t="s">
        <v>28</v>
      </c>
      <c r="F783">
        <v>4</v>
      </c>
      <c r="G783">
        <v>5</v>
      </c>
      <c r="H783">
        <v>7</v>
      </c>
      <c r="I783">
        <v>53</v>
      </c>
      <c r="K783" s="124">
        <v>45442</v>
      </c>
      <c r="L783">
        <v>151</v>
      </c>
      <c r="M783">
        <v>19</v>
      </c>
    </row>
    <row r="784" spans="1:13" x14ac:dyDescent="0.35">
      <c r="A784" t="s">
        <v>24</v>
      </c>
      <c r="D784" t="s">
        <v>28</v>
      </c>
      <c r="F784">
        <v>4</v>
      </c>
      <c r="G784">
        <v>5</v>
      </c>
      <c r="H784">
        <v>7</v>
      </c>
      <c r="I784">
        <v>53</v>
      </c>
      <c r="K784" s="124">
        <v>45461</v>
      </c>
      <c r="L784">
        <v>170</v>
      </c>
      <c r="M784">
        <v>31</v>
      </c>
    </row>
    <row r="785" spans="1:13" x14ac:dyDescent="0.35">
      <c r="A785" t="s">
        <v>24</v>
      </c>
      <c r="D785" t="s">
        <v>28</v>
      </c>
      <c r="F785">
        <v>4</v>
      </c>
      <c r="G785">
        <v>5</v>
      </c>
      <c r="H785">
        <v>7</v>
      </c>
      <c r="I785">
        <v>53</v>
      </c>
      <c r="K785" s="124">
        <v>45477</v>
      </c>
      <c r="L785">
        <v>186</v>
      </c>
      <c r="M785">
        <v>38</v>
      </c>
    </row>
    <row r="786" spans="1:13" x14ac:dyDescent="0.35">
      <c r="A786" t="s">
        <v>24</v>
      </c>
      <c r="D786" t="s">
        <v>28</v>
      </c>
      <c r="F786">
        <v>4</v>
      </c>
      <c r="G786">
        <v>5</v>
      </c>
      <c r="H786">
        <v>7</v>
      </c>
      <c r="I786">
        <v>53</v>
      </c>
      <c r="K786" s="124">
        <v>45491</v>
      </c>
      <c r="L786">
        <v>200</v>
      </c>
      <c r="M786">
        <v>41</v>
      </c>
    </row>
    <row r="787" spans="1:13" x14ac:dyDescent="0.35">
      <c r="A787" t="s">
        <v>24</v>
      </c>
      <c r="D787" t="s">
        <v>28</v>
      </c>
      <c r="F787">
        <v>4</v>
      </c>
      <c r="G787">
        <v>5</v>
      </c>
      <c r="H787">
        <v>7</v>
      </c>
      <c r="I787">
        <v>53</v>
      </c>
      <c r="K787" s="124">
        <v>45510</v>
      </c>
      <c r="L787">
        <v>219</v>
      </c>
      <c r="M787">
        <v>42</v>
      </c>
    </row>
    <row r="788" spans="1:13" x14ac:dyDescent="0.35">
      <c r="A788" t="s">
        <v>24</v>
      </c>
      <c r="D788" t="s">
        <v>28</v>
      </c>
      <c r="F788">
        <v>4</v>
      </c>
      <c r="G788">
        <v>5</v>
      </c>
      <c r="H788">
        <v>7</v>
      </c>
      <c r="I788">
        <v>53</v>
      </c>
      <c r="K788" s="124">
        <v>45530</v>
      </c>
      <c r="L788">
        <v>239</v>
      </c>
      <c r="M788">
        <v>60</v>
      </c>
    </row>
    <row r="789" spans="1:13" x14ac:dyDescent="0.35">
      <c r="A789" t="s">
        <v>24</v>
      </c>
      <c r="D789" t="s">
        <v>28</v>
      </c>
      <c r="F789">
        <v>4</v>
      </c>
      <c r="G789">
        <v>5</v>
      </c>
      <c r="H789">
        <v>7</v>
      </c>
      <c r="I789">
        <v>53</v>
      </c>
      <c r="K789" s="124">
        <v>45538</v>
      </c>
      <c r="L789">
        <v>247</v>
      </c>
      <c r="M789">
        <v>65</v>
      </c>
    </row>
    <row r="790" spans="1:13" x14ac:dyDescent="0.35">
      <c r="A790" t="s">
        <v>24</v>
      </c>
      <c r="D790" t="s">
        <v>28</v>
      </c>
      <c r="F790">
        <v>4</v>
      </c>
      <c r="G790">
        <v>5</v>
      </c>
      <c r="H790">
        <v>7</v>
      </c>
      <c r="I790">
        <v>53</v>
      </c>
      <c r="K790" s="124">
        <v>45547</v>
      </c>
      <c r="L790">
        <v>256</v>
      </c>
      <c r="M790">
        <v>73</v>
      </c>
    </row>
    <row r="791" spans="1:13" x14ac:dyDescent="0.35">
      <c r="A791" t="s">
        <v>24</v>
      </c>
      <c r="D791" t="s">
        <v>28</v>
      </c>
      <c r="F791">
        <v>4</v>
      </c>
      <c r="G791">
        <v>5</v>
      </c>
      <c r="H791">
        <v>7</v>
      </c>
      <c r="I791">
        <v>53</v>
      </c>
      <c r="K791" s="124">
        <v>45553</v>
      </c>
      <c r="L791">
        <v>262</v>
      </c>
      <c r="M791">
        <v>78</v>
      </c>
    </row>
    <row r="792" spans="1:13" x14ac:dyDescent="0.35">
      <c r="A792" t="s">
        <v>24</v>
      </c>
      <c r="D792" t="s">
        <v>28</v>
      </c>
      <c r="F792">
        <v>4</v>
      </c>
      <c r="G792">
        <v>5</v>
      </c>
      <c r="H792">
        <v>7</v>
      </c>
      <c r="I792">
        <v>53</v>
      </c>
      <c r="K792" s="124">
        <v>45558</v>
      </c>
      <c r="L792">
        <v>267</v>
      </c>
      <c r="M792">
        <v>83</v>
      </c>
    </row>
    <row r="793" spans="1:13" x14ac:dyDescent="0.35">
      <c r="A793" t="s">
        <v>24</v>
      </c>
      <c r="D793" t="s">
        <v>28</v>
      </c>
      <c r="F793">
        <v>4</v>
      </c>
      <c r="G793">
        <v>5</v>
      </c>
      <c r="H793">
        <v>7</v>
      </c>
      <c r="I793">
        <v>53</v>
      </c>
      <c r="K793" s="124">
        <v>45562</v>
      </c>
      <c r="L793">
        <v>271</v>
      </c>
      <c r="M793">
        <v>83</v>
      </c>
    </row>
    <row r="794" spans="1:13" x14ac:dyDescent="0.35">
      <c r="A794" t="s">
        <v>24</v>
      </c>
      <c r="D794" t="s">
        <v>28</v>
      </c>
      <c r="F794">
        <v>4</v>
      </c>
      <c r="G794">
        <v>5</v>
      </c>
      <c r="H794">
        <v>7</v>
      </c>
      <c r="I794">
        <v>53</v>
      </c>
      <c r="K794" s="124">
        <v>45571</v>
      </c>
      <c r="L794">
        <v>280</v>
      </c>
      <c r="M794">
        <v>100</v>
      </c>
    </row>
    <row r="795" spans="1:13" x14ac:dyDescent="0.35">
      <c r="A795" t="s">
        <v>24</v>
      </c>
      <c r="D795" t="s">
        <v>28</v>
      </c>
      <c r="F795">
        <v>4</v>
      </c>
      <c r="G795">
        <v>5</v>
      </c>
      <c r="H795">
        <v>7</v>
      </c>
      <c r="I795">
        <v>53</v>
      </c>
      <c r="K795" s="124">
        <v>45576</v>
      </c>
      <c r="L795">
        <v>285</v>
      </c>
      <c r="M795">
        <v>100</v>
      </c>
    </row>
    <row r="796" spans="1:13" x14ac:dyDescent="0.35">
      <c r="A796" t="s">
        <v>24</v>
      </c>
      <c r="D796" t="s">
        <v>28</v>
      </c>
      <c r="F796">
        <v>4</v>
      </c>
      <c r="G796">
        <v>5</v>
      </c>
      <c r="H796">
        <v>7</v>
      </c>
      <c r="I796">
        <v>53</v>
      </c>
      <c r="K796" s="124">
        <v>45590</v>
      </c>
      <c r="L796">
        <v>299</v>
      </c>
      <c r="M796">
        <v>98</v>
      </c>
    </row>
    <row r="797" spans="1:13" x14ac:dyDescent="0.35">
      <c r="A797" t="s">
        <v>24</v>
      </c>
      <c r="D797" t="s">
        <v>26</v>
      </c>
      <c r="F797">
        <v>4</v>
      </c>
      <c r="G797">
        <v>6</v>
      </c>
      <c r="H797">
        <v>7</v>
      </c>
      <c r="I797">
        <v>54</v>
      </c>
      <c r="K797" s="124">
        <v>45421</v>
      </c>
      <c r="L797">
        <v>130</v>
      </c>
      <c r="M797">
        <v>16</v>
      </c>
    </row>
    <row r="798" spans="1:13" x14ac:dyDescent="0.35">
      <c r="A798" t="s">
        <v>24</v>
      </c>
      <c r="D798" t="s">
        <v>26</v>
      </c>
      <c r="F798">
        <v>4</v>
      </c>
      <c r="G798">
        <v>6</v>
      </c>
      <c r="H798">
        <v>7</v>
      </c>
      <c r="I798">
        <v>54</v>
      </c>
      <c r="K798" s="124">
        <v>45442</v>
      </c>
      <c r="L798">
        <v>151</v>
      </c>
      <c r="M798">
        <v>18</v>
      </c>
    </row>
    <row r="799" spans="1:13" x14ac:dyDescent="0.35">
      <c r="A799" t="s">
        <v>24</v>
      </c>
      <c r="D799" t="s">
        <v>26</v>
      </c>
      <c r="F799">
        <v>4</v>
      </c>
      <c r="G799">
        <v>6</v>
      </c>
      <c r="H799">
        <v>7</v>
      </c>
      <c r="I799">
        <v>54</v>
      </c>
      <c r="K799" s="124">
        <v>45461</v>
      </c>
      <c r="L799">
        <v>170</v>
      </c>
      <c r="M799">
        <v>30</v>
      </c>
    </row>
    <row r="800" spans="1:13" x14ac:dyDescent="0.35">
      <c r="A800" t="s">
        <v>24</v>
      </c>
      <c r="D800" t="s">
        <v>26</v>
      </c>
      <c r="F800">
        <v>4</v>
      </c>
      <c r="G800">
        <v>6</v>
      </c>
      <c r="H800">
        <v>7</v>
      </c>
      <c r="I800">
        <v>54</v>
      </c>
      <c r="K800" s="124">
        <v>45477</v>
      </c>
      <c r="L800">
        <v>186</v>
      </c>
      <c r="M800">
        <v>38</v>
      </c>
    </row>
    <row r="801" spans="1:13" x14ac:dyDescent="0.35">
      <c r="A801" t="s">
        <v>24</v>
      </c>
      <c r="D801" t="s">
        <v>26</v>
      </c>
      <c r="F801">
        <v>4</v>
      </c>
      <c r="G801">
        <v>6</v>
      </c>
      <c r="H801">
        <v>7</v>
      </c>
      <c r="I801">
        <v>54</v>
      </c>
      <c r="K801" s="124">
        <v>45491</v>
      </c>
      <c r="L801">
        <v>200</v>
      </c>
      <c r="M801">
        <v>39</v>
      </c>
    </row>
    <row r="802" spans="1:13" x14ac:dyDescent="0.35">
      <c r="A802" t="s">
        <v>24</v>
      </c>
      <c r="D802" t="s">
        <v>26</v>
      </c>
      <c r="F802">
        <v>4</v>
      </c>
      <c r="G802">
        <v>6</v>
      </c>
      <c r="H802">
        <v>7</v>
      </c>
      <c r="I802">
        <v>54</v>
      </c>
      <c r="K802" s="124">
        <v>45510</v>
      </c>
      <c r="L802">
        <v>219</v>
      </c>
      <c r="M802">
        <v>43</v>
      </c>
    </row>
    <row r="803" spans="1:13" x14ac:dyDescent="0.35">
      <c r="A803" t="s">
        <v>24</v>
      </c>
      <c r="D803" t="s">
        <v>26</v>
      </c>
      <c r="F803">
        <v>4</v>
      </c>
      <c r="G803">
        <v>6</v>
      </c>
      <c r="H803">
        <v>7</v>
      </c>
      <c r="I803">
        <v>54</v>
      </c>
      <c r="K803" s="124">
        <v>45530</v>
      </c>
      <c r="L803">
        <v>239</v>
      </c>
      <c r="M803">
        <v>59</v>
      </c>
    </row>
    <row r="804" spans="1:13" x14ac:dyDescent="0.35">
      <c r="A804" t="s">
        <v>24</v>
      </c>
      <c r="D804" t="s">
        <v>26</v>
      </c>
      <c r="F804">
        <v>4</v>
      </c>
      <c r="G804">
        <v>6</v>
      </c>
      <c r="H804">
        <v>7</v>
      </c>
      <c r="I804">
        <v>54</v>
      </c>
      <c r="K804" s="124">
        <v>45538</v>
      </c>
      <c r="L804">
        <v>247</v>
      </c>
      <c r="M804">
        <v>66</v>
      </c>
    </row>
    <row r="805" spans="1:13" x14ac:dyDescent="0.35">
      <c r="A805" t="s">
        <v>24</v>
      </c>
      <c r="D805" t="s">
        <v>26</v>
      </c>
      <c r="F805">
        <v>4</v>
      </c>
      <c r="G805">
        <v>6</v>
      </c>
      <c r="H805">
        <v>7</v>
      </c>
      <c r="I805">
        <v>54</v>
      </c>
      <c r="K805" s="124">
        <v>45547</v>
      </c>
      <c r="L805">
        <v>256</v>
      </c>
      <c r="M805">
        <v>79</v>
      </c>
    </row>
    <row r="806" spans="1:13" x14ac:dyDescent="0.35">
      <c r="A806" t="s">
        <v>24</v>
      </c>
      <c r="D806" t="s">
        <v>26</v>
      </c>
      <c r="F806">
        <v>4</v>
      </c>
      <c r="G806">
        <v>6</v>
      </c>
      <c r="H806">
        <v>7</v>
      </c>
      <c r="I806">
        <v>54</v>
      </c>
      <c r="K806" s="124">
        <v>45553</v>
      </c>
      <c r="L806">
        <v>262</v>
      </c>
      <c r="M806">
        <v>81</v>
      </c>
    </row>
    <row r="807" spans="1:13" x14ac:dyDescent="0.35">
      <c r="A807" t="s">
        <v>24</v>
      </c>
      <c r="D807" t="s">
        <v>26</v>
      </c>
      <c r="F807">
        <v>4</v>
      </c>
      <c r="G807">
        <v>6</v>
      </c>
      <c r="H807">
        <v>7</v>
      </c>
      <c r="I807">
        <v>54</v>
      </c>
      <c r="K807" s="124">
        <v>45558</v>
      </c>
      <c r="L807">
        <v>267</v>
      </c>
      <c r="M807">
        <v>85</v>
      </c>
    </row>
    <row r="808" spans="1:13" x14ac:dyDescent="0.35">
      <c r="A808" t="s">
        <v>24</v>
      </c>
      <c r="D808" t="s">
        <v>26</v>
      </c>
      <c r="F808">
        <v>4</v>
      </c>
      <c r="G808">
        <v>6</v>
      </c>
      <c r="H808">
        <v>7</v>
      </c>
      <c r="I808">
        <v>54</v>
      </c>
      <c r="K808" s="124">
        <v>45562</v>
      </c>
      <c r="L808">
        <v>271</v>
      </c>
      <c r="M808">
        <v>91</v>
      </c>
    </row>
    <row r="809" spans="1:13" x14ac:dyDescent="0.35">
      <c r="A809" t="s">
        <v>24</v>
      </c>
      <c r="D809" t="s">
        <v>26</v>
      </c>
      <c r="F809">
        <v>4</v>
      </c>
      <c r="G809">
        <v>6</v>
      </c>
      <c r="H809">
        <v>7</v>
      </c>
      <c r="I809">
        <v>54</v>
      </c>
      <c r="K809" s="124">
        <v>45571</v>
      </c>
      <c r="L809">
        <v>280</v>
      </c>
      <c r="M809">
        <v>104</v>
      </c>
    </row>
    <row r="810" spans="1:13" x14ac:dyDescent="0.35">
      <c r="A810" t="s">
        <v>24</v>
      </c>
      <c r="D810" t="s">
        <v>26</v>
      </c>
      <c r="F810">
        <v>4</v>
      </c>
      <c r="G810">
        <v>6</v>
      </c>
      <c r="H810">
        <v>7</v>
      </c>
      <c r="I810">
        <v>54</v>
      </c>
      <c r="K810" s="124">
        <v>45576</v>
      </c>
      <c r="L810">
        <v>285</v>
      </c>
      <c r="M810">
        <v>105</v>
      </c>
    </row>
    <row r="811" spans="1:13" x14ac:dyDescent="0.35">
      <c r="A811" t="s">
        <v>24</v>
      </c>
      <c r="D811" t="s">
        <v>26</v>
      </c>
      <c r="F811">
        <v>4</v>
      </c>
      <c r="G811">
        <v>6</v>
      </c>
      <c r="H811">
        <v>7</v>
      </c>
      <c r="I811">
        <v>54</v>
      </c>
      <c r="K811" s="124">
        <v>45590</v>
      </c>
      <c r="L811">
        <v>299</v>
      </c>
      <c r="M811">
        <v>105</v>
      </c>
    </row>
    <row r="812" spans="1:13" x14ac:dyDescent="0.35">
      <c r="A812" t="s">
        <v>24</v>
      </c>
      <c r="D812" t="s">
        <v>335</v>
      </c>
      <c r="F812">
        <v>4</v>
      </c>
      <c r="G812">
        <v>7</v>
      </c>
      <c r="H812">
        <v>7</v>
      </c>
      <c r="I812">
        <v>55</v>
      </c>
      <c r="K812" s="124">
        <v>45421</v>
      </c>
      <c r="L812">
        <v>130</v>
      </c>
      <c r="M812">
        <v>15</v>
      </c>
    </row>
    <row r="813" spans="1:13" x14ac:dyDescent="0.35">
      <c r="A813" t="s">
        <v>24</v>
      </c>
      <c r="D813" t="s">
        <v>335</v>
      </c>
      <c r="F813">
        <v>4</v>
      </c>
      <c r="G813">
        <v>7</v>
      </c>
      <c r="H813">
        <v>7</v>
      </c>
      <c r="I813">
        <v>55</v>
      </c>
      <c r="K813" s="124">
        <v>45442</v>
      </c>
      <c r="L813">
        <v>151</v>
      </c>
      <c r="M813">
        <v>16</v>
      </c>
    </row>
    <row r="814" spans="1:13" x14ac:dyDescent="0.35">
      <c r="A814" t="s">
        <v>24</v>
      </c>
      <c r="D814" t="s">
        <v>335</v>
      </c>
      <c r="F814">
        <v>4</v>
      </c>
      <c r="G814">
        <v>7</v>
      </c>
      <c r="H814">
        <v>7</v>
      </c>
      <c r="I814">
        <v>55</v>
      </c>
      <c r="K814" s="124">
        <v>45461</v>
      </c>
      <c r="L814">
        <v>170</v>
      </c>
      <c r="M814">
        <v>28</v>
      </c>
    </row>
    <row r="815" spans="1:13" x14ac:dyDescent="0.35">
      <c r="A815" t="s">
        <v>24</v>
      </c>
      <c r="D815" t="s">
        <v>335</v>
      </c>
      <c r="F815">
        <v>4</v>
      </c>
      <c r="G815">
        <v>7</v>
      </c>
      <c r="H815">
        <v>7</v>
      </c>
      <c r="I815">
        <v>55</v>
      </c>
      <c r="K815" s="124">
        <v>45477</v>
      </c>
      <c r="L815">
        <v>186</v>
      </c>
      <c r="M815">
        <v>33</v>
      </c>
    </row>
    <row r="816" spans="1:13" x14ac:dyDescent="0.35">
      <c r="A816" t="s">
        <v>24</v>
      </c>
      <c r="D816" t="s">
        <v>335</v>
      </c>
      <c r="F816">
        <v>4</v>
      </c>
      <c r="G816">
        <v>7</v>
      </c>
      <c r="H816">
        <v>7</v>
      </c>
      <c r="I816">
        <v>55</v>
      </c>
      <c r="K816" s="124">
        <v>45491</v>
      </c>
      <c r="L816">
        <v>200</v>
      </c>
      <c r="M816">
        <v>38</v>
      </c>
    </row>
    <row r="817" spans="1:13" x14ac:dyDescent="0.35">
      <c r="A817" t="s">
        <v>24</v>
      </c>
      <c r="D817" t="s">
        <v>335</v>
      </c>
      <c r="F817">
        <v>4</v>
      </c>
      <c r="G817">
        <v>7</v>
      </c>
      <c r="H817">
        <v>7</v>
      </c>
      <c r="I817">
        <v>55</v>
      </c>
      <c r="K817" s="124">
        <v>45510</v>
      </c>
      <c r="L817">
        <v>219</v>
      </c>
      <c r="M817">
        <v>45</v>
      </c>
    </row>
    <row r="818" spans="1:13" x14ac:dyDescent="0.35">
      <c r="A818" t="s">
        <v>24</v>
      </c>
      <c r="D818" t="s">
        <v>335</v>
      </c>
      <c r="F818">
        <v>4</v>
      </c>
      <c r="G818">
        <v>7</v>
      </c>
      <c r="H818">
        <v>7</v>
      </c>
      <c r="I818">
        <v>55</v>
      </c>
      <c r="K818" s="124">
        <v>45530</v>
      </c>
      <c r="L818">
        <v>239</v>
      </c>
      <c r="M818">
        <v>60</v>
      </c>
    </row>
    <row r="819" spans="1:13" x14ac:dyDescent="0.35">
      <c r="A819" t="s">
        <v>24</v>
      </c>
      <c r="D819" t="s">
        <v>335</v>
      </c>
      <c r="F819">
        <v>4</v>
      </c>
      <c r="G819">
        <v>7</v>
      </c>
      <c r="H819">
        <v>7</v>
      </c>
      <c r="I819">
        <v>55</v>
      </c>
      <c r="K819" s="124">
        <v>45538</v>
      </c>
      <c r="L819">
        <v>247</v>
      </c>
      <c r="M819">
        <v>64</v>
      </c>
    </row>
    <row r="820" spans="1:13" x14ac:dyDescent="0.35">
      <c r="A820" t="s">
        <v>24</v>
      </c>
      <c r="D820" t="s">
        <v>335</v>
      </c>
      <c r="F820">
        <v>4</v>
      </c>
      <c r="G820">
        <v>7</v>
      </c>
      <c r="H820">
        <v>7</v>
      </c>
      <c r="I820">
        <v>55</v>
      </c>
      <c r="K820" s="124">
        <v>45547</v>
      </c>
      <c r="L820">
        <v>256</v>
      </c>
      <c r="M820">
        <v>75</v>
      </c>
    </row>
    <row r="821" spans="1:13" x14ac:dyDescent="0.35">
      <c r="A821" t="s">
        <v>24</v>
      </c>
      <c r="D821" t="s">
        <v>335</v>
      </c>
      <c r="F821">
        <v>4</v>
      </c>
      <c r="G821">
        <v>7</v>
      </c>
      <c r="H821">
        <v>7</v>
      </c>
      <c r="I821">
        <v>55</v>
      </c>
      <c r="K821" s="124">
        <v>45553</v>
      </c>
      <c r="L821">
        <v>262</v>
      </c>
      <c r="M821">
        <v>76</v>
      </c>
    </row>
    <row r="822" spans="1:13" x14ac:dyDescent="0.35">
      <c r="A822" t="s">
        <v>24</v>
      </c>
      <c r="D822" t="s">
        <v>335</v>
      </c>
      <c r="F822">
        <v>4</v>
      </c>
      <c r="G822">
        <v>7</v>
      </c>
      <c r="H822">
        <v>7</v>
      </c>
      <c r="I822">
        <v>55</v>
      </c>
      <c r="K822" s="124">
        <v>45558</v>
      </c>
      <c r="L822">
        <v>267</v>
      </c>
      <c r="M822">
        <v>76</v>
      </c>
    </row>
    <row r="823" spans="1:13" x14ac:dyDescent="0.35">
      <c r="A823" t="s">
        <v>24</v>
      </c>
      <c r="D823" t="s">
        <v>335</v>
      </c>
      <c r="F823">
        <v>4</v>
      </c>
      <c r="G823">
        <v>7</v>
      </c>
      <c r="H823">
        <v>7</v>
      </c>
      <c r="I823">
        <v>55</v>
      </c>
      <c r="K823" s="124">
        <v>45562</v>
      </c>
      <c r="L823">
        <v>271</v>
      </c>
      <c r="M823">
        <v>79</v>
      </c>
    </row>
    <row r="824" spans="1:13" x14ac:dyDescent="0.35">
      <c r="A824" t="s">
        <v>24</v>
      </c>
      <c r="D824" t="s">
        <v>335</v>
      </c>
      <c r="F824">
        <v>4</v>
      </c>
      <c r="G824">
        <v>7</v>
      </c>
      <c r="H824">
        <v>7</v>
      </c>
      <c r="I824">
        <v>55</v>
      </c>
      <c r="K824" s="124">
        <v>45571</v>
      </c>
      <c r="L824">
        <v>280</v>
      </c>
      <c r="M824">
        <v>92</v>
      </c>
    </row>
    <row r="825" spans="1:13" x14ac:dyDescent="0.35">
      <c r="A825" t="s">
        <v>24</v>
      </c>
      <c r="D825" t="s">
        <v>335</v>
      </c>
      <c r="F825">
        <v>4</v>
      </c>
      <c r="G825">
        <v>7</v>
      </c>
      <c r="H825">
        <v>7</v>
      </c>
      <c r="I825">
        <v>55</v>
      </c>
      <c r="K825" s="124">
        <v>45576</v>
      </c>
      <c r="L825">
        <v>285</v>
      </c>
      <c r="M825">
        <v>92</v>
      </c>
    </row>
    <row r="826" spans="1:13" x14ac:dyDescent="0.35">
      <c r="A826" t="s">
        <v>24</v>
      </c>
      <c r="D826" t="s">
        <v>335</v>
      </c>
      <c r="F826">
        <v>4</v>
      </c>
      <c r="G826">
        <v>7</v>
      </c>
      <c r="H826">
        <v>7</v>
      </c>
      <c r="I826">
        <v>55</v>
      </c>
      <c r="K826" s="124">
        <v>45590</v>
      </c>
      <c r="L826">
        <v>299</v>
      </c>
      <c r="M826">
        <v>93</v>
      </c>
    </row>
    <row r="827" spans="1:13" x14ac:dyDescent="0.35">
      <c r="A827" t="s">
        <v>24</v>
      </c>
      <c r="D827" t="s">
        <v>336</v>
      </c>
      <c r="F827">
        <v>4</v>
      </c>
      <c r="G827">
        <v>8</v>
      </c>
      <c r="H827">
        <v>7</v>
      </c>
      <c r="I827">
        <v>56</v>
      </c>
      <c r="K827" s="124">
        <v>45421</v>
      </c>
      <c r="L827">
        <v>130</v>
      </c>
      <c r="M827">
        <v>15</v>
      </c>
    </row>
    <row r="828" spans="1:13" x14ac:dyDescent="0.35">
      <c r="A828" t="s">
        <v>24</v>
      </c>
      <c r="D828" t="s">
        <v>336</v>
      </c>
      <c r="F828">
        <v>4</v>
      </c>
      <c r="G828">
        <v>8</v>
      </c>
      <c r="H828">
        <v>7</v>
      </c>
      <c r="I828">
        <v>56</v>
      </c>
      <c r="K828" s="124">
        <v>45442</v>
      </c>
      <c r="L828">
        <v>151</v>
      </c>
      <c r="M828">
        <v>18</v>
      </c>
    </row>
    <row r="829" spans="1:13" x14ac:dyDescent="0.35">
      <c r="A829" t="s">
        <v>24</v>
      </c>
      <c r="D829" t="s">
        <v>336</v>
      </c>
      <c r="F829">
        <v>4</v>
      </c>
      <c r="G829">
        <v>8</v>
      </c>
      <c r="H829">
        <v>7</v>
      </c>
      <c r="I829">
        <v>56</v>
      </c>
      <c r="K829" s="124">
        <v>45461</v>
      </c>
      <c r="L829">
        <v>170</v>
      </c>
      <c r="M829">
        <v>29</v>
      </c>
    </row>
    <row r="830" spans="1:13" x14ac:dyDescent="0.35">
      <c r="A830" t="s">
        <v>24</v>
      </c>
      <c r="D830" t="s">
        <v>336</v>
      </c>
      <c r="F830">
        <v>4</v>
      </c>
      <c r="G830">
        <v>8</v>
      </c>
      <c r="H830">
        <v>7</v>
      </c>
      <c r="I830">
        <v>56</v>
      </c>
      <c r="K830" s="124">
        <v>45477</v>
      </c>
      <c r="L830">
        <v>186</v>
      </c>
      <c r="M830">
        <v>38</v>
      </c>
    </row>
    <row r="831" spans="1:13" x14ac:dyDescent="0.35">
      <c r="A831" t="s">
        <v>24</v>
      </c>
      <c r="D831" t="s">
        <v>336</v>
      </c>
      <c r="F831">
        <v>4</v>
      </c>
      <c r="G831">
        <v>8</v>
      </c>
      <c r="H831">
        <v>7</v>
      </c>
      <c r="I831">
        <v>56</v>
      </c>
      <c r="K831" s="124">
        <v>45491</v>
      </c>
      <c r="L831">
        <v>200</v>
      </c>
      <c r="M831">
        <v>44</v>
      </c>
    </row>
    <row r="832" spans="1:13" x14ac:dyDescent="0.35">
      <c r="A832" t="s">
        <v>24</v>
      </c>
      <c r="D832" t="s">
        <v>336</v>
      </c>
      <c r="F832">
        <v>4</v>
      </c>
      <c r="G832">
        <v>8</v>
      </c>
      <c r="H832">
        <v>7</v>
      </c>
      <c r="I832">
        <v>56</v>
      </c>
      <c r="K832" s="124">
        <v>45510</v>
      </c>
      <c r="L832">
        <v>219</v>
      </c>
      <c r="M832">
        <v>43</v>
      </c>
    </row>
    <row r="833" spans="1:13" x14ac:dyDescent="0.35">
      <c r="A833" t="s">
        <v>24</v>
      </c>
      <c r="D833" t="s">
        <v>336</v>
      </c>
      <c r="F833">
        <v>4</v>
      </c>
      <c r="G833">
        <v>8</v>
      </c>
      <c r="H833">
        <v>7</v>
      </c>
      <c r="I833">
        <v>56</v>
      </c>
      <c r="K833" s="124">
        <v>45530</v>
      </c>
      <c r="L833">
        <v>239</v>
      </c>
      <c r="M833">
        <v>58</v>
      </c>
    </row>
    <row r="834" spans="1:13" x14ac:dyDescent="0.35">
      <c r="A834" t="s">
        <v>24</v>
      </c>
      <c r="D834" t="s">
        <v>336</v>
      </c>
      <c r="F834">
        <v>4</v>
      </c>
      <c r="G834">
        <v>8</v>
      </c>
      <c r="H834">
        <v>7</v>
      </c>
      <c r="I834">
        <v>56</v>
      </c>
      <c r="K834" s="124">
        <v>45538</v>
      </c>
      <c r="L834">
        <v>247</v>
      </c>
      <c r="M834">
        <v>61</v>
      </c>
    </row>
    <row r="835" spans="1:13" x14ac:dyDescent="0.35">
      <c r="A835" t="s">
        <v>24</v>
      </c>
      <c r="D835" t="s">
        <v>336</v>
      </c>
      <c r="F835">
        <v>4</v>
      </c>
      <c r="G835">
        <v>8</v>
      </c>
      <c r="H835">
        <v>7</v>
      </c>
      <c r="I835">
        <v>56</v>
      </c>
      <c r="K835" s="124">
        <v>45547</v>
      </c>
      <c r="L835">
        <v>256</v>
      </c>
      <c r="M835">
        <v>71</v>
      </c>
    </row>
    <row r="836" spans="1:13" x14ac:dyDescent="0.35">
      <c r="A836" t="s">
        <v>24</v>
      </c>
      <c r="D836" t="s">
        <v>336</v>
      </c>
      <c r="F836">
        <v>4</v>
      </c>
      <c r="G836">
        <v>8</v>
      </c>
      <c r="H836">
        <v>7</v>
      </c>
      <c r="I836">
        <v>56</v>
      </c>
      <c r="K836" s="124">
        <v>45553</v>
      </c>
      <c r="L836">
        <v>262</v>
      </c>
      <c r="M836">
        <v>74</v>
      </c>
    </row>
    <row r="837" spans="1:13" x14ac:dyDescent="0.35">
      <c r="A837" t="s">
        <v>24</v>
      </c>
      <c r="D837" t="s">
        <v>336</v>
      </c>
      <c r="F837">
        <v>4</v>
      </c>
      <c r="G837">
        <v>8</v>
      </c>
      <c r="H837">
        <v>7</v>
      </c>
      <c r="I837">
        <v>56</v>
      </c>
      <c r="K837" s="124">
        <v>45558</v>
      </c>
      <c r="L837">
        <v>267</v>
      </c>
      <c r="M837">
        <v>74</v>
      </c>
    </row>
    <row r="838" spans="1:13" x14ac:dyDescent="0.35">
      <c r="A838" t="s">
        <v>24</v>
      </c>
      <c r="D838" t="s">
        <v>336</v>
      </c>
      <c r="F838">
        <v>4</v>
      </c>
      <c r="G838">
        <v>8</v>
      </c>
      <c r="H838">
        <v>7</v>
      </c>
      <c r="I838">
        <v>56</v>
      </c>
      <c r="K838" s="124">
        <v>45562</v>
      </c>
      <c r="L838">
        <v>271</v>
      </c>
      <c r="M838">
        <v>75</v>
      </c>
    </row>
    <row r="839" spans="1:13" x14ac:dyDescent="0.35">
      <c r="A839" t="s">
        <v>24</v>
      </c>
      <c r="D839" t="s">
        <v>336</v>
      </c>
      <c r="F839">
        <v>4</v>
      </c>
      <c r="G839">
        <v>8</v>
      </c>
      <c r="H839">
        <v>7</v>
      </c>
      <c r="I839">
        <v>56</v>
      </c>
      <c r="K839" s="124">
        <v>45571</v>
      </c>
      <c r="L839">
        <v>280</v>
      </c>
      <c r="M839">
        <v>91</v>
      </c>
    </row>
    <row r="840" spans="1:13" x14ac:dyDescent="0.35">
      <c r="A840" t="s">
        <v>24</v>
      </c>
      <c r="D840" t="s">
        <v>336</v>
      </c>
      <c r="F840">
        <v>4</v>
      </c>
      <c r="G840">
        <v>8</v>
      </c>
      <c r="H840">
        <v>7</v>
      </c>
      <c r="I840">
        <v>56</v>
      </c>
      <c r="K840" s="124">
        <v>45576</v>
      </c>
      <c r="L840">
        <v>285</v>
      </c>
      <c r="M840">
        <v>95</v>
      </c>
    </row>
    <row r="841" spans="1:13" x14ac:dyDescent="0.35">
      <c r="A841" t="s">
        <v>24</v>
      </c>
      <c r="D841" t="s">
        <v>336</v>
      </c>
      <c r="F841">
        <v>4</v>
      </c>
      <c r="G841">
        <v>8</v>
      </c>
      <c r="H841">
        <v>7</v>
      </c>
      <c r="I841">
        <v>56</v>
      </c>
      <c r="K841" s="124">
        <v>45590</v>
      </c>
      <c r="L841">
        <v>299</v>
      </c>
      <c r="M841">
        <v>96</v>
      </c>
    </row>
    <row r="842" spans="1:13" x14ac:dyDescent="0.35">
      <c r="A842" t="s">
        <v>34</v>
      </c>
      <c r="D842" t="s">
        <v>39</v>
      </c>
      <c r="F842">
        <v>4</v>
      </c>
      <c r="G842">
        <v>1</v>
      </c>
      <c r="H842">
        <v>8</v>
      </c>
      <c r="I842">
        <v>57</v>
      </c>
      <c r="K842" s="124">
        <v>45421</v>
      </c>
      <c r="L842">
        <v>130</v>
      </c>
    </row>
    <row r="843" spans="1:13" x14ac:dyDescent="0.35">
      <c r="A843" t="s">
        <v>34</v>
      </c>
      <c r="D843" t="s">
        <v>39</v>
      </c>
      <c r="F843">
        <v>4</v>
      </c>
      <c r="G843">
        <v>1</v>
      </c>
      <c r="H843">
        <v>8</v>
      </c>
      <c r="I843">
        <v>57</v>
      </c>
      <c r="K843" s="124">
        <v>45442</v>
      </c>
      <c r="L843">
        <v>151</v>
      </c>
      <c r="M843">
        <v>6</v>
      </c>
    </row>
    <row r="844" spans="1:13" x14ac:dyDescent="0.35">
      <c r="A844" t="s">
        <v>34</v>
      </c>
      <c r="D844" t="s">
        <v>39</v>
      </c>
      <c r="F844">
        <v>4</v>
      </c>
      <c r="G844">
        <v>1</v>
      </c>
      <c r="H844">
        <v>8</v>
      </c>
      <c r="I844">
        <v>57</v>
      </c>
      <c r="K844" s="124">
        <v>45461</v>
      </c>
      <c r="L844">
        <v>170</v>
      </c>
      <c r="M844">
        <v>12</v>
      </c>
    </row>
    <row r="845" spans="1:13" x14ac:dyDescent="0.35">
      <c r="A845" t="s">
        <v>34</v>
      </c>
      <c r="D845" t="s">
        <v>39</v>
      </c>
      <c r="F845">
        <v>4</v>
      </c>
      <c r="G845">
        <v>1</v>
      </c>
      <c r="H845">
        <v>8</v>
      </c>
      <c r="I845">
        <v>57</v>
      </c>
      <c r="K845" s="124">
        <v>45477</v>
      </c>
      <c r="L845">
        <v>186</v>
      </c>
      <c r="M845">
        <v>13</v>
      </c>
    </row>
    <row r="846" spans="1:13" x14ac:dyDescent="0.35">
      <c r="A846" t="s">
        <v>34</v>
      </c>
      <c r="D846" t="s">
        <v>39</v>
      </c>
      <c r="F846">
        <v>4</v>
      </c>
      <c r="G846">
        <v>1</v>
      </c>
      <c r="H846">
        <v>8</v>
      </c>
      <c r="I846">
        <v>57</v>
      </c>
      <c r="K846" s="124">
        <v>45491</v>
      </c>
      <c r="L846">
        <v>200</v>
      </c>
      <c r="M846">
        <v>22</v>
      </c>
    </row>
    <row r="847" spans="1:13" x14ac:dyDescent="0.35">
      <c r="A847" t="s">
        <v>34</v>
      </c>
      <c r="D847" t="s">
        <v>39</v>
      </c>
      <c r="F847">
        <v>4</v>
      </c>
      <c r="G847">
        <v>1</v>
      </c>
      <c r="H847">
        <v>8</v>
      </c>
      <c r="I847">
        <v>57</v>
      </c>
      <c r="K847" s="124">
        <v>45510</v>
      </c>
      <c r="L847">
        <v>219</v>
      </c>
      <c r="M847">
        <v>31</v>
      </c>
    </row>
    <row r="848" spans="1:13" x14ac:dyDescent="0.35">
      <c r="A848" t="s">
        <v>34</v>
      </c>
      <c r="D848" t="s">
        <v>39</v>
      </c>
      <c r="F848">
        <v>4</v>
      </c>
      <c r="G848">
        <v>1</v>
      </c>
      <c r="H848">
        <v>8</v>
      </c>
      <c r="I848">
        <v>57</v>
      </c>
      <c r="K848" s="124">
        <v>45530</v>
      </c>
      <c r="L848">
        <v>239</v>
      </c>
      <c r="M848">
        <v>48</v>
      </c>
    </row>
    <row r="849" spans="1:13" x14ac:dyDescent="0.35">
      <c r="A849" t="s">
        <v>34</v>
      </c>
      <c r="D849" t="s">
        <v>39</v>
      </c>
      <c r="F849">
        <v>4</v>
      </c>
      <c r="G849">
        <v>1</v>
      </c>
      <c r="H849">
        <v>8</v>
      </c>
      <c r="I849">
        <v>57</v>
      </c>
      <c r="K849" s="124">
        <v>45538</v>
      </c>
      <c r="L849">
        <v>247</v>
      </c>
      <c r="M849">
        <v>54</v>
      </c>
    </row>
    <row r="850" spans="1:13" x14ac:dyDescent="0.35">
      <c r="A850" t="s">
        <v>34</v>
      </c>
      <c r="D850" t="s">
        <v>39</v>
      </c>
      <c r="F850">
        <v>4</v>
      </c>
      <c r="G850">
        <v>1</v>
      </c>
      <c r="H850">
        <v>8</v>
      </c>
      <c r="I850">
        <v>57</v>
      </c>
      <c r="K850" s="124">
        <v>45547</v>
      </c>
      <c r="L850">
        <v>256</v>
      </c>
      <c r="M850">
        <v>64</v>
      </c>
    </row>
    <row r="851" spans="1:13" x14ac:dyDescent="0.35">
      <c r="A851" t="s">
        <v>34</v>
      </c>
      <c r="D851" t="s">
        <v>39</v>
      </c>
      <c r="F851">
        <v>4</v>
      </c>
      <c r="G851">
        <v>1</v>
      </c>
      <c r="H851">
        <v>8</v>
      </c>
      <c r="I851">
        <v>57</v>
      </c>
      <c r="K851" s="124">
        <v>45553</v>
      </c>
      <c r="L851">
        <v>262</v>
      </c>
      <c r="M851">
        <v>67</v>
      </c>
    </row>
    <row r="852" spans="1:13" x14ac:dyDescent="0.35">
      <c r="A852" t="s">
        <v>34</v>
      </c>
      <c r="D852" t="s">
        <v>39</v>
      </c>
      <c r="F852">
        <v>4</v>
      </c>
      <c r="G852">
        <v>1</v>
      </c>
      <c r="H852">
        <v>8</v>
      </c>
      <c r="I852">
        <v>57</v>
      </c>
      <c r="K852" s="124">
        <v>45558</v>
      </c>
      <c r="L852">
        <v>267</v>
      </c>
      <c r="M852">
        <v>67</v>
      </c>
    </row>
    <row r="853" spans="1:13" x14ac:dyDescent="0.35">
      <c r="A853" t="s">
        <v>34</v>
      </c>
      <c r="D853" t="s">
        <v>39</v>
      </c>
      <c r="F853">
        <v>4</v>
      </c>
      <c r="G853">
        <v>1</v>
      </c>
      <c r="H853">
        <v>8</v>
      </c>
      <c r="I853">
        <v>57</v>
      </c>
      <c r="K853" s="124">
        <v>45562</v>
      </c>
      <c r="L853">
        <v>271</v>
      </c>
      <c r="M853">
        <v>68</v>
      </c>
    </row>
    <row r="854" spans="1:13" x14ac:dyDescent="0.35">
      <c r="A854" t="s">
        <v>34</v>
      </c>
      <c r="D854" t="s">
        <v>39</v>
      </c>
      <c r="F854">
        <v>4</v>
      </c>
      <c r="G854">
        <v>1</v>
      </c>
      <c r="H854">
        <v>8</v>
      </c>
      <c r="I854">
        <v>57</v>
      </c>
      <c r="K854" s="124">
        <v>45571</v>
      </c>
      <c r="L854">
        <v>280</v>
      </c>
      <c r="M854">
        <v>72</v>
      </c>
    </row>
    <row r="855" spans="1:13" x14ac:dyDescent="0.35">
      <c r="A855" t="s">
        <v>34</v>
      </c>
      <c r="D855" t="s">
        <v>39</v>
      </c>
      <c r="F855">
        <v>4</v>
      </c>
      <c r="G855">
        <v>1</v>
      </c>
      <c r="H855">
        <v>8</v>
      </c>
      <c r="I855">
        <v>57</v>
      </c>
      <c r="K855" s="124">
        <v>45576</v>
      </c>
      <c r="L855">
        <v>285</v>
      </c>
      <c r="M855">
        <v>72</v>
      </c>
    </row>
    <row r="856" spans="1:13" x14ac:dyDescent="0.35">
      <c r="A856" t="s">
        <v>34</v>
      </c>
      <c r="D856" t="s">
        <v>39</v>
      </c>
      <c r="F856">
        <v>4</v>
      </c>
      <c r="G856">
        <v>1</v>
      </c>
      <c r="H856">
        <v>8</v>
      </c>
      <c r="I856">
        <v>57</v>
      </c>
      <c r="K856" s="124">
        <v>45590</v>
      </c>
      <c r="L856">
        <v>299</v>
      </c>
      <c r="M856">
        <v>72</v>
      </c>
    </row>
    <row r="857" spans="1:13" x14ac:dyDescent="0.35">
      <c r="A857" t="s">
        <v>34</v>
      </c>
      <c r="D857" t="s">
        <v>37</v>
      </c>
      <c r="F857">
        <v>4</v>
      </c>
      <c r="G857">
        <v>2</v>
      </c>
      <c r="H857">
        <v>8</v>
      </c>
      <c r="I857">
        <v>58</v>
      </c>
      <c r="K857" s="124">
        <v>45421</v>
      </c>
      <c r="L857">
        <v>130</v>
      </c>
    </row>
    <row r="858" spans="1:13" x14ac:dyDescent="0.35">
      <c r="A858" t="s">
        <v>34</v>
      </c>
      <c r="D858" t="s">
        <v>37</v>
      </c>
      <c r="F858">
        <v>4</v>
      </c>
      <c r="G858">
        <v>2</v>
      </c>
      <c r="H858">
        <v>8</v>
      </c>
      <c r="I858">
        <v>58</v>
      </c>
      <c r="K858" s="124">
        <v>45442</v>
      </c>
      <c r="L858">
        <v>151</v>
      </c>
      <c r="M858">
        <v>5</v>
      </c>
    </row>
    <row r="859" spans="1:13" x14ac:dyDescent="0.35">
      <c r="A859" t="s">
        <v>34</v>
      </c>
      <c r="D859" t="s">
        <v>37</v>
      </c>
      <c r="F859">
        <v>4</v>
      </c>
      <c r="G859">
        <v>2</v>
      </c>
      <c r="H859">
        <v>8</v>
      </c>
      <c r="I859">
        <v>58</v>
      </c>
      <c r="K859" s="124">
        <v>45461</v>
      </c>
      <c r="L859">
        <v>170</v>
      </c>
      <c r="M859">
        <v>14</v>
      </c>
    </row>
    <row r="860" spans="1:13" x14ac:dyDescent="0.35">
      <c r="A860" t="s">
        <v>34</v>
      </c>
      <c r="D860" t="s">
        <v>37</v>
      </c>
      <c r="F860">
        <v>4</v>
      </c>
      <c r="G860">
        <v>2</v>
      </c>
      <c r="H860">
        <v>8</v>
      </c>
      <c r="I860">
        <v>58</v>
      </c>
      <c r="K860" s="124">
        <v>45477</v>
      </c>
      <c r="L860">
        <v>186</v>
      </c>
      <c r="M860">
        <v>15</v>
      </c>
    </row>
    <row r="861" spans="1:13" x14ac:dyDescent="0.35">
      <c r="A861" t="s">
        <v>34</v>
      </c>
      <c r="D861" t="s">
        <v>37</v>
      </c>
      <c r="F861">
        <v>4</v>
      </c>
      <c r="G861">
        <v>2</v>
      </c>
      <c r="H861">
        <v>8</v>
      </c>
      <c r="I861">
        <v>58</v>
      </c>
      <c r="K861" s="124">
        <v>45491</v>
      </c>
      <c r="L861">
        <v>200</v>
      </c>
      <c r="M861">
        <v>25</v>
      </c>
    </row>
    <row r="862" spans="1:13" x14ac:dyDescent="0.35">
      <c r="A862" t="s">
        <v>34</v>
      </c>
      <c r="D862" t="s">
        <v>37</v>
      </c>
      <c r="F862">
        <v>4</v>
      </c>
      <c r="G862">
        <v>2</v>
      </c>
      <c r="H862">
        <v>8</v>
      </c>
      <c r="I862">
        <v>58</v>
      </c>
      <c r="K862" s="124">
        <v>45510</v>
      </c>
      <c r="L862">
        <v>219</v>
      </c>
      <c r="M862">
        <v>31</v>
      </c>
    </row>
    <row r="863" spans="1:13" x14ac:dyDescent="0.35">
      <c r="A863" t="s">
        <v>34</v>
      </c>
      <c r="D863" t="s">
        <v>37</v>
      </c>
      <c r="F863">
        <v>4</v>
      </c>
      <c r="G863">
        <v>2</v>
      </c>
      <c r="H863">
        <v>8</v>
      </c>
      <c r="I863">
        <v>58</v>
      </c>
      <c r="K863" s="124">
        <v>45530</v>
      </c>
      <c r="L863">
        <v>239</v>
      </c>
      <c r="M863">
        <v>52</v>
      </c>
    </row>
    <row r="864" spans="1:13" x14ac:dyDescent="0.35">
      <c r="A864" t="s">
        <v>34</v>
      </c>
      <c r="D864" t="s">
        <v>37</v>
      </c>
      <c r="F864">
        <v>4</v>
      </c>
      <c r="G864">
        <v>2</v>
      </c>
      <c r="H864">
        <v>8</v>
      </c>
      <c r="I864">
        <v>58</v>
      </c>
      <c r="K864" s="124">
        <v>45538</v>
      </c>
      <c r="L864">
        <v>247</v>
      </c>
      <c r="M864">
        <v>58</v>
      </c>
    </row>
    <row r="865" spans="1:13" x14ac:dyDescent="0.35">
      <c r="A865" t="s">
        <v>34</v>
      </c>
      <c r="D865" t="s">
        <v>37</v>
      </c>
      <c r="F865">
        <v>4</v>
      </c>
      <c r="G865">
        <v>2</v>
      </c>
      <c r="H865">
        <v>8</v>
      </c>
      <c r="I865">
        <v>58</v>
      </c>
      <c r="K865" s="124">
        <v>45547</v>
      </c>
      <c r="L865">
        <v>256</v>
      </c>
      <c r="M865">
        <v>66</v>
      </c>
    </row>
    <row r="866" spans="1:13" x14ac:dyDescent="0.35">
      <c r="A866" t="s">
        <v>34</v>
      </c>
      <c r="D866" t="s">
        <v>37</v>
      </c>
      <c r="F866">
        <v>4</v>
      </c>
      <c r="G866">
        <v>2</v>
      </c>
      <c r="H866">
        <v>8</v>
      </c>
      <c r="I866">
        <v>58</v>
      </c>
      <c r="K866" s="124">
        <v>45553</v>
      </c>
      <c r="L866">
        <v>262</v>
      </c>
      <c r="M866">
        <v>70</v>
      </c>
    </row>
    <row r="867" spans="1:13" x14ac:dyDescent="0.35">
      <c r="A867" t="s">
        <v>34</v>
      </c>
      <c r="D867" t="s">
        <v>37</v>
      </c>
      <c r="F867">
        <v>4</v>
      </c>
      <c r="G867">
        <v>2</v>
      </c>
      <c r="H867">
        <v>8</v>
      </c>
      <c r="I867">
        <v>58</v>
      </c>
      <c r="K867" s="124">
        <v>45558</v>
      </c>
      <c r="L867">
        <v>267</v>
      </c>
      <c r="M867">
        <v>70</v>
      </c>
    </row>
    <row r="868" spans="1:13" x14ac:dyDescent="0.35">
      <c r="A868" t="s">
        <v>34</v>
      </c>
      <c r="D868" t="s">
        <v>37</v>
      </c>
      <c r="F868">
        <v>4</v>
      </c>
      <c r="G868">
        <v>2</v>
      </c>
      <c r="H868">
        <v>8</v>
      </c>
      <c r="I868">
        <v>58</v>
      </c>
      <c r="K868" s="124">
        <v>45562</v>
      </c>
      <c r="L868">
        <v>271</v>
      </c>
      <c r="M868">
        <v>73</v>
      </c>
    </row>
    <row r="869" spans="1:13" x14ac:dyDescent="0.35">
      <c r="A869" t="s">
        <v>34</v>
      </c>
      <c r="D869" t="s">
        <v>37</v>
      </c>
      <c r="F869">
        <v>4</v>
      </c>
      <c r="G869">
        <v>2</v>
      </c>
      <c r="H869">
        <v>8</v>
      </c>
      <c r="I869">
        <v>58</v>
      </c>
      <c r="K869" s="124">
        <v>45571</v>
      </c>
      <c r="L869">
        <v>280</v>
      </c>
      <c r="M869">
        <v>85</v>
      </c>
    </row>
    <row r="870" spans="1:13" x14ac:dyDescent="0.35">
      <c r="A870" t="s">
        <v>34</v>
      </c>
      <c r="D870" t="s">
        <v>37</v>
      </c>
      <c r="F870">
        <v>4</v>
      </c>
      <c r="G870">
        <v>2</v>
      </c>
      <c r="H870">
        <v>8</v>
      </c>
      <c r="I870">
        <v>58</v>
      </c>
      <c r="K870" s="124">
        <v>45576</v>
      </c>
      <c r="L870">
        <v>285</v>
      </c>
      <c r="M870">
        <v>86</v>
      </c>
    </row>
    <row r="871" spans="1:13" x14ac:dyDescent="0.35">
      <c r="A871" t="s">
        <v>34</v>
      </c>
      <c r="D871" t="s">
        <v>37</v>
      </c>
      <c r="F871">
        <v>4</v>
      </c>
      <c r="G871">
        <v>2</v>
      </c>
      <c r="H871">
        <v>8</v>
      </c>
      <c r="I871">
        <v>58</v>
      </c>
      <c r="K871" s="124">
        <v>45590</v>
      </c>
      <c r="L871">
        <v>299</v>
      </c>
      <c r="M871">
        <v>88</v>
      </c>
    </row>
    <row r="872" spans="1:13" x14ac:dyDescent="0.35">
      <c r="A872" t="s">
        <v>34</v>
      </c>
      <c r="D872" t="s">
        <v>36</v>
      </c>
      <c r="F872">
        <v>4</v>
      </c>
      <c r="G872">
        <v>3</v>
      </c>
      <c r="H872">
        <v>8</v>
      </c>
      <c r="I872">
        <v>59</v>
      </c>
      <c r="K872" s="124">
        <v>45421</v>
      </c>
      <c r="L872">
        <v>130</v>
      </c>
    </row>
    <row r="873" spans="1:13" x14ac:dyDescent="0.35">
      <c r="A873" t="s">
        <v>34</v>
      </c>
      <c r="D873" t="s">
        <v>36</v>
      </c>
      <c r="F873">
        <v>4</v>
      </c>
      <c r="G873">
        <v>3</v>
      </c>
      <c r="H873">
        <v>8</v>
      </c>
      <c r="I873">
        <v>59</v>
      </c>
      <c r="K873" s="124">
        <v>45442</v>
      </c>
      <c r="L873">
        <v>151</v>
      </c>
      <c r="M873">
        <v>7</v>
      </c>
    </row>
    <row r="874" spans="1:13" x14ac:dyDescent="0.35">
      <c r="A874" t="s">
        <v>34</v>
      </c>
      <c r="D874" t="s">
        <v>36</v>
      </c>
      <c r="F874">
        <v>4</v>
      </c>
      <c r="G874">
        <v>3</v>
      </c>
      <c r="H874">
        <v>8</v>
      </c>
      <c r="I874">
        <v>59</v>
      </c>
      <c r="K874" s="124">
        <v>45461</v>
      </c>
      <c r="L874">
        <v>170</v>
      </c>
      <c r="M874">
        <v>13</v>
      </c>
    </row>
    <row r="875" spans="1:13" x14ac:dyDescent="0.35">
      <c r="A875" t="s">
        <v>34</v>
      </c>
      <c r="D875" t="s">
        <v>36</v>
      </c>
      <c r="F875">
        <v>4</v>
      </c>
      <c r="G875">
        <v>3</v>
      </c>
      <c r="H875">
        <v>8</v>
      </c>
      <c r="I875">
        <v>59</v>
      </c>
      <c r="K875" s="124">
        <v>45477</v>
      </c>
      <c r="L875">
        <v>186</v>
      </c>
      <c r="M875">
        <v>15</v>
      </c>
    </row>
    <row r="876" spans="1:13" x14ac:dyDescent="0.35">
      <c r="A876" t="s">
        <v>34</v>
      </c>
      <c r="D876" t="s">
        <v>36</v>
      </c>
      <c r="F876">
        <v>4</v>
      </c>
      <c r="G876">
        <v>3</v>
      </c>
      <c r="H876">
        <v>8</v>
      </c>
      <c r="I876">
        <v>59</v>
      </c>
      <c r="K876" s="124">
        <v>45491</v>
      </c>
      <c r="L876">
        <v>200</v>
      </c>
      <c r="M876">
        <v>25</v>
      </c>
    </row>
    <row r="877" spans="1:13" x14ac:dyDescent="0.35">
      <c r="A877" t="s">
        <v>34</v>
      </c>
      <c r="D877" t="s">
        <v>36</v>
      </c>
      <c r="F877">
        <v>4</v>
      </c>
      <c r="G877">
        <v>3</v>
      </c>
      <c r="H877">
        <v>8</v>
      </c>
      <c r="I877">
        <v>59</v>
      </c>
      <c r="K877" s="124">
        <v>45510</v>
      </c>
      <c r="L877">
        <v>219</v>
      </c>
      <c r="M877">
        <v>33</v>
      </c>
    </row>
    <row r="878" spans="1:13" x14ac:dyDescent="0.35">
      <c r="A878" t="s">
        <v>34</v>
      </c>
      <c r="D878" t="s">
        <v>36</v>
      </c>
      <c r="F878">
        <v>4</v>
      </c>
      <c r="G878">
        <v>3</v>
      </c>
      <c r="H878">
        <v>8</v>
      </c>
      <c r="I878">
        <v>59</v>
      </c>
      <c r="K878" s="124">
        <v>45530</v>
      </c>
      <c r="L878">
        <v>239</v>
      </c>
      <c r="M878">
        <v>47</v>
      </c>
    </row>
    <row r="879" spans="1:13" x14ac:dyDescent="0.35">
      <c r="A879" t="s">
        <v>34</v>
      </c>
      <c r="D879" t="s">
        <v>36</v>
      </c>
      <c r="F879">
        <v>4</v>
      </c>
      <c r="G879">
        <v>3</v>
      </c>
      <c r="H879">
        <v>8</v>
      </c>
      <c r="I879">
        <v>59</v>
      </c>
      <c r="K879" s="124">
        <v>45538</v>
      </c>
      <c r="L879">
        <v>247</v>
      </c>
      <c r="M879">
        <v>60</v>
      </c>
    </row>
    <row r="880" spans="1:13" x14ac:dyDescent="0.35">
      <c r="A880" t="s">
        <v>34</v>
      </c>
      <c r="D880" t="s">
        <v>36</v>
      </c>
      <c r="F880">
        <v>4</v>
      </c>
      <c r="G880">
        <v>3</v>
      </c>
      <c r="H880">
        <v>8</v>
      </c>
      <c r="I880">
        <v>59</v>
      </c>
      <c r="K880" s="124">
        <v>45547</v>
      </c>
      <c r="L880">
        <v>256</v>
      </c>
      <c r="M880">
        <v>68</v>
      </c>
    </row>
    <row r="881" spans="1:13" x14ac:dyDescent="0.35">
      <c r="A881" t="s">
        <v>34</v>
      </c>
      <c r="D881" t="s">
        <v>36</v>
      </c>
      <c r="F881">
        <v>4</v>
      </c>
      <c r="G881">
        <v>3</v>
      </c>
      <c r="H881">
        <v>8</v>
      </c>
      <c r="I881">
        <v>59</v>
      </c>
      <c r="K881" s="124">
        <v>45553</v>
      </c>
      <c r="L881">
        <v>262</v>
      </c>
      <c r="M881">
        <v>70</v>
      </c>
    </row>
    <row r="882" spans="1:13" x14ac:dyDescent="0.35">
      <c r="A882" t="s">
        <v>34</v>
      </c>
      <c r="D882" t="s">
        <v>36</v>
      </c>
      <c r="F882">
        <v>4</v>
      </c>
      <c r="G882">
        <v>3</v>
      </c>
      <c r="H882">
        <v>8</v>
      </c>
      <c r="I882">
        <v>59</v>
      </c>
      <c r="K882" s="124">
        <v>45558</v>
      </c>
      <c r="L882">
        <v>267</v>
      </c>
      <c r="M882">
        <v>70</v>
      </c>
    </row>
    <row r="883" spans="1:13" x14ac:dyDescent="0.35">
      <c r="A883" t="s">
        <v>34</v>
      </c>
      <c r="D883" t="s">
        <v>36</v>
      </c>
      <c r="F883">
        <v>4</v>
      </c>
      <c r="G883">
        <v>3</v>
      </c>
      <c r="H883">
        <v>8</v>
      </c>
      <c r="I883">
        <v>59</v>
      </c>
      <c r="K883" s="124">
        <v>45562</v>
      </c>
      <c r="L883">
        <v>271</v>
      </c>
      <c r="M883">
        <v>71</v>
      </c>
    </row>
    <row r="884" spans="1:13" x14ac:dyDescent="0.35">
      <c r="A884" t="s">
        <v>34</v>
      </c>
      <c r="D884" t="s">
        <v>36</v>
      </c>
      <c r="F884">
        <v>4</v>
      </c>
      <c r="G884">
        <v>3</v>
      </c>
      <c r="H884">
        <v>8</v>
      </c>
      <c r="I884">
        <v>59</v>
      </c>
      <c r="K884" s="124">
        <v>45571</v>
      </c>
      <c r="L884">
        <v>280</v>
      </c>
      <c r="M884">
        <v>85</v>
      </c>
    </row>
    <row r="885" spans="1:13" x14ac:dyDescent="0.35">
      <c r="A885" t="s">
        <v>34</v>
      </c>
      <c r="D885" t="s">
        <v>36</v>
      </c>
      <c r="F885">
        <v>4</v>
      </c>
      <c r="G885">
        <v>3</v>
      </c>
      <c r="H885">
        <v>8</v>
      </c>
      <c r="I885">
        <v>59</v>
      </c>
      <c r="K885" s="124">
        <v>45576</v>
      </c>
      <c r="L885">
        <v>285</v>
      </c>
      <c r="M885">
        <v>85</v>
      </c>
    </row>
    <row r="886" spans="1:13" x14ac:dyDescent="0.35">
      <c r="A886" t="s">
        <v>34</v>
      </c>
      <c r="D886" t="s">
        <v>36</v>
      </c>
      <c r="F886">
        <v>4</v>
      </c>
      <c r="G886">
        <v>3</v>
      </c>
      <c r="H886">
        <v>8</v>
      </c>
      <c r="I886">
        <v>59</v>
      </c>
      <c r="K886" s="124">
        <v>45590</v>
      </c>
      <c r="L886">
        <v>299</v>
      </c>
      <c r="M886">
        <v>88</v>
      </c>
    </row>
    <row r="887" spans="1:13" x14ac:dyDescent="0.35">
      <c r="A887" t="s">
        <v>34</v>
      </c>
      <c r="D887" t="s">
        <v>343</v>
      </c>
      <c r="F887">
        <v>4</v>
      </c>
      <c r="G887">
        <v>4</v>
      </c>
      <c r="H887">
        <v>8</v>
      </c>
      <c r="I887">
        <v>60</v>
      </c>
      <c r="K887" s="124">
        <v>45421</v>
      </c>
      <c r="L887">
        <v>130</v>
      </c>
    </row>
    <row r="888" spans="1:13" x14ac:dyDescent="0.35">
      <c r="A888" t="s">
        <v>34</v>
      </c>
      <c r="D888" t="s">
        <v>343</v>
      </c>
      <c r="F888">
        <v>4</v>
      </c>
      <c r="G888">
        <v>4</v>
      </c>
      <c r="H888">
        <v>8</v>
      </c>
      <c r="I888">
        <v>60</v>
      </c>
      <c r="K888" s="124">
        <v>45442</v>
      </c>
      <c r="L888">
        <v>151</v>
      </c>
      <c r="M888">
        <v>7</v>
      </c>
    </row>
    <row r="889" spans="1:13" x14ac:dyDescent="0.35">
      <c r="A889" t="s">
        <v>34</v>
      </c>
      <c r="D889" t="s">
        <v>343</v>
      </c>
      <c r="F889">
        <v>4</v>
      </c>
      <c r="G889">
        <v>4</v>
      </c>
      <c r="H889">
        <v>8</v>
      </c>
      <c r="I889">
        <v>60</v>
      </c>
      <c r="K889" s="124">
        <v>45461</v>
      </c>
      <c r="L889">
        <v>170</v>
      </c>
      <c r="M889">
        <v>17</v>
      </c>
    </row>
    <row r="890" spans="1:13" x14ac:dyDescent="0.35">
      <c r="A890" t="s">
        <v>34</v>
      </c>
      <c r="D890" t="s">
        <v>343</v>
      </c>
      <c r="F890">
        <v>4</v>
      </c>
      <c r="G890">
        <v>4</v>
      </c>
      <c r="H890">
        <v>8</v>
      </c>
      <c r="I890">
        <v>60</v>
      </c>
      <c r="K890" s="124">
        <v>45477</v>
      </c>
      <c r="L890">
        <v>186</v>
      </c>
      <c r="M890">
        <v>15</v>
      </c>
    </row>
    <row r="891" spans="1:13" x14ac:dyDescent="0.35">
      <c r="A891" t="s">
        <v>34</v>
      </c>
      <c r="D891" t="s">
        <v>343</v>
      </c>
      <c r="F891">
        <v>4</v>
      </c>
      <c r="G891">
        <v>4</v>
      </c>
      <c r="H891">
        <v>8</v>
      </c>
      <c r="I891">
        <v>60</v>
      </c>
      <c r="K891" s="124">
        <v>45491</v>
      </c>
      <c r="L891">
        <v>200</v>
      </c>
      <c r="M891">
        <v>27</v>
      </c>
    </row>
    <row r="892" spans="1:13" x14ac:dyDescent="0.35">
      <c r="A892" t="s">
        <v>34</v>
      </c>
      <c r="D892" t="s">
        <v>343</v>
      </c>
      <c r="F892">
        <v>4</v>
      </c>
      <c r="G892">
        <v>4</v>
      </c>
      <c r="H892">
        <v>8</v>
      </c>
      <c r="I892">
        <v>60</v>
      </c>
      <c r="K892" s="124">
        <v>45510</v>
      </c>
      <c r="L892">
        <v>219</v>
      </c>
      <c r="M892">
        <v>30</v>
      </c>
    </row>
    <row r="893" spans="1:13" x14ac:dyDescent="0.35">
      <c r="A893" t="s">
        <v>34</v>
      </c>
      <c r="D893" t="s">
        <v>343</v>
      </c>
      <c r="F893">
        <v>4</v>
      </c>
      <c r="G893">
        <v>4</v>
      </c>
      <c r="H893">
        <v>8</v>
      </c>
      <c r="I893">
        <v>60</v>
      </c>
      <c r="K893" s="124">
        <v>45530</v>
      </c>
      <c r="L893">
        <v>239</v>
      </c>
      <c r="M893">
        <v>53</v>
      </c>
    </row>
    <row r="894" spans="1:13" x14ac:dyDescent="0.35">
      <c r="A894" t="s">
        <v>34</v>
      </c>
      <c r="D894" t="s">
        <v>343</v>
      </c>
      <c r="F894">
        <v>4</v>
      </c>
      <c r="G894">
        <v>4</v>
      </c>
      <c r="H894">
        <v>8</v>
      </c>
      <c r="I894">
        <v>60</v>
      </c>
      <c r="K894" s="124">
        <v>45538</v>
      </c>
      <c r="L894">
        <v>247</v>
      </c>
      <c r="M894">
        <v>60</v>
      </c>
    </row>
    <row r="895" spans="1:13" x14ac:dyDescent="0.35">
      <c r="A895" t="s">
        <v>34</v>
      </c>
      <c r="D895" t="s">
        <v>343</v>
      </c>
      <c r="F895">
        <v>4</v>
      </c>
      <c r="G895">
        <v>4</v>
      </c>
      <c r="H895">
        <v>8</v>
      </c>
      <c r="I895">
        <v>60</v>
      </c>
      <c r="K895" s="124">
        <v>45547</v>
      </c>
      <c r="L895">
        <v>256</v>
      </c>
      <c r="M895">
        <v>72</v>
      </c>
    </row>
    <row r="896" spans="1:13" x14ac:dyDescent="0.35">
      <c r="A896" t="s">
        <v>34</v>
      </c>
      <c r="D896" t="s">
        <v>343</v>
      </c>
      <c r="F896">
        <v>4</v>
      </c>
      <c r="G896">
        <v>4</v>
      </c>
      <c r="H896">
        <v>8</v>
      </c>
      <c r="I896">
        <v>60</v>
      </c>
      <c r="K896" s="124">
        <v>45553</v>
      </c>
      <c r="L896">
        <v>262</v>
      </c>
      <c r="M896">
        <v>76</v>
      </c>
    </row>
    <row r="897" spans="1:13" x14ac:dyDescent="0.35">
      <c r="A897" t="s">
        <v>34</v>
      </c>
      <c r="D897" t="s">
        <v>343</v>
      </c>
      <c r="F897">
        <v>4</v>
      </c>
      <c r="G897">
        <v>4</v>
      </c>
      <c r="H897">
        <v>8</v>
      </c>
      <c r="I897">
        <v>60</v>
      </c>
      <c r="K897" s="124">
        <v>45558</v>
      </c>
      <c r="L897">
        <v>267</v>
      </c>
      <c r="M897">
        <v>80</v>
      </c>
    </row>
    <row r="898" spans="1:13" x14ac:dyDescent="0.35">
      <c r="A898" t="s">
        <v>34</v>
      </c>
      <c r="D898" t="s">
        <v>343</v>
      </c>
      <c r="F898">
        <v>4</v>
      </c>
      <c r="G898">
        <v>4</v>
      </c>
      <c r="H898">
        <v>8</v>
      </c>
      <c r="I898">
        <v>60</v>
      </c>
      <c r="K898" s="124">
        <v>45562</v>
      </c>
      <c r="L898">
        <v>271</v>
      </c>
      <c r="M898">
        <v>85</v>
      </c>
    </row>
    <row r="899" spans="1:13" x14ac:dyDescent="0.35">
      <c r="A899" t="s">
        <v>34</v>
      </c>
      <c r="D899" t="s">
        <v>343</v>
      </c>
      <c r="F899">
        <v>4</v>
      </c>
      <c r="G899">
        <v>4</v>
      </c>
      <c r="H899">
        <v>8</v>
      </c>
      <c r="I899">
        <v>60</v>
      </c>
      <c r="K899" s="124">
        <v>45571</v>
      </c>
      <c r="L899">
        <v>280</v>
      </c>
      <c r="M899">
        <v>100</v>
      </c>
    </row>
    <row r="900" spans="1:13" x14ac:dyDescent="0.35">
      <c r="A900" t="s">
        <v>34</v>
      </c>
      <c r="D900" t="s">
        <v>343</v>
      </c>
      <c r="F900">
        <v>4</v>
      </c>
      <c r="G900">
        <v>4</v>
      </c>
      <c r="H900">
        <v>8</v>
      </c>
      <c r="I900">
        <v>60</v>
      </c>
      <c r="K900" s="124">
        <v>45576</v>
      </c>
      <c r="L900">
        <v>285</v>
      </c>
      <c r="M900">
        <v>100</v>
      </c>
    </row>
    <row r="901" spans="1:13" x14ac:dyDescent="0.35">
      <c r="A901" t="s">
        <v>34</v>
      </c>
      <c r="D901" t="s">
        <v>343</v>
      </c>
      <c r="F901">
        <v>4</v>
      </c>
      <c r="G901">
        <v>4</v>
      </c>
      <c r="H901">
        <v>8</v>
      </c>
      <c r="I901">
        <v>60</v>
      </c>
      <c r="K901" s="124">
        <v>45590</v>
      </c>
      <c r="L901">
        <v>299</v>
      </c>
      <c r="M901">
        <v>101</v>
      </c>
    </row>
    <row r="902" spans="1:13" x14ac:dyDescent="0.35">
      <c r="A902" t="s">
        <v>34</v>
      </c>
      <c r="D902" t="s">
        <v>41</v>
      </c>
      <c r="F902">
        <v>4</v>
      </c>
      <c r="G902">
        <v>5</v>
      </c>
      <c r="H902">
        <v>8</v>
      </c>
      <c r="I902">
        <v>61</v>
      </c>
      <c r="K902" s="124">
        <v>45421</v>
      </c>
      <c r="L902">
        <v>130</v>
      </c>
    </row>
    <row r="903" spans="1:13" x14ac:dyDescent="0.35">
      <c r="A903" t="s">
        <v>34</v>
      </c>
      <c r="D903" t="s">
        <v>41</v>
      </c>
      <c r="F903">
        <v>4</v>
      </c>
      <c r="G903">
        <v>5</v>
      </c>
      <c r="H903">
        <v>8</v>
      </c>
      <c r="I903">
        <v>61</v>
      </c>
      <c r="K903" s="124">
        <v>45442</v>
      </c>
      <c r="L903">
        <v>151</v>
      </c>
      <c r="M903">
        <v>6</v>
      </c>
    </row>
    <row r="904" spans="1:13" x14ac:dyDescent="0.35">
      <c r="A904" t="s">
        <v>34</v>
      </c>
      <c r="D904" t="s">
        <v>41</v>
      </c>
      <c r="F904">
        <v>4</v>
      </c>
      <c r="G904">
        <v>5</v>
      </c>
      <c r="H904">
        <v>8</v>
      </c>
      <c r="I904">
        <v>61</v>
      </c>
      <c r="K904" s="124">
        <v>45461</v>
      </c>
      <c r="L904">
        <v>170</v>
      </c>
      <c r="M904">
        <v>17</v>
      </c>
    </row>
    <row r="905" spans="1:13" x14ac:dyDescent="0.35">
      <c r="A905" t="s">
        <v>34</v>
      </c>
      <c r="D905" t="s">
        <v>41</v>
      </c>
      <c r="F905">
        <v>4</v>
      </c>
      <c r="G905">
        <v>5</v>
      </c>
      <c r="H905">
        <v>8</v>
      </c>
      <c r="I905">
        <v>61</v>
      </c>
      <c r="K905" s="124">
        <v>45477</v>
      </c>
      <c r="L905">
        <v>186</v>
      </c>
      <c r="M905">
        <v>18</v>
      </c>
    </row>
    <row r="906" spans="1:13" x14ac:dyDescent="0.35">
      <c r="A906" t="s">
        <v>34</v>
      </c>
      <c r="D906" t="s">
        <v>41</v>
      </c>
      <c r="F906">
        <v>4</v>
      </c>
      <c r="G906">
        <v>5</v>
      </c>
      <c r="H906">
        <v>8</v>
      </c>
      <c r="I906">
        <v>61</v>
      </c>
      <c r="K906" s="124">
        <v>45491</v>
      </c>
      <c r="L906">
        <v>200</v>
      </c>
      <c r="M906">
        <v>29</v>
      </c>
    </row>
    <row r="907" spans="1:13" x14ac:dyDescent="0.35">
      <c r="A907" t="s">
        <v>34</v>
      </c>
      <c r="D907" t="s">
        <v>41</v>
      </c>
      <c r="F907">
        <v>4</v>
      </c>
      <c r="G907">
        <v>5</v>
      </c>
      <c r="H907">
        <v>8</v>
      </c>
      <c r="I907">
        <v>61</v>
      </c>
      <c r="K907" s="124">
        <v>45510</v>
      </c>
      <c r="L907">
        <v>219</v>
      </c>
      <c r="M907">
        <v>35</v>
      </c>
    </row>
    <row r="908" spans="1:13" x14ac:dyDescent="0.35">
      <c r="A908" t="s">
        <v>34</v>
      </c>
      <c r="D908" t="s">
        <v>41</v>
      </c>
      <c r="F908">
        <v>4</v>
      </c>
      <c r="G908">
        <v>5</v>
      </c>
      <c r="H908">
        <v>8</v>
      </c>
      <c r="I908">
        <v>61</v>
      </c>
      <c r="K908" s="124">
        <v>45530</v>
      </c>
      <c r="L908">
        <v>239</v>
      </c>
      <c r="M908">
        <v>53</v>
      </c>
    </row>
    <row r="909" spans="1:13" x14ac:dyDescent="0.35">
      <c r="A909" t="s">
        <v>34</v>
      </c>
      <c r="D909" t="s">
        <v>41</v>
      </c>
      <c r="F909">
        <v>4</v>
      </c>
      <c r="G909">
        <v>5</v>
      </c>
      <c r="H909">
        <v>8</v>
      </c>
      <c r="I909">
        <v>61</v>
      </c>
      <c r="K909" s="124">
        <v>45538</v>
      </c>
      <c r="L909">
        <v>247</v>
      </c>
      <c r="M909">
        <v>60</v>
      </c>
    </row>
    <row r="910" spans="1:13" x14ac:dyDescent="0.35">
      <c r="A910" t="s">
        <v>34</v>
      </c>
      <c r="D910" t="s">
        <v>41</v>
      </c>
      <c r="F910">
        <v>4</v>
      </c>
      <c r="G910">
        <v>5</v>
      </c>
      <c r="H910">
        <v>8</v>
      </c>
      <c r="I910">
        <v>61</v>
      </c>
      <c r="K910" s="124">
        <v>45547</v>
      </c>
      <c r="L910">
        <v>256</v>
      </c>
      <c r="M910">
        <v>66</v>
      </c>
    </row>
    <row r="911" spans="1:13" x14ac:dyDescent="0.35">
      <c r="A911" t="s">
        <v>34</v>
      </c>
      <c r="D911" t="s">
        <v>41</v>
      </c>
      <c r="F911">
        <v>4</v>
      </c>
      <c r="G911">
        <v>5</v>
      </c>
      <c r="H911">
        <v>8</v>
      </c>
      <c r="I911">
        <v>61</v>
      </c>
      <c r="K911" s="124">
        <v>45553</v>
      </c>
      <c r="L911">
        <v>262</v>
      </c>
      <c r="M911">
        <v>73</v>
      </c>
    </row>
    <row r="912" spans="1:13" x14ac:dyDescent="0.35">
      <c r="A912" t="s">
        <v>34</v>
      </c>
      <c r="D912" t="s">
        <v>41</v>
      </c>
      <c r="F912">
        <v>4</v>
      </c>
      <c r="G912">
        <v>5</v>
      </c>
      <c r="H912">
        <v>8</v>
      </c>
      <c r="I912">
        <v>61</v>
      </c>
      <c r="K912" s="124">
        <v>45558</v>
      </c>
      <c r="L912">
        <v>267</v>
      </c>
      <c r="M912">
        <v>77</v>
      </c>
    </row>
    <row r="913" spans="1:13" x14ac:dyDescent="0.35">
      <c r="A913" t="s">
        <v>34</v>
      </c>
      <c r="D913" t="s">
        <v>41</v>
      </c>
      <c r="F913">
        <v>4</v>
      </c>
      <c r="G913">
        <v>5</v>
      </c>
      <c r="H913">
        <v>8</v>
      </c>
      <c r="I913">
        <v>61</v>
      </c>
      <c r="K913" s="124">
        <v>45562</v>
      </c>
      <c r="L913">
        <v>271</v>
      </c>
      <c r="M913">
        <v>78</v>
      </c>
    </row>
    <row r="914" spans="1:13" x14ac:dyDescent="0.35">
      <c r="A914" t="s">
        <v>34</v>
      </c>
      <c r="D914" t="s">
        <v>41</v>
      </c>
      <c r="F914">
        <v>4</v>
      </c>
      <c r="G914">
        <v>5</v>
      </c>
      <c r="H914">
        <v>8</v>
      </c>
      <c r="I914">
        <v>61</v>
      </c>
      <c r="K914" s="124">
        <v>45571</v>
      </c>
      <c r="L914">
        <v>280</v>
      </c>
      <c r="M914">
        <v>86</v>
      </c>
    </row>
    <row r="915" spans="1:13" x14ac:dyDescent="0.35">
      <c r="A915" t="s">
        <v>34</v>
      </c>
      <c r="D915" t="s">
        <v>41</v>
      </c>
      <c r="F915">
        <v>4</v>
      </c>
      <c r="G915">
        <v>5</v>
      </c>
      <c r="H915">
        <v>8</v>
      </c>
      <c r="I915">
        <v>61</v>
      </c>
      <c r="K915" s="124">
        <v>45576</v>
      </c>
      <c r="L915">
        <v>285</v>
      </c>
      <c r="M915">
        <v>86</v>
      </c>
    </row>
    <row r="916" spans="1:13" x14ac:dyDescent="0.35">
      <c r="A916" t="s">
        <v>34</v>
      </c>
      <c r="D916" t="s">
        <v>41</v>
      </c>
      <c r="F916">
        <v>4</v>
      </c>
      <c r="G916">
        <v>5</v>
      </c>
      <c r="H916">
        <v>8</v>
      </c>
      <c r="I916">
        <v>61</v>
      </c>
      <c r="K916" s="124">
        <v>45590</v>
      </c>
      <c r="L916">
        <v>299</v>
      </c>
      <c r="M916">
        <v>86</v>
      </c>
    </row>
    <row r="917" spans="1:13" x14ac:dyDescent="0.35">
      <c r="A917" t="s">
        <v>34</v>
      </c>
      <c r="D917" t="s">
        <v>38</v>
      </c>
      <c r="F917">
        <v>4</v>
      </c>
      <c r="G917">
        <v>6</v>
      </c>
      <c r="H917">
        <v>8</v>
      </c>
      <c r="I917">
        <v>62</v>
      </c>
      <c r="K917" s="124">
        <v>45421</v>
      </c>
      <c r="L917">
        <v>130</v>
      </c>
    </row>
    <row r="918" spans="1:13" x14ac:dyDescent="0.35">
      <c r="A918" t="s">
        <v>34</v>
      </c>
      <c r="D918" t="s">
        <v>38</v>
      </c>
      <c r="F918">
        <v>4</v>
      </c>
      <c r="G918">
        <v>6</v>
      </c>
      <c r="H918">
        <v>8</v>
      </c>
      <c r="I918">
        <v>62</v>
      </c>
      <c r="K918" s="124">
        <v>45442</v>
      </c>
      <c r="L918">
        <v>151</v>
      </c>
      <c r="M918">
        <v>8</v>
      </c>
    </row>
    <row r="919" spans="1:13" x14ac:dyDescent="0.35">
      <c r="A919" t="s">
        <v>34</v>
      </c>
      <c r="D919" t="s">
        <v>38</v>
      </c>
      <c r="F919">
        <v>4</v>
      </c>
      <c r="G919">
        <v>6</v>
      </c>
      <c r="H919">
        <v>8</v>
      </c>
      <c r="I919">
        <v>62</v>
      </c>
      <c r="K919" s="124">
        <v>45461</v>
      </c>
      <c r="L919">
        <v>170</v>
      </c>
      <c r="M919">
        <v>15</v>
      </c>
    </row>
    <row r="920" spans="1:13" x14ac:dyDescent="0.35">
      <c r="A920" t="s">
        <v>34</v>
      </c>
      <c r="D920" t="s">
        <v>38</v>
      </c>
      <c r="F920">
        <v>4</v>
      </c>
      <c r="G920">
        <v>6</v>
      </c>
      <c r="H920">
        <v>8</v>
      </c>
      <c r="I920">
        <v>62</v>
      </c>
      <c r="K920" s="124">
        <v>45477</v>
      </c>
      <c r="L920">
        <v>186</v>
      </c>
      <c r="M920">
        <v>20</v>
      </c>
    </row>
    <row r="921" spans="1:13" x14ac:dyDescent="0.35">
      <c r="A921" t="s">
        <v>34</v>
      </c>
      <c r="D921" t="s">
        <v>38</v>
      </c>
      <c r="F921">
        <v>4</v>
      </c>
      <c r="G921">
        <v>6</v>
      </c>
      <c r="H921">
        <v>8</v>
      </c>
      <c r="I921">
        <v>62</v>
      </c>
      <c r="K921" s="124">
        <v>45491</v>
      </c>
      <c r="L921">
        <v>200</v>
      </c>
      <c r="M921">
        <v>33</v>
      </c>
    </row>
    <row r="922" spans="1:13" x14ac:dyDescent="0.35">
      <c r="A922" t="s">
        <v>34</v>
      </c>
      <c r="D922" t="s">
        <v>38</v>
      </c>
      <c r="F922">
        <v>4</v>
      </c>
      <c r="G922">
        <v>6</v>
      </c>
      <c r="H922">
        <v>8</v>
      </c>
      <c r="I922">
        <v>62</v>
      </c>
      <c r="K922" s="124">
        <v>45510</v>
      </c>
      <c r="L922">
        <v>219</v>
      </c>
      <c r="M922">
        <v>40</v>
      </c>
    </row>
    <row r="923" spans="1:13" x14ac:dyDescent="0.35">
      <c r="A923" t="s">
        <v>34</v>
      </c>
      <c r="D923" t="s">
        <v>38</v>
      </c>
      <c r="F923">
        <v>4</v>
      </c>
      <c r="G923">
        <v>6</v>
      </c>
      <c r="H923">
        <v>8</v>
      </c>
      <c r="I923">
        <v>62</v>
      </c>
      <c r="K923" s="124">
        <v>45530</v>
      </c>
      <c r="L923">
        <v>239</v>
      </c>
      <c r="M923">
        <v>56</v>
      </c>
    </row>
    <row r="924" spans="1:13" x14ac:dyDescent="0.35">
      <c r="A924" t="s">
        <v>34</v>
      </c>
      <c r="D924" t="s">
        <v>38</v>
      </c>
      <c r="F924">
        <v>4</v>
      </c>
      <c r="G924">
        <v>6</v>
      </c>
      <c r="H924">
        <v>8</v>
      </c>
      <c r="I924">
        <v>62</v>
      </c>
      <c r="K924" s="124">
        <v>45538</v>
      </c>
      <c r="L924">
        <v>247</v>
      </c>
      <c r="M924">
        <v>58</v>
      </c>
    </row>
    <row r="925" spans="1:13" x14ac:dyDescent="0.35">
      <c r="A925" t="s">
        <v>34</v>
      </c>
      <c r="D925" t="s">
        <v>38</v>
      </c>
      <c r="F925">
        <v>4</v>
      </c>
      <c r="G925">
        <v>6</v>
      </c>
      <c r="H925">
        <v>8</v>
      </c>
      <c r="I925">
        <v>62</v>
      </c>
      <c r="K925" s="124">
        <v>45547</v>
      </c>
      <c r="L925">
        <v>256</v>
      </c>
      <c r="M925">
        <v>69</v>
      </c>
    </row>
    <row r="926" spans="1:13" x14ac:dyDescent="0.35">
      <c r="A926" t="s">
        <v>34</v>
      </c>
      <c r="D926" t="s">
        <v>38</v>
      </c>
      <c r="F926">
        <v>4</v>
      </c>
      <c r="G926">
        <v>6</v>
      </c>
      <c r="H926">
        <v>8</v>
      </c>
      <c r="I926">
        <v>62</v>
      </c>
      <c r="K926" s="124">
        <v>45553</v>
      </c>
      <c r="L926">
        <v>262</v>
      </c>
      <c r="M926">
        <v>71</v>
      </c>
    </row>
    <row r="927" spans="1:13" x14ac:dyDescent="0.35">
      <c r="A927" t="s">
        <v>34</v>
      </c>
      <c r="D927" t="s">
        <v>38</v>
      </c>
      <c r="F927">
        <v>4</v>
      </c>
      <c r="G927">
        <v>6</v>
      </c>
      <c r="H927">
        <v>8</v>
      </c>
      <c r="I927">
        <v>62</v>
      </c>
      <c r="K927" s="124">
        <v>45558</v>
      </c>
      <c r="L927">
        <v>267</v>
      </c>
      <c r="M927">
        <v>75</v>
      </c>
    </row>
    <row r="928" spans="1:13" x14ac:dyDescent="0.35">
      <c r="A928" t="s">
        <v>34</v>
      </c>
      <c r="D928" t="s">
        <v>38</v>
      </c>
      <c r="F928">
        <v>4</v>
      </c>
      <c r="G928">
        <v>6</v>
      </c>
      <c r="H928">
        <v>8</v>
      </c>
      <c r="I928">
        <v>62</v>
      </c>
      <c r="K928" s="124">
        <v>45562</v>
      </c>
      <c r="L928">
        <v>271</v>
      </c>
      <c r="M928">
        <v>75</v>
      </c>
    </row>
    <row r="929" spans="1:13" x14ac:dyDescent="0.35">
      <c r="A929" t="s">
        <v>34</v>
      </c>
      <c r="D929" t="s">
        <v>38</v>
      </c>
      <c r="F929">
        <v>4</v>
      </c>
      <c r="G929">
        <v>6</v>
      </c>
      <c r="H929">
        <v>8</v>
      </c>
      <c r="I929">
        <v>62</v>
      </c>
      <c r="K929" s="124">
        <v>45571</v>
      </c>
      <c r="L929">
        <v>280</v>
      </c>
      <c r="M929">
        <v>93</v>
      </c>
    </row>
    <row r="930" spans="1:13" x14ac:dyDescent="0.35">
      <c r="A930" t="s">
        <v>34</v>
      </c>
      <c r="D930" t="s">
        <v>38</v>
      </c>
      <c r="F930">
        <v>4</v>
      </c>
      <c r="G930">
        <v>6</v>
      </c>
      <c r="H930">
        <v>8</v>
      </c>
      <c r="I930">
        <v>62</v>
      </c>
      <c r="K930" s="124">
        <v>45576</v>
      </c>
      <c r="L930">
        <v>285</v>
      </c>
      <c r="M930">
        <v>92</v>
      </c>
    </row>
    <row r="931" spans="1:13" x14ac:dyDescent="0.35">
      <c r="A931" t="s">
        <v>34</v>
      </c>
      <c r="D931" t="s">
        <v>38</v>
      </c>
      <c r="F931">
        <v>4</v>
      </c>
      <c r="G931">
        <v>6</v>
      </c>
      <c r="H931">
        <v>8</v>
      </c>
      <c r="I931">
        <v>62</v>
      </c>
      <c r="K931" s="124">
        <v>45590</v>
      </c>
      <c r="L931">
        <v>299</v>
      </c>
      <c r="M931">
        <v>91</v>
      </c>
    </row>
    <row r="932" spans="1:13" x14ac:dyDescent="0.35">
      <c r="A932" t="s">
        <v>34</v>
      </c>
      <c r="D932" t="s">
        <v>42</v>
      </c>
      <c r="F932">
        <v>4</v>
      </c>
      <c r="G932">
        <v>7</v>
      </c>
      <c r="H932">
        <v>8</v>
      </c>
      <c r="I932">
        <v>63</v>
      </c>
      <c r="K932" s="124">
        <v>45421</v>
      </c>
      <c r="L932">
        <v>130</v>
      </c>
    </row>
    <row r="933" spans="1:13" x14ac:dyDescent="0.35">
      <c r="A933" t="s">
        <v>34</v>
      </c>
      <c r="D933" t="s">
        <v>42</v>
      </c>
      <c r="F933">
        <v>4</v>
      </c>
      <c r="G933">
        <v>7</v>
      </c>
      <c r="H933">
        <v>8</v>
      </c>
      <c r="I933">
        <v>63</v>
      </c>
      <c r="K933" s="124">
        <v>45442</v>
      </c>
      <c r="L933">
        <v>151</v>
      </c>
      <c r="M933">
        <v>8</v>
      </c>
    </row>
    <row r="934" spans="1:13" x14ac:dyDescent="0.35">
      <c r="A934" t="s">
        <v>34</v>
      </c>
      <c r="D934" t="s">
        <v>42</v>
      </c>
      <c r="F934">
        <v>4</v>
      </c>
      <c r="G934">
        <v>7</v>
      </c>
      <c r="H934">
        <v>8</v>
      </c>
      <c r="I934">
        <v>63</v>
      </c>
      <c r="K934" s="124">
        <v>45461</v>
      </c>
      <c r="L934">
        <v>170</v>
      </c>
      <c r="M934">
        <v>19</v>
      </c>
    </row>
    <row r="935" spans="1:13" x14ac:dyDescent="0.35">
      <c r="A935" t="s">
        <v>34</v>
      </c>
      <c r="D935" t="s">
        <v>42</v>
      </c>
      <c r="F935">
        <v>4</v>
      </c>
      <c r="G935">
        <v>7</v>
      </c>
      <c r="H935">
        <v>8</v>
      </c>
      <c r="I935">
        <v>63</v>
      </c>
      <c r="K935" s="124">
        <v>45477</v>
      </c>
      <c r="L935">
        <v>186</v>
      </c>
      <c r="M935">
        <v>19</v>
      </c>
    </row>
    <row r="936" spans="1:13" x14ac:dyDescent="0.35">
      <c r="A936" t="s">
        <v>34</v>
      </c>
      <c r="D936" t="s">
        <v>42</v>
      </c>
      <c r="F936">
        <v>4</v>
      </c>
      <c r="G936">
        <v>7</v>
      </c>
      <c r="H936">
        <v>8</v>
      </c>
      <c r="I936">
        <v>63</v>
      </c>
      <c r="K936" s="124">
        <v>45491</v>
      </c>
      <c r="L936">
        <v>200</v>
      </c>
      <c r="M936">
        <v>31</v>
      </c>
    </row>
    <row r="937" spans="1:13" x14ac:dyDescent="0.35">
      <c r="A937" t="s">
        <v>34</v>
      </c>
      <c r="D937" t="s">
        <v>42</v>
      </c>
      <c r="F937">
        <v>4</v>
      </c>
      <c r="G937">
        <v>7</v>
      </c>
      <c r="H937">
        <v>8</v>
      </c>
      <c r="I937">
        <v>63</v>
      </c>
      <c r="K937" s="124">
        <v>45510</v>
      </c>
      <c r="L937">
        <v>219</v>
      </c>
      <c r="M937">
        <v>40</v>
      </c>
    </row>
    <row r="938" spans="1:13" x14ac:dyDescent="0.35">
      <c r="A938" t="s">
        <v>34</v>
      </c>
      <c r="D938" t="s">
        <v>42</v>
      </c>
      <c r="F938">
        <v>4</v>
      </c>
      <c r="G938">
        <v>7</v>
      </c>
      <c r="H938">
        <v>8</v>
      </c>
      <c r="I938">
        <v>63</v>
      </c>
      <c r="K938" s="124">
        <v>45530</v>
      </c>
      <c r="L938">
        <v>239</v>
      </c>
      <c r="M938">
        <v>58</v>
      </c>
    </row>
    <row r="939" spans="1:13" x14ac:dyDescent="0.35">
      <c r="A939" t="s">
        <v>34</v>
      </c>
      <c r="D939" t="s">
        <v>42</v>
      </c>
      <c r="F939">
        <v>4</v>
      </c>
      <c r="G939">
        <v>7</v>
      </c>
      <c r="H939">
        <v>8</v>
      </c>
      <c r="I939">
        <v>63</v>
      </c>
      <c r="K939" s="124">
        <v>45538</v>
      </c>
      <c r="L939">
        <v>247</v>
      </c>
      <c r="M939">
        <v>60</v>
      </c>
    </row>
    <row r="940" spans="1:13" x14ac:dyDescent="0.35">
      <c r="A940" t="s">
        <v>34</v>
      </c>
      <c r="D940" t="s">
        <v>42</v>
      </c>
      <c r="F940">
        <v>4</v>
      </c>
      <c r="G940">
        <v>7</v>
      </c>
      <c r="H940">
        <v>8</v>
      </c>
      <c r="I940">
        <v>63</v>
      </c>
      <c r="K940" s="124">
        <v>45547</v>
      </c>
      <c r="L940">
        <v>256</v>
      </c>
      <c r="M940">
        <v>72</v>
      </c>
    </row>
    <row r="941" spans="1:13" x14ac:dyDescent="0.35">
      <c r="A941" t="s">
        <v>34</v>
      </c>
      <c r="D941" t="s">
        <v>42</v>
      </c>
      <c r="F941">
        <v>4</v>
      </c>
      <c r="G941">
        <v>7</v>
      </c>
      <c r="H941">
        <v>8</v>
      </c>
      <c r="I941">
        <v>63</v>
      </c>
      <c r="K941" s="124">
        <v>45553</v>
      </c>
      <c r="L941">
        <v>262</v>
      </c>
      <c r="M941">
        <v>76</v>
      </c>
    </row>
    <row r="942" spans="1:13" x14ac:dyDescent="0.35">
      <c r="A942" t="s">
        <v>34</v>
      </c>
      <c r="D942" t="s">
        <v>42</v>
      </c>
      <c r="F942">
        <v>4</v>
      </c>
      <c r="G942">
        <v>7</v>
      </c>
      <c r="H942">
        <v>8</v>
      </c>
      <c r="I942">
        <v>63</v>
      </c>
      <c r="K942" s="124">
        <v>45558</v>
      </c>
      <c r="L942">
        <v>267</v>
      </c>
      <c r="M942">
        <v>76</v>
      </c>
    </row>
    <row r="943" spans="1:13" x14ac:dyDescent="0.35">
      <c r="A943" t="s">
        <v>34</v>
      </c>
      <c r="D943" t="s">
        <v>42</v>
      </c>
      <c r="F943">
        <v>4</v>
      </c>
      <c r="G943">
        <v>7</v>
      </c>
      <c r="H943">
        <v>8</v>
      </c>
      <c r="I943">
        <v>63</v>
      </c>
      <c r="K943" s="124">
        <v>45562</v>
      </c>
      <c r="L943">
        <v>271</v>
      </c>
      <c r="M943">
        <v>77</v>
      </c>
    </row>
    <row r="944" spans="1:13" x14ac:dyDescent="0.35">
      <c r="A944" t="s">
        <v>34</v>
      </c>
      <c r="D944" t="s">
        <v>42</v>
      </c>
      <c r="F944">
        <v>4</v>
      </c>
      <c r="G944">
        <v>7</v>
      </c>
      <c r="H944">
        <v>8</v>
      </c>
      <c r="I944">
        <v>63</v>
      </c>
      <c r="K944" s="124">
        <v>45571</v>
      </c>
      <c r="L944">
        <v>280</v>
      </c>
      <c r="M944">
        <v>92</v>
      </c>
    </row>
    <row r="945" spans="1:13" x14ac:dyDescent="0.35">
      <c r="A945" t="s">
        <v>34</v>
      </c>
      <c r="D945" t="s">
        <v>42</v>
      </c>
      <c r="F945">
        <v>4</v>
      </c>
      <c r="G945">
        <v>7</v>
      </c>
      <c r="H945">
        <v>8</v>
      </c>
      <c r="I945">
        <v>63</v>
      </c>
      <c r="K945" s="124">
        <v>45576</v>
      </c>
      <c r="L945">
        <v>285</v>
      </c>
      <c r="M945">
        <v>91</v>
      </c>
    </row>
    <row r="946" spans="1:13" x14ac:dyDescent="0.35">
      <c r="A946" t="s">
        <v>34</v>
      </c>
      <c r="D946" t="s">
        <v>42</v>
      </c>
      <c r="F946">
        <v>4</v>
      </c>
      <c r="G946">
        <v>7</v>
      </c>
      <c r="H946">
        <v>8</v>
      </c>
      <c r="I946">
        <v>63</v>
      </c>
      <c r="K946" s="124">
        <v>45590</v>
      </c>
      <c r="L946">
        <v>299</v>
      </c>
      <c r="M946">
        <v>91</v>
      </c>
    </row>
    <row r="947" spans="1:13" x14ac:dyDescent="0.35">
      <c r="A947" t="s">
        <v>34</v>
      </c>
      <c r="D947" t="s">
        <v>43</v>
      </c>
      <c r="F947">
        <v>4</v>
      </c>
      <c r="G947">
        <v>8</v>
      </c>
      <c r="H947">
        <v>8</v>
      </c>
      <c r="I947">
        <v>64</v>
      </c>
      <c r="K947" s="124">
        <v>45421</v>
      </c>
      <c r="L947">
        <v>130</v>
      </c>
    </row>
    <row r="948" spans="1:13" x14ac:dyDescent="0.35">
      <c r="A948" t="s">
        <v>34</v>
      </c>
      <c r="D948" t="s">
        <v>43</v>
      </c>
      <c r="F948">
        <v>4</v>
      </c>
      <c r="G948">
        <v>8</v>
      </c>
      <c r="H948">
        <v>8</v>
      </c>
      <c r="I948">
        <v>64</v>
      </c>
      <c r="K948" s="124">
        <v>45442</v>
      </c>
      <c r="L948">
        <v>151</v>
      </c>
      <c r="M948">
        <v>7</v>
      </c>
    </row>
    <row r="949" spans="1:13" x14ac:dyDescent="0.35">
      <c r="A949" t="s">
        <v>34</v>
      </c>
      <c r="D949" t="s">
        <v>43</v>
      </c>
      <c r="F949">
        <v>4</v>
      </c>
      <c r="G949">
        <v>8</v>
      </c>
      <c r="H949">
        <v>8</v>
      </c>
      <c r="I949">
        <v>64</v>
      </c>
      <c r="K949" s="124">
        <v>45461</v>
      </c>
      <c r="L949">
        <v>170</v>
      </c>
      <c r="M949">
        <v>19</v>
      </c>
    </row>
    <row r="950" spans="1:13" x14ac:dyDescent="0.35">
      <c r="A950" t="s">
        <v>34</v>
      </c>
      <c r="D950" t="s">
        <v>43</v>
      </c>
      <c r="F950">
        <v>4</v>
      </c>
      <c r="G950">
        <v>8</v>
      </c>
      <c r="H950">
        <v>8</v>
      </c>
      <c r="I950">
        <v>64</v>
      </c>
      <c r="K950" s="124">
        <v>45477</v>
      </c>
      <c r="L950">
        <v>186</v>
      </c>
      <c r="M950">
        <v>19</v>
      </c>
    </row>
    <row r="951" spans="1:13" x14ac:dyDescent="0.35">
      <c r="A951" t="s">
        <v>34</v>
      </c>
      <c r="D951" t="s">
        <v>43</v>
      </c>
      <c r="F951">
        <v>4</v>
      </c>
      <c r="G951">
        <v>8</v>
      </c>
      <c r="H951">
        <v>8</v>
      </c>
      <c r="I951">
        <v>64</v>
      </c>
      <c r="K951" s="124">
        <v>45491</v>
      </c>
      <c r="L951">
        <v>200</v>
      </c>
      <c r="M951">
        <v>29</v>
      </c>
    </row>
    <row r="952" spans="1:13" x14ac:dyDescent="0.35">
      <c r="A952" t="s">
        <v>34</v>
      </c>
      <c r="D952" t="s">
        <v>43</v>
      </c>
      <c r="F952">
        <v>4</v>
      </c>
      <c r="G952">
        <v>8</v>
      </c>
      <c r="H952">
        <v>8</v>
      </c>
      <c r="I952">
        <v>64</v>
      </c>
      <c r="K952" s="124">
        <v>45510</v>
      </c>
      <c r="L952">
        <v>219</v>
      </c>
      <c r="M952">
        <v>31</v>
      </c>
    </row>
    <row r="953" spans="1:13" x14ac:dyDescent="0.35">
      <c r="A953" t="s">
        <v>34</v>
      </c>
      <c r="D953" t="s">
        <v>43</v>
      </c>
      <c r="F953">
        <v>4</v>
      </c>
      <c r="G953">
        <v>8</v>
      </c>
      <c r="H953">
        <v>8</v>
      </c>
      <c r="I953">
        <v>64</v>
      </c>
      <c r="K953" s="124">
        <v>45530</v>
      </c>
      <c r="L953">
        <v>239</v>
      </c>
      <c r="M953">
        <v>52</v>
      </c>
    </row>
    <row r="954" spans="1:13" x14ac:dyDescent="0.35">
      <c r="A954" t="s">
        <v>34</v>
      </c>
      <c r="D954" t="s">
        <v>43</v>
      </c>
      <c r="F954">
        <v>4</v>
      </c>
      <c r="G954">
        <v>8</v>
      </c>
      <c r="H954">
        <v>8</v>
      </c>
      <c r="I954">
        <v>64</v>
      </c>
      <c r="K954" s="124">
        <v>45538</v>
      </c>
      <c r="L954">
        <v>247</v>
      </c>
      <c r="M954">
        <v>58</v>
      </c>
    </row>
    <row r="955" spans="1:13" x14ac:dyDescent="0.35">
      <c r="A955" t="s">
        <v>34</v>
      </c>
      <c r="D955" t="s">
        <v>43</v>
      </c>
      <c r="F955">
        <v>4</v>
      </c>
      <c r="G955">
        <v>8</v>
      </c>
      <c r="H955">
        <v>8</v>
      </c>
      <c r="I955">
        <v>64</v>
      </c>
      <c r="K955" s="124">
        <v>45547</v>
      </c>
      <c r="L955">
        <v>256</v>
      </c>
      <c r="M955">
        <v>64</v>
      </c>
    </row>
    <row r="956" spans="1:13" x14ac:dyDescent="0.35">
      <c r="A956" t="s">
        <v>34</v>
      </c>
      <c r="D956" t="s">
        <v>43</v>
      </c>
      <c r="F956">
        <v>4</v>
      </c>
      <c r="G956">
        <v>8</v>
      </c>
      <c r="H956">
        <v>8</v>
      </c>
      <c r="I956">
        <v>64</v>
      </c>
      <c r="K956" s="124">
        <v>45553</v>
      </c>
      <c r="L956">
        <v>262</v>
      </c>
      <c r="M956">
        <v>66</v>
      </c>
    </row>
    <row r="957" spans="1:13" x14ac:dyDescent="0.35">
      <c r="A957" t="s">
        <v>34</v>
      </c>
      <c r="D957" t="s">
        <v>43</v>
      </c>
      <c r="F957">
        <v>4</v>
      </c>
      <c r="G957">
        <v>8</v>
      </c>
      <c r="H957">
        <v>8</v>
      </c>
      <c r="I957">
        <v>64</v>
      </c>
      <c r="K957" s="124">
        <v>45558</v>
      </c>
      <c r="L957">
        <v>267</v>
      </c>
      <c r="M957">
        <v>75</v>
      </c>
    </row>
    <row r="958" spans="1:13" x14ac:dyDescent="0.35">
      <c r="A958" t="s">
        <v>34</v>
      </c>
      <c r="D958" t="s">
        <v>43</v>
      </c>
      <c r="F958">
        <v>4</v>
      </c>
      <c r="G958">
        <v>8</v>
      </c>
      <c r="H958">
        <v>8</v>
      </c>
      <c r="I958">
        <v>64</v>
      </c>
      <c r="K958" s="124">
        <v>45562</v>
      </c>
      <c r="L958">
        <v>271</v>
      </c>
      <c r="M958">
        <v>75</v>
      </c>
    </row>
    <row r="959" spans="1:13" x14ac:dyDescent="0.35">
      <c r="A959" t="s">
        <v>34</v>
      </c>
      <c r="D959" t="s">
        <v>43</v>
      </c>
      <c r="F959">
        <v>4</v>
      </c>
      <c r="G959">
        <v>8</v>
      </c>
      <c r="H959">
        <v>8</v>
      </c>
      <c r="I959">
        <v>64</v>
      </c>
      <c r="K959" s="124">
        <v>45571</v>
      </c>
      <c r="L959">
        <v>280</v>
      </c>
      <c r="M959">
        <v>89</v>
      </c>
    </row>
    <row r="960" spans="1:13" x14ac:dyDescent="0.35">
      <c r="A960" t="s">
        <v>34</v>
      </c>
      <c r="D960" t="s">
        <v>43</v>
      </c>
      <c r="F960">
        <v>4</v>
      </c>
      <c r="G960">
        <v>8</v>
      </c>
      <c r="H960">
        <v>8</v>
      </c>
      <c r="I960">
        <v>64</v>
      </c>
      <c r="K960" s="124">
        <v>45576</v>
      </c>
      <c r="L960">
        <v>285</v>
      </c>
      <c r="M960">
        <v>90</v>
      </c>
    </row>
    <row r="961" spans="1:13" x14ac:dyDescent="0.35">
      <c r="A961" t="s">
        <v>34</v>
      </c>
      <c r="D961" t="s">
        <v>43</v>
      </c>
      <c r="F961">
        <v>4</v>
      </c>
      <c r="G961">
        <v>8</v>
      </c>
      <c r="H961">
        <v>8</v>
      </c>
      <c r="I961">
        <v>64</v>
      </c>
      <c r="K961" s="124">
        <v>45590</v>
      </c>
      <c r="L961">
        <v>299</v>
      </c>
      <c r="M961">
        <v>91</v>
      </c>
    </row>
  </sheetData>
  <autoFilter ref="A1:M961" xr:uid="{C8923B83-FE2B-4466-B48A-94013F892B5F}"/>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92AF-EAD7-4218-A8DF-F4F8B8B6E220}">
  <sheetPr filterMode="1">
    <tabColor theme="9" tint="0.59999389629810485"/>
  </sheetPr>
  <dimension ref="A1:S2305"/>
  <sheetViews>
    <sheetView topLeftCell="A1412" workbookViewId="0">
      <selection activeCell="P209" sqref="P209"/>
    </sheetView>
  </sheetViews>
  <sheetFormatPr defaultRowHeight="14.5" x14ac:dyDescent="0.35"/>
  <cols>
    <col min="1" max="9" width="8.81640625" style="6"/>
    <col min="10" max="11" width="13.54296875" customWidth="1"/>
    <col min="12" max="12" width="11.453125"/>
  </cols>
  <sheetData>
    <row r="1" spans="1:19" ht="43.5" x14ac:dyDescent="0.35">
      <c r="A1" s="70" t="s">
        <v>44</v>
      </c>
      <c r="B1" s="70" t="s">
        <v>45</v>
      </c>
      <c r="C1" s="70" t="s">
        <v>46</v>
      </c>
      <c r="D1" s="70" t="s">
        <v>47</v>
      </c>
      <c r="E1" s="70" t="s">
        <v>48</v>
      </c>
      <c r="F1" s="70" t="s">
        <v>50</v>
      </c>
      <c r="G1" s="70" t="s">
        <v>51</v>
      </c>
      <c r="H1" s="70" t="s">
        <v>49</v>
      </c>
      <c r="I1" s="70" t="s">
        <v>54</v>
      </c>
      <c r="J1" s="70" t="s">
        <v>155</v>
      </c>
      <c r="K1" s="4" t="s">
        <v>156</v>
      </c>
      <c r="L1" s="1" t="s">
        <v>736</v>
      </c>
      <c r="M1" s="4" t="s">
        <v>735</v>
      </c>
      <c r="N1" s="138" t="s">
        <v>164</v>
      </c>
      <c r="O1" s="138" t="s">
        <v>165</v>
      </c>
      <c r="P1" s="138" t="s">
        <v>166</v>
      </c>
      <c r="Q1" s="138" t="s">
        <v>167</v>
      </c>
      <c r="R1" s="138" t="s">
        <v>168</v>
      </c>
      <c r="S1" s="4"/>
    </row>
    <row r="2" spans="1:19" s="28" customFormat="1" hidden="1" x14ac:dyDescent="0.35">
      <c r="A2" t="s">
        <v>24</v>
      </c>
      <c r="B2" s="79"/>
      <c r="C2" s="79"/>
      <c r="D2" t="s">
        <v>27</v>
      </c>
      <c r="E2" s="79"/>
      <c r="F2">
        <v>1</v>
      </c>
      <c r="G2">
        <v>1</v>
      </c>
      <c r="H2">
        <v>1</v>
      </c>
      <c r="I2">
        <v>1</v>
      </c>
      <c r="J2" s="79"/>
      <c r="K2" s="122">
        <v>45442</v>
      </c>
      <c r="L2" t="s">
        <v>737</v>
      </c>
      <c r="M2">
        <v>4.7</v>
      </c>
    </row>
    <row r="3" spans="1:19" s="28" customFormat="1" hidden="1" x14ac:dyDescent="0.35">
      <c r="A3" t="s">
        <v>24</v>
      </c>
      <c r="B3" s="79"/>
      <c r="C3" s="79"/>
      <c r="D3" t="s">
        <v>27</v>
      </c>
      <c r="E3" s="79"/>
      <c r="F3">
        <v>1</v>
      </c>
      <c r="G3">
        <v>1</v>
      </c>
      <c r="H3">
        <v>1</v>
      </c>
      <c r="I3">
        <v>1</v>
      </c>
      <c r="J3" s="79"/>
      <c r="K3" s="122">
        <v>45442</v>
      </c>
      <c r="L3" t="s">
        <v>738</v>
      </c>
      <c r="M3">
        <v>4.8</v>
      </c>
    </row>
    <row r="4" spans="1:19" s="28" customFormat="1" hidden="1" x14ac:dyDescent="0.35">
      <c r="A4" t="s">
        <v>24</v>
      </c>
      <c r="B4" s="79"/>
      <c r="C4" s="79"/>
      <c r="D4" t="s">
        <v>27</v>
      </c>
      <c r="E4" s="79"/>
      <c r="F4">
        <v>1</v>
      </c>
      <c r="G4">
        <v>1</v>
      </c>
      <c r="H4">
        <v>1</v>
      </c>
      <c r="I4">
        <v>1</v>
      </c>
      <c r="J4" s="79"/>
      <c r="K4" s="122">
        <v>45442</v>
      </c>
      <c r="L4" t="s">
        <v>739</v>
      </c>
      <c r="M4">
        <v>4.5</v>
      </c>
    </row>
    <row r="5" spans="1:19" s="28" customFormat="1" hidden="1" x14ac:dyDescent="0.35">
      <c r="A5" t="s">
        <v>24</v>
      </c>
      <c r="B5" s="79"/>
      <c r="C5" s="79"/>
      <c r="D5" t="s">
        <v>27</v>
      </c>
      <c r="E5" s="79"/>
      <c r="F5">
        <v>4</v>
      </c>
      <c r="G5">
        <v>7</v>
      </c>
      <c r="H5">
        <v>4</v>
      </c>
      <c r="I5">
        <v>52</v>
      </c>
      <c r="J5" s="79"/>
      <c r="K5" s="122">
        <v>45442</v>
      </c>
      <c r="L5" t="s">
        <v>737</v>
      </c>
      <c r="M5"/>
    </row>
    <row r="6" spans="1:19" s="28" customFormat="1" hidden="1" x14ac:dyDescent="0.35">
      <c r="A6" t="s">
        <v>24</v>
      </c>
      <c r="B6" s="79"/>
      <c r="C6" s="79"/>
      <c r="D6" t="s">
        <v>27</v>
      </c>
      <c r="E6" s="79"/>
      <c r="F6">
        <v>4</v>
      </c>
      <c r="G6">
        <v>7</v>
      </c>
      <c r="H6">
        <v>4</v>
      </c>
      <c r="I6">
        <v>52</v>
      </c>
      <c r="J6" s="79"/>
      <c r="K6" s="122">
        <v>45442</v>
      </c>
      <c r="L6" t="s">
        <v>738</v>
      </c>
      <c r="M6"/>
    </row>
    <row r="7" spans="1:19" s="28" customFormat="1" hidden="1" x14ac:dyDescent="0.35">
      <c r="A7" t="s">
        <v>24</v>
      </c>
      <c r="B7" s="79"/>
      <c r="C7" s="79"/>
      <c r="D7" t="s">
        <v>27</v>
      </c>
      <c r="E7" s="79"/>
      <c r="F7">
        <v>4</v>
      </c>
      <c r="G7">
        <v>7</v>
      </c>
      <c r="H7">
        <v>4</v>
      </c>
      <c r="I7">
        <v>52</v>
      </c>
      <c r="J7" s="79"/>
      <c r="K7" s="122">
        <v>45442</v>
      </c>
      <c r="L7" t="s">
        <v>739</v>
      </c>
      <c r="M7"/>
    </row>
    <row r="8" spans="1:19" s="28" customFormat="1" hidden="1" x14ac:dyDescent="0.35">
      <c r="A8" t="s">
        <v>24</v>
      </c>
      <c r="B8" s="79"/>
      <c r="C8" s="79"/>
      <c r="D8" t="s">
        <v>27</v>
      </c>
      <c r="E8" s="79"/>
      <c r="F8">
        <v>5</v>
      </c>
      <c r="G8">
        <v>5</v>
      </c>
      <c r="H8">
        <v>3</v>
      </c>
      <c r="I8">
        <v>37</v>
      </c>
      <c r="J8" s="79"/>
      <c r="K8" s="122">
        <v>45442</v>
      </c>
      <c r="L8" t="s">
        <v>737</v>
      </c>
      <c r="M8"/>
    </row>
    <row r="9" spans="1:19" s="28" customFormat="1" hidden="1" x14ac:dyDescent="0.35">
      <c r="A9" t="s">
        <v>24</v>
      </c>
      <c r="B9" s="79"/>
      <c r="C9" s="79"/>
      <c r="D9" t="s">
        <v>27</v>
      </c>
      <c r="E9" s="79"/>
      <c r="F9">
        <v>5</v>
      </c>
      <c r="G9">
        <v>5</v>
      </c>
      <c r="H9">
        <v>3</v>
      </c>
      <c r="I9">
        <v>37</v>
      </c>
      <c r="J9" s="79"/>
      <c r="K9" s="122">
        <v>45442</v>
      </c>
      <c r="L9" t="s">
        <v>738</v>
      </c>
      <c r="M9"/>
    </row>
    <row r="10" spans="1:19" hidden="1" x14ac:dyDescent="0.35">
      <c r="A10" t="s">
        <v>24</v>
      </c>
      <c r="D10" t="s">
        <v>27</v>
      </c>
      <c r="F10">
        <v>5</v>
      </c>
      <c r="G10">
        <v>5</v>
      </c>
      <c r="H10">
        <v>3</v>
      </c>
      <c r="I10">
        <v>37</v>
      </c>
      <c r="J10" s="6"/>
      <c r="K10" s="122">
        <v>45442</v>
      </c>
      <c r="L10" t="s">
        <v>739</v>
      </c>
    </row>
    <row r="11" spans="1:19" hidden="1" x14ac:dyDescent="0.35">
      <c r="A11" t="s">
        <v>24</v>
      </c>
      <c r="D11" t="s">
        <v>27</v>
      </c>
      <c r="F11">
        <v>8</v>
      </c>
      <c r="G11">
        <v>3</v>
      </c>
      <c r="H11">
        <v>2</v>
      </c>
      <c r="I11">
        <v>24</v>
      </c>
      <c r="J11" s="6"/>
      <c r="K11" s="122">
        <v>45442</v>
      </c>
      <c r="L11" t="s">
        <v>737</v>
      </c>
      <c r="M11">
        <v>4.5</v>
      </c>
    </row>
    <row r="12" spans="1:19" hidden="1" x14ac:dyDescent="0.35">
      <c r="A12" t="s">
        <v>24</v>
      </c>
      <c r="D12" t="s">
        <v>27</v>
      </c>
      <c r="F12">
        <v>8</v>
      </c>
      <c r="G12">
        <v>3</v>
      </c>
      <c r="H12">
        <v>2</v>
      </c>
      <c r="I12">
        <v>24</v>
      </c>
      <c r="J12" s="6"/>
      <c r="K12" s="122">
        <v>45442</v>
      </c>
      <c r="L12" t="s">
        <v>738</v>
      </c>
      <c r="M12">
        <v>4.3</v>
      </c>
    </row>
    <row r="13" spans="1:19" hidden="1" x14ac:dyDescent="0.35">
      <c r="A13" t="s">
        <v>24</v>
      </c>
      <c r="D13" t="s">
        <v>27</v>
      </c>
      <c r="F13">
        <v>8</v>
      </c>
      <c r="G13">
        <v>3</v>
      </c>
      <c r="H13">
        <v>2</v>
      </c>
      <c r="I13">
        <v>24</v>
      </c>
      <c r="J13" s="6"/>
      <c r="K13" s="122">
        <v>45442</v>
      </c>
      <c r="L13" t="s">
        <v>739</v>
      </c>
      <c r="M13">
        <v>4.7</v>
      </c>
    </row>
    <row r="14" spans="1:19" hidden="1" x14ac:dyDescent="0.35">
      <c r="A14" t="s">
        <v>24</v>
      </c>
      <c r="D14" t="s">
        <v>27</v>
      </c>
      <c r="F14">
        <v>1</v>
      </c>
      <c r="G14">
        <v>1</v>
      </c>
      <c r="H14">
        <v>1</v>
      </c>
      <c r="I14">
        <v>1</v>
      </c>
      <c r="J14" s="6"/>
      <c r="K14" s="122">
        <v>45447</v>
      </c>
      <c r="L14" t="s">
        <v>737</v>
      </c>
      <c r="M14">
        <v>5.3</v>
      </c>
    </row>
    <row r="15" spans="1:19" hidden="1" x14ac:dyDescent="0.35">
      <c r="A15" t="s">
        <v>24</v>
      </c>
      <c r="D15" t="s">
        <v>27</v>
      </c>
      <c r="F15">
        <v>1</v>
      </c>
      <c r="G15">
        <v>1</v>
      </c>
      <c r="H15">
        <v>1</v>
      </c>
      <c r="I15">
        <v>1</v>
      </c>
      <c r="J15" s="6"/>
      <c r="K15" s="122">
        <v>45447</v>
      </c>
      <c r="L15" t="s">
        <v>738</v>
      </c>
      <c r="M15">
        <v>5.3</v>
      </c>
    </row>
    <row r="16" spans="1:19" hidden="1" x14ac:dyDescent="0.35">
      <c r="A16" t="s">
        <v>24</v>
      </c>
      <c r="D16" t="s">
        <v>27</v>
      </c>
      <c r="F16">
        <v>1</v>
      </c>
      <c r="G16">
        <v>1</v>
      </c>
      <c r="H16">
        <v>1</v>
      </c>
      <c r="I16">
        <v>1</v>
      </c>
      <c r="J16" s="6"/>
      <c r="K16" s="122">
        <v>45447</v>
      </c>
      <c r="L16" t="s">
        <v>739</v>
      </c>
      <c r="M16">
        <v>5.2</v>
      </c>
    </row>
    <row r="17" spans="1:13" hidden="1" x14ac:dyDescent="0.35">
      <c r="A17" t="s">
        <v>24</v>
      </c>
      <c r="D17" t="s">
        <v>27</v>
      </c>
      <c r="F17">
        <v>4</v>
      </c>
      <c r="G17">
        <v>7</v>
      </c>
      <c r="H17">
        <v>4</v>
      </c>
      <c r="I17">
        <v>52</v>
      </c>
      <c r="J17" s="6"/>
      <c r="K17" s="122">
        <v>45447</v>
      </c>
      <c r="L17" t="s">
        <v>737</v>
      </c>
      <c r="M17">
        <v>5.3</v>
      </c>
    </row>
    <row r="18" spans="1:13" s="28" customFormat="1" hidden="1" x14ac:dyDescent="0.35">
      <c r="A18" t="s">
        <v>24</v>
      </c>
      <c r="B18" s="79"/>
      <c r="C18" s="79"/>
      <c r="D18" t="s">
        <v>27</v>
      </c>
      <c r="E18" s="79"/>
      <c r="F18">
        <v>4</v>
      </c>
      <c r="G18">
        <v>7</v>
      </c>
      <c r="H18">
        <v>4</v>
      </c>
      <c r="I18">
        <v>52</v>
      </c>
      <c r="J18" s="79"/>
      <c r="K18" s="122">
        <v>45447</v>
      </c>
      <c r="L18" t="s">
        <v>738</v>
      </c>
      <c r="M18">
        <v>5.0999999999999996</v>
      </c>
    </row>
    <row r="19" spans="1:13" s="28" customFormat="1" hidden="1" x14ac:dyDescent="0.35">
      <c r="A19" t="s">
        <v>24</v>
      </c>
      <c r="B19" s="79"/>
      <c r="C19" s="79"/>
      <c r="D19" t="s">
        <v>27</v>
      </c>
      <c r="E19" s="79"/>
      <c r="F19">
        <v>4</v>
      </c>
      <c r="G19">
        <v>7</v>
      </c>
      <c r="H19">
        <v>4</v>
      </c>
      <c r="I19">
        <v>52</v>
      </c>
      <c r="J19" s="79"/>
      <c r="K19" s="122">
        <v>45447</v>
      </c>
      <c r="L19" t="s">
        <v>739</v>
      </c>
      <c r="M19">
        <v>5.2</v>
      </c>
    </row>
    <row r="20" spans="1:13" s="28" customFormat="1" hidden="1" x14ac:dyDescent="0.35">
      <c r="A20" t="s">
        <v>24</v>
      </c>
      <c r="B20" s="79"/>
      <c r="C20" s="79"/>
      <c r="D20" t="s">
        <v>27</v>
      </c>
      <c r="E20" s="79"/>
      <c r="F20">
        <v>5</v>
      </c>
      <c r="G20">
        <v>5</v>
      </c>
      <c r="H20">
        <v>3</v>
      </c>
      <c r="I20">
        <v>37</v>
      </c>
      <c r="J20" s="79"/>
      <c r="K20" s="122">
        <v>45447</v>
      </c>
      <c r="L20" t="s">
        <v>737</v>
      </c>
      <c r="M20">
        <v>5.6</v>
      </c>
    </row>
    <row r="21" spans="1:13" s="28" customFormat="1" hidden="1" x14ac:dyDescent="0.35">
      <c r="A21" t="s">
        <v>24</v>
      </c>
      <c r="B21" s="79"/>
      <c r="C21" s="79"/>
      <c r="D21" t="s">
        <v>27</v>
      </c>
      <c r="E21" s="79"/>
      <c r="F21">
        <v>5</v>
      </c>
      <c r="G21">
        <v>5</v>
      </c>
      <c r="H21">
        <v>3</v>
      </c>
      <c r="I21">
        <v>37</v>
      </c>
      <c r="J21" s="79"/>
      <c r="K21" s="122">
        <v>45447</v>
      </c>
      <c r="L21" t="s">
        <v>738</v>
      </c>
      <c r="M21">
        <v>5.2</v>
      </c>
    </row>
    <row r="22" spans="1:13" s="28" customFormat="1" hidden="1" x14ac:dyDescent="0.35">
      <c r="A22" t="s">
        <v>24</v>
      </c>
      <c r="B22" s="79"/>
      <c r="C22" s="79"/>
      <c r="D22" t="s">
        <v>27</v>
      </c>
      <c r="E22" s="79"/>
      <c r="F22">
        <v>5</v>
      </c>
      <c r="G22">
        <v>5</v>
      </c>
      <c r="H22">
        <v>3</v>
      </c>
      <c r="I22">
        <v>37</v>
      </c>
      <c r="J22" s="79"/>
      <c r="K22" s="122">
        <v>45447</v>
      </c>
      <c r="L22" t="s">
        <v>739</v>
      </c>
      <c r="M22">
        <v>5.3</v>
      </c>
    </row>
    <row r="23" spans="1:13" s="28" customFormat="1" hidden="1" x14ac:dyDescent="0.35">
      <c r="A23" t="s">
        <v>24</v>
      </c>
      <c r="B23" s="79"/>
      <c r="C23" s="79"/>
      <c r="D23" t="s">
        <v>27</v>
      </c>
      <c r="E23" s="79"/>
      <c r="F23">
        <v>8</v>
      </c>
      <c r="G23">
        <v>3</v>
      </c>
      <c r="H23">
        <v>2</v>
      </c>
      <c r="I23">
        <v>24</v>
      </c>
      <c r="J23" s="79"/>
      <c r="K23" s="122">
        <v>45447</v>
      </c>
      <c r="L23" t="s">
        <v>737</v>
      </c>
      <c r="M23">
        <v>5.2</v>
      </c>
    </row>
    <row r="24" spans="1:13" s="28" customFormat="1" hidden="1" x14ac:dyDescent="0.35">
      <c r="A24" t="s">
        <v>24</v>
      </c>
      <c r="B24" s="79"/>
      <c r="C24" s="79"/>
      <c r="D24" t="s">
        <v>27</v>
      </c>
      <c r="E24" s="79"/>
      <c r="F24">
        <v>8</v>
      </c>
      <c r="G24">
        <v>3</v>
      </c>
      <c r="H24">
        <v>2</v>
      </c>
      <c r="I24">
        <v>24</v>
      </c>
      <c r="J24" s="79"/>
      <c r="K24" s="122">
        <v>45447</v>
      </c>
      <c r="L24" t="s">
        <v>738</v>
      </c>
      <c r="M24">
        <v>4.9000000000000004</v>
      </c>
    </row>
    <row r="25" spans="1:13" s="28" customFormat="1" hidden="1" x14ac:dyDescent="0.35">
      <c r="A25" t="s">
        <v>24</v>
      </c>
      <c r="B25" s="79"/>
      <c r="C25" s="79"/>
      <c r="D25" t="s">
        <v>27</v>
      </c>
      <c r="E25" s="79"/>
      <c r="F25">
        <v>8</v>
      </c>
      <c r="G25">
        <v>3</v>
      </c>
      <c r="H25">
        <v>2</v>
      </c>
      <c r="I25">
        <v>24</v>
      </c>
      <c r="J25" s="79"/>
      <c r="K25" s="122">
        <v>45447</v>
      </c>
      <c r="L25" t="s">
        <v>739</v>
      </c>
      <c r="M25">
        <v>5.3</v>
      </c>
    </row>
    <row r="26" spans="1:13" hidden="1" x14ac:dyDescent="0.35">
      <c r="A26" t="s">
        <v>24</v>
      </c>
      <c r="B26" s="71"/>
      <c r="C26" s="72"/>
      <c r="D26" t="s">
        <v>27</v>
      </c>
      <c r="E26" s="71"/>
      <c r="F26">
        <v>1</v>
      </c>
      <c r="G26">
        <v>1</v>
      </c>
      <c r="H26">
        <v>1</v>
      </c>
      <c r="I26">
        <v>1</v>
      </c>
      <c r="J26" s="6"/>
      <c r="K26" s="122">
        <v>45462</v>
      </c>
      <c r="L26" t="s">
        <v>737</v>
      </c>
      <c r="M26">
        <v>5.4</v>
      </c>
    </row>
    <row r="27" spans="1:13" hidden="1" x14ac:dyDescent="0.35">
      <c r="A27" t="s">
        <v>24</v>
      </c>
      <c r="D27" t="s">
        <v>27</v>
      </c>
      <c r="F27">
        <v>1</v>
      </c>
      <c r="G27">
        <v>1</v>
      </c>
      <c r="H27">
        <v>1</v>
      </c>
      <c r="I27">
        <v>1</v>
      </c>
      <c r="J27" s="6"/>
      <c r="K27" s="122">
        <v>45462</v>
      </c>
      <c r="L27" t="s">
        <v>738</v>
      </c>
      <c r="M27">
        <v>5.7</v>
      </c>
    </row>
    <row r="28" spans="1:13" hidden="1" x14ac:dyDescent="0.35">
      <c r="A28" t="s">
        <v>24</v>
      </c>
      <c r="D28" t="s">
        <v>27</v>
      </c>
      <c r="F28">
        <v>1</v>
      </c>
      <c r="G28">
        <v>1</v>
      </c>
      <c r="H28">
        <v>1</v>
      </c>
      <c r="I28">
        <v>1</v>
      </c>
      <c r="J28" s="6"/>
      <c r="K28" s="122">
        <v>45462</v>
      </c>
      <c r="L28" t="s">
        <v>739</v>
      </c>
      <c r="M28">
        <v>6.6</v>
      </c>
    </row>
    <row r="29" spans="1:13" hidden="1" x14ac:dyDescent="0.35">
      <c r="A29" t="s">
        <v>24</v>
      </c>
      <c r="D29" t="s">
        <v>27</v>
      </c>
      <c r="F29">
        <v>4</v>
      </c>
      <c r="G29">
        <v>7</v>
      </c>
      <c r="H29">
        <v>4</v>
      </c>
      <c r="I29">
        <v>52</v>
      </c>
      <c r="J29" s="6"/>
      <c r="K29" s="122">
        <v>45462</v>
      </c>
      <c r="L29" t="s">
        <v>737</v>
      </c>
      <c r="M29">
        <v>6.7</v>
      </c>
    </row>
    <row r="30" spans="1:13" hidden="1" x14ac:dyDescent="0.35">
      <c r="A30" t="s">
        <v>24</v>
      </c>
      <c r="D30" t="s">
        <v>27</v>
      </c>
      <c r="F30">
        <v>4</v>
      </c>
      <c r="G30">
        <v>7</v>
      </c>
      <c r="H30">
        <v>4</v>
      </c>
      <c r="I30">
        <v>52</v>
      </c>
      <c r="J30" s="6"/>
      <c r="K30" s="122">
        <v>45462</v>
      </c>
      <c r="L30" t="s">
        <v>738</v>
      </c>
      <c r="M30">
        <v>6.2</v>
      </c>
    </row>
    <row r="31" spans="1:13" hidden="1" x14ac:dyDescent="0.35">
      <c r="A31" t="s">
        <v>24</v>
      </c>
      <c r="D31" t="s">
        <v>27</v>
      </c>
      <c r="F31">
        <v>4</v>
      </c>
      <c r="G31">
        <v>7</v>
      </c>
      <c r="H31">
        <v>4</v>
      </c>
      <c r="I31">
        <v>52</v>
      </c>
      <c r="J31" s="6"/>
      <c r="K31" s="122">
        <v>45462</v>
      </c>
      <c r="L31" t="s">
        <v>739</v>
      </c>
      <c r="M31">
        <v>5.5</v>
      </c>
    </row>
    <row r="32" spans="1:13" hidden="1" x14ac:dyDescent="0.35">
      <c r="A32" t="s">
        <v>24</v>
      </c>
      <c r="D32" t="s">
        <v>27</v>
      </c>
      <c r="F32">
        <v>5</v>
      </c>
      <c r="G32">
        <v>5</v>
      </c>
      <c r="H32">
        <v>3</v>
      </c>
      <c r="I32">
        <v>37</v>
      </c>
      <c r="J32" s="6"/>
      <c r="K32" s="122">
        <v>45462</v>
      </c>
      <c r="L32" t="s">
        <v>737</v>
      </c>
      <c r="M32">
        <v>5.8</v>
      </c>
    </row>
    <row r="33" spans="1:13" hidden="1" x14ac:dyDescent="0.35">
      <c r="A33" t="s">
        <v>24</v>
      </c>
      <c r="D33" t="s">
        <v>27</v>
      </c>
      <c r="F33">
        <v>5</v>
      </c>
      <c r="G33">
        <v>5</v>
      </c>
      <c r="H33">
        <v>3</v>
      </c>
      <c r="I33">
        <v>37</v>
      </c>
      <c r="J33" s="6"/>
      <c r="K33" s="122">
        <v>45462</v>
      </c>
      <c r="L33" t="s">
        <v>738</v>
      </c>
      <c r="M33">
        <v>5.4</v>
      </c>
    </row>
    <row r="34" spans="1:13" s="28" customFormat="1" hidden="1" x14ac:dyDescent="0.35">
      <c r="A34" t="s">
        <v>24</v>
      </c>
      <c r="B34" s="79"/>
      <c r="C34" s="79"/>
      <c r="D34" t="s">
        <v>27</v>
      </c>
      <c r="E34" s="79"/>
      <c r="F34">
        <v>5</v>
      </c>
      <c r="G34">
        <v>5</v>
      </c>
      <c r="H34">
        <v>3</v>
      </c>
      <c r="I34">
        <v>37</v>
      </c>
      <c r="J34" s="79"/>
      <c r="K34" s="122">
        <v>45462</v>
      </c>
      <c r="L34" t="s">
        <v>739</v>
      </c>
      <c r="M34">
        <v>6.3</v>
      </c>
    </row>
    <row r="35" spans="1:13" s="28" customFormat="1" hidden="1" x14ac:dyDescent="0.35">
      <c r="A35" t="s">
        <v>24</v>
      </c>
      <c r="B35" s="79"/>
      <c r="C35" s="79"/>
      <c r="D35" t="s">
        <v>27</v>
      </c>
      <c r="E35" s="79"/>
      <c r="F35">
        <v>8</v>
      </c>
      <c r="G35">
        <v>3</v>
      </c>
      <c r="H35">
        <v>2</v>
      </c>
      <c r="I35">
        <v>24</v>
      </c>
      <c r="J35" s="79"/>
      <c r="K35" s="122">
        <v>45462</v>
      </c>
      <c r="L35" t="s">
        <v>737</v>
      </c>
      <c r="M35">
        <v>6.3</v>
      </c>
    </row>
    <row r="36" spans="1:13" s="28" customFormat="1" hidden="1" x14ac:dyDescent="0.35">
      <c r="A36" t="s">
        <v>24</v>
      </c>
      <c r="B36" s="79"/>
      <c r="C36" s="79"/>
      <c r="D36" t="s">
        <v>27</v>
      </c>
      <c r="E36" s="79"/>
      <c r="F36">
        <v>8</v>
      </c>
      <c r="G36">
        <v>3</v>
      </c>
      <c r="H36">
        <v>2</v>
      </c>
      <c r="I36">
        <v>24</v>
      </c>
      <c r="J36" s="79"/>
      <c r="K36" s="122">
        <v>45462</v>
      </c>
      <c r="L36" t="s">
        <v>738</v>
      </c>
      <c r="M36">
        <v>6.3</v>
      </c>
    </row>
    <row r="37" spans="1:13" s="28" customFormat="1" hidden="1" x14ac:dyDescent="0.35">
      <c r="A37" t="s">
        <v>24</v>
      </c>
      <c r="B37" s="79"/>
      <c r="C37" s="79"/>
      <c r="D37" t="s">
        <v>27</v>
      </c>
      <c r="E37" s="79"/>
      <c r="F37">
        <v>8</v>
      </c>
      <c r="G37">
        <v>3</v>
      </c>
      <c r="H37">
        <v>2</v>
      </c>
      <c r="I37">
        <v>24</v>
      </c>
      <c r="J37" s="79"/>
      <c r="K37" s="122">
        <v>45462</v>
      </c>
      <c r="L37" t="s">
        <v>739</v>
      </c>
      <c r="M37">
        <v>6.5</v>
      </c>
    </row>
    <row r="38" spans="1:13" s="28" customFormat="1" hidden="1" x14ac:dyDescent="0.35">
      <c r="A38" t="s">
        <v>34</v>
      </c>
      <c r="B38" s="79"/>
      <c r="C38" s="79"/>
      <c r="D38" t="s">
        <v>42</v>
      </c>
      <c r="E38" s="79"/>
      <c r="F38">
        <v>1</v>
      </c>
      <c r="G38">
        <v>2</v>
      </c>
      <c r="H38">
        <v>1</v>
      </c>
      <c r="I38">
        <v>9</v>
      </c>
      <c r="J38" s="79"/>
      <c r="K38" s="122">
        <v>45442</v>
      </c>
      <c r="L38" t="s">
        <v>737</v>
      </c>
      <c r="M38"/>
    </row>
    <row r="39" spans="1:13" s="28" customFormat="1" hidden="1" x14ac:dyDescent="0.35">
      <c r="A39" t="s">
        <v>34</v>
      </c>
      <c r="B39" s="79"/>
      <c r="C39" s="79"/>
      <c r="D39" t="s">
        <v>42</v>
      </c>
      <c r="E39" s="79"/>
      <c r="F39">
        <v>1</v>
      </c>
      <c r="G39">
        <v>2</v>
      </c>
      <c r="H39">
        <v>1</v>
      </c>
      <c r="I39">
        <v>9</v>
      </c>
      <c r="J39" s="79"/>
      <c r="K39" s="122">
        <v>45442</v>
      </c>
      <c r="L39" t="s">
        <v>738</v>
      </c>
      <c r="M39"/>
    </row>
    <row r="40" spans="1:13" s="28" customFormat="1" hidden="1" x14ac:dyDescent="0.35">
      <c r="A40" t="s">
        <v>34</v>
      </c>
      <c r="B40" s="79"/>
      <c r="C40" s="79"/>
      <c r="D40" t="s">
        <v>42</v>
      </c>
      <c r="E40" s="79"/>
      <c r="F40">
        <v>1</v>
      </c>
      <c r="G40">
        <v>2</v>
      </c>
      <c r="H40">
        <v>1</v>
      </c>
      <c r="I40">
        <v>9</v>
      </c>
      <c r="J40" s="79"/>
      <c r="K40" s="122">
        <v>45442</v>
      </c>
      <c r="L40" t="s">
        <v>739</v>
      </c>
      <c r="M40"/>
    </row>
    <row r="41" spans="1:13" s="28" customFormat="1" hidden="1" x14ac:dyDescent="0.35">
      <c r="A41" t="s">
        <v>34</v>
      </c>
      <c r="B41" s="79"/>
      <c r="C41" s="79"/>
      <c r="D41" t="s">
        <v>42</v>
      </c>
      <c r="E41" s="79"/>
      <c r="F41">
        <v>1</v>
      </c>
      <c r="G41">
        <v>2</v>
      </c>
      <c r="H41">
        <v>1</v>
      </c>
      <c r="I41">
        <v>9</v>
      </c>
      <c r="J41" s="79"/>
      <c r="K41" s="122">
        <v>45447</v>
      </c>
      <c r="L41" t="s">
        <v>737</v>
      </c>
      <c r="M41">
        <v>1.9</v>
      </c>
    </row>
    <row r="42" spans="1:13" hidden="1" x14ac:dyDescent="0.35">
      <c r="A42" t="s">
        <v>34</v>
      </c>
      <c r="D42" t="s">
        <v>42</v>
      </c>
      <c r="F42">
        <v>1</v>
      </c>
      <c r="G42">
        <v>2</v>
      </c>
      <c r="H42">
        <v>1</v>
      </c>
      <c r="I42">
        <v>9</v>
      </c>
      <c r="J42" s="6"/>
      <c r="K42" s="122">
        <v>45447</v>
      </c>
      <c r="L42" t="s">
        <v>738</v>
      </c>
      <c r="M42">
        <v>1.6</v>
      </c>
    </row>
    <row r="43" spans="1:13" hidden="1" x14ac:dyDescent="0.35">
      <c r="A43" t="s">
        <v>34</v>
      </c>
      <c r="D43" t="s">
        <v>42</v>
      </c>
      <c r="F43">
        <v>1</v>
      </c>
      <c r="G43">
        <v>2</v>
      </c>
      <c r="H43">
        <v>1</v>
      </c>
      <c r="I43">
        <v>9</v>
      </c>
      <c r="J43" s="6"/>
      <c r="K43" s="122">
        <v>45447</v>
      </c>
      <c r="L43" t="s">
        <v>739</v>
      </c>
      <c r="M43">
        <v>1</v>
      </c>
    </row>
    <row r="44" spans="1:13" hidden="1" x14ac:dyDescent="0.35">
      <c r="A44" t="s">
        <v>34</v>
      </c>
      <c r="D44" t="s">
        <v>42</v>
      </c>
      <c r="F44">
        <v>1</v>
      </c>
      <c r="G44">
        <v>2</v>
      </c>
      <c r="H44">
        <v>1</v>
      </c>
      <c r="I44">
        <v>9</v>
      </c>
      <c r="J44" s="6"/>
      <c r="K44" s="122">
        <v>45462</v>
      </c>
      <c r="L44" t="s">
        <v>737</v>
      </c>
      <c r="M44">
        <v>3.2</v>
      </c>
    </row>
    <row r="45" spans="1:13" hidden="1" x14ac:dyDescent="0.35">
      <c r="A45" t="s">
        <v>34</v>
      </c>
      <c r="D45" t="s">
        <v>42</v>
      </c>
      <c r="F45">
        <v>1</v>
      </c>
      <c r="G45">
        <v>2</v>
      </c>
      <c r="H45">
        <v>1</v>
      </c>
      <c r="I45">
        <v>9</v>
      </c>
      <c r="J45" s="6"/>
      <c r="K45" s="122">
        <v>45462</v>
      </c>
      <c r="L45" t="s">
        <v>738</v>
      </c>
      <c r="M45">
        <v>3.5</v>
      </c>
    </row>
    <row r="46" spans="1:13" hidden="1" x14ac:dyDescent="0.35">
      <c r="A46" t="s">
        <v>34</v>
      </c>
      <c r="D46" t="s">
        <v>42</v>
      </c>
      <c r="F46">
        <v>1</v>
      </c>
      <c r="G46">
        <v>2</v>
      </c>
      <c r="H46">
        <v>1</v>
      </c>
      <c r="I46">
        <v>9</v>
      </c>
      <c r="J46" s="6"/>
      <c r="K46" s="122">
        <v>45462</v>
      </c>
      <c r="L46" t="s">
        <v>739</v>
      </c>
      <c r="M46">
        <v>3.5</v>
      </c>
    </row>
    <row r="47" spans="1:13" hidden="1" x14ac:dyDescent="0.35">
      <c r="A47" t="s">
        <v>34</v>
      </c>
      <c r="D47" t="s">
        <v>42</v>
      </c>
      <c r="F47">
        <v>1</v>
      </c>
      <c r="G47">
        <v>2</v>
      </c>
      <c r="H47">
        <v>1</v>
      </c>
      <c r="I47">
        <v>9</v>
      </c>
      <c r="J47" s="6"/>
      <c r="K47" s="122">
        <v>45477</v>
      </c>
      <c r="L47" t="s">
        <v>737</v>
      </c>
      <c r="M47">
        <v>4.7</v>
      </c>
    </row>
    <row r="48" spans="1:13" hidden="1" x14ac:dyDescent="0.35">
      <c r="A48" t="s">
        <v>34</v>
      </c>
      <c r="D48" t="s">
        <v>42</v>
      </c>
      <c r="F48">
        <v>1</v>
      </c>
      <c r="G48">
        <v>2</v>
      </c>
      <c r="H48">
        <v>1</v>
      </c>
      <c r="I48">
        <v>9</v>
      </c>
      <c r="J48" s="6"/>
      <c r="K48" s="122">
        <v>45477</v>
      </c>
      <c r="L48" t="s">
        <v>738</v>
      </c>
      <c r="M48">
        <v>5.0999999999999996</v>
      </c>
    </row>
    <row r="49" spans="1:13" hidden="1" x14ac:dyDescent="0.35">
      <c r="A49" t="s">
        <v>34</v>
      </c>
      <c r="D49" t="s">
        <v>42</v>
      </c>
      <c r="F49">
        <v>1</v>
      </c>
      <c r="G49">
        <v>2</v>
      </c>
      <c r="H49">
        <v>1</v>
      </c>
      <c r="I49">
        <v>9</v>
      </c>
      <c r="J49" s="6"/>
      <c r="K49" s="122">
        <v>45477</v>
      </c>
      <c r="L49" t="s">
        <v>739</v>
      </c>
      <c r="M49">
        <v>4.9000000000000004</v>
      </c>
    </row>
    <row r="50" spans="1:13" s="28" customFormat="1" hidden="1" x14ac:dyDescent="0.35">
      <c r="A50" t="s">
        <v>34</v>
      </c>
      <c r="B50" s="79"/>
      <c r="C50" s="79"/>
      <c r="D50" t="s">
        <v>42</v>
      </c>
      <c r="E50" s="79"/>
      <c r="F50">
        <v>1</v>
      </c>
      <c r="G50">
        <v>2</v>
      </c>
      <c r="H50">
        <v>1</v>
      </c>
      <c r="I50">
        <v>9</v>
      </c>
      <c r="J50" s="79"/>
      <c r="K50" s="122">
        <v>45485</v>
      </c>
      <c r="L50" t="s">
        <v>737</v>
      </c>
      <c r="M50"/>
    </row>
    <row r="51" spans="1:13" s="28" customFormat="1" hidden="1" x14ac:dyDescent="0.35">
      <c r="A51" t="s">
        <v>34</v>
      </c>
      <c r="B51" s="79"/>
      <c r="C51" s="79"/>
      <c r="D51" t="s">
        <v>42</v>
      </c>
      <c r="E51" s="79"/>
      <c r="F51">
        <v>1</v>
      </c>
      <c r="G51">
        <v>2</v>
      </c>
      <c r="H51">
        <v>1</v>
      </c>
      <c r="I51">
        <v>9</v>
      </c>
      <c r="J51" s="79"/>
      <c r="K51" s="122">
        <v>45485</v>
      </c>
      <c r="L51" t="s">
        <v>738</v>
      </c>
      <c r="M51"/>
    </row>
    <row r="52" spans="1:13" s="28" customFormat="1" hidden="1" x14ac:dyDescent="0.35">
      <c r="A52" t="s">
        <v>34</v>
      </c>
      <c r="B52" s="79"/>
      <c r="C52" s="79"/>
      <c r="D52" t="s">
        <v>42</v>
      </c>
      <c r="E52" s="79"/>
      <c r="F52">
        <v>1</v>
      </c>
      <c r="G52">
        <v>2</v>
      </c>
      <c r="H52">
        <v>1</v>
      </c>
      <c r="I52">
        <v>9</v>
      </c>
      <c r="J52" s="79"/>
      <c r="K52" s="122">
        <v>45485</v>
      </c>
      <c r="L52" t="s">
        <v>739</v>
      </c>
      <c r="M52"/>
    </row>
    <row r="53" spans="1:13" s="28" customFormat="1" hidden="1" x14ac:dyDescent="0.35">
      <c r="A53" t="s">
        <v>34</v>
      </c>
      <c r="B53" s="79"/>
      <c r="C53" s="79"/>
      <c r="D53" t="s">
        <v>42</v>
      </c>
      <c r="E53" s="79"/>
      <c r="F53">
        <v>1</v>
      </c>
      <c r="G53">
        <v>2</v>
      </c>
      <c r="H53">
        <v>1</v>
      </c>
      <c r="I53">
        <v>9</v>
      </c>
      <c r="J53" s="79"/>
      <c r="K53" s="122">
        <v>45492</v>
      </c>
      <c r="L53" t="s">
        <v>737</v>
      </c>
      <c r="M53">
        <v>4.9000000000000004</v>
      </c>
    </row>
    <row r="54" spans="1:13" s="28" customFormat="1" hidden="1" x14ac:dyDescent="0.35">
      <c r="A54" t="s">
        <v>34</v>
      </c>
      <c r="B54" s="79"/>
      <c r="C54" s="79"/>
      <c r="D54" t="s">
        <v>42</v>
      </c>
      <c r="E54" s="79"/>
      <c r="F54">
        <v>1</v>
      </c>
      <c r="G54">
        <v>2</v>
      </c>
      <c r="H54">
        <v>1</v>
      </c>
      <c r="I54">
        <v>9</v>
      </c>
      <c r="J54" s="79"/>
      <c r="K54" s="122">
        <v>45492</v>
      </c>
      <c r="L54" t="s">
        <v>738</v>
      </c>
      <c r="M54">
        <v>6.3</v>
      </c>
    </row>
    <row r="55" spans="1:13" s="28" customFormat="1" hidden="1" x14ac:dyDescent="0.35">
      <c r="A55" t="s">
        <v>34</v>
      </c>
      <c r="B55" s="79"/>
      <c r="C55" s="79"/>
      <c r="D55" t="s">
        <v>42</v>
      </c>
      <c r="E55" s="79"/>
      <c r="F55">
        <v>1</v>
      </c>
      <c r="G55">
        <v>2</v>
      </c>
      <c r="H55">
        <v>1</v>
      </c>
      <c r="I55">
        <v>9</v>
      </c>
      <c r="J55" s="79"/>
      <c r="K55" s="122">
        <v>45492</v>
      </c>
      <c r="L55" t="s">
        <v>739</v>
      </c>
      <c r="M55">
        <v>6.3</v>
      </c>
    </row>
    <row r="56" spans="1:13" s="28" customFormat="1" hidden="1" x14ac:dyDescent="0.35">
      <c r="A56" t="s">
        <v>34</v>
      </c>
      <c r="B56" s="79"/>
      <c r="C56" s="79"/>
      <c r="D56" t="s">
        <v>42</v>
      </c>
      <c r="E56" s="79"/>
      <c r="F56">
        <v>1</v>
      </c>
      <c r="G56">
        <v>2</v>
      </c>
      <c r="H56">
        <v>1</v>
      </c>
      <c r="I56">
        <v>9</v>
      </c>
      <c r="J56" s="79"/>
      <c r="K56" s="122">
        <v>45509</v>
      </c>
      <c r="L56" t="s">
        <v>737</v>
      </c>
      <c r="M56">
        <v>6.5</v>
      </c>
    </row>
    <row r="57" spans="1:13" s="28" customFormat="1" hidden="1" x14ac:dyDescent="0.35">
      <c r="A57" t="s">
        <v>34</v>
      </c>
      <c r="B57" s="79"/>
      <c r="C57" s="79"/>
      <c r="D57" t="s">
        <v>42</v>
      </c>
      <c r="E57" s="79"/>
      <c r="F57">
        <v>1</v>
      </c>
      <c r="G57">
        <v>2</v>
      </c>
      <c r="H57">
        <v>1</v>
      </c>
      <c r="I57">
        <v>9</v>
      </c>
      <c r="J57" s="79"/>
      <c r="K57" s="122">
        <v>45509</v>
      </c>
      <c r="L57" t="s">
        <v>738</v>
      </c>
      <c r="M57">
        <v>7.6</v>
      </c>
    </row>
    <row r="58" spans="1:13" hidden="1" x14ac:dyDescent="0.35">
      <c r="A58" t="s">
        <v>34</v>
      </c>
      <c r="D58" t="s">
        <v>42</v>
      </c>
      <c r="F58">
        <v>1</v>
      </c>
      <c r="G58">
        <v>2</v>
      </c>
      <c r="H58">
        <v>1</v>
      </c>
      <c r="I58">
        <v>9</v>
      </c>
      <c r="J58" s="6"/>
      <c r="K58" s="122">
        <v>45509</v>
      </c>
      <c r="L58" t="s">
        <v>739</v>
      </c>
      <c r="M58">
        <v>7.6</v>
      </c>
    </row>
    <row r="59" spans="1:13" hidden="1" x14ac:dyDescent="0.35">
      <c r="A59" t="s">
        <v>34</v>
      </c>
      <c r="D59" t="s">
        <v>42</v>
      </c>
      <c r="F59">
        <v>1</v>
      </c>
      <c r="G59">
        <v>2</v>
      </c>
      <c r="H59">
        <v>1</v>
      </c>
      <c r="I59">
        <v>9</v>
      </c>
      <c r="J59" s="6"/>
      <c r="K59" s="122">
        <v>45519</v>
      </c>
      <c r="L59" t="s">
        <v>737</v>
      </c>
      <c r="M59">
        <v>7</v>
      </c>
    </row>
    <row r="60" spans="1:13" hidden="1" x14ac:dyDescent="0.35">
      <c r="A60" t="s">
        <v>34</v>
      </c>
      <c r="D60" t="s">
        <v>42</v>
      </c>
      <c r="F60">
        <v>1</v>
      </c>
      <c r="G60">
        <v>2</v>
      </c>
      <c r="H60">
        <v>1</v>
      </c>
      <c r="I60">
        <v>9</v>
      </c>
      <c r="J60" s="6"/>
      <c r="K60" s="122">
        <v>45519</v>
      </c>
      <c r="L60" t="s">
        <v>738</v>
      </c>
      <c r="M60">
        <v>8.9</v>
      </c>
    </row>
    <row r="61" spans="1:13" hidden="1" x14ac:dyDescent="0.35">
      <c r="A61" t="s">
        <v>34</v>
      </c>
      <c r="D61" t="s">
        <v>42</v>
      </c>
      <c r="F61">
        <v>1</v>
      </c>
      <c r="G61">
        <v>2</v>
      </c>
      <c r="H61">
        <v>1</v>
      </c>
      <c r="I61">
        <v>9</v>
      </c>
      <c r="J61" s="6"/>
      <c r="K61" s="122">
        <v>45519</v>
      </c>
      <c r="L61" t="s">
        <v>739</v>
      </c>
      <c r="M61">
        <v>8.4</v>
      </c>
    </row>
    <row r="62" spans="1:13" hidden="1" x14ac:dyDescent="0.35">
      <c r="A62" t="s">
        <v>34</v>
      </c>
      <c r="D62" t="s">
        <v>42</v>
      </c>
      <c r="F62">
        <v>1</v>
      </c>
      <c r="G62">
        <v>2</v>
      </c>
      <c r="H62">
        <v>1</v>
      </c>
      <c r="I62">
        <v>9</v>
      </c>
      <c r="J62" s="6"/>
      <c r="K62" s="122">
        <v>45530</v>
      </c>
      <c r="L62" t="s">
        <v>737</v>
      </c>
      <c r="M62">
        <v>10.1</v>
      </c>
    </row>
    <row r="63" spans="1:13" hidden="1" x14ac:dyDescent="0.35">
      <c r="A63" t="s">
        <v>34</v>
      </c>
      <c r="D63" t="s">
        <v>42</v>
      </c>
      <c r="F63">
        <v>1</v>
      </c>
      <c r="G63">
        <v>2</v>
      </c>
      <c r="H63">
        <v>1</v>
      </c>
      <c r="I63">
        <v>9</v>
      </c>
      <c r="J63" s="6"/>
      <c r="K63" s="122">
        <v>45530</v>
      </c>
      <c r="L63" t="s">
        <v>738</v>
      </c>
      <c r="M63">
        <v>9.3000000000000007</v>
      </c>
    </row>
    <row r="64" spans="1:13" hidden="1" x14ac:dyDescent="0.35">
      <c r="A64" t="s">
        <v>34</v>
      </c>
      <c r="D64" t="s">
        <v>42</v>
      </c>
      <c r="F64">
        <v>1</v>
      </c>
      <c r="G64">
        <v>2</v>
      </c>
      <c r="H64">
        <v>1</v>
      </c>
      <c r="I64">
        <v>9</v>
      </c>
      <c r="J64" s="6"/>
      <c r="K64" s="122">
        <v>45530</v>
      </c>
      <c r="L64" t="s">
        <v>739</v>
      </c>
      <c r="M64">
        <v>7.7</v>
      </c>
    </row>
    <row r="65" spans="1:13" hidden="1" x14ac:dyDescent="0.35">
      <c r="A65" t="s">
        <v>34</v>
      </c>
      <c r="D65" t="s">
        <v>42</v>
      </c>
      <c r="F65">
        <v>1</v>
      </c>
      <c r="G65">
        <v>2</v>
      </c>
      <c r="H65">
        <v>1</v>
      </c>
      <c r="I65">
        <v>9</v>
      </c>
      <c r="J65" s="6"/>
      <c r="K65" s="122">
        <v>45538</v>
      </c>
      <c r="L65" t="s">
        <v>737</v>
      </c>
      <c r="M65">
        <v>11</v>
      </c>
    </row>
    <row r="66" spans="1:13" s="28" customFormat="1" hidden="1" x14ac:dyDescent="0.35">
      <c r="A66" t="s">
        <v>34</v>
      </c>
      <c r="B66" s="79"/>
      <c r="C66" s="79"/>
      <c r="D66" t="s">
        <v>42</v>
      </c>
      <c r="E66" s="79"/>
      <c r="F66">
        <v>1</v>
      </c>
      <c r="G66">
        <v>2</v>
      </c>
      <c r="H66">
        <v>1</v>
      </c>
      <c r="I66">
        <v>9</v>
      </c>
      <c r="J66" s="79"/>
      <c r="K66" s="122">
        <v>45538</v>
      </c>
      <c r="L66" t="s">
        <v>738</v>
      </c>
      <c r="M66">
        <v>9.8000000000000007</v>
      </c>
    </row>
    <row r="67" spans="1:13" s="28" customFormat="1" hidden="1" x14ac:dyDescent="0.35">
      <c r="A67" t="s">
        <v>34</v>
      </c>
      <c r="B67" s="79"/>
      <c r="C67" s="79"/>
      <c r="D67" t="s">
        <v>42</v>
      </c>
      <c r="E67" s="79"/>
      <c r="F67">
        <v>1</v>
      </c>
      <c r="G67">
        <v>2</v>
      </c>
      <c r="H67">
        <v>1</v>
      </c>
      <c r="I67">
        <v>9</v>
      </c>
      <c r="J67" s="79"/>
      <c r="K67" s="122">
        <v>45538</v>
      </c>
      <c r="L67" t="s">
        <v>739</v>
      </c>
      <c r="M67">
        <v>11</v>
      </c>
    </row>
    <row r="68" spans="1:13" s="28" customFormat="1" hidden="1" x14ac:dyDescent="0.35">
      <c r="A68" t="s">
        <v>34</v>
      </c>
      <c r="B68" s="79"/>
      <c r="C68" s="79"/>
      <c r="D68" t="s">
        <v>42</v>
      </c>
      <c r="E68" s="79"/>
      <c r="F68">
        <v>1</v>
      </c>
      <c r="G68">
        <v>2</v>
      </c>
      <c r="H68">
        <v>1</v>
      </c>
      <c r="I68">
        <v>9</v>
      </c>
      <c r="J68" s="79"/>
      <c r="K68" s="122">
        <v>45547</v>
      </c>
      <c r="L68" t="s">
        <v>737</v>
      </c>
      <c r="M68">
        <v>11</v>
      </c>
    </row>
    <row r="69" spans="1:13" s="28" customFormat="1" hidden="1" x14ac:dyDescent="0.35">
      <c r="A69" t="s">
        <v>34</v>
      </c>
      <c r="B69" s="79"/>
      <c r="C69" s="79"/>
      <c r="D69" t="s">
        <v>42</v>
      </c>
      <c r="E69" s="79"/>
      <c r="F69">
        <v>1</v>
      </c>
      <c r="G69">
        <v>2</v>
      </c>
      <c r="H69">
        <v>1</v>
      </c>
      <c r="I69">
        <v>9</v>
      </c>
      <c r="J69" s="79"/>
      <c r="K69" s="122">
        <v>45547</v>
      </c>
      <c r="L69" t="s">
        <v>738</v>
      </c>
      <c r="M69">
        <v>10</v>
      </c>
    </row>
    <row r="70" spans="1:13" s="28" customFormat="1" hidden="1" x14ac:dyDescent="0.35">
      <c r="A70" t="s">
        <v>34</v>
      </c>
      <c r="B70" s="79"/>
      <c r="C70" s="79"/>
      <c r="D70" t="s">
        <v>42</v>
      </c>
      <c r="E70" s="79"/>
      <c r="F70">
        <v>1</v>
      </c>
      <c r="G70">
        <v>2</v>
      </c>
      <c r="H70">
        <v>1</v>
      </c>
      <c r="I70">
        <v>9</v>
      </c>
      <c r="J70" s="79"/>
      <c r="K70" s="122">
        <v>45547</v>
      </c>
      <c r="L70" t="s">
        <v>739</v>
      </c>
      <c r="M70">
        <v>10</v>
      </c>
    </row>
    <row r="71" spans="1:13" s="28" customFormat="1" hidden="1" x14ac:dyDescent="0.35">
      <c r="A71" t="s">
        <v>34</v>
      </c>
      <c r="B71" s="79"/>
      <c r="C71" s="79"/>
      <c r="D71" t="s">
        <v>42</v>
      </c>
      <c r="E71" s="79"/>
      <c r="F71">
        <v>1</v>
      </c>
      <c r="G71">
        <v>2</v>
      </c>
      <c r="H71">
        <v>1</v>
      </c>
      <c r="I71">
        <v>9</v>
      </c>
      <c r="J71" s="79"/>
      <c r="K71" s="122">
        <v>45555</v>
      </c>
      <c r="L71" t="s">
        <v>737</v>
      </c>
      <c r="M71"/>
    </row>
    <row r="72" spans="1:13" s="28" customFormat="1" hidden="1" x14ac:dyDescent="0.35">
      <c r="A72" t="s">
        <v>34</v>
      </c>
      <c r="B72" s="79"/>
      <c r="C72" s="79"/>
      <c r="D72" t="s">
        <v>42</v>
      </c>
      <c r="E72" s="79"/>
      <c r="F72">
        <v>1</v>
      </c>
      <c r="G72">
        <v>2</v>
      </c>
      <c r="H72">
        <v>1</v>
      </c>
      <c r="I72">
        <v>9</v>
      </c>
      <c r="J72" s="79"/>
      <c r="K72" s="122">
        <v>45555</v>
      </c>
      <c r="L72" t="s">
        <v>738</v>
      </c>
      <c r="M72"/>
    </row>
    <row r="73" spans="1:13" s="28" customFormat="1" hidden="1" x14ac:dyDescent="0.35">
      <c r="A73" t="s">
        <v>34</v>
      </c>
      <c r="B73" s="79"/>
      <c r="C73" s="79"/>
      <c r="D73" t="s">
        <v>42</v>
      </c>
      <c r="E73" s="79"/>
      <c r="F73">
        <v>1</v>
      </c>
      <c r="G73">
        <v>2</v>
      </c>
      <c r="H73">
        <v>1</v>
      </c>
      <c r="I73">
        <v>9</v>
      </c>
      <c r="J73" s="79"/>
      <c r="K73" s="122">
        <v>45555</v>
      </c>
      <c r="L73" t="s">
        <v>739</v>
      </c>
      <c r="M73"/>
    </row>
    <row r="74" spans="1:13" hidden="1" x14ac:dyDescent="0.35">
      <c r="A74" t="s">
        <v>24</v>
      </c>
      <c r="D74" t="s">
        <v>335</v>
      </c>
      <c r="F74">
        <v>1</v>
      </c>
      <c r="G74">
        <v>3</v>
      </c>
      <c r="H74">
        <v>2</v>
      </c>
      <c r="I74">
        <v>17</v>
      </c>
      <c r="J74" s="6"/>
      <c r="K74" s="122">
        <v>45442</v>
      </c>
      <c r="L74" t="s">
        <v>737</v>
      </c>
      <c r="M74">
        <v>4.5999999999999996</v>
      </c>
    </row>
    <row r="75" spans="1:13" hidden="1" x14ac:dyDescent="0.35">
      <c r="A75" t="s">
        <v>24</v>
      </c>
      <c r="D75" t="s">
        <v>335</v>
      </c>
      <c r="F75">
        <v>1</v>
      </c>
      <c r="G75">
        <v>3</v>
      </c>
      <c r="H75">
        <v>2</v>
      </c>
      <c r="I75">
        <v>17</v>
      </c>
      <c r="J75" s="6"/>
      <c r="K75" s="122">
        <v>45442</v>
      </c>
      <c r="L75" t="s">
        <v>738</v>
      </c>
      <c r="M75">
        <v>4.5</v>
      </c>
    </row>
    <row r="76" spans="1:13" hidden="1" x14ac:dyDescent="0.35">
      <c r="A76" t="s">
        <v>24</v>
      </c>
      <c r="D76" t="s">
        <v>335</v>
      </c>
      <c r="F76">
        <v>1</v>
      </c>
      <c r="G76">
        <v>3</v>
      </c>
      <c r="H76">
        <v>2</v>
      </c>
      <c r="I76">
        <v>17</v>
      </c>
      <c r="J76" s="6"/>
      <c r="K76" s="122">
        <v>45442</v>
      </c>
      <c r="L76" t="s">
        <v>739</v>
      </c>
      <c r="M76">
        <v>4.3</v>
      </c>
    </row>
    <row r="77" spans="1:13" hidden="1" x14ac:dyDescent="0.35">
      <c r="A77" t="s">
        <v>24</v>
      </c>
      <c r="D77" t="s">
        <v>335</v>
      </c>
      <c r="F77">
        <v>1</v>
      </c>
      <c r="G77">
        <v>3</v>
      </c>
      <c r="H77">
        <v>2</v>
      </c>
      <c r="I77">
        <v>17</v>
      </c>
      <c r="J77" s="6"/>
      <c r="K77" s="122">
        <v>45447</v>
      </c>
      <c r="L77" t="s">
        <v>737</v>
      </c>
      <c r="M77">
        <v>5.2</v>
      </c>
    </row>
    <row r="78" spans="1:13" hidden="1" x14ac:dyDescent="0.35">
      <c r="A78" t="s">
        <v>24</v>
      </c>
      <c r="D78" t="s">
        <v>335</v>
      </c>
      <c r="F78">
        <v>1</v>
      </c>
      <c r="G78">
        <v>3</v>
      </c>
      <c r="H78">
        <v>2</v>
      </c>
      <c r="I78">
        <v>17</v>
      </c>
      <c r="J78" s="6"/>
      <c r="K78" s="122">
        <v>45447</v>
      </c>
      <c r="L78" t="s">
        <v>738</v>
      </c>
      <c r="M78">
        <v>5.5</v>
      </c>
    </row>
    <row r="79" spans="1:13" hidden="1" x14ac:dyDescent="0.35">
      <c r="A79" t="s">
        <v>24</v>
      </c>
      <c r="D79" t="s">
        <v>335</v>
      </c>
      <c r="F79">
        <v>1</v>
      </c>
      <c r="G79">
        <v>3</v>
      </c>
      <c r="H79">
        <v>2</v>
      </c>
      <c r="I79">
        <v>17</v>
      </c>
      <c r="J79" s="6"/>
      <c r="K79" s="122">
        <v>45447</v>
      </c>
      <c r="L79" t="s">
        <v>739</v>
      </c>
      <c r="M79">
        <v>4.8</v>
      </c>
    </row>
    <row r="80" spans="1:13" hidden="1" x14ac:dyDescent="0.35">
      <c r="A80" t="s">
        <v>24</v>
      </c>
      <c r="D80" t="s">
        <v>335</v>
      </c>
      <c r="F80">
        <v>1</v>
      </c>
      <c r="G80">
        <v>3</v>
      </c>
      <c r="H80">
        <v>2</v>
      </c>
      <c r="I80">
        <v>17</v>
      </c>
      <c r="J80" s="6"/>
      <c r="K80" s="122">
        <v>45462</v>
      </c>
      <c r="L80" t="s">
        <v>737</v>
      </c>
      <c r="M80">
        <v>5.0999999999999996</v>
      </c>
    </row>
    <row r="81" spans="1:13" hidden="1" x14ac:dyDescent="0.35">
      <c r="A81" t="s">
        <v>24</v>
      </c>
      <c r="D81" t="s">
        <v>335</v>
      </c>
      <c r="F81">
        <v>1</v>
      </c>
      <c r="G81">
        <v>3</v>
      </c>
      <c r="H81">
        <v>2</v>
      </c>
      <c r="I81">
        <v>17</v>
      </c>
      <c r="J81" s="6"/>
      <c r="K81" s="122">
        <v>45462</v>
      </c>
      <c r="L81" t="s">
        <v>738</v>
      </c>
      <c r="M81">
        <v>5.7</v>
      </c>
    </row>
    <row r="82" spans="1:13" s="28" customFormat="1" hidden="1" x14ac:dyDescent="0.35">
      <c r="A82" t="s">
        <v>24</v>
      </c>
      <c r="B82" s="79"/>
      <c r="C82" s="79"/>
      <c r="D82" t="s">
        <v>335</v>
      </c>
      <c r="E82" s="79"/>
      <c r="F82">
        <v>1</v>
      </c>
      <c r="G82">
        <v>3</v>
      </c>
      <c r="H82">
        <v>2</v>
      </c>
      <c r="I82">
        <v>17</v>
      </c>
      <c r="J82" s="79"/>
      <c r="K82" s="122">
        <v>45462</v>
      </c>
      <c r="L82" t="s">
        <v>739</v>
      </c>
      <c r="M82">
        <v>5</v>
      </c>
    </row>
    <row r="83" spans="1:13" s="28" customFormat="1" hidden="1" x14ac:dyDescent="0.35">
      <c r="A83" t="s">
        <v>24</v>
      </c>
      <c r="B83" s="79"/>
      <c r="C83" s="79"/>
      <c r="D83" t="s">
        <v>335</v>
      </c>
      <c r="E83" s="79"/>
      <c r="F83">
        <v>1</v>
      </c>
      <c r="G83">
        <v>3</v>
      </c>
      <c r="H83">
        <v>2</v>
      </c>
      <c r="I83">
        <v>17</v>
      </c>
      <c r="J83" s="79"/>
      <c r="K83" s="122">
        <v>45477</v>
      </c>
      <c r="L83" t="s">
        <v>737</v>
      </c>
      <c r="M83"/>
    </row>
    <row r="84" spans="1:13" s="28" customFormat="1" hidden="1" x14ac:dyDescent="0.35">
      <c r="A84" t="s">
        <v>24</v>
      </c>
      <c r="B84" s="79"/>
      <c r="C84" s="79"/>
      <c r="D84" t="s">
        <v>335</v>
      </c>
      <c r="E84" s="79"/>
      <c r="F84">
        <v>1</v>
      </c>
      <c r="G84">
        <v>3</v>
      </c>
      <c r="H84">
        <v>2</v>
      </c>
      <c r="I84">
        <v>17</v>
      </c>
      <c r="J84" s="79"/>
      <c r="K84" s="122">
        <v>45477</v>
      </c>
      <c r="L84" t="s">
        <v>738</v>
      </c>
      <c r="M84"/>
    </row>
    <row r="85" spans="1:13" s="28" customFormat="1" hidden="1" x14ac:dyDescent="0.35">
      <c r="A85" t="s">
        <v>24</v>
      </c>
      <c r="B85" s="79"/>
      <c r="C85" s="79"/>
      <c r="D85" t="s">
        <v>335</v>
      </c>
      <c r="E85" s="79"/>
      <c r="F85">
        <v>1</v>
      </c>
      <c r="G85">
        <v>3</v>
      </c>
      <c r="H85">
        <v>2</v>
      </c>
      <c r="I85">
        <v>17</v>
      </c>
      <c r="J85" s="79"/>
      <c r="K85" s="122">
        <v>45477</v>
      </c>
      <c r="L85" t="s">
        <v>739</v>
      </c>
      <c r="M85"/>
    </row>
    <row r="86" spans="1:13" s="28" customFormat="1" hidden="1" x14ac:dyDescent="0.35">
      <c r="A86" t="s">
        <v>24</v>
      </c>
      <c r="B86" s="79"/>
      <c r="C86" s="79"/>
      <c r="D86" t="s">
        <v>335</v>
      </c>
      <c r="E86" s="79"/>
      <c r="F86">
        <v>1</v>
      </c>
      <c r="G86">
        <v>3</v>
      </c>
      <c r="H86">
        <v>2</v>
      </c>
      <c r="I86">
        <v>17</v>
      </c>
      <c r="J86" s="79"/>
      <c r="K86" s="122">
        <v>45485</v>
      </c>
      <c r="L86" t="s">
        <v>737</v>
      </c>
      <c r="M86">
        <v>6.2</v>
      </c>
    </row>
    <row r="87" spans="1:13" s="28" customFormat="1" hidden="1" x14ac:dyDescent="0.35">
      <c r="A87" t="s">
        <v>24</v>
      </c>
      <c r="B87" s="79"/>
      <c r="C87" s="79"/>
      <c r="D87" t="s">
        <v>335</v>
      </c>
      <c r="E87" s="79"/>
      <c r="F87">
        <v>1</v>
      </c>
      <c r="G87">
        <v>3</v>
      </c>
      <c r="H87">
        <v>2</v>
      </c>
      <c r="I87">
        <v>17</v>
      </c>
      <c r="J87" s="79"/>
      <c r="K87" s="122">
        <v>45485</v>
      </c>
      <c r="L87" t="s">
        <v>738</v>
      </c>
      <c r="M87">
        <v>7</v>
      </c>
    </row>
    <row r="88" spans="1:13" s="28" customFormat="1" hidden="1" x14ac:dyDescent="0.35">
      <c r="A88" t="s">
        <v>24</v>
      </c>
      <c r="B88" s="79"/>
      <c r="C88" s="79"/>
      <c r="D88" t="s">
        <v>335</v>
      </c>
      <c r="E88" s="79"/>
      <c r="F88">
        <v>1</v>
      </c>
      <c r="G88">
        <v>3</v>
      </c>
      <c r="H88">
        <v>2</v>
      </c>
      <c r="I88">
        <v>17</v>
      </c>
      <c r="J88" s="79"/>
      <c r="K88" s="122">
        <v>45485</v>
      </c>
      <c r="L88" t="s">
        <v>739</v>
      </c>
      <c r="M88">
        <v>7.3</v>
      </c>
    </row>
    <row r="89" spans="1:13" s="28" customFormat="1" hidden="1" x14ac:dyDescent="0.35">
      <c r="A89" t="s">
        <v>24</v>
      </c>
      <c r="B89" s="79"/>
      <c r="C89" s="79"/>
      <c r="D89" t="s">
        <v>335</v>
      </c>
      <c r="E89" s="79"/>
      <c r="F89">
        <v>1</v>
      </c>
      <c r="G89">
        <v>3</v>
      </c>
      <c r="H89">
        <v>2</v>
      </c>
      <c r="I89">
        <v>17</v>
      </c>
      <c r="J89" s="79"/>
      <c r="K89" s="122">
        <v>45492</v>
      </c>
      <c r="L89" t="s">
        <v>737</v>
      </c>
      <c r="M89">
        <v>6.7</v>
      </c>
    </row>
    <row r="90" spans="1:13" hidden="1" x14ac:dyDescent="0.35">
      <c r="A90" t="s">
        <v>24</v>
      </c>
      <c r="B90" s="71"/>
      <c r="C90" s="72"/>
      <c r="D90" t="s">
        <v>335</v>
      </c>
      <c r="E90" s="71"/>
      <c r="F90">
        <v>1</v>
      </c>
      <c r="G90">
        <v>3</v>
      </c>
      <c r="H90">
        <v>2</v>
      </c>
      <c r="I90">
        <v>17</v>
      </c>
      <c r="J90" s="6"/>
      <c r="K90" s="122">
        <v>45492</v>
      </c>
      <c r="L90" t="s">
        <v>738</v>
      </c>
      <c r="M90">
        <v>7.2</v>
      </c>
    </row>
    <row r="91" spans="1:13" hidden="1" x14ac:dyDescent="0.35">
      <c r="A91" t="s">
        <v>24</v>
      </c>
      <c r="D91" t="s">
        <v>335</v>
      </c>
      <c r="F91">
        <v>1</v>
      </c>
      <c r="G91">
        <v>3</v>
      </c>
      <c r="H91">
        <v>2</v>
      </c>
      <c r="I91">
        <v>17</v>
      </c>
      <c r="J91" s="6"/>
      <c r="K91" s="122">
        <v>45492</v>
      </c>
      <c r="L91" t="s">
        <v>739</v>
      </c>
      <c r="M91">
        <v>8.1999999999999993</v>
      </c>
    </row>
    <row r="92" spans="1:13" hidden="1" x14ac:dyDescent="0.35">
      <c r="A92" t="s">
        <v>24</v>
      </c>
      <c r="D92" t="s">
        <v>335</v>
      </c>
      <c r="F92">
        <v>1</v>
      </c>
      <c r="G92">
        <v>3</v>
      </c>
      <c r="H92">
        <v>2</v>
      </c>
      <c r="I92">
        <v>17</v>
      </c>
      <c r="J92" s="6"/>
      <c r="K92" s="122">
        <v>45509</v>
      </c>
      <c r="L92" t="s">
        <v>737</v>
      </c>
      <c r="M92">
        <v>7.8</v>
      </c>
    </row>
    <row r="93" spans="1:13" hidden="1" x14ac:dyDescent="0.35">
      <c r="A93" t="s">
        <v>24</v>
      </c>
      <c r="D93" t="s">
        <v>335</v>
      </c>
      <c r="F93">
        <v>1</v>
      </c>
      <c r="G93">
        <v>3</v>
      </c>
      <c r="H93">
        <v>2</v>
      </c>
      <c r="I93">
        <v>17</v>
      </c>
      <c r="J93" s="6"/>
      <c r="K93" s="122">
        <v>45509</v>
      </c>
      <c r="L93" t="s">
        <v>738</v>
      </c>
      <c r="M93">
        <v>9.5</v>
      </c>
    </row>
    <row r="94" spans="1:13" hidden="1" x14ac:dyDescent="0.35">
      <c r="A94" t="s">
        <v>24</v>
      </c>
      <c r="D94" t="s">
        <v>335</v>
      </c>
      <c r="F94">
        <v>1</v>
      </c>
      <c r="G94">
        <v>3</v>
      </c>
      <c r="H94">
        <v>2</v>
      </c>
      <c r="I94">
        <v>17</v>
      </c>
      <c r="J94" s="6"/>
      <c r="K94" s="122">
        <v>45509</v>
      </c>
      <c r="L94" t="s">
        <v>739</v>
      </c>
      <c r="M94">
        <v>8.6</v>
      </c>
    </row>
    <row r="95" spans="1:13" hidden="1" x14ac:dyDescent="0.35">
      <c r="A95" t="s">
        <v>24</v>
      </c>
      <c r="D95" t="s">
        <v>335</v>
      </c>
      <c r="F95">
        <v>1</v>
      </c>
      <c r="G95">
        <v>3</v>
      </c>
      <c r="H95">
        <v>2</v>
      </c>
      <c r="I95">
        <v>17</v>
      </c>
      <c r="J95" s="6"/>
      <c r="K95" s="122">
        <v>45519</v>
      </c>
      <c r="L95" t="s">
        <v>737</v>
      </c>
      <c r="M95">
        <v>8.6999999999999993</v>
      </c>
    </row>
    <row r="96" spans="1:13" hidden="1" x14ac:dyDescent="0.35">
      <c r="A96" t="s">
        <v>24</v>
      </c>
      <c r="D96" t="s">
        <v>335</v>
      </c>
      <c r="F96">
        <v>1</v>
      </c>
      <c r="G96">
        <v>3</v>
      </c>
      <c r="H96">
        <v>2</v>
      </c>
      <c r="I96">
        <v>17</v>
      </c>
      <c r="J96" s="6"/>
      <c r="K96" s="122">
        <v>45519</v>
      </c>
      <c r="L96" t="s">
        <v>738</v>
      </c>
      <c r="M96">
        <v>10.3</v>
      </c>
    </row>
    <row r="97" spans="1:13" hidden="1" x14ac:dyDescent="0.35">
      <c r="A97" t="s">
        <v>24</v>
      </c>
      <c r="D97" t="s">
        <v>335</v>
      </c>
      <c r="F97">
        <v>1</v>
      </c>
      <c r="G97">
        <v>3</v>
      </c>
      <c r="H97">
        <v>2</v>
      </c>
      <c r="I97">
        <v>17</v>
      </c>
      <c r="J97" s="6"/>
      <c r="K97" s="122">
        <v>45519</v>
      </c>
      <c r="L97" t="s">
        <v>739</v>
      </c>
      <c r="M97">
        <v>9.6</v>
      </c>
    </row>
    <row r="98" spans="1:13" s="28" customFormat="1" hidden="1" x14ac:dyDescent="0.35">
      <c r="A98" t="s">
        <v>24</v>
      </c>
      <c r="B98" s="79"/>
      <c r="C98" s="79"/>
      <c r="D98" t="s">
        <v>335</v>
      </c>
      <c r="E98" s="79"/>
      <c r="F98">
        <v>1</v>
      </c>
      <c r="G98">
        <v>3</v>
      </c>
      <c r="H98">
        <v>2</v>
      </c>
      <c r="I98">
        <v>17</v>
      </c>
      <c r="J98" s="79"/>
      <c r="K98" s="122">
        <v>45530</v>
      </c>
      <c r="L98" t="s">
        <v>737</v>
      </c>
      <c r="M98">
        <v>11.4</v>
      </c>
    </row>
    <row r="99" spans="1:13" s="28" customFormat="1" hidden="1" x14ac:dyDescent="0.35">
      <c r="A99" t="s">
        <v>24</v>
      </c>
      <c r="B99" s="79"/>
      <c r="C99" s="79"/>
      <c r="D99" t="s">
        <v>335</v>
      </c>
      <c r="E99" s="79"/>
      <c r="F99">
        <v>1</v>
      </c>
      <c r="G99">
        <v>3</v>
      </c>
      <c r="H99">
        <v>2</v>
      </c>
      <c r="I99">
        <v>17</v>
      </c>
      <c r="J99" s="79"/>
      <c r="K99" s="122">
        <v>45530</v>
      </c>
      <c r="L99" t="s">
        <v>738</v>
      </c>
      <c r="M99">
        <v>10.1</v>
      </c>
    </row>
    <row r="100" spans="1:13" s="28" customFormat="1" hidden="1" x14ac:dyDescent="0.35">
      <c r="A100" t="s">
        <v>24</v>
      </c>
      <c r="B100" s="79"/>
      <c r="C100" s="79"/>
      <c r="D100" t="s">
        <v>335</v>
      </c>
      <c r="E100" s="79"/>
      <c r="F100">
        <v>1</v>
      </c>
      <c r="G100">
        <v>3</v>
      </c>
      <c r="H100">
        <v>2</v>
      </c>
      <c r="I100">
        <v>17</v>
      </c>
      <c r="J100" s="79"/>
      <c r="K100" s="122">
        <v>45530</v>
      </c>
      <c r="L100" t="s">
        <v>739</v>
      </c>
      <c r="M100">
        <v>10.5</v>
      </c>
    </row>
    <row r="101" spans="1:13" s="28" customFormat="1" hidden="1" x14ac:dyDescent="0.35">
      <c r="A101" t="s">
        <v>24</v>
      </c>
      <c r="B101" s="79"/>
      <c r="C101" s="79"/>
      <c r="D101" t="s">
        <v>335</v>
      </c>
      <c r="E101" s="79"/>
      <c r="F101">
        <v>1</v>
      </c>
      <c r="G101">
        <v>3</v>
      </c>
      <c r="H101">
        <v>2</v>
      </c>
      <c r="I101">
        <v>17</v>
      </c>
      <c r="J101" s="79"/>
      <c r="K101" s="122">
        <v>45538</v>
      </c>
      <c r="L101" t="s">
        <v>737</v>
      </c>
      <c r="M101">
        <v>10.8</v>
      </c>
    </row>
    <row r="102" spans="1:13" s="28" customFormat="1" hidden="1" x14ac:dyDescent="0.35">
      <c r="A102" t="s">
        <v>24</v>
      </c>
      <c r="B102" s="79"/>
      <c r="C102" s="79"/>
      <c r="D102" t="s">
        <v>335</v>
      </c>
      <c r="E102" s="79"/>
      <c r="F102">
        <v>1</v>
      </c>
      <c r="G102">
        <v>3</v>
      </c>
      <c r="H102">
        <v>2</v>
      </c>
      <c r="I102">
        <v>17</v>
      </c>
      <c r="J102" s="79"/>
      <c r="K102" s="122">
        <v>45538</v>
      </c>
      <c r="L102" t="s">
        <v>738</v>
      </c>
      <c r="M102">
        <v>11</v>
      </c>
    </row>
    <row r="103" spans="1:13" s="28" customFormat="1" hidden="1" x14ac:dyDescent="0.35">
      <c r="A103" t="s">
        <v>24</v>
      </c>
      <c r="B103" s="79"/>
      <c r="C103" s="79"/>
      <c r="D103" t="s">
        <v>335</v>
      </c>
      <c r="E103" s="79"/>
      <c r="F103">
        <v>1</v>
      </c>
      <c r="G103">
        <v>3</v>
      </c>
      <c r="H103">
        <v>2</v>
      </c>
      <c r="I103">
        <v>17</v>
      </c>
      <c r="J103" s="79"/>
      <c r="K103" s="122">
        <v>45538</v>
      </c>
      <c r="L103" t="s">
        <v>739</v>
      </c>
      <c r="M103">
        <v>12</v>
      </c>
    </row>
    <row r="104" spans="1:13" s="28" customFormat="1" hidden="1" x14ac:dyDescent="0.35">
      <c r="A104" t="s">
        <v>24</v>
      </c>
      <c r="B104" s="79"/>
      <c r="C104" s="79"/>
      <c r="D104" t="s">
        <v>335</v>
      </c>
      <c r="E104" s="79"/>
      <c r="F104">
        <v>1</v>
      </c>
      <c r="G104">
        <v>3</v>
      </c>
      <c r="H104">
        <v>2</v>
      </c>
      <c r="I104">
        <v>17</v>
      </c>
      <c r="J104" s="79"/>
      <c r="K104" s="122">
        <v>45547</v>
      </c>
      <c r="L104" t="s">
        <v>737</v>
      </c>
      <c r="M104">
        <v>11</v>
      </c>
    </row>
    <row r="105" spans="1:13" s="28" customFormat="1" hidden="1" x14ac:dyDescent="0.35">
      <c r="A105" t="s">
        <v>24</v>
      </c>
      <c r="B105" s="79"/>
      <c r="C105" s="79"/>
      <c r="D105" t="s">
        <v>335</v>
      </c>
      <c r="E105" s="79"/>
      <c r="F105">
        <v>1</v>
      </c>
      <c r="G105">
        <v>3</v>
      </c>
      <c r="H105">
        <v>2</v>
      </c>
      <c r="I105">
        <v>17</v>
      </c>
      <c r="J105" s="79"/>
      <c r="K105" s="122">
        <v>45547</v>
      </c>
      <c r="L105" t="s">
        <v>738</v>
      </c>
      <c r="M105">
        <v>11</v>
      </c>
    </row>
    <row r="106" spans="1:13" hidden="1" x14ac:dyDescent="0.35">
      <c r="A106" t="s">
        <v>24</v>
      </c>
      <c r="D106" t="s">
        <v>335</v>
      </c>
      <c r="F106">
        <v>1</v>
      </c>
      <c r="G106">
        <v>3</v>
      </c>
      <c r="H106">
        <v>2</v>
      </c>
      <c r="I106">
        <v>17</v>
      </c>
      <c r="J106" s="6"/>
      <c r="K106" s="122">
        <v>45547</v>
      </c>
      <c r="L106" t="s">
        <v>739</v>
      </c>
    </row>
    <row r="107" spans="1:13" hidden="1" x14ac:dyDescent="0.35">
      <c r="A107" t="s">
        <v>24</v>
      </c>
      <c r="D107" t="s">
        <v>335</v>
      </c>
      <c r="F107">
        <v>1</v>
      </c>
      <c r="G107">
        <v>3</v>
      </c>
      <c r="H107">
        <v>2</v>
      </c>
      <c r="I107">
        <v>17</v>
      </c>
      <c r="J107" s="6"/>
      <c r="K107" s="122">
        <v>45555</v>
      </c>
      <c r="L107" t="s">
        <v>737</v>
      </c>
    </row>
    <row r="108" spans="1:13" hidden="1" x14ac:dyDescent="0.35">
      <c r="A108" t="s">
        <v>24</v>
      </c>
      <c r="D108" t="s">
        <v>335</v>
      </c>
      <c r="F108">
        <v>1</v>
      </c>
      <c r="G108">
        <v>3</v>
      </c>
      <c r="H108">
        <v>2</v>
      </c>
      <c r="I108">
        <v>17</v>
      </c>
      <c r="J108" s="6"/>
      <c r="K108" s="122">
        <v>45555</v>
      </c>
      <c r="L108" t="s">
        <v>738</v>
      </c>
    </row>
    <row r="109" spans="1:13" hidden="1" x14ac:dyDescent="0.35">
      <c r="A109" t="s">
        <v>24</v>
      </c>
      <c r="D109" t="s">
        <v>335</v>
      </c>
      <c r="F109">
        <v>1</v>
      </c>
      <c r="G109">
        <v>3</v>
      </c>
      <c r="H109">
        <v>2</v>
      </c>
      <c r="I109">
        <v>17</v>
      </c>
      <c r="J109" s="6"/>
      <c r="K109" s="122">
        <v>45555</v>
      </c>
      <c r="L109" t="s">
        <v>739</v>
      </c>
    </row>
    <row r="110" spans="1:13" hidden="1" x14ac:dyDescent="0.35">
      <c r="A110" t="s">
        <v>34</v>
      </c>
      <c r="D110" t="s">
        <v>343</v>
      </c>
      <c r="F110">
        <v>1</v>
      </c>
      <c r="G110">
        <v>4</v>
      </c>
      <c r="H110">
        <v>2</v>
      </c>
      <c r="I110">
        <v>25</v>
      </c>
      <c r="J110" s="6"/>
      <c r="K110" s="122">
        <v>45442</v>
      </c>
      <c r="L110" t="s">
        <v>737</v>
      </c>
    </row>
    <row r="111" spans="1:13" hidden="1" x14ac:dyDescent="0.35">
      <c r="A111" t="s">
        <v>34</v>
      </c>
      <c r="D111" t="s">
        <v>343</v>
      </c>
      <c r="F111">
        <v>1</v>
      </c>
      <c r="G111">
        <v>4</v>
      </c>
      <c r="H111">
        <v>2</v>
      </c>
      <c r="I111">
        <v>25</v>
      </c>
      <c r="J111" s="6"/>
      <c r="K111" s="122">
        <v>45442</v>
      </c>
      <c r="L111" t="s">
        <v>738</v>
      </c>
    </row>
    <row r="112" spans="1:13" hidden="1" x14ac:dyDescent="0.35">
      <c r="A112" t="s">
        <v>34</v>
      </c>
      <c r="D112" t="s">
        <v>343</v>
      </c>
      <c r="F112">
        <v>1</v>
      </c>
      <c r="G112">
        <v>4</v>
      </c>
      <c r="H112">
        <v>2</v>
      </c>
      <c r="I112">
        <v>25</v>
      </c>
      <c r="J112" s="6"/>
      <c r="K112" s="122">
        <v>45442</v>
      </c>
      <c r="L112" t="s">
        <v>739</v>
      </c>
    </row>
    <row r="113" spans="1:13" hidden="1" x14ac:dyDescent="0.35">
      <c r="A113" t="s">
        <v>34</v>
      </c>
      <c r="D113" t="s">
        <v>343</v>
      </c>
      <c r="F113">
        <v>1</v>
      </c>
      <c r="G113">
        <v>4</v>
      </c>
      <c r="H113">
        <v>2</v>
      </c>
      <c r="I113">
        <v>25</v>
      </c>
      <c r="J113" s="6"/>
      <c r="K113" s="122">
        <v>45447</v>
      </c>
      <c r="L113" t="s">
        <v>737</v>
      </c>
      <c r="M113">
        <v>1.8</v>
      </c>
    </row>
    <row r="114" spans="1:13" s="28" customFormat="1" hidden="1" x14ac:dyDescent="0.35">
      <c r="A114" t="s">
        <v>34</v>
      </c>
      <c r="B114" s="79"/>
      <c r="C114" s="79"/>
      <c r="D114" t="s">
        <v>343</v>
      </c>
      <c r="E114" s="79"/>
      <c r="F114">
        <v>1</v>
      </c>
      <c r="G114">
        <v>4</v>
      </c>
      <c r="H114">
        <v>2</v>
      </c>
      <c r="I114">
        <v>25</v>
      </c>
      <c r="J114" s="79"/>
      <c r="K114" s="122">
        <v>45447</v>
      </c>
      <c r="L114" t="s">
        <v>738</v>
      </c>
      <c r="M114">
        <v>1.8</v>
      </c>
    </row>
    <row r="115" spans="1:13" s="28" customFormat="1" hidden="1" x14ac:dyDescent="0.35">
      <c r="A115" t="s">
        <v>34</v>
      </c>
      <c r="B115" s="79"/>
      <c r="C115" s="79"/>
      <c r="D115" t="s">
        <v>343</v>
      </c>
      <c r="E115" s="79"/>
      <c r="F115">
        <v>1</v>
      </c>
      <c r="G115">
        <v>4</v>
      </c>
      <c r="H115">
        <v>2</v>
      </c>
      <c r="I115">
        <v>25</v>
      </c>
      <c r="J115" s="79"/>
      <c r="K115" s="122">
        <v>45447</v>
      </c>
      <c r="L115" t="s">
        <v>739</v>
      </c>
      <c r="M115">
        <v>1.8</v>
      </c>
    </row>
    <row r="116" spans="1:13" s="28" customFormat="1" hidden="1" x14ac:dyDescent="0.35">
      <c r="A116" t="s">
        <v>34</v>
      </c>
      <c r="B116" s="79"/>
      <c r="C116" s="79"/>
      <c r="D116" t="s">
        <v>343</v>
      </c>
      <c r="E116" s="79"/>
      <c r="F116">
        <v>1</v>
      </c>
      <c r="G116">
        <v>4</v>
      </c>
      <c r="H116">
        <v>2</v>
      </c>
      <c r="I116">
        <v>25</v>
      </c>
      <c r="J116" s="79"/>
      <c r="K116" s="122">
        <v>45462</v>
      </c>
      <c r="L116" t="s">
        <v>737</v>
      </c>
      <c r="M116">
        <v>3.2</v>
      </c>
    </row>
    <row r="117" spans="1:13" s="28" customFormat="1" hidden="1" x14ac:dyDescent="0.35">
      <c r="A117" t="s">
        <v>34</v>
      </c>
      <c r="B117" s="79"/>
      <c r="C117" s="79"/>
      <c r="D117" t="s">
        <v>343</v>
      </c>
      <c r="E117" s="79"/>
      <c r="F117">
        <v>1</v>
      </c>
      <c r="G117">
        <v>4</v>
      </c>
      <c r="H117">
        <v>2</v>
      </c>
      <c r="I117">
        <v>25</v>
      </c>
      <c r="J117" s="79"/>
      <c r="K117" s="122">
        <v>45462</v>
      </c>
      <c r="L117" t="s">
        <v>738</v>
      </c>
      <c r="M117">
        <v>3.3</v>
      </c>
    </row>
    <row r="118" spans="1:13" s="28" customFormat="1" hidden="1" x14ac:dyDescent="0.35">
      <c r="A118" t="s">
        <v>34</v>
      </c>
      <c r="B118" s="79"/>
      <c r="C118" s="79"/>
      <c r="D118" t="s">
        <v>343</v>
      </c>
      <c r="E118" s="79"/>
      <c r="F118">
        <v>1</v>
      </c>
      <c r="G118">
        <v>4</v>
      </c>
      <c r="H118">
        <v>2</v>
      </c>
      <c r="I118">
        <v>25</v>
      </c>
      <c r="J118" s="79"/>
      <c r="K118" s="122">
        <v>45462</v>
      </c>
      <c r="L118" t="s">
        <v>739</v>
      </c>
      <c r="M118">
        <v>3.2</v>
      </c>
    </row>
    <row r="119" spans="1:13" s="28" customFormat="1" hidden="1" x14ac:dyDescent="0.35">
      <c r="A119" t="s">
        <v>34</v>
      </c>
      <c r="B119" s="79"/>
      <c r="C119" s="79"/>
      <c r="D119" t="s">
        <v>343</v>
      </c>
      <c r="E119" s="79"/>
      <c r="F119">
        <v>1</v>
      </c>
      <c r="G119">
        <v>4</v>
      </c>
      <c r="H119">
        <v>2</v>
      </c>
      <c r="I119">
        <v>25</v>
      </c>
      <c r="J119" s="79"/>
      <c r="K119" s="122">
        <v>45477</v>
      </c>
      <c r="L119" t="s">
        <v>737</v>
      </c>
      <c r="M119">
        <v>4.4000000000000004</v>
      </c>
    </row>
    <row r="120" spans="1:13" s="28" customFormat="1" hidden="1" x14ac:dyDescent="0.35">
      <c r="A120" t="s">
        <v>34</v>
      </c>
      <c r="B120" s="79"/>
      <c r="C120" s="79"/>
      <c r="D120" t="s">
        <v>343</v>
      </c>
      <c r="E120" s="79"/>
      <c r="F120">
        <v>1</v>
      </c>
      <c r="G120">
        <v>4</v>
      </c>
      <c r="H120">
        <v>2</v>
      </c>
      <c r="I120">
        <v>25</v>
      </c>
      <c r="J120" s="79"/>
      <c r="K120" s="122">
        <v>45477</v>
      </c>
      <c r="L120" t="s">
        <v>738</v>
      </c>
      <c r="M120">
        <v>4.5999999999999996</v>
      </c>
    </row>
    <row r="121" spans="1:13" s="28" customFormat="1" hidden="1" x14ac:dyDescent="0.35">
      <c r="A121" t="s">
        <v>34</v>
      </c>
      <c r="B121" s="79"/>
      <c r="C121" s="79"/>
      <c r="D121" t="s">
        <v>343</v>
      </c>
      <c r="E121" s="79"/>
      <c r="F121">
        <v>1</v>
      </c>
      <c r="G121">
        <v>4</v>
      </c>
      <c r="H121">
        <v>2</v>
      </c>
      <c r="I121">
        <v>25</v>
      </c>
      <c r="J121" s="79"/>
      <c r="K121" s="122">
        <v>45477</v>
      </c>
      <c r="L121" t="s">
        <v>739</v>
      </c>
      <c r="M121">
        <v>4.5</v>
      </c>
    </row>
    <row r="122" spans="1:13" hidden="1" x14ac:dyDescent="0.35">
      <c r="A122" t="s">
        <v>34</v>
      </c>
      <c r="D122" t="s">
        <v>343</v>
      </c>
      <c r="F122">
        <v>1</v>
      </c>
      <c r="G122">
        <v>4</v>
      </c>
      <c r="H122">
        <v>2</v>
      </c>
      <c r="I122">
        <v>25</v>
      </c>
      <c r="J122" s="6"/>
      <c r="K122" s="122">
        <v>45485</v>
      </c>
      <c r="L122" t="s">
        <v>737</v>
      </c>
    </row>
    <row r="123" spans="1:13" hidden="1" x14ac:dyDescent="0.35">
      <c r="A123" t="s">
        <v>34</v>
      </c>
      <c r="D123" t="s">
        <v>343</v>
      </c>
      <c r="F123">
        <v>1</v>
      </c>
      <c r="G123">
        <v>4</v>
      </c>
      <c r="H123">
        <v>2</v>
      </c>
      <c r="I123">
        <v>25</v>
      </c>
      <c r="J123" s="6"/>
      <c r="K123" s="122">
        <v>45485</v>
      </c>
      <c r="L123" t="s">
        <v>738</v>
      </c>
    </row>
    <row r="124" spans="1:13" hidden="1" x14ac:dyDescent="0.35">
      <c r="A124" t="s">
        <v>34</v>
      </c>
      <c r="D124" t="s">
        <v>343</v>
      </c>
      <c r="F124">
        <v>1</v>
      </c>
      <c r="G124">
        <v>4</v>
      </c>
      <c r="H124">
        <v>2</v>
      </c>
      <c r="I124">
        <v>25</v>
      </c>
      <c r="J124" s="6"/>
      <c r="K124" s="122">
        <v>45485</v>
      </c>
      <c r="L124" t="s">
        <v>739</v>
      </c>
    </row>
    <row r="125" spans="1:13" hidden="1" x14ac:dyDescent="0.35">
      <c r="A125" t="s">
        <v>34</v>
      </c>
      <c r="D125" t="s">
        <v>343</v>
      </c>
      <c r="F125">
        <v>1</v>
      </c>
      <c r="G125">
        <v>4</v>
      </c>
      <c r="H125">
        <v>2</v>
      </c>
      <c r="I125">
        <v>25</v>
      </c>
      <c r="J125" s="6"/>
      <c r="K125" s="122">
        <v>45492</v>
      </c>
      <c r="L125" t="s">
        <v>737</v>
      </c>
      <c r="M125">
        <v>5.6</v>
      </c>
    </row>
    <row r="126" spans="1:13" hidden="1" x14ac:dyDescent="0.35">
      <c r="A126" t="s">
        <v>34</v>
      </c>
      <c r="D126" t="s">
        <v>343</v>
      </c>
      <c r="F126">
        <v>1</v>
      </c>
      <c r="G126">
        <v>4</v>
      </c>
      <c r="H126">
        <v>2</v>
      </c>
      <c r="I126">
        <v>25</v>
      </c>
      <c r="J126" s="6"/>
      <c r="K126" s="122">
        <v>45492</v>
      </c>
      <c r="L126" t="s">
        <v>738</v>
      </c>
      <c r="M126">
        <v>5.7</v>
      </c>
    </row>
    <row r="127" spans="1:13" hidden="1" x14ac:dyDescent="0.35">
      <c r="A127" t="s">
        <v>34</v>
      </c>
      <c r="D127" t="s">
        <v>343</v>
      </c>
      <c r="F127">
        <v>1</v>
      </c>
      <c r="G127">
        <v>4</v>
      </c>
      <c r="H127">
        <v>2</v>
      </c>
      <c r="I127">
        <v>25</v>
      </c>
      <c r="J127" s="6"/>
      <c r="K127" s="122">
        <v>45492</v>
      </c>
      <c r="L127" t="s">
        <v>739</v>
      </c>
      <c r="M127">
        <v>5.8</v>
      </c>
    </row>
    <row r="128" spans="1:13" hidden="1" x14ac:dyDescent="0.35">
      <c r="A128" t="s">
        <v>34</v>
      </c>
      <c r="D128" t="s">
        <v>343</v>
      </c>
      <c r="F128">
        <v>1</v>
      </c>
      <c r="G128">
        <v>4</v>
      </c>
      <c r="H128">
        <v>2</v>
      </c>
      <c r="I128">
        <v>25</v>
      </c>
      <c r="J128" s="6"/>
      <c r="K128" s="122">
        <v>45509</v>
      </c>
      <c r="L128" t="s">
        <v>737</v>
      </c>
      <c r="M128">
        <v>6.9</v>
      </c>
    </row>
    <row r="129" spans="1:13" hidden="1" x14ac:dyDescent="0.35">
      <c r="A129" t="s">
        <v>34</v>
      </c>
      <c r="D129" t="s">
        <v>343</v>
      </c>
      <c r="F129">
        <v>1</v>
      </c>
      <c r="G129">
        <v>4</v>
      </c>
      <c r="H129">
        <v>2</v>
      </c>
      <c r="I129">
        <v>25</v>
      </c>
      <c r="J129" s="6"/>
      <c r="K129" s="122">
        <v>45509</v>
      </c>
      <c r="L129" t="s">
        <v>738</v>
      </c>
      <c r="M129">
        <v>7.5</v>
      </c>
    </row>
    <row r="130" spans="1:13" hidden="1" x14ac:dyDescent="0.35">
      <c r="A130" t="s">
        <v>34</v>
      </c>
      <c r="D130" t="s">
        <v>343</v>
      </c>
      <c r="F130">
        <v>1</v>
      </c>
      <c r="G130">
        <v>4</v>
      </c>
      <c r="H130">
        <v>2</v>
      </c>
      <c r="I130">
        <v>25</v>
      </c>
      <c r="J130" s="6"/>
      <c r="K130" s="122">
        <v>45509</v>
      </c>
      <c r="L130" t="s">
        <v>739</v>
      </c>
      <c r="M130">
        <v>7.1</v>
      </c>
    </row>
    <row r="131" spans="1:13" hidden="1" x14ac:dyDescent="0.35">
      <c r="A131" t="s">
        <v>34</v>
      </c>
      <c r="D131" t="s">
        <v>343</v>
      </c>
      <c r="F131">
        <v>1</v>
      </c>
      <c r="G131">
        <v>4</v>
      </c>
      <c r="H131">
        <v>2</v>
      </c>
      <c r="I131">
        <v>25</v>
      </c>
      <c r="J131" s="6"/>
      <c r="K131" s="122">
        <v>45519</v>
      </c>
      <c r="L131" t="s">
        <v>737</v>
      </c>
      <c r="M131">
        <v>7.8</v>
      </c>
    </row>
    <row r="132" spans="1:13" hidden="1" x14ac:dyDescent="0.35">
      <c r="A132" t="s">
        <v>34</v>
      </c>
      <c r="D132" t="s">
        <v>343</v>
      </c>
      <c r="F132">
        <v>1</v>
      </c>
      <c r="G132">
        <v>4</v>
      </c>
      <c r="H132">
        <v>2</v>
      </c>
      <c r="I132">
        <v>25</v>
      </c>
      <c r="J132" s="6"/>
      <c r="K132" s="122">
        <v>45519</v>
      </c>
      <c r="L132" t="s">
        <v>738</v>
      </c>
      <c r="M132">
        <v>8.3000000000000007</v>
      </c>
    </row>
    <row r="133" spans="1:13" hidden="1" x14ac:dyDescent="0.35">
      <c r="A133" t="s">
        <v>34</v>
      </c>
      <c r="D133" t="s">
        <v>343</v>
      </c>
      <c r="F133">
        <v>1</v>
      </c>
      <c r="G133">
        <v>4</v>
      </c>
      <c r="H133">
        <v>2</v>
      </c>
      <c r="I133">
        <v>25</v>
      </c>
      <c r="J133" s="6"/>
      <c r="K133" s="122">
        <v>45519</v>
      </c>
      <c r="L133" t="s">
        <v>739</v>
      </c>
      <c r="M133">
        <v>7.8</v>
      </c>
    </row>
    <row r="134" spans="1:13" hidden="1" x14ac:dyDescent="0.35">
      <c r="A134" t="s">
        <v>34</v>
      </c>
      <c r="D134" t="s">
        <v>343</v>
      </c>
      <c r="F134">
        <v>1</v>
      </c>
      <c r="G134">
        <v>4</v>
      </c>
      <c r="H134">
        <v>2</v>
      </c>
      <c r="I134">
        <v>25</v>
      </c>
      <c r="J134" s="6"/>
      <c r="K134" s="122">
        <v>45530</v>
      </c>
      <c r="L134" t="s">
        <v>737</v>
      </c>
      <c r="M134">
        <v>9.1</v>
      </c>
    </row>
    <row r="135" spans="1:13" hidden="1" x14ac:dyDescent="0.35">
      <c r="A135" t="s">
        <v>34</v>
      </c>
      <c r="D135" t="s">
        <v>343</v>
      </c>
      <c r="F135">
        <v>1</v>
      </c>
      <c r="G135">
        <v>4</v>
      </c>
      <c r="H135">
        <v>2</v>
      </c>
      <c r="I135">
        <v>25</v>
      </c>
      <c r="J135" s="6"/>
      <c r="K135" s="122">
        <v>45530</v>
      </c>
      <c r="L135" t="s">
        <v>738</v>
      </c>
      <c r="M135">
        <v>9.3000000000000007</v>
      </c>
    </row>
    <row r="136" spans="1:13" hidden="1" x14ac:dyDescent="0.35">
      <c r="A136" t="s">
        <v>34</v>
      </c>
      <c r="D136" t="s">
        <v>343</v>
      </c>
      <c r="F136">
        <v>1</v>
      </c>
      <c r="G136">
        <v>4</v>
      </c>
      <c r="H136">
        <v>2</v>
      </c>
      <c r="I136">
        <v>25</v>
      </c>
      <c r="J136" s="6"/>
      <c r="K136" s="122">
        <v>45530</v>
      </c>
      <c r="L136" t="s">
        <v>739</v>
      </c>
      <c r="M136">
        <v>9.3000000000000007</v>
      </c>
    </row>
    <row r="137" spans="1:13" hidden="1" x14ac:dyDescent="0.35">
      <c r="A137" t="s">
        <v>34</v>
      </c>
      <c r="D137" t="s">
        <v>343</v>
      </c>
      <c r="F137">
        <v>1</v>
      </c>
      <c r="G137">
        <v>4</v>
      </c>
      <c r="H137">
        <v>2</v>
      </c>
      <c r="I137">
        <v>25</v>
      </c>
      <c r="J137" s="6"/>
      <c r="K137" s="122">
        <v>45538</v>
      </c>
      <c r="L137" t="s">
        <v>737</v>
      </c>
      <c r="M137">
        <v>9.9</v>
      </c>
    </row>
    <row r="138" spans="1:13" hidden="1" x14ac:dyDescent="0.35">
      <c r="A138" t="s">
        <v>34</v>
      </c>
      <c r="D138" t="s">
        <v>343</v>
      </c>
      <c r="F138">
        <v>1</v>
      </c>
      <c r="G138">
        <v>4</v>
      </c>
      <c r="H138">
        <v>2</v>
      </c>
      <c r="I138">
        <v>25</v>
      </c>
      <c r="J138" s="6"/>
      <c r="K138" s="122">
        <v>45538</v>
      </c>
      <c r="L138" t="s">
        <v>738</v>
      </c>
      <c r="M138">
        <v>9.9</v>
      </c>
    </row>
    <row r="139" spans="1:13" hidden="1" x14ac:dyDescent="0.35">
      <c r="A139" t="s">
        <v>34</v>
      </c>
      <c r="D139" t="s">
        <v>343</v>
      </c>
      <c r="F139">
        <v>1</v>
      </c>
      <c r="G139">
        <v>4</v>
      </c>
      <c r="H139">
        <v>2</v>
      </c>
      <c r="I139">
        <v>25</v>
      </c>
      <c r="J139" s="6"/>
      <c r="K139" s="122">
        <v>45538</v>
      </c>
      <c r="L139" t="s">
        <v>739</v>
      </c>
      <c r="M139">
        <v>9.9</v>
      </c>
    </row>
    <row r="140" spans="1:13" hidden="1" x14ac:dyDescent="0.35">
      <c r="A140" t="s">
        <v>34</v>
      </c>
      <c r="D140" t="s">
        <v>343</v>
      </c>
      <c r="F140">
        <v>1</v>
      </c>
      <c r="G140">
        <v>4</v>
      </c>
      <c r="H140">
        <v>2</v>
      </c>
      <c r="I140">
        <v>25</v>
      </c>
      <c r="J140" s="6"/>
      <c r="K140" s="122">
        <v>45547</v>
      </c>
      <c r="L140" t="s">
        <v>737</v>
      </c>
      <c r="M140">
        <v>10</v>
      </c>
    </row>
    <row r="141" spans="1:13" hidden="1" x14ac:dyDescent="0.35">
      <c r="A141" t="s">
        <v>34</v>
      </c>
      <c r="D141" t="s">
        <v>343</v>
      </c>
      <c r="F141">
        <v>1</v>
      </c>
      <c r="G141">
        <v>4</v>
      </c>
      <c r="H141">
        <v>2</v>
      </c>
      <c r="I141">
        <v>25</v>
      </c>
      <c r="J141" s="6"/>
      <c r="K141" s="122">
        <v>45547</v>
      </c>
      <c r="L141" t="s">
        <v>738</v>
      </c>
      <c r="M141">
        <v>10</v>
      </c>
    </row>
    <row r="142" spans="1:13" hidden="1" x14ac:dyDescent="0.35">
      <c r="A142" t="s">
        <v>34</v>
      </c>
      <c r="D142" t="s">
        <v>343</v>
      </c>
      <c r="F142">
        <v>1</v>
      </c>
      <c r="G142">
        <v>4</v>
      </c>
      <c r="H142">
        <v>2</v>
      </c>
      <c r="I142">
        <v>25</v>
      </c>
      <c r="J142" s="6"/>
      <c r="K142" s="122">
        <v>45547</v>
      </c>
      <c r="L142" t="s">
        <v>739</v>
      </c>
      <c r="M142">
        <v>10</v>
      </c>
    </row>
    <row r="143" spans="1:13" hidden="1" x14ac:dyDescent="0.35">
      <c r="A143" t="s">
        <v>34</v>
      </c>
      <c r="D143" t="s">
        <v>343</v>
      </c>
      <c r="F143">
        <v>1</v>
      </c>
      <c r="G143">
        <v>4</v>
      </c>
      <c r="H143">
        <v>2</v>
      </c>
      <c r="I143">
        <v>25</v>
      </c>
      <c r="J143" s="6"/>
      <c r="K143" s="122">
        <v>45555</v>
      </c>
      <c r="L143" t="s">
        <v>737</v>
      </c>
    </row>
    <row r="144" spans="1:13" hidden="1" x14ac:dyDescent="0.35">
      <c r="A144" t="s">
        <v>34</v>
      </c>
      <c r="D144" t="s">
        <v>343</v>
      </c>
      <c r="F144">
        <v>1</v>
      </c>
      <c r="G144">
        <v>4</v>
      </c>
      <c r="H144">
        <v>2</v>
      </c>
      <c r="I144">
        <v>25</v>
      </c>
      <c r="J144" s="6"/>
      <c r="K144" s="122">
        <v>45555</v>
      </c>
      <c r="L144" t="s">
        <v>738</v>
      </c>
    </row>
    <row r="145" spans="1:13" hidden="1" x14ac:dyDescent="0.35">
      <c r="A145" t="s">
        <v>34</v>
      </c>
      <c r="D145" t="s">
        <v>343</v>
      </c>
      <c r="F145">
        <v>1</v>
      </c>
      <c r="G145">
        <v>4</v>
      </c>
      <c r="H145">
        <v>2</v>
      </c>
      <c r="I145">
        <v>25</v>
      </c>
      <c r="J145" s="6"/>
      <c r="K145" s="122">
        <v>45555</v>
      </c>
      <c r="L145" t="s">
        <v>739</v>
      </c>
    </row>
    <row r="146" spans="1:13" hidden="1" x14ac:dyDescent="0.35">
      <c r="A146" t="s">
        <v>24</v>
      </c>
      <c r="D146" t="s">
        <v>336</v>
      </c>
      <c r="F146">
        <v>1</v>
      </c>
      <c r="G146">
        <v>5</v>
      </c>
      <c r="H146">
        <v>3</v>
      </c>
      <c r="I146">
        <v>33</v>
      </c>
      <c r="J146" s="6"/>
      <c r="K146" s="122">
        <v>45442</v>
      </c>
      <c r="L146" t="s">
        <v>737</v>
      </c>
    </row>
    <row r="147" spans="1:13" hidden="1" x14ac:dyDescent="0.35">
      <c r="A147" t="s">
        <v>24</v>
      </c>
      <c r="D147" t="s">
        <v>336</v>
      </c>
      <c r="F147">
        <v>1</v>
      </c>
      <c r="G147">
        <v>5</v>
      </c>
      <c r="H147">
        <v>3</v>
      </c>
      <c r="I147">
        <v>33</v>
      </c>
      <c r="J147" s="6"/>
      <c r="K147" s="122">
        <v>45442</v>
      </c>
      <c r="L147" t="s">
        <v>738</v>
      </c>
    </row>
    <row r="148" spans="1:13" hidden="1" x14ac:dyDescent="0.35">
      <c r="A148" t="s">
        <v>24</v>
      </c>
      <c r="D148" t="s">
        <v>336</v>
      </c>
      <c r="F148">
        <v>1</v>
      </c>
      <c r="G148">
        <v>5</v>
      </c>
      <c r="H148">
        <v>3</v>
      </c>
      <c r="I148">
        <v>33</v>
      </c>
      <c r="J148" s="6"/>
      <c r="K148" s="122">
        <v>45442</v>
      </c>
      <c r="L148" t="s">
        <v>739</v>
      </c>
    </row>
    <row r="149" spans="1:13" hidden="1" x14ac:dyDescent="0.35">
      <c r="A149" t="s">
        <v>24</v>
      </c>
      <c r="D149" t="s">
        <v>336</v>
      </c>
      <c r="F149">
        <v>1</v>
      </c>
      <c r="G149">
        <v>5</v>
      </c>
      <c r="H149">
        <v>3</v>
      </c>
      <c r="I149">
        <v>33</v>
      </c>
      <c r="J149" s="6"/>
      <c r="K149" s="122">
        <v>45447</v>
      </c>
      <c r="L149" t="s">
        <v>737</v>
      </c>
      <c r="M149">
        <v>4.8</v>
      </c>
    </row>
    <row r="150" spans="1:13" hidden="1" x14ac:dyDescent="0.35">
      <c r="A150" t="s">
        <v>24</v>
      </c>
      <c r="D150" t="s">
        <v>336</v>
      </c>
      <c r="F150">
        <v>1</v>
      </c>
      <c r="G150">
        <v>5</v>
      </c>
      <c r="H150">
        <v>3</v>
      </c>
      <c r="I150">
        <v>33</v>
      </c>
      <c r="J150" s="6"/>
      <c r="K150" s="122">
        <v>45447</v>
      </c>
      <c r="L150" t="s">
        <v>738</v>
      </c>
      <c r="M150">
        <v>4.7</v>
      </c>
    </row>
    <row r="151" spans="1:13" hidden="1" x14ac:dyDescent="0.35">
      <c r="A151" t="s">
        <v>24</v>
      </c>
      <c r="D151" t="s">
        <v>336</v>
      </c>
      <c r="F151">
        <v>1</v>
      </c>
      <c r="G151">
        <v>5</v>
      </c>
      <c r="H151">
        <v>3</v>
      </c>
      <c r="I151">
        <v>33</v>
      </c>
      <c r="J151" s="6"/>
      <c r="K151" s="122">
        <v>45447</v>
      </c>
      <c r="L151" t="s">
        <v>739</v>
      </c>
      <c r="M151">
        <v>4.8</v>
      </c>
    </row>
    <row r="152" spans="1:13" hidden="1" x14ac:dyDescent="0.35">
      <c r="A152" t="s">
        <v>24</v>
      </c>
      <c r="D152" t="s">
        <v>336</v>
      </c>
      <c r="F152">
        <v>1</v>
      </c>
      <c r="G152">
        <v>5</v>
      </c>
      <c r="H152">
        <v>3</v>
      </c>
      <c r="I152">
        <v>33</v>
      </c>
      <c r="J152" s="6"/>
      <c r="K152" s="122">
        <v>45462</v>
      </c>
      <c r="L152" t="s">
        <v>737</v>
      </c>
      <c r="M152">
        <v>5.7</v>
      </c>
    </row>
    <row r="153" spans="1:13" hidden="1" x14ac:dyDescent="0.35">
      <c r="A153" t="s">
        <v>24</v>
      </c>
      <c r="D153" t="s">
        <v>336</v>
      </c>
      <c r="F153">
        <v>1</v>
      </c>
      <c r="G153">
        <v>5</v>
      </c>
      <c r="H153">
        <v>3</v>
      </c>
      <c r="I153">
        <v>33</v>
      </c>
      <c r="J153" s="6"/>
      <c r="K153" s="122">
        <v>45462</v>
      </c>
      <c r="L153" t="s">
        <v>738</v>
      </c>
      <c r="M153">
        <v>5.9</v>
      </c>
    </row>
    <row r="154" spans="1:13" hidden="1" x14ac:dyDescent="0.35">
      <c r="A154" t="s">
        <v>24</v>
      </c>
      <c r="B154" s="71"/>
      <c r="C154" s="72"/>
      <c r="D154" t="s">
        <v>336</v>
      </c>
      <c r="E154" s="71"/>
      <c r="F154">
        <v>1</v>
      </c>
      <c r="G154">
        <v>5</v>
      </c>
      <c r="H154">
        <v>3</v>
      </c>
      <c r="I154">
        <v>33</v>
      </c>
      <c r="J154" s="6"/>
      <c r="K154" s="122">
        <v>45462</v>
      </c>
      <c r="L154" t="s">
        <v>739</v>
      </c>
      <c r="M154">
        <v>5.9</v>
      </c>
    </row>
    <row r="155" spans="1:13" hidden="1" x14ac:dyDescent="0.35">
      <c r="A155" t="s">
        <v>24</v>
      </c>
      <c r="D155" t="s">
        <v>336</v>
      </c>
      <c r="F155">
        <v>1</v>
      </c>
      <c r="G155">
        <v>5</v>
      </c>
      <c r="H155">
        <v>3</v>
      </c>
      <c r="I155">
        <v>33</v>
      </c>
      <c r="J155" s="6"/>
      <c r="K155" s="122">
        <v>45477</v>
      </c>
      <c r="L155" t="s">
        <v>737</v>
      </c>
    </row>
    <row r="156" spans="1:13" hidden="1" x14ac:dyDescent="0.35">
      <c r="A156" t="s">
        <v>24</v>
      </c>
      <c r="D156" t="s">
        <v>336</v>
      </c>
      <c r="F156">
        <v>1</v>
      </c>
      <c r="G156">
        <v>5</v>
      </c>
      <c r="H156">
        <v>3</v>
      </c>
      <c r="I156">
        <v>33</v>
      </c>
      <c r="J156" s="6"/>
      <c r="K156" s="122">
        <v>45477</v>
      </c>
      <c r="L156" t="s">
        <v>738</v>
      </c>
    </row>
    <row r="157" spans="1:13" hidden="1" x14ac:dyDescent="0.35">
      <c r="A157" t="s">
        <v>24</v>
      </c>
      <c r="D157" t="s">
        <v>336</v>
      </c>
      <c r="F157">
        <v>1</v>
      </c>
      <c r="G157">
        <v>5</v>
      </c>
      <c r="H157">
        <v>3</v>
      </c>
      <c r="I157">
        <v>33</v>
      </c>
      <c r="J157" s="6"/>
      <c r="K157" s="122">
        <v>45477</v>
      </c>
      <c r="L157" t="s">
        <v>739</v>
      </c>
    </row>
    <row r="158" spans="1:13" hidden="1" x14ac:dyDescent="0.35">
      <c r="A158" t="s">
        <v>24</v>
      </c>
      <c r="D158" t="s">
        <v>336</v>
      </c>
      <c r="F158">
        <v>1</v>
      </c>
      <c r="G158">
        <v>5</v>
      </c>
      <c r="H158">
        <v>3</v>
      </c>
      <c r="I158">
        <v>33</v>
      </c>
      <c r="J158" s="6"/>
      <c r="K158" s="122">
        <v>45485</v>
      </c>
      <c r="L158" t="s">
        <v>737</v>
      </c>
    </row>
    <row r="159" spans="1:13" hidden="1" x14ac:dyDescent="0.35">
      <c r="A159" t="s">
        <v>24</v>
      </c>
      <c r="D159" t="s">
        <v>336</v>
      </c>
      <c r="F159">
        <v>1</v>
      </c>
      <c r="G159">
        <v>5</v>
      </c>
      <c r="H159">
        <v>3</v>
      </c>
      <c r="I159">
        <v>33</v>
      </c>
      <c r="J159" s="6"/>
      <c r="K159" s="122">
        <v>45485</v>
      </c>
      <c r="L159" t="s">
        <v>738</v>
      </c>
    </row>
    <row r="160" spans="1:13" hidden="1" x14ac:dyDescent="0.35">
      <c r="A160" t="s">
        <v>24</v>
      </c>
      <c r="D160" t="s">
        <v>336</v>
      </c>
      <c r="F160">
        <v>1</v>
      </c>
      <c r="G160">
        <v>5</v>
      </c>
      <c r="H160">
        <v>3</v>
      </c>
      <c r="I160">
        <v>33</v>
      </c>
      <c r="J160" s="6"/>
      <c r="K160" s="122">
        <v>45485</v>
      </c>
      <c r="L160" t="s">
        <v>739</v>
      </c>
    </row>
    <row r="161" spans="1:13" hidden="1" x14ac:dyDescent="0.35">
      <c r="A161" t="s">
        <v>24</v>
      </c>
      <c r="D161" t="s">
        <v>336</v>
      </c>
      <c r="F161">
        <v>1</v>
      </c>
      <c r="G161">
        <v>5</v>
      </c>
      <c r="H161">
        <v>3</v>
      </c>
      <c r="I161">
        <v>33</v>
      </c>
      <c r="J161" s="6"/>
      <c r="K161" s="122">
        <v>45492</v>
      </c>
      <c r="L161" t="s">
        <v>737</v>
      </c>
      <c r="M161">
        <v>6.7</v>
      </c>
    </row>
    <row r="162" spans="1:13" hidden="1" x14ac:dyDescent="0.35">
      <c r="A162" t="s">
        <v>24</v>
      </c>
      <c r="D162" t="s">
        <v>336</v>
      </c>
      <c r="F162">
        <v>1</v>
      </c>
      <c r="G162">
        <v>5</v>
      </c>
      <c r="H162">
        <v>3</v>
      </c>
      <c r="I162">
        <v>33</v>
      </c>
      <c r="J162" s="6"/>
      <c r="K162" s="122">
        <v>45492</v>
      </c>
      <c r="L162" t="s">
        <v>738</v>
      </c>
      <c r="M162">
        <v>6.7</v>
      </c>
    </row>
    <row r="163" spans="1:13" hidden="1" x14ac:dyDescent="0.35">
      <c r="A163" t="s">
        <v>24</v>
      </c>
      <c r="D163" t="s">
        <v>336</v>
      </c>
      <c r="F163">
        <v>1</v>
      </c>
      <c r="G163">
        <v>5</v>
      </c>
      <c r="H163">
        <v>3</v>
      </c>
      <c r="I163">
        <v>33</v>
      </c>
      <c r="J163" s="6"/>
      <c r="K163" s="122">
        <v>45492</v>
      </c>
      <c r="L163" t="s">
        <v>739</v>
      </c>
      <c r="M163">
        <v>6.3</v>
      </c>
    </row>
    <row r="164" spans="1:13" hidden="1" x14ac:dyDescent="0.35">
      <c r="A164" t="s">
        <v>24</v>
      </c>
      <c r="D164" t="s">
        <v>336</v>
      </c>
      <c r="F164">
        <v>1</v>
      </c>
      <c r="G164">
        <v>5</v>
      </c>
      <c r="H164">
        <v>3</v>
      </c>
      <c r="I164">
        <v>33</v>
      </c>
      <c r="J164" s="6"/>
      <c r="K164" s="122">
        <v>45509</v>
      </c>
      <c r="L164" t="s">
        <v>737</v>
      </c>
      <c r="M164">
        <v>7.7</v>
      </c>
    </row>
    <row r="165" spans="1:13" hidden="1" x14ac:dyDescent="0.35">
      <c r="A165" t="s">
        <v>24</v>
      </c>
      <c r="D165" t="s">
        <v>336</v>
      </c>
      <c r="F165">
        <v>1</v>
      </c>
      <c r="G165">
        <v>5</v>
      </c>
      <c r="H165">
        <v>3</v>
      </c>
      <c r="I165">
        <v>33</v>
      </c>
      <c r="J165" s="6"/>
      <c r="K165" s="122">
        <v>45509</v>
      </c>
      <c r="L165" t="s">
        <v>738</v>
      </c>
      <c r="M165">
        <v>6.6</v>
      </c>
    </row>
    <row r="166" spans="1:13" hidden="1" x14ac:dyDescent="0.35">
      <c r="A166" t="s">
        <v>24</v>
      </c>
      <c r="D166" t="s">
        <v>336</v>
      </c>
      <c r="F166">
        <v>1</v>
      </c>
      <c r="G166">
        <v>5</v>
      </c>
      <c r="H166">
        <v>3</v>
      </c>
      <c r="I166">
        <v>33</v>
      </c>
      <c r="J166" s="6"/>
      <c r="K166" s="122">
        <v>45509</v>
      </c>
      <c r="L166" t="s">
        <v>739</v>
      </c>
      <c r="M166">
        <v>7.3</v>
      </c>
    </row>
    <row r="167" spans="1:13" hidden="1" x14ac:dyDescent="0.35">
      <c r="A167" t="s">
        <v>24</v>
      </c>
      <c r="D167" t="s">
        <v>336</v>
      </c>
      <c r="F167">
        <v>1</v>
      </c>
      <c r="G167">
        <v>5</v>
      </c>
      <c r="H167">
        <v>3</v>
      </c>
      <c r="I167">
        <v>33</v>
      </c>
      <c r="J167" s="6"/>
      <c r="K167" s="122">
        <v>45519</v>
      </c>
      <c r="L167" t="s">
        <v>737</v>
      </c>
      <c r="M167">
        <v>8.6999999999999993</v>
      </c>
    </row>
    <row r="168" spans="1:13" hidden="1" x14ac:dyDescent="0.35">
      <c r="A168" t="s">
        <v>24</v>
      </c>
      <c r="D168" t="s">
        <v>336</v>
      </c>
      <c r="F168">
        <v>1</v>
      </c>
      <c r="G168">
        <v>5</v>
      </c>
      <c r="H168">
        <v>3</v>
      </c>
      <c r="I168">
        <v>33</v>
      </c>
      <c r="J168" s="6"/>
      <c r="K168" s="122">
        <v>45519</v>
      </c>
      <c r="L168" t="s">
        <v>738</v>
      </c>
      <c r="M168">
        <v>7.9</v>
      </c>
    </row>
    <row r="169" spans="1:13" hidden="1" x14ac:dyDescent="0.35">
      <c r="A169" t="s">
        <v>24</v>
      </c>
      <c r="D169" t="s">
        <v>336</v>
      </c>
      <c r="F169">
        <v>1</v>
      </c>
      <c r="G169">
        <v>5</v>
      </c>
      <c r="H169">
        <v>3</v>
      </c>
      <c r="I169">
        <v>33</v>
      </c>
      <c r="J169" s="6"/>
      <c r="K169" s="122">
        <v>45519</v>
      </c>
      <c r="L169" t="s">
        <v>739</v>
      </c>
      <c r="M169">
        <v>7.3</v>
      </c>
    </row>
    <row r="170" spans="1:13" hidden="1" x14ac:dyDescent="0.35">
      <c r="A170" t="s">
        <v>24</v>
      </c>
      <c r="D170" t="s">
        <v>336</v>
      </c>
      <c r="F170">
        <v>1</v>
      </c>
      <c r="G170">
        <v>5</v>
      </c>
      <c r="H170">
        <v>3</v>
      </c>
      <c r="I170">
        <v>33</v>
      </c>
      <c r="J170" s="6"/>
      <c r="K170" s="122">
        <v>45530</v>
      </c>
      <c r="L170" t="s">
        <v>737</v>
      </c>
      <c r="M170">
        <v>10.1</v>
      </c>
    </row>
    <row r="171" spans="1:13" hidden="1" x14ac:dyDescent="0.35">
      <c r="A171" t="s">
        <v>24</v>
      </c>
      <c r="D171" t="s">
        <v>336</v>
      </c>
      <c r="F171">
        <v>1</v>
      </c>
      <c r="G171">
        <v>5</v>
      </c>
      <c r="H171">
        <v>3</v>
      </c>
      <c r="I171">
        <v>33</v>
      </c>
      <c r="J171" s="6"/>
      <c r="K171" s="122">
        <v>45530</v>
      </c>
      <c r="L171" t="s">
        <v>738</v>
      </c>
      <c r="M171">
        <v>9.3000000000000007</v>
      </c>
    </row>
    <row r="172" spans="1:13" hidden="1" x14ac:dyDescent="0.35">
      <c r="A172" t="s">
        <v>24</v>
      </c>
      <c r="D172" t="s">
        <v>336</v>
      </c>
      <c r="F172">
        <v>1</v>
      </c>
      <c r="G172">
        <v>5</v>
      </c>
      <c r="H172">
        <v>3</v>
      </c>
      <c r="I172">
        <v>33</v>
      </c>
      <c r="J172" s="6"/>
      <c r="K172" s="122">
        <v>45530</v>
      </c>
      <c r="L172" t="s">
        <v>739</v>
      </c>
      <c r="M172">
        <v>9.1</v>
      </c>
    </row>
    <row r="173" spans="1:13" hidden="1" x14ac:dyDescent="0.35">
      <c r="A173" t="s">
        <v>24</v>
      </c>
      <c r="D173" t="s">
        <v>336</v>
      </c>
      <c r="F173">
        <v>1</v>
      </c>
      <c r="G173">
        <v>5</v>
      </c>
      <c r="H173">
        <v>3</v>
      </c>
      <c r="I173">
        <v>33</v>
      </c>
      <c r="J173" s="6"/>
      <c r="K173" s="122">
        <v>45538</v>
      </c>
      <c r="L173" t="s">
        <v>737</v>
      </c>
      <c r="M173">
        <v>10.8</v>
      </c>
    </row>
    <row r="174" spans="1:13" hidden="1" x14ac:dyDescent="0.35">
      <c r="A174" t="s">
        <v>24</v>
      </c>
      <c r="D174" t="s">
        <v>336</v>
      </c>
      <c r="F174">
        <v>1</v>
      </c>
      <c r="G174">
        <v>5</v>
      </c>
      <c r="H174">
        <v>3</v>
      </c>
      <c r="I174">
        <v>33</v>
      </c>
      <c r="J174" s="6"/>
      <c r="K174" s="122">
        <v>45538</v>
      </c>
      <c r="L174" t="s">
        <v>738</v>
      </c>
      <c r="M174">
        <v>9.6999999999999993</v>
      </c>
    </row>
    <row r="175" spans="1:13" hidden="1" x14ac:dyDescent="0.35">
      <c r="A175" t="s">
        <v>24</v>
      </c>
      <c r="D175" t="s">
        <v>336</v>
      </c>
      <c r="F175">
        <v>1</v>
      </c>
      <c r="G175">
        <v>5</v>
      </c>
      <c r="H175">
        <v>3</v>
      </c>
      <c r="I175">
        <v>33</v>
      </c>
      <c r="J175" s="6"/>
      <c r="K175" s="122">
        <v>45538</v>
      </c>
      <c r="L175" t="s">
        <v>739</v>
      </c>
      <c r="M175">
        <v>9.9</v>
      </c>
    </row>
    <row r="176" spans="1:13" hidden="1" x14ac:dyDescent="0.35">
      <c r="A176" t="s">
        <v>24</v>
      </c>
      <c r="D176" t="s">
        <v>336</v>
      </c>
      <c r="F176">
        <v>1</v>
      </c>
      <c r="G176">
        <v>5</v>
      </c>
      <c r="H176">
        <v>3</v>
      </c>
      <c r="I176">
        <v>33</v>
      </c>
      <c r="J176" s="6"/>
      <c r="K176" s="122">
        <v>45547</v>
      </c>
      <c r="L176" t="s">
        <v>737</v>
      </c>
      <c r="M176">
        <v>10</v>
      </c>
    </row>
    <row r="177" spans="1:13" hidden="1" x14ac:dyDescent="0.35">
      <c r="A177" t="s">
        <v>24</v>
      </c>
      <c r="D177" t="s">
        <v>336</v>
      </c>
      <c r="F177">
        <v>1</v>
      </c>
      <c r="G177">
        <v>5</v>
      </c>
      <c r="H177">
        <v>3</v>
      </c>
      <c r="I177">
        <v>33</v>
      </c>
      <c r="J177" s="6"/>
      <c r="K177" s="122">
        <v>45547</v>
      </c>
      <c r="L177" t="s">
        <v>738</v>
      </c>
      <c r="M177">
        <v>11</v>
      </c>
    </row>
    <row r="178" spans="1:13" hidden="1" x14ac:dyDescent="0.35">
      <c r="A178" t="s">
        <v>24</v>
      </c>
      <c r="D178" t="s">
        <v>336</v>
      </c>
      <c r="F178">
        <v>1</v>
      </c>
      <c r="G178">
        <v>5</v>
      </c>
      <c r="H178">
        <v>3</v>
      </c>
      <c r="I178">
        <v>33</v>
      </c>
      <c r="J178" s="6"/>
      <c r="K178" s="122">
        <v>45547</v>
      </c>
      <c r="L178" t="s">
        <v>739</v>
      </c>
      <c r="M178">
        <v>10</v>
      </c>
    </row>
    <row r="179" spans="1:13" hidden="1" x14ac:dyDescent="0.35">
      <c r="A179" t="s">
        <v>24</v>
      </c>
      <c r="D179" t="s">
        <v>336</v>
      </c>
      <c r="F179">
        <v>1</v>
      </c>
      <c r="G179">
        <v>5</v>
      </c>
      <c r="H179">
        <v>3</v>
      </c>
      <c r="I179">
        <v>33</v>
      </c>
      <c r="J179" s="6"/>
      <c r="K179" s="122">
        <v>45555</v>
      </c>
      <c r="L179" t="s">
        <v>737</v>
      </c>
    </row>
    <row r="180" spans="1:13" hidden="1" x14ac:dyDescent="0.35">
      <c r="A180" t="s">
        <v>24</v>
      </c>
      <c r="D180" t="s">
        <v>336</v>
      </c>
      <c r="F180">
        <v>1</v>
      </c>
      <c r="G180">
        <v>5</v>
      </c>
      <c r="H180">
        <v>3</v>
      </c>
      <c r="I180">
        <v>33</v>
      </c>
      <c r="J180" s="6"/>
      <c r="K180" s="122">
        <v>45555</v>
      </c>
      <c r="L180" t="s">
        <v>738</v>
      </c>
    </row>
    <row r="181" spans="1:13" hidden="1" x14ac:dyDescent="0.35">
      <c r="A181" t="s">
        <v>24</v>
      </c>
      <c r="D181" t="s">
        <v>336</v>
      </c>
      <c r="F181">
        <v>1</v>
      </c>
      <c r="G181">
        <v>5</v>
      </c>
      <c r="H181">
        <v>3</v>
      </c>
      <c r="I181">
        <v>33</v>
      </c>
      <c r="J181" s="6"/>
      <c r="K181" s="122">
        <v>45555</v>
      </c>
      <c r="L181" t="s">
        <v>739</v>
      </c>
    </row>
    <row r="182" spans="1:13" x14ac:dyDescent="0.35">
      <c r="A182" t="s">
        <v>34</v>
      </c>
      <c r="D182" t="s">
        <v>41</v>
      </c>
      <c r="F182">
        <v>1</v>
      </c>
      <c r="G182">
        <v>6</v>
      </c>
      <c r="H182">
        <v>3</v>
      </c>
      <c r="I182">
        <v>41</v>
      </c>
      <c r="J182" s="6"/>
      <c r="K182" s="122">
        <v>45442</v>
      </c>
      <c r="L182" t="s">
        <v>737</v>
      </c>
    </row>
    <row r="183" spans="1:13" hidden="1" x14ac:dyDescent="0.35">
      <c r="A183" t="s">
        <v>34</v>
      </c>
      <c r="D183" t="s">
        <v>41</v>
      </c>
      <c r="F183">
        <v>1</v>
      </c>
      <c r="G183">
        <v>6</v>
      </c>
      <c r="H183">
        <v>3</v>
      </c>
      <c r="I183">
        <v>41</v>
      </c>
      <c r="J183" s="6"/>
      <c r="K183" s="122">
        <v>45442</v>
      </c>
      <c r="L183" t="s">
        <v>738</v>
      </c>
    </row>
    <row r="184" spans="1:13" hidden="1" x14ac:dyDescent="0.35">
      <c r="A184" t="s">
        <v>34</v>
      </c>
      <c r="D184" t="s">
        <v>41</v>
      </c>
      <c r="F184">
        <v>1</v>
      </c>
      <c r="G184">
        <v>6</v>
      </c>
      <c r="H184">
        <v>3</v>
      </c>
      <c r="I184">
        <v>41</v>
      </c>
      <c r="J184" s="6"/>
      <c r="K184" s="122">
        <v>45442</v>
      </c>
      <c r="L184" t="s">
        <v>739</v>
      </c>
    </row>
    <row r="185" spans="1:13" x14ac:dyDescent="0.35">
      <c r="A185" t="s">
        <v>34</v>
      </c>
      <c r="D185" t="s">
        <v>41</v>
      </c>
      <c r="F185">
        <v>1</v>
      </c>
      <c r="G185">
        <v>6</v>
      </c>
      <c r="H185">
        <v>3</v>
      </c>
      <c r="I185">
        <v>41</v>
      </c>
      <c r="J185" s="6"/>
      <c r="K185" s="122">
        <v>45447</v>
      </c>
      <c r="L185" t="s">
        <v>737</v>
      </c>
      <c r="M185">
        <v>1.8</v>
      </c>
    </row>
    <row r="186" spans="1:13" hidden="1" x14ac:dyDescent="0.35">
      <c r="A186" t="s">
        <v>34</v>
      </c>
      <c r="D186" t="s">
        <v>41</v>
      </c>
      <c r="F186">
        <v>1</v>
      </c>
      <c r="G186">
        <v>6</v>
      </c>
      <c r="H186">
        <v>3</v>
      </c>
      <c r="I186">
        <v>41</v>
      </c>
      <c r="J186" s="6"/>
      <c r="K186" s="122">
        <v>45447</v>
      </c>
      <c r="L186" t="s">
        <v>738</v>
      </c>
      <c r="M186">
        <v>1.9</v>
      </c>
    </row>
    <row r="187" spans="1:13" hidden="1" x14ac:dyDescent="0.35">
      <c r="A187" t="s">
        <v>34</v>
      </c>
      <c r="D187" t="s">
        <v>41</v>
      </c>
      <c r="F187">
        <v>1</v>
      </c>
      <c r="G187">
        <v>6</v>
      </c>
      <c r="H187">
        <v>3</v>
      </c>
      <c r="I187">
        <v>41</v>
      </c>
      <c r="J187" s="6"/>
      <c r="K187" s="122">
        <v>45447</v>
      </c>
      <c r="L187" t="s">
        <v>739</v>
      </c>
      <c r="M187">
        <v>1.8</v>
      </c>
    </row>
    <row r="188" spans="1:13" x14ac:dyDescent="0.35">
      <c r="A188" t="s">
        <v>34</v>
      </c>
      <c r="D188" t="s">
        <v>41</v>
      </c>
      <c r="F188">
        <v>1</v>
      </c>
      <c r="G188">
        <v>6</v>
      </c>
      <c r="H188">
        <v>3</v>
      </c>
      <c r="I188">
        <v>41</v>
      </c>
      <c r="J188" s="6"/>
      <c r="K188" s="122">
        <v>45462</v>
      </c>
      <c r="L188" t="s">
        <v>737</v>
      </c>
      <c r="M188">
        <v>3.2</v>
      </c>
    </row>
    <row r="189" spans="1:13" hidden="1" x14ac:dyDescent="0.35">
      <c r="A189" t="s">
        <v>34</v>
      </c>
      <c r="D189" t="s">
        <v>41</v>
      </c>
      <c r="F189">
        <v>1</v>
      </c>
      <c r="G189">
        <v>6</v>
      </c>
      <c r="H189">
        <v>3</v>
      </c>
      <c r="I189">
        <v>41</v>
      </c>
      <c r="J189" s="6"/>
      <c r="K189" s="122">
        <v>45462</v>
      </c>
      <c r="L189" t="s">
        <v>738</v>
      </c>
      <c r="M189">
        <v>3.2</v>
      </c>
    </row>
    <row r="190" spans="1:13" hidden="1" x14ac:dyDescent="0.35">
      <c r="A190" t="s">
        <v>34</v>
      </c>
      <c r="D190" t="s">
        <v>41</v>
      </c>
      <c r="F190">
        <v>1</v>
      </c>
      <c r="G190">
        <v>6</v>
      </c>
      <c r="H190">
        <v>3</v>
      </c>
      <c r="I190">
        <v>41</v>
      </c>
      <c r="J190" s="6"/>
      <c r="K190" s="122">
        <v>45462</v>
      </c>
      <c r="L190" t="s">
        <v>739</v>
      </c>
      <c r="M190">
        <v>3.3</v>
      </c>
    </row>
    <row r="191" spans="1:13" x14ac:dyDescent="0.35">
      <c r="A191" t="s">
        <v>34</v>
      </c>
      <c r="D191" t="s">
        <v>41</v>
      </c>
      <c r="F191">
        <v>1</v>
      </c>
      <c r="G191">
        <v>6</v>
      </c>
      <c r="H191">
        <v>3</v>
      </c>
      <c r="I191">
        <v>41</v>
      </c>
      <c r="J191" s="6"/>
      <c r="K191" s="122">
        <v>45477</v>
      </c>
      <c r="L191" t="s">
        <v>737</v>
      </c>
      <c r="M191">
        <v>4.7</v>
      </c>
    </row>
    <row r="192" spans="1:13" hidden="1" x14ac:dyDescent="0.35">
      <c r="A192" t="s">
        <v>34</v>
      </c>
      <c r="D192" t="s">
        <v>41</v>
      </c>
      <c r="F192">
        <v>1</v>
      </c>
      <c r="G192">
        <v>6</v>
      </c>
      <c r="H192">
        <v>3</v>
      </c>
      <c r="I192">
        <v>41</v>
      </c>
      <c r="J192" s="6"/>
      <c r="K192" s="122">
        <v>45477</v>
      </c>
      <c r="L192" t="s">
        <v>738</v>
      </c>
      <c r="M192">
        <v>4.3</v>
      </c>
    </row>
    <row r="193" spans="1:13" hidden="1" x14ac:dyDescent="0.35">
      <c r="A193" t="s">
        <v>34</v>
      </c>
      <c r="D193" t="s">
        <v>41</v>
      </c>
      <c r="F193">
        <v>1</v>
      </c>
      <c r="G193">
        <v>6</v>
      </c>
      <c r="H193">
        <v>3</v>
      </c>
      <c r="I193">
        <v>41</v>
      </c>
      <c r="J193" s="6"/>
      <c r="K193" s="122">
        <v>45477</v>
      </c>
      <c r="L193" t="s">
        <v>739</v>
      </c>
      <c r="M193">
        <v>4.8</v>
      </c>
    </row>
    <row r="194" spans="1:13" x14ac:dyDescent="0.35">
      <c r="A194" t="s">
        <v>34</v>
      </c>
      <c r="D194" t="s">
        <v>41</v>
      </c>
      <c r="F194">
        <v>1</v>
      </c>
      <c r="G194">
        <v>6</v>
      </c>
      <c r="H194">
        <v>3</v>
      </c>
      <c r="I194">
        <v>41</v>
      </c>
      <c r="J194" s="6"/>
      <c r="K194" s="122">
        <v>45485</v>
      </c>
      <c r="L194" t="s">
        <v>737</v>
      </c>
    </row>
    <row r="195" spans="1:13" hidden="1" x14ac:dyDescent="0.35">
      <c r="A195" t="s">
        <v>34</v>
      </c>
      <c r="D195" t="s">
        <v>41</v>
      </c>
      <c r="F195">
        <v>1</v>
      </c>
      <c r="G195">
        <v>6</v>
      </c>
      <c r="H195">
        <v>3</v>
      </c>
      <c r="I195">
        <v>41</v>
      </c>
      <c r="J195" s="6"/>
      <c r="K195" s="122">
        <v>45485</v>
      </c>
      <c r="L195" t="s">
        <v>738</v>
      </c>
    </row>
    <row r="196" spans="1:13" hidden="1" x14ac:dyDescent="0.35">
      <c r="A196" t="s">
        <v>34</v>
      </c>
      <c r="D196" t="s">
        <v>41</v>
      </c>
      <c r="F196">
        <v>1</v>
      </c>
      <c r="G196">
        <v>6</v>
      </c>
      <c r="H196">
        <v>3</v>
      </c>
      <c r="I196">
        <v>41</v>
      </c>
      <c r="J196" s="6"/>
      <c r="K196" s="122">
        <v>45485</v>
      </c>
      <c r="L196" t="s">
        <v>739</v>
      </c>
    </row>
    <row r="197" spans="1:13" x14ac:dyDescent="0.35">
      <c r="A197" t="s">
        <v>34</v>
      </c>
      <c r="D197" t="s">
        <v>41</v>
      </c>
      <c r="F197">
        <v>1</v>
      </c>
      <c r="G197">
        <v>6</v>
      </c>
      <c r="H197">
        <v>3</v>
      </c>
      <c r="I197">
        <v>41</v>
      </c>
      <c r="J197" s="6"/>
      <c r="K197" s="122">
        <v>45492</v>
      </c>
      <c r="L197" t="s">
        <v>737</v>
      </c>
      <c r="M197">
        <v>5.3</v>
      </c>
    </row>
    <row r="198" spans="1:13" hidden="1" x14ac:dyDescent="0.35">
      <c r="A198" t="s">
        <v>34</v>
      </c>
      <c r="D198" t="s">
        <v>41</v>
      </c>
      <c r="F198">
        <v>1</v>
      </c>
      <c r="G198">
        <v>6</v>
      </c>
      <c r="H198">
        <v>3</v>
      </c>
      <c r="I198">
        <v>41</v>
      </c>
      <c r="J198" s="6"/>
      <c r="K198" s="122">
        <v>45492</v>
      </c>
      <c r="L198" t="s">
        <v>738</v>
      </c>
      <c r="M198">
        <v>5.7</v>
      </c>
    </row>
    <row r="199" spans="1:13" hidden="1" x14ac:dyDescent="0.35">
      <c r="A199" t="s">
        <v>34</v>
      </c>
      <c r="D199" t="s">
        <v>41</v>
      </c>
      <c r="F199">
        <v>1</v>
      </c>
      <c r="G199">
        <v>6</v>
      </c>
      <c r="H199">
        <v>3</v>
      </c>
      <c r="I199">
        <v>41</v>
      </c>
      <c r="J199" s="6"/>
      <c r="K199" s="122">
        <v>45492</v>
      </c>
      <c r="L199" t="s">
        <v>739</v>
      </c>
      <c r="M199">
        <v>5.9</v>
      </c>
    </row>
    <row r="200" spans="1:13" x14ac:dyDescent="0.35">
      <c r="A200" t="s">
        <v>34</v>
      </c>
      <c r="D200" t="s">
        <v>41</v>
      </c>
      <c r="F200">
        <v>1</v>
      </c>
      <c r="G200">
        <v>6</v>
      </c>
      <c r="H200">
        <v>3</v>
      </c>
      <c r="I200">
        <v>41</v>
      </c>
      <c r="J200" s="6"/>
      <c r="K200" s="122">
        <v>45509</v>
      </c>
      <c r="L200" t="s">
        <v>737</v>
      </c>
      <c r="M200">
        <v>6.5</v>
      </c>
    </row>
    <row r="201" spans="1:13" hidden="1" x14ac:dyDescent="0.35">
      <c r="A201" t="s">
        <v>34</v>
      </c>
      <c r="D201" t="s">
        <v>41</v>
      </c>
      <c r="F201">
        <v>1</v>
      </c>
      <c r="G201">
        <v>6</v>
      </c>
      <c r="H201">
        <v>3</v>
      </c>
      <c r="I201">
        <v>41</v>
      </c>
      <c r="J201" s="6"/>
      <c r="K201" s="122">
        <v>45509</v>
      </c>
      <c r="L201" t="s">
        <v>738</v>
      </c>
      <c r="M201">
        <v>7.4</v>
      </c>
    </row>
    <row r="202" spans="1:13" hidden="1" x14ac:dyDescent="0.35">
      <c r="A202" t="s">
        <v>34</v>
      </c>
      <c r="D202" t="s">
        <v>41</v>
      </c>
      <c r="F202">
        <v>1</v>
      </c>
      <c r="G202">
        <v>6</v>
      </c>
      <c r="H202">
        <v>3</v>
      </c>
      <c r="I202">
        <v>41</v>
      </c>
      <c r="J202" s="6"/>
      <c r="K202" s="122">
        <v>45509</v>
      </c>
      <c r="L202" t="s">
        <v>739</v>
      </c>
      <c r="M202">
        <v>7.2</v>
      </c>
    </row>
    <row r="203" spans="1:13" x14ac:dyDescent="0.35">
      <c r="A203" t="s">
        <v>34</v>
      </c>
      <c r="D203" t="s">
        <v>41</v>
      </c>
      <c r="F203">
        <v>1</v>
      </c>
      <c r="G203">
        <v>6</v>
      </c>
      <c r="H203">
        <v>3</v>
      </c>
      <c r="I203">
        <v>41</v>
      </c>
      <c r="J203" s="6"/>
      <c r="K203" s="122">
        <v>45519</v>
      </c>
      <c r="L203" t="s">
        <v>737</v>
      </c>
      <c r="M203">
        <v>7.9</v>
      </c>
    </row>
    <row r="204" spans="1:13" hidden="1" x14ac:dyDescent="0.35">
      <c r="A204" t="s">
        <v>34</v>
      </c>
      <c r="D204" t="s">
        <v>41</v>
      </c>
      <c r="F204">
        <v>1</v>
      </c>
      <c r="G204">
        <v>6</v>
      </c>
      <c r="H204">
        <v>3</v>
      </c>
      <c r="I204">
        <v>41</v>
      </c>
      <c r="J204" s="6"/>
      <c r="K204" s="122">
        <v>45519</v>
      </c>
      <c r="L204" t="s">
        <v>738</v>
      </c>
      <c r="M204">
        <v>7.3</v>
      </c>
    </row>
    <row r="205" spans="1:13" hidden="1" x14ac:dyDescent="0.35">
      <c r="A205" t="s">
        <v>34</v>
      </c>
      <c r="D205" t="s">
        <v>41</v>
      </c>
      <c r="F205">
        <v>1</v>
      </c>
      <c r="G205">
        <v>6</v>
      </c>
      <c r="H205">
        <v>3</v>
      </c>
      <c r="I205">
        <v>41</v>
      </c>
      <c r="J205" s="6"/>
      <c r="K205" s="122">
        <v>45519</v>
      </c>
      <c r="L205" t="s">
        <v>739</v>
      </c>
      <c r="M205">
        <v>8.3000000000000007</v>
      </c>
    </row>
    <row r="206" spans="1:13" x14ac:dyDescent="0.35">
      <c r="A206" t="s">
        <v>34</v>
      </c>
      <c r="D206" t="s">
        <v>41</v>
      </c>
      <c r="F206">
        <v>1</v>
      </c>
      <c r="G206">
        <v>6</v>
      </c>
      <c r="H206">
        <v>3</v>
      </c>
      <c r="I206">
        <v>41</v>
      </c>
      <c r="J206" s="6"/>
      <c r="K206" s="122">
        <v>45530</v>
      </c>
      <c r="L206" t="s">
        <v>737</v>
      </c>
      <c r="M206">
        <v>8.6</v>
      </c>
    </row>
    <row r="207" spans="1:13" hidden="1" x14ac:dyDescent="0.35">
      <c r="A207" t="s">
        <v>34</v>
      </c>
      <c r="D207" t="s">
        <v>41</v>
      </c>
      <c r="F207">
        <v>1</v>
      </c>
      <c r="G207">
        <v>6</v>
      </c>
      <c r="H207">
        <v>3</v>
      </c>
      <c r="I207">
        <v>41</v>
      </c>
      <c r="J207" s="6"/>
      <c r="K207" s="122">
        <v>45530</v>
      </c>
      <c r="L207" t="s">
        <v>738</v>
      </c>
      <c r="M207">
        <v>8.6</v>
      </c>
    </row>
    <row r="208" spans="1:13" hidden="1" x14ac:dyDescent="0.35">
      <c r="A208" t="s">
        <v>34</v>
      </c>
      <c r="D208" t="s">
        <v>41</v>
      </c>
      <c r="F208">
        <v>1</v>
      </c>
      <c r="G208">
        <v>6</v>
      </c>
      <c r="H208">
        <v>3</v>
      </c>
      <c r="I208">
        <v>41</v>
      </c>
      <c r="J208" s="6"/>
      <c r="K208" s="122">
        <v>45530</v>
      </c>
      <c r="L208" t="s">
        <v>739</v>
      </c>
      <c r="M208">
        <v>9.1999999999999993</v>
      </c>
    </row>
    <row r="209" spans="1:13" x14ac:dyDescent="0.35">
      <c r="A209" t="s">
        <v>34</v>
      </c>
      <c r="D209" t="s">
        <v>41</v>
      </c>
      <c r="F209">
        <v>1</v>
      </c>
      <c r="G209">
        <v>6</v>
      </c>
      <c r="H209">
        <v>3</v>
      </c>
      <c r="I209">
        <v>41</v>
      </c>
      <c r="J209" s="6"/>
      <c r="K209" s="122">
        <v>45538</v>
      </c>
      <c r="L209" t="s">
        <v>737</v>
      </c>
      <c r="M209">
        <v>9</v>
      </c>
    </row>
    <row r="210" spans="1:13" hidden="1" x14ac:dyDescent="0.35">
      <c r="A210" t="s">
        <v>34</v>
      </c>
      <c r="D210" t="s">
        <v>41</v>
      </c>
      <c r="F210">
        <v>1</v>
      </c>
      <c r="G210">
        <v>6</v>
      </c>
      <c r="H210">
        <v>3</v>
      </c>
      <c r="I210">
        <v>41</v>
      </c>
      <c r="J210" s="6"/>
      <c r="K210" s="122">
        <v>45538</v>
      </c>
      <c r="L210" t="s">
        <v>738</v>
      </c>
      <c r="M210">
        <v>10</v>
      </c>
    </row>
    <row r="211" spans="1:13" hidden="1" x14ac:dyDescent="0.35">
      <c r="A211" t="s">
        <v>34</v>
      </c>
      <c r="D211" t="s">
        <v>41</v>
      </c>
      <c r="F211">
        <v>1</v>
      </c>
      <c r="G211">
        <v>6</v>
      </c>
      <c r="H211">
        <v>3</v>
      </c>
      <c r="I211">
        <v>41</v>
      </c>
      <c r="J211" s="6"/>
      <c r="K211" s="122">
        <v>45538</v>
      </c>
      <c r="L211" t="s">
        <v>739</v>
      </c>
      <c r="M211">
        <v>10</v>
      </c>
    </row>
    <row r="212" spans="1:13" x14ac:dyDescent="0.35">
      <c r="A212" t="s">
        <v>34</v>
      </c>
      <c r="D212" t="s">
        <v>41</v>
      </c>
      <c r="F212">
        <v>1</v>
      </c>
      <c r="G212">
        <v>6</v>
      </c>
      <c r="H212">
        <v>3</v>
      </c>
      <c r="I212">
        <v>41</v>
      </c>
      <c r="J212" s="6"/>
      <c r="K212" s="122">
        <v>45547</v>
      </c>
      <c r="L212" t="s">
        <v>737</v>
      </c>
      <c r="M212">
        <v>9</v>
      </c>
    </row>
    <row r="213" spans="1:13" hidden="1" x14ac:dyDescent="0.35">
      <c r="A213" t="s">
        <v>34</v>
      </c>
      <c r="D213" t="s">
        <v>41</v>
      </c>
      <c r="F213">
        <v>1</v>
      </c>
      <c r="G213">
        <v>6</v>
      </c>
      <c r="H213">
        <v>3</v>
      </c>
      <c r="I213">
        <v>41</v>
      </c>
      <c r="J213" s="6"/>
      <c r="K213" s="122">
        <v>45547</v>
      </c>
      <c r="L213" t="s">
        <v>738</v>
      </c>
      <c r="M213">
        <v>10</v>
      </c>
    </row>
    <row r="214" spans="1:13" hidden="1" x14ac:dyDescent="0.35">
      <c r="A214" t="s">
        <v>34</v>
      </c>
      <c r="D214" t="s">
        <v>41</v>
      </c>
      <c r="F214">
        <v>1</v>
      </c>
      <c r="G214">
        <v>6</v>
      </c>
      <c r="H214">
        <v>3</v>
      </c>
      <c r="I214">
        <v>41</v>
      </c>
      <c r="J214" s="6"/>
      <c r="K214" s="122">
        <v>45547</v>
      </c>
      <c r="L214" t="s">
        <v>739</v>
      </c>
      <c r="M214">
        <v>10</v>
      </c>
    </row>
    <row r="215" spans="1:13" x14ac:dyDescent="0.35">
      <c r="A215" t="s">
        <v>34</v>
      </c>
      <c r="D215" t="s">
        <v>41</v>
      </c>
      <c r="F215">
        <v>1</v>
      </c>
      <c r="G215">
        <v>6</v>
      </c>
      <c r="H215">
        <v>3</v>
      </c>
      <c r="I215">
        <v>41</v>
      </c>
      <c r="J215" s="6"/>
      <c r="K215" s="122">
        <v>45555</v>
      </c>
      <c r="L215" t="s">
        <v>737</v>
      </c>
    </row>
    <row r="216" spans="1:13" hidden="1" x14ac:dyDescent="0.35">
      <c r="A216" t="s">
        <v>34</v>
      </c>
      <c r="D216" t="s">
        <v>41</v>
      </c>
      <c r="F216">
        <v>1</v>
      </c>
      <c r="G216">
        <v>6</v>
      </c>
      <c r="H216">
        <v>3</v>
      </c>
      <c r="I216">
        <v>41</v>
      </c>
      <c r="J216" s="6"/>
      <c r="K216" s="122">
        <v>45555</v>
      </c>
      <c r="L216" t="s">
        <v>738</v>
      </c>
    </row>
    <row r="217" spans="1:13" hidden="1" x14ac:dyDescent="0.35">
      <c r="A217" t="s">
        <v>34</v>
      </c>
      <c r="D217" t="s">
        <v>41</v>
      </c>
      <c r="F217">
        <v>1</v>
      </c>
      <c r="G217">
        <v>6</v>
      </c>
      <c r="H217">
        <v>3</v>
      </c>
      <c r="I217">
        <v>41</v>
      </c>
      <c r="J217" s="6"/>
      <c r="K217" s="122">
        <v>45555</v>
      </c>
      <c r="L217" t="s">
        <v>739</v>
      </c>
    </row>
    <row r="218" spans="1:13" hidden="1" x14ac:dyDescent="0.35">
      <c r="A218" t="s">
        <v>24</v>
      </c>
      <c r="B218" s="71"/>
      <c r="C218" s="72"/>
      <c r="D218" t="s">
        <v>32</v>
      </c>
      <c r="E218" s="71"/>
      <c r="F218">
        <v>1</v>
      </c>
      <c r="G218">
        <v>7</v>
      </c>
      <c r="H218">
        <v>4</v>
      </c>
      <c r="I218">
        <v>49</v>
      </c>
      <c r="J218" s="6"/>
      <c r="K218" s="122">
        <v>45442</v>
      </c>
      <c r="L218" t="s">
        <v>737</v>
      </c>
    </row>
    <row r="219" spans="1:13" hidden="1" x14ac:dyDescent="0.35">
      <c r="A219" t="s">
        <v>24</v>
      </c>
      <c r="D219" t="s">
        <v>32</v>
      </c>
      <c r="F219">
        <v>1</v>
      </c>
      <c r="G219">
        <v>7</v>
      </c>
      <c r="H219">
        <v>4</v>
      </c>
      <c r="I219">
        <v>49</v>
      </c>
      <c r="J219" s="6"/>
      <c r="K219" s="122">
        <v>45442</v>
      </c>
      <c r="L219" t="s">
        <v>738</v>
      </c>
    </row>
    <row r="220" spans="1:13" hidden="1" x14ac:dyDescent="0.35">
      <c r="A220" t="s">
        <v>24</v>
      </c>
      <c r="D220" t="s">
        <v>32</v>
      </c>
      <c r="F220">
        <v>1</v>
      </c>
      <c r="G220">
        <v>7</v>
      </c>
      <c r="H220">
        <v>4</v>
      </c>
      <c r="I220">
        <v>49</v>
      </c>
      <c r="J220" s="6"/>
      <c r="K220" s="122">
        <v>45442</v>
      </c>
      <c r="L220" t="s">
        <v>739</v>
      </c>
    </row>
    <row r="221" spans="1:13" hidden="1" x14ac:dyDescent="0.35">
      <c r="A221" t="s">
        <v>24</v>
      </c>
      <c r="D221" t="s">
        <v>32</v>
      </c>
      <c r="F221">
        <v>1</v>
      </c>
      <c r="G221">
        <v>7</v>
      </c>
      <c r="H221">
        <v>4</v>
      </c>
      <c r="I221">
        <v>49</v>
      </c>
      <c r="J221" s="6"/>
      <c r="K221" s="122">
        <v>45447</v>
      </c>
      <c r="L221" t="s">
        <v>737</v>
      </c>
      <c r="M221">
        <v>5.5</v>
      </c>
    </row>
    <row r="222" spans="1:13" hidden="1" x14ac:dyDescent="0.35">
      <c r="A222" t="s">
        <v>24</v>
      </c>
      <c r="D222" t="s">
        <v>32</v>
      </c>
      <c r="F222">
        <v>1</v>
      </c>
      <c r="G222">
        <v>7</v>
      </c>
      <c r="H222">
        <v>4</v>
      </c>
      <c r="I222">
        <v>49</v>
      </c>
      <c r="J222" s="6"/>
      <c r="K222" s="122">
        <v>45447</v>
      </c>
      <c r="L222" t="s">
        <v>738</v>
      </c>
      <c r="M222">
        <v>5.8</v>
      </c>
    </row>
    <row r="223" spans="1:13" hidden="1" x14ac:dyDescent="0.35">
      <c r="A223" t="s">
        <v>24</v>
      </c>
      <c r="D223" t="s">
        <v>32</v>
      </c>
      <c r="F223">
        <v>1</v>
      </c>
      <c r="G223">
        <v>7</v>
      </c>
      <c r="H223">
        <v>4</v>
      </c>
      <c r="I223">
        <v>49</v>
      </c>
      <c r="J223" s="6"/>
      <c r="K223" s="122">
        <v>45447</v>
      </c>
      <c r="L223" t="s">
        <v>739</v>
      </c>
      <c r="M223">
        <v>5.3</v>
      </c>
    </row>
    <row r="224" spans="1:13" hidden="1" x14ac:dyDescent="0.35">
      <c r="A224" t="s">
        <v>24</v>
      </c>
      <c r="D224" t="s">
        <v>32</v>
      </c>
      <c r="F224">
        <v>1</v>
      </c>
      <c r="G224">
        <v>7</v>
      </c>
      <c r="H224">
        <v>4</v>
      </c>
      <c r="I224">
        <v>49</v>
      </c>
      <c r="J224" s="6"/>
      <c r="K224" s="122">
        <v>45462</v>
      </c>
      <c r="L224" t="s">
        <v>737</v>
      </c>
      <c r="M224">
        <v>5.5</v>
      </c>
    </row>
    <row r="225" spans="1:13" hidden="1" x14ac:dyDescent="0.35">
      <c r="A225" t="s">
        <v>24</v>
      </c>
      <c r="D225" t="s">
        <v>32</v>
      </c>
      <c r="F225">
        <v>1</v>
      </c>
      <c r="G225">
        <v>7</v>
      </c>
      <c r="H225">
        <v>4</v>
      </c>
      <c r="I225">
        <v>49</v>
      </c>
      <c r="J225" s="6"/>
      <c r="K225" s="122">
        <v>45462</v>
      </c>
      <c r="L225" t="s">
        <v>738</v>
      </c>
      <c r="M225">
        <v>5.9</v>
      </c>
    </row>
    <row r="226" spans="1:13" hidden="1" x14ac:dyDescent="0.35">
      <c r="A226" t="s">
        <v>24</v>
      </c>
      <c r="D226" t="s">
        <v>32</v>
      </c>
      <c r="F226">
        <v>1</v>
      </c>
      <c r="G226">
        <v>7</v>
      </c>
      <c r="H226">
        <v>4</v>
      </c>
      <c r="I226">
        <v>49</v>
      </c>
      <c r="J226" s="6"/>
      <c r="K226" s="122">
        <v>45462</v>
      </c>
      <c r="L226" t="s">
        <v>739</v>
      </c>
      <c r="M226">
        <v>6.5</v>
      </c>
    </row>
    <row r="227" spans="1:13" hidden="1" x14ac:dyDescent="0.35">
      <c r="A227" t="s">
        <v>24</v>
      </c>
      <c r="D227" t="s">
        <v>32</v>
      </c>
      <c r="F227">
        <v>1</v>
      </c>
      <c r="G227">
        <v>7</v>
      </c>
      <c r="H227">
        <v>4</v>
      </c>
      <c r="I227">
        <v>49</v>
      </c>
      <c r="J227" s="6"/>
      <c r="K227" s="122">
        <v>45477</v>
      </c>
      <c r="L227" t="s">
        <v>737</v>
      </c>
    </row>
    <row r="228" spans="1:13" hidden="1" x14ac:dyDescent="0.35">
      <c r="A228" t="s">
        <v>24</v>
      </c>
      <c r="D228" t="s">
        <v>32</v>
      </c>
      <c r="F228">
        <v>1</v>
      </c>
      <c r="G228">
        <v>7</v>
      </c>
      <c r="H228">
        <v>4</v>
      </c>
      <c r="I228">
        <v>49</v>
      </c>
      <c r="J228" s="6"/>
      <c r="K228" s="122">
        <v>45477</v>
      </c>
      <c r="L228" t="s">
        <v>738</v>
      </c>
    </row>
    <row r="229" spans="1:13" hidden="1" x14ac:dyDescent="0.35">
      <c r="A229" t="s">
        <v>24</v>
      </c>
      <c r="D229" t="s">
        <v>32</v>
      </c>
      <c r="F229">
        <v>1</v>
      </c>
      <c r="G229">
        <v>7</v>
      </c>
      <c r="H229">
        <v>4</v>
      </c>
      <c r="I229">
        <v>49</v>
      </c>
      <c r="J229" s="6"/>
      <c r="K229" s="122">
        <v>45477</v>
      </c>
      <c r="L229" t="s">
        <v>739</v>
      </c>
    </row>
    <row r="230" spans="1:13" hidden="1" x14ac:dyDescent="0.35">
      <c r="A230" t="s">
        <v>24</v>
      </c>
      <c r="D230" t="s">
        <v>32</v>
      </c>
      <c r="F230">
        <v>1</v>
      </c>
      <c r="G230">
        <v>7</v>
      </c>
      <c r="H230">
        <v>4</v>
      </c>
      <c r="I230">
        <v>49</v>
      </c>
      <c r="J230" s="6"/>
      <c r="K230" s="122">
        <v>45485</v>
      </c>
      <c r="L230" t="s">
        <v>737</v>
      </c>
    </row>
    <row r="231" spans="1:13" hidden="1" x14ac:dyDescent="0.35">
      <c r="A231" t="s">
        <v>24</v>
      </c>
      <c r="D231" t="s">
        <v>32</v>
      </c>
      <c r="F231">
        <v>1</v>
      </c>
      <c r="G231">
        <v>7</v>
      </c>
      <c r="H231">
        <v>4</v>
      </c>
      <c r="I231">
        <v>49</v>
      </c>
      <c r="J231" s="6"/>
      <c r="K231" s="122">
        <v>45485</v>
      </c>
      <c r="L231" t="s">
        <v>738</v>
      </c>
    </row>
    <row r="232" spans="1:13" hidden="1" x14ac:dyDescent="0.35">
      <c r="A232" t="s">
        <v>24</v>
      </c>
      <c r="D232" t="s">
        <v>32</v>
      </c>
      <c r="F232">
        <v>1</v>
      </c>
      <c r="G232">
        <v>7</v>
      </c>
      <c r="H232">
        <v>4</v>
      </c>
      <c r="I232">
        <v>49</v>
      </c>
      <c r="J232" s="6"/>
      <c r="K232" s="122">
        <v>45485</v>
      </c>
      <c r="L232" t="s">
        <v>739</v>
      </c>
    </row>
    <row r="233" spans="1:13" hidden="1" x14ac:dyDescent="0.35">
      <c r="A233" t="s">
        <v>24</v>
      </c>
      <c r="D233" t="s">
        <v>32</v>
      </c>
      <c r="F233">
        <v>1</v>
      </c>
      <c r="G233">
        <v>7</v>
      </c>
      <c r="H233">
        <v>4</v>
      </c>
      <c r="I233">
        <v>49</v>
      </c>
      <c r="J233" s="6"/>
      <c r="K233" s="122">
        <v>45492</v>
      </c>
      <c r="L233" t="s">
        <v>737</v>
      </c>
      <c r="M233">
        <v>7.5</v>
      </c>
    </row>
    <row r="234" spans="1:13" hidden="1" x14ac:dyDescent="0.35">
      <c r="A234" t="s">
        <v>24</v>
      </c>
      <c r="D234" t="s">
        <v>32</v>
      </c>
      <c r="F234">
        <v>1</v>
      </c>
      <c r="G234">
        <v>7</v>
      </c>
      <c r="H234">
        <v>4</v>
      </c>
      <c r="I234">
        <v>49</v>
      </c>
      <c r="J234" s="6"/>
      <c r="K234" s="122">
        <v>45492</v>
      </c>
      <c r="L234" t="s">
        <v>738</v>
      </c>
      <c r="M234">
        <v>7.9</v>
      </c>
    </row>
    <row r="235" spans="1:13" hidden="1" x14ac:dyDescent="0.35">
      <c r="A235" t="s">
        <v>24</v>
      </c>
      <c r="D235" t="s">
        <v>32</v>
      </c>
      <c r="F235">
        <v>1</v>
      </c>
      <c r="G235">
        <v>7</v>
      </c>
      <c r="H235">
        <v>4</v>
      </c>
      <c r="I235">
        <v>49</v>
      </c>
      <c r="J235" s="6"/>
      <c r="K235" s="122">
        <v>45492</v>
      </c>
      <c r="L235" t="s">
        <v>739</v>
      </c>
      <c r="M235">
        <v>7.3</v>
      </c>
    </row>
    <row r="236" spans="1:13" hidden="1" x14ac:dyDescent="0.35">
      <c r="A236" t="s">
        <v>24</v>
      </c>
      <c r="D236" t="s">
        <v>32</v>
      </c>
      <c r="F236">
        <v>1</v>
      </c>
      <c r="G236">
        <v>7</v>
      </c>
      <c r="H236">
        <v>4</v>
      </c>
      <c r="I236">
        <v>49</v>
      </c>
      <c r="J236" s="6"/>
      <c r="K236" s="122">
        <v>45509</v>
      </c>
      <c r="L236" t="s">
        <v>737</v>
      </c>
      <c r="M236">
        <v>8.6</v>
      </c>
    </row>
    <row r="237" spans="1:13" hidden="1" x14ac:dyDescent="0.35">
      <c r="A237" t="s">
        <v>24</v>
      </c>
      <c r="D237" t="s">
        <v>32</v>
      </c>
      <c r="F237">
        <v>1</v>
      </c>
      <c r="G237">
        <v>7</v>
      </c>
      <c r="H237">
        <v>4</v>
      </c>
      <c r="I237">
        <v>49</v>
      </c>
      <c r="J237" s="6"/>
      <c r="K237" s="122">
        <v>45509</v>
      </c>
      <c r="L237" t="s">
        <v>738</v>
      </c>
      <c r="M237">
        <v>8.3000000000000007</v>
      </c>
    </row>
    <row r="238" spans="1:13" hidden="1" x14ac:dyDescent="0.35">
      <c r="A238" t="s">
        <v>24</v>
      </c>
      <c r="D238" t="s">
        <v>32</v>
      </c>
      <c r="F238">
        <v>1</v>
      </c>
      <c r="G238">
        <v>7</v>
      </c>
      <c r="H238">
        <v>4</v>
      </c>
      <c r="I238">
        <v>49</v>
      </c>
      <c r="J238" s="6"/>
      <c r="K238" s="122">
        <v>45509</v>
      </c>
      <c r="L238" t="s">
        <v>739</v>
      </c>
      <c r="M238">
        <v>8.6</v>
      </c>
    </row>
    <row r="239" spans="1:13" hidden="1" x14ac:dyDescent="0.35">
      <c r="A239" t="s">
        <v>24</v>
      </c>
      <c r="D239" t="s">
        <v>32</v>
      </c>
      <c r="F239">
        <v>1</v>
      </c>
      <c r="G239">
        <v>7</v>
      </c>
      <c r="H239">
        <v>4</v>
      </c>
      <c r="I239">
        <v>49</v>
      </c>
      <c r="J239" s="6"/>
      <c r="K239" s="122">
        <v>45519</v>
      </c>
      <c r="L239" t="s">
        <v>737</v>
      </c>
      <c r="M239">
        <v>9.5</v>
      </c>
    </row>
    <row r="240" spans="1:13" hidden="1" x14ac:dyDescent="0.35">
      <c r="A240" t="s">
        <v>24</v>
      </c>
      <c r="D240" t="s">
        <v>32</v>
      </c>
      <c r="F240">
        <v>1</v>
      </c>
      <c r="G240">
        <v>7</v>
      </c>
      <c r="H240">
        <v>4</v>
      </c>
      <c r="I240">
        <v>49</v>
      </c>
      <c r="J240" s="6"/>
      <c r="K240" s="122">
        <v>45519</v>
      </c>
      <c r="L240" t="s">
        <v>738</v>
      </c>
      <c r="M240">
        <v>10.1</v>
      </c>
    </row>
    <row r="241" spans="1:13" hidden="1" x14ac:dyDescent="0.35">
      <c r="A241" t="s">
        <v>24</v>
      </c>
      <c r="D241" t="s">
        <v>32</v>
      </c>
      <c r="F241">
        <v>1</v>
      </c>
      <c r="G241">
        <v>7</v>
      </c>
      <c r="H241">
        <v>4</v>
      </c>
      <c r="I241">
        <v>49</v>
      </c>
      <c r="J241" s="6"/>
      <c r="K241" s="122">
        <v>45519</v>
      </c>
      <c r="L241" t="s">
        <v>739</v>
      </c>
      <c r="M241">
        <v>9.5</v>
      </c>
    </row>
    <row r="242" spans="1:13" hidden="1" x14ac:dyDescent="0.35">
      <c r="A242" t="s">
        <v>24</v>
      </c>
      <c r="D242" t="s">
        <v>32</v>
      </c>
      <c r="F242">
        <v>1</v>
      </c>
      <c r="G242">
        <v>7</v>
      </c>
      <c r="H242">
        <v>4</v>
      </c>
      <c r="I242">
        <v>49</v>
      </c>
      <c r="J242" s="6"/>
      <c r="K242" s="122">
        <v>45530</v>
      </c>
      <c r="L242" t="s">
        <v>737</v>
      </c>
      <c r="M242">
        <v>10.9</v>
      </c>
    </row>
    <row r="243" spans="1:13" hidden="1" x14ac:dyDescent="0.35">
      <c r="A243" t="s">
        <v>24</v>
      </c>
      <c r="D243" t="s">
        <v>32</v>
      </c>
      <c r="F243">
        <v>1</v>
      </c>
      <c r="G243">
        <v>7</v>
      </c>
      <c r="H243">
        <v>4</v>
      </c>
      <c r="I243">
        <v>49</v>
      </c>
      <c r="J243" s="6"/>
      <c r="K243" s="122">
        <v>45530</v>
      </c>
      <c r="L243" t="s">
        <v>738</v>
      </c>
      <c r="M243">
        <v>11.1</v>
      </c>
    </row>
    <row r="244" spans="1:13" hidden="1" x14ac:dyDescent="0.35">
      <c r="A244" t="s">
        <v>24</v>
      </c>
      <c r="D244" t="s">
        <v>32</v>
      </c>
      <c r="F244">
        <v>1</v>
      </c>
      <c r="G244">
        <v>7</v>
      </c>
      <c r="H244">
        <v>4</v>
      </c>
      <c r="I244">
        <v>49</v>
      </c>
      <c r="J244" s="6"/>
      <c r="K244" s="122">
        <v>45530</v>
      </c>
      <c r="L244" t="s">
        <v>739</v>
      </c>
      <c r="M244">
        <v>10.9</v>
      </c>
    </row>
    <row r="245" spans="1:13" hidden="1" x14ac:dyDescent="0.35">
      <c r="A245" t="s">
        <v>24</v>
      </c>
      <c r="D245" t="s">
        <v>32</v>
      </c>
      <c r="F245">
        <v>1</v>
      </c>
      <c r="G245">
        <v>7</v>
      </c>
      <c r="H245">
        <v>4</v>
      </c>
      <c r="I245">
        <v>49</v>
      </c>
      <c r="J245" s="6"/>
      <c r="K245" s="122">
        <v>45538</v>
      </c>
      <c r="L245" t="s">
        <v>737</v>
      </c>
      <c r="M245">
        <v>11.8</v>
      </c>
    </row>
    <row r="246" spans="1:13" hidden="1" x14ac:dyDescent="0.35">
      <c r="A246" t="s">
        <v>24</v>
      </c>
      <c r="D246" t="s">
        <v>32</v>
      </c>
      <c r="F246">
        <v>1</v>
      </c>
      <c r="G246">
        <v>7</v>
      </c>
      <c r="H246">
        <v>4</v>
      </c>
      <c r="I246">
        <v>49</v>
      </c>
      <c r="J246" s="6"/>
      <c r="K246" s="122">
        <v>45538</v>
      </c>
      <c r="L246" t="s">
        <v>738</v>
      </c>
      <c r="M246">
        <v>11.8</v>
      </c>
    </row>
    <row r="247" spans="1:13" hidden="1" x14ac:dyDescent="0.35">
      <c r="A247" t="s">
        <v>24</v>
      </c>
      <c r="D247" t="s">
        <v>32</v>
      </c>
      <c r="F247">
        <v>1</v>
      </c>
      <c r="G247">
        <v>7</v>
      </c>
      <c r="H247">
        <v>4</v>
      </c>
      <c r="I247">
        <v>49</v>
      </c>
      <c r="J247" s="6"/>
      <c r="K247" s="122">
        <v>45538</v>
      </c>
      <c r="L247" t="s">
        <v>739</v>
      </c>
      <c r="M247">
        <v>11.6</v>
      </c>
    </row>
    <row r="248" spans="1:13" hidden="1" x14ac:dyDescent="0.35">
      <c r="A248" t="s">
        <v>24</v>
      </c>
      <c r="D248" t="s">
        <v>32</v>
      </c>
      <c r="F248">
        <v>1</v>
      </c>
      <c r="G248">
        <v>7</v>
      </c>
      <c r="H248">
        <v>4</v>
      </c>
      <c r="I248">
        <v>49</v>
      </c>
      <c r="J248" s="6"/>
      <c r="K248" s="122">
        <v>45547</v>
      </c>
      <c r="L248" t="s">
        <v>737</v>
      </c>
      <c r="M248">
        <v>12</v>
      </c>
    </row>
    <row r="249" spans="1:13" hidden="1" x14ac:dyDescent="0.35">
      <c r="A249" t="s">
        <v>24</v>
      </c>
      <c r="D249" t="s">
        <v>32</v>
      </c>
      <c r="F249">
        <v>1</v>
      </c>
      <c r="G249">
        <v>7</v>
      </c>
      <c r="H249">
        <v>4</v>
      </c>
      <c r="I249">
        <v>49</v>
      </c>
      <c r="J249" s="6"/>
      <c r="K249" s="122">
        <v>45547</v>
      </c>
      <c r="L249" t="s">
        <v>738</v>
      </c>
      <c r="M249">
        <v>12</v>
      </c>
    </row>
    <row r="250" spans="1:13" hidden="1" x14ac:dyDescent="0.35">
      <c r="A250" t="s">
        <v>24</v>
      </c>
      <c r="D250" t="s">
        <v>32</v>
      </c>
      <c r="F250">
        <v>1</v>
      </c>
      <c r="G250">
        <v>7</v>
      </c>
      <c r="H250">
        <v>4</v>
      </c>
      <c r="I250">
        <v>49</v>
      </c>
      <c r="J250" s="6"/>
      <c r="K250" s="122">
        <v>45547</v>
      </c>
      <c r="L250" t="s">
        <v>739</v>
      </c>
      <c r="M250">
        <v>12</v>
      </c>
    </row>
    <row r="251" spans="1:13" hidden="1" x14ac:dyDescent="0.35">
      <c r="A251" t="s">
        <v>24</v>
      </c>
      <c r="D251" t="s">
        <v>32</v>
      </c>
      <c r="F251">
        <v>1</v>
      </c>
      <c r="G251">
        <v>7</v>
      </c>
      <c r="H251">
        <v>4</v>
      </c>
      <c r="I251">
        <v>49</v>
      </c>
      <c r="J251" s="6"/>
      <c r="K251" s="122">
        <v>45555</v>
      </c>
      <c r="L251" t="s">
        <v>737</v>
      </c>
    </row>
    <row r="252" spans="1:13" hidden="1" x14ac:dyDescent="0.35">
      <c r="A252" t="s">
        <v>24</v>
      </c>
      <c r="D252" t="s">
        <v>32</v>
      </c>
      <c r="F252">
        <v>1</v>
      </c>
      <c r="G252">
        <v>7</v>
      </c>
      <c r="H252">
        <v>4</v>
      </c>
      <c r="I252">
        <v>49</v>
      </c>
      <c r="J252" s="6"/>
      <c r="K252" s="122">
        <v>45555</v>
      </c>
      <c r="L252" t="s">
        <v>738</v>
      </c>
    </row>
    <row r="253" spans="1:13" hidden="1" x14ac:dyDescent="0.35">
      <c r="A253" t="s">
        <v>24</v>
      </c>
      <c r="D253" t="s">
        <v>32</v>
      </c>
      <c r="F253">
        <v>1</v>
      </c>
      <c r="G253">
        <v>7</v>
      </c>
      <c r="H253">
        <v>4</v>
      </c>
      <c r="I253">
        <v>49</v>
      </c>
      <c r="J253" s="6"/>
      <c r="K253" s="122">
        <v>45555</v>
      </c>
      <c r="L253" t="s">
        <v>739</v>
      </c>
    </row>
    <row r="254" spans="1:13" hidden="1" x14ac:dyDescent="0.35">
      <c r="A254" t="s">
        <v>34</v>
      </c>
      <c r="D254" t="s">
        <v>39</v>
      </c>
      <c r="F254">
        <v>1</v>
      </c>
      <c r="G254">
        <v>8</v>
      </c>
      <c r="H254">
        <v>4</v>
      </c>
      <c r="I254">
        <v>57</v>
      </c>
      <c r="J254" s="6"/>
      <c r="K254" s="122">
        <v>45442</v>
      </c>
      <c r="L254" t="s">
        <v>737</v>
      </c>
    </row>
    <row r="255" spans="1:13" hidden="1" x14ac:dyDescent="0.35">
      <c r="A255" t="s">
        <v>34</v>
      </c>
      <c r="D255" t="s">
        <v>39</v>
      </c>
      <c r="F255">
        <v>1</v>
      </c>
      <c r="G255">
        <v>8</v>
      </c>
      <c r="H255">
        <v>4</v>
      </c>
      <c r="I255">
        <v>57</v>
      </c>
      <c r="J255" s="6"/>
      <c r="K255" s="122">
        <v>45442</v>
      </c>
      <c r="L255" t="s">
        <v>738</v>
      </c>
    </row>
    <row r="256" spans="1:13" hidden="1" x14ac:dyDescent="0.35">
      <c r="A256" t="s">
        <v>34</v>
      </c>
      <c r="D256" t="s">
        <v>39</v>
      </c>
      <c r="F256">
        <v>1</v>
      </c>
      <c r="G256">
        <v>8</v>
      </c>
      <c r="H256">
        <v>4</v>
      </c>
      <c r="I256">
        <v>57</v>
      </c>
      <c r="J256" s="6"/>
      <c r="K256" s="122">
        <v>45442</v>
      </c>
      <c r="L256" t="s">
        <v>739</v>
      </c>
    </row>
    <row r="257" spans="1:13" hidden="1" x14ac:dyDescent="0.35">
      <c r="A257" t="s">
        <v>34</v>
      </c>
      <c r="D257" t="s">
        <v>39</v>
      </c>
      <c r="F257">
        <v>1</v>
      </c>
      <c r="G257">
        <v>8</v>
      </c>
      <c r="H257">
        <v>4</v>
      </c>
      <c r="I257">
        <v>57</v>
      </c>
      <c r="J257" s="6"/>
      <c r="K257" s="122">
        <v>45447</v>
      </c>
      <c r="L257" t="s">
        <v>737</v>
      </c>
      <c r="M257">
        <v>1.9</v>
      </c>
    </row>
    <row r="258" spans="1:13" hidden="1" x14ac:dyDescent="0.35">
      <c r="A258" t="s">
        <v>34</v>
      </c>
      <c r="D258" t="s">
        <v>39</v>
      </c>
      <c r="F258">
        <v>1</v>
      </c>
      <c r="G258">
        <v>8</v>
      </c>
      <c r="H258">
        <v>4</v>
      </c>
      <c r="I258">
        <v>57</v>
      </c>
      <c r="J258" s="6"/>
      <c r="K258" s="122">
        <v>45447</v>
      </c>
      <c r="L258" t="s">
        <v>738</v>
      </c>
      <c r="M258">
        <v>1.7</v>
      </c>
    </row>
    <row r="259" spans="1:13" hidden="1" x14ac:dyDescent="0.35">
      <c r="A259" t="s">
        <v>34</v>
      </c>
      <c r="D259" t="s">
        <v>39</v>
      </c>
      <c r="F259">
        <v>1</v>
      </c>
      <c r="G259">
        <v>8</v>
      </c>
      <c r="H259">
        <v>4</v>
      </c>
      <c r="I259">
        <v>57</v>
      </c>
      <c r="J259" s="6"/>
      <c r="K259" s="122">
        <v>45447</v>
      </c>
      <c r="L259" t="s">
        <v>739</v>
      </c>
      <c r="M259">
        <v>1.8</v>
      </c>
    </row>
    <row r="260" spans="1:13" hidden="1" x14ac:dyDescent="0.35">
      <c r="A260" t="s">
        <v>34</v>
      </c>
      <c r="D260" t="s">
        <v>39</v>
      </c>
      <c r="F260">
        <v>1</v>
      </c>
      <c r="G260">
        <v>8</v>
      </c>
      <c r="H260">
        <v>4</v>
      </c>
      <c r="I260">
        <v>57</v>
      </c>
      <c r="J260" s="6"/>
      <c r="K260" s="122">
        <v>45462</v>
      </c>
      <c r="L260" t="s">
        <v>737</v>
      </c>
      <c r="M260">
        <v>3.3</v>
      </c>
    </row>
    <row r="261" spans="1:13" hidden="1" x14ac:dyDescent="0.35">
      <c r="A261" t="s">
        <v>34</v>
      </c>
      <c r="D261" t="s">
        <v>39</v>
      </c>
      <c r="F261">
        <v>1</v>
      </c>
      <c r="G261">
        <v>8</v>
      </c>
      <c r="H261">
        <v>4</v>
      </c>
      <c r="I261">
        <v>57</v>
      </c>
      <c r="J261" s="6"/>
      <c r="K261" s="122">
        <v>45462</v>
      </c>
      <c r="L261" t="s">
        <v>738</v>
      </c>
      <c r="M261">
        <v>3.4</v>
      </c>
    </row>
    <row r="262" spans="1:13" hidden="1" x14ac:dyDescent="0.35">
      <c r="A262" t="s">
        <v>34</v>
      </c>
      <c r="D262" t="s">
        <v>39</v>
      </c>
      <c r="F262">
        <v>1</v>
      </c>
      <c r="G262">
        <v>8</v>
      </c>
      <c r="H262">
        <v>4</v>
      </c>
      <c r="I262">
        <v>57</v>
      </c>
      <c r="J262" s="6"/>
      <c r="K262" s="122">
        <v>45462</v>
      </c>
      <c r="L262" t="s">
        <v>739</v>
      </c>
      <c r="M262">
        <v>3.3</v>
      </c>
    </row>
    <row r="263" spans="1:13" hidden="1" x14ac:dyDescent="0.35">
      <c r="A263" t="s">
        <v>34</v>
      </c>
      <c r="D263" t="s">
        <v>39</v>
      </c>
      <c r="F263">
        <v>1</v>
      </c>
      <c r="G263">
        <v>8</v>
      </c>
      <c r="H263">
        <v>4</v>
      </c>
      <c r="I263">
        <v>57</v>
      </c>
      <c r="J263" s="6"/>
      <c r="K263" s="122">
        <v>45477</v>
      </c>
      <c r="L263" t="s">
        <v>737</v>
      </c>
      <c r="M263">
        <v>4.8</v>
      </c>
    </row>
    <row r="264" spans="1:13" hidden="1" x14ac:dyDescent="0.35">
      <c r="A264" t="s">
        <v>34</v>
      </c>
      <c r="D264" t="s">
        <v>39</v>
      </c>
      <c r="F264">
        <v>1</v>
      </c>
      <c r="G264">
        <v>8</v>
      </c>
      <c r="H264">
        <v>4</v>
      </c>
      <c r="I264">
        <v>57</v>
      </c>
      <c r="J264" s="6"/>
      <c r="K264" s="122">
        <v>45477</v>
      </c>
      <c r="L264" t="s">
        <v>738</v>
      </c>
      <c r="M264">
        <v>5</v>
      </c>
    </row>
    <row r="265" spans="1:13" hidden="1" x14ac:dyDescent="0.35">
      <c r="A265" t="s">
        <v>34</v>
      </c>
      <c r="D265" t="s">
        <v>39</v>
      </c>
      <c r="F265">
        <v>1</v>
      </c>
      <c r="G265">
        <v>8</v>
      </c>
      <c r="H265">
        <v>4</v>
      </c>
      <c r="I265">
        <v>57</v>
      </c>
      <c r="J265" s="6"/>
      <c r="K265" s="122">
        <v>45477</v>
      </c>
      <c r="L265" t="s">
        <v>739</v>
      </c>
      <c r="M265">
        <v>4.8</v>
      </c>
    </row>
    <row r="266" spans="1:13" hidden="1" x14ac:dyDescent="0.35">
      <c r="A266" t="s">
        <v>34</v>
      </c>
      <c r="D266" t="s">
        <v>39</v>
      </c>
      <c r="F266">
        <v>1</v>
      </c>
      <c r="G266">
        <v>8</v>
      </c>
      <c r="H266">
        <v>4</v>
      </c>
      <c r="I266">
        <v>57</v>
      </c>
      <c r="J266" s="6"/>
      <c r="K266" s="122">
        <v>45485</v>
      </c>
      <c r="L266" t="s">
        <v>737</v>
      </c>
    </row>
    <row r="267" spans="1:13" hidden="1" x14ac:dyDescent="0.35">
      <c r="A267" t="s">
        <v>34</v>
      </c>
      <c r="D267" t="s">
        <v>39</v>
      </c>
      <c r="F267">
        <v>1</v>
      </c>
      <c r="G267">
        <v>8</v>
      </c>
      <c r="H267">
        <v>4</v>
      </c>
      <c r="I267">
        <v>57</v>
      </c>
      <c r="J267" s="6"/>
      <c r="K267" s="122">
        <v>45485</v>
      </c>
      <c r="L267" t="s">
        <v>738</v>
      </c>
    </row>
    <row r="268" spans="1:13" hidden="1" x14ac:dyDescent="0.35">
      <c r="A268" t="s">
        <v>34</v>
      </c>
      <c r="D268" t="s">
        <v>39</v>
      </c>
      <c r="F268">
        <v>1</v>
      </c>
      <c r="G268">
        <v>8</v>
      </c>
      <c r="H268">
        <v>4</v>
      </c>
      <c r="I268">
        <v>57</v>
      </c>
      <c r="J268" s="6"/>
      <c r="K268" s="122">
        <v>45485</v>
      </c>
      <c r="L268" t="s">
        <v>739</v>
      </c>
    </row>
    <row r="269" spans="1:13" hidden="1" x14ac:dyDescent="0.35">
      <c r="A269" t="s">
        <v>34</v>
      </c>
      <c r="D269" t="s">
        <v>39</v>
      </c>
      <c r="F269">
        <v>1</v>
      </c>
      <c r="G269">
        <v>8</v>
      </c>
      <c r="H269">
        <v>4</v>
      </c>
      <c r="I269">
        <v>57</v>
      </c>
      <c r="J269" s="6"/>
      <c r="K269" s="122">
        <v>45492</v>
      </c>
      <c r="L269" t="s">
        <v>737</v>
      </c>
      <c r="M269">
        <v>5</v>
      </c>
    </row>
    <row r="270" spans="1:13" hidden="1" x14ac:dyDescent="0.35">
      <c r="A270" t="s">
        <v>34</v>
      </c>
      <c r="D270" t="s">
        <v>39</v>
      </c>
      <c r="F270">
        <v>1</v>
      </c>
      <c r="G270">
        <v>8</v>
      </c>
      <c r="H270">
        <v>4</v>
      </c>
      <c r="I270">
        <v>57</v>
      </c>
      <c r="J270" s="6"/>
      <c r="K270" s="122">
        <v>45492</v>
      </c>
      <c r="L270" t="s">
        <v>738</v>
      </c>
      <c r="M270">
        <v>4.7</v>
      </c>
    </row>
    <row r="271" spans="1:13" hidden="1" x14ac:dyDescent="0.35">
      <c r="A271" t="s">
        <v>34</v>
      </c>
      <c r="D271" t="s">
        <v>39</v>
      </c>
      <c r="F271">
        <v>1</v>
      </c>
      <c r="G271">
        <v>8</v>
      </c>
      <c r="H271">
        <v>4</v>
      </c>
      <c r="I271">
        <v>57</v>
      </c>
      <c r="J271" s="6"/>
      <c r="K271" s="122">
        <v>45492</v>
      </c>
      <c r="L271" t="s">
        <v>739</v>
      </c>
      <c r="M271">
        <v>5.9</v>
      </c>
    </row>
    <row r="272" spans="1:13" hidden="1" x14ac:dyDescent="0.35">
      <c r="A272" t="s">
        <v>34</v>
      </c>
      <c r="D272" t="s">
        <v>39</v>
      </c>
      <c r="F272">
        <v>1</v>
      </c>
      <c r="G272">
        <v>8</v>
      </c>
      <c r="H272">
        <v>4</v>
      </c>
      <c r="I272">
        <v>57</v>
      </c>
      <c r="J272" s="6"/>
      <c r="K272" s="122">
        <v>45509</v>
      </c>
      <c r="L272" t="s">
        <v>737</v>
      </c>
      <c r="M272">
        <v>6.5</v>
      </c>
    </row>
    <row r="273" spans="1:13" hidden="1" x14ac:dyDescent="0.35">
      <c r="A273" t="s">
        <v>34</v>
      </c>
      <c r="D273" t="s">
        <v>39</v>
      </c>
      <c r="F273">
        <v>1</v>
      </c>
      <c r="G273">
        <v>8</v>
      </c>
      <c r="H273">
        <v>4</v>
      </c>
      <c r="I273">
        <v>57</v>
      </c>
      <c r="J273" s="6"/>
      <c r="K273" s="122">
        <v>45509</v>
      </c>
      <c r="L273" t="s">
        <v>738</v>
      </c>
      <c r="M273">
        <v>6.5</v>
      </c>
    </row>
    <row r="274" spans="1:13" hidden="1" x14ac:dyDescent="0.35">
      <c r="A274" t="s">
        <v>34</v>
      </c>
      <c r="D274" t="s">
        <v>39</v>
      </c>
      <c r="F274">
        <v>1</v>
      </c>
      <c r="G274">
        <v>8</v>
      </c>
      <c r="H274">
        <v>4</v>
      </c>
      <c r="I274">
        <v>57</v>
      </c>
      <c r="J274" s="6"/>
      <c r="K274" s="122">
        <v>45509</v>
      </c>
      <c r="L274" t="s">
        <v>739</v>
      </c>
      <c r="M274">
        <v>7.3</v>
      </c>
    </row>
    <row r="275" spans="1:13" hidden="1" x14ac:dyDescent="0.35">
      <c r="A275" t="s">
        <v>34</v>
      </c>
      <c r="D275" t="s">
        <v>39</v>
      </c>
      <c r="F275">
        <v>1</v>
      </c>
      <c r="G275">
        <v>8</v>
      </c>
      <c r="H275">
        <v>4</v>
      </c>
      <c r="I275">
        <v>57</v>
      </c>
      <c r="J275" s="6"/>
      <c r="K275" s="122">
        <v>45519</v>
      </c>
      <c r="L275" t="s">
        <v>737</v>
      </c>
      <c r="M275">
        <v>8.3000000000000007</v>
      </c>
    </row>
    <row r="276" spans="1:13" hidden="1" x14ac:dyDescent="0.35">
      <c r="A276" t="s">
        <v>34</v>
      </c>
      <c r="D276" t="s">
        <v>39</v>
      </c>
      <c r="F276">
        <v>1</v>
      </c>
      <c r="G276">
        <v>8</v>
      </c>
      <c r="H276">
        <v>4</v>
      </c>
      <c r="I276">
        <v>57</v>
      </c>
      <c r="J276" s="6"/>
      <c r="K276" s="122">
        <v>45519</v>
      </c>
      <c r="L276" t="s">
        <v>738</v>
      </c>
      <c r="M276">
        <v>8.4</v>
      </c>
    </row>
    <row r="277" spans="1:13" hidden="1" x14ac:dyDescent="0.35">
      <c r="A277" t="s">
        <v>34</v>
      </c>
      <c r="D277" t="s">
        <v>39</v>
      </c>
      <c r="F277">
        <v>1</v>
      </c>
      <c r="G277">
        <v>8</v>
      </c>
      <c r="H277">
        <v>4</v>
      </c>
      <c r="I277">
        <v>57</v>
      </c>
      <c r="J277" s="6"/>
      <c r="K277" s="122">
        <v>45519</v>
      </c>
      <c r="L277" t="s">
        <v>739</v>
      </c>
      <c r="M277">
        <v>8.1999999999999993</v>
      </c>
    </row>
    <row r="278" spans="1:13" hidden="1" x14ac:dyDescent="0.35">
      <c r="A278" t="s">
        <v>34</v>
      </c>
      <c r="D278" t="s">
        <v>39</v>
      </c>
      <c r="F278">
        <v>1</v>
      </c>
      <c r="G278">
        <v>8</v>
      </c>
      <c r="H278">
        <v>4</v>
      </c>
      <c r="I278">
        <v>57</v>
      </c>
      <c r="J278" s="6"/>
      <c r="K278" s="122">
        <v>45530</v>
      </c>
      <c r="L278" t="s">
        <v>737</v>
      </c>
      <c r="M278">
        <v>9.3000000000000007</v>
      </c>
    </row>
    <row r="279" spans="1:13" hidden="1" x14ac:dyDescent="0.35">
      <c r="A279" t="s">
        <v>34</v>
      </c>
      <c r="D279" t="s">
        <v>39</v>
      </c>
      <c r="F279">
        <v>1</v>
      </c>
      <c r="G279">
        <v>8</v>
      </c>
      <c r="H279">
        <v>4</v>
      </c>
      <c r="I279">
        <v>57</v>
      </c>
      <c r="J279" s="6"/>
      <c r="K279" s="122">
        <v>45530</v>
      </c>
      <c r="L279" t="s">
        <v>738</v>
      </c>
      <c r="M279">
        <v>9.1999999999999993</v>
      </c>
    </row>
    <row r="280" spans="1:13" hidden="1" x14ac:dyDescent="0.35">
      <c r="A280" t="s">
        <v>34</v>
      </c>
      <c r="D280" t="s">
        <v>39</v>
      </c>
      <c r="F280">
        <v>1</v>
      </c>
      <c r="G280">
        <v>8</v>
      </c>
      <c r="H280">
        <v>4</v>
      </c>
      <c r="I280">
        <v>57</v>
      </c>
      <c r="J280" s="6"/>
      <c r="K280" s="122">
        <v>45530</v>
      </c>
      <c r="L280" t="s">
        <v>739</v>
      </c>
      <c r="M280">
        <v>9.3000000000000007</v>
      </c>
    </row>
    <row r="281" spans="1:13" hidden="1" x14ac:dyDescent="0.35">
      <c r="A281" t="s">
        <v>34</v>
      </c>
      <c r="D281" t="s">
        <v>39</v>
      </c>
      <c r="F281">
        <v>1</v>
      </c>
      <c r="G281">
        <v>8</v>
      </c>
      <c r="H281">
        <v>4</v>
      </c>
      <c r="I281">
        <v>57</v>
      </c>
      <c r="J281" s="6"/>
      <c r="K281" s="122">
        <v>45538</v>
      </c>
      <c r="L281" t="s">
        <v>737</v>
      </c>
      <c r="M281">
        <v>10</v>
      </c>
    </row>
    <row r="282" spans="1:13" hidden="1" x14ac:dyDescent="0.35">
      <c r="A282" t="s">
        <v>34</v>
      </c>
      <c r="B282" s="71"/>
      <c r="C282" s="72"/>
      <c r="D282" t="s">
        <v>39</v>
      </c>
      <c r="E282" s="71"/>
      <c r="F282">
        <v>1</v>
      </c>
      <c r="G282">
        <v>8</v>
      </c>
      <c r="H282">
        <v>4</v>
      </c>
      <c r="I282">
        <v>57</v>
      </c>
      <c r="J282" s="6"/>
      <c r="K282" s="122">
        <v>45538</v>
      </c>
      <c r="L282" t="s">
        <v>738</v>
      </c>
      <c r="M282">
        <v>10</v>
      </c>
    </row>
    <row r="283" spans="1:13" hidden="1" x14ac:dyDescent="0.35">
      <c r="A283" t="s">
        <v>34</v>
      </c>
      <c r="D283" t="s">
        <v>39</v>
      </c>
      <c r="F283">
        <v>1</v>
      </c>
      <c r="G283">
        <v>8</v>
      </c>
      <c r="H283">
        <v>4</v>
      </c>
      <c r="I283">
        <v>57</v>
      </c>
      <c r="J283" s="6"/>
      <c r="K283" s="122">
        <v>45538</v>
      </c>
      <c r="L283" t="s">
        <v>739</v>
      </c>
      <c r="M283">
        <v>9.9</v>
      </c>
    </row>
    <row r="284" spans="1:13" hidden="1" x14ac:dyDescent="0.35">
      <c r="A284" t="s">
        <v>34</v>
      </c>
      <c r="D284" t="s">
        <v>39</v>
      </c>
      <c r="F284">
        <v>1</v>
      </c>
      <c r="G284">
        <v>8</v>
      </c>
      <c r="H284">
        <v>4</v>
      </c>
      <c r="I284">
        <v>57</v>
      </c>
      <c r="J284" s="6"/>
      <c r="K284" s="122">
        <v>45547</v>
      </c>
      <c r="L284" t="s">
        <v>737</v>
      </c>
      <c r="M284">
        <v>10</v>
      </c>
    </row>
    <row r="285" spans="1:13" hidden="1" x14ac:dyDescent="0.35">
      <c r="A285" t="s">
        <v>34</v>
      </c>
      <c r="D285" t="s">
        <v>39</v>
      </c>
      <c r="F285">
        <v>1</v>
      </c>
      <c r="G285">
        <v>8</v>
      </c>
      <c r="H285">
        <v>4</v>
      </c>
      <c r="I285">
        <v>57</v>
      </c>
      <c r="J285" s="6"/>
      <c r="K285" s="122">
        <v>45547</v>
      </c>
      <c r="L285" t="s">
        <v>738</v>
      </c>
      <c r="M285">
        <v>10</v>
      </c>
    </row>
    <row r="286" spans="1:13" hidden="1" x14ac:dyDescent="0.35">
      <c r="A286" t="s">
        <v>34</v>
      </c>
      <c r="D286" t="s">
        <v>39</v>
      </c>
      <c r="F286">
        <v>1</v>
      </c>
      <c r="G286">
        <v>8</v>
      </c>
      <c r="H286">
        <v>4</v>
      </c>
      <c r="I286">
        <v>57</v>
      </c>
      <c r="J286" s="6"/>
      <c r="K286" s="122">
        <v>45547</v>
      </c>
      <c r="L286" t="s">
        <v>739</v>
      </c>
      <c r="M286">
        <v>10</v>
      </c>
    </row>
    <row r="287" spans="1:13" hidden="1" x14ac:dyDescent="0.35">
      <c r="A287" t="s">
        <v>34</v>
      </c>
      <c r="D287" t="s">
        <v>39</v>
      </c>
      <c r="F287">
        <v>1</v>
      </c>
      <c r="G287">
        <v>8</v>
      </c>
      <c r="H287">
        <v>4</v>
      </c>
      <c r="I287">
        <v>57</v>
      </c>
      <c r="J287" s="6"/>
      <c r="K287" s="122">
        <v>45555</v>
      </c>
      <c r="L287" t="s">
        <v>737</v>
      </c>
    </row>
    <row r="288" spans="1:13" hidden="1" x14ac:dyDescent="0.35">
      <c r="A288" t="s">
        <v>34</v>
      </c>
      <c r="D288" t="s">
        <v>39</v>
      </c>
      <c r="F288">
        <v>1</v>
      </c>
      <c r="G288">
        <v>8</v>
      </c>
      <c r="H288">
        <v>4</v>
      </c>
      <c r="I288">
        <v>57</v>
      </c>
      <c r="J288" s="6"/>
      <c r="K288" s="122">
        <v>45555</v>
      </c>
      <c r="L288" t="s">
        <v>738</v>
      </c>
    </row>
    <row r="289" spans="1:13" hidden="1" x14ac:dyDescent="0.35">
      <c r="A289" t="s">
        <v>34</v>
      </c>
      <c r="D289" t="s">
        <v>39</v>
      </c>
      <c r="F289">
        <v>1</v>
      </c>
      <c r="G289">
        <v>8</v>
      </c>
      <c r="H289">
        <v>4</v>
      </c>
      <c r="I289">
        <v>57</v>
      </c>
      <c r="J289" s="6"/>
      <c r="K289" s="122">
        <v>45555</v>
      </c>
      <c r="L289" t="s">
        <v>739</v>
      </c>
    </row>
    <row r="290" spans="1:13" hidden="1" x14ac:dyDescent="0.35">
      <c r="A290" t="s">
        <v>24</v>
      </c>
      <c r="D290" t="s">
        <v>26</v>
      </c>
      <c r="F290">
        <v>2</v>
      </c>
      <c r="G290">
        <v>1</v>
      </c>
      <c r="H290">
        <v>1</v>
      </c>
      <c r="I290">
        <v>2</v>
      </c>
      <c r="J290" s="6"/>
      <c r="K290" s="122">
        <v>45442</v>
      </c>
      <c r="L290" t="s">
        <v>737</v>
      </c>
      <c r="M290">
        <v>3.5</v>
      </c>
    </row>
    <row r="291" spans="1:13" hidden="1" x14ac:dyDescent="0.35">
      <c r="A291" t="s">
        <v>24</v>
      </c>
      <c r="D291" t="s">
        <v>26</v>
      </c>
      <c r="F291">
        <v>2</v>
      </c>
      <c r="G291">
        <v>1</v>
      </c>
      <c r="H291">
        <v>1</v>
      </c>
      <c r="I291">
        <v>2</v>
      </c>
      <c r="J291" s="6"/>
      <c r="K291" s="122">
        <v>45442</v>
      </c>
      <c r="L291" t="s">
        <v>738</v>
      </c>
      <c r="M291">
        <v>3.7</v>
      </c>
    </row>
    <row r="292" spans="1:13" hidden="1" x14ac:dyDescent="0.35">
      <c r="A292" t="s">
        <v>24</v>
      </c>
      <c r="D292" t="s">
        <v>26</v>
      </c>
      <c r="F292">
        <v>2</v>
      </c>
      <c r="G292">
        <v>1</v>
      </c>
      <c r="H292">
        <v>1</v>
      </c>
      <c r="I292">
        <v>2</v>
      </c>
      <c r="J292" s="6"/>
      <c r="K292" s="122">
        <v>45442</v>
      </c>
      <c r="L292" t="s">
        <v>739</v>
      </c>
      <c r="M292">
        <v>4.3</v>
      </c>
    </row>
    <row r="293" spans="1:13" hidden="1" x14ac:dyDescent="0.35">
      <c r="A293" t="s">
        <v>24</v>
      </c>
      <c r="D293" t="s">
        <v>26</v>
      </c>
      <c r="F293">
        <v>2</v>
      </c>
      <c r="G293">
        <v>1</v>
      </c>
      <c r="H293">
        <v>1</v>
      </c>
      <c r="I293">
        <v>2</v>
      </c>
      <c r="J293" s="6"/>
      <c r="K293" s="122">
        <v>45447</v>
      </c>
      <c r="L293" t="s">
        <v>737</v>
      </c>
      <c r="M293">
        <v>5.6</v>
      </c>
    </row>
    <row r="294" spans="1:13" hidden="1" x14ac:dyDescent="0.35">
      <c r="A294" t="s">
        <v>24</v>
      </c>
      <c r="D294" t="s">
        <v>26</v>
      </c>
      <c r="F294">
        <v>2</v>
      </c>
      <c r="G294">
        <v>1</v>
      </c>
      <c r="H294">
        <v>1</v>
      </c>
      <c r="I294">
        <v>2</v>
      </c>
      <c r="J294" s="6"/>
      <c r="K294" s="122">
        <v>45447</v>
      </c>
      <c r="L294" t="s">
        <v>738</v>
      </c>
      <c r="M294">
        <v>4.3</v>
      </c>
    </row>
    <row r="295" spans="1:13" hidden="1" x14ac:dyDescent="0.35">
      <c r="A295" t="s">
        <v>24</v>
      </c>
      <c r="D295" t="s">
        <v>26</v>
      </c>
      <c r="F295">
        <v>2</v>
      </c>
      <c r="G295">
        <v>1</v>
      </c>
      <c r="H295">
        <v>1</v>
      </c>
      <c r="I295">
        <v>2</v>
      </c>
      <c r="J295" s="6"/>
      <c r="K295" s="122">
        <v>45447</v>
      </c>
      <c r="L295" t="s">
        <v>739</v>
      </c>
      <c r="M295">
        <v>4.9000000000000004</v>
      </c>
    </row>
    <row r="296" spans="1:13" hidden="1" x14ac:dyDescent="0.35">
      <c r="A296" t="s">
        <v>24</v>
      </c>
      <c r="D296" t="s">
        <v>26</v>
      </c>
      <c r="F296">
        <v>2</v>
      </c>
      <c r="G296">
        <v>1</v>
      </c>
      <c r="H296">
        <v>1</v>
      </c>
      <c r="I296">
        <v>2</v>
      </c>
      <c r="J296" s="6"/>
      <c r="K296" s="122">
        <v>45462</v>
      </c>
      <c r="L296" t="s">
        <v>737</v>
      </c>
      <c r="M296">
        <v>5.6</v>
      </c>
    </row>
    <row r="297" spans="1:13" hidden="1" x14ac:dyDescent="0.35">
      <c r="A297" t="s">
        <v>24</v>
      </c>
      <c r="D297" t="s">
        <v>26</v>
      </c>
      <c r="F297">
        <v>2</v>
      </c>
      <c r="G297">
        <v>1</v>
      </c>
      <c r="H297">
        <v>1</v>
      </c>
      <c r="I297">
        <v>2</v>
      </c>
      <c r="J297" s="6"/>
      <c r="K297" s="122">
        <v>45462</v>
      </c>
      <c r="L297" t="s">
        <v>738</v>
      </c>
      <c r="M297">
        <v>5.6</v>
      </c>
    </row>
    <row r="298" spans="1:13" hidden="1" x14ac:dyDescent="0.35">
      <c r="A298" t="s">
        <v>24</v>
      </c>
      <c r="D298" t="s">
        <v>26</v>
      </c>
      <c r="F298">
        <v>2</v>
      </c>
      <c r="G298">
        <v>1</v>
      </c>
      <c r="H298">
        <v>1</v>
      </c>
      <c r="I298">
        <v>2</v>
      </c>
      <c r="J298" s="6"/>
      <c r="K298" s="122">
        <v>45462</v>
      </c>
      <c r="L298" t="s">
        <v>739</v>
      </c>
      <c r="M298">
        <v>5.2</v>
      </c>
    </row>
    <row r="299" spans="1:13" hidden="1" x14ac:dyDescent="0.35">
      <c r="A299" t="s">
        <v>24</v>
      </c>
      <c r="D299" t="s">
        <v>26</v>
      </c>
      <c r="F299">
        <v>2</v>
      </c>
      <c r="G299">
        <v>1</v>
      </c>
      <c r="H299">
        <v>1</v>
      </c>
      <c r="I299">
        <v>2</v>
      </c>
      <c r="J299" s="6"/>
      <c r="K299" s="122">
        <v>45477</v>
      </c>
      <c r="L299" t="s">
        <v>737</v>
      </c>
    </row>
    <row r="300" spans="1:13" hidden="1" x14ac:dyDescent="0.35">
      <c r="A300" t="s">
        <v>24</v>
      </c>
      <c r="D300" t="s">
        <v>26</v>
      </c>
      <c r="F300">
        <v>2</v>
      </c>
      <c r="G300">
        <v>1</v>
      </c>
      <c r="H300">
        <v>1</v>
      </c>
      <c r="I300">
        <v>2</v>
      </c>
      <c r="J300" s="6"/>
      <c r="K300" s="122">
        <v>45477</v>
      </c>
      <c r="L300" t="s">
        <v>738</v>
      </c>
    </row>
    <row r="301" spans="1:13" hidden="1" x14ac:dyDescent="0.35">
      <c r="A301" t="s">
        <v>24</v>
      </c>
      <c r="D301" t="s">
        <v>26</v>
      </c>
      <c r="F301">
        <v>2</v>
      </c>
      <c r="G301">
        <v>1</v>
      </c>
      <c r="H301">
        <v>1</v>
      </c>
      <c r="I301">
        <v>2</v>
      </c>
      <c r="J301" s="6"/>
      <c r="K301" s="122">
        <v>45477</v>
      </c>
      <c r="L301" t="s">
        <v>739</v>
      </c>
    </row>
    <row r="302" spans="1:13" hidden="1" x14ac:dyDescent="0.35">
      <c r="A302" t="s">
        <v>24</v>
      </c>
      <c r="D302" t="s">
        <v>26</v>
      </c>
      <c r="F302">
        <v>2</v>
      </c>
      <c r="G302">
        <v>1</v>
      </c>
      <c r="H302">
        <v>1</v>
      </c>
      <c r="I302">
        <v>2</v>
      </c>
      <c r="J302" s="6"/>
      <c r="K302" s="122">
        <v>45485</v>
      </c>
      <c r="L302" t="s">
        <v>737</v>
      </c>
      <c r="M302">
        <v>6.8</v>
      </c>
    </row>
    <row r="303" spans="1:13" hidden="1" x14ac:dyDescent="0.35">
      <c r="A303" t="s">
        <v>24</v>
      </c>
      <c r="D303" t="s">
        <v>26</v>
      </c>
      <c r="F303">
        <v>2</v>
      </c>
      <c r="G303">
        <v>1</v>
      </c>
      <c r="H303">
        <v>1</v>
      </c>
      <c r="I303">
        <v>2</v>
      </c>
      <c r="J303" s="6"/>
      <c r="K303" s="122">
        <v>45485</v>
      </c>
      <c r="L303" t="s">
        <v>738</v>
      </c>
      <c r="M303">
        <v>6.8</v>
      </c>
    </row>
    <row r="304" spans="1:13" hidden="1" x14ac:dyDescent="0.35">
      <c r="A304" t="s">
        <v>24</v>
      </c>
      <c r="D304" t="s">
        <v>26</v>
      </c>
      <c r="F304">
        <v>2</v>
      </c>
      <c r="G304">
        <v>1</v>
      </c>
      <c r="H304">
        <v>1</v>
      </c>
      <c r="I304">
        <v>2</v>
      </c>
      <c r="J304" s="6"/>
      <c r="K304" s="122">
        <v>45485</v>
      </c>
      <c r="L304" t="s">
        <v>739</v>
      </c>
      <c r="M304">
        <v>6.3</v>
      </c>
    </row>
    <row r="305" spans="1:13" hidden="1" x14ac:dyDescent="0.35">
      <c r="A305" t="s">
        <v>24</v>
      </c>
      <c r="D305" t="s">
        <v>26</v>
      </c>
      <c r="F305">
        <v>2</v>
      </c>
      <c r="G305">
        <v>1</v>
      </c>
      <c r="H305">
        <v>1</v>
      </c>
      <c r="I305">
        <v>2</v>
      </c>
      <c r="J305" s="6"/>
      <c r="K305" s="122">
        <v>45492</v>
      </c>
      <c r="L305" t="s">
        <v>737</v>
      </c>
      <c r="M305">
        <v>7.3</v>
      </c>
    </row>
    <row r="306" spans="1:13" hidden="1" x14ac:dyDescent="0.35">
      <c r="A306" t="s">
        <v>24</v>
      </c>
      <c r="D306" t="s">
        <v>26</v>
      </c>
      <c r="F306">
        <v>2</v>
      </c>
      <c r="G306">
        <v>1</v>
      </c>
      <c r="H306">
        <v>1</v>
      </c>
      <c r="I306">
        <v>2</v>
      </c>
      <c r="J306" s="6"/>
      <c r="K306" s="122">
        <v>45492</v>
      </c>
      <c r="L306" t="s">
        <v>738</v>
      </c>
      <c r="M306">
        <v>6.7</v>
      </c>
    </row>
    <row r="307" spans="1:13" hidden="1" x14ac:dyDescent="0.35">
      <c r="A307" t="s">
        <v>24</v>
      </c>
      <c r="D307" t="s">
        <v>26</v>
      </c>
      <c r="F307">
        <v>2</v>
      </c>
      <c r="G307">
        <v>1</v>
      </c>
      <c r="H307">
        <v>1</v>
      </c>
      <c r="I307">
        <v>2</v>
      </c>
      <c r="J307" s="6"/>
      <c r="K307" s="122">
        <v>45492</v>
      </c>
      <c r="L307" t="s">
        <v>739</v>
      </c>
      <c r="M307">
        <v>7.3</v>
      </c>
    </row>
    <row r="308" spans="1:13" hidden="1" x14ac:dyDescent="0.35">
      <c r="A308" t="s">
        <v>24</v>
      </c>
      <c r="D308" t="s">
        <v>26</v>
      </c>
      <c r="F308">
        <v>2</v>
      </c>
      <c r="G308">
        <v>1</v>
      </c>
      <c r="H308">
        <v>1</v>
      </c>
      <c r="I308">
        <v>2</v>
      </c>
      <c r="J308" s="6"/>
      <c r="K308" s="122">
        <v>45509</v>
      </c>
      <c r="L308" t="s">
        <v>737</v>
      </c>
      <c r="M308">
        <v>7.7</v>
      </c>
    </row>
    <row r="309" spans="1:13" hidden="1" x14ac:dyDescent="0.35">
      <c r="A309" t="s">
        <v>24</v>
      </c>
      <c r="D309" t="s">
        <v>26</v>
      </c>
      <c r="F309">
        <v>2</v>
      </c>
      <c r="G309">
        <v>1</v>
      </c>
      <c r="H309">
        <v>1</v>
      </c>
      <c r="I309">
        <v>2</v>
      </c>
      <c r="J309" s="6"/>
      <c r="K309" s="122">
        <v>45509</v>
      </c>
      <c r="L309" t="s">
        <v>738</v>
      </c>
      <c r="M309">
        <v>8.5</v>
      </c>
    </row>
    <row r="310" spans="1:13" hidden="1" x14ac:dyDescent="0.35">
      <c r="A310" t="s">
        <v>24</v>
      </c>
      <c r="D310" t="s">
        <v>26</v>
      </c>
      <c r="F310">
        <v>2</v>
      </c>
      <c r="G310">
        <v>1</v>
      </c>
      <c r="H310">
        <v>1</v>
      </c>
      <c r="I310">
        <v>2</v>
      </c>
      <c r="J310" s="6"/>
      <c r="K310" s="122">
        <v>45509</v>
      </c>
      <c r="L310" t="s">
        <v>739</v>
      </c>
      <c r="M310">
        <v>8.4</v>
      </c>
    </row>
    <row r="311" spans="1:13" hidden="1" x14ac:dyDescent="0.35">
      <c r="A311" t="s">
        <v>24</v>
      </c>
      <c r="D311" t="s">
        <v>26</v>
      </c>
      <c r="F311">
        <v>2</v>
      </c>
      <c r="G311">
        <v>1</v>
      </c>
      <c r="H311">
        <v>1</v>
      </c>
      <c r="I311">
        <v>2</v>
      </c>
      <c r="J311" s="6"/>
      <c r="K311" s="122">
        <v>45519</v>
      </c>
      <c r="L311" t="s">
        <v>737</v>
      </c>
      <c r="M311">
        <v>9.3000000000000007</v>
      </c>
    </row>
    <row r="312" spans="1:13" hidden="1" x14ac:dyDescent="0.35">
      <c r="A312" t="s">
        <v>24</v>
      </c>
      <c r="D312" t="s">
        <v>26</v>
      </c>
      <c r="F312">
        <v>2</v>
      </c>
      <c r="G312">
        <v>1</v>
      </c>
      <c r="H312">
        <v>1</v>
      </c>
      <c r="I312">
        <v>2</v>
      </c>
      <c r="J312" s="6"/>
      <c r="K312" s="122">
        <v>45519</v>
      </c>
      <c r="L312" t="s">
        <v>738</v>
      </c>
      <c r="M312">
        <v>8.6999999999999993</v>
      </c>
    </row>
    <row r="313" spans="1:13" hidden="1" x14ac:dyDescent="0.35">
      <c r="A313" t="s">
        <v>24</v>
      </c>
      <c r="D313" t="s">
        <v>26</v>
      </c>
      <c r="F313">
        <v>2</v>
      </c>
      <c r="G313">
        <v>1</v>
      </c>
      <c r="H313">
        <v>1</v>
      </c>
      <c r="I313">
        <v>2</v>
      </c>
      <c r="J313" s="6"/>
      <c r="K313" s="122">
        <v>45519</v>
      </c>
      <c r="L313" t="s">
        <v>739</v>
      </c>
    </row>
    <row r="314" spans="1:13" hidden="1" x14ac:dyDescent="0.35">
      <c r="A314" t="s">
        <v>24</v>
      </c>
      <c r="D314" t="s">
        <v>26</v>
      </c>
      <c r="F314">
        <v>2</v>
      </c>
      <c r="G314">
        <v>1</v>
      </c>
      <c r="H314">
        <v>1</v>
      </c>
      <c r="I314">
        <v>2</v>
      </c>
      <c r="J314" s="6"/>
      <c r="K314" s="122">
        <v>45530</v>
      </c>
      <c r="L314" t="s">
        <v>737</v>
      </c>
      <c r="M314">
        <v>10.9</v>
      </c>
    </row>
    <row r="315" spans="1:13" hidden="1" x14ac:dyDescent="0.35">
      <c r="A315" t="s">
        <v>24</v>
      </c>
      <c r="D315" t="s">
        <v>26</v>
      </c>
      <c r="F315">
        <v>2</v>
      </c>
      <c r="G315">
        <v>1</v>
      </c>
      <c r="H315">
        <v>1</v>
      </c>
      <c r="I315">
        <v>2</v>
      </c>
      <c r="J315" s="6"/>
      <c r="K315" s="122">
        <v>45530</v>
      </c>
      <c r="L315" t="s">
        <v>738</v>
      </c>
      <c r="M315">
        <v>10.3</v>
      </c>
    </row>
    <row r="316" spans="1:13" hidden="1" x14ac:dyDescent="0.35">
      <c r="A316" t="s">
        <v>24</v>
      </c>
      <c r="D316" t="s">
        <v>26</v>
      </c>
      <c r="F316">
        <v>2</v>
      </c>
      <c r="G316">
        <v>1</v>
      </c>
      <c r="H316">
        <v>1</v>
      </c>
      <c r="I316">
        <v>2</v>
      </c>
      <c r="J316" s="6"/>
      <c r="K316" s="122">
        <v>45530</v>
      </c>
      <c r="L316" t="s">
        <v>739</v>
      </c>
    </row>
    <row r="317" spans="1:13" hidden="1" x14ac:dyDescent="0.35">
      <c r="A317" t="s">
        <v>24</v>
      </c>
      <c r="D317" t="s">
        <v>26</v>
      </c>
      <c r="F317">
        <v>2</v>
      </c>
      <c r="G317">
        <v>1</v>
      </c>
      <c r="H317">
        <v>1</v>
      </c>
      <c r="I317">
        <v>2</v>
      </c>
      <c r="J317" s="6"/>
      <c r="K317" s="122">
        <v>45538</v>
      </c>
      <c r="L317" t="s">
        <v>737</v>
      </c>
      <c r="M317">
        <v>11.6</v>
      </c>
    </row>
    <row r="318" spans="1:13" hidden="1" x14ac:dyDescent="0.35">
      <c r="A318" t="s">
        <v>24</v>
      </c>
      <c r="D318" t="s">
        <v>26</v>
      </c>
      <c r="F318">
        <v>2</v>
      </c>
      <c r="G318">
        <v>1</v>
      </c>
      <c r="H318">
        <v>1</v>
      </c>
      <c r="I318">
        <v>2</v>
      </c>
      <c r="J318" s="6"/>
      <c r="K318" s="122">
        <v>45538</v>
      </c>
      <c r="L318" t="s">
        <v>738</v>
      </c>
      <c r="M318">
        <v>10.9</v>
      </c>
    </row>
    <row r="319" spans="1:13" hidden="1" x14ac:dyDescent="0.35">
      <c r="A319" t="s">
        <v>24</v>
      </c>
      <c r="D319" t="s">
        <v>26</v>
      </c>
      <c r="F319">
        <v>2</v>
      </c>
      <c r="G319">
        <v>1</v>
      </c>
      <c r="H319">
        <v>1</v>
      </c>
      <c r="I319">
        <v>2</v>
      </c>
      <c r="J319" s="6"/>
      <c r="K319" s="122">
        <v>45538</v>
      </c>
      <c r="L319" t="s">
        <v>739</v>
      </c>
    </row>
    <row r="320" spans="1:13" hidden="1" x14ac:dyDescent="0.35">
      <c r="A320" t="s">
        <v>24</v>
      </c>
      <c r="D320" t="s">
        <v>26</v>
      </c>
      <c r="F320">
        <v>2</v>
      </c>
      <c r="G320">
        <v>1</v>
      </c>
      <c r="H320">
        <v>1</v>
      </c>
      <c r="I320">
        <v>2</v>
      </c>
      <c r="J320" s="6"/>
      <c r="K320" s="122">
        <v>45547</v>
      </c>
      <c r="L320" t="s">
        <v>737</v>
      </c>
      <c r="M320">
        <v>12</v>
      </c>
    </row>
    <row r="321" spans="1:13" hidden="1" x14ac:dyDescent="0.35">
      <c r="A321" t="s">
        <v>24</v>
      </c>
      <c r="D321" t="s">
        <v>26</v>
      </c>
      <c r="F321">
        <v>2</v>
      </c>
      <c r="G321">
        <v>1</v>
      </c>
      <c r="H321">
        <v>1</v>
      </c>
      <c r="I321">
        <v>2</v>
      </c>
      <c r="J321" s="6"/>
      <c r="K321" s="122">
        <v>45547</v>
      </c>
      <c r="L321" t="s">
        <v>738</v>
      </c>
      <c r="M321">
        <v>12.6</v>
      </c>
    </row>
    <row r="322" spans="1:13" hidden="1" x14ac:dyDescent="0.35">
      <c r="A322" t="s">
        <v>24</v>
      </c>
      <c r="D322" t="s">
        <v>26</v>
      </c>
      <c r="F322">
        <v>2</v>
      </c>
      <c r="G322">
        <v>1</v>
      </c>
      <c r="H322">
        <v>1</v>
      </c>
      <c r="I322">
        <v>2</v>
      </c>
      <c r="J322" s="6"/>
      <c r="K322" s="122">
        <v>45547</v>
      </c>
      <c r="L322" t="s">
        <v>739</v>
      </c>
    </row>
    <row r="323" spans="1:13" hidden="1" x14ac:dyDescent="0.35">
      <c r="A323" t="s">
        <v>24</v>
      </c>
      <c r="D323" t="s">
        <v>26</v>
      </c>
      <c r="F323">
        <v>2</v>
      </c>
      <c r="G323">
        <v>1</v>
      </c>
      <c r="H323">
        <v>1</v>
      </c>
      <c r="I323">
        <v>2</v>
      </c>
      <c r="J323" s="6"/>
      <c r="K323" s="122">
        <v>45555</v>
      </c>
      <c r="L323" t="s">
        <v>737</v>
      </c>
      <c r="M323">
        <v>12</v>
      </c>
    </row>
    <row r="324" spans="1:13" hidden="1" x14ac:dyDescent="0.35">
      <c r="A324" t="s">
        <v>24</v>
      </c>
      <c r="D324" t="s">
        <v>26</v>
      </c>
      <c r="F324">
        <v>2</v>
      </c>
      <c r="G324">
        <v>1</v>
      </c>
      <c r="H324">
        <v>1</v>
      </c>
      <c r="I324">
        <v>2</v>
      </c>
      <c r="J324" s="6"/>
      <c r="K324" s="122">
        <v>45555</v>
      </c>
      <c r="L324" t="s">
        <v>738</v>
      </c>
      <c r="M324">
        <v>13</v>
      </c>
    </row>
    <row r="325" spans="1:13" hidden="1" x14ac:dyDescent="0.35">
      <c r="A325" t="s">
        <v>24</v>
      </c>
      <c r="D325" t="s">
        <v>26</v>
      </c>
      <c r="F325">
        <v>2</v>
      </c>
      <c r="G325">
        <v>1</v>
      </c>
      <c r="H325">
        <v>1</v>
      </c>
      <c r="I325">
        <v>2</v>
      </c>
      <c r="J325" s="6"/>
      <c r="K325" s="122">
        <v>45555</v>
      </c>
      <c r="L325" t="s">
        <v>739</v>
      </c>
    </row>
    <row r="326" spans="1:13" hidden="1" x14ac:dyDescent="0.35">
      <c r="A326" t="s">
        <v>34</v>
      </c>
      <c r="D326" t="s">
        <v>38</v>
      </c>
      <c r="F326">
        <v>2</v>
      </c>
      <c r="G326">
        <v>2</v>
      </c>
      <c r="H326">
        <v>1</v>
      </c>
      <c r="I326">
        <v>10</v>
      </c>
      <c r="J326" s="6"/>
      <c r="K326" s="122">
        <v>45442</v>
      </c>
      <c r="L326" t="s">
        <v>737</v>
      </c>
    </row>
    <row r="327" spans="1:13" hidden="1" x14ac:dyDescent="0.35">
      <c r="A327" t="s">
        <v>34</v>
      </c>
      <c r="D327" t="s">
        <v>38</v>
      </c>
      <c r="F327">
        <v>2</v>
      </c>
      <c r="G327">
        <v>2</v>
      </c>
      <c r="H327">
        <v>1</v>
      </c>
      <c r="I327">
        <v>10</v>
      </c>
      <c r="J327" s="6"/>
      <c r="K327" s="122">
        <v>45442</v>
      </c>
      <c r="L327" t="s">
        <v>738</v>
      </c>
    </row>
    <row r="328" spans="1:13" hidden="1" x14ac:dyDescent="0.35">
      <c r="A328" t="s">
        <v>34</v>
      </c>
      <c r="D328" t="s">
        <v>38</v>
      </c>
      <c r="F328">
        <v>2</v>
      </c>
      <c r="G328">
        <v>2</v>
      </c>
      <c r="H328">
        <v>1</v>
      </c>
      <c r="I328">
        <v>10</v>
      </c>
      <c r="J328" s="6"/>
      <c r="K328" s="122">
        <v>45442</v>
      </c>
      <c r="L328" t="s">
        <v>739</v>
      </c>
    </row>
    <row r="329" spans="1:13" hidden="1" x14ac:dyDescent="0.35">
      <c r="A329" t="s">
        <v>34</v>
      </c>
      <c r="D329" t="s">
        <v>38</v>
      </c>
      <c r="F329">
        <v>2</v>
      </c>
      <c r="G329">
        <v>2</v>
      </c>
      <c r="H329">
        <v>1</v>
      </c>
      <c r="I329">
        <v>10</v>
      </c>
      <c r="J329" s="6"/>
      <c r="K329" s="122">
        <v>45447</v>
      </c>
      <c r="L329" t="s">
        <v>737</v>
      </c>
      <c r="M329">
        <v>1.9</v>
      </c>
    </row>
    <row r="330" spans="1:13" hidden="1" x14ac:dyDescent="0.35">
      <c r="A330" t="s">
        <v>34</v>
      </c>
      <c r="D330" t="s">
        <v>38</v>
      </c>
      <c r="F330">
        <v>2</v>
      </c>
      <c r="G330">
        <v>2</v>
      </c>
      <c r="H330">
        <v>1</v>
      </c>
      <c r="I330">
        <v>10</v>
      </c>
      <c r="J330" s="6"/>
      <c r="K330" s="122">
        <v>45447</v>
      </c>
      <c r="L330" t="s">
        <v>738</v>
      </c>
      <c r="M330">
        <v>1.6</v>
      </c>
    </row>
    <row r="331" spans="1:13" hidden="1" x14ac:dyDescent="0.35">
      <c r="A331" t="s">
        <v>34</v>
      </c>
      <c r="D331" t="s">
        <v>38</v>
      </c>
      <c r="F331">
        <v>2</v>
      </c>
      <c r="G331">
        <v>2</v>
      </c>
      <c r="H331">
        <v>1</v>
      </c>
      <c r="I331">
        <v>10</v>
      </c>
      <c r="J331" s="6"/>
      <c r="K331" s="122">
        <v>45447</v>
      </c>
      <c r="L331" t="s">
        <v>739</v>
      </c>
      <c r="M331">
        <v>1.9</v>
      </c>
    </row>
    <row r="332" spans="1:13" hidden="1" x14ac:dyDescent="0.35">
      <c r="A332" t="s">
        <v>34</v>
      </c>
      <c r="D332" t="s">
        <v>38</v>
      </c>
      <c r="F332">
        <v>2</v>
      </c>
      <c r="G332">
        <v>2</v>
      </c>
      <c r="H332">
        <v>1</v>
      </c>
      <c r="I332">
        <v>10</v>
      </c>
      <c r="J332" s="6"/>
      <c r="K332" s="122">
        <v>45462</v>
      </c>
      <c r="L332" t="s">
        <v>737</v>
      </c>
      <c r="M332">
        <v>3.4</v>
      </c>
    </row>
    <row r="333" spans="1:13" hidden="1" x14ac:dyDescent="0.35">
      <c r="A333" t="s">
        <v>34</v>
      </c>
      <c r="D333" t="s">
        <v>38</v>
      </c>
      <c r="F333">
        <v>2</v>
      </c>
      <c r="G333">
        <v>2</v>
      </c>
      <c r="H333">
        <v>1</v>
      </c>
      <c r="I333">
        <v>10</v>
      </c>
      <c r="J333" s="6"/>
      <c r="K333" s="122">
        <v>45462</v>
      </c>
      <c r="L333" t="s">
        <v>738</v>
      </c>
      <c r="M333">
        <v>3.6</v>
      </c>
    </row>
    <row r="334" spans="1:13" hidden="1" x14ac:dyDescent="0.35">
      <c r="A334" t="s">
        <v>34</v>
      </c>
      <c r="D334" t="s">
        <v>38</v>
      </c>
      <c r="F334">
        <v>2</v>
      </c>
      <c r="G334">
        <v>2</v>
      </c>
      <c r="H334">
        <v>1</v>
      </c>
      <c r="I334">
        <v>10</v>
      </c>
      <c r="J334" s="6"/>
      <c r="K334" s="122">
        <v>45462</v>
      </c>
      <c r="L334" t="s">
        <v>739</v>
      </c>
      <c r="M334">
        <v>3.5</v>
      </c>
    </row>
    <row r="335" spans="1:13" hidden="1" x14ac:dyDescent="0.35">
      <c r="A335" t="s">
        <v>34</v>
      </c>
      <c r="D335" t="s">
        <v>38</v>
      </c>
      <c r="F335">
        <v>2</v>
      </c>
      <c r="G335">
        <v>2</v>
      </c>
      <c r="H335">
        <v>1</v>
      </c>
      <c r="I335">
        <v>10</v>
      </c>
      <c r="J335" s="6"/>
      <c r="K335" s="122">
        <v>45477</v>
      </c>
      <c r="L335" t="s">
        <v>737</v>
      </c>
      <c r="M335">
        <v>4.5999999999999996</v>
      </c>
    </row>
    <row r="336" spans="1:13" hidden="1" x14ac:dyDescent="0.35">
      <c r="A336" t="s">
        <v>34</v>
      </c>
      <c r="D336" t="s">
        <v>38</v>
      </c>
      <c r="F336">
        <v>2</v>
      </c>
      <c r="G336">
        <v>2</v>
      </c>
      <c r="H336">
        <v>1</v>
      </c>
      <c r="I336">
        <v>10</v>
      </c>
      <c r="J336" s="6"/>
      <c r="K336" s="122">
        <v>45477</v>
      </c>
      <c r="L336" t="s">
        <v>738</v>
      </c>
      <c r="M336">
        <v>4.9000000000000004</v>
      </c>
    </row>
    <row r="337" spans="1:13" hidden="1" x14ac:dyDescent="0.35">
      <c r="A337" t="s">
        <v>34</v>
      </c>
      <c r="D337" t="s">
        <v>38</v>
      </c>
      <c r="F337">
        <v>2</v>
      </c>
      <c r="G337">
        <v>2</v>
      </c>
      <c r="H337">
        <v>1</v>
      </c>
      <c r="I337">
        <v>10</v>
      </c>
      <c r="J337" s="6"/>
      <c r="K337" s="122">
        <v>45477</v>
      </c>
      <c r="L337" t="s">
        <v>739</v>
      </c>
      <c r="M337">
        <v>4.7</v>
      </c>
    </row>
    <row r="338" spans="1:13" hidden="1" x14ac:dyDescent="0.35">
      <c r="A338" t="s">
        <v>34</v>
      </c>
      <c r="D338" t="s">
        <v>38</v>
      </c>
      <c r="F338">
        <v>2</v>
      </c>
      <c r="G338">
        <v>2</v>
      </c>
      <c r="H338">
        <v>1</v>
      </c>
      <c r="I338">
        <v>10</v>
      </c>
      <c r="J338" s="6"/>
      <c r="K338" s="122">
        <v>45485</v>
      </c>
      <c r="L338" t="s">
        <v>737</v>
      </c>
    </row>
    <row r="339" spans="1:13" hidden="1" x14ac:dyDescent="0.35">
      <c r="A339" t="s">
        <v>34</v>
      </c>
      <c r="D339" t="s">
        <v>38</v>
      </c>
      <c r="F339">
        <v>2</v>
      </c>
      <c r="G339">
        <v>2</v>
      </c>
      <c r="H339">
        <v>1</v>
      </c>
      <c r="I339">
        <v>10</v>
      </c>
      <c r="J339" s="6"/>
      <c r="K339" s="122">
        <v>45485</v>
      </c>
      <c r="L339" t="s">
        <v>738</v>
      </c>
    </row>
    <row r="340" spans="1:13" hidden="1" x14ac:dyDescent="0.35">
      <c r="A340" t="s">
        <v>34</v>
      </c>
      <c r="D340" t="s">
        <v>38</v>
      </c>
      <c r="F340">
        <v>2</v>
      </c>
      <c r="G340">
        <v>2</v>
      </c>
      <c r="H340">
        <v>1</v>
      </c>
      <c r="I340">
        <v>10</v>
      </c>
      <c r="J340" s="6"/>
      <c r="K340" s="122">
        <v>45485</v>
      </c>
      <c r="L340" t="s">
        <v>739</v>
      </c>
    </row>
    <row r="341" spans="1:13" hidden="1" x14ac:dyDescent="0.35">
      <c r="A341" t="s">
        <v>34</v>
      </c>
      <c r="D341" t="s">
        <v>38</v>
      </c>
      <c r="F341">
        <v>2</v>
      </c>
      <c r="G341">
        <v>2</v>
      </c>
      <c r="H341">
        <v>1</v>
      </c>
      <c r="I341">
        <v>10</v>
      </c>
      <c r="J341" s="6"/>
      <c r="K341" s="122">
        <v>45492</v>
      </c>
      <c r="L341" t="s">
        <v>737</v>
      </c>
      <c r="M341">
        <v>5.9</v>
      </c>
    </row>
    <row r="342" spans="1:13" hidden="1" x14ac:dyDescent="0.35">
      <c r="A342" t="s">
        <v>34</v>
      </c>
      <c r="D342" t="s">
        <v>38</v>
      </c>
      <c r="F342">
        <v>2</v>
      </c>
      <c r="G342">
        <v>2</v>
      </c>
      <c r="H342">
        <v>1</v>
      </c>
      <c r="I342">
        <v>10</v>
      </c>
      <c r="J342" s="6"/>
      <c r="K342" s="122">
        <v>45492</v>
      </c>
      <c r="L342" t="s">
        <v>738</v>
      </c>
      <c r="M342">
        <v>5.9</v>
      </c>
    </row>
    <row r="343" spans="1:13" hidden="1" x14ac:dyDescent="0.35">
      <c r="A343" t="s">
        <v>34</v>
      </c>
      <c r="D343" t="s">
        <v>38</v>
      </c>
      <c r="F343">
        <v>2</v>
      </c>
      <c r="G343">
        <v>2</v>
      </c>
      <c r="H343">
        <v>1</v>
      </c>
      <c r="I343">
        <v>10</v>
      </c>
      <c r="J343" s="6"/>
      <c r="K343" s="122">
        <v>45492</v>
      </c>
      <c r="L343" t="s">
        <v>739</v>
      </c>
      <c r="M343">
        <v>6.1</v>
      </c>
    </row>
    <row r="344" spans="1:13" hidden="1" x14ac:dyDescent="0.35">
      <c r="A344" t="s">
        <v>34</v>
      </c>
      <c r="D344" t="s">
        <v>38</v>
      </c>
      <c r="F344">
        <v>2</v>
      </c>
      <c r="G344">
        <v>2</v>
      </c>
      <c r="H344">
        <v>1</v>
      </c>
      <c r="I344">
        <v>10</v>
      </c>
      <c r="J344" s="6"/>
      <c r="K344" s="122">
        <v>45509</v>
      </c>
      <c r="L344" t="s">
        <v>737</v>
      </c>
      <c r="M344">
        <v>7</v>
      </c>
    </row>
    <row r="345" spans="1:13" hidden="1" x14ac:dyDescent="0.35">
      <c r="A345" t="s">
        <v>34</v>
      </c>
      <c r="D345" t="s">
        <v>38</v>
      </c>
      <c r="F345">
        <v>2</v>
      </c>
      <c r="G345">
        <v>2</v>
      </c>
      <c r="H345">
        <v>1</v>
      </c>
      <c r="I345">
        <v>10</v>
      </c>
      <c r="J345" s="6"/>
      <c r="K345" s="122">
        <v>45509</v>
      </c>
      <c r="L345" t="s">
        <v>738</v>
      </c>
      <c r="M345">
        <v>7.3</v>
      </c>
    </row>
    <row r="346" spans="1:13" hidden="1" x14ac:dyDescent="0.35">
      <c r="A346" t="s">
        <v>34</v>
      </c>
      <c r="B346" s="71"/>
      <c r="C346" s="72"/>
      <c r="D346" t="s">
        <v>38</v>
      </c>
      <c r="E346" s="71"/>
      <c r="F346">
        <v>2</v>
      </c>
      <c r="G346">
        <v>2</v>
      </c>
      <c r="H346">
        <v>1</v>
      </c>
      <c r="I346">
        <v>10</v>
      </c>
      <c r="J346" s="6"/>
      <c r="K346" s="122">
        <v>45509</v>
      </c>
      <c r="L346" t="s">
        <v>739</v>
      </c>
      <c r="M346">
        <v>7.3</v>
      </c>
    </row>
    <row r="347" spans="1:13" hidden="1" x14ac:dyDescent="0.35">
      <c r="A347" t="s">
        <v>34</v>
      </c>
      <c r="D347" t="s">
        <v>38</v>
      </c>
      <c r="F347">
        <v>2</v>
      </c>
      <c r="G347">
        <v>2</v>
      </c>
      <c r="H347">
        <v>1</v>
      </c>
      <c r="I347">
        <v>10</v>
      </c>
      <c r="J347" s="6"/>
      <c r="K347" s="122">
        <v>45519</v>
      </c>
      <c r="L347" t="s">
        <v>737</v>
      </c>
      <c r="M347">
        <v>7.9</v>
      </c>
    </row>
    <row r="348" spans="1:13" hidden="1" x14ac:dyDescent="0.35">
      <c r="A348" t="s">
        <v>34</v>
      </c>
      <c r="D348" t="s">
        <v>38</v>
      </c>
      <c r="F348">
        <v>2</v>
      </c>
      <c r="G348">
        <v>2</v>
      </c>
      <c r="H348">
        <v>1</v>
      </c>
      <c r="I348">
        <v>10</v>
      </c>
      <c r="J348" s="6"/>
      <c r="K348" s="122">
        <v>45519</v>
      </c>
      <c r="L348" t="s">
        <v>738</v>
      </c>
      <c r="M348">
        <v>8.1999999999999993</v>
      </c>
    </row>
    <row r="349" spans="1:13" hidden="1" x14ac:dyDescent="0.35">
      <c r="A349" t="s">
        <v>34</v>
      </c>
      <c r="D349" t="s">
        <v>38</v>
      </c>
      <c r="F349">
        <v>2</v>
      </c>
      <c r="G349">
        <v>2</v>
      </c>
      <c r="H349">
        <v>1</v>
      </c>
      <c r="I349">
        <v>10</v>
      </c>
      <c r="J349" s="6"/>
      <c r="K349" s="122">
        <v>45519</v>
      </c>
      <c r="L349" t="s">
        <v>739</v>
      </c>
      <c r="M349">
        <v>7.9</v>
      </c>
    </row>
    <row r="350" spans="1:13" hidden="1" x14ac:dyDescent="0.35">
      <c r="A350" t="s">
        <v>34</v>
      </c>
      <c r="D350" t="s">
        <v>38</v>
      </c>
      <c r="F350">
        <v>2</v>
      </c>
      <c r="G350">
        <v>2</v>
      </c>
      <c r="H350">
        <v>1</v>
      </c>
      <c r="I350">
        <v>10</v>
      </c>
      <c r="J350" s="6"/>
      <c r="K350" s="122">
        <v>45530</v>
      </c>
      <c r="L350" t="s">
        <v>737</v>
      </c>
      <c r="M350">
        <v>9</v>
      </c>
    </row>
    <row r="351" spans="1:13" hidden="1" x14ac:dyDescent="0.35">
      <c r="A351" t="s">
        <v>34</v>
      </c>
      <c r="D351" t="s">
        <v>38</v>
      </c>
      <c r="F351">
        <v>2</v>
      </c>
      <c r="G351">
        <v>2</v>
      </c>
      <c r="H351">
        <v>1</v>
      </c>
      <c r="I351">
        <v>10</v>
      </c>
      <c r="J351" s="6"/>
      <c r="K351" s="122">
        <v>45530</v>
      </c>
      <c r="L351" t="s">
        <v>738</v>
      </c>
      <c r="M351">
        <v>9.6</v>
      </c>
    </row>
    <row r="352" spans="1:13" hidden="1" x14ac:dyDescent="0.35">
      <c r="A352" t="s">
        <v>34</v>
      </c>
      <c r="D352" t="s">
        <v>38</v>
      </c>
      <c r="F352">
        <v>2</v>
      </c>
      <c r="G352">
        <v>2</v>
      </c>
      <c r="H352">
        <v>1</v>
      </c>
      <c r="I352">
        <v>10</v>
      </c>
      <c r="J352" s="6"/>
      <c r="K352" s="122">
        <v>45530</v>
      </c>
      <c r="L352" t="s">
        <v>739</v>
      </c>
      <c r="M352">
        <v>8.9</v>
      </c>
    </row>
    <row r="353" spans="1:13" hidden="1" x14ac:dyDescent="0.35">
      <c r="A353" t="s">
        <v>34</v>
      </c>
      <c r="D353" t="s">
        <v>38</v>
      </c>
      <c r="F353">
        <v>2</v>
      </c>
      <c r="G353">
        <v>2</v>
      </c>
      <c r="H353">
        <v>1</v>
      </c>
      <c r="I353">
        <v>10</v>
      </c>
      <c r="J353" s="6"/>
      <c r="K353" s="122">
        <v>45538</v>
      </c>
      <c r="L353" t="s">
        <v>737</v>
      </c>
      <c r="M353">
        <v>10.1</v>
      </c>
    </row>
    <row r="354" spans="1:13" hidden="1" x14ac:dyDescent="0.35">
      <c r="A354" t="s">
        <v>34</v>
      </c>
      <c r="D354" t="s">
        <v>38</v>
      </c>
      <c r="F354">
        <v>2</v>
      </c>
      <c r="G354">
        <v>2</v>
      </c>
      <c r="H354">
        <v>1</v>
      </c>
      <c r="I354">
        <v>10</v>
      </c>
      <c r="J354" s="6"/>
      <c r="K354" s="122">
        <v>45538</v>
      </c>
      <c r="L354" t="s">
        <v>738</v>
      </c>
      <c r="M354">
        <v>9.8000000000000007</v>
      </c>
    </row>
    <row r="355" spans="1:13" hidden="1" x14ac:dyDescent="0.35">
      <c r="A355" t="s">
        <v>34</v>
      </c>
      <c r="D355" t="s">
        <v>38</v>
      </c>
      <c r="F355">
        <v>2</v>
      </c>
      <c r="G355">
        <v>2</v>
      </c>
      <c r="H355">
        <v>1</v>
      </c>
      <c r="I355">
        <v>10</v>
      </c>
      <c r="J355" s="6"/>
      <c r="K355" s="122">
        <v>45538</v>
      </c>
      <c r="L355" t="s">
        <v>739</v>
      </c>
      <c r="M355">
        <v>9.6999999999999993</v>
      </c>
    </row>
    <row r="356" spans="1:13" hidden="1" x14ac:dyDescent="0.35">
      <c r="A356" t="s">
        <v>34</v>
      </c>
      <c r="D356" t="s">
        <v>38</v>
      </c>
      <c r="F356">
        <v>2</v>
      </c>
      <c r="G356">
        <v>2</v>
      </c>
      <c r="H356">
        <v>1</v>
      </c>
      <c r="I356">
        <v>10</v>
      </c>
      <c r="J356" s="6"/>
      <c r="K356" s="122">
        <v>45547</v>
      </c>
      <c r="L356" t="s">
        <v>737</v>
      </c>
      <c r="M356">
        <v>10</v>
      </c>
    </row>
    <row r="357" spans="1:13" hidden="1" x14ac:dyDescent="0.35">
      <c r="A357" t="s">
        <v>34</v>
      </c>
      <c r="D357" t="s">
        <v>38</v>
      </c>
      <c r="F357">
        <v>2</v>
      </c>
      <c r="G357">
        <v>2</v>
      </c>
      <c r="H357">
        <v>1</v>
      </c>
      <c r="I357">
        <v>10</v>
      </c>
      <c r="J357" s="6"/>
      <c r="K357" s="122">
        <v>45547</v>
      </c>
      <c r="L357" t="s">
        <v>738</v>
      </c>
      <c r="M357">
        <v>11</v>
      </c>
    </row>
    <row r="358" spans="1:13" hidden="1" x14ac:dyDescent="0.35">
      <c r="A358" t="s">
        <v>34</v>
      </c>
      <c r="D358" t="s">
        <v>38</v>
      </c>
      <c r="F358">
        <v>2</v>
      </c>
      <c r="G358">
        <v>2</v>
      </c>
      <c r="H358">
        <v>1</v>
      </c>
      <c r="I358">
        <v>10</v>
      </c>
      <c r="J358" s="6"/>
      <c r="K358" s="122">
        <v>45547</v>
      </c>
      <c r="L358" t="s">
        <v>739</v>
      </c>
      <c r="M358">
        <v>10</v>
      </c>
    </row>
    <row r="359" spans="1:13" hidden="1" x14ac:dyDescent="0.35">
      <c r="A359" t="s">
        <v>34</v>
      </c>
      <c r="D359" t="s">
        <v>38</v>
      </c>
      <c r="F359">
        <v>2</v>
      </c>
      <c r="G359">
        <v>2</v>
      </c>
      <c r="H359">
        <v>1</v>
      </c>
      <c r="I359">
        <v>10</v>
      </c>
      <c r="J359" s="6"/>
      <c r="K359" s="122">
        <v>45555</v>
      </c>
      <c r="L359" t="s">
        <v>737</v>
      </c>
    </row>
    <row r="360" spans="1:13" hidden="1" x14ac:dyDescent="0.35">
      <c r="A360" t="s">
        <v>34</v>
      </c>
      <c r="D360" t="s">
        <v>38</v>
      </c>
      <c r="F360">
        <v>2</v>
      </c>
      <c r="G360">
        <v>2</v>
      </c>
      <c r="H360">
        <v>1</v>
      </c>
      <c r="I360">
        <v>10</v>
      </c>
      <c r="J360" s="6"/>
      <c r="K360" s="122">
        <v>45555</v>
      </c>
      <c r="L360" t="s">
        <v>738</v>
      </c>
    </row>
    <row r="361" spans="1:13" hidden="1" x14ac:dyDescent="0.35">
      <c r="A361" t="s">
        <v>34</v>
      </c>
      <c r="D361" t="s">
        <v>38</v>
      </c>
      <c r="F361">
        <v>2</v>
      </c>
      <c r="G361">
        <v>2</v>
      </c>
      <c r="H361">
        <v>1</v>
      </c>
      <c r="I361">
        <v>10</v>
      </c>
      <c r="J361" s="6"/>
      <c r="K361" s="122">
        <v>45555</v>
      </c>
      <c r="L361" t="s">
        <v>739</v>
      </c>
    </row>
    <row r="362" spans="1:13" hidden="1" x14ac:dyDescent="0.35">
      <c r="A362" t="s">
        <v>24</v>
      </c>
      <c r="D362" t="s">
        <v>28</v>
      </c>
      <c r="F362">
        <v>2</v>
      </c>
      <c r="G362">
        <v>3</v>
      </c>
      <c r="H362">
        <v>2</v>
      </c>
      <c r="I362">
        <v>18</v>
      </c>
      <c r="J362" s="6"/>
      <c r="K362" s="122">
        <v>45442</v>
      </c>
      <c r="L362" t="s">
        <v>737</v>
      </c>
      <c r="M362">
        <v>4.3</v>
      </c>
    </row>
    <row r="363" spans="1:13" hidden="1" x14ac:dyDescent="0.35">
      <c r="A363" t="s">
        <v>24</v>
      </c>
      <c r="D363" t="s">
        <v>28</v>
      </c>
      <c r="F363">
        <v>2</v>
      </c>
      <c r="G363">
        <v>3</v>
      </c>
      <c r="H363">
        <v>2</v>
      </c>
      <c r="I363">
        <v>18</v>
      </c>
      <c r="J363" s="6"/>
      <c r="K363" s="122">
        <v>45442</v>
      </c>
      <c r="L363" t="s">
        <v>738</v>
      </c>
      <c r="M363">
        <v>4.7</v>
      </c>
    </row>
    <row r="364" spans="1:13" hidden="1" x14ac:dyDescent="0.35">
      <c r="A364" t="s">
        <v>24</v>
      </c>
      <c r="D364" t="s">
        <v>28</v>
      </c>
      <c r="F364">
        <v>2</v>
      </c>
      <c r="G364">
        <v>3</v>
      </c>
      <c r="H364">
        <v>2</v>
      </c>
      <c r="I364">
        <v>18</v>
      </c>
      <c r="J364" s="6"/>
      <c r="K364" s="122">
        <v>45442</v>
      </c>
      <c r="L364" t="s">
        <v>739</v>
      </c>
      <c r="M364">
        <v>4.7</v>
      </c>
    </row>
    <row r="365" spans="1:13" hidden="1" x14ac:dyDescent="0.35">
      <c r="A365" t="s">
        <v>24</v>
      </c>
      <c r="D365" t="s">
        <v>28</v>
      </c>
      <c r="F365">
        <v>2</v>
      </c>
      <c r="G365">
        <v>3</v>
      </c>
      <c r="H365">
        <v>2</v>
      </c>
      <c r="I365">
        <v>18</v>
      </c>
      <c r="J365" s="6"/>
      <c r="K365" s="122">
        <v>45447</v>
      </c>
      <c r="L365" t="s">
        <v>737</v>
      </c>
      <c r="M365">
        <v>5</v>
      </c>
    </row>
    <row r="366" spans="1:13" hidden="1" x14ac:dyDescent="0.35">
      <c r="A366" t="s">
        <v>24</v>
      </c>
      <c r="D366" t="s">
        <v>28</v>
      </c>
      <c r="F366">
        <v>2</v>
      </c>
      <c r="G366">
        <v>3</v>
      </c>
      <c r="H366">
        <v>2</v>
      </c>
      <c r="I366">
        <v>18</v>
      </c>
      <c r="J366" s="6"/>
      <c r="K366" s="122">
        <v>45447</v>
      </c>
      <c r="L366" t="s">
        <v>738</v>
      </c>
      <c r="M366">
        <v>5.3</v>
      </c>
    </row>
    <row r="367" spans="1:13" hidden="1" x14ac:dyDescent="0.35">
      <c r="A367" t="s">
        <v>24</v>
      </c>
      <c r="D367" t="s">
        <v>28</v>
      </c>
      <c r="F367">
        <v>2</v>
      </c>
      <c r="G367">
        <v>3</v>
      </c>
      <c r="H367">
        <v>2</v>
      </c>
      <c r="I367">
        <v>18</v>
      </c>
      <c r="J367" s="6"/>
      <c r="K367" s="122">
        <v>45447</v>
      </c>
      <c r="L367" t="s">
        <v>739</v>
      </c>
      <c r="M367">
        <v>5.2</v>
      </c>
    </row>
    <row r="368" spans="1:13" hidden="1" x14ac:dyDescent="0.35">
      <c r="A368" t="s">
        <v>24</v>
      </c>
      <c r="D368" t="s">
        <v>28</v>
      </c>
      <c r="F368">
        <v>2</v>
      </c>
      <c r="G368">
        <v>3</v>
      </c>
      <c r="H368">
        <v>2</v>
      </c>
      <c r="I368">
        <v>18</v>
      </c>
      <c r="J368" s="6"/>
      <c r="K368" s="122">
        <v>45462</v>
      </c>
      <c r="L368" t="s">
        <v>737</v>
      </c>
      <c r="M368">
        <v>6.3</v>
      </c>
    </row>
    <row r="369" spans="1:13" hidden="1" x14ac:dyDescent="0.35">
      <c r="A369" t="s">
        <v>24</v>
      </c>
      <c r="D369" t="s">
        <v>28</v>
      </c>
      <c r="F369">
        <v>2</v>
      </c>
      <c r="G369">
        <v>3</v>
      </c>
      <c r="H369">
        <v>2</v>
      </c>
      <c r="I369">
        <v>18</v>
      </c>
      <c r="J369" s="6"/>
      <c r="K369" s="122">
        <v>45462</v>
      </c>
      <c r="L369" t="s">
        <v>738</v>
      </c>
      <c r="M369">
        <v>6</v>
      </c>
    </row>
    <row r="370" spans="1:13" hidden="1" x14ac:dyDescent="0.35">
      <c r="A370" t="s">
        <v>24</v>
      </c>
      <c r="D370" t="s">
        <v>28</v>
      </c>
      <c r="F370">
        <v>2</v>
      </c>
      <c r="G370">
        <v>3</v>
      </c>
      <c r="H370">
        <v>2</v>
      </c>
      <c r="I370">
        <v>18</v>
      </c>
      <c r="J370" s="6"/>
      <c r="K370" s="122">
        <v>45462</v>
      </c>
      <c r="L370" t="s">
        <v>739</v>
      </c>
      <c r="M370">
        <v>5.6</v>
      </c>
    </row>
    <row r="371" spans="1:13" hidden="1" x14ac:dyDescent="0.35">
      <c r="A371" t="s">
        <v>24</v>
      </c>
      <c r="D371" t="s">
        <v>28</v>
      </c>
      <c r="F371">
        <v>2</v>
      </c>
      <c r="G371">
        <v>3</v>
      </c>
      <c r="H371">
        <v>2</v>
      </c>
      <c r="I371">
        <v>18</v>
      </c>
      <c r="J371" s="6"/>
      <c r="K371" s="122">
        <v>45477</v>
      </c>
      <c r="L371" t="s">
        <v>737</v>
      </c>
    </row>
    <row r="372" spans="1:13" hidden="1" x14ac:dyDescent="0.35">
      <c r="A372" t="s">
        <v>24</v>
      </c>
      <c r="D372" t="s">
        <v>28</v>
      </c>
      <c r="F372">
        <v>2</v>
      </c>
      <c r="G372">
        <v>3</v>
      </c>
      <c r="H372">
        <v>2</v>
      </c>
      <c r="I372">
        <v>18</v>
      </c>
      <c r="J372" s="6"/>
      <c r="K372" s="122">
        <v>45477</v>
      </c>
      <c r="L372" t="s">
        <v>738</v>
      </c>
    </row>
    <row r="373" spans="1:13" hidden="1" x14ac:dyDescent="0.35">
      <c r="A373" t="s">
        <v>24</v>
      </c>
      <c r="D373" t="s">
        <v>28</v>
      </c>
      <c r="F373">
        <v>2</v>
      </c>
      <c r="G373">
        <v>3</v>
      </c>
      <c r="H373">
        <v>2</v>
      </c>
      <c r="I373">
        <v>18</v>
      </c>
      <c r="J373" s="6"/>
      <c r="K373" s="122">
        <v>45477</v>
      </c>
      <c r="L373" t="s">
        <v>739</v>
      </c>
    </row>
    <row r="374" spans="1:13" hidden="1" x14ac:dyDescent="0.35">
      <c r="A374" t="s">
        <v>24</v>
      </c>
      <c r="D374" t="s">
        <v>28</v>
      </c>
      <c r="F374">
        <v>2</v>
      </c>
      <c r="G374">
        <v>3</v>
      </c>
      <c r="H374">
        <v>2</v>
      </c>
      <c r="I374">
        <v>18</v>
      </c>
      <c r="J374" s="6"/>
      <c r="K374" s="122">
        <v>45485</v>
      </c>
      <c r="L374" t="s">
        <v>737</v>
      </c>
      <c r="M374">
        <v>6.2</v>
      </c>
    </row>
    <row r="375" spans="1:13" hidden="1" x14ac:dyDescent="0.35">
      <c r="A375" t="s">
        <v>24</v>
      </c>
      <c r="D375" t="s">
        <v>28</v>
      </c>
      <c r="F375">
        <v>2</v>
      </c>
      <c r="G375">
        <v>3</v>
      </c>
      <c r="H375">
        <v>2</v>
      </c>
      <c r="I375">
        <v>18</v>
      </c>
      <c r="J375" s="6"/>
      <c r="K375" s="122">
        <v>45485</v>
      </c>
      <c r="L375" t="s">
        <v>738</v>
      </c>
      <c r="M375">
        <v>7</v>
      </c>
    </row>
    <row r="376" spans="1:13" hidden="1" x14ac:dyDescent="0.35">
      <c r="A376" t="s">
        <v>24</v>
      </c>
      <c r="D376" t="s">
        <v>28</v>
      </c>
      <c r="F376">
        <v>2</v>
      </c>
      <c r="G376">
        <v>3</v>
      </c>
      <c r="H376">
        <v>2</v>
      </c>
      <c r="I376">
        <v>18</v>
      </c>
      <c r="J376" s="6"/>
      <c r="K376" s="122">
        <v>45485</v>
      </c>
      <c r="L376" t="s">
        <v>739</v>
      </c>
      <c r="M376">
        <v>6.8</v>
      </c>
    </row>
    <row r="377" spans="1:13" hidden="1" x14ac:dyDescent="0.35">
      <c r="A377" t="s">
        <v>24</v>
      </c>
      <c r="D377" t="s">
        <v>28</v>
      </c>
      <c r="F377">
        <v>2</v>
      </c>
      <c r="G377">
        <v>3</v>
      </c>
      <c r="H377">
        <v>2</v>
      </c>
      <c r="I377">
        <v>18</v>
      </c>
      <c r="J377" s="6"/>
      <c r="K377" s="122">
        <v>45492</v>
      </c>
      <c r="L377" t="s">
        <v>737</v>
      </c>
      <c r="M377">
        <v>6.7</v>
      </c>
    </row>
    <row r="378" spans="1:13" hidden="1" x14ac:dyDescent="0.35">
      <c r="A378" t="s">
        <v>24</v>
      </c>
      <c r="D378" t="s">
        <v>28</v>
      </c>
      <c r="F378">
        <v>2</v>
      </c>
      <c r="G378">
        <v>3</v>
      </c>
      <c r="H378">
        <v>2</v>
      </c>
      <c r="I378">
        <v>18</v>
      </c>
      <c r="J378" s="6"/>
      <c r="K378" s="122">
        <v>45492</v>
      </c>
      <c r="L378" t="s">
        <v>738</v>
      </c>
      <c r="M378">
        <v>7.4</v>
      </c>
    </row>
    <row r="379" spans="1:13" hidden="1" x14ac:dyDescent="0.35">
      <c r="A379" t="s">
        <v>24</v>
      </c>
      <c r="D379" t="s">
        <v>28</v>
      </c>
      <c r="F379">
        <v>2</v>
      </c>
      <c r="G379">
        <v>3</v>
      </c>
      <c r="H379">
        <v>2</v>
      </c>
      <c r="I379">
        <v>18</v>
      </c>
      <c r="J379" s="6"/>
      <c r="K379" s="122">
        <v>45492</v>
      </c>
      <c r="L379" t="s">
        <v>739</v>
      </c>
      <c r="M379">
        <v>7.2</v>
      </c>
    </row>
    <row r="380" spans="1:13" hidden="1" x14ac:dyDescent="0.35">
      <c r="A380" t="s">
        <v>24</v>
      </c>
      <c r="D380" t="s">
        <v>28</v>
      </c>
      <c r="F380">
        <v>2</v>
      </c>
      <c r="G380">
        <v>3</v>
      </c>
      <c r="H380">
        <v>2</v>
      </c>
      <c r="I380">
        <v>18</v>
      </c>
      <c r="J380" s="6"/>
      <c r="K380" s="122">
        <v>45509</v>
      </c>
      <c r="L380" t="s">
        <v>737</v>
      </c>
      <c r="M380">
        <v>7.8</v>
      </c>
    </row>
    <row r="381" spans="1:13" hidden="1" x14ac:dyDescent="0.35">
      <c r="A381" t="s">
        <v>24</v>
      </c>
      <c r="D381" t="s">
        <v>28</v>
      </c>
      <c r="F381">
        <v>2</v>
      </c>
      <c r="G381">
        <v>3</v>
      </c>
      <c r="H381">
        <v>2</v>
      </c>
      <c r="I381">
        <v>18</v>
      </c>
      <c r="J381" s="6"/>
      <c r="K381" s="122">
        <v>45509</v>
      </c>
      <c r="L381" t="s">
        <v>738</v>
      </c>
      <c r="M381">
        <v>8.9</v>
      </c>
    </row>
    <row r="382" spans="1:13" hidden="1" x14ac:dyDescent="0.35">
      <c r="A382" t="s">
        <v>24</v>
      </c>
      <c r="D382" t="s">
        <v>28</v>
      </c>
      <c r="F382">
        <v>2</v>
      </c>
      <c r="G382">
        <v>3</v>
      </c>
      <c r="H382">
        <v>2</v>
      </c>
      <c r="I382">
        <v>18</v>
      </c>
      <c r="J382" s="6"/>
      <c r="K382" s="122">
        <v>45509</v>
      </c>
      <c r="L382" t="s">
        <v>739</v>
      </c>
      <c r="M382">
        <v>8.6</v>
      </c>
    </row>
    <row r="383" spans="1:13" hidden="1" x14ac:dyDescent="0.35">
      <c r="A383" t="s">
        <v>24</v>
      </c>
      <c r="D383" t="s">
        <v>28</v>
      </c>
      <c r="F383">
        <v>2</v>
      </c>
      <c r="G383">
        <v>3</v>
      </c>
      <c r="H383">
        <v>2</v>
      </c>
      <c r="I383">
        <v>18</v>
      </c>
      <c r="J383" s="6"/>
      <c r="K383" s="122">
        <v>45519</v>
      </c>
      <c r="L383" t="s">
        <v>737</v>
      </c>
      <c r="M383">
        <v>9.6999999999999993</v>
      </c>
    </row>
    <row r="384" spans="1:13" hidden="1" x14ac:dyDescent="0.35">
      <c r="A384" t="s">
        <v>24</v>
      </c>
      <c r="D384" t="s">
        <v>28</v>
      </c>
      <c r="F384">
        <v>2</v>
      </c>
      <c r="G384">
        <v>3</v>
      </c>
      <c r="H384">
        <v>2</v>
      </c>
      <c r="I384">
        <v>18</v>
      </c>
      <c r="J384" s="6"/>
      <c r="K384" s="122">
        <v>45519</v>
      </c>
      <c r="L384" t="s">
        <v>738</v>
      </c>
      <c r="M384">
        <v>9.3000000000000007</v>
      </c>
    </row>
    <row r="385" spans="1:13" hidden="1" x14ac:dyDescent="0.35">
      <c r="A385" t="s">
        <v>24</v>
      </c>
      <c r="D385" t="s">
        <v>28</v>
      </c>
      <c r="F385">
        <v>2</v>
      </c>
      <c r="G385">
        <v>3</v>
      </c>
      <c r="H385">
        <v>2</v>
      </c>
      <c r="I385">
        <v>18</v>
      </c>
      <c r="J385" s="6"/>
      <c r="K385" s="122">
        <v>45519</v>
      </c>
      <c r="L385" t="s">
        <v>739</v>
      </c>
      <c r="M385">
        <v>8.5</v>
      </c>
    </row>
    <row r="386" spans="1:13" hidden="1" x14ac:dyDescent="0.35">
      <c r="A386" t="s">
        <v>24</v>
      </c>
      <c r="D386" t="s">
        <v>28</v>
      </c>
      <c r="F386">
        <v>2</v>
      </c>
      <c r="G386">
        <v>3</v>
      </c>
      <c r="H386">
        <v>2</v>
      </c>
      <c r="I386">
        <v>18</v>
      </c>
      <c r="J386" s="6"/>
      <c r="K386" s="122">
        <v>45530</v>
      </c>
      <c r="L386" t="s">
        <v>737</v>
      </c>
      <c r="M386">
        <v>9.9</v>
      </c>
    </row>
    <row r="387" spans="1:13" hidden="1" x14ac:dyDescent="0.35">
      <c r="A387" t="s">
        <v>24</v>
      </c>
      <c r="D387" t="s">
        <v>28</v>
      </c>
      <c r="F387">
        <v>2</v>
      </c>
      <c r="G387">
        <v>3</v>
      </c>
      <c r="H387">
        <v>2</v>
      </c>
      <c r="I387">
        <v>18</v>
      </c>
      <c r="J387" s="6"/>
      <c r="K387" s="122">
        <v>45530</v>
      </c>
      <c r="L387" t="s">
        <v>738</v>
      </c>
      <c r="M387">
        <v>10.9</v>
      </c>
    </row>
    <row r="388" spans="1:13" hidden="1" x14ac:dyDescent="0.35">
      <c r="A388" t="s">
        <v>24</v>
      </c>
      <c r="D388" t="s">
        <v>28</v>
      </c>
      <c r="F388">
        <v>2</v>
      </c>
      <c r="G388">
        <v>3</v>
      </c>
      <c r="H388">
        <v>2</v>
      </c>
      <c r="I388">
        <v>18</v>
      </c>
      <c r="J388" s="6"/>
      <c r="K388" s="122">
        <v>45530</v>
      </c>
      <c r="L388" t="s">
        <v>739</v>
      </c>
      <c r="M388">
        <v>10.8</v>
      </c>
    </row>
    <row r="389" spans="1:13" hidden="1" x14ac:dyDescent="0.35">
      <c r="A389" t="s">
        <v>24</v>
      </c>
      <c r="D389" t="s">
        <v>28</v>
      </c>
      <c r="F389">
        <v>2</v>
      </c>
      <c r="G389">
        <v>3</v>
      </c>
      <c r="H389">
        <v>2</v>
      </c>
      <c r="I389">
        <v>18</v>
      </c>
      <c r="J389" s="6"/>
      <c r="K389" s="122">
        <v>45538</v>
      </c>
      <c r="L389" t="s">
        <v>737</v>
      </c>
      <c r="M389">
        <v>10.4</v>
      </c>
    </row>
    <row r="390" spans="1:13" hidden="1" x14ac:dyDescent="0.35">
      <c r="A390" t="s">
        <v>24</v>
      </c>
      <c r="D390" t="s">
        <v>28</v>
      </c>
      <c r="F390">
        <v>2</v>
      </c>
      <c r="G390">
        <v>3</v>
      </c>
      <c r="H390">
        <v>2</v>
      </c>
      <c r="I390">
        <v>18</v>
      </c>
      <c r="J390" s="6"/>
      <c r="K390" s="122">
        <v>45538</v>
      </c>
      <c r="L390" t="s">
        <v>738</v>
      </c>
      <c r="M390">
        <v>11.7</v>
      </c>
    </row>
    <row r="391" spans="1:13" hidden="1" x14ac:dyDescent="0.35">
      <c r="A391" t="s">
        <v>24</v>
      </c>
      <c r="D391" t="s">
        <v>28</v>
      </c>
      <c r="F391">
        <v>2</v>
      </c>
      <c r="G391">
        <v>3</v>
      </c>
      <c r="H391">
        <v>2</v>
      </c>
      <c r="I391">
        <v>18</v>
      </c>
      <c r="J391" s="6"/>
      <c r="K391" s="122">
        <v>45538</v>
      </c>
      <c r="L391" t="s">
        <v>739</v>
      </c>
      <c r="M391">
        <v>11.2</v>
      </c>
    </row>
    <row r="392" spans="1:13" hidden="1" x14ac:dyDescent="0.35">
      <c r="A392" t="s">
        <v>24</v>
      </c>
      <c r="D392" t="s">
        <v>28</v>
      </c>
      <c r="F392">
        <v>2</v>
      </c>
      <c r="G392">
        <v>3</v>
      </c>
      <c r="H392">
        <v>2</v>
      </c>
      <c r="I392">
        <v>18</v>
      </c>
      <c r="J392" s="6"/>
      <c r="K392" s="122">
        <v>45547</v>
      </c>
      <c r="L392" t="s">
        <v>737</v>
      </c>
      <c r="M392">
        <v>11</v>
      </c>
    </row>
    <row r="393" spans="1:13" hidden="1" x14ac:dyDescent="0.35">
      <c r="A393" t="s">
        <v>24</v>
      </c>
      <c r="D393" t="s">
        <v>28</v>
      </c>
      <c r="F393">
        <v>2</v>
      </c>
      <c r="G393">
        <v>3</v>
      </c>
      <c r="H393">
        <v>2</v>
      </c>
      <c r="I393">
        <v>18</v>
      </c>
      <c r="J393" s="6"/>
      <c r="K393" s="122">
        <v>45547</v>
      </c>
      <c r="L393" t="s">
        <v>738</v>
      </c>
      <c r="M393">
        <v>12</v>
      </c>
    </row>
    <row r="394" spans="1:13" hidden="1" x14ac:dyDescent="0.35">
      <c r="A394" t="s">
        <v>24</v>
      </c>
      <c r="D394" t="s">
        <v>28</v>
      </c>
      <c r="F394">
        <v>2</v>
      </c>
      <c r="G394">
        <v>3</v>
      </c>
      <c r="H394">
        <v>2</v>
      </c>
      <c r="I394">
        <v>18</v>
      </c>
      <c r="J394" s="6"/>
      <c r="K394" s="122">
        <v>45547</v>
      </c>
      <c r="L394" t="s">
        <v>739</v>
      </c>
      <c r="M394">
        <v>12</v>
      </c>
    </row>
    <row r="395" spans="1:13" hidden="1" x14ac:dyDescent="0.35">
      <c r="A395" t="s">
        <v>24</v>
      </c>
      <c r="D395" t="s">
        <v>28</v>
      </c>
      <c r="F395">
        <v>2</v>
      </c>
      <c r="G395">
        <v>3</v>
      </c>
      <c r="H395">
        <v>2</v>
      </c>
      <c r="I395">
        <v>18</v>
      </c>
      <c r="J395" s="6"/>
      <c r="K395" s="122">
        <v>45555</v>
      </c>
      <c r="L395" t="s">
        <v>737</v>
      </c>
    </row>
    <row r="396" spans="1:13" hidden="1" x14ac:dyDescent="0.35">
      <c r="A396" t="s">
        <v>24</v>
      </c>
      <c r="D396" t="s">
        <v>28</v>
      </c>
      <c r="F396">
        <v>2</v>
      </c>
      <c r="G396">
        <v>3</v>
      </c>
      <c r="H396">
        <v>2</v>
      </c>
      <c r="I396">
        <v>18</v>
      </c>
      <c r="J396" s="6"/>
      <c r="K396" s="122">
        <v>45555</v>
      </c>
      <c r="L396" t="s">
        <v>738</v>
      </c>
    </row>
    <row r="397" spans="1:13" hidden="1" x14ac:dyDescent="0.35">
      <c r="A397" t="s">
        <v>24</v>
      </c>
      <c r="D397" t="s">
        <v>28</v>
      </c>
      <c r="F397">
        <v>2</v>
      </c>
      <c r="G397">
        <v>3</v>
      </c>
      <c r="H397">
        <v>2</v>
      </c>
      <c r="I397">
        <v>18</v>
      </c>
      <c r="J397" s="6"/>
      <c r="K397" s="122">
        <v>45555</v>
      </c>
      <c r="L397" t="s">
        <v>739</v>
      </c>
    </row>
    <row r="398" spans="1:13" hidden="1" x14ac:dyDescent="0.35">
      <c r="A398" t="s">
        <v>34</v>
      </c>
      <c r="D398" t="s">
        <v>43</v>
      </c>
      <c r="F398">
        <v>2</v>
      </c>
      <c r="G398">
        <v>4</v>
      </c>
      <c r="H398">
        <v>2</v>
      </c>
      <c r="I398">
        <v>26</v>
      </c>
      <c r="J398" s="6"/>
      <c r="K398" s="122">
        <v>45442</v>
      </c>
      <c r="L398" t="s">
        <v>737</v>
      </c>
    </row>
    <row r="399" spans="1:13" hidden="1" x14ac:dyDescent="0.35">
      <c r="A399" t="s">
        <v>34</v>
      </c>
      <c r="D399" t="s">
        <v>43</v>
      </c>
      <c r="F399">
        <v>2</v>
      </c>
      <c r="G399">
        <v>4</v>
      </c>
      <c r="H399">
        <v>2</v>
      </c>
      <c r="I399">
        <v>26</v>
      </c>
      <c r="J399" s="6"/>
      <c r="K399" s="122">
        <v>45442</v>
      </c>
      <c r="L399" t="s">
        <v>738</v>
      </c>
    </row>
    <row r="400" spans="1:13" hidden="1" x14ac:dyDescent="0.35">
      <c r="A400" t="s">
        <v>34</v>
      </c>
      <c r="D400" t="s">
        <v>43</v>
      </c>
      <c r="F400">
        <v>2</v>
      </c>
      <c r="G400">
        <v>4</v>
      </c>
      <c r="H400">
        <v>2</v>
      </c>
      <c r="I400">
        <v>26</v>
      </c>
      <c r="J400" s="6"/>
      <c r="K400" s="122">
        <v>45442</v>
      </c>
      <c r="L400" t="s">
        <v>739</v>
      </c>
    </row>
    <row r="401" spans="1:13" hidden="1" x14ac:dyDescent="0.35">
      <c r="A401" t="s">
        <v>34</v>
      </c>
      <c r="D401" t="s">
        <v>43</v>
      </c>
      <c r="F401">
        <v>2</v>
      </c>
      <c r="G401">
        <v>4</v>
      </c>
      <c r="H401">
        <v>2</v>
      </c>
      <c r="I401">
        <v>26</v>
      </c>
      <c r="J401" s="6"/>
      <c r="K401" s="122">
        <v>45447</v>
      </c>
      <c r="L401" t="s">
        <v>737</v>
      </c>
      <c r="M401">
        <v>1.8</v>
      </c>
    </row>
    <row r="402" spans="1:13" hidden="1" x14ac:dyDescent="0.35">
      <c r="A402" t="s">
        <v>34</v>
      </c>
      <c r="D402" t="s">
        <v>43</v>
      </c>
      <c r="F402">
        <v>2</v>
      </c>
      <c r="G402">
        <v>4</v>
      </c>
      <c r="H402">
        <v>2</v>
      </c>
      <c r="I402">
        <v>26</v>
      </c>
      <c r="J402" s="6"/>
      <c r="K402" s="122">
        <v>45447</v>
      </c>
      <c r="L402" t="s">
        <v>738</v>
      </c>
      <c r="M402">
        <v>1.8</v>
      </c>
    </row>
    <row r="403" spans="1:13" hidden="1" x14ac:dyDescent="0.35">
      <c r="A403" t="s">
        <v>34</v>
      </c>
      <c r="D403" t="s">
        <v>43</v>
      </c>
      <c r="F403">
        <v>2</v>
      </c>
      <c r="G403">
        <v>4</v>
      </c>
      <c r="H403">
        <v>2</v>
      </c>
      <c r="I403">
        <v>26</v>
      </c>
      <c r="J403" s="6"/>
      <c r="K403" s="122">
        <v>45447</v>
      </c>
      <c r="L403" t="s">
        <v>739</v>
      </c>
      <c r="M403">
        <v>1.8</v>
      </c>
    </row>
    <row r="404" spans="1:13" hidden="1" x14ac:dyDescent="0.35">
      <c r="A404" t="s">
        <v>34</v>
      </c>
      <c r="D404" t="s">
        <v>43</v>
      </c>
      <c r="F404">
        <v>2</v>
      </c>
      <c r="G404">
        <v>4</v>
      </c>
      <c r="H404">
        <v>2</v>
      </c>
      <c r="I404">
        <v>26</v>
      </c>
      <c r="J404" s="6"/>
      <c r="K404" s="122">
        <v>45462</v>
      </c>
      <c r="L404" t="s">
        <v>737</v>
      </c>
      <c r="M404">
        <v>3.1</v>
      </c>
    </row>
    <row r="405" spans="1:13" hidden="1" x14ac:dyDescent="0.35">
      <c r="A405" t="s">
        <v>34</v>
      </c>
      <c r="D405" t="s">
        <v>43</v>
      </c>
      <c r="F405">
        <v>2</v>
      </c>
      <c r="G405">
        <v>4</v>
      </c>
      <c r="H405">
        <v>2</v>
      </c>
      <c r="I405">
        <v>26</v>
      </c>
      <c r="J405" s="6"/>
      <c r="K405" s="122">
        <v>45462</v>
      </c>
      <c r="L405" t="s">
        <v>738</v>
      </c>
      <c r="M405">
        <v>3.2</v>
      </c>
    </row>
    <row r="406" spans="1:13" hidden="1" x14ac:dyDescent="0.35">
      <c r="A406" t="s">
        <v>34</v>
      </c>
      <c r="D406" t="s">
        <v>43</v>
      </c>
      <c r="F406">
        <v>2</v>
      </c>
      <c r="G406">
        <v>4</v>
      </c>
      <c r="H406">
        <v>2</v>
      </c>
      <c r="I406">
        <v>26</v>
      </c>
      <c r="J406" s="6"/>
      <c r="K406" s="122">
        <v>45462</v>
      </c>
      <c r="L406" t="s">
        <v>739</v>
      </c>
      <c r="M406">
        <v>3.1</v>
      </c>
    </row>
    <row r="407" spans="1:13" hidden="1" x14ac:dyDescent="0.35">
      <c r="A407" t="s">
        <v>34</v>
      </c>
      <c r="D407" t="s">
        <v>43</v>
      </c>
      <c r="F407">
        <v>2</v>
      </c>
      <c r="G407">
        <v>4</v>
      </c>
      <c r="H407">
        <v>2</v>
      </c>
      <c r="I407">
        <v>26</v>
      </c>
      <c r="J407" s="6"/>
      <c r="K407" s="122">
        <v>45477</v>
      </c>
      <c r="L407" t="s">
        <v>737</v>
      </c>
      <c r="M407">
        <v>4.3</v>
      </c>
    </row>
    <row r="408" spans="1:13" hidden="1" x14ac:dyDescent="0.35">
      <c r="A408" t="s">
        <v>34</v>
      </c>
      <c r="D408" t="s">
        <v>43</v>
      </c>
      <c r="F408">
        <v>2</v>
      </c>
      <c r="G408">
        <v>4</v>
      </c>
      <c r="H408">
        <v>2</v>
      </c>
      <c r="I408">
        <v>26</v>
      </c>
      <c r="J408" s="6"/>
      <c r="K408" s="122">
        <v>45477</v>
      </c>
      <c r="L408" t="s">
        <v>738</v>
      </c>
      <c r="M408">
        <v>4.4000000000000004</v>
      </c>
    </row>
    <row r="409" spans="1:13" hidden="1" x14ac:dyDescent="0.35">
      <c r="A409" t="s">
        <v>34</v>
      </c>
      <c r="D409" t="s">
        <v>43</v>
      </c>
      <c r="F409">
        <v>2</v>
      </c>
      <c r="G409">
        <v>4</v>
      </c>
      <c r="H409">
        <v>2</v>
      </c>
      <c r="I409">
        <v>26</v>
      </c>
      <c r="J409" s="6"/>
      <c r="K409" s="122">
        <v>45477</v>
      </c>
      <c r="L409" t="s">
        <v>739</v>
      </c>
      <c r="M409">
        <v>4.3</v>
      </c>
    </row>
    <row r="410" spans="1:13" hidden="1" x14ac:dyDescent="0.35">
      <c r="A410" t="s">
        <v>34</v>
      </c>
      <c r="B410" s="71"/>
      <c r="C410" s="72"/>
      <c r="D410" t="s">
        <v>43</v>
      </c>
      <c r="E410" s="71"/>
      <c r="F410">
        <v>2</v>
      </c>
      <c r="G410">
        <v>4</v>
      </c>
      <c r="H410">
        <v>2</v>
      </c>
      <c r="I410">
        <v>26</v>
      </c>
      <c r="J410" s="6"/>
      <c r="K410" s="122">
        <v>45485</v>
      </c>
      <c r="L410" t="s">
        <v>737</v>
      </c>
    </row>
    <row r="411" spans="1:13" hidden="1" x14ac:dyDescent="0.35">
      <c r="A411" t="s">
        <v>34</v>
      </c>
      <c r="D411" t="s">
        <v>43</v>
      </c>
      <c r="F411">
        <v>2</v>
      </c>
      <c r="G411">
        <v>4</v>
      </c>
      <c r="H411">
        <v>2</v>
      </c>
      <c r="I411">
        <v>26</v>
      </c>
      <c r="J411" s="6"/>
      <c r="K411" s="122">
        <v>45485</v>
      </c>
      <c r="L411" t="s">
        <v>738</v>
      </c>
    </row>
    <row r="412" spans="1:13" hidden="1" x14ac:dyDescent="0.35">
      <c r="A412" t="s">
        <v>34</v>
      </c>
      <c r="D412" t="s">
        <v>43</v>
      </c>
      <c r="F412">
        <v>2</v>
      </c>
      <c r="G412">
        <v>4</v>
      </c>
      <c r="H412">
        <v>2</v>
      </c>
      <c r="I412">
        <v>26</v>
      </c>
      <c r="J412" s="6"/>
      <c r="K412" s="122">
        <v>45485</v>
      </c>
      <c r="L412" t="s">
        <v>739</v>
      </c>
    </row>
    <row r="413" spans="1:13" hidden="1" x14ac:dyDescent="0.35">
      <c r="A413" t="s">
        <v>34</v>
      </c>
      <c r="D413" t="s">
        <v>43</v>
      </c>
      <c r="F413">
        <v>2</v>
      </c>
      <c r="G413">
        <v>4</v>
      </c>
      <c r="H413">
        <v>2</v>
      </c>
      <c r="I413">
        <v>26</v>
      </c>
      <c r="J413" s="6"/>
      <c r="K413" s="122">
        <v>45492</v>
      </c>
      <c r="L413" t="s">
        <v>737</v>
      </c>
      <c r="M413">
        <v>5.4</v>
      </c>
    </row>
    <row r="414" spans="1:13" hidden="1" x14ac:dyDescent="0.35">
      <c r="A414" t="s">
        <v>34</v>
      </c>
      <c r="D414" t="s">
        <v>43</v>
      </c>
      <c r="F414">
        <v>2</v>
      </c>
      <c r="G414">
        <v>4</v>
      </c>
      <c r="H414">
        <v>2</v>
      </c>
      <c r="I414">
        <v>26</v>
      </c>
      <c r="J414" s="6"/>
      <c r="K414" s="122">
        <v>45492</v>
      </c>
      <c r="L414" t="s">
        <v>738</v>
      </c>
      <c r="M414">
        <v>5.5</v>
      </c>
    </row>
    <row r="415" spans="1:13" hidden="1" x14ac:dyDescent="0.35">
      <c r="A415" t="s">
        <v>34</v>
      </c>
      <c r="D415" t="s">
        <v>43</v>
      </c>
      <c r="F415">
        <v>2</v>
      </c>
      <c r="G415">
        <v>4</v>
      </c>
      <c r="H415">
        <v>2</v>
      </c>
      <c r="I415">
        <v>26</v>
      </c>
      <c r="J415" s="6"/>
      <c r="K415" s="122">
        <v>45492</v>
      </c>
      <c r="L415" t="s">
        <v>739</v>
      </c>
      <c r="M415">
        <v>5.7</v>
      </c>
    </row>
    <row r="416" spans="1:13" hidden="1" x14ac:dyDescent="0.35">
      <c r="A416" t="s">
        <v>34</v>
      </c>
      <c r="D416" t="s">
        <v>43</v>
      </c>
      <c r="F416">
        <v>2</v>
      </c>
      <c r="G416">
        <v>4</v>
      </c>
      <c r="H416">
        <v>2</v>
      </c>
      <c r="I416">
        <v>26</v>
      </c>
      <c r="J416" s="6"/>
      <c r="K416" s="122">
        <v>45509</v>
      </c>
      <c r="L416" t="s">
        <v>737</v>
      </c>
      <c r="M416">
        <v>6.6</v>
      </c>
    </row>
    <row r="417" spans="1:13" hidden="1" x14ac:dyDescent="0.35">
      <c r="A417" t="s">
        <v>34</v>
      </c>
      <c r="D417" t="s">
        <v>43</v>
      </c>
      <c r="F417">
        <v>2</v>
      </c>
      <c r="G417">
        <v>4</v>
      </c>
      <c r="H417">
        <v>2</v>
      </c>
      <c r="I417">
        <v>26</v>
      </c>
      <c r="J417" s="6"/>
      <c r="K417" s="122">
        <v>45509</v>
      </c>
      <c r="L417" t="s">
        <v>738</v>
      </c>
      <c r="M417">
        <v>6.7</v>
      </c>
    </row>
    <row r="418" spans="1:13" hidden="1" x14ac:dyDescent="0.35">
      <c r="A418" t="s">
        <v>34</v>
      </c>
      <c r="D418" t="s">
        <v>43</v>
      </c>
      <c r="F418">
        <v>2</v>
      </c>
      <c r="G418">
        <v>4</v>
      </c>
      <c r="H418">
        <v>2</v>
      </c>
      <c r="I418">
        <v>26</v>
      </c>
      <c r="J418" s="6"/>
      <c r="K418" s="122">
        <v>45509</v>
      </c>
      <c r="L418" t="s">
        <v>739</v>
      </c>
      <c r="M418">
        <v>6.8</v>
      </c>
    </row>
    <row r="419" spans="1:13" hidden="1" x14ac:dyDescent="0.35">
      <c r="A419" t="s">
        <v>34</v>
      </c>
      <c r="D419" t="s">
        <v>43</v>
      </c>
      <c r="F419">
        <v>2</v>
      </c>
      <c r="G419">
        <v>4</v>
      </c>
      <c r="H419">
        <v>2</v>
      </c>
      <c r="I419">
        <v>26</v>
      </c>
      <c r="J419" s="6"/>
      <c r="K419" s="122">
        <v>45519</v>
      </c>
      <c r="L419" t="s">
        <v>737</v>
      </c>
      <c r="M419">
        <v>7.4</v>
      </c>
    </row>
    <row r="420" spans="1:13" hidden="1" x14ac:dyDescent="0.35">
      <c r="A420" t="s">
        <v>34</v>
      </c>
      <c r="D420" t="s">
        <v>43</v>
      </c>
      <c r="F420">
        <v>2</v>
      </c>
      <c r="G420">
        <v>4</v>
      </c>
      <c r="H420">
        <v>2</v>
      </c>
      <c r="I420">
        <v>26</v>
      </c>
      <c r="J420" s="6"/>
      <c r="K420" s="122">
        <v>45519</v>
      </c>
      <c r="L420" t="s">
        <v>738</v>
      </c>
      <c r="M420">
        <v>7.6</v>
      </c>
    </row>
    <row r="421" spans="1:13" hidden="1" x14ac:dyDescent="0.35">
      <c r="A421" t="s">
        <v>34</v>
      </c>
      <c r="D421" t="s">
        <v>43</v>
      </c>
      <c r="F421">
        <v>2</v>
      </c>
      <c r="G421">
        <v>4</v>
      </c>
      <c r="H421">
        <v>2</v>
      </c>
      <c r="I421">
        <v>26</v>
      </c>
      <c r="J421" s="6"/>
      <c r="K421" s="122">
        <v>45519</v>
      </c>
      <c r="L421" t="s">
        <v>739</v>
      </c>
      <c r="M421">
        <v>7.7</v>
      </c>
    </row>
    <row r="422" spans="1:13" hidden="1" x14ac:dyDescent="0.35">
      <c r="A422" t="s">
        <v>34</v>
      </c>
      <c r="D422" t="s">
        <v>43</v>
      </c>
      <c r="F422">
        <v>2</v>
      </c>
      <c r="G422">
        <v>4</v>
      </c>
      <c r="H422">
        <v>2</v>
      </c>
      <c r="I422">
        <v>26</v>
      </c>
      <c r="J422" s="6"/>
      <c r="K422" s="122">
        <v>45530</v>
      </c>
      <c r="L422" t="s">
        <v>737</v>
      </c>
      <c r="M422">
        <v>8.6</v>
      </c>
    </row>
    <row r="423" spans="1:13" hidden="1" x14ac:dyDescent="0.35">
      <c r="A423" t="s">
        <v>34</v>
      </c>
      <c r="D423" t="s">
        <v>43</v>
      </c>
      <c r="F423">
        <v>2</v>
      </c>
      <c r="G423">
        <v>4</v>
      </c>
      <c r="H423">
        <v>2</v>
      </c>
      <c r="I423">
        <v>26</v>
      </c>
      <c r="J423" s="6"/>
      <c r="K423" s="122">
        <v>45530</v>
      </c>
      <c r="L423" t="s">
        <v>738</v>
      </c>
      <c r="M423">
        <v>8.9</v>
      </c>
    </row>
    <row r="424" spans="1:13" hidden="1" x14ac:dyDescent="0.35">
      <c r="A424" t="s">
        <v>34</v>
      </c>
      <c r="D424" t="s">
        <v>43</v>
      </c>
      <c r="F424">
        <v>2</v>
      </c>
      <c r="G424">
        <v>4</v>
      </c>
      <c r="H424">
        <v>2</v>
      </c>
      <c r="I424">
        <v>26</v>
      </c>
      <c r="J424" s="6"/>
      <c r="K424" s="122">
        <v>45530</v>
      </c>
      <c r="L424" t="s">
        <v>739</v>
      </c>
      <c r="M424">
        <v>8.6999999999999993</v>
      </c>
    </row>
    <row r="425" spans="1:13" hidden="1" x14ac:dyDescent="0.35">
      <c r="A425" t="s">
        <v>34</v>
      </c>
      <c r="D425" t="s">
        <v>43</v>
      </c>
      <c r="F425">
        <v>2</v>
      </c>
      <c r="G425">
        <v>4</v>
      </c>
      <c r="H425">
        <v>2</v>
      </c>
      <c r="I425">
        <v>26</v>
      </c>
      <c r="J425" s="6"/>
      <c r="K425" s="122">
        <v>45538</v>
      </c>
      <c r="L425" t="s">
        <v>737</v>
      </c>
      <c r="M425">
        <v>9.3000000000000007</v>
      </c>
    </row>
    <row r="426" spans="1:13" hidden="1" x14ac:dyDescent="0.35">
      <c r="A426" t="s">
        <v>34</v>
      </c>
      <c r="D426" t="s">
        <v>43</v>
      </c>
      <c r="F426">
        <v>2</v>
      </c>
      <c r="G426">
        <v>4</v>
      </c>
      <c r="H426">
        <v>2</v>
      </c>
      <c r="I426">
        <v>26</v>
      </c>
      <c r="J426" s="6"/>
      <c r="K426" s="122">
        <v>45538</v>
      </c>
      <c r="L426" t="s">
        <v>738</v>
      </c>
      <c r="M426">
        <v>9.6999999999999993</v>
      </c>
    </row>
    <row r="427" spans="1:13" hidden="1" x14ac:dyDescent="0.35">
      <c r="A427" t="s">
        <v>34</v>
      </c>
      <c r="D427" t="s">
        <v>43</v>
      </c>
      <c r="F427">
        <v>2</v>
      </c>
      <c r="G427">
        <v>4</v>
      </c>
      <c r="H427">
        <v>2</v>
      </c>
      <c r="I427">
        <v>26</v>
      </c>
      <c r="J427" s="6"/>
      <c r="K427" s="122">
        <v>45538</v>
      </c>
      <c r="L427" t="s">
        <v>739</v>
      </c>
      <c r="M427">
        <v>9.6</v>
      </c>
    </row>
    <row r="428" spans="1:13" hidden="1" x14ac:dyDescent="0.35">
      <c r="A428" t="s">
        <v>34</v>
      </c>
      <c r="D428" t="s">
        <v>43</v>
      </c>
      <c r="F428">
        <v>2</v>
      </c>
      <c r="G428">
        <v>4</v>
      </c>
      <c r="H428">
        <v>2</v>
      </c>
      <c r="I428">
        <v>26</v>
      </c>
      <c r="J428" s="6"/>
      <c r="K428" s="122">
        <v>45547</v>
      </c>
      <c r="L428" t="s">
        <v>737</v>
      </c>
      <c r="M428">
        <v>10</v>
      </c>
    </row>
    <row r="429" spans="1:13" hidden="1" x14ac:dyDescent="0.35">
      <c r="A429" t="s">
        <v>34</v>
      </c>
      <c r="D429" t="s">
        <v>43</v>
      </c>
      <c r="F429">
        <v>2</v>
      </c>
      <c r="G429">
        <v>4</v>
      </c>
      <c r="H429">
        <v>2</v>
      </c>
      <c r="I429">
        <v>26</v>
      </c>
      <c r="J429" s="6"/>
      <c r="K429" s="122">
        <v>45547</v>
      </c>
      <c r="L429" t="s">
        <v>738</v>
      </c>
      <c r="M429">
        <v>10</v>
      </c>
    </row>
    <row r="430" spans="1:13" hidden="1" x14ac:dyDescent="0.35">
      <c r="A430" t="s">
        <v>34</v>
      </c>
      <c r="D430" t="s">
        <v>43</v>
      </c>
      <c r="F430">
        <v>2</v>
      </c>
      <c r="G430">
        <v>4</v>
      </c>
      <c r="H430">
        <v>2</v>
      </c>
      <c r="I430">
        <v>26</v>
      </c>
      <c r="J430" s="6"/>
      <c r="K430" s="122">
        <v>45547</v>
      </c>
      <c r="L430" t="s">
        <v>739</v>
      </c>
      <c r="M430">
        <v>10</v>
      </c>
    </row>
    <row r="431" spans="1:13" hidden="1" x14ac:dyDescent="0.35">
      <c r="A431" t="s">
        <v>34</v>
      </c>
      <c r="D431" t="s">
        <v>43</v>
      </c>
      <c r="F431">
        <v>2</v>
      </c>
      <c r="G431">
        <v>4</v>
      </c>
      <c r="H431">
        <v>2</v>
      </c>
      <c r="I431">
        <v>26</v>
      </c>
      <c r="J431" s="6"/>
      <c r="K431" s="122">
        <v>45555</v>
      </c>
      <c r="L431" t="s">
        <v>737</v>
      </c>
    </row>
    <row r="432" spans="1:13" hidden="1" x14ac:dyDescent="0.35">
      <c r="A432" t="s">
        <v>34</v>
      </c>
      <c r="D432" t="s">
        <v>43</v>
      </c>
      <c r="F432">
        <v>2</v>
      </c>
      <c r="G432">
        <v>4</v>
      </c>
      <c r="H432">
        <v>2</v>
      </c>
      <c r="I432">
        <v>26</v>
      </c>
      <c r="J432" s="6"/>
      <c r="K432" s="122">
        <v>45555</v>
      </c>
      <c r="L432" t="s">
        <v>738</v>
      </c>
    </row>
    <row r="433" spans="1:13" hidden="1" x14ac:dyDescent="0.35">
      <c r="A433" t="s">
        <v>34</v>
      </c>
      <c r="D433" t="s">
        <v>43</v>
      </c>
      <c r="F433">
        <v>2</v>
      </c>
      <c r="G433">
        <v>4</v>
      </c>
      <c r="H433">
        <v>2</v>
      </c>
      <c r="I433">
        <v>26</v>
      </c>
      <c r="J433" s="6"/>
      <c r="K433" s="122">
        <v>45555</v>
      </c>
      <c r="L433" t="s">
        <v>739</v>
      </c>
    </row>
    <row r="434" spans="1:13" hidden="1" x14ac:dyDescent="0.35">
      <c r="A434" t="s">
        <v>24</v>
      </c>
      <c r="D434" t="s">
        <v>337</v>
      </c>
      <c r="F434">
        <v>2</v>
      </c>
      <c r="G434">
        <v>5</v>
      </c>
      <c r="H434">
        <v>3</v>
      </c>
      <c r="I434">
        <v>34</v>
      </c>
      <c r="J434" s="6"/>
      <c r="K434" s="122">
        <v>45442</v>
      </c>
      <c r="L434" t="s">
        <v>737</v>
      </c>
    </row>
    <row r="435" spans="1:13" hidden="1" x14ac:dyDescent="0.35">
      <c r="A435" t="s">
        <v>24</v>
      </c>
      <c r="D435" t="s">
        <v>337</v>
      </c>
      <c r="F435">
        <v>2</v>
      </c>
      <c r="G435">
        <v>5</v>
      </c>
      <c r="H435">
        <v>3</v>
      </c>
      <c r="I435">
        <v>34</v>
      </c>
      <c r="J435" s="6"/>
      <c r="K435" s="122">
        <v>45442</v>
      </c>
      <c r="L435" t="s">
        <v>738</v>
      </c>
    </row>
    <row r="436" spans="1:13" hidden="1" x14ac:dyDescent="0.35">
      <c r="A436" t="s">
        <v>24</v>
      </c>
      <c r="D436" t="s">
        <v>337</v>
      </c>
      <c r="F436">
        <v>2</v>
      </c>
      <c r="G436">
        <v>5</v>
      </c>
      <c r="H436">
        <v>3</v>
      </c>
      <c r="I436">
        <v>34</v>
      </c>
      <c r="J436" s="6"/>
      <c r="K436" s="122">
        <v>45442</v>
      </c>
      <c r="L436" t="s">
        <v>739</v>
      </c>
    </row>
    <row r="437" spans="1:13" hidden="1" x14ac:dyDescent="0.35">
      <c r="A437" t="s">
        <v>24</v>
      </c>
      <c r="D437" t="s">
        <v>337</v>
      </c>
      <c r="F437">
        <v>2</v>
      </c>
      <c r="G437">
        <v>5</v>
      </c>
      <c r="H437">
        <v>3</v>
      </c>
      <c r="I437">
        <v>34</v>
      </c>
      <c r="J437" s="6"/>
      <c r="K437" s="122">
        <v>45447</v>
      </c>
      <c r="L437" t="s">
        <v>737</v>
      </c>
      <c r="M437">
        <v>5.5</v>
      </c>
    </row>
    <row r="438" spans="1:13" hidden="1" x14ac:dyDescent="0.35">
      <c r="A438" t="s">
        <v>24</v>
      </c>
      <c r="D438" t="s">
        <v>337</v>
      </c>
      <c r="F438">
        <v>2</v>
      </c>
      <c r="G438">
        <v>5</v>
      </c>
      <c r="H438">
        <v>3</v>
      </c>
      <c r="I438">
        <v>34</v>
      </c>
      <c r="J438" s="6"/>
      <c r="K438" s="122">
        <v>45447</v>
      </c>
      <c r="L438" t="s">
        <v>738</v>
      </c>
      <c r="M438">
        <v>5.5</v>
      </c>
    </row>
    <row r="439" spans="1:13" hidden="1" x14ac:dyDescent="0.35">
      <c r="A439" t="s">
        <v>24</v>
      </c>
      <c r="D439" t="s">
        <v>337</v>
      </c>
      <c r="F439">
        <v>2</v>
      </c>
      <c r="G439">
        <v>5</v>
      </c>
      <c r="H439">
        <v>3</v>
      </c>
      <c r="I439">
        <v>34</v>
      </c>
      <c r="J439" s="6"/>
      <c r="K439" s="122">
        <v>45447</v>
      </c>
      <c r="L439" t="s">
        <v>739</v>
      </c>
      <c r="M439">
        <v>5.6</v>
      </c>
    </row>
    <row r="440" spans="1:13" hidden="1" x14ac:dyDescent="0.35">
      <c r="A440" t="s">
        <v>24</v>
      </c>
      <c r="D440" t="s">
        <v>337</v>
      </c>
      <c r="F440">
        <v>2</v>
      </c>
      <c r="G440">
        <v>5</v>
      </c>
      <c r="H440">
        <v>3</v>
      </c>
      <c r="I440">
        <v>34</v>
      </c>
      <c r="J440" s="6"/>
      <c r="K440" s="122">
        <v>45462</v>
      </c>
      <c r="L440" t="s">
        <v>737</v>
      </c>
      <c r="M440">
        <v>5.4</v>
      </c>
    </row>
    <row r="441" spans="1:13" hidden="1" x14ac:dyDescent="0.35">
      <c r="A441" t="s">
        <v>24</v>
      </c>
      <c r="D441" t="s">
        <v>337</v>
      </c>
      <c r="F441">
        <v>2</v>
      </c>
      <c r="G441">
        <v>5</v>
      </c>
      <c r="H441">
        <v>3</v>
      </c>
      <c r="I441">
        <v>34</v>
      </c>
      <c r="J441" s="6"/>
      <c r="K441" s="122">
        <v>45462</v>
      </c>
      <c r="L441" t="s">
        <v>738</v>
      </c>
      <c r="M441">
        <v>5.3</v>
      </c>
    </row>
    <row r="442" spans="1:13" hidden="1" x14ac:dyDescent="0.35">
      <c r="A442" t="s">
        <v>24</v>
      </c>
      <c r="D442" t="s">
        <v>337</v>
      </c>
      <c r="F442">
        <v>2</v>
      </c>
      <c r="G442">
        <v>5</v>
      </c>
      <c r="H442">
        <v>3</v>
      </c>
      <c r="I442">
        <v>34</v>
      </c>
      <c r="J442" s="6"/>
      <c r="K442" s="122">
        <v>45462</v>
      </c>
      <c r="L442" t="s">
        <v>739</v>
      </c>
      <c r="M442">
        <v>5.6</v>
      </c>
    </row>
    <row r="443" spans="1:13" hidden="1" x14ac:dyDescent="0.35">
      <c r="A443" t="s">
        <v>24</v>
      </c>
      <c r="D443" t="s">
        <v>337</v>
      </c>
      <c r="F443">
        <v>2</v>
      </c>
      <c r="G443">
        <v>5</v>
      </c>
      <c r="H443">
        <v>3</v>
      </c>
      <c r="I443">
        <v>34</v>
      </c>
      <c r="J443" s="6"/>
      <c r="K443" s="122">
        <v>45477</v>
      </c>
      <c r="L443" t="s">
        <v>737</v>
      </c>
    </row>
    <row r="444" spans="1:13" hidden="1" x14ac:dyDescent="0.35">
      <c r="A444" t="s">
        <v>24</v>
      </c>
      <c r="D444" t="s">
        <v>337</v>
      </c>
      <c r="F444">
        <v>2</v>
      </c>
      <c r="G444">
        <v>5</v>
      </c>
      <c r="H444">
        <v>3</v>
      </c>
      <c r="I444">
        <v>34</v>
      </c>
      <c r="J444" s="6"/>
      <c r="K444" s="122">
        <v>45477</v>
      </c>
      <c r="L444" t="s">
        <v>738</v>
      </c>
    </row>
    <row r="445" spans="1:13" hidden="1" x14ac:dyDescent="0.35">
      <c r="A445" t="s">
        <v>24</v>
      </c>
      <c r="D445" t="s">
        <v>337</v>
      </c>
      <c r="F445">
        <v>2</v>
      </c>
      <c r="G445">
        <v>5</v>
      </c>
      <c r="H445">
        <v>3</v>
      </c>
      <c r="I445">
        <v>34</v>
      </c>
      <c r="J445" s="6"/>
      <c r="K445" s="122">
        <v>45477</v>
      </c>
      <c r="L445" t="s">
        <v>739</v>
      </c>
    </row>
    <row r="446" spans="1:13" hidden="1" x14ac:dyDescent="0.35">
      <c r="A446" t="s">
        <v>24</v>
      </c>
      <c r="D446" t="s">
        <v>337</v>
      </c>
      <c r="F446">
        <v>2</v>
      </c>
      <c r="G446">
        <v>5</v>
      </c>
      <c r="H446">
        <v>3</v>
      </c>
      <c r="I446">
        <v>34</v>
      </c>
      <c r="J446" s="6"/>
      <c r="K446" s="122">
        <v>45485</v>
      </c>
      <c r="L446" t="s">
        <v>737</v>
      </c>
    </row>
    <row r="447" spans="1:13" hidden="1" x14ac:dyDescent="0.35">
      <c r="A447" t="s">
        <v>24</v>
      </c>
      <c r="D447" t="s">
        <v>337</v>
      </c>
      <c r="F447">
        <v>2</v>
      </c>
      <c r="G447">
        <v>5</v>
      </c>
      <c r="H447">
        <v>3</v>
      </c>
      <c r="I447">
        <v>34</v>
      </c>
      <c r="J447" s="6"/>
      <c r="K447" s="122">
        <v>45485</v>
      </c>
      <c r="L447" t="s">
        <v>738</v>
      </c>
    </row>
    <row r="448" spans="1:13" hidden="1" x14ac:dyDescent="0.35">
      <c r="A448" t="s">
        <v>24</v>
      </c>
      <c r="D448" t="s">
        <v>337</v>
      </c>
      <c r="F448">
        <v>2</v>
      </c>
      <c r="G448">
        <v>5</v>
      </c>
      <c r="H448">
        <v>3</v>
      </c>
      <c r="I448">
        <v>34</v>
      </c>
      <c r="J448" s="6"/>
      <c r="K448" s="122">
        <v>45485</v>
      </c>
      <c r="L448" t="s">
        <v>739</v>
      </c>
    </row>
    <row r="449" spans="1:13" hidden="1" x14ac:dyDescent="0.35">
      <c r="A449" t="s">
        <v>24</v>
      </c>
      <c r="D449" t="s">
        <v>337</v>
      </c>
      <c r="F449">
        <v>2</v>
      </c>
      <c r="G449">
        <v>5</v>
      </c>
      <c r="H449">
        <v>3</v>
      </c>
      <c r="I449">
        <v>34</v>
      </c>
      <c r="J449" s="6"/>
      <c r="K449" s="122">
        <v>45492</v>
      </c>
      <c r="L449" t="s">
        <v>737</v>
      </c>
      <c r="M449">
        <v>7.2</v>
      </c>
    </row>
    <row r="450" spans="1:13" hidden="1" x14ac:dyDescent="0.35">
      <c r="A450" t="s">
        <v>24</v>
      </c>
      <c r="D450" t="s">
        <v>337</v>
      </c>
      <c r="F450">
        <v>2</v>
      </c>
      <c r="G450">
        <v>5</v>
      </c>
      <c r="H450">
        <v>3</v>
      </c>
      <c r="I450">
        <v>34</v>
      </c>
      <c r="J450" s="6"/>
      <c r="K450" s="122">
        <v>45492</v>
      </c>
      <c r="L450" t="s">
        <v>738</v>
      </c>
      <c r="M450">
        <v>7.2</v>
      </c>
    </row>
    <row r="451" spans="1:13" hidden="1" x14ac:dyDescent="0.35">
      <c r="A451" t="s">
        <v>24</v>
      </c>
      <c r="D451" t="s">
        <v>337</v>
      </c>
      <c r="F451">
        <v>2</v>
      </c>
      <c r="G451">
        <v>5</v>
      </c>
      <c r="H451">
        <v>3</v>
      </c>
      <c r="I451">
        <v>34</v>
      </c>
      <c r="J451" s="6"/>
      <c r="K451" s="122">
        <v>45492</v>
      </c>
      <c r="L451" t="s">
        <v>739</v>
      </c>
      <c r="M451">
        <v>7.3</v>
      </c>
    </row>
    <row r="452" spans="1:13" hidden="1" x14ac:dyDescent="0.35">
      <c r="A452" t="s">
        <v>24</v>
      </c>
      <c r="D452" t="s">
        <v>337</v>
      </c>
      <c r="F452">
        <v>2</v>
      </c>
      <c r="G452">
        <v>5</v>
      </c>
      <c r="H452">
        <v>3</v>
      </c>
      <c r="I452">
        <v>34</v>
      </c>
      <c r="J452" s="6"/>
      <c r="K452" s="122">
        <v>45509</v>
      </c>
      <c r="L452" t="s">
        <v>737</v>
      </c>
      <c r="M452">
        <v>8.1999999999999993</v>
      </c>
    </row>
    <row r="453" spans="1:13" hidden="1" x14ac:dyDescent="0.35">
      <c r="A453" t="s">
        <v>24</v>
      </c>
      <c r="D453" t="s">
        <v>337</v>
      </c>
      <c r="F453">
        <v>2</v>
      </c>
      <c r="G453">
        <v>5</v>
      </c>
      <c r="H453">
        <v>3</v>
      </c>
      <c r="I453">
        <v>34</v>
      </c>
      <c r="J453" s="6"/>
      <c r="K453" s="122">
        <v>45509</v>
      </c>
      <c r="L453" t="s">
        <v>738</v>
      </c>
      <c r="M453">
        <v>8.3000000000000007</v>
      </c>
    </row>
    <row r="454" spans="1:13" hidden="1" x14ac:dyDescent="0.35">
      <c r="A454" t="s">
        <v>24</v>
      </c>
      <c r="D454" t="s">
        <v>337</v>
      </c>
      <c r="F454">
        <v>2</v>
      </c>
      <c r="G454">
        <v>5</v>
      </c>
      <c r="H454">
        <v>3</v>
      </c>
      <c r="I454">
        <v>34</v>
      </c>
      <c r="J454" s="6"/>
      <c r="K454" s="122">
        <v>45509</v>
      </c>
      <c r="L454" t="s">
        <v>739</v>
      </c>
      <c r="M454">
        <v>8.4</v>
      </c>
    </row>
    <row r="455" spans="1:13" hidden="1" x14ac:dyDescent="0.35">
      <c r="A455" t="s">
        <v>24</v>
      </c>
      <c r="D455" t="s">
        <v>337</v>
      </c>
      <c r="F455">
        <v>2</v>
      </c>
      <c r="G455">
        <v>5</v>
      </c>
      <c r="H455">
        <v>3</v>
      </c>
      <c r="I455">
        <v>34</v>
      </c>
      <c r="J455" s="6"/>
      <c r="K455" s="122">
        <v>45519</v>
      </c>
      <c r="L455" t="s">
        <v>737</v>
      </c>
      <c r="M455">
        <v>8.8000000000000007</v>
      </c>
    </row>
    <row r="456" spans="1:13" hidden="1" x14ac:dyDescent="0.35">
      <c r="A456" t="s">
        <v>24</v>
      </c>
      <c r="D456" t="s">
        <v>337</v>
      </c>
      <c r="F456">
        <v>2</v>
      </c>
      <c r="G456">
        <v>5</v>
      </c>
      <c r="H456">
        <v>3</v>
      </c>
      <c r="I456">
        <v>34</v>
      </c>
      <c r="J456" s="6"/>
      <c r="K456" s="122">
        <v>45519</v>
      </c>
      <c r="L456" t="s">
        <v>738</v>
      </c>
      <c r="M456">
        <v>9.1</v>
      </c>
    </row>
    <row r="457" spans="1:13" hidden="1" x14ac:dyDescent="0.35">
      <c r="A457" t="s">
        <v>24</v>
      </c>
      <c r="D457" t="s">
        <v>337</v>
      </c>
      <c r="F457">
        <v>2</v>
      </c>
      <c r="G457">
        <v>5</v>
      </c>
      <c r="H457">
        <v>3</v>
      </c>
      <c r="I457">
        <v>34</v>
      </c>
      <c r="J457" s="6"/>
      <c r="K457" s="122">
        <v>45519</v>
      </c>
      <c r="L457" t="s">
        <v>739</v>
      </c>
      <c r="M457">
        <v>8.8000000000000007</v>
      </c>
    </row>
    <row r="458" spans="1:13" hidden="1" x14ac:dyDescent="0.35">
      <c r="A458" t="s">
        <v>24</v>
      </c>
      <c r="D458" t="s">
        <v>337</v>
      </c>
      <c r="F458">
        <v>2</v>
      </c>
      <c r="G458">
        <v>5</v>
      </c>
      <c r="H458">
        <v>3</v>
      </c>
      <c r="I458">
        <v>34</v>
      </c>
      <c r="J458" s="6"/>
      <c r="K458" s="122">
        <v>45530</v>
      </c>
      <c r="L458" t="s">
        <v>737</v>
      </c>
      <c r="M458">
        <v>10.3</v>
      </c>
    </row>
    <row r="459" spans="1:13" hidden="1" x14ac:dyDescent="0.35">
      <c r="A459" t="s">
        <v>24</v>
      </c>
      <c r="D459" t="s">
        <v>337</v>
      </c>
      <c r="F459">
        <v>2</v>
      </c>
      <c r="G459">
        <v>5</v>
      </c>
      <c r="H459">
        <v>3</v>
      </c>
      <c r="I459">
        <v>34</v>
      </c>
      <c r="J459" s="6"/>
      <c r="K459" s="122">
        <v>45530</v>
      </c>
      <c r="L459" t="s">
        <v>738</v>
      </c>
      <c r="M459">
        <v>10.5</v>
      </c>
    </row>
    <row r="460" spans="1:13" hidden="1" x14ac:dyDescent="0.35">
      <c r="A460" t="s">
        <v>24</v>
      </c>
      <c r="D460" t="s">
        <v>337</v>
      </c>
      <c r="F460">
        <v>2</v>
      </c>
      <c r="G460">
        <v>5</v>
      </c>
      <c r="H460">
        <v>3</v>
      </c>
      <c r="I460">
        <v>34</v>
      </c>
      <c r="J460" s="6"/>
      <c r="K460" s="122">
        <v>45530</v>
      </c>
      <c r="L460" t="s">
        <v>739</v>
      </c>
      <c r="M460">
        <v>10.5</v>
      </c>
    </row>
    <row r="461" spans="1:13" hidden="1" x14ac:dyDescent="0.35">
      <c r="A461" t="s">
        <v>24</v>
      </c>
      <c r="D461" t="s">
        <v>337</v>
      </c>
      <c r="F461">
        <v>2</v>
      </c>
      <c r="G461">
        <v>5</v>
      </c>
      <c r="H461">
        <v>3</v>
      </c>
      <c r="I461">
        <v>34</v>
      </c>
      <c r="J461" s="6"/>
      <c r="K461" s="122">
        <v>45538</v>
      </c>
      <c r="L461" t="s">
        <v>737</v>
      </c>
      <c r="M461">
        <v>11.1</v>
      </c>
    </row>
    <row r="462" spans="1:13" hidden="1" x14ac:dyDescent="0.35">
      <c r="A462" t="s">
        <v>24</v>
      </c>
      <c r="D462" t="s">
        <v>337</v>
      </c>
      <c r="F462">
        <v>2</v>
      </c>
      <c r="G462">
        <v>5</v>
      </c>
      <c r="H462">
        <v>3</v>
      </c>
      <c r="I462">
        <v>34</v>
      </c>
      <c r="J462" s="6"/>
      <c r="K462" s="122">
        <v>45538</v>
      </c>
      <c r="L462" t="s">
        <v>738</v>
      </c>
      <c r="M462">
        <v>11.1</v>
      </c>
    </row>
    <row r="463" spans="1:13" hidden="1" x14ac:dyDescent="0.35">
      <c r="A463" t="s">
        <v>24</v>
      </c>
      <c r="D463" t="s">
        <v>337</v>
      </c>
      <c r="F463">
        <v>2</v>
      </c>
      <c r="G463">
        <v>5</v>
      </c>
      <c r="H463">
        <v>3</v>
      </c>
      <c r="I463">
        <v>34</v>
      </c>
      <c r="J463" s="6"/>
      <c r="K463" s="122">
        <v>45538</v>
      </c>
      <c r="L463" t="s">
        <v>739</v>
      </c>
      <c r="M463">
        <v>11.2</v>
      </c>
    </row>
    <row r="464" spans="1:13" hidden="1" x14ac:dyDescent="0.35">
      <c r="A464" t="s">
        <v>24</v>
      </c>
      <c r="D464" t="s">
        <v>337</v>
      </c>
      <c r="F464">
        <v>2</v>
      </c>
      <c r="G464">
        <v>5</v>
      </c>
      <c r="H464">
        <v>3</v>
      </c>
      <c r="I464">
        <v>34</v>
      </c>
      <c r="J464" s="6"/>
      <c r="K464" s="122">
        <v>45547</v>
      </c>
      <c r="L464" t="s">
        <v>737</v>
      </c>
      <c r="M464">
        <v>11.8</v>
      </c>
    </row>
    <row r="465" spans="1:13" hidden="1" x14ac:dyDescent="0.35">
      <c r="A465" t="s">
        <v>24</v>
      </c>
      <c r="D465" t="s">
        <v>337</v>
      </c>
      <c r="F465">
        <v>2</v>
      </c>
      <c r="G465">
        <v>5</v>
      </c>
      <c r="H465">
        <v>3</v>
      </c>
      <c r="I465">
        <v>34</v>
      </c>
      <c r="J465" s="6"/>
      <c r="K465" s="122">
        <v>45547</v>
      </c>
      <c r="L465" t="s">
        <v>738</v>
      </c>
      <c r="M465">
        <v>11.9</v>
      </c>
    </row>
    <row r="466" spans="1:13" hidden="1" x14ac:dyDescent="0.35">
      <c r="A466" t="s">
        <v>24</v>
      </c>
      <c r="D466" t="s">
        <v>337</v>
      </c>
      <c r="F466">
        <v>2</v>
      </c>
      <c r="G466">
        <v>5</v>
      </c>
      <c r="H466">
        <v>3</v>
      </c>
      <c r="I466">
        <v>34</v>
      </c>
      <c r="J466" s="6"/>
      <c r="K466" s="122">
        <v>45547</v>
      </c>
      <c r="L466" t="s">
        <v>739</v>
      </c>
      <c r="M466">
        <v>11.8</v>
      </c>
    </row>
    <row r="467" spans="1:13" hidden="1" x14ac:dyDescent="0.35">
      <c r="A467" t="s">
        <v>24</v>
      </c>
      <c r="D467" t="s">
        <v>337</v>
      </c>
      <c r="F467">
        <v>2</v>
      </c>
      <c r="G467">
        <v>5</v>
      </c>
      <c r="H467">
        <v>3</v>
      </c>
      <c r="I467">
        <v>34</v>
      </c>
      <c r="J467" s="6"/>
      <c r="K467" s="122">
        <v>45555</v>
      </c>
      <c r="L467" t="s">
        <v>737</v>
      </c>
      <c r="M467">
        <v>12</v>
      </c>
    </row>
    <row r="468" spans="1:13" hidden="1" x14ac:dyDescent="0.35">
      <c r="A468" t="s">
        <v>24</v>
      </c>
      <c r="D468" t="s">
        <v>337</v>
      </c>
      <c r="F468">
        <v>2</v>
      </c>
      <c r="G468">
        <v>5</v>
      </c>
      <c r="H468">
        <v>3</v>
      </c>
      <c r="I468">
        <v>34</v>
      </c>
      <c r="J468" s="6"/>
      <c r="K468" s="122">
        <v>45555</v>
      </c>
      <c r="L468" t="s">
        <v>738</v>
      </c>
      <c r="M468">
        <v>12</v>
      </c>
    </row>
    <row r="469" spans="1:13" hidden="1" x14ac:dyDescent="0.35">
      <c r="A469" t="s">
        <v>24</v>
      </c>
      <c r="D469" t="s">
        <v>337</v>
      </c>
      <c r="F469">
        <v>2</v>
      </c>
      <c r="G469">
        <v>5</v>
      </c>
      <c r="H469">
        <v>3</v>
      </c>
      <c r="I469">
        <v>34</v>
      </c>
      <c r="J469" s="6"/>
      <c r="K469" s="122">
        <v>45555</v>
      </c>
      <c r="L469" t="s">
        <v>739</v>
      </c>
      <c r="M469">
        <v>12</v>
      </c>
    </row>
    <row r="470" spans="1:13" hidden="1" x14ac:dyDescent="0.35">
      <c r="A470" t="s">
        <v>34</v>
      </c>
      <c r="D470" t="s">
        <v>36</v>
      </c>
      <c r="F470">
        <v>2</v>
      </c>
      <c r="G470">
        <v>6</v>
      </c>
      <c r="H470">
        <v>3</v>
      </c>
      <c r="I470">
        <v>42</v>
      </c>
      <c r="J470" s="6"/>
      <c r="K470" s="122">
        <v>45442</v>
      </c>
      <c r="L470" t="s">
        <v>737</v>
      </c>
    </row>
    <row r="471" spans="1:13" hidden="1" x14ac:dyDescent="0.35">
      <c r="A471" t="s">
        <v>34</v>
      </c>
      <c r="D471" t="s">
        <v>36</v>
      </c>
      <c r="F471">
        <v>2</v>
      </c>
      <c r="G471">
        <v>6</v>
      </c>
      <c r="H471">
        <v>3</v>
      </c>
      <c r="I471">
        <v>42</v>
      </c>
      <c r="J471" s="6"/>
      <c r="K471" s="122">
        <v>45442</v>
      </c>
      <c r="L471" t="s">
        <v>738</v>
      </c>
    </row>
    <row r="472" spans="1:13" hidden="1" x14ac:dyDescent="0.35">
      <c r="A472" t="s">
        <v>34</v>
      </c>
      <c r="D472" t="s">
        <v>36</v>
      </c>
      <c r="F472">
        <v>2</v>
      </c>
      <c r="G472">
        <v>6</v>
      </c>
      <c r="H472">
        <v>3</v>
      </c>
      <c r="I472">
        <v>42</v>
      </c>
      <c r="J472" s="6"/>
      <c r="K472" s="122">
        <v>45442</v>
      </c>
      <c r="L472" t="s">
        <v>739</v>
      </c>
    </row>
    <row r="473" spans="1:13" hidden="1" x14ac:dyDescent="0.35">
      <c r="A473" t="s">
        <v>34</v>
      </c>
      <c r="D473" t="s">
        <v>36</v>
      </c>
      <c r="F473">
        <v>2</v>
      </c>
      <c r="G473">
        <v>6</v>
      </c>
      <c r="H473">
        <v>3</v>
      </c>
      <c r="I473">
        <v>42</v>
      </c>
      <c r="J473" s="6"/>
      <c r="K473" s="122">
        <v>45447</v>
      </c>
      <c r="L473" t="s">
        <v>737</v>
      </c>
      <c r="M473">
        <v>1.8</v>
      </c>
    </row>
    <row r="474" spans="1:13" hidden="1" x14ac:dyDescent="0.35">
      <c r="A474" t="s">
        <v>34</v>
      </c>
      <c r="B474" s="71"/>
      <c r="C474" s="72"/>
      <c r="D474" t="s">
        <v>36</v>
      </c>
      <c r="E474" s="71"/>
      <c r="F474">
        <v>2</v>
      </c>
      <c r="G474">
        <v>6</v>
      </c>
      <c r="H474">
        <v>3</v>
      </c>
      <c r="I474">
        <v>42</v>
      </c>
      <c r="J474" s="6"/>
      <c r="K474" s="122">
        <v>45447</v>
      </c>
      <c r="L474" t="s">
        <v>738</v>
      </c>
      <c r="M474">
        <v>1.7</v>
      </c>
    </row>
    <row r="475" spans="1:13" hidden="1" x14ac:dyDescent="0.35">
      <c r="A475" t="s">
        <v>34</v>
      </c>
      <c r="D475" t="s">
        <v>36</v>
      </c>
      <c r="F475">
        <v>2</v>
      </c>
      <c r="G475">
        <v>6</v>
      </c>
      <c r="H475">
        <v>3</v>
      </c>
      <c r="I475">
        <v>42</v>
      </c>
      <c r="J475" s="6"/>
      <c r="K475" s="122">
        <v>45447</v>
      </c>
      <c r="L475" t="s">
        <v>739</v>
      </c>
      <c r="M475">
        <v>1.8</v>
      </c>
    </row>
    <row r="476" spans="1:13" hidden="1" x14ac:dyDescent="0.35">
      <c r="A476" t="s">
        <v>34</v>
      </c>
      <c r="D476" t="s">
        <v>36</v>
      </c>
      <c r="F476">
        <v>2</v>
      </c>
      <c r="G476">
        <v>6</v>
      </c>
      <c r="H476">
        <v>3</v>
      </c>
      <c r="I476">
        <v>42</v>
      </c>
      <c r="J476" s="6"/>
      <c r="K476" s="122">
        <v>45462</v>
      </c>
      <c r="L476" t="s">
        <v>737</v>
      </c>
      <c r="M476">
        <v>3.2</v>
      </c>
    </row>
    <row r="477" spans="1:13" hidden="1" x14ac:dyDescent="0.35">
      <c r="A477" t="s">
        <v>34</v>
      </c>
      <c r="D477" t="s">
        <v>36</v>
      </c>
      <c r="F477">
        <v>2</v>
      </c>
      <c r="G477">
        <v>6</v>
      </c>
      <c r="H477">
        <v>3</v>
      </c>
      <c r="I477">
        <v>42</v>
      </c>
      <c r="J477" s="6"/>
      <c r="K477" s="122">
        <v>45462</v>
      </c>
      <c r="L477" t="s">
        <v>738</v>
      </c>
      <c r="M477">
        <v>3.2</v>
      </c>
    </row>
    <row r="478" spans="1:13" hidden="1" x14ac:dyDescent="0.35">
      <c r="A478" t="s">
        <v>34</v>
      </c>
      <c r="D478" t="s">
        <v>36</v>
      </c>
      <c r="F478">
        <v>2</v>
      </c>
      <c r="G478">
        <v>6</v>
      </c>
      <c r="H478">
        <v>3</v>
      </c>
      <c r="I478">
        <v>42</v>
      </c>
      <c r="J478" s="6"/>
      <c r="K478" s="122">
        <v>45462</v>
      </c>
      <c r="L478" t="s">
        <v>739</v>
      </c>
      <c r="M478">
        <v>3.2</v>
      </c>
    </row>
    <row r="479" spans="1:13" hidden="1" x14ac:dyDescent="0.35">
      <c r="A479" t="s">
        <v>34</v>
      </c>
      <c r="D479" t="s">
        <v>36</v>
      </c>
      <c r="F479">
        <v>2</v>
      </c>
      <c r="G479">
        <v>6</v>
      </c>
      <c r="H479">
        <v>3</v>
      </c>
      <c r="I479">
        <v>42</v>
      </c>
      <c r="J479" s="6"/>
      <c r="K479" s="122">
        <v>45477</v>
      </c>
      <c r="L479" t="s">
        <v>737</v>
      </c>
      <c r="M479">
        <v>4.8</v>
      </c>
    </row>
    <row r="480" spans="1:13" hidden="1" x14ac:dyDescent="0.35">
      <c r="A480" t="s">
        <v>34</v>
      </c>
      <c r="D480" t="s">
        <v>36</v>
      </c>
      <c r="F480">
        <v>2</v>
      </c>
      <c r="G480">
        <v>6</v>
      </c>
      <c r="H480">
        <v>3</v>
      </c>
      <c r="I480">
        <v>42</v>
      </c>
      <c r="J480" s="6"/>
      <c r="K480" s="122">
        <v>45477</v>
      </c>
      <c r="L480" t="s">
        <v>738</v>
      </c>
      <c r="M480">
        <v>4.7</v>
      </c>
    </row>
    <row r="481" spans="1:13" hidden="1" x14ac:dyDescent="0.35">
      <c r="A481" t="s">
        <v>34</v>
      </c>
      <c r="D481" t="s">
        <v>36</v>
      </c>
      <c r="F481">
        <v>2</v>
      </c>
      <c r="G481">
        <v>6</v>
      </c>
      <c r="H481">
        <v>3</v>
      </c>
      <c r="I481">
        <v>42</v>
      </c>
      <c r="J481" s="6"/>
      <c r="K481" s="122">
        <v>45477</v>
      </c>
      <c r="L481" t="s">
        <v>739</v>
      </c>
      <c r="M481">
        <v>4.8</v>
      </c>
    </row>
    <row r="482" spans="1:13" hidden="1" x14ac:dyDescent="0.35">
      <c r="A482" t="s">
        <v>34</v>
      </c>
      <c r="D482" t="s">
        <v>36</v>
      </c>
      <c r="F482">
        <v>2</v>
      </c>
      <c r="G482">
        <v>6</v>
      </c>
      <c r="H482">
        <v>3</v>
      </c>
      <c r="I482">
        <v>42</v>
      </c>
      <c r="J482" s="6"/>
      <c r="K482" s="122">
        <v>45485</v>
      </c>
      <c r="L482" t="s">
        <v>737</v>
      </c>
    </row>
    <row r="483" spans="1:13" hidden="1" x14ac:dyDescent="0.35">
      <c r="A483" t="s">
        <v>34</v>
      </c>
      <c r="D483" t="s">
        <v>36</v>
      </c>
      <c r="F483">
        <v>2</v>
      </c>
      <c r="G483">
        <v>6</v>
      </c>
      <c r="H483">
        <v>3</v>
      </c>
      <c r="I483">
        <v>42</v>
      </c>
      <c r="J483" s="6"/>
      <c r="K483" s="122">
        <v>45485</v>
      </c>
      <c r="L483" t="s">
        <v>738</v>
      </c>
    </row>
    <row r="484" spans="1:13" hidden="1" x14ac:dyDescent="0.35">
      <c r="A484" t="s">
        <v>34</v>
      </c>
      <c r="D484" t="s">
        <v>36</v>
      </c>
      <c r="F484">
        <v>2</v>
      </c>
      <c r="G484">
        <v>6</v>
      </c>
      <c r="H484">
        <v>3</v>
      </c>
      <c r="I484">
        <v>42</v>
      </c>
      <c r="J484" s="6"/>
      <c r="K484" s="122">
        <v>45485</v>
      </c>
      <c r="L484" t="s">
        <v>739</v>
      </c>
    </row>
    <row r="485" spans="1:13" hidden="1" x14ac:dyDescent="0.35">
      <c r="A485" t="s">
        <v>34</v>
      </c>
      <c r="D485" t="s">
        <v>36</v>
      </c>
      <c r="F485">
        <v>2</v>
      </c>
      <c r="G485">
        <v>6</v>
      </c>
      <c r="H485">
        <v>3</v>
      </c>
      <c r="I485">
        <v>42</v>
      </c>
      <c r="J485" s="6"/>
      <c r="K485" s="122">
        <v>45492</v>
      </c>
      <c r="L485" t="s">
        <v>737</v>
      </c>
      <c r="M485">
        <v>6.1</v>
      </c>
    </row>
    <row r="486" spans="1:13" hidden="1" x14ac:dyDescent="0.35">
      <c r="A486" t="s">
        <v>34</v>
      </c>
      <c r="D486" t="s">
        <v>36</v>
      </c>
      <c r="F486">
        <v>2</v>
      </c>
      <c r="G486">
        <v>6</v>
      </c>
      <c r="H486">
        <v>3</v>
      </c>
      <c r="I486">
        <v>42</v>
      </c>
      <c r="J486" s="6"/>
      <c r="K486" s="122">
        <v>45492</v>
      </c>
      <c r="L486" t="s">
        <v>738</v>
      </c>
      <c r="M486">
        <v>6.2</v>
      </c>
    </row>
    <row r="487" spans="1:13" hidden="1" x14ac:dyDescent="0.35">
      <c r="A487" t="s">
        <v>34</v>
      </c>
      <c r="D487" t="s">
        <v>36</v>
      </c>
      <c r="F487">
        <v>2</v>
      </c>
      <c r="G487">
        <v>6</v>
      </c>
      <c r="H487">
        <v>3</v>
      </c>
      <c r="I487">
        <v>42</v>
      </c>
      <c r="J487" s="6"/>
      <c r="K487" s="122">
        <v>45492</v>
      </c>
      <c r="L487" t="s">
        <v>739</v>
      </c>
      <c r="M487">
        <v>6.3</v>
      </c>
    </row>
    <row r="488" spans="1:13" hidden="1" x14ac:dyDescent="0.35">
      <c r="A488" t="s">
        <v>34</v>
      </c>
      <c r="D488" t="s">
        <v>36</v>
      </c>
      <c r="F488">
        <v>2</v>
      </c>
      <c r="G488">
        <v>6</v>
      </c>
      <c r="H488">
        <v>3</v>
      </c>
      <c r="I488">
        <v>42</v>
      </c>
      <c r="J488" s="6"/>
      <c r="K488" s="122">
        <v>45509</v>
      </c>
      <c r="L488" t="s">
        <v>737</v>
      </c>
      <c r="M488">
        <v>7.6</v>
      </c>
    </row>
    <row r="489" spans="1:13" hidden="1" x14ac:dyDescent="0.35">
      <c r="A489" t="s">
        <v>34</v>
      </c>
      <c r="D489" t="s">
        <v>36</v>
      </c>
      <c r="F489">
        <v>2</v>
      </c>
      <c r="G489">
        <v>6</v>
      </c>
      <c r="H489">
        <v>3</v>
      </c>
      <c r="I489">
        <v>42</v>
      </c>
      <c r="J489" s="6"/>
      <c r="K489" s="122">
        <v>45509</v>
      </c>
      <c r="L489" t="s">
        <v>738</v>
      </c>
      <c r="M489">
        <v>7.6</v>
      </c>
    </row>
    <row r="490" spans="1:13" hidden="1" x14ac:dyDescent="0.35">
      <c r="A490" t="s">
        <v>34</v>
      </c>
      <c r="D490" t="s">
        <v>36</v>
      </c>
      <c r="F490">
        <v>2</v>
      </c>
      <c r="G490">
        <v>6</v>
      </c>
      <c r="H490">
        <v>3</v>
      </c>
      <c r="I490">
        <v>42</v>
      </c>
      <c r="J490" s="6"/>
      <c r="K490" s="122">
        <v>45509</v>
      </c>
      <c r="L490" t="s">
        <v>739</v>
      </c>
      <c r="M490">
        <v>7.3</v>
      </c>
    </row>
    <row r="491" spans="1:13" hidden="1" x14ac:dyDescent="0.35">
      <c r="A491" t="s">
        <v>34</v>
      </c>
      <c r="D491" t="s">
        <v>36</v>
      </c>
      <c r="F491">
        <v>2</v>
      </c>
      <c r="G491">
        <v>6</v>
      </c>
      <c r="H491">
        <v>3</v>
      </c>
      <c r="I491">
        <v>42</v>
      </c>
      <c r="J491" s="6"/>
      <c r="K491" s="122">
        <v>45519</v>
      </c>
      <c r="L491" t="s">
        <v>737</v>
      </c>
      <c r="M491">
        <v>8.5</v>
      </c>
    </row>
    <row r="492" spans="1:13" hidden="1" x14ac:dyDescent="0.35">
      <c r="A492" t="s">
        <v>34</v>
      </c>
      <c r="D492" t="s">
        <v>36</v>
      </c>
      <c r="F492">
        <v>2</v>
      </c>
      <c r="G492">
        <v>6</v>
      </c>
      <c r="H492">
        <v>3</v>
      </c>
      <c r="I492">
        <v>42</v>
      </c>
      <c r="J492" s="6"/>
      <c r="K492" s="122">
        <v>45519</v>
      </c>
      <c r="L492" t="s">
        <v>738</v>
      </c>
      <c r="M492">
        <v>8.4</v>
      </c>
    </row>
    <row r="493" spans="1:13" hidden="1" x14ac:dyDescent="0.35">
      <c r="A493" t="s">
        <v>34</v>
      </c>
      <c r="D493" t="s">
        <v>36</v>
      </c>
      <c r="F493">
        <v>2</v>
      </c>
      <c r="G493">
        <v>6</v>
      </c>
      <c r="H493">
        <v>3</v>
      </c>
      <c r="I493">
        <v>42</v>
      </c>
      <c r="J493" s="6"/>
      <c r="K493" s="122">
        <v>45519</v>
      </c>
      <c r="L493" t="s">
        <v>739</v>
      </c>
      <c r="M493">
        <v>8.4</v>
      </c>
    </row>
    <row r="494" spans="1:13" hidden="1" x14ac:dyDescent="0.35">
      <c r="A494" t="s">
        <v>34</v>
      </c>
      <c r="D494" t="s">
        <v>36</v>
      </c>
      <c r="F494">
        <v>2</v>
      </c>
      <c r="G494">
        <v>6</v>
      </c>
      <c r="H494">
        <v>3</v>
      </c>
      <c r="I494">
        <v>42</v>
      </c>
      <c r="J494" s="6"/>
      <c r="K494" s="122">
        <v>45530</v>
      </c>
      <c r="L494" t="s">
        <v>737</v>
      </c>
      <c r="M494">
        <v>9.6</v>
      </c>
    </row>
    <row r="495" spans="1:13" hidden="1" x14ac:dyDescent="0.35">
      <c r="A495" t="s">
        <v>34</v>
      </c>
      <c r="D495" t="s">
        <v>36</v>
      </c>
      <c r="F495">
        <v>2</v>
      </c>
      <c r="G495">
        <v>6</v>
      </c>
      <c r="H495">
        <v>3</v>
      </c>
      <c r="I495">
        <v>42</v>
      </c>
      <c r="J495" s="6"/>
      <c r="K495" s="122">
        <v>45530</v>
      </c>
      <c r="L495" t="s">
        <v>738</v>
      </c>
      <c r="M495">
        <v>9.6999999999999993</v>
      </c>
    </row>
    <row r="496" spans="1:13" hidden="1" x14ac:dyDescent="0.35">
      <c r="A496" t="s">
        <v>34</v>
      </c>
      <c r="D496" t="s">
        <v>36</v>
      </c>
      <c r="F496">
        <v>2</v>
      </c>
      <c r="G496">
        <v>6</v>
      </c>
      <c r="H496">
        <v>3</v>
      </c>
      <c r="I496">
        <v>42</v>
      </c>
      <c r="J496" s="6"/>
      <c r="K496" s="122">
        <v>45530</v>
      </c>
      <c r="L496" t="s">
        <v>739</v>
      </c>
      <c r="M496">
        <v>9.6999999999999993</v>
      </c>
    </row>
    <row r="497" spans="1:13" hidden="1" x14ac:dyDescent="0.35">
      <c r="A497" t="s">
        <v>34</v>
      </c>
      <c r="D497" t="s">
        <v>36</v>
      </c>
      <c r="F497">
        <v>2</v>
      </c>
      <c r="G497">
        <v>6</v>
      </c>
      <c r="H497">
        <v>3</v>
      </c>
      <c r="I497">
        <v>42</v>
      </c>
      <c r="J497" s="6"/>
      <c r="K497" s="122">
        <v>45538</v>
      </c>
      <c r="L497" t="s">
        <v>737</v>
      </c>
      <c r="M497">
        <v>10.5</v>
      </c>
    </row>
    <row r="498" spans="1:13" hidden="1" x14ac:dyDescent="0.35">
      <c r="A498" t="s">
        <v>34</v>
      </c>
      <c r="D498" t="s">
        <v>36</v>
      </c>
      <c r="F498">
        <v>2</v>
      </c>
      <c r="G498">
        <v>6</v>
      </c>
      <c r="H498">
        <v>3</v>
      </c>
      <c r="I498">
        <v>42</v>
      </c>
      <c r="J498" s="6"/>
      <c r="K498" s="122">
        <v>45538</v>
      </c>
      <c r="L498" t="s">
        <v>738</v>
      </c>
      <c r="M498">
        <v>10.5</v>
      </c>
    </row>
    <row r="499" spans="1:13" hidden="1" x14ac:dyDescent="0.35">
      <c r="A499" t="s">
        <v>34</v>
      </c>
      <c r="D499" t="s">
        <v>36</v>
      </c>
      <c r="F499">
        <v>2</v>
      </c>
      <c r="G499">
        <v>6</v>
      </c>
      <c r="H499">
        <v>3</v>
      </c>
      <c r="I499">
        <v>42</v>
      </c>
      <c r="J499" s="6"/>
      <c r="K499" s="122">
        <v>45538</v>
      </c>
      <c r="L499" t="s">
        <v>739</v>
      </c>
      <c r="M499">
        <v>10.5</v>
      </c>
    </row>
    <row r="500" spans="1:13" hidden="1" x14ac:dyDescent="0.35">
      <c r="A500" t="s">
        <v>34</v>
      </c>
      <c r="D500" t="s">
        <v>36</v>
      </c>
      <c r="F500">
        <v>2</v>
      </c>
      <c r="G500">
        <v>6</v>
      </c>
      <c r="H500">
        <v>3</v>
      </c>
      <c r="I500">
        <v>42</v>
      </c>
      <c r="J500" s="6"/>
      <c r="K500" s="122">
        <v>45547</v>
      </c>
      <c r="L500" t="s">
        <v>737</v>
      </c>
      <c r="M500">
        <v>11</v>
      </c>
    </row>
    <row r="501" spans="1:13" hidden="1" x14ac:dyDescent="0.35">
      <c r="A501" t="s">
        <v>34</v>
      </c>
      <c r="D501" t="s">
        <v>36</v>
      </c>
      <c r="F501">
        <v>2</v>
      </c>
      <c r="G501">
        <v>6</v>
      </c>
      <c r="H501">
        <v>3</v>
      </c>
      <c r="I501">
        <v>42</v>
      </c>
      <c r="J501" s="6"/>
      <c r="K501" s="122">
        <v>45547</v>
      </c>
      <c r="L501" t="s">
        <v>738</v>
      </c>
      <c r="M501">
        <v>11</v>
      </c>
    </row>
    <row r="502" spans="1:13" hidden="1" x14ac:dyDescent="0.35">
      <c r="A502" t="s">
        <v>34</v>
      </c>
      <c r="D502" t="s">
        <v>36</v>
      </c>
      <c r="F502">
        <v>2</v>
      </c>
      <c r="G502">
        <v>6</v>
      </c>
      <c r="H502">
        <v>3</v>
      </c>
      <c r="I502">
        <v>42</v>
      </c>
      <c r="J502" s="6"/>
      <c r="K502" s="122">
        <v>45547</v>
      </c>
      <c r="L502" t="s">
        <v>739</v>
      </c>
      <c r="M502">
        <v>11</v>
      </c>
    </row>
    <row r="503" spans="1:13" hidden="1" x14ac:dyDescent="0.35">
      <c r="A503" t="s">
        <v>34</v>
      </c>
      <c r="D503" t="s">
        <v>36</v>
      </c>
      <c r="F503">
        <v>2</v>
      </c>
      <c r="G503">
        <v>6</v>
      </c>
      <c r="H503">
        <v>3</v>
      </c>
      <c r="I503">
        <v>42</v>
      </c>
      <c r="J503" s="6"/>
      <c r="K503" s="122">
        <v>45555</v>
      </c>
      <c r="L503" t="s">
        <v>737</v>
      </c>
    </row>
    <row r="504" spans="1:13" hidden="1" x14ac:dyDescent="0.35">
      <c r="A504" t="s">
        <v>34</v>
      </c>
      <c r="D504" t="s">
        <v>36</v>
      </c>
      <c r="F504">
        <v>2</v>
      </c>
      <c r="G504">
        <v>6</v>
      </c>
      <c r="H504">
        <v>3</v>
      </c>
      <c r="I504">
        <v>42</v>
      </c>
      <c r="J504" s="6"/>
      <c r="K504" s="122">
        <v>45555</v>
      </c>
      <c r="L504" t="s">
        <v>738</v>
      </c>
    </row>
    <row r="505" spans="1:13" hidden="1" x14ac:dyDescent="0.35">
      <c r="A505" t="s">
        <v>34</v>
      </c>
      <c r="D505" t="s">
        <v>36</v>
      </c>
      <c r="F505">
        <v>2</v>
      </c>
      <c r="G505">
        <v>6</v>
      </c>
      <c r="H505">
        <v>3</v>
      </c>
      <c r="I505">
        <v>42</v>
      </c>
      <c r="J505" s="6"/>
      <c r="K505" s="122">
        <v>45555</v>
      </c>
      <c r="L505" t="s">
        <v>739</v>
      </c>
    </row>
    <row r="506" spans="1:13" hidden="1" x14ac:dyDescent="0.35">
      <c r="A506" t="s">
        <v>24</v>
      </c>
      <c r="D506" t="s">
        <v>29</v>
      </c>
      <c r="F506">
        <v>2</v>
      </c>
      <c r="G506">
        <v>7</v>
      </c>
      <c r="H506">
        <v>4</v>
      </c>
      <c r="I506">
        <v>50</v>
      </c>
      <c r="J506" s="6"/>
      <c r="K506" s="122">
        <v>45442</v>
      </c>
      <c r="L506" t="s">
        <v>737</v>
      </c>
    </row>
    <row r="507" spans="1:13" hidden="1" x14ac:dyDescent="0.35">
      <c r="A507" t="s">
        <v>24</v>
      </c>
      <c r="D507" t="s">
        <v>29</v>
      </c>
      <c r="F507">
        <v>2</v>
      </c>
      <c r="G507">
        <v>7</v>
      </c>
      <c r="H507">
        <v>4</v>
      </c>
      <c r="I507">
        <v>50</v>
      </c>
      <c r="J507" s="6"/>
      <c r="K507" s="122">
        <v>45442</v>
      </c>
      <c r="L507" t="s">
        <v>738</v>
      </c>
    </row>
    <row r="508" spans="1:13" hidden="1" x14ac:dyDescent="0.35">
      <c r="A508" t="s">
        <v>24</v>
      </c>
      <c r="D508" t="s">
        <v>29</v>
      </c>
      <c r="F508">
        <v>2</v>
      </c>
      <c r="G508">
        <v>7</v>
      </c>
      <c r="H508">
        <v>4</v>
      </c>
      <c r="I508">
        <v>50</v>
      </c>
      <c r="J508" s="6"/>
      <c r="K508" s="122">
        <v>45442</v>
      </c>
      <c r="L508" t="s">
        <v>739</v>
      </c>
    </row>
    <row r="509" spans="1:13" hidden="1" x14ac:dyDescent="0.35">
      <c r="A509" t="s">
        <v>24</v>
      </c>
      <c r="D509" t="s">
        <v>29</v>
      </c>
      <c r="F509">
        <v>2</v>
      </c>
      <c r="G509">
        <v>7</v>
      </c>
      <c r="H509">
        <v>4</v>
      </c>
      <c r="I509">
        <v>50</v>
      </c>
      <c r="J509" s="6"/>
      <c r="K509" s="122">
        <v>45447</v>
      </c>
      <c r="L509" t="s">
        <v>737</v>
      </c>
      <c r="M509">
        <v>5.3</v>
      </c>
    </row>
    <row r="510" spans="1:13" hidden="1" x14ac:dyDescent="0.35">
      <c r="A510" t="s">
        <v>24</v>
      </c>
      <c r="D510" t="s">
        <v>29</v>
      </c>
      <c r="F510">
        <v>2</v>
      </c>
      <c r="G510">
        <v>7</v>
      </c>
      <c r="H510">
        <v>4</v>
      </c>
      <c r="I510">
        <v>50</v>
      </c>
      <c r="J510" s="6"/>
      <c r="K510" s="122">
        <v>45447</v>
      </c>
      <c r="L510" t="s">
        <v>738</v>
      </c>
      <c r="M510">
        <v>5.3</v>
      </c>
    </row>
    <row r="511" spans="1:13" hidden="1" x14ac:dyDescent="0.35">
      <c r="A511" t="s">
        <v>24</v>
      </c>
      <c r="D511" t="s">
        <v>29</v>
      </c>
      <c r="F511">
        <v>2</v>
      </c>
      <c r="G511">
        <v>7</v>
      </c>
      <c r="H511">
        <v>4</v>
      </c>
      <c r="I511">
        <v>50</v>
      </c>
      <c r="J511" s="6"/>
      <c r="K511" s="122">
        <v>45447</v>
      </c>
      <c r="L511" t="s">
        <v>739</v>
      </c>
      <c r="M511">
        <v>5.3</v>
      </c>
    </row>
    <row r="512" spans="1:13" hidden="1" x14ac:dyDescent="0.35">
      <c r="A512" t="s">
        <v>24</v>
      </c>
      <c r="D512" t="s">
        <v>29</v>
      </c>
      <c r="F512">
        <v>2</v>
      </c>
      <c r="G512">
        <v>7</v>
      </c>
      <c r="H512">
        <v>4</v>
      </c>
      <c r="I512">
        <v>50</v>
      </c>
      <c r="J512" s="6"/>
      <c r="K512" s="122">
        <v>45462</v>
      </c>
      <c r="L512" t="s">
        <v>737</v>
      </c>
      <c r="M512">
        <v>5.3</v>
      </c>
    </row>
    <row r="513" spans="1:13" hidden="1" x14ac:dyDescent="0.35">
      <c r="A513" t="s">
        <v>24</v>
      </c>
      <c r="D513" t="s">
        <v>29</v>
      </c>
      <c r="F513">
        <v>2</v>
      </c>
      <c r="G513">
        <v>7</v>
      </c>
      <c r="H513">
        <v>4</v>
      </c>
      <c r="I513">
        <v>50</v>
      </c>
      <c r="J513" s="6"/>
      <c r="K513" s="122">
        <v>45462</v>
      </c>
      <c r="L513" t="s">
        <v>738</v>
      </c>
      <c r="M513">
        <v>5.8</v>
      </c>
    </row>
    <row r="514" spans="1:13" hidden="1" x14ac:dyDescent="0.35">
      <c r="A514" t="s">
        <v>24</v>
      </c>
      <c r="D514" t="s">
        <v>29</v>
      </c>
      <c r="F514">
        <v>2</v>
      </c>
      <c r="G514">
        <v>7</v>
      </c>
      <c r="H514">
        <v>4</v>
      </c>
      <c r="I514">
        <v>50</v>
      </c>
      <c r="J514" s="6"/>
      <c r="K514" s="122">
        <v>45462</v>
      </c>
      <c r="L514" t="s">
        <v>739</v>
      </c>
      <c r="M514">
        <v>5.2</v>
      </c>
    </row>
    <row r="515" spans="1:13" hidden="1" x14ac:dyDescent="0.35">
      <c r="A515" t="s">
        <v>24</v>
      </c>
      <c r="D515" t="s">
        <v>29</v>
      </c>
      <c r="F515">
        <v>2</v>
      </c>
      <c r="G515">
        <v>7</v>
      </c>
      <c r="H515">
        <v>4</v>
      </c>
      <c r="I515">
        <v>50</v>
      </c>
      <c r="J515" s="6"/>
      <c r="K515" s="122">
        <v>45477</v>
      </c>
      <c r="L515" t="s">
        <v>737</v>
      </c>
    </row>
    <row r="516" spans="1:13" hidden="1" x14ac:dyDescent="0.35">
      <c r="A516" t="s">
        <v>24</v>
      </c>
      <c r="D516" t="s">
        <v>29</v>
      </c>
      <c r="F516">
        <v>2</v>
      </c>
      <c r="G516">
        <v>7</v>
      </c>
      <c r="H516">
        <v>4</v>
      </c>
      <c r="I516">
        <v>50</v>
      </c>
      <c r="J516" s="6"/>
      <c r="K516" s="122">
        <v>45477</v>
      </c>
      <c r="L516" t="s">
        <v>738</v>
      </c>
    </row>
    <row r="517" spans="1:13" hidden="1" x14ac:dyDescent="0.35">
      <c r="A517" t="s">
        <v>24</v>
      </c>
      <c r="D517" t="s">
        <v>29</v>
      </c>
      <c r="F517">
        <v>2</v>
      </c>
      <c r="G517">
        <v>7</v>
      </c>
      <c r="H517">
        <v>4</v>
      </c>
      <c r="I517">
        <v>50</v>
      </c>
      <c r="J517" s="6"/>
      <c r="K517" s="122">
        <v>45477</v>
      </c>
      <c r="L517" t="s">
        <v>739</v>
      </c>
    </row>
    <row r="518" spans="1:13" hidden="1" x14ac:dyDescent="0.35">
      <c r="A518" t="s">
        <v>24</v>
      </c>
      <c r="D518" t="s">
        <v>29</v>
      </c>
      <c r="F518">
        <v>2</v>
      </c>
      <c r="G518">
        <v>7</v>
      </c>
      <c r="H518">
        <v>4</v>
      </c>
      <c r="I518">
        <v>50</v>
      </c>
      <c r="J518" s="6"/>
      <c r="K518" s="122">
        <v>45485</v>
      </c>
      <c r="L518" t="s">
        <v>737</v>
      </c>
    </row>
    <row r="519" spans="1:13" hidden="1" x14ac:dyDescent="0.35">
      <c r="A519" t="s">
        <v>24</v>
      </c>
      <c r="D519" t="s">
        <v>29</v>
      </c>
      <c r="F519">
        <v>2</v>
      </c>
      <c r="G519">
        <v>7</v>
      </c>
      <c r="H519">
        <v>4</v>
      </c>
      <c r="I519">
        <v>50</v>
      </c>
      <c r="J519" s="6"/>
      <c r="K519" s="122">
        <v>45485</v>
      </c>
      <c r="L519" t="s">
        <v>738</v>
      </c>
    </row>
    <row r="520" spans="1:13" hidden="1" x14ac:dyDescent="0.35">
      <c r="A520" t="s">
        <v>24</v>
      </c>
      <c r="D520" t="s">
        <v>29</v>
      </c>
      <c r="F520">
        <v>2</v>
      </c>
      <c r="G520">
        <v>7</v>
      </c>
      <c r="H520">
        <v>4</v>
      </c>
      <c r="I520">
        <v>50</v>
      </c>
      <c r="J520" s="6"/>
      <c r="K520" s="122">
        <v>45485</v>
      </c>
      <c r="L520" t="s">
        <v>739</v>
      </c>
    </row>
    <row r="521" spans="1:13" hidden="1" x14ac:dyDescent="0.35">
      <c r="A521" t="s">
        <v>24</v>
      </c>
      <c r="D521" t="s">
        <v>29</v>
      </c>
      <c r="F521">
        <v>2</v>
      </c>
      <c r="G521">
        <v>7</v>
      </c>
      <c r="H521">
        <v>4</v>
      </c>
      <c r="I521">
        <v>50</v>
      </c>
      <c r="J521" s="6"/>
      <c r="K521" s="122">
        <v>45492</v>
      </c>
      <c r="L521" t="s">
        <v>737</v>
      </c>
      <c r="M521">
        <v>7.4</v>
      </c>
    </row>
    <row r="522" spans="1:13" hidden="1" x14ac:dyDescent="0.35">
      <c r="A522" t="s">
        <v>24</v>
      </c>
      <c r="D522" t="s">
        <v>29</v>
      </c>
      <c r="F522">
        <v>2</v>
      </c>
      <c r="G522">
        <v>7</v>
      </c>
      <c r="H522">
        <v>4</v>
      </c>
      <c r="I522">
        <v>50</v>
      </c>
      <c r="J522" s="6"/>
      <c r="K522" s="122">
        <v>45492</v>
      </c>
      <c r="L522" t="s">
        <v>738</v>
      </c>
      <c r="M522">
        <v>7.4</v>
      </c>
    </row>
    <row r="523" spans="1:13" hidden="1" x14ac:dyDescent="0.35">
      <c r="A523" t="s">
        <v>24</v>
      </c>
      <c r="D523" t="s">
        <v>29</v>
      </c>
      <c r="F523">
        <v>2</v>
      </c>
      <c r="G523">
        <v>7</v>
      </c>
      <c r="H523">
        <v>4</v>
      </c>
      <c r="I523">
        <v>50</v>
      </c>
      <c r="J523" s="6"/>
      <c r="K523" s="122">
        <v>45492</v>
      </c>
      <c r="L523" t="s">
        <v>739</v>
      </c>
      <c r="M523">
        <v>7.3</v>
      </c>
    </row>
    <row r="524" spans="1:13" hidden="1" x14ac:dyDescent="0.35">
      <c r="A524" t="s">
        <v>24</v>
      </c>
      <c r="D524" t="s">
        <v>29</v>
      </c>
      <c r="F524">
        <v>2</v>
      </c>
      <c r="G524">
        <v>7</v>
      </c>
      <c r="H524">
        <v>4</v>
      </c>
      <c r="I524">
        <v>50</v>
      </c>
      <c r="J524" s="6"/>
      <c r="K524" s="122">
        <v>45509</v>
      </c>
      <c r="L524" t="s">
        <v>737</v>
      </c>
      <c r="M524">
        <v>8.6</v>
      </c>
    </row>
    <row r="525" spans="1:13" hidden="1" x14ac:dyDescent="0.35">
      <c r="A525" t="s">
        <v>24</v>
      </c>
      <c r="D525" t="s">
        <v>29</v>
      </c>
      <c r="F525">
        <v>2</v>
      </c>
      <c r="G525">
        <v>7</v>
      </c>
      <c r="H525">
        <v>4</v>
      </c>
      <c r="I525">
        <v>50</v>
      </c>
      <c r="J525" s="6"/>
      <c r="K525" s="122">
        <v>45509</v>
      </c>
      <c r="L525" t="s">
        <v>738</v>
      </c>
      <c r="M525">
        <v>8.5</v>
      </c>
    </row>
    <row r="526" spans="1:13" hidden="1" x14ac:dyDescent="0.35">
      <c r="A526" t="s">
        <v>24</v>
      </c>
      <c r="D526" t="s">
        <v>29</v>
      </c>
      <c r="F526">
        <v>2</v>
      </c>
      <c r="G526">
        <v>7</v>
      </c>
      <c r="H526">
        <v>4</v>
      </c>
      <c r="I526">
        <v>50</v>
      </c>
      <c r="J526" s="6"/>
      <c r="K526" s="122">
        <v>45509</v>
      </c>
      <c r="L526" t="s">
        <v>739</v>
      </c>
      <c r="M526">
        <v>8.3000000000000007</v>
      </c>
    </row>
    <row r="527" spans="1:13" hidden="1" x14ac:dyDescent="0.35">
      <c r="A527" t="s">
        <v>24</v>
      </c>
      <c r="D527" t="s">
        <v>29</v>
      </c>
      <c r="F527">
        <v>2</v>
      </c>
      <c r="G527">
        <v>7</v>
      </c>
      <c r="H527">
        <v>4</v>
      </c>
      <c r="I527">
        <v>50</v>
      </c>
      <c r="J527" s="6"/>
      <c r="K527" s="122">
        <v>45519</v>
      </c>
      <c r="L527" t="s">
        <v>737</v>
      </c>
      <c r="M527">
        <v>8.6</v>
      </c>
    </row>
    <row r="528" spans="1:13" hidden="1" x14ac:dyDescent="0.35">
      <c r="A528" t="s">
        <v>24</v>
      </c>
      <c r="D528" t="s">
        <v>29</v>
      </c>
      <c r="F528">
        <v>2</v>
      </c>
      <c r="G528">
        <v>7</v>
      </c>
      <c r="H528">
        <v>4</v>
      </c>
      <c r="I528">
        <v>50</v>
      </c>
      <c r="J528" s="6"/>
      <c r="K528" s="122">
        <v>45519</v>
      </c>
      <c r="L528" t="s">
        <v>738</v>
      </c>
      <c r="M528">
        <v>9.3000000000000007</v>
      </c>
    </row>
    <row r="529" spans="1:13" hidden="1" x14ac:dyDescent="0.35">
      <c r="A529" t="s">
        <v>24</v>
      </c>
      <c r="D529" t="s">
        <v>29</v>
      </c>
      <c r="F529">
        <v>2</v>
      </c>
      <c r="G529">
        <v>7</v>
      </c>
      <c r="H529">
        <v>4</v>
      </c>
      <c r="I529">
        <v>50</v>
      </c>
      <c r="J529" s="6"/>
      <c r="K529" s="122">
        <v>45519</v>
      </c>
      <c r="L529" t="s">
        <v>739</v>
      </c>
      <c r="M529">
        <v>8.9</v>
      </c>
    </row>
    <row r="530" spans="1:13" hidden="1" x14ac:dyDescent="0.35">
      <c r="A530" t="s">
        <v>24</v>
      </c>
      <c r="D530" t="s">
        <v>29</v>
      </c>
      <c r="F530">
        <v>2</v>
      </c>
      <c r="G530">
        <v>7</v>
      </c>
      <c r="H530">
        <v>4</v>
      </c>
      <c r="I530">
        <v>50</v>
      </c>
      <c r="J530" s="6"/>
      <c r="K530" s="122">
        <v>45530</v>
      </c>
      <c r="L530" t="s">
        <v>737</v>
      </c>
      <c r="M530">
        <v>9.6999999999999993</v>
      </c>
    </row>
    <row r="531" spans="1:13" hidden="1" x14ac:dyDescent="0.35">
      <c r="A531" t="s">
        <v>24</v>
      </c>
      <c r="D531" t="s">
        <v>29</v>
      </c>
      <c r="F531">
        <v>2</v>
      </c>
      <c r="G531">
        <v>7</v>
      </c>
      <c r="H531">
        <v>4</v>
      </c>
      <c r="I531">
        <v>50</v>
      </c>
      <c r="J531" s="6"/>
      <c r="K531" s="122">
        <v>45530</v>
      </c>
      <c r="L531" t="s">
        <v>738</v>
      </c>
      <c r="M531">
        <v>10.5</v>
      </c>
    </row>
    <row r="532" spans="1:13" hidden="1" x14ac:dyDescent="0.35">
      <c r="A532" t="s">
        <v>24</v>
      </c>
      <c r="D532" t="s">
        <v>29</v>
      </c>
      <c r="F532">
        <v>2</v>
      </c>
      <c r="G532">
        <v>7</v>
      </c>
      <c r="H532">
        <v>4</v>
      </c>
      <c r="I532">
        <v>50</v>
      </c>
      <c r="J532" s="6"/>
      <c r="K532" s="122">
        <v>45530</v>
      </c>
      <c r="L532" t="s">
        <v>739</v>
      </c>
      <c r="M532">
        <v>10.5</v>
      </c>
    </row>
    <row r="533" spans="1:13" hidden="1" x14ac:dyDescent="0.35">
      <c r="A533" t="s">
        <v>24</v>
      </c>
      <c r="D533" t="s">
        <v>29</v>
      </c>
      <c r="F533">
        <v>2</v>
      </c>
      <c r="G533">
        <v>7</v>
      </c>
      <c r="H533">
        <v>4</v>
      </c>
      <c r="I533">
        <v>50</v>
      </c>
      <c r="J533" s="6"/>
      <c r="K533" s="122">
        <v>45538</v>
      </c>
      <c r="L533" t="s">
        <v>737</v>
      </c>
      <c r="M533">
        <v>10.6</v>
      </c>
    </row>
    <row r="534" spans="1:13" hidden="1" x14ac:dyDescent="0.35">
      <c r="A534" t="s">
        <v>24</v>
      </c>
      <c r="D534" t="s">
        <v>29</v>
      </c>
      <c r="F534">
        <v>2</v>
      </c>
      <c r="G534">
        <v>7</v>
      </c>
      <c r="H534">
        <v>4</v>
      </c>
      <c r="I534">
        <v>50</v>
      </c>
      <c r="J534" s="6"/>
      <c r="K534" s="122">
        <v>45538</v>
      </c>
      <c r="L534" t="s">
        <v>738</v>
      </c>
      <c r="M534">
        <v>11.5</v>
      </c>
    </row>
    <row r="535" spans="1:13" hidden="1" x14ac:dyDescent="0.35">
      <c r="A535" t="s">
        <v>24</v>
      </c>
      <c r="D535" t="s">
        <v>29</v>
      </c>
      <c r="F535">
        <v>2</v>
      </c>
      <c r="G535">
        <v>7</v>
      </c>
      <c r="H535">
        <v>4</v>
      </c>
      <c r="I535">
        <v>50</v>
      </c>
      <c r="J535" s="6"/>
      <c r="K535" s="122">
        <v>45538</v>
      </c>
      <c r="L535" t="s">
        <v>739</v>
      </c>
      <c r="M535">
        <v>11.5</v>
      </c>
    </row>
    <row r="536" spans="1:13" hidden="1" x14ac:dyDescent="0.35">
      <c r="A536" t="s">
        <v>24</v>
      </c>
      <c r="D536" t="s">
        <v>29</v>
      </c>
      <c r="F536">
        <v>2</v>
      </c>
      <c r="G536">
        <v>7</v>
      </c>
      <c r="H536">
        <v>4</v>
      </c>
      <c r="I536">
        <v>50</v>
      </c>
      <c r="J536" s="6"/>
      <c r="K536" s="122">
        <v>45547</v>
      </c>
      <c r="L536" t="s">
        <v>737</v>
      </c>
      <c r="M536">
        <v>11</v>
      </c>
    </row>
    <row r="537" spans="1:13" hidden="1" x14ac:dyDescent="0.35">
      <c r="A537" t="s">
        <v>24</v>
      </c>
      <c r="D537" t="s">
        <v>29</v>
      </c>
      <c r="F537">
        <v>2</v>
      </c>
      <c r="G537">
        <v>7</v>
      </c>
      <c r="H537">
        <v>4</v>
      </c>
      <c r="I537">
        <v>50</v>
      </c>
      <c r="J537" s="6"/>
      <c r="K537" s="122">
        <v>45547</v>
      </c>
      <c r="L537" t="s">
        <v>738</v>
      </c>
      <c r="M537">
        <v>12</v>
      </c>
    </row>
    <row r="538" spans="1:13" hidden="1" x14ac:dyDescent="0.35">
      <c r="A538" t="s">
        <v>24</v>
      </c>
      <c r="B538" s="71"/>
      <c r="C538" s="72"/>
      <c r="D538" t="s">
        <v>29</v>
      </c>
      <c r="E538" s="71"/>
      <c r="F538">
        <v>2</v>
      </c>
      <c r="G538">
        <v>7</v>
      </c>
      <c r="H538">
        <v>4</v>
      </c>
      <c r="I538">
        <v>50</v>
      </c>
      <c r="J538" s="6"/>
      <c r="K538" s="122">
        <v>45547</v>
      </c>
      <c r="L538" t="s">
        <v>739</v>
      </c>
      <c r="M538">
        <v>12</v>
      </c>
    </row>
    <row r="539" spans="1:13" hidden="1" x14ac:dyDescent="0.35">
      <c r="A539" t="s">
        <v>24</v>
      </c>
      <c r="D539" t="s">
        <v>29</v>
      </c>
      <c r="F539">
        <v>2</v>
      </c>
      <c r="G539">
        <v>7</v>
      </c>
      <c r="H539">
        <v>4</v>
      </c>
      <c r="I539">
        <v>50</v>
      </c>
      <c r="J539" s="6"/>
      <c r="K539" s="122">
        <v>45555</v>
      </c>
      <c r="L539" t="s">
        <v>737</v>
      </c>
    </row>
    <row r="540" spans="1:13" hidden="1" x14ac:dyDescent="0.35">
      <c r="A540" t="s">
        <v>24</v>
      </c>
      <c r="D540" t="s">
        <v>29</v>
      </c>
      <c r="F540">
        <v>2</v>
      </c>
      <c r="G540">
        <v>7</v>
      </c>
      <c r="H540">
        <v>4</v>
      </c>
      <c r="I540">
        <v>50</v>
      </c>
      <c r="J540" s="6"/>
      <c r="K540" s="122">
        <v>45555</v>
      </c>
      <c r="L540" t="s">
        <v>738</v>
      </c>
    </row>
    <row r="541" spans="1:13" hidden="1" x14ac:dyDescent="0.35">
      <c r="A541" t="s">
        <v>24</v>
      </c>
      <c r="D541" t="s">
        <v>29</v>
      </c>
      <c r="F541">
        <v>2</v>
      </c>
      <c r="G541">
        <v>7</v>
      </c>
      <c r="H541">
        <v>4</v>
      </c>
      <c r="I541">
        <v>50</v>
      </c>
      <c r="J541" s="6"/>
      <c r="K541" s="122">
        <v>45555</v>
      </c>
      <c r="L541" t="s">
        <v>739</v>
      </c>
    </row>
    <row r="542" spans="1:13" hidden="1" x14ac:dyDescent="0.35">
      <c r="A542" t="s">
        <v>34</v>
      </c>
      <c r="D542" t="s">
        <v>37</v>
      </c>
      <c r="F542">
        <v>2</v>
      </c>
      <c r="G542">
        <v>8</v>
      </c>
      <c r="H542">
        <v>4</v>
      </c>
      <c r="I542">
        <v>58</v>
      </c>
      <c r="J542" s="6"/>
      <c r="K542" s="122">
        <v>45442</v>
      </c>
      <c r="L542" t="s">
        <v>737</v>
      </c>
    </row>
    <row r="543" spans="1:13" hidden="1" x14ac:dyDescent="0.35">
      <c r="A543" t="s">
        <v>34</v>
      </c>
      <c r="D543" t="s">
        <v>37</v>
      </c>
      <c r="F543">
        <v>2</v>
      </c>
      <c r="G543">
        <v>8</v>
      </c>
      <c r="H543">
        <v>4</v>
      </c>
      <c r="I543">
        <v>58</v>
      </c>
      <c r="J543" s="6"/>
      <c r="K543" s="122">
        <v>45442</v>
      </c>
      <c r="L543" t="s">
        <v>738</v>
      </c>
    </row>
    <row r="544" spans="1:13" hidden="1" x14ac:dyDescent="0.35">
      <c r="A544" t="s">
        <v>34</v>
      </c>
      <c r="D544" t="s">
        <v>37</v>
      </c>
      <c r="F544">
        <v>2</v>
      </c>
      <c r="G544">
        <v>8</v>
      </c>
      <c r="H544">
        <v>4</v>
      </c>
      <c r="I544">
        <v>58</v>
      </c>
      <c r="J544" s="6"/>
      <c r="K544" s="122">
        <v>45442</v>
      </c>
      <c r="L544" t="s">
        <v>739</v>
      </c>
    </row>
    <row r="545" spans="1:13" hidden="1" x14ac:dyDescent="0.35">
      <c r="A545" t="s">
        <v>34</v>
      </c>
      <c r="D545" t="s">
        <v>37</v>
      </c>
      <c r="F545">
        <v>2</v>
      </c>
      <c r="G545">
        <v>8</v>
      </c>
      <c r="H545">
        <v>4</v>
      </c>
      <c r="I545">
        <v>58</v>
      </c>
      <c r="J545" s="6"/>
      <c r="K545" s="122">
        <v>45447</v>
      </c>
      <c r="L545" t="s">
        <v>737</v>
      </c>
      <c r="M545">
        <v>1.7</v>
      </c>
    </row>
    <row r="546" spans="1:13" hidden="1" x14ac:dyDescent="0.35">
      <c r="A546" t="s">
        <v>34</v>
      </c>
      <c r="D546" t="s">
        <v>37</v>
      </c>
      <c r="F546">
        <v>2</v>
      </c>
      <c r="G546">
        <v>8</v>
      </c>
      <c r="H546">
        <v>4</v>
      </c>
      <c r="I546">
        <v>58</v>
      </c>
      <c r="J546" s="6"/>
      <c r="K546" s="122">
        <v>45447</v>
      </c>
      <c r="L546" t="s">
        <v>738</v>
      </c>
      <c r="M546">
        <v>1.7</v>
      </c>
    </row>
    <row r="547" spans="1:13" hidden="1" x14ac:dyDescent="0.35">
      <c r="A547" t="s">
        <v>34</v>
      </c>
      <c r="D547" t="s">
        <v>37</v>
      </c>
      <c r="F547">
        <v>2</v>
      </c>
      <c r="G547">
        <v>8</v>
      </c>
      <c r="H547">
        <v>4</v>
      </c>
      <c r="I547">
        <v>58</v>
      </c>
      <c r="J547" s="6"/>
      <c r="K547" s="122">
        <v>45447</v>
      </c>
      <c r="L547" t="s">
        <v>739</v>
      </c>
      <c r="M547">
        <v>1.7</v>
      </c>
    </row>
    <row r="548" spans="1:13" hidden="1" x14ac:dyDescent="0.35">
      <c r="A548" t="s">
        <v>34</v>
      </c>
      <c r="D548" t="s">
        <v>37</v>
      </c>
      <c r="F548">
        <v>2</v>
      </c>
      <c r="G548">
        <v>8</v>
      </c>
      <c r="H548">
        <v>4</v>
      </c>
      <c r="I548">
        <v>58</v>
      </c>
      <c r="J548" s="6"/>
      <c r="K548" s="122">
        <v>45462</v>
      </c>
      <c r="L548" t="s">
        <v>737</v>
      </c>
      <c r="M548">
        <v>3.1</v>
      </c>
    </row>
    <row r="549" spans="1:13" hidden="1" x14ac:dyDescent="0.35">
      <c r="A549" t="s">
        <v>34</v>
      </c>
      <c r="D549" t="s">
        <v>37</v>
      </c>
      <c r="F549">
        <v>2</v>
      </c>
      <c r="G549">
        <v>8</v>
      </c>
      <c r="H549">
        <v>4</v>
      </c>
      <c r="I549">
        <v>58</v>
      </c>
      <c r="J549" s="6"/>
      <c r="K549" s="122">
        <v>45462</v>
      </c>
      <c r="L549" t="s">
        <v>738</v>
      </c>
      <c r="M549">
        <v>2.9</v>
      </c>
    </row>
    <row r="550" spans="1:13" hidden="1" x14ac:dyDescent="0.35">
      <c r="A550" t="s">
        <v>34</v>
      </c>
      <c r="D550" t="s">
        <v>37</v>
      </c>
      <c r="F550">
        <v>2</v>
      </c>
      <c r="G550">
        <v>8</v>
      </c>
      <c r="H550">
        <v>4</v>
      </c>
      <c r="I550">
        <v>58</v>
      </c>
      <c r="J550" s="6"/>
      <c r="K550" s="122">
        <v>45462</v>
      </c>
      <c r="L550" t="s">
        <v>739</v>
      </c>
      <c r="M550">
        <v>3.2</v>
      </c>
    </row>
    <row r="551" spans="1:13" hidden="1" x14ac:dyDescent="0.35">
      <c r="A551" t="s">
        <v>34</v>
      </c>
      <c r="D551" t="s">
        <v>37</v>
      </c>
      <c r="F551">
        <v>2</v>
      </c>
      <c r="G551">
        <v>8</v>
      </c>
      <c r="H551">
        <v>4</v>
      </c>
      <c r="I551">
        <v>58</v>
      </c>
      <c r="J551" s="6"/>
      <c r="K551" s="122">
        <v>45477</v>
      </c>
      <c r="L551" t="s">
        <v>737</v>
      </c>
      <c r="M551">
        <v>4.5999999999999996</v>
      </c>
    </row>
    <row r="552" spans="1:13" hidden="1" x14ac:dyDescent="0.35">
      <c r="A552" t="s">
        <v>34</v>
      </c>
      <c r="D552" t="s">
        <v>37</v>
      </c>
      <c r="F552">
        <v>2</v>
      </c>
      <c r="G552">
        <v>8</v>
      </c>
      <c r="H552">
        <v>4</v>
      </c>
      <c r="I552">
        <v>58</v>
      </c>
      <c r="J552" s="6"/>
      <c r="K552" s="122">
        <v>45477</v>
      </c>
      <c r="L552" t="s">
        <v>738</v>
      </c>
      <c r="M552">
        <v>4.5</v>
      </c>
    </row>
    <row r="553" spans="1:13" hidden="1" x14ac:dyDescent="0.35">
      <c r="A553" t="s">
        <v>34</v>
      </c>
      <c r="D553" t="s">
        <v>37</v>
      </c>
      <c r="F553">
        <v>2</v>
      </c>
      <c r="G553">
        <v>8</v>
      </c>
      <c r="H553">
        <v>4</v>
      </c>
      <c r="I553">
        <v>58</v>
      </c>
      <c r="J553" s="6"/>
      <c r="K553" s="122">
        <v>45477</v>
      </c>
      <c r="L553" t="s">
        <v>739</v>
      </c>
      <c r="M553">
        <v>4.7</v>
      </c>
    </row>
    <row r="554" spans="1:13" hidden="1" x14ac:dyDescent="0.35">
      <c r="A554" t="s">
        <v>34</v>
      </c>
      <c r="D554" t="s">
        <v>37</v>
      </c>
      <c r="F554">
        <v>2</v>
      </c>
      <c r="G554">
        <v>8</v>
      </c>
      <c r="H554">
        <v>4</v>
      </c>
      <c r="I554">
        <v>58</v>
      </c>
      <c r="J554" s="6"/>
      <c r="K554" s="122">
        <v>45485</v>
      </c>
      <c r="L554" t="s">
        <v>737</v>
      </c>
    </row>
    <row r="555" spans="1:13" hidden="1" x14ac:dyDescent="0.35">
      <c r="A555" t="s">
        <v>34</v>
      </c>
      <c r="D555" t="s">
        <v>37</v>
      </c>
      <c r="F555">
        <v>2</v>
      </c>
      <c r="G555">
        <v>8</v>
      </c>
      <c r="H555">
        <v>4</v>
      </c>
      <c r="I555">
        <v>58</v>
      </c>
      <c r="J555" s="6"/>
      <c r="K555" s="122">
        <v>45485</v>
      </c>
      <c r="L555" t="s">
        <v>738</v>
      </c>
    </row>
    <row r="556" spans="1:13" hidden="1" x14ac:dyDescent="0.35">
      <c r="A556" t="s">
        <v>34</v>
      </c>
      <c r="D556" t="s">
        <v>37</v>
      </c>
      <c r="F556">
        <v>2</v>
      </c>
      <c r="G556">
        <v>8</v>
      </c>
      <c r="H556">
        <v>4</v>
      </c>
      <c r="I556">
        <v>58</v>
      </c>
      <c r="J556" s="6"/>
      <c r="K556" s="122">
        <v>45485</v>
      </c>
      <c r="L556" t="s">
        <v>739</v>
      </c>
    </row>
    <row r="557" spans="1:13" hidden="1" x14ac:dyDescent="0.35">
      <c r="A557" t="s">
        <v>34</v>
      </c>
      <c r="D557" t="s">
        <v>37</v>
      </c>
      <c r="F557">
        <v>2</v>
      </c>
      <c r="G557">
        <v>8</v>
      </c>
      <c r="H557">
        <v>4</v>
      </c>
      <c r="I557">
        <v>58</v>
      </c>
      <c r="J557" s="6"/>
      <c r="K557" s="122">
        <v>45492</v>
      </c>
      <c r="L557" t="s">
        <v>737</v>
      </c>
      <c r="M557">
        <v>5.7</v>
      </c>
    </row>
    <row r="558" spans="1:13" hidden="1" x14ac:dyDescent="0.35">
      <c r="A558" t="s">
        <v>34</v>
      </c>
      <c r="D558" t="s">
        <v>37</v>
      </c>
      <c r="F558">
        <v>2</v>
      </c>
      <c r="G558">
        <v>8</v>
      </c>
      <c r="H558">
        <v>4</v>
      </c>
      <c r="I558">
        <v>58</v>
      </c>
      <c r="J558" s="6"/>
      <c r="K558" s="122">
        <v>45492</v>
      </c>
      <c r="L558" t="s">
        <v>738</v>
      </c>
      <c r="M558">
        <v>5.8</v>
      </c>
    </row>
    <row r="559" spans="1:13" hidden="1" x14ac:dyDescent="0.35">
      <c r="A559" t="s">
        <v>34</v>
      </c>
      <c r="D559" t="s">
        <v>37</v>
      </c>
      <c r="F559">
        <v>2</v>
      </c>
      <c r="G559">
        <v>8</v>
      </c>
      <c r="H559">
        <v>4</v>
      </c>
      <c r="I559">
        <v>58</v>
      </c>
      <c r="J559" s="6"/>
      <c r="K559" s="122">
        <v>45492</v>
      </c>
      <c r="L559" t="s">
        <v>739</v>
      </c>
      <c r="M559">
        <v>6.1</v>
      </c>
    </row>
    <row r="560" spans="1:13" hidden="1" x14ac:dyDescent="0.35">
      <c r="A560" t="s">
        <v>34</v>
      </c>
      <c r="D560" t="s">
        <v>37</v>
      </c>
      <c r="F560">
        <v>2</v>
      </c>
      <c r="G560">
        <v>8</v>
      </c>
      <c r="H560">
        <v>4</v>
      </c>
      <c r="I560">
        <v>58</v>
      </c>
      <c r="J560" s="6"/>
      <c r="K560" s="122">
        <v>45509</v>
      </c>
      <c r="L560" t="s">
        <v>737</v>
      </c>
      <c r="M560">
        <v>7.4</v>
      </c>
    </row>
    <row r="561" spans="1:13" hidden="1" x14ac:dyDescent="0.35">
      <c r="A561" t="s">
        <v>34</v>
      </c>
      <c r="D561" t="s">
        <v>37</v>
      </c>
      <c r="F561">
        <v>2</v>
      </c>
      <c r="G561">
        <v>8</v>
      </c>
      <c r="H561">
        <v>4</v>
      </c>
      <c r="I561">
        <v>58</v>
      </c>
      <c r="J561" s="6"/>
      <c r="K561" s="122">
        <v>45509</v>
      </c>
      <c r="L561" t="s">
        <v>738</v>
      </c>
      <c r="M561">
        <v>7.2</v>
      </c>
    </row>
    <row r="562" spans="1:13" hidden="1" x14ac:dyDescent="0.35">
      <c r="A562" t="s">
        <v>34</v>
      </c>
      <c r="D562" t="s">
        <v>37</v>
      </c>
      <c r="F562">
        <v>2</v>
      </c>
      <c r="G562">
        <v>8</v>
      </c>
      <c r="H562">
        <v>4</v>
      </c>
      <c r="I562">
        <v>58</v>
      </c>
      <c r="J562" s="6"/>
      <c r="K562" s="122">
        <v>45509</v>
      </c>
      <c r="L562" t="s">
        <v>739</v>
      </c>
      <c r="M562">
        <v>7.2</v>
      </c>
    </row>
    <row r="563" spans="1:13" hidden="1" x14ac:dyDescent="0.35">
      <c r="A563" t="s">
        <v>34</v>
      </c>
      <c r="D563" t="s">
        <v>37</v>
      </c>
      <c r="F563">
        <v>2</v>
      </c>
      <c r="G563">
        <v>8</v>
      </c>
      <c r="H563">
        <v>4</v>
      </c>
      <c r="I563">
        <v>58</v>
      </c>
      <c r="J563" s="6"/>
      <c r="K563" s="122">
        <v>45519</v>
      </c>
      <c r="L563" t="s">
        <v>737</v>
      </c>
      <c r="M563">
        <v>8.3000000000000007</v>
      </c>
    </row>
    <row r="564" spans="1:13" hidden="1" x14ac:dyDescent="0.35">
      <c r="A564" t="s">
        <v>34</v>
      </c>
      <c r="D564" t="s">
        <v>37</v>
      </c>
      <c r="F564">
        <v>2</v>
      </c>
      <c r="G564">
        <v>8</v>
      </c>
      <c r="H564">
        <v>4</v>
      </c>
      <c r="I564">
        <v>58</v>
      </c>
      <c r="J564" s="6"/>
      <c r="K564" s="122">
        <v>45519</v>
      </c>
      <c r="L564" t="s">
        <v>738</v>
      </c>
      <c r="M564">
        <v>8.1999999999999993</v>
      </c>
    </row>
    <row r="565" spans="1:13" hidden="1" x14ac:dyDescent="0.35">
      <c r="A565" t="s">
        <v>34</v>
      </c>
      <c r="D565" t="s">
        <v>37</v>
      </c>
      <c r="F565">
        <v>2</v>
      </c>
      <c r="G565">
        <v>8</v>
      </c>
      <c r="H565">
        <v>4</v>
      </c>
      <c r="I565">
        <v>58</v>
      </c>
      <c r="J565" s="6"/>
      <c r="K565" s="122">
        <v>45519</v>
      </c>
      <c r="L565" t="s">
        <v>739</v>
      </c>
      <c r="M565">
        <v>8.4</v>
      </c>
    </row>
    <row r="566" spans="1:13" hidden="1" x14ac:dyDescent="0.35">
      <c r="A566" t="s">
        <v>34</v>
      </c>
      <c r="D566" t="s">
        <v>37</v>
      </c>
      <c r="F566">
        <v>2</v>
      </c>
      <c r="G566">
        <v>8</v>
      </c>
      <c r="H566">
        <v>4</v>
      </c>
      <c r="I566">
        <v>58</v>
      </c>
      <c r="J566" s="6"/>
      <c r="K566" s="122">
        <v>45530</v>
      </c>
      <c r="L566" t="s">
        <v>737</v>
      </c>
      <c r="M566">
        <v>9.4</v>
      </c>
    </row>
    <row r="567" spans="1:13" hidden="1" x14ac:dyDescent="0.35">
      <c r="A567" t="s">
        <v>34</v>
      </c>
      <c r="D567" t="s">
        <v>37</v>
      </c>
      <c r="F567">
        <v>2</v>
      </c>
      <c r="G567">
        <v>8</v>
      </c>
      <c r="H567">
        <v>4</v>
      </c>
      <c r="I567">
        <v>58</v>
      </c>
      <c r="J567" s="6"/>
      <c r="K567" s="122">
        <v>45530</v>
      </c>
      <c r="L567" t="s">
        <v>738</v>
      </c>
      <c r="M567">
        <v>9.4</v>
      </c>
    </row>
    <row r="568" spans="1:13" hidden="1" x14ac:dyDescent="0.35">
      <c r="A568" t="s">
        <v>34</v>
      </c>
      <c r="D568" t="s">
        <v>37</v>
      </c>
      <c r="F568">
        <v>2</v>
      </c>
      <c r="G568">
        <v>8</v>
      </c>
      <c r="H568">
        <v>4</v>
      </c>
      <c r="I568">
        <v>58</v>
      </c>
      <c r="J568" s="6"/>
      <c r="K568" s="122">
        <v>45530</v>
      </c>
      <c r="L568" t="s">
        <v>739</v>
      </c>
      <c r="M568">
        <v>9.8000000000000007</v>
      </c>
    </row>
    <row r="569" spans="1:13" hidden="1" x14ac:dyDescent="0.35">
      <c r="A569" t="s">
        <v>34</v>
      </c>
      <c r="D569" t="s">
        <v>37</v>
      </c>
      <c r="F569">
        <v>2</v>
      </c>
      <c r="G569">
        <v>8</v>
      </c>
      <c r="H569">
        <v>4</v>
      </c>
      <c r="I569">
        <v>58</v>
      </c>
      <c r="J569" s="6"/>
      <c r="K569" s="122">
        <v>45538</v>
      </c>
      <c r="L569" t="s">
        <v>737</v>
      </c>
      <c r="M569">
        <v>10.199999999999999</v>
      </c>
    </row>
    <row r="570" spans="1:13" hidden="1" x14ac:dyDescent="0.35">
      <c r="A570" t="s">
        <v>34</v>
      </c>
      <c r="D570" t="s">
        <v>37</v>
      </c>
      <c r="F570">
        <v>2</v>
      </c>
      <c r="G570">
        <v>8</v>
      </c>
      <c r="H570">
        <v>4</v>
      </c>
      <c r="I570">
        <v>58</v>
      </c>
      <c r="J570" s="6"/>
      <c r="K570" s="122">
        <v>45538</v>
      </c>
      <c r="L570" t="s">
        <v>738</v>
      </c>
      <c r="M570">
        <v>10.199999999999999</v>
      </c>
    </row>
    <row r="571" spans="1:13" hidden="1" x14ac:dyDescent="0.35">
      <c r="A571" t="s">
        <v>34</v>
      </c>
      <c r="D571" t="s">
        <v>37</v>
      </c>
      <c r="F571">
        <v>2</v>
      </c>
      <c r="G571">
        <v>8</v>
      </c>
      <c r="H571">
        <v>4</v>
      </c>
      <c r="I571">
        <v>58</v>
      </c>
      <c r="J571" s="6"/>
      <c r="K571" s="122">
        <v>45538</v>
      </c>
      <c r="L571" t="s">
        <v>739</v>
      </c>
      <c r="M571">
        <v>10.7</v>
      </c>
    </row>
    <row r="572" spans="1:13" hidden="1" x14ac:dyDescent="0.35">
      <c r="A572" t="s">
        <v>34</v>
      </c>
      <c r="D572" t="s">
        <v>37</v>
      </c>
      <c r="F572">
        <v>2</v>
      </c>
      <c r="G572">
        <v>8</v>
      </c>
      <c r="H572">
        <v>4</v>
      </c>
      <c r="I572">
        <v>58</v>
      </c>
      <c r="J572" s="6"/>
      <c r="K572" s="122">
        <v>45547</v>
      </c>
      <c r="L572" t="s">
        <v>737</v>
      </c>
      <c r="M572">
        <v>11</v>
      </c>
    </row>
    <row r="573" spans="1:13" hidden="1" x14ac:dyDescent="0.35">
      <c r="A573" t="s">
        <v>34</v>
      </c>
      <c r="D573" t="s">
        <v>37</v>
      </c>
      <c r="F573">
        <v>2</v>
      </c>
      <c r="G573">
        <v>8</v>
      </c>
      <c r="H573">
        <v>4</v>
      </c>
      <c r="I573">
        <v>58</v>
      </c>
      <c r="J573" s="6"/>
      <c r="K573" s="122">
        <v>45547</v>
      </c>
      <c r="L573" t="s">
        <v>738</v>
      </c>
      <c r="M573">
        <v>11</v>
      </c>
    </row>
    <row r="574" spans="1:13" hidden="1" x14ac:dyDescent="0.35">
      <c r="A574" t="s">
        <v>34</v>
      </c>
      <c r="D574" t="s">
        <v>37</v>
      </c>
      <c r="F574">
        <v>2</v>
      </c>
      <c r="G574">
        <v>8</v>
      </c>
      <c r="H574">
        <v>4</v>
      </c>
      <c r="I574">
        <v>58</v>
      </c>
      <c r="J574" s="6"/>
      <c r="K574" s="122">
        <v>45547</v>
      </c>
      <c r="L574" t="s">
        <v>739</v>
      </c>
      <c r="M574">
        <v>11</v>
      </c>
    </row>
    <row r="575" spans="1:13" hidden="1" x14ac:dyDescent="0.35">
      <c r="A575" t="s">
        <v>34</v>
      </c>
      <c r="D575" t="s">
        <v>37</v>
      </c>
      <c r="F575">
        <v>2</v>
      </c>
      <c r="G575">
        <v>8</v>
      </c>
      <c r="H575">
        <v>4</v>
      </c>
      <c r="I575">
        <v>58</v>
      </c>
      <c r="J575" s="6"/>
      <c r="K575" s="122">
        <v>45555</v>
      </c>
      <c r="L575" t="s">
        <v>737</v>
      </c>
    </row>
    <row r="576" spans="1:13" hidden="1" x14ac:dyDescent="0.35">
      <c r="A576" t="s">
        <v>34</v>
      </c>
      <c r="D576" t="s">
        <v>37</v>
      </c>
      <c r="F576">
        <v>2</v>
      </c>
      <c r="G576">
        <v>8</v>
      </c>
      <c r="H576">
        <v>4</v>
      </c>
      <c r="I576">
        <v>58</v>
      </c>
      <c r="J576" s="6"/>
      <c r="K576" s="122">
        <v>45555</v>
      </c>
      <c r="L576" t="s">
        <v>738</v>
      </c>
    </row>
    <row r="577" spans="1:13" hidden="1" x14ac:dyDescent="0.35">
      <c r="A577" t="s">
        <v>34</v>
      </c>
      <c r="D577" t="s">
        <v>37</v>
      </c>
      <c r="F577">
        <v>2</v>
      </c>
      <c r="G577">
        <v>8</v>
      </c>
      <c r="H577">
        <v>4</v>
      </c>
      <c r="I577">
        <v>58</v>
      </c>
      <c r="J577" s="6"/>
      <c r="K577" s="122">
        <v>45555</v>
      </c>
      <c r="L577" t="s">
        <v>739</v>
      </c>
    </row>
    <row r="578" spans="1:13" hidden="1" x14ac:dyDescent="0.35">
      <c r="A578" t="s">
        <v>24</v>
      </c>
      <c r="D578" t="s">
        <v>335</v>
      </c>
      <c r="F578">
        <v>3</v>
      </c>
      <c r="G578">
        <v>1</v>
      </c>
      <c r="H578">
        <v>1</v>
      </c>
      <c r="I578">
        <v>3</v>
      </c>
      <c r="K578" s="122">
        <v>45442</v>
      </c>
      <c r="L578" t="s">
        <v>737</v>
      </c>
      <c r="M578">
        <v>4.7</v>
      </c>
    </row>
    <row r="579" spans="1:13" hidden="1" x14ac:dyDescent="0.35">
      <c r="A579" t="s">
        <v>24</v>
      </c>
      <c r="D579" t="s">
        <v>335</v>
      </c>
      <c r="F579">
        <v>3</v>
      </c>
      <c r="G579">
        <v>1</v>
      </c>
      <c r="H579">
        <v>1</v>
      </c>
      <c r="I579">
        <v>3</v>
      </c>
      <c r="K579" s="122">
        <v>45442</v>
      </c>
      <c r="L579" t="s">
        <v>738</v>
      </c>
      <c r="M579">
        <v>4.8</v>
      </c>
    </row>
    <row r="580" spans="1:13" hidden="1" x14ac:dyDescent="0.35">
      <c r="A580" t="s">
        <v>24</v>
      </c>
      <c r="D580" t="s">
        <v>335</v>
      </c>
      <c r="F580">
        <v>3</v>
      </c>
      <c r="G580">
        <v>1</v>
      </c>
      <c r="H580">
        <v>1</v>
      </c>
      <c r="I580">
        <v>3</v>
      </c>
      <c r="K580" s="122">
        <v>45442</v>
      </c>
      <c r="L580" t="s">
        <v>739</v>
      </c>
      <c r="M580">
        <v>4.7</v>
      </c>
    </row>
    <row r="581" spans="1:13" hidden="1" x14ac:dyDescent="0.35">
      <c r="A581" t="s">
        <v>24</v>
      </c>
      <c r="D581" t="s">
        <v>335</v>
      </c>
      <c r="F581">
        <v>3</v>
      </c>
      <c r="G581">
        <v>1</v>
      </c>
      <c r="H581">
        <v>1</v>
      </c>
      <c r="I581">
        <v>3</v>
      </c>
      <c r="K581" s="122">
        <v>45447</v>
      </c>
      <c r="L581" t="s">
        <v>737</v>
      </c>
      <c r="M581">
        <v>5.3</v>
      </c>
    </row>
    <row r="582" spans="1:13" hidden="1" x14ac:dyDescent="0.35">
      <c r="A582" t="s">
        <v>24</v>
      </c>
      <c r="D582" t="s">
        <v>335</v>
      </c>
      <c r="F582">
        <v>3</v>
      </c>
      <c r="G582">
        <v>1</v>
      </c>
      <c r="H582">
        <v>1</v>
      </c>
      <c r="I582">
        <v>3</v>
      </c>
      <c r="K582" s="122">
        <v>45447</v>
      </c>
      <c r="L582" t="s">
        <v>738</v>
      </c>
      <c r="M582">
        <v>5.3</v>
      </c>
    </row>
    <row r="583" spans="1:13" hidden="1" x14ac:dyDescent="0.35">
      <c r="A583" t="s">
        <v>24</v>
      </c>
      <c r="D583" t="s">
        <v>335</v>
      </c>
      <c r="F583">
        <v>3</v>
      </c>
      <c r="G583">
        <v>1</v>
      </c>
      <c r="H583">
        <v>1</v>
      </c>
      <c r="I583">
        <v>3</v>
      </c>
      <c r="K583" s="122">
        <v>45447</v>
      </c>
      <c r="L583" t="s">
        <v>739</v>
      </c>
      <c r="M583">
        <v>5.4</v>
      </c>
    </row>
    <row r="584" spans="1:13" hidden="1" x14ac:dyDescent="0.35">
      <c r="A584" t="s">
        <v>24</v>
      </c>
      <c r="D584" t="s">
        <v>335</v>
      </c>
      <c r="F584">
        <v>3</v>
      </c>
      <c r="G584">
        <v>1</v>
      </c>
      <c r="H584">
        <v>1</v>
      </c>
      <c r="I584">
        <v>3</v>
      </c>
      <c r="K584" s="122">
        <v>45462</v>
      </c>
      <c r="L584" t="s">
        <v>737</v>
      </c>
      <c r="M584">
        <v>5.4</v>
      </c>
    </row>
    <row r="585" spans="1:13" hidden="1" x14ac:dyDescent="0.35">
      <c r="A585" t="s">
        <v>24</v>
      </c>
      <c r="D585" t="s">
        <v>335</v>
      </c>
      <c r="F585">
        <v>3</v>
      </c>
      <c r="G585">
        <v>1</v>
      </c>
      <c r="H585">
        <v>1</v>
      </c>
      <c r="I585">
        <v>3</v>
      </c>
      <c r="K585" s="122">
        <v>45462</v>
      </c>
      <c r="L585" t="s">
        <v>738</v>
      </c>
      <c r="M585">
        <v>5.4</v>
      </c>
    </row>
    <row r="586" spans="1:13" hidden="1" x14ac:dyDescent="0.35">
      <c r="A586" t="s">
        <v>24</v>
      </c>
      <c r="D586" t="s">
        <v>335</v>
      </c>
      <c r="F586">
        <v>3</v>
      </c>
      <c r="G586">
        <v>1</v>
      </c>
      <c r="H586">
        <v>1</v>
      </c>
      <c r="I586">
        <v>3</v>
      </c>
      <c r="K586" s="122">
        <v>45462</v>
      </c>
      <c r="L586" t="s">
        <v>739</v>
      </c>
      <c r="M586">
        <v>5.2</v>
      </c>
    </row>
    <row r="587" spans="1:13" hidden="1" x14ac:dyDescent="0.35">
      <c r="A587" t="s">
        <v>24</v>
      </c>
      <c r="D587" t="s">
        <v>335</v>
      </c>
      <c r="F587">
        <v>3</v>
      </c>
      <c r="G587">
        <v>1</v>
      </c>
      <c r="H587">
        <v>1</v>
      </c>
      <c r="I587">
        <v>3</v>
      </c>
      <c r="K587" s="122">
        <v>45477</v>
      </c>
      <c r="L587" t="s">
        <v>737</v>
      </c>
    </row>
    <row r="588" spans="1:13" hidden="1" x14ac:dyDescent="0.35">
      <c r="A588" t="s">
        <v>24</v>
      </c>
      <c r="D588" t="s">
        <v>335</v>
      </c>
      <c r="F588">
        <v>3</v>
      </c>
      <c r="G588">
        <v>1</v>
      </c>
      <c r="H588">
        <v>1</v>
      </c>
      <c r="I588">
        <v>3</v>
      </c>
      <c r="K588" s="122">
        <v>45477</v>
      </c>
      <c r="L588" t="s">
        <v>738</v>
      </c>
    </row>
    <row r="589" spans="1:13" hidden="1" x14ac:dyDescent="0.35">
      <c r="A589" t="s">
        <v>24</v>
      </c>
      <c r="D589" t="s">
        <v>335</v>
      </c>
      <c r="F589">
        <v>3</v>
      </c>
      <c r="G589">
        <v>1</v>
      </c>
      <c r="H589">
        <v>1</v>
      </c>
      <c r="I589">
        <v>3</v>
      </c>
      <c r="K589" s="122">
        <v>45477</v>
      </c>
      <c r="L589" t="s">
        <v>739</v>
      </c>
    </row>
    <row r="590" spans="1:13" hidden="1" x14ac:dyDescent="0.35">
      <c r="A590" t="s">
        <v>24</v>
      </c>
      <c r="D590" t="s">
        <v>335</v>
      </c>
      <c r="F590">
        <v>3</v>
      </c>
      <c r="G590">
        <v>1</v>
      </c>
      <c r="H590">
        <v>1</v>
      </c>
      <c r="I590">
        <v>3</v>
      </c>
      <c r="K590" s="122">
        <v>45485</v>
      </c>
      <c r="L590" t="s">
        <v>737</v>
      </c>
      <c r="M590">
        <v>6.7</v>
      </c>
    </row>
    <row r="591" spans="1:13" hidden="1" x14ac:dyDescent="0.35">
      <c r="A591" t="s">
        <v>24</v>
      </c>
      <c r="D591" t="s">
        <v>335</v>
      </c>
      <c r="F591">
        <v>3</v>
      </c>
      <c r="G591">
        <v>1</v>
      </c>
      <c r="H591">
        <v>1</v>
      </c>
      <c r="I591">
        <v>3</v>
      </c>
      <c r="K591" s="122">
        <v>45485</v>
      </c>
      <c r="L591" t="s">
        <v>738</v>
      </c>
      <c r="M591">
        <v>6.8</v>
      </c>
    </row>
    <row r="592" spans="1:13" hidden="1" x14ac:dyDescent="0.35">
      <c r="A592" t="s">
        <v>24</v>
      </c>
      <c r="D592" t="s">
        <v>335</v>
      </c>
      <c r="F592">
        <v>3</v>
      </c>
      <c r="G592">
        <v>1</v>
      </c>
      <c r="H592">
        <v>1</v>
      </c>
      <c r="I592">
        <v>3</v>
      </c>
      <c r="K592" s="122">
        <v>45485</v>
      </c>
      <c r="L592" t="s">
        <v>739</v>
      </c>
      <c r="M592">
        <v>6.5</v>
      </c>
    </row>
    <row r="593" spans="1:13" hidden="1" x14ac:dyDescent="0.35">
      <c r="A593" t="s">
        <v>24</v>
      </c>
      <c r="D593" t="s">
        <v>335</v>
      </c>
      <c r="F593">
        <v>3</v>
      </c>
      <c r="G593">
        <v>1</v>
      </c>
      <c r="H593">
        <v>1</v>
      </c>
      <c r="I593">
        <v>3</v>
      </c>
      <c r="K593" s="122">
        <v>45492</v>
      </c>
      <c r="L593" t="s">
        <v>737</v>
      </c>
      <c r="M593">
        <v>7.3</v>
      </c>
    </row>
    <row r="594" spans="1:13" hidden="1" x14ac:dyDescent="0.35">
      <c r="A594" t="s">
        <v>24</v>
      </c>
      <c r="D594" t="s">
        <v>335</v>
      </c>
      <c r="F594">
        <v>3</v>
      </c>
      <c r="G594">
        <v>1</v>
      </c>
      <c r="H594">
        <v>1</v>
      </c>
      <c r="I594">
        <v>3</v>
      </c>
      <c r="K594" s="122">
        <v>45492</v>
      </c>
      <c r="L594" t="s">
        <v>738</v>
      </c>
      <c r="M594">
        <v>7.4</v>
      </c>
    </row>
    <row r="595" spans="1:13" hidden="1" x14ac:dyDescent="0.35">
      <c r="A595" t="s">
        <v>24</v>
      </c>
      <c r="D595" t="s">
        <v>335</v>
      </c>
      <c r="F595">
        <v>3</v>
      </c>
      <c r="G595">
        <v>1</v>
      </c>
      <c r="H595">
        <v>1</v>
      </c>
      <c r="I595">
        <v>3</v>
      </c>
      <c r="K595" s="122">
        <v>45492</v>
      </c>
      <c r="L595" t="s">
        <v>739</v>
      </c>
      <c r="M595">
        <v>7</v>
      </c>
    </row>
    <row r="596" spans="1:13" hidden="1" x14ac:dyDescent="0.35">
      <c r="A596" t="s">
        <v>24</v>
      </c>
      <c r="D596" t="s">
        <v>335</v>
      </c>
      <c r="F596">
        <v>3</v>
      </c>
      <c r="G596">
        <v>1</v>
      </c>
      <c r="H596">
        <v>1</v>
      </c>
      <c r="I596">
        <v>3</v>
      </c>
      <c r="K596" s="122">
        <v>45509</v>
      </c>
      <c r="L596" t="s">
        <v>737</v>
      </c>
      <c r="M596">
        <v>8.5</v>
      </c>
    </row>
    <row r="597" spans="1:13" hidden="1" x14ac:dyDescent="0.35">
      <c r="A597" t="s">
        <v>24</v>
      </c>
      <c r="D597" t="s">
        <v>335</v>
      </c>
      <c r="F597">
        <v>3</v>
      </c>
      <c r="G597">
        <v>1</v>
      </c>
      <c r="H597">
        <v>1</v>
      </c>
      <c r="I597">
        <v>3</v>
      </c>
      <c r="K597" s="122">
        <v>45509</v>
      </c>
      <c r="L597" t="s">
        <v>738</v>
      </c>
      <c r="M597">
        <v>8.5</v>
      </c>
    </row>
    <row r="598" spans="1:13" hidden="1" x14ac:dyDescent="0.35">
      <c r="A598" t="s">
        <v>24</v>
      </c>
      <c r="D598" t="s">
        <v>335</v>
      </c>
      <c r="F598">
        <v>3</v>
      </c>
      <c r="G598">
        <v>1</v>
      </c>
      <c r="H598">
        <v>1</v>
      </c>
      <c r="I598">
        <v>3</v>
      </c>
      <c r="K598" s="122">
        <v>45509</v>
      </c>
      <c r="L598" t="s">
        <v>739</v>
      </c>
      <c r="M598">
        <v>8.4</v>
      </c>
    </row>
    <row r="599" spans="1:13" hidden="1" x14ac:dyDescent="0.35">
      <c r="A599" t="s">
        <v>24</v>
      </c>
      <c r="D599" t="s">
        <v>335</v>
      </c>
      <c r="F599">
        <v>3</v>
      </c>
      <c r="G599">
        <v>1</v>
      </c>
      <c r="H599">
        <v>1</v>
      </c>
      <c r="I599">
        <v>3</v>
      </c>
      <c r="K599" s="122">
        <v>45519</v>
      </c>
      <c r="L599" t="s">
        <v>737</v>
      </c>
      <c r="M599">
        <v>9.5</v>
      </c>
    </row>
    <row r="600" spans="1:13" hidden="1" x14ac:dyDescent="0.35">
      <c r="A600" t="s">
        <v>24</v>
      </c>
      <c r="D600" t="s">
        <v>335</v>
      </c>
      <c r="F600">
        <v>3</v>
      </c>
      <c r="G600">
        <v>1</v>
      </c>
      <c r="H600">
        <v>1</v>
      </c>
      <c r="I600">
        <v>3</v>
      </c>
      <c r="K600" s="122">
        <v>45519</v>
      </c>
      <c r="L600" t="s">
        <v>738</v>
      </c>
      <c r="M600">
        <v>9.3000000000000007</v>
      </c>
    </row>
    <row r="601" spans="1:13" hidden="1" x14ac:dyDescent="0.35">
      <c r="A601" t="s">
        <v>24</v>
      </c>
      <c r="D601" t="s">
        <v>335</v>
      </c>
      <c r="F601">
        <v>3</v>
      </c>
      <c r="G601">
        <v>1</v>
      </c>
      <c r="H601">
        <v>1</v>
      </c>
      <c r="I601">
        <v>3</v>
      </c>
      <c r="K601" s="122">
        <v>45519</v>
      </c>
      <c r="L601" t="s">
        <v>739</v>
      </c>
      <c r="M601">
        <v>9.3000000000000007</v>
      </c>
    </row>
    <row r="602" spans="1:13" hidden="1" x14ac:dyDescent="0.35">
      <c r="A602" t="s">
        <v>24</v>
      </c>
      <c r="D602" t="s">
        <v>335</v>
      </c>
      <c r="F602">
        <v>3</v>
      </c>
      <c r="G602">
        <v>1</v>
      </c>
      <c r="H602">
        <v>1</v>
      </c>
      <c r="I602">
        <v>3</v>
      </c>
      <c r="K602" s="122">
        <v>45530</v>
      </c>
      <c r="L602" t="s">
        <v>737</v>
      </c>
      <c r="M602">
        <v>10.4</v>
      </c>
    </row>
    <row r="603" spans="1:13" hidden="1" x14ac:dyDescent="0.35">
      <c r="A603" t="s">
        <v>24</v>
      </c>
      <c r="D603" t="s">
        <v>335</v>
      </c>
      <c r="F603">
        <v>3</v>
      </c>
      <c r="G603">
        <v>1</v>
      </c>
      <c r="H603">
        <v>1</v>
      </c>
      <c r="I603">
        <v>3</v>
      </c>
      <c r="K603" s="122">
        <v>45530</v>
      </c>
      <c r="L603" t="s">
        <v>738</v>
      </c>
      <c r="M603">
        <v>10.6</v>
      </c>
    </row>
    <row r="604" spans="1:13" hidden="1" x14ac:dyDescent="0.35">
      <c r="A604" t="s">
        <v>24</v>
      </c>
      <c r="D604" t="s">
        <v>335</v>
      </c>
      <c r="F604">
        <v>3</v>
      </c>
      <c r="G604">
        <v>1</v>
      </c>
      <c r="H604">
        <v>1</v>
      </c>
      <c r="I604">
        <v>3</v>
      </c>
      <c r="K604" s="122">
        <v>45530</v>
      </c>
      <c r="L604" t="s">
        <v>739</v>
      </c>
      <c r="M604">
        <v>10.3</v>
      </c>
    </row>
    <row r="605" spans="1:13" hidden="1" x14ac:dyDescent="0.35">
      <c r="A605" t="s">
        <v>24</v>
      </c>
      <c r="D605" t="s">
        <v>335</v>
      </c>
      <c r="F605">
        <v>3</v>
      </c>
      <c r="G605">
        <v>1</v>
      </c>
      <c r="H605">
        <v>1</v>
      </c>
      <c r="I605">
        <v>3</v>
      </c>
      <c r="K605" s="122">
        <v>45538</v>
      </c>
      <c r="L605" t="s">
        <v>737</v>
      </c>
      <c r="M605">
        <v>11</v>
      </c>
    </row>
    <row r="606" spans="1:13" hidden="1" x14ac:dyDescent="0.35">
      <c r="A606" t="s">
        <v>24</v>
      </c>
      <c r="D606" t="s">
        <v>335</v>
      </c>
      <c r="F606">
        <v>3</v>
      </c>
      <c r="G606">
        <v>1</v>
      </c>
      <c r="H606">
        <v>1</v>
      </c>
      <c r="I606">
        <v>3</v>
      </c>
      <c r="K606" s="122">
        <v>45538</v>
      </c>
      <c r="L606" t="s">
        <v>738</v>
      </c>
      <c r="M606">
        <v>11</v>
      </c>
    </row>
    <row r="607" spans="1:13" hidden="1" x14ac:dyDescent="0.35">
      <c r="A607" t="s">
        <v>24</v>
      </c>
      <c r="D607" t="s">
        <v>335</v>
      </c>
      <c r="F607">
        <v>3</v>
      </c>
      <c r="G607">
        <v>1</v>
      </c>
      <c r="H607">
        <v>1</v>
      </c>
      <c r="I607">
        <v>3</v>
      </c>
      <c r="K607" s="122">
        <v>45538</v>
      </c>
      <c r="L607" t="s">
        <v>739</v>
      </c>
      <c r="M607">
        <v>11</v>
      </c>
    </row>
    <row r="608" spans="1:13" hidden="1" x14ac:dyDescent="0.35">
      <c r="A608" t="s">
        <v>24</v>
      </c>
      <c r="D608" t="s">
        <v>335</v>
      </c>
      <c r="F608">
        <v>3</v>
      </c>
      <c r="G608">
        <v>1</v>
      </c>
      <c r="H608">
        <v>1</v>
      </c>
      <c r="I608">
        <v>3</v>
      </c>
      <c r="K608" s="122">
        <v>45547</v>
      </c>
      <c r="L608" t="s">
        <v>737</v>
      </c>
      <c r="M608">
        <v>11</v>
      </c>
    </row>
    <row r="609" spans="1:13" hidden="1" x14ac:dyDescent="0.35">
      <c r="A609" t="s">
        <v>24</v>
      </c>
      <c r="D609" t="s">
        <v>335</v>
      </c>
      <c r="F609">
        <v>3</v>
      </c>
      <c r="G609">
        <v>1</v>
      </c>
      <c r="H609">
        <v>1</v>
      </c>
      <c r="I609">
        <v>3</v>
      </c>
      <c r="K609" s="122">
        <v>45547</v>
      </c>
      <c r="L609" t="s">
        <v>738</v>
      </c>
      <c r="M609">
        <v>11</v>
      </c>
    </row>
    <row r="610" spans="1:13" hidden="1" x14ac:dyDescent="0.35">
      <c r="A610" t="s">
        <v>24</v>
      </c>
      <c r="D610" t="s">
        <v>335</v>
      </c>
      <c r="F610">
        <v>3</v>
      </c>
      <c r="G610">
        <v>1</v>
      </c>
      <c r="H610">
        <v>1</v>
      </c>
      <c r="I610">
        <v>3</v>
      </c>
      <c r="K610" s="122">
        <v>45547</v>
      </c>
      <c r="L610" t="s">
        <v>739</v>
      </c>
      <c r="M610">
        <v>11</v>
      </c>
    </row>
    <row r="611" spans="1:13" hidden="1" x14ac:dyDescent="0.35">
      <c r="A611" t="s">
        <v>24</v>
      </c>
      <c r="D611" t="s">
        <v>335</v>
      </c>
      <c r="F611">
        <v>3</v>
      </c>
      <c r="G611">
        <v>1</v>
      </c>
      <c r="H611">
        <v>1</v>
      </c>
      <c r="I611">
        <v>3</v>
      </c>
      <c r="K611" s="122">
        <v>45555</v>
      </c>
      <c r="L611" t="s">
        <v>737</v>
      </c>
    </row>
    <row r="612" spans="1:13" hidden="1" x14ac:dyDescent="0.35">
      <c r="A612" t="s">
        <v>24</v>
      </c>
      <c r="D612" t="s">
        <v>335</v>
      </c>
      <c r="F612">
        <v>3</v>
      </c>
      <c r="G612">
        <v>1</v>
      </c>
      <c r="H612">
        <v>1</v>
      </c>
      <c r="I612">
        <v>3</v>
      </c>
      <c r="K612" s="122">
        <v>45555</v>
      </c>
      <c r="L612" t="s">
        <v>738</v>
      </c>
    </row>
    <row r="613" spans="1:13" hidden="1" x14ac:dyDescent="0.35">
      <c r="A613" t="s">
        <v>24</v>
      </c>
      <c r="D613" t="s">
        <v>335</v>
      </c>
      <c r="F613">
        <v>3</v>
      </c>
      <c r="G613">
        <v>1</v>
      </c>
      <c r="H613">
        <v>1</v>
      </c>
      <c r="I613">
        <v>3</v>
      </c>
      <c r="K613" s="122">
        <v>45555</v>
      </c>
      <c r="L613" t="s">
        <v>739</v>
      </c>
    </row>
    <row r="614" spans="1:13" hidden="1" x14ac:dyDescent="0.35">
      <c r="A614" t="s">
        <v>34</v>
      </c>
      <c r="D614" t="s">
        <v>43</v>
      </c>
      <c r="F614">
        <v>3</v>
      </c>
      <c r="G614">
        <v>2</v>
      </c>
      <c r="H614">
        <v>1</v>
      </c>
      <c r="I614">
        <v>11</v>
      </c>
      <c r="K614" s="122">
        <v>45442</v>
      </c>
      <c r="L614" t="s">
        <v>737</v>
      </c>
    </row>
    <row r="615" spans="1:13" hidden="1" x14ac:dyDescent="0.35">
      <c r="A615" t="s">
        <v>34</v>
      </c>
      <c r="D615" t="s">
        <v>43</v>
      </c>
      <c r="F615">
        <v>3</v>
      </c>
      <c r="G615">
        <v>2</v>
      </c>
      <c r="H615">
        <v>1</v>
      </c>
      <c r="I615">
        <v>11</v>
      </c>
      <c r="K615" s="122">
        <v>45442</v>
      </c>
      <c r="L615" t="s">
        <v>738</v>
      </c>
    </row>
    <row r="616" spans="1:13" hidden="1" x14ac:dyDescent="0.35">
      <c r="A616" t="s">
        <v>34</v>
      </c>
      <c r="D616" t="s">
        <v>43</v>
      </c>
      <c r="F616">
        <v>3</v>
      </c>
      <c r="G616">
        <v>2</v>
      </c>
      <c r="H616">
        <v>1</v>
      </c>
      <c r="I616">
        <v>11</v>
      </c>
      <c r="K616" s="122">
        <v>45442</v>
      </c>
      <c r="L616" t="s">
        <v>739</v>
      </c>
    </row>
    <row r="617" spans="1:13" hidden="1" x14ac:dyDescent="0.35">
      <c r="A617" t="s">
        <v>34</v>
      </c>
      <c r="D617" t="s">
        <v>43</v>
      </c>
      <c r="F617">
        <v>3</v>
      </c>
      <c r="G617">
        <v>2</v>
      </c>
      <c r="H617">
        <v>1</v>
      </c>
      <c r="I617">
        <v>11</v>
      </c>
      <c r="K617" s="122">
        <v>45447</v>
      </c>
      <c r="L617" t="s">
        <v>737</v>
      </c>
      <c r="M617">
        <v>1.9</v>
      </c>
    </row>
    <row r="618" spans="1:13" hidden="1" x14ac:dyDescent="0.35">
      <c r="A618" t="s">
        <v>34</v>
      </c>
      <c r="D618" t="s">
        <v>43</v>
      </c>
      <c r="F618">
        <v>3</v>
      </c>
      <c r="G618">
        <v>2</v>
      </c>
      <c r="H618">
        <v>1</v>
      </c>
      <c r="I618">
        <v>11</v>
      </c>
      <c r="K618" s="122">
        <v>45447</v>
      </c>
      <c r="L618" t="s">
        <v>738</v>
      </c>
      <c r="M618">
        <v>1.9</v>
      </c>
    </row>
    <row r="619" spans="1:13" hidden="1" x14ac:dyDescent="0.35">
      <c r="A619" t="s">
        <v>34</v>
      </c>
      <c r="D619" t="s">
        <v>43</v>
      </c>
      <c r="F619">
        <v>3</v>
      </c>
      <c r="G619">
        <v>2</v>
      </c>
      <c r="H619">
        <v>1</v>
      </c>
      <c r="I619">
        <v>11</v>
      </c>
      <c r="K619" s="122">
        <v>45447</v>
      </c>
      <c r="L619" t="s">
        <v>739</v>
      </c>
      <c r="M619">
        <v>1.9</v>
      </c>
    </row>
    <row r="620" spans="1:13" hidden="1" x14ac:dyDescent="0.35">
      <c r="A620" t="s">
        <v>34</v>
      </c>
      <c r="D620" t="s">
        <v>43</v>
      </c>
      <c r="F620">
        <v>3</v>
      </c>
      <c r="G620">
        <v>2</v>
      </c>
      <c r="H620">
        <v>1</v>
      </c>
      <c r="I620">
        <v>11</v>
      </c>
      <c r="K620" s="122">
        <v>45462</v>
      </c>
      <c r="L620" t="s">
        <v>737</v>
      </c>
      <c r="M620">
        <v>3.2</v>
      </c>
    </row>
    <row r="621" spans="1:13" hidden="1" x14ac:dyDescent="0.35">
      <c r="A621" t="s">
        <v>34</v>
      </c>
      <c r="D621" t="s">
        <v>43</v>
      </c>
      <c r="F621">
        <v>3</v>
      </c>
      <c r="G621">
        <v>2</v>
      </c>
      <c r="H621">
        <v>1</v>
      </c>
      <c r="I621">
        <v>11</v>
      </c>
      <c r="K621" s="122">
        <v>45462</v>
      </c>
      <c r="L621" t="s">
        <v>738</v>
      </c>
      <c r="M621">
        <v>3.3</v>
      </c>
    </row>
    <row r="622" spans="1:13" hidden="1" x14ac:dyDescent="0.35">
      <c r="A622" t="s">
        <v>34</v>
      </c>
      <c r="D622" t="s">
        <v>43</v>
      </c>
      <c r="F622">
        <v>3</v>
      </c>
      <c r="G622">
        <v>2</v>
      </c>
      <c r="H622">
        <v>1</v>
      </c>
      <c r="I622">
        <v>11</v>
      </c>
      <c r="K622" s="122">
        <v>45462</v>
      </c>
      <c r="L622" t="s">
        <v>739</v>
      </c>
      <c r="M622">
        <v>3.3</v>
      </c>
    </row>
    <row r="623" spans="1:13" hidden="1" x14ac:dyDescent="0.35">
      <c r="A623" t="s">
        <v>34</v>
      </c>
      <c r="D623" t="s">
        <v>43</v>
      </c>
      <c r="F623">
        <v>3</v>
      </c>
      <c r="G623">
        <v>2</v>
      </c>
      <c r="H623">
        <v>1</v>
      </c>
      <c r="I623">
        <v>11</v>
      </c>
      <c r="K623" s="122">
        <v>45477</v>
      </c>
      <c r="L623" t="s">
        <v>737</v>
      </c>
      <c r="M623">
        <v>4.3</v>
      </c>
    </row>
    <row r="624" spans="1:13" hidden="1" x14ac:dyDescent="0.35">
      <c r="A624" t="s">
        <v>34</v>
      </c>
      <c r="D624" t="s">
        <v>43</v>
      </c>
      <c r="F624">
        <v>3</v>
      </c>
      <c r="G624">
        <v>2</v>
      </c>
      <c r="H624">
        <v>1</v>
      </c>
      <c r="I624">
        <v>11</v>
      </c>
      <c r="K624" s="122">
        <v>45477</v>
      </c>
      <c r="L624" t="s">
        <v>738</v>
      </c>
      <c r="M624">
        <v>4.5</v>
      </c>
    </row>
    <row r="625" spans="1:13" hidden="1" x14ac:dyDescent="0.35">
      <c r="A625" t="s">
        <v>34</v>
      </c>
      <c r="D625" t="s">
        <v>43</v>
      </c>
      <c r="F625">
        <v>3</v>
      </c>
      <c r="G625">
        <v>2</v>
      </c>
      <c r="H625">
        <v>1</v>
      </c>
      <c r="I625">
        <v>11</v>
      </c>
      <c r="K625" s="122">
        <v>45477</v>
      </c>
      <c r="L625" t="s">
        <v>739</v>
      </c>
      <c r="M625">
        <v>4.5</v>
      </c>
    </row>
    <row r="626" spans="1:13" hidden="1" x14ac:dyDescent="0.35">
      <c r="A626" t="s">
        <v>34</v>
      </c>
      <c r="D626" t="s">
        <v>43</v>
      </c>
      <c r="F626">
        <v>3</v>
      </c>
      <c r="G626">
        <v>2</v>
      </c>
      <c r="H626">
        <v>1</v>
      </c>
      <c r="I626">
        <v>11</v>
      </c>
      <c r="K626" s="122">
        <v>45485</v>
      </c>
      <c r="L626" t="s">
        <v>737</v>
      </c>
    </row>
    <row r="627" spans="1:13" hidden="1" x14ac:dyDescent="0.35">
      <c r="A627" t="s">
        <v>34</v>
      </c>
      <c r="D627" t="s">
        <v>43</v>
      </c>
      <c r="F627">
        <v>3</v>
      </c>
      <c r="G627">
        <v>2</v>
      </c>
      <c r="H627">
        <v>1</v>
      </c>
      <c r="I627">
        <v>11</v>
      </c>
      <c r="K627" s="122">
        <v>45485</v>
      </c>
      <c r="L627" t="s">
        <v>738</v>
      </c>
    </row>
    <row r="628" spans="1:13" hidden="1" x14ac:dyDescent="0.35">
      <c r="A628" t="s">
        <v>34</v>
      </c>
      <c r="D628" t="s">
        <v>43</v>
      </c>
      <c r="F628">
        <v>3</v>
      </c>
      <c r="G628">
        <v>2</v>
      </c>
      <c r="H628">
        <v>1</v>
      </c>
      <c r="I628">
        <v>11</v>
      </c>
      <c r="K628" s="122">
        <v>45485</v>
      </c>
      <c r="L628" t="s">
        <v>739</v>
      </c>
    </row>
    <row r="629" spans="1:13" hidden="1" x14ac:dyDescent="0.35">
      <c r="A629" t="s">
        <v>34</v>
      </c>
      <c r="D629" t="s">
        <v>43</v>
      </c>
      <c r="F629">
        <v>3</v>
      </c>
      <c r="G629">
        <v>2</v>
      </c>
      <c r="H629">
        <v>1</v>
      </c>
      <c r="I629">
        <v>11</v>
      </c>
      <c r="K629" s="122">
        <v>45492</v>
      </c>
      <c r="L629" t="s">
        <v>737</v>
      </c>
      <c r="M629">
        <v>5.9</v>
      </c>
    </row>
    <row r="630" spans="1:13" hidden="1" x14ac:dyDescent="0.35">
      <c r="A630" t="s">
        <v>34</v>
      </c>
      <c r="D630" t="s">
        <v>43</v>
      </c>
      <c r="F630">
        <v>3</v>
      </c>
      <c r="G630">
        <v>2</v>
      </c>
      <c r="H630">
        <v>1</v>
      </c>
      <c r="I630">
        <v>11</v>
      </c>
      <c r="K630" s="122">
        <v>45492</v>
      </c>
      <c r="L630" t="s">
        <v>738</v>
      </c>
      <c r="M630">
        <v>5.7</v>
      </c>
    </row>
    <row r="631" spans="1:13" hidden="1" x14ac:dyDescent="0.35">
      <c r="A631" t="s">
        <v>34</v>
      </c>
      <c r="D631" t="s">
        <v>43</v>
      </c>
      <c r="F631">
        <v>3</v>
      </c>
      <c r="G631">
        <v>2</v>
      </c>
      <c r="H631">
        <v>1</v>
      </c>
      <c r="I631">
        <v>11</v>
      </c>
      <c r="K631" s="122">
        <v>45492</v>
      </c>
      <c r="L631" t="s">
        <v>739</v>
      </c>
      <c r="M631">
        <v>5.6</v>
      </c>
    </row>
    <row r="632" spans="1:13" hidden="1" x14ac:dyDescent="0.35">
      <c r="A632" t="s">
        <v>34</v>
      </c>
      <c r="D632" t="s">
        <v>43</v>
      </c>
      <c r="F632">
        <v>3</v>
      </c>
      <c r="G632">
        <v>2</v>
      </c>
      <c r="H632">
        <v>1</v>
      </c>
      <c r="I632">
        <v>11</v>
      </c>
      <c r="K632" s="122">
        <v>45509</v>
      </c>
      <c r="L632" t="s">
        <v>737</v>
      </c>
      <c r="M632">
        <v>6.9</v>
      </c>
    </row>
    <row r="633" spans="1:13" hidden="1" x14ac:dyDescent="0.35">
      <c r="A633" t="s">
        <v>34</v>
      </c>
      <c r="D633" t="s">
        <v>43</v>
      </c>
      <c r="F633">
        <v>3</v>
      </c>
      <c r="G633">
        <v>2</v>
      </c>
      <c r="H633">
        <v>1</v>
      </c>
      <c r="I633">
        <v>11</v>
      </c>
      <c r="K633" s="122">
        <v>45509</v>
      </c>
      <c r="L633" t="s">
        <v>738</v>
      </c>
      <c r="M633">
        <v>7</v>
      </c>
    </row>
    <row r="634" spans="1:13" hidden="1" x14ac:dyDescent="0.35">
      <c r="A634" t="s">
        <v>34</v>
      </c>
      <c r="D634" t="s">
        <v>43</v>
      </c>
      <c r="F634">
        <v>3</v>
      </c>
      <c r="G634">
        <v>2</v>
      </c>
      <c r="H634">
        <v>1</v>
      </c>
      <c r="I634">
        <v>11</v>
      </c>
      <c r="K634" s="122">
        <v>45509</v>
      </c>
      <c r="L634" t="s">
        <v>739</v>
      </c>
      <c r="M634">
        <v>7.3</v>
      </c>
    </row>
    <row r="635" spans="1:13" hidden="1" x14ac:dyDescent="0.35">
      <c r="A635" t="s">
        <v>34</v>
      </c>
      <c r="D635" t="s">
        <v>43</v>
      </c>
      <c r="F635">
        <v>3</v>
      </c>
      <c r="G635">
        <v>2</v>
      </c>
      <c r="H635">
        <v>1</v>
      </c>
      <c r="I635">
        <v>11</v>
      </c>
      <c r="K635" s="122">
        <v>45519</v>
      </c>
      <c r="L635" t="s">
        <v>737</v>
      </c>
      <c r="M635">
        <v>8.3000000000000007</v>
      </c>
    </row>
    <row r="636" spans="1:13" hidden="1" x14ac:dyDescent="0.35">
      <c r="A636" t="s">
        <v>34</v>
      </c>
      <c r="D636" t="s">
        <v>43</v>
      </c>
      <c r="F636">
        <v>3</v>
      </c>
      <c r="G636">
        <v>2</v>
      </c>
      <c r="H636">
        <v>1</v>
      </c>
      <c r="I636">
        <v>11</v>
      </c>
      <c r="K636" s="122">
        <v>45519</v>
      </c>
      <c r="L636" t="s">
        <v>738</v>
      </c>
      <c r="M636">
        <v>7.8</v>
      </c>
    </row>
    <row r="637" spans="1:13" hidden="1" x14ac:dyDescent="0.35">
      <c r="A637" t="s">
        <v>34</v>
      </c>
      <c r="D637" t="s">
        <v>43</v>
      </c>
      <c r="F637">
        <v>3</v>
      </c>
      <c r="G637">
        <v>2</v>
      </c>
      <c r="H637">
        <v>1</v>
      </c>
      <c r="I637">
        <v>11</v>
      </c>
      <c r="K637" s="122">
        <v>45519</v>
      </c>
      <c r="L637" t="s">
        <v>739</v>
      </c>
      <c r="M637">
        <v>7.7</v>
      </c>
    </row>
    <row r="638" spans="1:13" hidden="1" x14ac:dyDescent="0.35">
      <c r="A638" t="s">
        <v>34</v>
      </c>
      <c r="D638" t="s">
        <v>43</v>
      </c>
      <c r="F638">
        <v>3</v>
      </c>
      <c r="G638">
        <v>2</v>
      </c>
      <c r="H638">
        <v>1</v>
      </c>
      <c r="I638">
        <v>11</v>
      </c>
      <c r="K638" s="122">
        <v>45530</v>
      </c>
      <c r="L638" t="s">
        <v>737</v>
      </c>
      <c r="M638">
        <v>9.1999999999999993</v>
      </c>
    </row>
    <row r="639" spans="1:13" hidden="1" x14ac:dyDescent="0.35">
      <c r="A639" t="s">
        <v>34</v>
      </c>
      <c r="D639" t="s">
        <v>43</v>
      </c>
      <c r="F639">
        <v>3</v>
      </c>
      <c r="G639">
        <v>2</v>
      </c>
      <c r="H639">
        <v>1</v>
      </c>
      <c r="I639">
        <v>11</v>
      </c>
      <c r="K639" s="122">
        <v>45530</v>
      </c>
      <c r="L639" t="s">
        <v>738</v>
      </c>
      <c r="M639">
        <v>8.9</v>
      </c>
    </row>
    <row r="640" spans="1:13" hidden="1" x14ac:dyDescent="0.35">
      <c r="A640" t="s">
        <v>34</v>
      </c>
      <c r="D640" t="s">
        <v>43</v>
      </c>
      <c r="F640">
        <v>3</v>
      </c>
      <c r="G640">
        <v>2</v>
      </c>
      <c r="H640">
        <v>1</v>
      </c>
      <c r="I640">
        <v>11</v>
      </c>
      <c r="K640" s="122">
        <v>45530</v>
      </c>
      <c r="L640" t="s">
        <v>739</v>
      </c>
      <c r="M640">
        <v>8.9</v>
      </c>
    </row>
    <row r="641" spans="1:13" hidden="1" x14ac:dyDescent="0.35">
      <c r="A641" t="s">
        <v>34</v>
      </c>
      <c r="D641" t="s">
        <v>43</v>
      </c>
      <c r="F641">
        <v>3</v>
      </c>
      <c r="G641">
        <v>2</v>
      </c>
      <c r="H641">
        <v>1</v>
      </c>
      <c r="I641">
        <v>11</v>
      </c>
      <c r="K641" s="122">
        <v>45538</v>
      </c>
      <c r="L641" t="s">
        <v>737</v>
      </c>
      <c r="M641">
        <v>9.9</v>
      </c>
    </row>
    <row r="642" spans="1:13" hidden="1" x14ac:dyDescent="0.35">
      <c r="A642" t="s">
        <v>34</v>
      </c>
      <c r="D642" t="s">
        <v>43</v>
      </c>
      <c r="F642">
        <v>3</v>
      </c>
      <c r="G642">
        <v>2</v>
      </c>
      <c r="H642">
        <v>1</v>
      </c>
      <c r="I642">
        <v>11</v>
      </c>
      <c r="K642" s="122">
        <v>45538</v>
      </c>
      <c r="L642" t="s">
        <v>738</v>
      </c>
      <c r="M642">
        <v>9.6</v>
      </c>
    </row>
    <row r="643" spans="1:13" hidden="1" x14ac:dyDescent="0.35">
      <c r="A643" t="s">
        <v>34</v>
      </c>
      <c r="D643" t="s">
        <v>43</v>
      </c>
      <c r="F643">
        <v>3</v>
      </c>
      <c r="G643">
        <v>2</v>
      </c>
      <c r="H643">
        <v>1</v>
      </c>
      <c r="I643">
        <v>11</v>
      </c>
      <c r="K643" s="122">
        <v>45538</v>
      </c>
      <c r="L643" t="s">
        <v>739</v>
      </c>
      <c r="M643">
        <v>9.5</v>
      </c>
    </row>
    <row r="644" spans="1:13" hidden="1" x14ac:dyDescent="0.35">
      <c r="A644" t="s">
        <v>34</v>
      </c>
      <c r="D644" t="s">
        <v>43</v>
      </c>
      <c r="F644">
        <v>3</v>
      </c>
      <c r="G644">
        <v>2</v>
      </c>
      <c r="H644">
        <v>1</v>
      </c>
      <c r="I644">
        <v>11</v>
      </c>
      <c r="K644" s="122">
        <v>45547</v>
      </c>
      <c r="L644" t="s">
        <v>737</v>
      </c>
      <c r="M644">
        <v>10</v>
      </c>
    </row>
    <row r="645" spans="1:13" hidden="1" x14ac:dyDescent="0.35">
      <c r="A645" t="s">
        <v>34</v>
      </c>
      <c r="D645" t="s">
        <v>43</v>
      </c>
      <c r="F645">
        <v>3</v>
      </c>
      <c r="G645">
        <v>2</v>
      </c>
      <c r="H645">
        <v>1</v>
      </c>
      <c r="I645">
        <v>11</v>
      </c>
      <c r="K645" s="122">
        <v>45547</v>
      </c>
      <c r="L645" t="s">
        <v>738</v>
      </c>
      <c r="M645">
        <v>10</v>
      </c>
    </row>
    <row r="646" spans="1:13" hidden="1" x14ac:dyDescent="0.35">
      <c r="A646" t="s">
        <v>34</v>
      </c>
      <c r="D646" t="s">
        <v>43</v>
      </c>
      <c r="F646">
        <v>3</v>
      </c>
      <c r="G646">
        <v>2</v>
      </c>
      <c r="H646">
        <v>1</v>
      </c>
      <c r="I646">
        <v>11</v>
      </c>
      <c r="K646" s="122">
        <v>45547</v>
      </c>
      <c r="L646" t="s">
        <v>739</v>
      </c>
    </row>
    <row r="647" spans="1:13" hidden="1" x14ac:dyDescent="0.35">
      <c r="A647" t="s">
        <v>34</v>
      </c>
      <c r="D647" t="s">
        <v>43</v>
      </c>
      <c r="F647">
        <v>3</v>
      </c>
      <c r="G647">
        <v>2</v>
      </c>
      <c r="H647">
        <v>1</v>
      </c>
      <c r="I647">
        <v>11</v>
      </c>
      <c r="K647" s="122">
        <v>45555</v>
      </c>
      <c r="L647" t="s">
        <v>737</v>
      </c>
    </row>
    <row r="648" spans="1:13" hidden="1" x14ac:dyDescent="0.35">
      <c r="A648" t="s">
        <v>34</v>
      </c>
      <c r="D648" t="s">
        <v>43</v>
      </c>
      <c r="F648">
        <v>3</v>
      </c>
      <c r="G648">
        <v>2</v>
      </c>
      <c r="H648">
        <v>1</v>
      </c>
      <c r="I648">
        <v>11</v>
      </c>
      <c r="K648" s="122">
        <v>45555</v>
      </c>
      <c r="L648" t="s">
        <v>738</v>
      </c>
    </row>
    <row r="649" spans="1:13" hidden="1" x14ac:dyDescent="0.35">
      <c r="A649" t="s">
        <v>34</v>
      </c>
      <c r="D649" t="s">
        <v>43</v>
      </c>
      <c r="F649">
        <v>3</v>
      </c>
      <c r="G649">
        <v>2</v>
      </c>
      <c r="H649">
        <v>1</v>
      </c>
      <c r="I649">
        <v>11</v>
      </c>
      <c r="K649" s="122">
        <v>45555</v>
      </c>
      <c r="L649" t="s">
        <v>739</v>
      </c>
    </row>
    <row r="650" spans="1:13" hidden="1" x14ac:dyDescent="0.35">
      <c r="A650" t="s">
        <v>24</v>
      </c>
      <c r="D650" t="s">
        <v>26</v>
      </c>
      <c r="F650">
        <v>3</v>
      </c>
      <c r="G650">
        <v>3</v>
      </c>
      <c r="H650">
        <v>2</v>
      </c>
      <c r="I650">
        <v>19</v>
      </c>
      <c r="K650" s="122">
        <v>45442</v>
      </c>
      <c r="L650" t="s">
        <v>737</v>
      </c>
      <c r="M650">
        <v>4.4000000000000004</v>
      </c>
    </row>
    <row r="651" spans="1:13" hidden="1" x14ac:dyDescent="0.35">
      <c r="A651" t="s">
        <v>24</v>
      </c>
      <c r="D651" t="s">
        <v>26</v>
      </c>
      <c r="F651">
        <v>3</v>
      </c>
      <c r="G651">
        <v>3</v>
      </c>
      <c r="H651">
        <v>2</v>
      </c>
      <c r="I651">
        <v>19</v>
      </c>
      <c r="K651" s="122">
        <v>45442</v>
      </c>
      <c r="L651" t="s">
        <v>738</v>
      </c>
      <c r="M651">
        <v>4.7</v>
      </c>
    </row>
    <row r="652" spans="1:13" hidden="1" x14ac:dyDescent="0.35">
      <c r="A652" t="s">
        <v>24</v>
      </c>
      <c r="D652" t="s">
        <v>26</v>
      </c>
      <c r="F652">
        <v>3</v>
      </c>
      <c r="G652">
        <v>3</v>
      </c>
      <c r="H652">
        <v>2</v>
      </c>
      <c r="I652">
        <v>19</v>
      </c>
      <c r="K652" s="122">
        <v>45442</v>
      </c>
      <c r="L652" t="s">
        <v>739</v>
      </c>
      <c r="M652">
        <v>4.8</v>
      </c>
    </row>
    <row r="653" spans="1:13" hidden="1" x14ac:dyDescent="0.35">
      <c r="A653" t="s">
        <v>24</v>
      </c>
      <c r="D653" t="s">
        <v>26</v>
      </c>
      <c r="F653">
        <v>3</v>
      </c>
      <c r="G653">
        <v>3</v>
      </c>
      <c r="H653">
        <v>2</v>
      </c>
      <c r="I653">
        <v>19</v>
      </c>
      <c r="K653" s="122">
        <v>45447</v>
      </c>
      <c r="L653" t="s">
        <v>737</v>
      </c>
      <c r="M653">
        <v>5.2</v>
      </c>
    </row>
    <row r="654" spans="1:13" hidden="1" x14ac:dyDescent="0.35">
      <c r="A654" t="s">
        <v>24</v>
      </c>
      <c r="D654" t="s">
        <v>26</v>
      </c>
      <c r="F654">
        <v>3</v>
      </c>
      <c r="G654">
        <v>3</v>
      </c>
      <c r="H654">
        <v>2</v>
      </c>
      <c r="I654">
        <v>19</v>
      </c>
      <c r="K654" s="122">
        <v>45447</v>
      </c>
      <c r="L654" t="s">
        <v>738</v>
      </c>
      <c r="M654">
        <v>5.3</v>
      </c>
    </row>
    <row r="655" spans="1:13" hidden="1" x14ac:dyDescent="0.35">
      <c r="A655" t="s">
        <v>24</v>
      </c>
      <c r="D655" t="s">
        <v>26</v>
      </c>
      <c r="F655">
        <v>3</v>
      </c>
      <c r="G655">
        <v>3</v>
      </c>
      <c r="H655">
        <v>2</v>
      </c>
      <c r="I655">
        <v>19</v>
      </c>
      <c r="K655" s="122">
        <v>45447</v>
      </c>
      <c r="L655" t="s">
        <v>739</v>
      </c>
      <c r="M655">
        <v>5.3</v>
      </c>
    </row>
    <row r="656" spans="1:13" hidden="1" x14ac:dyDescent="0.35">
      <c r="A656" t="s">
        <v>24</v>
      </c>
      <c r="D656" t="s">
        <v>26</v>
      </c>
      <c r="F656">
        <v>3</v>
      </c>
      <c r="G656">
        <v>3</v>
      </c>
      <c r="H656">
        <v>2</v>
      </c>
      <c r="I656">
        <v>19</v>
      </c>
      <c r="K656" s="122">
        <v>45462</v>
      </c>
      <c r="L656" t="s">
        <v>737</v>
      </c>
      <c r="M656">
        <v>5.2</v>
      </c>
    </row>
    <row r="657" spans="1:13" hidden="1" x14ac:dyDescent="0.35">
      <c r="A657" t="s">
        <v>24</v>
      </c>
      <c r="D657" t="s">
        <v>26</v>
      </c>
      <c r="F657">
        <v>3</v>
      </c>
      <c r="G657">
        <v>3</v>
      </c>
      <c r="H657">
        <v>2</v>
      </c>
      <c r="I657">
        <v>19</v>
      </c>
      <c r="K657" s="122">
        <v>45462</v>
      </c>
      <c r="L657" t="s">
        <v>738</v>
      </c>
      <c r="M657">
        <v>5.3</v>
      </c>
    </row>
    <row r="658" spans="1:13" hidden="1" x14ac:dyDescent="0.35">
      <c r="A658" t="s">
        <v>24</v>
      </c>
      <c r="D658" t="s">
        <v>26</v>
      </c>
      <c r="F658">
        <v>3</v>
      </c>
      <c r="G658">
        <v>3</v>
      </c>
      <c r="H658">
        <v>2</v>
      </c>
      <c r="I658">
        <v>19</v>
      </c>
      <c r="K658" s="122">
        <v>45462</v>
      </c>
      <c r="L658" t="s">
        <v>739</v>
      </c>
    </row>
    <row r="659" spans="1:13" hidden="1" x14ac:dyDescent="0.35">
      <c r="A659" t="s">
        <v>24</v>
      </c>
      <c r="D659" t="s">
        <v>26</v>
      </c>
      <c r="F659">
        <v>3</v>
      </c>
      <c r="G659">
        <v>3</v>
      </c>
      <c r="H659">
        <v>2</v>
      </c>
      <c r="I659">
        <v>19</v>
      </c>
      <c r="K659" s="122">
        <v>45477</v>
      </c>
      <c r="L659" t="s">
        <v>737</v>
      </c>
    </row>
    <row r="660" spans="1:13" hidden="1" x14ac:dyDescent="0.35">
      <c r="A660" t="s">
        <v>24</v>
      </c>
      <c r="D660" t="s">
        <v>26</v>
      </c>
      <c r="F660">
        <v>3</v>
      </c>
      <c r="G660">
        <v>3</v>
      </c>
      <c r="H660">
        <v>2</v>
      </c>
      <c r="I660">
        <v>19</v>
      </c>
      <c r="K660" s="122">
        <v>45477</v>
      </c>
      <c r="L660" t="s">
        <v>738</v>
      </c>
    </row>
    <row r="661" spans="1:13" hidden="1" x14ac:dyDescent="0.35">
      <c r="A661" t="s">
        <v>24</v>
      </c>
      <c r="D661" t="s">
        <v>26</v>
      </c>
      <c r="F661">
        <v>3</v>
      </c>
      <c r="G661">
        <v>3</v>
      </c>
      <c r="H661">
        <v>2</v>
      </c>
      <c r="I661">
        <v>19</v>
      </c>
      <c r="K661" s="122">
        <v>45477</v>
      </c>
      <c r="L661" t="s">
        <v>739</v>
      </c>
    </row>
    <row r="662" spans="1:13" hidden="1" x14ac:dyDescent="0.35">
      <c r="A662" t="s">
        <v>24</v>
      </c>
      <c r="D662" t="s">
        <v>26</v>
      </c>
      <c r="F662">
        <v>3</v>
      </c>
      <c r="G662">
        <v>3</v>
      </c>
      <c r="H662">
        <v>2</v>
      </c>
      <c r="I662">
        <v>19</v>
      </c>
      <c r="K662" s="122">
        <v>45485</v>
      </c>
      <c r="L662" t="s">
        <v>737</v>
      </c>
      <c r="M662">
        <v>6.3</v>
      </c>
    </row>
    <row r="663" spans="1:13" hidden="1" x14ac:dyDescent="0.35">
      <c r="A663" t="s">
        <v>24</v>
      </c>
      <c r="D663" t="s">
        <v>26</v>
      </c>
      <c r="F663">
        <v>3</v>
      </c>
      <c r="G663">
        <v>3</v>
      </c>
      <c r="H663">
        <v>2</v>
      </c>
      <c r="I663">
        <v>19</v>
      </c>
      <c r="K663" s="122">
        <v>45485</v>
      </c>
      <c r="L663" t="s">
        <v>738</v>
      </c>
      <c r="M663">
        <v>7.5</v>
      </c>
    </row>
    <row r="664" spans="1:13" hidden="1" x14ac:dyDescent="0.35">
      <c r="A664" t="s">
        <v>24</v>
      </c>
      <c r="D664" t="s">
        <v>26</v>
      </c>
      <c r="F664">
        <v>3</v>
      </c>
      <c r="G664">
        <v>3</v>
      </c>
      <c r="H664">
        <v>2</v>
      </c>
      <c r="I664">
        <v>19</v>
      </c>
      <c r="K664" s="122">
        <v>45485</v>
      </c>
      <c r="L664" t="s">
        <v>739</v>
      </c>
    </row>
    <row r="665" spans="1:13" hidden="1" x14ac:dyDescent="0.35">
      <c r="A665" t="s">
        <v>24</v>
      </c>
      <c r="D665" t="s">
        <v>26</v>
      </c>
      <c r="F665">
        <v>3</v>
      </c>
      <c r="G665">
        <v>3</v>
      </c>
      <c r="H665">
        <v>2</v>
      </c>
      <c r="I665">
        <v>19</v>
      </c>
      <c r="K665" s="122">
        <v>45492</v>
      </c>
      <c r="L665" t="s">
        <v>737</v>
      </c>
      <c r="M665">
        <v>6.7</v>
      </c>
    </row>
    <row r="666" spans="1:13" hidden="1" x14ac:dyDescent="0.35">
      <c r="A666" t="s">
        <v>24</v>
      </c>
      <c r="D666" t="s">
        <v>26</v>
      </c>
      <c r="F666">
        <v>3</v>
      </c>
      <c r="G666">
        <v>3</v>
      </c>
      <c r="H666">
        <v>2</v>
      </c>
      <c r="I666">
        <v>19</v>
      </c>
      <c r="K666" s="122">
        <v>45492</v>
      </c>
      <c r="L666" t="s">
        <v>738</v>
      </c>
      <c r="M666">
        <v>8.1</v>
      </c>
    </row>
    <row r="667" spans="1:13" hidden="1" x14ac:dyDescent="0.35">
      <c r="A667" t="s">
        <v>24</v>
      </c>
      <c r="D667" t="s">
        <v>26</v>
      </c>
      <c r="F667">
        <v>3</v>
      </c>
      <c r="G667">
        <v>3</v>
      </c>
      <c r="H667">
        <v>2</v>
      </c>
      <c r="I667">
        <v>19</v>
      </c>
      <c r="K667" s="122">
        <v>45492</v>
      </c>
      <c r="L667" t="s">
        <v>739</v>
      </c>
    </row>
    <row r="668" spans="1:13" hidden="1" x14ac:dyDescent="0.35">
      <c r="A668" t="s">
        <v>24</v>
      </c>
      <c r="D668" t="s">
        <v>26</v>
      </c>
      <c r="F668">
        <v>3</v>
      </c>
      <c r="G668">
        <v>3</v>
      </c>
      <c r="H668">
        <v>2</v>
      </c>
      <c r="I668">
        <v>19</v>
      </c>
      <c r="K668" s="122">
        <v>45509</v>
      </c>
      <c r="L668" t="s">
        <v>737</v>
      </c>
      <c r="M668">
        <v>7.6</v>
      </c>
    </row>
    <row r="669" spans="1:13" hidden="1" x14ac:dyDescent="0.35">
      <c r="A669" t="s">
        <v>24</v>
      </c>
      <c r="D669" t="s">
        <v>26</v>
      </c>
      <c r="F669">
        <v>3</v>
      </c>
      <c r="G669">
        <v>3</v>
      </c>
      <c r="H669">
        <v>2</v>
      </c>
      <c r="I669">
        <v>19</v>
      </c>
      <c r="K669" s="122">
        <v>45509</v>
      </c>
      <c r="L669" t="s">
        <v>738</v>
      </c>
      <c r="M669">
        <v>9.3000000000000007</v>
      </c>
    </row>
    <row r="670" spans="1:13" hidden="1" x14ac:dyDescent="0.35">
      <c r="A670" t="s">
        <v>24</v>
      </c>
      <c r="D670" t="s">
        <v>26</v>
      </c>
      <c r="F670">
        <v>3</v>
      </c>
      <c r="G670">
        <v>3</v>
      </c>
      <c r="H670">
        <v>2</v>
      </c>
      <c r="I670">
        <v>19</v>
      </c>
      <c r="K670" s="122">
        <v>45509</v>
      </c>
      <c r="L670" t="s">
        <v>739</v>
      </c>
    </row>
    <row r="671" spans="1:13" hidden="1" x14ac:dyDescent="0.35">
      <c r="A671" t="s">
        <v>24</v>
      </c>
      <c r="D671" t="s">
        <v>26</v>
      </c>
      <c r="F671">
        <v>3</v>
      </c>
      <c r="G671">
        <v>3</v>
      </c>
      <c r="H671">
        <v>2</v>
      </c>
      <c r="I671">
        <v>19</v>
      </c>
      <c r="K671" s="122">
        <v>45519</v>
      </c>
      <c r="L671" t="s">
        <v>737</v>
      </c>
      <c r="M671">
        <v>8.6</v>
      </c>
    </row>
    <row r="672" spans="1:13" hidden="1" x14ac:dyDescent="0.35">
      <c r="A672" t="s">
        <v>24</v>
      </c>
      <c r="D672" t="s">
        <v>26</v>
      </c>
      <c r="F672">
        <v>3</v>
      </c>
      <c r="G672">
        <v>3</v>
      </c>
      <c r="H672">
        <v>2</v>
      </c>
      <c r="I672">
        <v>19</v>
      </c>
      <c r="K672" s="122">
        <v>45519</v>
      </c>
      <c r="L672" t="s">
        <v>738</v>
      </c>
      <c r="M672">
        <v>10.1</v>
      </c>
    </row>
    <row r="673" spans="1:13" hidden="1" x14ac:dyDescent="0.35">
      <c r="A673" t="s">
        <v>24</v>
      </c>
      <c r="D673" t="s">
        <v>26</v>
      </c>
      <c r="F673">
        <v>3</v>
      </c>
      <c r="G673">
        <v>3</v>
      </c>
      <c r="H673">
        <v>2</v>
      </c>
      <c r="I673">
        <v>19</v>
      </c>
      <c r="K673" s="122">
        <v>45519</v>
      </c>
      <c r="L673" t="s">
        <v>739</v>
      </c>
    </row>
    <row r="674" spans="1:13" hidden="1" x14ac:dyDescent="0.35">
      <c r="A674" t="s">
        <v>24</v>
      </c>
      <c r="D674" t="s">
        <v>26</v>
      </c>
      <c r="F674">
        <v>3</v>
      </c>
      <c r="G674">
        <v>3</v>
      </c>
      <c r="H674">
        <v>2</v>
      </c>
      <c r="I674">
        <v>19</v>
      </c>
      <c r="K674" s="122">
        <v>45530</v>
      </c>
      <c r="L674" t="s">
        <v>737</v>
      </c>
      <c r="M674">
        <v>11.3</v>
      </c>
    </row>
    <row r="675" spans="1:13" hidden="1" x14ac:dyDescent="0.35">
      <c r="A675" t="s">
        <v>24</v>
      </c>
      <c r="D675" t="s">
        <v>26</v>
      </c>
      <c r="F675">
        <v>3</v>
      </c>
      <c r="G675">
        <v>3</v>
      </c>
      <c r="H675">
        <v>2</v>
      </c>
      <c r="I675">
        <v>19</v>
      </c>
      <c r="K675" s="122">
        <v>45530</v>
      </c>
      <c r="L675" t="s">
        <v>738</v>
      </c>
      <c r="M675">
        <v>9.6999999999999993</v>
      </c>
    </row>
    <row r="676" spans="1:13" hidden="1" x14ac:dyDescent="0.35">
      <c r="A676" t="s">
        <v>24</v>
      </c>
      <c r="D676" t="s">
        <v>26</v>
      </c>
      <c r="F676">
        <v>3</v>
      </c>
      <c r="G676">
        <v>3</v>
      </c>
      <c r="H676">
        <v>2</v>
      </c>
      <c r="I676">
        <v>19</v>
      </c>
      <c r="K676" s="122">
        <v>45530</v>
      </c>
      <c r="L676" t="s">
        <v>739</v>
      </c>
    </row>
    <row r="677" spans="1:13" hidden="1" x14ac:dyDescent="0.35">
      <c r="A677" t="s">
        <v>24</v>
      </c>
      <c r="D677" t="s">
        <v>26</v>
      </c>
      <c r="F677">
        <v>3</v>
      </c>
      <c r="G677">
        <v>3</v>
      </c>
      <c r="H677">
        <v>2</v>
      </c>
      <c r="I677">
        <v>19</v>
      </c>
      <c r="K677" s="122">
        <v>45538</v>
      </c>
      <c r="L677" t="s">
        <v>737</v>
      </c>
      <c r="M677">
        <v>10.4</v>
      </c>
    </row>
    <row r="678" spans="1:13" hidden="1" x14ac:dyDescent="0.35">
      <c r="A678" t="s">
        <v>24</v>
      </c>
      <c r="D678" t="s">
        <v>26</v>
      </c>
      <c r="F678">
        <v>3</v>
      </c>
      <c r="G678">
        <v>3</v>
      </c>
      <c r="H678">
        <v>2</v>
      </c>
      <c r="I678">
        <v>19</v>
      </c>
      <c r="K678" s="122">
        <v>45538</v>
      </c>
      <c r="L678" t="s">
        <v>738</v>
      </c>
      <c r="M678">
        <v>11.9</v>
      </c>
    </row>
    <row r="679" spans="1:13" hidden="1" x14ac:dyDescent="0.35">
      <c r="A679" t="s">
        <v>24</v>
      </c>
      <c r="D679" t="s">
        <v>26</v>
      </c>
      <c r="F679">
        <v>3</v>
      </c>
      <c r="G679">
        <v>3</v>
      </c>
      <c r="H679">
        <v>2</v>
      </c>
      <c r="I679">
        <v>19</v>
      </c>
      <c r="K679" s="122">
        <v>45538</v>
      </c>
      <c r="L679" t="s">
        <v>739</v>
      </c>
    </row>
    <row r="680" spans="1:13" hidden="1" x14ac:dyDescent="0.35">
      <c r="A680" t="s">
        <v>24</v>
      </c>
      <c r="D680" t="s">
        <v>26</v>
      </c>
      <c r="F680">
        <v>3</v>
      </c>
      <c r="G680">
        <v>3</v>
      </c>
      <c r="H680">
        <v>2</v>
      </c>
      <c r="I680">
        <v>19</v>
      </c>
      <c r="K680" s="122">
        <v>45547</v>
      </c>
      <c r="L680" t="s">
        <v>737</v>
      </c>
      <c r="M680">
        <v>10.9</v>
      </c>
    </row>
    <row r="681" spans="1:13" hidden="1" x14ac:dyDescent="0.35">
      <c r="A681" t="s">
        <v>24</v>
      </c>
      <c r="D681" t="s">
        <v>26</v>
      </c>
      <c r="F681">
        <v>3</v>
      </c>
      <c r="G681">
        <v>3</v>
      </c>
      <c r="H681">
        <v>2</v>
      </c>
      <c r="I681">
        <v>19</v>
      </c>
      <c r="K681" s="122">
        <v>45547</v>
      </c>
      <c r="L681" t="s">
        <v>738</v>
      </c>
      <c r="M681">
        <v>12.9</v>
      </c>
    </row>
    <row r="682" spans="1:13" hidden="1" x14ac:dyDescent="0.35">
      <c r="A682" t="s">
        <v>24</v>
      </c>
      <c r="D682" t="s">
        <v>26</v>
      </c>
      <c r="F682">
        <v>3</v>
      </c>
      <c r="G682">
        <v>3</v>
      </c>
      <c r="H682">
        <v>2</v>
      </c>
      <c r="I682">
        <v>19</v>
      </c>
      <c r="K682" s="122">
        <v>45547</v>
      </c>
      <c r="L682" t="s">
        <v>739</v>
      </c>
    </row>
    <row r="683" spans="1:13" hidden="1" x14ac:dyDescent="0.35">
      <c r="A683" t="s">
        <v>24</v>
      </c>
      <c r="D683" t="s">
        <v>26</v>
      </c>
      <c r="F683">
        <v>3</v>
      </c>
      <c r="G683">
        <v>3</v>
      </c>
      <c r="H683">
        <v>2</v>
      </c>
      <c r="I683">
        <v>19</v>
      </c>
      <c r="K683" s="122">
        <v>45555</v>
      </c>
      <c r="L683" t="s">
        <v>737</v>
      </c>
      <c r="M683">
        <v>11</v>
      </c>
    </row>
    <row r="684" spans="1:13" hidden="1" x14ac:dyDescent="0.35">
      <c r="A684" t="s">
        <v>24</v>
      </c>
      <c r="D684" t="s">
        <v>26</v>
      </c>
      <c r="F684">
        <v>3</v>
      </c>
      <c r="G684">
        <v>3</v>
      </c>
      <c r="H684">
        <v>2</v>
      </c>
      <c r="I684">
        <v>19</v>
      </c>
      <c r="K684" s="122">
        <v>45555</v>
      </c>
      <c r="L684" t="s">
        <v>738</v>
      </c>
      <c r="M684">
        <v>13</v>
      </c>
    </row>
    <row r="685" spans="1:13" hidden="1" x14ac:dyDescent="0.35">
      <c r="A685" t="s">
        <v>24</v>
      </c>
      <c r="D685" t="s">
        <v>26</v>
      </c>
      <c r="F685">
        <v>3</v>
      </c>
      <c r="G685">
        <v>3</v>
      </c>
      <c r="H685">
        <v>2</v>
      </c>
      <c r="I685">
        <v>19</v>
      </c>
      <c r="K685" s="122">
        <v>45555</v>
      </c>
      <c r="L685" t="s">
        <v>739</v>
      </c>
    </row>
    <row r="686" spans="1:13" hidden="1" x14ac:dyDescent="0.35">
      <c r="A686" t="s">
        <v>34</v>
      </c>
      <c r="D686" t="s">
        <v>38</v>
      </c>
      <c r="F686">
        <v>3</v>
      </c>
      <c r="G686">
        <v>4</v>
      </c>
      <c r="H686">
        <v>2</v>
      </c>
      <c r="I686">
        <v>27</v>
      </c>
      <c r="K686" s="122">
        <v>45442</v>
      </c>
      <c r="L686" t="s">
        <v>737</v>
      </c>
    </row>
    <row r="687" spans="1:13" hidden="1" x14ac:dyDescent="0.35">
      <c r="A687" t="s">
        <v>34</v>
      </c>
      <c r="D687" t="s">
        <v>38</v>
      </c>
      <c r="F687">
        <v>3</v>
      </c>
      <c r="G687">
        <v>4</v>
      </c>
      <c r="H687">
        <v>2</v>
      </c>
      <c r="I687">
        <v>27</v>
      </c>
      <c r="K687" s="122">
        <v>45442</v>
      </c>
      <c r="L687" t="s">
        <v>738</v>
      </c>
    </row>
    <row r="688" spans="1:13" hidden="1" x14ac:dyDescent="0.35">
      <c r="A688" t="s">
        <v>34</v>
      </c>
      <c r="D688" t="s">
        <v>38</v>
      </c>
      <c r="F688">
        <v>3</v>
      </c>
      <c r="G688">
        <v>4</v>
      </c>
      <c r="H688">
        <v>2</v>
      </c>
      <c r="I688">
        <v>27</v>
      </c>
      <c r="K688" s="122">
        <v>45442</v>
      </c>
      <c r="L688" t="s">
        <v>739</v>
      </c>
    </row>
    <row r="689" spans="1:13" hidden="1" x14ac:dyDescent="0.35">
      <c r="A689" t="s">
        <v>34</v>
      </c>
      <c r="D689" t="s">
        <v>38</v>
      </c>
      <c r="F689">
        <v>3</v>
      </c>
      <c r="G689">
        <v>4</v>
      </c>
      <c r="H689">
        <v>2</v>
      </c>
      <c r="I689">
        <v>27</v>
      </c>
      <c r="K689" s="122">
        <v>45447</v>
      </c>
      <c r="L689" t="s">
        <v>737</v>
      </c>
      <c r="M689">
        <v>1.8</v>
      </c>
    </row>
    <row r="690" spans="1:13" hidden="1" x14ac:dyDescent="0.35">
      <c r="A690" t="s">
        <v>34</v>
      </c>
      <c r="D690" t="s">
        <v>38</v>
      </c>
      <c r="F690">
        <v>3</v>
      </c>
      <c r="G690">
        <v>4</v>
      </c>
      <c r="H690">
        <v>2</v>
      </c>
      <c r="I690">
        <v>27</v>
      </c>
      <c r="K690" s="122">
        <v>45447</v>
      </c>
      <c r="L690" t="s">
        <v>738</v>
      </c>
      <c r="M690">
        <v>1.8</v>
      </c>
    </row>
    <row r="691" spans="1:13" hidden="1" x14ac:dyDescent="0.35">
      <c r="A691" t="s">
        <v>34</v>
      </c>
      <c r="D691" t="s">
        <v>38</v>
      </c>
      <c r="F691">
        <v>3</v>
      </c>
      <c r="G691">
        <v>4</v>
      </c>
      <c r="H691">
        <v>2</v>
      </c>
      <c r="I691">
        <v>27</v>
      </c>
      <c r="K691" s="122">
        <v>45447</v>
      </c>
      <c r="L691" t="s">
        <v>739</v>
      </c>
      <c r="M691">
        <v>1.9</v>
      </c>
    </row>
    <row r="692" spans="1:13" hidden="1" x14ac:dyDescent="0.35">
      <c r="A692" t="s">
        <v>34</v>
      </c>
      <c r="D692" t="s">
        <v>38</v>
      </c>
      <c r="F692">
        <v>3</v>
      </c>
      <c r="G692">
        <v>4</v>
      </c>
      <c r="H692">
        <v>2</v>
      </c>
      <c r="I692">
        <v>27</v>
      </c>
      <c r="K692" s="122">
        <v>45462</v>
      </c>
      <c r="L692" t="s">
        <v>737</v>
      </c>
      <c r="M692">
        <v>3.2</v>
      </c>
    </row>
    <row r="693" spans="1:13" hidden="1" x14ac:dyDescent="0.35">
      <c r="A693" t="s">
        <v>34</v>
      </c>
      <c r="D693" t="s">
        <v>38</v>
      </c>
      <c r="F693">
        <v>3</v>
      </c>
      <c r="G693">
        <v>4</v>
      </c>
      <c r="H693">
        <v>2</v>
      </c>
      <c r="I693">
        <v>27</v>
      </c>
      <c r="K693" s="122">
        <v>45462</v>
      </c>
      <c r="L693" t="s">
        <v>738</v>
      </c>
      <c r="M693">
        <v>3.4</v>
      </c>
    </row>
    <row r="694" spans="1:13" hidden="1" x14ac:dyDescent="0.35">
      <c r="A694" t="s">
        <v>34</v>
      </c>
      <c r="D694" t="s">
        <v>38</v>
      </c>
      <c r="F694">
        <v>3</v>
      </c>
      <c r="G694">
        <v>4</v>
      </c>
      <c r="H694">
        <v>2</v>
      </c>
      <c r="I694">
        <v>27</v>
      </c>
      <c r="K694" s="122">
        <v>45462</v>
      </c>
      <c r="L694" t="s">
        <v>739</v>
      </c>
      <c r="M694">
        <v>3.3</v>
      </c>
    </row>
    <row r="695" spans="1:13" hidden="1" x14ac:dyDescent="0.35">
      <c r="A695" t="s">
        <v>34</v>
      </c>
      <c r="D695" t="s">
        <v>38</v>
      </c>
      <c r="F695">
        <v>3</v>
      </c>
      <c r="G695">
        <v>4</v>
      </c>
      <c r="H695">
        <v>2</v>
      </c>
      <c r="I695">
        <v>27</v>
      </c>
      <c r="K695" s="122">
        <v>45477</v>
      </c>
      <c r="L695" t="s">
        <v>737</v>
      </c>
      <c r="M695">
        <v>4.5</v>
      </c>
    </row>
    <row r="696" spans="1:13" hidden="1" x14ac:dyDescent="0.35">
      <c r="A696" t="s">
        <v>34</v>
      </c>
      <c r="D696" t="s">
        <v>38</v>
      </c>
      <c r="F696">
        <v>3</v>
      </c>
      <c r="G696">
        <v>4</v>
      </c>
      <c r="H696">
        <v>2</v>
      </c>
      <c r="I696">
        <v>27</v>
      </c>
      <c r="K696" s="122">
        <v>45477</v>
      </c>
      <c r="L696" t="s">
        <v>738</v>
      </c>
      <c r="M696">
        <v>4.5999999999999996</v>
      </c>
    </row>
    <row r="697" spans="1:13" hidden="1" x14ac:dyDescent="0.35">
      <c r="A697" t="s">
        <v>34</v>
      </c>
      <c r="D697" t="s">
        <v>38</v>
      </c>
      <c r="F697">
        <v>3</v>
      </c>
      <c r="G697">
        <v>4</v>
      </c>
      <c r="H697">
        <v>2</v>
      </c>
      <c r="I697">
        <v>27</v>
      </c>
      <c r="K697" s="122">
        <v>45477</v>
      </c>
      <c r="L697" t="s">
        <v>739</v>
      </c>
      <c r="M697">
        <v>4.5999999999999996</v>
      </c>
    </row>
    <row r="698" spans="1:13" hidden="1" x14ac:dyDescent="0.35">
      <c r="A698" t="s">
        <v>34</v>
      </c>
      <c r="D698" t="s">
        <v>38</v>
      </c>
      <c r="F698">
        <v>3</v>
      </c>
      <c r="G698">
        <v>4</v>
      </c>
      <c r="H698">
        <v>2</v>
      </c>
      <c r="I698">
        <v>27</v>
      </c>
      <c r="K698" s="122">
        <v>45485</v>
      </c>
      <c r="L698" t="s">
        <v>737</v>
      </c>
    </row>
    <row r="699" spans="1:13" hidden="1" x14ac:dyDescent="0.35">
      <c r="A699" t="s">
        <v>34</v>
      </c>
      <c r="D699" t="s">
        <v>38</v>
      </c>
      <c r="F699">
        <v>3</v>
      </c>
      <c r="G699">
        <v>4</v>
      </c>
      <c r="H699">
        <v>2</v>
      </c>
      <c r="I699">
        <v>27</v>
      </c>
      <c r="K699" s="122">
        <v>45485</v>
      </c>
      <c r="L699" t="s">
        <v>738</v>
      </c>
    </row>
    <row r="700" spans="1:13" hidden="1" x14ac:dyDescent="0.35">
      <c r="A700" t="s">
        <v>34</v>
      </c>
      <c r="D700" t="s">
        <v>38</v>
      </c>
      <c r="F700">
        <v>3</v>
      </c>
      <c r="G700">
        <v>4</v>
      </c>
      <c r="H700">
        <v>2</v>
      </c>
      <c r="I700">
        <v>27</v>
      </c>
      <c r="K700" s="122">
        <v>45485</v>
      </c>
      <c r="L700" t="s">
        <v>739</v>
      </c>
    </row>
    <row r="701" spans="1:13" hidden="1" x14ac:dyDescent="0.35">
      <c r="A701" t="s">
        <v>34</v>
      </c>
      <c r="D701" t="s">
        <v>38</v>
      </c>
      <c r="F701">
        <v>3</v>
      </c>
      <c r="G701">
        <v>4</v>
      </c>
      <c r="H701">
        <v>2</v>
      </c>
      <c r="I701">
        <v>27</v>
      </c>
      <c r="K701" s="122">
        <v>45492</v>
      </c>
      <c r="L701" t="s">
        <v>737</v>
      </c>
      <c r="M701">
        <v>5.7</v>
      </c>
    </row>
    <row r="702" spans="1:13" hidden="1" x14ac:dyDescent="0.35">
      <c r="A702" t="s">
        <v>34</v>
      </c>
      <c r="D702" t="s">
        <v>38</v>
      </c>
      <c r="F702">
        <v>3</v>
      </c>
      <c r="G702">
        <v>4</v>
      </c>
      <c r="H702">
        <v>2</v>
      </c>
      <c r="I702">
        <v>27</v>
      </c>
      <c r="K702" s="122">
        <v>45492</v>
      </c>
      <c r="L702" t="s">
        <v>738</v>
      </c>
      <c r="M702">
        <v>5.8</v>
      </c>
    </row>
    <row r="703" spans="1:13" hidden="1" x14ac:dyDescent="0.35">
      <c r="A703" t="s">
        <v>34</v>
      </c>
      <c r="D703" t="s">
        <v>38</v>
      </c>
      <c r="F703">
        <v>3</v>
      </c>
      <c r="G703">
        <v>4</v>
      </c>
      <c r="H703">
        <v>2</v>
      </c>
      <c r="I703">
        <v>27</v>
      </c>
      <c r="K703" s="122">
        <v>45492</v>
      </c>
      <c r="L703" t="s">
        <v>739</v>
      </c>
      <c r="M703">
        <v>5.9</v>
      </c>
    </row>
    <row r="704" spans="1:13" hidden="1" x14ac:dyDescent="0.35">
      <c r="A704" t="s">
        <v>34</v>
      </c>
      <c r="D704" t="s">
        <v>38</v>
      </c>
      <c r="F704">
        <v>3</v>
      </c>
      <c r="G704">
        <v>4</v>
      </c>
      <c r="H704">
        <v>2</v>
      </c>
      <c r="I704">
        <v>27</v>
      </c>
      <c r="K704" s="122">
        <v>45509</v>
      </c>
      <c r="L704" t="s">
        <v>737</v>
      </c>
      <c r="M704">
        <v>6.8</v>
      </c>
    </row>
    <row r="705" spans="1:13" hidden="1" x14ac:dyDescent="0.35">
      <c r="A705" t="s">
        <v>34</v>
      </c>
      <c r="D705" t="s">
        <v>38</v>
      </c>
      <c r="F705">
        <v>3</v>
      </c>
      <c r="G705">
        <v>4</v>
      </c>
      <c r="H705">
        <v>2</v>
      </c>
      <c r="I705">
        <v>27</v>
      </c>
      <c r="K705" s="122">
        <v>45509</v>
      </c>
      <c r="L705" t="s">
        <v>738</v>
      </c>
      <c r="M705">
        <v>6.8</v>
      </c>
    </row>
    <row r="706" spans="1:13" hidden="1" x14ac:dyDescent="0.35">
      <c r="A706" t="s">
        <v>34</v>
      </c>
      <c r="D706" t="s">
        <v>38</v>
      </c>
      <c r="F706">
        <v>3</v>
      </c>
      <c r="G706">
        <v>4</v>
      </c>
      <c r="H706">
        <v>2</v>
      </c>
      <c r="I706">
        <v>27</v>
      </c>
      <c r="K706" s="122">
        <v>45509</v>
      </c>
      <c r="L706" t="s">
        <v>739</v>
      </c>
      <c r="M706">
        <v>7</v>
      </c>
    </row>
    <row r="707" spans="1:13" hidden="1" x14ac:dyDescent="0.35">
      <c r="A707" t="s">
        <v>34</v>
      </c>
      <c r="D707" t="s">
        <v>38</v>
      </c>
      <c r="F707">
        <v>3</v>
      </c>
      <c r="G707">
        <v>4</v>
      </c>
      <c r="H707">
        <v>2</v>
      </c>
      <c r="I707">
        <v>27</v>
      </c>
      <c r="K707" s="122">
        <v>45519</v>
      </c>
      <c r="L707" t="s">
        <v>737</v>
      </c>
      <c r="M707">
        <v>7.8</v>
      </c>
    </row>
    <row r="708" spans="1:13" hidden="1" x14ac:dyDescent="0.35">
      <c r="A708" t="s">
        <v>34</v>
      </c>
      <c r="D708" t="s">
        <v>38</v>
      </c>
      <c r="F708">
        <v>3</v>
      </c>
      <c r="G708">
        <v>4</v>
      </c>
      <c r="H708">
        <v>2</v>
      </c>
      <c r="I708">
        <v>27</v>
      </c>
      <c r="K708" s="122">
        <v>45519</v>
      </c>
      <c r="L708" t="s">
        <v>738</v>
      </c>
      <c r="M708">
        <v>7.8</v>
      </c>
    </row>
    <row r="709" spans="1:13" hidden="1" x14ac:dyDescent="0.35">
      <c r="A709" t="s">
        <v>34</v>
      </c>
      <c r="D709" t="s">
        <v>38</v>
      </c>
      <c r="F709">
        <v>3</v>
      </c>
      <c r="G709">
        <v>4</v>
      </c>
      <c r="H709">
        <v>2</v>
      </c>
      <c r="I709">
        <v>27</v>
      </c>
      <c r="K709" s="122">
        <v>45519</v>
      </c>
      <c r="L709" t="s">
        <v>739</v>
      </c>
      <c r="M709">
        <v>7.7</v>
      </c>
    </row>
    <row r="710" spans="1:13" hidden="1" x14ac:dyDescent="0.35">
      <c r="A710" t="s">
        <v>34</v>
      </c>
      <c r="D710" t="s">
        <v>38</v>
      </c>
      <c r="F710">
        <v>3</v>
      </c>
      <c r="G710">
        <v>4</v>
      </c>
      <c r="H710">
        <v>2</v>
      </c>
      <c r="I710">
        <v>27</v>
      </c>
      <c r="K710" s="122">
        <v>45530</v>
      </c>
      <c r="L710" t="s">
        <v>737</v>
      </c>
      <c r="M710">
        <v>9.1</v>
      </c>
    </row>
    <row r="711" spans="1:13" hidden="1" x14ac:dyDescent="0.35">
      <c r="A711" t="s">
        <v>34</v>
      </c>
      <c r="D711" t="s">
        <v>38</v>
      </c>
      <c r="F711">
        <v>3</v>
      </c>
      <c r="G711">
        <v>4</v>
      </c>
      <c r="H711">
        <v>2</v>
      </c>
      <c r="I711">
        <v>27</v>
      </c>
      <c r="K711" s="122">
        <v>45530</v>
      </c>
      <c r="L711" t="s">
        <v>738</v>
      </c>
      <c r="M711">
        <v>8.9</v>
      </c>
    </row>
    <row r="712" spans="1:13" hidden="1" x14ac:dyDescent="0.35">
      <c r="A712" t="s">
        <v>34</v>
      </c>
      <c r="D712" t="s">
        <v>38</v>
      </c>
      <c r="F712">
        <v>3</v>
      </c>
      <c r="G712">
        <v>4</v>
      </c>
      <c r="H712">
        <v>2</v>
      </c>
      <c r="I712">
        <v>27</v>
      </c>
      <c r="K712" s="122">
        <v>45530</v>
      </c>
      <c r="L712" t="s">
        <v>739</v>
      </c>
      <c r="M712">
        <v>8.8000000000000007</v>
      </c>
    </row>
    <row r="713" spans="1:13" hidden="1" x14ac:dyDescent="0.35">
      <c r="A713" t="s">
        <v>34</v>
      </c>
      <c r="D713" t="s">
        <v>38</v>
      </c>
      <c r="F713">
        <v>3</v>
      </c>
      <c r="G713">
        <v>4</v>
      </c>
      <c r="H713">
        <v>2</v>
      </c>
      <c r="I713">
        <v>27</v>
      </c>
      <c r="K713" s="122">
        <v>45538</v>
      </c>
      <c r="L713" t="s">
        <v>737</v>
      </c>
      <c r="M713">
        <v>9.8000000000000007</v>
      </c>
    </row>
    <row r="714" spans="1:13" hidden="1" x14ac:dyDescent="0.35">
      <c r="A714" t="s">
        <v>34</v>
      </c>
      <c r="D714" t="s">
        <v>38</v>
      </c>
      <c r="F714">
        <v>3</v>
      </c>
      <c r="G714">
        <v>4</v>
      </c>
      <c r="H714">
        <v>2</v>
      </c>
      <c r="I714">
        <v>27</v>
      </c>
      <c r="K714" s="122">
        <v>45538</v>
      </c>
      <c r="L714" t="s">
        <v>738</v>
      </c>
      <c r="M714">
        <v>9.6999999999999993</v>
      </c>
    </row>
    <row r="715" spans="1:13" hidden="1" x14ac:dyDescent="0.35">
      <c r="A715" t="s">
        <v>34</v>
      </c>
      <c r="D715" t="s">
        <v>38</v>
      </c>
      <c r="F715">
        <v>3</v>
      </c>
      <c r="G715">
        <v>4</v>
      </c>
      <c r="H715">
        <v>2</v>
      </c>
      <c r="I715">
        <v>27</v>
      </c>
      <c r="K715" s="122">
        <v>45538</v>
      </c>
      <c r="L715" t="s">
        <v>739</v>
      </c>
      <c r="M715">
        <v>9.6999999999999993</v>
      </c>
    </row>
    <row r="716" spans="1:13" hidden="1" x14ac:dyDescent="0.35">
      <c r="A716" t="s">
        <v>34</v>
      </c>
      <c r="D716" t="s">
        <v>38</v>
      </c>
      <c r="F716">
        <v>3</v>
      </c>
      <c r="G716">
        <v>4</v>
      </c>
      <c r="H716">
        <v>2</v>
      </c>
      <c r="I716">
        <v>27</v>
      </c>
      <c r="K716" s="122">
        <v>45547</v>
      </c>
      <c r="L716" t="s">
        <v>737</v>
      </c>
      <c r="M716">
        <v>10</v>
      </c>
    </row>
    <row r="717" spans="1:13" hidden="1" x14ac:dyDescent="0.35">
      <c r="A717" t="s">
        <v>34</v>
      </c>
      <c r="D717" t="s">
        <v>38</v>
      </c>
      <c r="F717">
        <v>3</v>
      </c>
      <c r="G717">
        <v>4</v>
      </c>
      <c r="H717">
        <v>2</v>
      </c>
      <c r="I717">
        <v>27</v>
      </c>
      <c r="K717" s="122">
        <v>45547</v>
      </c>
      <c r="L717" t="s">
        <v>738</v>
      </c>
      <c r="M717">
        <v>10</v>
      </c>
    </row>
    <row r="718" spans="1:13" hidden="1" x14ac:dyDescent="0.35">
      <c r="A718" t="s">
        <v>34</v>
      </c>
      <c r="D718" t="s">
        <v>38</v>
      </c>
      <c r="F718">
        <v>3</v>
      </c>
      <c r="G718">
        <v>4</v>
      </c>
      <c r="H718">
        <v>2</v>
      </c>
      <c r="I718">
        <v>27</v>
      </c>
      <c r="K718" s="122">
        <v>45547</v>
      </c>
      <c r="L718" t="s">
        <v>739</v>
      </c>
      <c r="M718">
        <v>10</v>
      </c>
    </row>
    <row r="719" spans="1:13" hidden="1" x14ac:dyDescent="0.35">
      <c r="A719" t="s">
        <v>34</v>
      </c>
      <c r="D719" t="s">
        <v>38</v>
      </c>
      <c r="F719">
        <v>3</v>
      </c>
      <c r="G719">
        <v>4</v>
      </c>
      <c r="H719">
        <v>2</v>
      </c>
      <c r="I719">
        <v>27</v>
      </c>
      <c r="K719" s="122">
        <v>45555</v>
      </c>
      <c r="L719" t="s">
        <v>737</v>
      </c>
    </row>
    <row r="720" spans="1:13" hidden="1" x14ac:dyDescent="0.35">
      <c r="A720" t="s">
        <v>34</v>
      </c>
      <c r="D720" t="s">
        <v>38</v>
      </c>
      <c r="F720">
        <v>3</v>
      </c>
      <c r="G720">
        <v>4</v>
      </c>
      <c r="H720">
        <v>2</v>
      </c>
      <c r="I720">
        <v>27</v>
      </c>
      <c r="K720" s="122">
        <v>45555</v>
      </c>
      <c r="L720" t="s">
        <v>738</v>
      </c>
    </row>
    <row r="721" spans="1:13" hidden="1" x14ac:dyDescent="0.35">
      <c r="A721" t="s">
        <v>34</v>
      </c>
      <c r="D721" t="s">
        <v>38</v>
      </c>
      <c r="F721">
        <v>3</v>
      </c>
      <c r="G721">
        <v>4</v>
      </c>
      <c r="H721">
        <v>2</v>
      </c>
      <c r="I721">
        <v>27</v>
      </c>
      <c r="K721" s="122">
        <v>45555</v>
      </c>
      <c r="L721" t="s">
        <v>739</v>
      </c>
    </row>
    <row r="722" spans="1:13" hidden="1" x14ac:dyDescent="0.35">
      <c r="A722" t="s">
        <v>24</v>
      </c>
      <c r="D722" t="s">
        <v>32</v>
      </c>
      <c r="F722">
        <v>3</v>
      </c>
      <c r="G722">
        <v>5</v>
      </c>
      <c r="H722">
        <v>3</v>
      </c>
      <c r="I722">
        <v>35</v>
      </c>
      <c r="K722" s="122">
        <v>45442</v>
      </c>
      <c r="L722" t="s">
        <v>737</v>
      </c>
    </row>
    <row r="723" spans="1:13" hidden="1" x14ac:dyDescent="0.35">
      <c r="A723" t="s">
        <v>24</v>
      </c>
      <c r="D723" t="s">
        <v>32</v>
      </c>
      <c r="F723">
        <v>3</v>
      </c>
      <c r="G723">
        <v>5</v>
      </c>
      <c r="H723">
        <v>3</v>
      </c>
      <c r="I723">
        <v>35</v>
      </c>
      <c r="K723" s="122">
        <v>45442</v>
      </c>
      <c r="L723" t="s">
        <v>738</v>
      </c>
    </row>
    <row r="724" spans="1:13" hidden="1" x14ac:dyDescent="0.35">
      <c r="A724" t="s">
        <v>24</v>
      </c>
      <c r="D724" t="s">
        <v>32</v>
      </c>
      <c r="F724">
        <v>3</v>
      </c>
      <c r="G724">
        <v>5</v>
      </c>
      <c r="H724">
        <v>3</v>
      </c>
      <c r="I724">
        <v>35</v>
      </c>
      <c r="K724" s="122">
        <v>45442</v>
      </c>
      <c r="L724" t="s">
        <v>739</v>
      </c>
    </row>
    <row r="725" spans="1:13" hidden="1" x14ac:dyDescent="0.35">
      <c r="A725" t="s">
        <v>24</v>
      </c>
      <c r="D725" t="s">
        <v>32</v>
      </c>
      <c r="F725">
        <v>3</v>
      </c>
      <c r="G725">
        <v>5</v>
      </c>
      <c r="H725">
        <v>3</v>
      </c>
      <c r="I725">
        <v>35</v>
      </c>
      <c r="K725" s="122">
        <v>45447</v>
      </c>
      <c r="L725" t="s">
        <v>737</v>
      </c>
      <c r="M725">
        <v>5.3</v>
      </c>
    </row>
    <row r="726" spans="1:13" hidden="1" x14ac:dyDescent="0.35">
      <c r="A726" t="s">
        <v>24</v>
      </c>
      <c r="D726" t="s">
        <v>32</v>
      </c>
      <c r="F726">
        <v>3</v>
      </c>
      <c r="G726">
        <v>5</v>
      </c>
      <c r="H726">
        <v>3</v>
      </c>
      <c r="I726">
        <v>35</v>
      </c>
      <c r="K726" s="122">
        <v>45447</v>
      </c>
      <c r="L726" t="s">
        <v>738</v>
      </c>
      <c r="M726">
        <v>5.3</v>
      </c>
    </row>
    <row r="727" spans="1:13" hidden="1" x14ac:dyDescent="0.35">
      <c r="A727" t="s">
        <v>24</v>
      </c>
      <c r="D727" t="s">
        <v>32</v>
      </c>
      <c r="F727">
        <v>3</v>
      </c>
      <c r="G727">
        <v>5</v>
      </c>
      <c r="H727">
        <v>3</v>
      </c>
      <c r="I727">
        <v>35</v>
      </c>
      <c r="K727" s="122">
        <v>45447</v>
      </c>
      <c r="L727" t="s">
        <v>739</v>
      </c>
      <c r="M727">
        <v>5.5</v>
      </c>
    </row>
    <row r="728" spans="1:13" hidden="1" x14ac:dyDescent="0.35">
      <c r="A728" t="s">
        <v>24</v>
      </c>
      <c r="D728" t="s">
        <v>32</v>
      </c>
      <c r="F728">
        <v>3</v>
      </c>
      <c r="G728">
        <v>5</v>
      </c>
      <c r="H728">
        <v>3</v>
      </c>
      <c r="I728">
        <v>35</v>
      </c>
      <c r="K728" s="122">
        <v>45462</v>
      </c>
      <c r="L728" t="s">
        <v>737</v>
      </c>
      <c r="M728">
        <v>6.3</v>
      </c>
    </row>
    <row r="729" spans="1:13" hidden="1" x14ac:dyDescent="0.35">
      <c r="A729" t="s">
        <v>24</v>
      </c>
      <c r="D729" t="s">
        <v>32</v>
      </c>
      <c r="F729">
        <v>3</v>
      </c>
      <c r="G729">
        <v>5</v>
      </c>
      <c r="H729">
        <v>3</v>
      </c>
      <c r="I729">
        <v>35</v>
      </c>
      <c r="K729" s="122">
        <v>45462</v>
      </c>
      <c r="L729" t="s">
        <v>738</v>
      </c>
      <c r="M729">
        <v>6.4</v>
      </c>
    </row>
    <row r="730" spans="1:13" hidden="1" x14ac:dyDescent="0.35">
      <c r="A730" t="s">
        <v>24</v>
      </c>
      <c r="D730" t="s">
        <v>32</v>
      </c>
      <c r="F730">
        <v>3</v>
      </c>
      <c r="G730">
        <v>5</v>
      </c>
      <c r="H730">
        <v>3</v>
      </c>
      <c r="I730">
        <v>35</v>
      </c>
      <c r="K730" s="122">
        <v>45462</v>
      </c>
      <c r="L730" t="s">
        <v>739</v>
      </c>
      <c r="M730">
        <v>5.5</v>
      </c>
    </row>
    <row r="731" spans="1:13" hidden="1" x14ac:dyDescent="0.35">
      <c r="A731" t="s">
        <v>24</v>
      </c>
      <c r="D731" t="s">
        <v>32</v>
      </c>
      <c r="F731">
        <v>3</v>
      </c>
      <c r="G731">
        <v>5</v>
      </c>
      <c r="H731">
        <v>3</v>
      </c>
      <c r="I731">
        <v>35</v>
      </c>
      <c r="K731" s="122">
        <v>45477</v>
      </c>
      <c r="L731" t="s">
        <v>737</v>
      </c>
    </row>
    <row r="732" spans="1:13" hidden="1" x14ac:dyDescent="0.35">
      <c r="A732" t="s">
        <v>24</v>
      </c>
      <c r="D732" t="s">
        <v>32</v>
      </c>
      <c r="F732">
        <v>3</v>
      </c>
      <c r="G732">
        <v>5</v>
      </c>
      <c r="H732">
        <v>3</v>
      </c>
      <c r="I732">
        <v>35</v>
      </c>
      <c r="K732" s="122">
        <v>45477</v>
      </c>
      <c r="L732" t="s">
        <v>738</v>
      </c>
    </row>
    <row r="733" spans="1:13" hidden="1" x14ac:dyDescent="0.35">
      <c r="A733" t="s">
        <v>24</v>
      </c>
      <c r="D733" t="s">
        <v>32</v>
      </c>
      <c r="F733">
        <v>3</v>
      </c>
      <c r="G733">
        <v>5</v>
      </c>
      <c r="H733">
        <v>3</v>
      </c>
      <c r="I733">
        <v>35</v>
      </c>
      <c r="K733" s="122">
        <v>45477</v>
      </c>
      <c r="L733" t="s">
        <v>739</v>
      </c>
    </row>
    <row r="734" spans="1:13" hidden="1" x14ac:dyDescent="0.35">
      <c r="A734" t="s">
        <v>24</v>
      </c>
      <c r="D734" t="s">
        <v>32</v>
      </c>
      <c r="F734">
        <v>3</v>
      </c>
      <c r="G734">
        <v>5</v>
      </c>
      <c r="H734">
        <v>3</v>
      </c>
      <c r="I734">
        <v>35</v>
      </c>
      <c r="K734" s="122">
        <v>45485</v>
      </c>
      <c r="L734" t="s">
        <v>737</v>
      </c>
    </row>
    <row r="735" spans="1:13" hidden="1" x14ac:dyDescent="0.35">
      <c r="A735" t="s">
        <v>24</v>
      </c>
      <c r="D735" t="s">
        <v>32</v>
      </c>
      <c r="F735">
        <v>3</v>
      </c>
      <c r="G735">
        <v>5</v>
      </c>
      <c r="H735">
        <v>3</v>
      </c>
      <c r="I735">
        <v>35</v>
      </c>
      <c r="K735" s="122">
        <v>45485</v>
      </c>
      <c r="L735" t="s">
        <v>738</v>
      </c>
    </row>
    <row r="736" spans="1:13" hidden="1" x14ac:dyDescent="0.35">
      <c r="A736" t="s">
        <v>24</v>
      </c>
      <c r="D736" t="s">
        <v>32</v>
      </c>
      <c r="F736">
        <v>3</v>
      </c>
      <c r="G736">
        <v>5</v>
      </c>
      <c r="H736">
        <v>3</v>
      </c>
      <c r="I736">
        <v>35</v>
      </c>
      <c r="K736" s="122">
        <v>45485</v>
      </c>
      <c r="L736" t="s">
        <v>739</v>
      </c>
    </row>
    <row r="737" spans="1:13" hidden="1" x14ac:dyDescent="0.35">
      <c r="A737" t="s">
        <v>24</v>
      </c>
      <c r="D737" t="s">
        <v>32</v>
      </c>
      <c r="F737">
        <v>3</v>
      </c>
      <c r="G737">
        <v>5</v>
      </c>
      <c r="H737">
        <v>3</v>
      </c>
      <c r="I737">
        <v>35</v>
      </c>
      <c r="K737" s="122">
        <v>45492</v>
      </c>
      <c r="L737" t="s">
        <v>737</v>
      </c>
      <c r="M737">
        <v>6.9</v>
      </c>
    </row>
    <row r="738" spans="1:13" hidden="1" x14ac:dyDescent="0.35">
      <c r="A738" t="s">
        <v>24</v>
      </c>
      <c r="D738" t="s">
        <v>32</v>
      </c>
      <c r="F738">
        <v>3</v>
      </c>
      <c r="G738">
        <v>5</v>
      </c>
      <c r="H738">
        <v>3</v>
      </c>
      <c r="I738">
        <v>35</v>
      </c>
      <c r="K738" s="122">
        <v>45492</v>
      </c>
      <c r="L738" t="s">
        <v>738</v>
      </c>
      <c r="M738">
        <v>6.9</v>
      </c>
    </row>
    <row r="739" spans="1:13" hidden="1" x14ac:dyDescent="0.35">
      <c r="A739" t="s">
        <v>24</v>
      </c>
      <c r="D739" t="s">
        <v>32</v>
      </c>
      <c r="F739">
        <v>3</v>
      </c>
      <c r="G739">
        <v>5</v>
      </c>
      <c r="H739">
        <v>3</v>
      </c>
      <c r="I739">
        <v>35</v>
      </c>
      <c r="K739" s="122">
        <v>45492</v>
      </c>
      <c r="L739" t="s">
        <v>739</v>
      </c>
      <c r="M739">
        <v>7.3</v>
      </c>
    </row>
    <row r="740" spans="1:13" hidden="1" x14ac:dyDescent="0.35">
      <c r="A740" t="s">
        <v>24</v>
      </c>
      <c r="D740" t="s">
        <v>32</v>
      </c>
      <c r="F740">
        <v>3</v>
      </c>
      <c r="G740">
        <v>5</v>
      </c>
      <c r="H740">
        <v>3</v>
      </c>
      <c r="I740">
        <v>35</v>
      </c>
      <c r="K740" s="122">
        <v>45509</v>
      </c>
      <c r="L740" t="s">
        <v>737</v>
      </c>
      <c r="M740">
        <v>7.9</v>
      </c>
    </row>
    <row r="741" spans="1:13" hidden="1" x14ac:dyDescent="0.35">
      <c r="A741" t="s">
        <v>24</v>
      </c>
      <c r="D741" t="s">
        <v>32</v>
      </c>
      <c r="F741">
        <v>3</v>
      </c>
      <c r="G741">
        <v>5</v>
      </c>
      <c r="H741">
        <v>3</v>
      </c>
      <c r="I741">
        <v>35</v>
      </c>
      <c r="K741" s="122">
        <v>45509</v>
      </c>
      <c r="L741" t="s">
        <v>738</v>
      </c>
      <c r="M741">
        <v>8.6</v>
      </c>
    </row>
    <row r="742" spans="1:13" hidden="1" x14ac:dyDescent="0.35">
      <c r="A742" t="s">
        <v>24</v>
      </c>
      <c r="D742" t="s">
        <v>32</v>
      </c>
      <c r="F742">
        <v>3</v>
      </c>
      <c r="G742">
        <v>5</v>
      </c>
      <c r="H742">
        <v>3</v>
      </c>
      <c r="I742">
        <v>35</v>
      </c>
      <c r="K742" s="122">
        <v>45509</v>
      </c>
      <c r="L742" t="s">
        <v>739</v>
      </c>
      <c r="M742">
        <v>7.9</v>
      </c>
    </row>
    <row r="743" spans="1:13" hidden="1" x14ac:dyDescent="0.35">
      <c r="A743" t="s">
        <v>24</v>
      </c>
      <c r="D743" t="s">
        <v>32</v>
      </c>
      <c r="F743">
        <v>3</v>
      </c>
      <c r="G743">
        <v>5</v>
      </c>
      <c r="H743">
        <v>3</v>
      </c>
      <c r="I743">
        <v>35</v>
      </c>
      <c r="K743" s="122">
        <v>45519</v>
      </c>
      <c r="L743" t="s">
        <v>737</v>
      </c>
      <c r="M743">
        <v>8.8000000000000007</v>
      </c>
    </row>
    <row r="744" spans="1:13" hidden="1" x14ac:dyDescent="0.35">
      <c r="A744" t="s">
        <v>24</v>
      </c>
      <c r="D744" t="s">
        <v>32</v>
      </c>
      <c r="F744">
        <v>3</v>
      </c>
      <c r="G744">
        <v>5</v>
      </c>
      <c r="H744">
        <v>3</v>
      </c>
      <c r="I744">
        <v>35</v>
      </c>
      <c r="K744" s="122">
        <v>45519</v>
      </c>
      <c r="L744" t="s">
        <v>738</v>
      </c>
      <c r="M744">
        <v>9.3000000000000007</v>
      </c>
    </row>
    <row r="745" spans="1:13" hidden="1" x14ac:dyDescent="0.35">
      <c r="A745" t="s">
        <v>24</v>
      </c>
      <c r="D745" t="s">
        <v>32</v>
      </c>
      <c r="F745">
        <v>3</v>
      </c>
      <c r="G745">
        <v>5</v>
      </c>
      <c r="H745">
        <v>3</v>
      </c>
      <c r="I745">
        <v>35</v>
      </c>
      <c r="K745" s="122">
        <v>45519</v>
      </c>
      <c r="L745" t="s">
        <v>739</v>
      </c>
      <c r="M745">
        <v>8.6999999999999993</v>
      </c>
    </row>
    <row r="746" spans="1:13" hidden="1" x14ac:dyDescent="0.35">
      <c r="A746" t="s">
        <v>24</v>
      </c>
      <c r="D746" t="s">
        <v>32</v>
      </c>
      <c r="F746">
        <v>3</v>
      </c>
      <c r="G746">
        <v>5</v>
      </c>
      <c r="H746">
        <v>3</v>
      </c>
      <c r="I746">
        <v>35</v>
      </c>
      <c r="K746" s="122">
        <v>45530</v>
      </c>
      <c r="L746" t="s">
        <v>737</v>
      </c>
      <c r="M746">
        <v>9.9</v>
      </c>
    </row>
    <row r="747" spans="1:13" hidden="1" x14ac:dyDescent="0.35">
      <c r="A747" t="s">
        <v>24</v>
      </c>
      <c r="D747" t="s">
        <v>32</v>
      </c>
      <c r="F747">
        <v>3</v>
      </c>
      <c r="G747">
        <v>5</v>
      </c>
      <c r="H747">
        <v>3</v>
      </c>
      <c r="I747">
        <v>35</v>
      </c>
      <c r="K747" s="122">
        <v>45530</v>
      </c>
      <c r="L747" t="s">
        <v>738</v>
      </c>
      <c r="M747">
        <v>10.9</v>
      </c>
    </row>
    <row r="748" spans="1:13" hidden="1" x14ac:dyDescent="0.35">
      <c r="A748" t="s">
        <v>24</v>
      </c>
      <c r="D748" t="s">
        <v>32</v>
      </c>
      <c r="F748">
        <v>3</v>
      </c>
      <c r="G748">
        <v>5</v>
      </c>
      <c r="H748">
        <v>3</v>
      </c>
      <c r="I748">
        <v>35</v>
      </c>
      <c r="K748" s="122">
        <v>45530</v>
      </c>
      <c r="L748" t="s">
        <v>739</v>
      </c>
    </row>
    <row r="749" spans="1:13" hidden="1" x14ac:dyDescent="0.35">
      <c r="A749" t="s">
        <v>24</v>
      </c>
      <c r="D749" t="s">
        <v>32</v>
      </c>
      <c r="F749">
        <v>3</v>
      </c>
      <c r="G749">
        <v>5</v>
      </c>
      <c r="H749">
        <v>3</v>
      </c>
      <c r="I749">
        <v>35</v>
      </c>
      <c r="K749" s="122">
        <v>45538</v>
      </c>
      <c r="L749" t="s">
        <v>737</v>
      </c>
      <c r="M749">
        <v>10.7</v>
      </c>
    </row>
    <row r="750" spans="1:13" hidden="1" x14ac:dyDescent="0.35">
      <c r="A750" t="s">
        <v>24</v>
      </c>
      <c r="D750" t="s">
        <v>32</v>
      </c>
      <c r="F750">
        <v>3</v>
      </c>
      <c r="G750">
        <v>5</v>
      </c>
      <c r="H750">
        <v>3</v>
      </c>
      <c r="I750">
        <v>35</v>
      </c>
      <c r="K750" s="122">
        <v>45538</v>
      </c>
      <c r="L750" t="s">
        <v>738</v>
      </c>
      <c r="M750">
        <v>10.7</v>
      </c>
    </row>
    <row r="751" spans="1:13" hidden="1" x14ac:dyDescent="0.35">
      <c r="A751" t="s">
        <v>24</v>
      </c>
      <c r="D751" t="s">
        <v>32</v>
      </c>
      <c r="F751">
        <v>3</v>
      </c>
      <c r="G751">
        <v>5</v>
      </c>
      <c r="H751">
        <v>3</v>
      </c>
      <c r="I751">
        <v>35</v>
      </c>
      <c r="K751" s="122">
        <v>45538</v>
      </c>
      <c r="L751" t="s">
        <v>739</v>
      </c>
      <c r="M751">
        <v>11.7</v>
      </c>
    </row>
    <row r="752" spans="1:13" hidden="1" x14ac:dyDescent="0.35">
      <c r="A752" t="s">
        <v>24</v>
      </c>
      <c r="D752" t="s">
        <v>32</v>
      </c>
      <c r="F752">
        <v>3</v>
      </c>
      <c r="G752">
        <v>5</v>
      </c>
      <c r="H752">
        <v>3</v>
      </c>
      <c r="I752">
        <v>35</v>
      </c>
      <c r="K752" s="122">
        <v>45547</v>
      </c>
      <c r="L752" t="s">
        <v>737</v>
      </c>
      <c r="M752">
        <v>11</v>
      </c>
    </row>
    <row r="753" spans="1:13" hidden="1" x14ac:dyDescent="0.35">
      <c r="A753" t="s">
        <v>24</v>
      </c>
      <c r="D753" t="s">
        <v>32</v>
      </c>
      <c r="F753">
        <v>3</v>
      </c>
      <c r="G753">
        <v>5</v>
      </c>
      <c r="H753">
        <v>3</v>
      </c>
      <c r="I753">
        <v>35</v>
      </c>
      <c r="K753" s="122">
        <v>45547</v>
      </c>
      <c r="L753" t="s">
        <v>738</v>
      </c>
      <c r="M753">
        <v>11</v>
      </c>
    </row>
    <row r="754" spans="1:13" hidden="1" x14ac:dyDescent="0.35">
      <c r="A754" t="s">
        <v>24</v>
      </c>
      <c r="D754" t="s">
        <v>32</v>
      </c>
      <c r="F754">
        <v>3</v>
      </c>
      <c r="G754">
        <v>5</v>
      </c>
      <c r="H754">
        <v>3</v>
      </c>
      <c r="I754">
        <v>35</v>
      </c>
      <c r="K754" s="122">
        <v>45547</v>
      </c>
      <c r="L754" t="s">
        <v>739</v>
      </c>
      <c r="M754">
        <v>12</v>
      </c>
    </row>
    <row r="755" spans="1:13" hidden="1" x14ac:dyDescent="0.35">
      <c r="A755" t="s">
        <v>24</v>
      </c>
      <c r="D755" t="s">
        <v>32</v>
      </c>
      <c r="F755">
        <v>3</v>
      </c>
      <c r="G755">
        <v>5</v>
      </c>
      <c r="H755">
        <v>3</v>
      </c>
      <c r="I755">
        <v>35</v>
      </c>
      <c r="K755" s="122">
        <v>45555</v>
      </c>
      <c r="L755" t="s">
        <v>737</v>
      </c>
    </row>
    <row r="756" spans="1:13" hidden="1" x14ac:dyDescent="0.35">
      <c r="A756" t="s">
        <v>24</v>
      </c>
      <c r="D756" t="s">
        <v>32</v>
      </c>
      <c r="F756">
        <v>3</v>
      </c>
      <c r="G756">
        <v>5</v>
      </c>
      <c r="H756">
        <v>3</v>
      </c>
      <c r="I756">
        <v>35</v>
      </c>
      <c r="K756" s="122">
        <v>45555</v>
      </c>
      <c r="L756" t="s">
        <v>738</v>
      </c>
    </row>
    <row r="757" spans="1:13" hidden="1" x14ac:dyDescent="0.35">
      <c r="A757" t="s">
        <v>24</v>
      </c>
      <c r="D757" t="s">
        <v>32</v>
      </c>
      <c r="F757">
        <v>3</v>
      </c>
      <c r="G757">
        <v>5</v>
      </c>
      <c r="H757">
        <v>3</v>
      </c>
      <c r="I757">
        <v>35</v>
      </c>
      <c r="K757" s="122">
        <v>45555</v>
      </c>
      <c r="L757" t="s">
        <v>739</v>
      </c>
    </row>
    <row r="758" spans="1:13" hidden="1" x14ac:dyDescent="0.35">
      <c r="A758" t="s">
        <v>34</v>
      </c>
      <c r="D758" t="s">
        <v>37</v>
      </c>
      <c r="F758">
        <v>3</v>
      </c>
      <c r="G758">
        <v>6</v>
      </c>
      <c r="H758">
        <v>3</v>
      </c>
      <c r="I758">
        <v>43</v>
      </c>
      <c r="K758" s="122">
        <v>45442</v>
      </c>
      <c r="L758" t="s">
        <v>737</v>
      </c>
    </row>
    <row r="759" spans="1:13" hidden="1" x14ac:dyDescent="0.35">
      <c r="A759" t="s">
        <v>34</v>
      </c>
      <c r="D759" t="s">
        <v>37</v>
      </c>
      <c r="F759">
        <v>3</v>
      </c>
      <c r="G759">
        <v>6</v>
      </c>
      <c r="H759">
        <v>3</v>
      </c>
      <c r="I759">
        <v>43</v>
      </c>
      <c r="K759" s="122">
        <v>45442</v>
      </c>
      <c r="L759" t="s">
        <v>738</v>
      </c>
    </row>
    <row r="760" spans="1:13" hidden="1" x14ac:dyDescent="0.35">
      <c r="A760" t="s">
        <v>34</v>
      </c>
      <c r="D760" t="s">
        <v>37</v>
      </c>
      <c r="F760">
        <v>3</v>
      </c>
      <c r="G760">
        <v>6</v>
      </c>
      <c r="H760">
        <v>3</v>
      </c>
      <c r="I760">
        <v>43</v>
      </c>
      <c r="K760" s="122">
        <v>45442</v>
      </c>
      <c r="L760" t="s">
        <v>739</v>
      </c>
    </row>
    <row r="761" spans="1:13" hidden="1" x14ac:dyDescent="0.35">
      <c r="A761" t="s">
        <v>34</v>
      </c>
      <c r="D761" t="s">
        <v>37</v>
      </c>
      <c r="F761">
        <v>3</v>
      </c>
      <c r="G761">
        <v>6</v>
      </c>
      <c r="H761">
        <v>3</v>
      </c>
      <c r="I761">
        <v>43</v>
      </c>
      <c r="K761" s="122">
        <v>45447</v>
      </c>
      <c r="L761" t="s">
        <v>737</v>
      </c>
      <c r="M761">
        <v>1.9</v>
      </c>
    </row>
    <row r="762" spans="1:13" hidden="1" x14ac:dyDescent="0.35">
      <c r="A762" t="s">
        <v>34</v>
      </c>
      <c r="D762" t="s">
        <v>37</v>
      </c>
      <c r="F762">
        <v>3</v>
      </c>
      <c r="G762">
        <v>6</v>
      </c>
      <c r="H762">
        <v>3</v>
      </c>
      <c r="I762">
        <v>43</v>
      </c>
      <c r="K762" s="122">
        <v>45447</v>
      </c>
      <c r="L762" t="s">
        <v>738</v>
      </c>
      <c r="M762">
        <v>1.8</v>
      </c>
    </row>
    <row r="763" spans="1:13" hidden="1" x14ac:dyDescent="0.35">
      <c r="A763" t="s">
        <v>34</v>
      </c>
      <c r="D763" t="s">
        <v>37</v>
      </c>
      <c r="F763">
        <v>3</v>
      </c>
      <c r="G763">
        <v>6</v>
      </c>
      <c r="H763">
        <v>3</v>
      </c>
      <c r="I763">
        <v>43</v>
      </c>
      <c r="K763" s="122">
        <v>45447</v>
      </c>
      <c r="L763" t="s">
        <v>739</v>
      </c>
      <c r="M763">
        <v>1.8</v>
      </c>
    </row>
    <row r="764" spans="1:13" hidden="1" x14ac:dyDescent="0.35">
      <c r="A764" t="s">
        <v>34</v>
      </c>
      <c r="D764" t="s">
        <v>37</v>
      </c>
      <c r="F764">
        <v>3</v>
      </c>
      <c r="G764">
        <v>6</v>
      </c>
      <c r="H764">
        <v>3</v>
      </c>
      <c r="I764">
        <v>43</v>
      </c>
      <c r="K764" s="122">
        <v>45462</v>
      </c>
      <c r="L764" t="s">
        <v>737</v>
      </c>
      <c r="M764">
        <v>3.1</v>
      </c>
    </row>
    <row r="765" spans="1:13" hidden="1" x14ac:dyDescent="0.35">
      <c r="A765" t="s">
        <v>34</v>
      </c>
      <c r="D765" t="s">
        <v>37</v>
      </c>
      <c r="F765">
        <v>3</v>
      </c>
      <c r="G765">
        <v>6</v>
      </c>
      <c r="H765">
        <v>3</v>
      </c>
      <c r="I765">
        <v>43</v>
      </c>
      <c r="K765" s="122">
        <v>45462</v>
      </c>
      <c r="L765" t="s">
        <v>738</v>
      </c>
      <c r="M765">
        <v>3.2</v>
      </c>
    </row>
    <row r="766" spans="1:13" hidden="1" x14ac:dyDescent="0.35">
      <c r="A766" t="s">
        <v>34</v>
      </c>
      <c r="D766" t="s">
        <v>37</v>
      </c>
      <c r="F766">
        <v>3</v>
      </c>
      <c r="G766">
        <v>6</v>
      </c>
      <c r="H766">
        <v>3</v>
      </c>
      <c r="I766">
        <v>43</v>
      </c>
      <c r="K766" s="122">
        <v>45462</v>
      </c>
      <c r="L766" t="s">
        <v>739</v>
      </c>
      <c r="M766">
        <v>3.1</v>
      </c>
    </row>
    <row r="767" spans="1:13" hidden="1" x14ac:dyDescent="0.35">
      <c r="A767" t="s">
        <v>34</v>
      </c>
      <c r="D767" t="s">
        <v>37</v>
      </c>
      <c r="F767">
        <v>3</v>
      </c>
      <c r="G767">
        <v>6</v>
      </c>
      <c r="H767">
        <v>3</v>
      </c>
      <c r="I767">
        <v>43</v>
      </c>
      <c r="K767" s="122">
        <v>45477</v>
      </c>
      <c r="L767" t="s">
        <v>737</v>
      </c>
      <c r="M767">
        <v>4.5999999999999996</v>
      </c>
    </row>
    <row r="768" spans="1:13" hidden="1" x14ac:dyDescent="0.35">
      <c r="A768" t="s">
        <v>34</v>
      </c>
      <c r="D768" t="s">
        <v>37</v>
      </c>
      <c r="F768">
        <v>3</v>
      </c>
      <c r="G768">
        <v>6</v>
      </c>
      <c r="H768">
        <v>3</v>
      </c>
      <c r="I768">
        <v>43</v>
      </c>
      <c r="K768" s="122">
        <v>45477</v>
      </c>
      <c r="L768" t="s">
        <v>738</v>
      </c>
      <c r="M768">
        <v>4.5999999999999996</v>
      </c>
    </row>
    <row r="769" spans="1:13" hidden="1" x14ac:dyDescent="0.35">
      <c r="A769" t="s">
        <v>34</v>
      </c>
      <c r="D769" t="s">
        <v>37</v>
      </c>
      <c r="F769">
        <v>3</v>
      </c>
      <c r="G769">
        <v>6</v>
      </c>
      <c r="H769">
        <v>3</v>
      </c>
      <c r="I769">
        <v>43</v>
      </c>
      <c r="K769" s="122">
        <v>45477</v>
      </c>
      <c r="L769" t="s">
        <v>739</v>
      </c>
      <c r="M769">
        <v>4.5999999999999996</v>
      </c>
    </row>
    <row r="770" spans="1:13" hidden="1" x14ac:dyDescent="0.35">
      <c r="A770" t="s">
        <v>34</v>
      </c>
      <c r="D770" t="s">
        <v>37</v>
      </c>
      <c r="F770">
        <v>3</v>
      </c>
      <c r="G770">
        <v>6</v>
      </c>
      <c r="H770">
        <v>3</v>
      </c>
      <c r="I770">
        <v>43</v>
      </c>
      <c r="K770" s="122">
        <v>45485</v>
      </c>
      <c r="L770" t="s">
        <v>737</v>
      </c>
    </row>
    <row r="771" spans="1:13" hidden="1" x14ac:dyDescent="0.35">
      <c r="A771" t="s">
        <v>34</v>
      </c>
      <c r="D771" t="s">
        <v>37</v>
      </c>
      <c r="F771">
        <v>3</v>
      </c>
      <c r="G771">
        <v>6</v>
      </c>
      <c r="H771">
        <v>3</v>
      </c>
      <c r="I771">
        <v>43</v>
      </c>
      <c r="K771" s="122">
        <v>45485</v>
      </c>
      <c r="L771" t="s">
        <v>738</v>
      </c>
    </row>
    <row r="772" spans="1:13" hidden="1" x14ac:dyDescent="0.35">
      <c r="A772" t="s">
        <v>34</v>
      </c>
      <c r="D772" t="s">
        <v>37</v>
      </c>
      <c r="F772">
        <v>3</v>
      </c>
      <c r="G772">
        <v>6</v>
      </c>
      <c r="H772">
        <v>3</v>
      </c>
      <c r="I772">
        <v>43</v>
      </c>
      <c r="K772" s="122">
        <v>45485</v>
      </c>
      <c r="L772" t="s">
        <v>739</v>
      </c>
    </row>
    <row r="773" spans="1:13" hidden="1" x14ac:dyDescent="0.35">
      <c r="A773" t="s">
        <v>34</v>
      </c>
      <c r="D773" t="s">
        <v>37</v>
      </c>
      <c r="F773">
        <v>3</v>
      </c>
      <c r="G773">
        <v>6</v>
      </c>
      <c r="H773">
        <v>3</v>
      </c>
      <c r="I773">
        <v>43</v>
      </c>
      <c r="K773" s="122">
        <v>45492</v>
      </c>
      <c r="L773" t="s">
        <v>737</v>
      </c>
      <c r="M773">
        <v>5.7</v>
      </c>
    </row>
    <row r="774" spans="1:13" hidden="1" x14ac:dyDescent="0.35">
      <c r="A774" t="s">
        <v>34</v>
      </c>
      <c r="D774" t="s">
        <v>37</v>
      </c>
      <c r="F774">
        <v>3</v>
      </c>
      <c r="G774">
        <v>6</v>
      </c>
      <c r="H774">
        <v>3</v>
      </c>
      <c r="I774">
        <v>43</v>
      </c>
      <c r="K774" s="122">
        <v>45492</v>
      </c>
      <c r="L774" t="s">
        <v>738</v>
      </c>
      <c r="M774">
        <v>5.7</v>
      </c>
    </row>
    <row r="775" spans="1:13" hidden="1" x14ac:dyDescent="0.35">
      <c r="A775" t="s">
        <v>34</v>
      </c>
      <c r="D775" t="s">
        <v>37</v>
      </c>
      <c r="F775">
        <v>3</v>
      </c>
      <c r="G775">
        <v>6</v>
      </c>
      <c r="H775">
        <v>3</v>
      </c>
      <c r="I775">
        <v>43</v>
      </c>
      <c r="K775" s="122">
        <v>45492</v>
      </c>
      <c r="L775" t="s">
        <v>739</v>
      </c>
      <c r="M775">
        <v>6.3</v>
      </c>
    </row>
    <row r="776" spans="1:13" hidden="1" x14ac:dyDescent="0.35">
      <c r="A776" t="s">
        <v>34</v>
      </c>
      <c r="D776" t="s">
        <v>37</v>
      </c>
      <c r="F776">
        <v>3</v>
      </c>
      <c r="G776">
        <v>6</v>
      </c>
      <c r="H776">
        <v>3</v>
      </c>
      <c r="I776">
        <v>43</v>
      </c>
      <c r="K776" s="122">
        <v>45509</v>
      </c>
      <c r="L776" t="s">
        <v>737</v>
      </c>
      <c r="M776">
        <v>7.3</v>
      </c>
    </row>
    <row r="777" spans="1:13" hidden="1" x14ac:dyDescent="0.35">
      <c r="A777" t="s">
        <v>34</v>
      </c>
      <c r="D777" t="s">
        <v>37</v>
      </c>
      <c r="F777">
        <v>3</v>
      </c>
      <c r="G777">
        <v>6</v>
      </c>
      <c r="H777">
        <v>3</v>
      </c>
      <c r="I777">
        <v>43</v>
      </c>
      <c r="K777" s="122">
        <v>45509</v>
      </c>
      <c r="L777" t="s">
        <v>738</v>
      </c>
      <c r="M777">
        <v>7.3</v>
      </c>
    </row>
    <row r="778" spans="1:13" hidden="1" x14ac:dyDescent="0.35">
      <c r="A778" t="s">
        <v>34</v>
      </c>
      <c r="D778" t="s">
        <v>37</v>
      </c>
      <c r="F778">
        <v>3</v>
      </c>
      <c r="G778">
        <v>6</v>
      </c>
      <c r="H778">
        <v>3</v>
      </c>
      <c r="I778">
        <v>43</v>
      </c>
      <c r="K778" s="122">
        <v>45509</v>
      </c>
      <c r="L778" t="s">
        <v>739</v>
      </c>
      <c r="M778">
        <v>7.4</v>
      </c>
    </row>
    <row r="779" spans="1:13" hidden="1" x14ac:dyDescent="0.35">
      <c r="A779" t="s">
        <v>34</v>
      </c>
      <c r="D779" t="s">
        <v>37</v>
      </c>
      <c r="F779">
        <v>3</v>
      </c>
      <c r="G779">
        <v>6</v>
      </c>
      <c r="H779">
        <v>3</v>
      </c>
      <c r="I779">
        <v>43</v>
      </c>
      <c r="K779" s="122">
        <v>45519</v>
      </c>
      <c r="L779" t="s">
        <v>737</v>
      </c>
      <c r="M779">
        <v>8.1</v>
      </c>
    </row>
    <row r="780" spans="1:13" hidden="1" x14ac:dyDescent="0.35">
      <c r="A780" t="s">
        <v>34</v>
      </c>
      <c r="D780" t="s">
        <v>37</v>
      </c>
      <c r="F780">
        <v>3</v>
      </c>
      <c r="G780">
        <v>6</v>
      </c>
      <c r="H780">
        <v>3</v>
      </c>
      <c r="I780">
        <v>43</v>
      </c>
      <c r="K780" s="122">
        <v>45519</v>
      </c>
      <c r="L780" t="s">
        <v>738</v>
      </c>
      <c r="M780">
        <v>8.3000000000000007</v>
      </c>
    </row>
    <row r="781" spans="1:13" hidden="1" x14ac:dyDescent="0.35">
      <c r="A781" t="s">
        <v>34</v>
      </c>
      <c r="D781" t="s">
        <v>37</v>
      </c>
      <c r="F781">
        <v>3</v>
      </c>
      <c r="G781">
        <v>6</v>
      </c>
      <c r="H781">
        <v>3</v>
      </c>
      <c r="I781">
        <v>43</v>
      </c>
      <c r="K781" s="122">
        <v>45519</v>
      </c>
      <c r="L781" t="s">
        <v>739</v>
      </c>
      <c r="M781">
        <v>8.1999999999999993</v>
      </c>
    </row>
    <row r="782" spans="1:13" hidden="1" x14ac:dyDescent="0.35">
      <c r="A782" t="s">
        <v>34</v>
      </c>
      <c r="D782" t="s">
        <v>37</v>
      </c>
      <c r="F782">
        <v>3</v>
      </c>
      <c r="G782">
        <v>6</v>
      </c>
      <c r="H782">
        <v>3</v>
      </c>
      <c r="I782">
        <v>43</v>
      </c>
      <c r="K782" s="122">
        <v>45530</v>
      </c>
      <c r="L782" t="s">
        <v>737</v>
      </c>
      <c r="M782">
        <v>9.1</v>
      </c>
    </row>
    <row r="783" spans="1:13" hidden="1" x14ac:dyDescent="0.35">
      <c r="A783" t="s">
        <v>34</v>
      </c>
      <c r="D783" t="s">
        <v>37</v>
      </c>
      <c r="F783">
        <v>3</v>
      </c>
      <c r="G783">
        <v>6</v>
      </c>
      <c r="H783">
        <v>3</v>
      </c>
      <c r="I783">
        <v>43</v>
      </c>
      <c r="K783" s="122">
        <v>45530</v>
      </c>
      <c r="L783" t="s">
        <v>738</v>
      </c>
      <c r="M783">
        <v>9.6</v>
      </c>
    </row>
    <row r="784" spans="1:13" hidden="1" x14ac:dyDescent="0.35">
      <c r="A784" t="s">
        <v>34</v>
      </c>
      <c r="D784" t="s">
        <v>37</v>
      </c>
      <c r="F784">
        <v>3</v>
      </c>
      <c r="G784">
        <v>6</v>
      </c>
      <c r="H784">
        <v>3</v>
      </c>
      <c r="I784">
        <v>43</v>
      </c>
      <c r="K784" s="122">
        <v>45530</v>
      </c>
      <c r="L784" t="s">
        <v>739</v>
      </c>
      <c r="M784">
        <v>9.5</v>
      </c>
    </row>
    <row r="785" spans="1:13" hidden="1" x14ac:dyDescent="0.35">
      <c r="A785" t="s">
        <v>34</v>
      </c>
      <c r="D785" t="s">
        <v>37</v>
      </c>
      <c r="F785">
        <v>3</v>
      </c>
      <c r="G785">
        <v>6</v>
      </c>
      <c r="H785">
        <v>3</v>
      </c>
      <c r="I785">
        <v>43</v>
      </c>
      <c r="K785" s="122">
        <v>45538</v>
      </c>
      <c r="L785" t="s">
        <v>737</v>
      </c>
      <c r="M785">
        <v>9.8000000000000007</v>
      </c>
    </row>
    <row r="786" spans="1:13" hidden="1" x14ac:dyDescent="0.35">
      <c r="A786" t="s">
        <v>34</v>
      </c>
      <c r="D786" t="s">
        <v>37</v>
      </c>
      <c r="F786">
        <v>3</v>
      </c>
      <c r="G786">
        <v>6</v>
      </c>
      <c r="H786">
        <v>3</v>
      </c>
      <c r="I786">
        <v>43</v>
      </c>
      <c r="K786" s="122">
        <v>45538</v>
      </c>
      <c r="L786" t="s">
        <v>738</v>
      </c>
      <c r="M786">
        <v>10.8</v>
      </c>
    </row>
    <row r="787" spans="1:13" hidden="1" x14ac:dyDescent="0.35">
      <c r="A787" t="s">
        <v>34</v>
      </c>
      <c r="D787" t="s">
        <v>37</v>
      </c>
      <c r="F787">
        <v>3</v>
      </c>
      <c r="G787">
        <v>6</v>
      </c>
      <c r="H787">
        <v>3</v>
      </c>
      <c r="I787">
        <v>43</v>
      </c>
      <c r="K787" s="122">
        <v>45538</v>
      </c>
      <c r="L787" t="s">
        <v>739</v>
      </c>
      <c r="M787">
        <v>10.1</v>
      </c>
    </row>
    <row r="788" spans="1:13" hidden="1" x14ac:dyDescent="0.35">
      <c r="A788" t="s">
        <v>34</v>
      </c>
      <c r="D788" t="s">
        <v>37</v>
      </c>
      <c r="F788">
        <v>3</v>
      </c>
      <c r="G788">
        <v>6</v>
      </c>
      <c r="H788">
        <v>3</v>
      </c>
      <c r="I788">
        <v>43</v>
      </c>
      <c r="K788" s="122">
        <v>45547</v>
      </c>
      <c r="L788" t="s">
        <v>737</v>
      </c>
      <c r="M788">
        <v>11.6</v>
      </c>
    </row>
    <row r="789" spans="1:13" hidden="1" x14ac:dyDescent="0.35">
      <c r="A789" t="s">
        <v>34</v>
      </c>
      <c r="D789" t="s">
        <v>37</v>
      </c>
      <c r="F789">
        <v>3</v>
      </c>
      <c r="G789">
        <v>6</v>
      </c>
      <c r="H789">
        <v>3</v>
      </c>
      <c r="I789">
        <v>43</v>
      </c>
      <c r="K789" s="122">
        <v>45547</v>
      </c>
      <c r="L789" t="s">
        <v>738</v>
      </c>
      <c r="M789">
        <v>10.9</v>
      </c>
    </row>
    <row r="790" spans="1:13" hidden="1" x14ac:dyDescent="0.35">
      <c r="A790" t="s">
        <v>34</v>
      </c>
      <c r="D790" t="s">
        <v>37</v>
      </c>
      <c r="F790">
        <v>3</v>
      </c>
      <c r="G790">
        <v>6</v>
      </c>
      <c r="H790">
        <v>3</v>
      </c>
      <c r="I790">
        <v>43</v>
      </c>
      <c r="K790" s="122">
        <v>45547</v>
      </c>
      <c r="L790" t="s">
        <v>739</v>
      </c>
      <c r="M790">
        <v>10</v>
      </c>
    </row>
    <row r="791" spans="1:13" hidden="1" x14ac:dyDescent="0.35">
      <c r="A791" t="s">
        <v>34</v>
      </c>
      <c r="D791" t="s">
        <v>37</v>
      </c>
      <c r="F791">
        <v>3</v>
      </c>
      <c r="G791">
        <v>6</v>
      </c>
      <c r="H791">
        <v>3</v>
      </c>
      <c r="I791">
        <v>43</v>
      </c>
      <c r="K791" s="122">
        <v>45555</v>
      </c>
      <c r="L791" t="s">
        <v>737</v>
      </c>
      <c r="M791">
        <v>12</v>
      </c>
    </row>
    <row r="792" spans="1:13" hidden="1" x14ac:dyDescent="0.35">
      <c r="A792" t="s">
        <v>34</v>
      </c>
      <c r="D792" t="s">
        <v>37</v>
      </c>
      <c r="F792">
        <v>3</v>
      </c>
      <c r="G792">
        <v>6</v>
      </c>
      <c r="H792">
        <v>3</v>
      </c>
      <c r="I792">
        <v>43</v>
      </c>
      <c r="K792" s="122">
        <v>45555</v>
      </c>
      <c r="L792" t="s">
        <v>738</v>
      </c>
      <c r="M792">
        <v>11</v>
      </c>
    </row>
    <row r="793" spans="1:13" hidden="1" x14ac:dyDescent="0.35">
      <c r="A793" t="s">
        <v>34</v>
      </c>
      <c r="D793" t="s">
        <v>37</v>
      </c>
      <c r="F793">
        <v>3</v>
      </c>
      <c r="G793">
        <v>6</v>
      </c>
      <c r="H793">
        <v>3</v>
      </c>
      <c r="I793">
        <v>43</v>
      </c>
      <c r="K793" s="122">
        <v>45555</v>
      </c>
      <c r="L793" t="s">
        <v>739</v>
      </c>
      <c r="M793">
        <v>10</v>
      </c>
    </row>
    <row r="794" spans="1:13" hidden="1" x14ac:dyDescent="0.35">
      <c r="A794" t="s">
        <v>24</v>
      </c>
      <c r="D794" t="s">
        <v>337</v>
      </c>
      <c r="F794">
        <v>3</v>
      </c>
      <c r="G794">
        <v>7</v>
      </c>
      <c r="H794">
        <v>4</v>
      </c>
      <c r="I794">
        <v>51</v>
      </c>
      <c r="K794" s="122">
        <v>45442</v>
      </c>
      <c r="L794" t="s">
        <v>737</v>
      </c>
    </row>
    <row r="795" spans="1:13" hidden="1" x14ac:dyDescent="0.35">
      <c r="A795" t="s">
        <v>24</v>
      </c>
      <c r="D795" t="s">
        <v>337</v>
      </c>
      <c r="F795">
        <v>3</v>
      </c>
      <c r="G795">
        <v>7</v>
      </c>
      <c r="H795">
        <v>4</v>
      </c>
      <c r="I795">
        <v>51</v>
      </c>
      <c r="K795" s="122">
        <v>45442</v>
      </c>
      <c r="L795" t="s">
        <v>738</v>
      </c>
    </row>
    <row r="796" spans="1:13" hidden="1" x14ac:dyDescent="0.35">
      <c r="A796" t="s">
        <v>24</v>
      </c>
      <c r="D796" t="s">
        <v>337</v>
      </c>
      <c r="F796">
        <v>3</v>
      </c>
      <c r="G796">
        <v>7</v>
      </c>
      <c r="H796">
        <v>4</v>
      </c>
      <c r="I796">
        <v>51</v>
      </c>
      <c r="K796" s="122">
        <v>45442</v>
      </c>
      <c r="L796" t="s">
        <v>739</v>
      </c>
    </row>
    <row r="797" spans="1:13" hidden="1" x14ac:dyDescent="0.35">
      <c r="A797" t="s">
        <v>24</v>
      </c>
      <c r="D797" t="s">
        <v>337</v>
      </c>
      <c r="F797">
        <v>3</v>
      </c>
      <c r="G797">
        <v>7</v>
      </c>
      <c r="H797">
        <v>4</v>
      </c>
      <c r="I797">
        <v>51</v>
      </c>
      <c r="K797" s="122">
        <v>45447</v>
      </c>
      <c r="L797" t="s">
        <v>737</v>
      </c>
      <c r="M797">
        <v>5.5</v>
      </c>
    </row>
    <row r="798" spans="1:13" hidden="1" x14ac:dyDescent="0.35">
      <c r="A798" t="s">
        <v>24</v>
      </c>
      <c r="D798" t="s">
        <v>337</v>
      </c>
      <c r="F798">
        <v>3</v>
      </c>
      <c r="G798">
        <v>7</v>
      </c>
      <c r="H798">
        <v>4</v>
      </c>
      <c r="I798">
        <v>51</v>
      </c>
      <c r="K798" s="122">
        <v>45447</v>
      </c>
      <c r="L798" t="s">
        <v>738</v>
      </c>
      <c r="M798">
        <v>5.3</v>
      </c>
    </row>
    <row r="799" spans="1:13" hidden="1" x14ac:dyDescent="0.35">
      <c r="A799" t="s">
        <v>24</v>
      </c>
      <c r="D799" t="s">
        <v>337</v>
      </c>
      <c r="F799">
        <v>3</v>
      </c>
      <c r="G799">
        <v>7</v>
      </c>
      <c r="H799">
        <v>4</v>
      </c>
      <c r="I799">
        <v>51</v>
      </c>
      <c r="K799" s="122">
        <v>45447</v>
      </c>
      <c r="L799" t="s">
        <v>739</v>
      </c>
      <c r="M799">
        <v>5.5</v>
      </c>
    </row>
    <row r="800" spans="1:13" hidden="1" x14ac:dyDescent="0.35">
      <c r="A800" t="s">
        <v>24</v>
      </c>
      <c r="D800" t="s">
        <v>337</v>
      </c>
      <c r="F800">
        <v>3</v>
      </c>
      <c r="G800">
        <v>7</v>
      </c>
      <c r="H800">
        <v>4</v>
      </c>
      <c r="I800">
        <v>51</v>
      </c>
      <c r="K800" s="122">
        <v>45462</v>
      </c>
      <c r="L800" t="s">
        <v>737</v>
      </c>
      <c r="M800">
        <v>6.5</v>
      </c>
    </row>
    <row r="801" spans="1:13" hidden="1" x14ac:dyDescent="0.35">
      <c r="A801" t="s">
        <v>24</v>
      </c>
      <c r="D801" t="s">
        <v>337</v>
      </c>
      <c r="F801">
        <v>3</v>
      </c>
      <c r="G801">
        <v>7</v>
      </c>
      <c r="H801">
        <v>4</v>
      </c>
      <c r="I801">
        <v>51</v>
      </c>
      <c r="K801" s="122">
        <v>45462</v>
      </c>
      <c r="L801" t="s">
        <v>738</v>
      </c>
      <c r="M801">
        <v>6.3</v>
      </c>
    </row>
    <row r="802" spans="1:13" hidden="1" x14ac:dyDescent="0.35">
      <c r="A802" t="s">
        <v>24</v>
      </c>
      <c r="D802" t="s">
        <v>337</v>
      </c>
      <c r="F802">
        <v>3</v>
      </c>
      <c r="G802">
        <v>7</v>
      </c>
      <c r="H802">
        <v>4</v>
      </c>
      <c r="I802">
        <v>51</v>
      </c>
      <c r="K802" s="122">
        <v>45462</v>
      </c>
      <c r="L802" t="s">
        <v>739</v>
      </c>
      <c r="M802">
        <v>5.5</v>
      </c>
    </row>
    <row r="803" spans="1:13" hidden="1" x14ac:dyDescent="0.35">
      <c r="A803" t="s">
        <v>24</v>
      </c>
      <c r="D803" t="s">
        <v>337</v>
      </c>
      <c r="F803">
        <v>3</v>
      </c>
      <c r="G803">
        <v>7</v>
      </c>
      <c r="H803">
        <v>4</v>
      </c>
      <c r="I803">
        <v>51</v>
      </c>
      <c r="K803" s="122">
        <v>45477</v>
      </c>
      <c r="L803" t="s">
        <v>737</v>
      </c>
    </row>
    <row r="804" spans="1:13" hidden="1" x14ac:dyDescent="0.35">
      <c r="A804" t="s">
        <v>24</v>
      </c>
      <c r="D804" t="s">
        <v>337</v>
      </c>
      <c r="F804">
        <v>3</v>
      </c>
      <c r="G804">
        <v>7</v>
      </c>
      <c r="H804">
        <v>4</v>
      </c>
      <c r="I804">
        <v>51</v>
      </c>
      <c r="K804" s="122">
        <v>45477</v>
      </c>
      <c r="L804" t="s">
        <v>738</v>
      </c>
    </row>
    <row r="805" spans="1:13" hidden="1" x14ac:dyDescent="0.35">
      <c r="A805" t="s">
        <v>24</v>
      </c>
      <c r="D805" t="s">
        <v>337</v>
      </c>
      <c r="F805">
        <v>3</v>
      </c>
      <c r="G805">
        <v>7</v>
      </c>
      <c r="H805">
        <v>4</v>
      </c>
      <c r="I805">
        <v>51</v>
      </c>
      <c r="K805" s="122">
        <v>45477</v>
      </c>
      <c r="L805" t="s">
        <v>739</v>
      </c>
    </row>
    <row r="806" spans="1:13" hidden="1" x14ac:dyDescent="0.35">
      <c r="A806" t="s">
        <v>24</v>
      </c>
      <c r="D806" t="s">
        <v>337</v>
      </c>
      <c r="F806">
        <v>3</v>
      </c>
      <c r="G806">
        <v>7</v>
      </c>
      <c r="H806">
        <v>4</v>
      </c>
      <c r="I806">
        <v>51</v>
      </c>
      <c r="K806" s="122">
        <v>45485</v>
      </c>
      <c r="L806" t="s">
        <v>737</v>
      </c>
    </row>
    <row r="807" spans="1:13" hidden="1" x14ac:dyDescent="0.35">
      <c r="A807" t="s">
        <v>24</v>
      </c>
      <c r="D807" t="s">
        <v>337</v>
      </c>
      <c r="F807">
        <v>3</v>
      </c>
      <c r="G807">
        <v>7</v>
      </c>
      <c r="H807">
        <v>4</v>
      </c>
      <c r="I807">
        <v>51</v>
      </c>
      <c r="K807" s="122">
        <v>45485</v>
      </c>
      <c r="L807" t="s">
        <v>738</v>
      </c>
    </row>
    <row r="808" spans="1:13" hidden="1" x14ac:dyDescent="0.35">
      <c r="A808" t="s">
        <v>24</v>
      </c>
      <c r="D808" t="s">
        <v>337</v>
      </c>
      <c r="F808">
        <v>3</v>
      </c>
      <c r="G808">
        <v>7</v>
      </c>
      <c r="H808">
        <v>4</v>
      </c>
      <c r="I808">
        <v>51</v>
      </c>
      <c r="K808" s="122">
        <v>45485</v>
      </c>
      <c r="L808" t="s">
        <v>739</v>
      </c>
    </row>
    <row r="809" spans="1:13" hidden="1" x14ac:dyDescent="0.35">
      <c r="A809" t="s">
        <v>24</v>
      </c>
      <c r="D809" t="s">
        <v>337</v>
      </c>
      <c r="F809">
        <v>3</v>
      </c>
      <c r="G809">
        <v>7</v>
      </c>
      <c r="H809">
        <v>4</v>
      </c>
      <c r="I809">
        <v>51</v>
      </c>
      <c r="K809" s="122">
        <v>45492</v>
      </c>
      <c r="L809" t="s">
        <v>737</v>
      </c>
      <c r="M809">
        <v>7.3</v>
      </c>
    </row>
    <row r="810" spans="1:13" hidden="1" x14ac:dyDescent="0.35">
      <c r="A810" t="s">
        <v>24</v>
      </c>
      <c r="D810" t="s">
        <v>337</v>
      </c>
      <c r="F810">
        <v>3</v>
      </c>
      <c r="G810">
        <v>7</v>
      </c>
      <c r="H810">
        <v>4</v>
      </c>
      <c r="I810">
        <v>51</v>
      </c>
      <c r="K810" s="122">
        <v>45492</v>
      </c>
      <c r="L810" t="s">
        <v>738</v>
      </c>
      <c r="M810">
        <v>7.6</v>
      </c>
    </row>
    <row r="811" spans="1:13" hidden="1" x14ac:dyDescent="0.35">
      <c r="A811" t="s">
        <v>24</v>
      </c>
      <c r="D811" t="s">
        <v>337</v>
      </c>
      <c r="F811">
        <v>3</v>
      </c>
      <c r="G811">
        <v>7</v>
      </c>
      <c r="H811">
        <v>4</v>
      </c>
      <c r="I811">
        <v>51</v>
      </c>
      <c r="K811" s="122">
        <v>45492</v>
      </c>
      <c r="L811" t="s">
        <v>739</v>
      </c>
      <c r="M811">
        <v>7.5</v>
      </c>
    </row>
    <row r="812" spans="1:13" hidden="1" x14ac:dyDescent="0.35">
      <c r="A812" t="s">
        <v>24</v>
      </c>
      <c r="D812" t="s">
        <v>337</v>
      </c>
      <c r="F812">
        <v>3</v>
      </c>
      <c r="G812">
        <v>7</v>
      </c>
      <c r="H812">
        <v>4</v>
      </c>
      <c r="I812">
        <v>51</v>
      </c>
      <c r="K812" s="122">
        <v>45509</v>
      </c>
      <c r="L812" t="s">
        <v>737</v>
      </c>
      <c r="M812">
        <v>8.6</v>
      </c>
    </row>
    <row r="813" spans="1:13" hidden="1" x14ac:dyDescent="0.35">
      <c r="A813" t="s">
        <v>24</v>
      </c>
      <c r="D813" t="s">
        <v>337</v>
      </c>
      <c r="F813">
        <v>3</v>
      </c>
      <c r="G813">
        <v>7</v>
      </c>
      <c r="H813">
        <v>4</v>
      </c>
      <c r="I813">
        <v>51</v>
      </c>
      <c r="K813" s="122">
        <v>45509</v>
      </c>
      <c r="L813" t="s">
        <v>738</v>
      </c>
      <c r="M813">
        <v>9.3000000000000007</v>
      </c>
    </row>
    <row r="814" spans="1:13" hidden="1" x14ac:dyDescent="0.35">
      <c r="A814" t="s">
        <v>24</v>
      </c>
      <c r="D814" t="s">
        <v>337</v>
      </c>
      <c r="F814">
        <v>3</v>
      </c>
      <c r="G814">
        <v>7</v>
      </c>
      <c r="H814">
        <v>4</v>
      </c>
      <c r="I814">
        <v>51</v>
      </c>
      <c r="K814" s="122">
        <v>45509</v>
      </c>
      <c r="L814" t="s">
        <v>739</v>
      </c>
      <c r="M814">
        <v>8.6999999999999993</v>
      </c>
    </row>
    <row r="815" spans="1:13" hidden="1" x14ac:dyDescent="0.35">
      <c r="A815" t="s">
        <v>24</v>
      </c>
      <c r="D815" t="s">
        <v>337</v>
      </c>
      <c r="F815">
        <v>3</v>
      </c>
      <c r="G815">
        <v>7</v>
      </c>
      <c r="H815">
        <v>4</v>
      </c>
      <c r="I815">
        <v>51</v>
      </c>
      <c r="K815" s="122">
        <v>45519</v>
      </c>
      <c r="L815" t="s">
        <v>737</v>
      </c>
      <c r="M815">
        <v>9.5</v>
      </c>
    </row>
    <row r="816" spans="1:13" hidden="1" x14ac:dyDescent="0.35">
      <c r="A816" t="s">
        <v>24</v>
      </c>
      <c r="D816" t="s">
        <v>337</v>
      </c>
      <c r="F816">
        <v>3</v>
      </c>
      <c r="G816">
        <v>7</v>
      </c>
      <c r="H816">
        <v>4</v>
      </c>
      <c r="I816">
        <v>51</v>
      </c>
      <c r="K816" s="122">
        <v>45519</v>
      </c>
      <c r="L816" t="s">
        <v>738</v>
      </c>
      <c r="M816">
        <v>9.6</v>
      </c>
    </row>
    <row r="817" spans="1:13" hidden="1" x14ac:dyDescent="0.35">
      <c r="A817" t="s">
        <v>24</v>
      </c>
      <c r="D817" t="s">
        <v>337</v>
      </c>
      <c r="F817">
        <v>3</v>
      </c>
      <c r="G817">
        <v>7</v>
      </c>
      <c r="H817">
        <v>4</v>
      </c>
      <c r="I817">
        <v>51</v>
      </c>
      <c r="K817" s="122">
        <v>45519</v>
      </c>
      <c r="L817" t="s">
        <v>739</v>
      </c>
      <c r="M817">
        <v>9.9</v>
      </c>
    </row>
    <row r="818" spans="1:13" hidden="1" x14ac:dyDescent="0.35">
      <c r="A818" t="s">
        <v>24</v>
      </c>
      <c r="D818" t="s">
        <v>337</v>
      </c>
      <c r="F818">
        <v>3</v>
      </c>
      <c r="G818">
        <v>7</v>
      </c>
      <c r="H818">
        <v>4</v>
      </c>
      <c r="I818">
        <v>51</v>
      </c>
      <c r="K818" s="122">
        <v>45530</v>
      </c>
      <c r="L818" t="s">
        <v>737</v>
      </c>
      <c r="M818">
        <v>10.6</v>
      </c>
    </row>
    <row r="819" spans="1:13" hidden="1" x14ac:dyDescent="0.35">
      <c r="A819" t="s">
        <v>24</v>
      </c>
      <c r="D819" t="s">
        <v>337</v>
      </c>
      <c r="F819">
        <v>3</v>
      </c>
      <c r="G819">
        <v>7</v>
      </c>
      <c r="H819">
        <v>4</v>
      </c>
      <c r="I819">
        <v>51</v>
      </c>
      <c r="K819" s="122">
        <v>45530</v>
      </c>
      <c r="L819" t="s">
        <v>738</v>
      </c>
      <c r="M819">
        <v>10.8</v>
      </c>
    </row>
    <row r="820" spans="1:13" hidden="1" x14ac:dyDescent="0.35">
      <c r="A820" t="s">
        <v>24</v>
      </c>
      <c r="D820" t="s">
        <v>337</v>
      </c>
      <c r="F820">
        <v>3</v>
      </c>
      <c r="G820">
        <v>7</v>
      </c>
      <c r="H820">
        <v>4</v>
      </c>
      <c r="I820">
        <v>51</v>
      </c>
      <c r="K820" s="122">
        <v>45530</v>
      </c>
      <c r="L820" t="s">
        <v>739</v>
      </c>
      <c r="M820">
        <v>11.1</v>
      </c>
    </row>
    <row r="821" spans="1:13" hidden="1" x14ac:dyDescent="0.35">
      <c r="A821" t="s">
        <v>24</v>
      </c>
      <c r="D821" t="s">
        <v>337</v>
      </c>
      <c r="F821">
        <v>3</v>
      </c>
      <c r="G821">
        <v>7</v>
      </c>
      <c r="H821">
        <v>4</v>
      </c>
      <c r="I821">
        <v>51</v>
      </c>
      <c r="K821" s="122">
        <v>45538</v>
      </c>
      <c r="L821" t="s">
        <v>737</v>
      </c>
      <c r="M821">
        <v>11.3</v>
      </c>
    </row>
    <row r="822" spans="1:13" hidden="1" x14ac:dyDescent="0.35">
      <c r="A822" t="s">
        <v>24</v>
      </c>
      <c r="D822" t="s">
        <v>337</v>
      </c>
      <c r="F822">
        <v>3</v>
      </c>
      <c r="G822">
        <v>7</v>
      </c>
      <c r="H822">
        <v>4</v>
      </c>
      <c r="I822">
        <v>51</v>
      </c>
      <c r="K822" s="122">
        <v>45538</v>
      </c>
      <c r="L822" t="s">
        <v>738</v>
      </c>
      <c r="M822">
        <v>11.7</v>
      </c>
    </row>
    <row r="823" spans="1:13" hidden="1" x14ac:dyDescent="0.35">
      <c r="A823" t="s">
        <v>24</v>
      </c>
      <c r="D823" t="s">
        <v>337</v>
      </c>
      <c r="F823">
        <v>3</v>
      </c>
      <c r="G823">
        <v>7</v>
      </c>
      <c r="H823">
        <v>4</v>
      </c>
      <c r="I823">
        <v>51</v>
      </c>
      <c r="K823" s="122">
        <v>45538</v>
      </c>
      <c r="L823" t="s">
        <v>739</v>
      </c>
      <c r="M823">
        <v>11.9</v>
      </c>
    </row>
    <row r="824" spans="1:13" hidden="1" x14ac:dyDescent="0.35">
      <c r="A824" t="s">
        <v>24</v>
      </c>
      <c r="D824" t="s">
        <v>337</v>
      </c>
      <c r="F824">
        <v>3</v>
      </c>
      <c r="G824">
        <v>7</v>
      </c>
      <c r="H824">
        <v>4</v>
      </c>
      <c r="I824">
        <v>51</v>
      </c>
      <c r="K824" s="122">
        <v>45547</v>
      </c>
      <c r="L824" t="s">
        <v>737</v>
      </c>
      <c r="M824">
        <v>12</v>
      </c>
    </row>
    <row r="825" spans="1:13" hidden="1" x14ac:dyDescent="0.35">
      <c r="A825" t="s">
        <v>24</v>
      </c>
      <c r="D825" t="s">
        <v>337</v>
      </c>
      <c r="F825">
        <v>3</v>
      </c>
      <c r="G825">
        <v>7</v>
      </c>
      <c r="H825">
        <v>4</v>
      </c>
      <c r="I825">
        <v>51</v>
      </c>
      <c r="K825" s="122">
        <v>45547</v>
      </c>
      <c r="L825" t="s">
        <v>738</v>
      </c>
      <c r="M825">
        <v>12</v>
      </c>
    </row>
    <row r="826" spans="1:13" hidden="1" x14ac:dyDescent="0.35">
      <c r="A826" t="s">
        <v>24</v>
      </c>
      <c r="D826" t="s">
        <v>337</v>
      </c>
      <c r="F826">
        <v>3</v>
      </c>
      <c r="G826">
        <v>7</v>
      </c>
      <c r="H826">
        <v>4</v>
      </c>
      <c r="I826">
        <v>51</v>
      </c>
      <c r="K826" s="122">
        <v>45547</v>
      </c>
      <c r="L826" t="s">
        <v>739</v>
      </c>
      <c r="M826">
        <v>12</v>
      </c>
    </row>
    <row r="827" spans="1:13" hidden="1" x14ac:dyDescent="0.35">
      <c r="A827" t="s">
        <v>24</v>
      </c>
      <c r="D827" t="s">
        <v>337</v>
      </c>
      <c r="F827">
        <v>3</v>
      </c>
      <c r="G827">
        <v>7</v>
      </c>
      <c r="H827">
        <v>4</v>
      </c>
      <c r="I827">
        <v>51</v>
      </c>
      <c r="K827" s="122">
        <v>45555</v>
      </c>
      <c r="L827" t="s">
        <v>737</v>
      </c>
    </row>
    <row r="828" spans="1:13" hidden="1" x14ac:dyDescent="0.35">
      <c r="A828" t="s">
        <v>24</v>
      </c>
      <c r="D828" t="s">
        <v>337</v>
      </c>
      <c r="F828">
        <v>3</v>
      </c>
      <c r="G828">
        <v>7</v>
      </c>
      <c r="H828">
        <v>4</v>
      </c>
      <c r="I828">
        <v>51</v>
      </c>
      <c r="K828" s="122">
        <v>45555</v>
      </c>
      <c r="L828" t="s">
        <v>738</v>
      </c>
    </row>
    <row r="829" spans="1:13" hidden="1" x14ac:dyDescent="0.35">
      <c r="A829" t="s">
        <v>24</v>
      </c>
      <c r="D829" t="s">
        <v>337</v>
      </c>
      <c r="F829">
        <v>3</v>
      </c>
      <c r="G829">
        <v>7</v>
      </c>
      <c r="H829">
        <v>4</v>
      </c>
      <c r="I829">
        <v>51</v>
      </c>
      <c r="K829" s="122">
        <v>45555</v>
      </c>
      <c r="L829" t="s">
        <v>739</v>
      </c>
    </row>
    <row r="830" spans="1:13" hidden="1" x14ac:dyDescent="0.35">
      <c r="A830" t="s">
        <v>34</v>
      </c>
      <c r="D830" t="s">
        <v>36</v>
      </c>
      <c r="F830">
        <v>3</v>
      </c>
      <c r="G830">
        <v>8</v>
      </c>
      <c r="H830">
        <v>4</v>
      </c>
      <c r="I830">
        <v>59</v>
      </c>
      <c r="K830" s="122">
        <v>45442</v>
      </c>
      <c r="L830" t="s">
        <v>737</v>
      </c>
    </row>
    <row r="831" spans="1:13" hidden="1" x14ac:dyDescent="0.35">
      <c r="A831" t="s">
        <v>34</v>
      </c>
      <c r="D831" t="s">
        <v>36</v>
      </c>
      <c r="F831">
        <v>3</v>
      </c>
      <c r="G831">
        <v>8</v>
      </c>
      <c r="H831">
        <v>4</v>
      </c>
      <c r="I831">
        <v>59</v>
      </c>
      <c r="K831" s="122">
        <v>45442</v>
      </c>
      <c r="L831" t="s">
        <v>738</v>
      </c>
    </row>
    <row r="832" spans="1:13" hidden="1" x14ac:dyDescent="0.35">
      <c r="A832" t="s">
        <v>34</v>
      </c>
      <c r="D832" t="s">
        <v>36</v>
      </c>
      <c r="F832">
        <v>3</v>
      </c>
      <c r="G832">
        <v>8</v>
      </c>
      <c r="H832">
        <v>4</v>
      </c>
      <c r="I832">
        <v>59</v>
      </c>
      <c r="K832" s="122">
        <v>45442</v>
      </c>
      <c r="L832" t="s">
        <v>739</v>
      </c>
    </row>
    <row r="833" spans="1:13" hidden="1" x14ac:dyDescent="0.35">
      <c r="A833" t="s">
        <v>34</v>
      </c>
      <c r="D833" t="s">
        <v>36</v>
      </c>
      <c r="F833">
        <v>3</v>
      </c>
      <c r="G833">
        <v>8</v>
      </c>
      <c r="H833">
        <v>4</v>
      </c>
      <c r="I833">
        <v>59</v>
      </c>
      <c r="K833" s="122">
        <v>45447</v>
      </c>
      <c r="L833" t="s">
        <v>737</v>
      </c>
      <c r="M833">
        <v>1.7</v>
      </c>
    </row>
    <row r="834" spans="1:13" hidden="1" x14ac:dyDescent="0.35">
      <c r="A834" t="s">
        <v>34</v>
      </c>
      <c r="D834" t="s">
        <v>36</v>
      </c>
      <c r="F834">
        <v>3</v>
      </c>
      <c r="G834">
        <v>8</v>
      </c>
      <c r="H834">
        <v>4</v>
      </c>
      <c r="I834">
        <v>59</v>
      </c>
      <c r="K834" s="122">
        <v>45447</v>
      </c>
      <c r="L834" t="s">
        <v>738</v>
      </c>
      <c r="M834">
        <v>1.7</v>
      </c>
    </row>
    <row r="835" spans="1:13" hidden="1" x14ac:dyDescent="0.35">
      <c r="A835" t="s">
        <v>34</v>
      </c>
      <c r="D835" t="s">
        <v>36</v>
      </c>
      <c r="F835">
        <v>3</v>
      </c>
      <c r="G835">
        <v>8</v>
      </c>
      <c r="H835">
        <v>4</v>
      </c>
      <c r="I835">
        <v>59</v>
      </c>
      <c r="K835" s="122">
        <v>45447</v>
      </c>
      <c r="L835" t="s">
        <v>739</v>
      </c>
      <c r="M835">
        <v>1.7</v>
      </c>
    </row>
    <row r="836" spans="1:13" hidden="1" x14ac:dyDescent="0.35">
      <c r="A836" t="s">
        <v>34</v>
      </c>
      <c r="D836" t="s">
        <v>36</v>
      </c>
      <c r="F836">
        <v>3</v>
      </c>
      <c r="G836">
        <v>8</v>
      </c>
      <c r="H836">
        <v>4</v>
      </c>
      <c r="I836">
        <v>59</v>
      </c>
      <c r="K836" s="122">
        <v>45462</v>
      </c>
      <c r="L836" t="s">
        <v>737</v>
      </c>
      <c r="M836">
        <v>3.2</v>
      </c>
    </row>
    <row r="837" spans="1:13" hidden="1" x14ac:dyDescent="0.35">
      <c r="A837" t="s">
        <v>34</v>
      </c>
      <c r="D837" t="s">
        <v>36</v>
      </c>
      <c r="F837">
        <v>3</v>
      </c>
      <c r="G837">
        <v>8</v>
      </c>
      <c r="H837">
        <v>4</v>
      </c>
      <c r="I837">
        <v>59</v>
      </c>
      <c r="K837" s="122">
        <v>45462</v>
      </c>
      <c r="L837" t="s">
        <v>738</v>
      </c>
      <c r="M837">
        <v>3.2</v>
      </c>
    </row>
    <row r="838" spans="1:13" hidden="1" x14ac:dyDescent="0.35">
      <c r="A838" t="s">
        <v>34</v>
      </c>
      <c r="D838" t="s">
        <v>36</v>
      </c>
      <c r="F838">
        <v>3</v>
      </c>
      <c r="G838">
        <v>8</v>
      </c>
      <c r="H838">
        <v>4</v>
      </c>
      <c r="I838">
        <v>59</v>
      </c>
      <c r="K838" s="122">
        <v>45462</v>
      </c>
      <c r="L838" t="s">
        <v>739</v>
      </c>
      <c r="M838">
        <v>3.1</v>
      </c>
    </row>
    <row r="839" spans="1:13" hidden="1" x14ac:dyDescent="0.35">
      <c r="A839" t="s">
        <v>34</v>
      </c>
      <c r="D839" t="s">
        <v>36</v>
      </c>
      <c r="F839">
        <v>3</v>
      </c>
      <c r="G839">
        <v>8</v>
      </c>
      <c r="H839">
        <v>4</v>
      </c>
      <c r="I839">
        <v>59</v>
      </c>
      <c r="K839" s="122">
        <v>45477</v>
      </c>
      <c r="L839" t="s">
        <v>737</v>
      </c>
      <c r="M839">
        <v>4.8</v>
      </c>
    </row>
    <row r="840" spans="1:13" hidden="1" x14ac:dyDescent="0.35">
      <c r="A840" t="s">
        <v>34</v>
      </c>
      <c r="D840" t="s">
        <v>36</v>
      </c>
      <c r="F840">
        <v>3</v>
      </c>
      <c r="G840">
        <v>8</v>
      </c>
      <c r="H840">
        <v>4</v>
      </c>
      <c r="I840">
        <v>59</v>
      </c>
      <c r="K840" s="122">
        <v>45477</v>
      </c>
      <c r="L840" t="s">
        <v>738</v>
      </c>
      <c r="M840">
        <v>4.7</v>
      </c>
    </row>
    <row r="841" spans="1:13" hidden="1" x14ac:dyDescent="0.35">
      <c r="A841" t="s">
        <v>34</v>
      </c>
      <c r="D841" t="s">
        <v>36</v>
      </c>
      <c r="F841">
        <v>3</v>
      </c>
      <c r="G841">
        <v>8</v>
      </c>
      <c r="H841">
        <v>4</v>
      </c>
      <c r="I841">
        <v>59</v>
      </c>
      <c r="K841" s="122">
        <v>45477</v>
      </c>
      <c r="L841" t="s">
        <v>739</v>
      </c>
      <c r="M841">
        <v>4.5999999999999996</v>
      </c>
    </row>
    <row r="842" spans="1:13" hidden="1" x14ac:dyDescent="0.35">
      <c r="A842" t="s">
        <v>34</v>
      </c>
      <c r="D842" t="s">
        <v>36</v>
      </c>
      <c r="F842">
        <v>3</v>
      </c>
      <c r="G842">
        <v>8</v>
      </c>
      <c r="H842">
        <v>4</v>
      </c>
      <c r="I842">
        <v>59</v>
      </c>
      <c r="K842" s="122">
        <v>45485</v>
      </c>
      <c r="L842" t="s">
        <v>737</v>
      </c>
    </row>
    <row r="843" spans="1:13" hidden="1" x14ac:dyDescent="0.35">
      <c r="A843" t="s">
        <v>34</v>
      </c>
      <c r="D843" t="s">
        <v>36</v>
      </c>
      <c r="F843">
        <v>3</v>
      </c>
      <c r="G843">
        <v>8</v>
      </c>
      <c r="H843">
        <v>4</v>
      </c>
      <c r="I843">
        <v>59</v>
      </c>
      <c r="K843" s="122">
        <v>45485</v>
      </c>
      <c r="L843" t="s">
        <v>738</v>
      </c>
    </row>
    <row r="844" spans="1:13" hidden="1" x14ac:dyDescent="0.35">
      <c r="A844" t="s">
        <v>34</v>
      </c>
      <c r="D844" t="s">
        <v>36</v>
      </c>
      <c r="F844">
        <v>3</v>
      </c>
      <c r="G844">
        <v>8</v>
      </c>
      <c r="H844">
        <v>4</v>
      </c>
      <c r="I844">
        <v>59</v>
      </c>
      <c r="K844" s="122">
        <v>45485</v>
      </c>
      <c r="L844" t="s">
        <v>739</v>
      </c>
    </row>
    <row r="845" spans="1:13" hidden="1" x14ac:dyDescent="0.35">
      <c r="A845" t="s">
        <v>34</v>
      </c>
      <c r="D845" t="s">
        <v>36</v>
      </c>
      <c r="F845">
        <v>3</v>
      </c>
      <c r="G845">
        <v>8</v>
      </c>
      <c r="H845">
        <v>4</v>
      </c>
      <c r="I845">
        <v>59</v>
      </c>
      <c r="K845" s="122">
        <v>45492</v>
      </c>
      <c r="L845" t="s">
        <v>737</v>
      </c>
      <c r="M845">
        <v>5.3</v>
      </c>
    </row>
    <row r="846" spans="1:13" hidden="1" x14ac:dyDescent="0.35">
      <c r="A846" t="s">
        <v>34</v>
      </c>
      <c r="D846" t="s">
        <v>36</v>
      </c>
      <c r="F846">
        <v>3</v>
      </c>
      <c r="G846">
        <v>8</v>
      </c>
      <c r="H846">
        <v>4</v>
      </c>
      <c r="I846">
        <v>59</v>
      </c>
      <c r="K846" s="122">
        <v>45492</v>
      </c>
      <c r="L846" t="s">
        <v>738</v>
      </c>
      <c r="M846">
        <v>5.9</v>
      </c>
    </row>
    <row r="847" spans="1:13" hidden="1" x14ac:dyDescent="0.35">
      <c r="A847" t="s">
        <v>34</v>
      </c>
      <c r="D847" t="s">
        <v>36</v>
      </c>
      <c r="F847">
        <v>3</v>
      </c>
      <c r="G847">
        <v>8</v>
      </c>
      <c r="H847">
        <v>4</v>
      </c>
      <c r="I847">
        <v>59</v>
      </c>
      <c r="K847" s="122">
        <v>45492</v>
      </c>
      <c r="L847" t="s">
        <v>739</v>
      </c>
      <c r="M847">
        <v>6.1</v>
      </c>
    </row>
    <row r="848" spans="1:13" hidden="1" x14ac:dyDescent="0.35">
      <c r="A848" t="s">
        <v>34</v>
      </c>
      <c r="D848" t="s">
        <v>36</v>
      </c>
      <c r="F848">
        <v>3</v>
      </c>
      <c r="G848">
        <v>8</v>
      </c>
      <c r="H848">
        <v>4</v>
      </c>
      <c r="I848">
        <v>59</v>
      </c>
      <c r="K848" s="122">
        <v>45509</v>
      </c>
      <c r="L848" t="s">
        <v>737</v>
      </c>
      <c r="M848">
        <v>7.7</v>
      </c>
    </row>
    <row r="849" spans="1:13" hidden="1" x14ac:dyDescent="0.35">
      <c r="A849" t="s">
        <v>34</v>
      </c>
      <c r="D849" t="s">
        <v>36</v>
      </c>
      <c r="F849">
        <v>3</v>
      </c>
      <c r="G849">
        <v>8</v>
      </c>
      <c r="H849">
        <v>4</v>
      </c>
      <c r="I849">
        <v>59</v>
      </c>
      <c r="K849" s="122">
        <v>45509</v>
      </c>
      <c r="L849" t="s">
        <v>738</v>
      </c>
      <c r="M849">
        <v>7.5</v>
      </c>
    </row>
    <row r="850" spans="1:13" hidden="1" x14ac:dyDescent="0.35">
      <c r="A850" t="s">
        <v>34</v>
      </c>
      <c r="D850" t="s">
        <v>36</v>
      </c>
      <c r="F850">
        <v>3</v>
      </c>
      <c r="G850">
        <v>8</v>
      </c>
      <c r="H850">
        <v>4</v>
      </c>
      <c r="I850">
        <v>59</v>
      </c>
      <c r="K850" s="122">
        <v>45509</v>
      </c>
      <c r="L850" t="s">
        <v>739</v>
      </c>
      <c r="M850">
        <v>7.5</v>
      </c>
    </row>
    <row r="851" spans="1:13" hidden="1" x14ac:dyDescent="0.35">
      <c r="A851" t="s">
        <v>34</v>
      </c>
      <c r="D851" t="s">
        <v>36</v>
      </c>
      <c r="F851">
        <v>3</v>
      </c>
      <c r="G851">
        <v>8</v>
      </c>
      <c r="H851">
        <v>4</v>
      </c>
      <c r="I851">
        <v>59</v>
      </c>
      <c r="K851" s="122">
        <v>45519</v>
      </c>
      <c r="L851" t="s">
        <v>737</v>
      </c>
      <c r="M851">
        <v>8.6</v>
      </c>
    </row>
    <row r="852" spans="1:13" hidden="1" x14ac:dyDescent="0.35">
      <c r="A852" t="s">
        <v>34</v>
      </c>
      <c r="D852" t="s">
        <v>36</v>
      </c>
      <c r="F852">
        <v>3</v>
      </c>
      <c r="G852">
        <v>8</v>
      </c>
      <c r="H852">
        <v>4</v>
      </c>
      <c r="I852">
        <v>59</v>
      </c>
      <c r="K852" s="122">
        <v>45519</v>
      </c>
      <c r="L852" t="s">
        <v>738</v>
      </c>
      <c r="M852">
        <v>8.5</v>
      </c>
    </row>
    <row r="853" spans="1:13" hidden="1" x14ac:dyDescent="0.35">
      <c r="A853" t="s">
        <v>34</v>
      </c>
      <c r="D853" t="s">
        <v>36</v>
      </c>
      <c r="F853">
        <v>3</v>
      </c>
      <c r="G853">
        <v>8</v>
      </c>
      <c r="H853">
        <v>4</v>
      </c>
      <c r="I853">
        <v>59</v>
      </c>
      <c r="K853" s="122">
        <v>45519</v>
      </c>
      <c r="L853" t="s">
        <v>739</v>
      </c>
      <c r="M853">
        <v>8.5</v>
      </c>
    </row>
    <row r="854" spans="1:13" hidden="1" x14ac:dyDescent="0.35">
      <c r="A854" t="s">
        <v>34</v>
      </c>
      <c r="D854" t="s">
        <v>36</v>
      </c>
      <c r="F854">
        <v>3</v>
      </c>
      <c r="G854">
        <v>8</v>
      </c>
      <c r="H854">
        <v>4</v>
      </c>
      <c r="I854">
        <v>59</v>
      </c>
      <c r="K854" s="122">
        <v>45530</v>
      </c>
      <c r="L854" t="s">
        <v>737</v>
      </c>
      <c r="M854">
        <v>10.3</v>
      </c>
    </row>
    <row r="855" spans="1:13" hidden="1" x14ac:dyDescent="0.35">
      <c r="A855" t="s">
        <v>34</v>
      </c>
      <c r="D855" t="s">
        <v>36</v>
      </c>
      <c r="F855">
        <v>3</v>
      </c>
      <c r="G855">
        <v>8</v>
      </c>
      <c r="H855">
        <v>4</v>
      </c>
      <c r="I855">
        <v>59</v>
      </c>
      <c r="K855" s="122">
        <v>45530</v>
      </c>
      <c r="L855" t="s">
        <v>738</v>
      </c>
      <c r="M855">
        <v>9.9</v>
      </c>
    </row>
    <row r="856" spans="1:13" hidden="1" x14ac:dyDescent="0.35">
      <c r="A856" t="s">
        <v>34</v>
      </c>
      <c r="D856" t="s">
        <v>36</v>
      </c>
      <c r="F856">
        <v>3</v>
      </c>
      <c r="G856">
        <v>8</v>
      </c>
      <c r="H856">
        <v>4</v>
      </c>
      <c r="I856">
        <v>59</v>
      </c>
      <c r="K856" s="122">
        <v>45530</v>
      </c>
      <c r="L856" t="s">
        <v>739</v>
      </c>
      <c r="M856">
        <v>9.9</v>
      </c>
    </row>
    <row r="857" spans="1:13" hidden="1" x14ac:dyDescent="0.35">
      <c r="A857" t="s">
        <v>34</v>
      </c>
      <c r="D857" t="s">
        <v>36</v>
      </c>
      <c r="F857">
        <v>3</v>
      </c>
      <c r="G857">
        <v>8</v>
      </c>
      <c r="H857">
        <v>4</v>
      </c>
      <c r="I857">
        <v>59</v>
      </c>
      <c r="K857" s="122">
        <v>45538</v>
      </c>
      <c r="L857" t="s">
        <v>737</v>
      </c>
      <c r="M857">
        <v>11.2</v>
      </c>
    </row>
    <row r="858" spans="1:13" hidden="1" x14ac:dyDescent="0.35">
      <c r="A858" t="s">
        <v>34</v>
      </c>
      <c r="D858" t="s">
        <v>36</v>
      </c>
      <c r="F858">
        <v>3</v>
      </c>
      <c r="G858">
        <v>8</v>
      </c>
      <c r="H858">
        <v>4</v>
      </c>
      <c r="I858">
        <v>59</v>
      </c>
      <c r="K858" s="122">
        <v>45538</v>
      </c>
      <c r="L858" t="s">
        <v>738</v>
      </c>
      <c r="M858">
        <v>10.7</v>
      </c>
    </row>
    <row r="859" spans="1:13" hidden="1" x14ac:dyDescent="0.35">
      <c r="A859" t="s">
        <v>34</v>
      </c>
      <c r="D859" t="s">
        <v>36</v>
      </c>
      <c r="F859">
        <v>3</v>
      </c>
      <c r="G859">
        <v>8</v>
      </c>
      <c r="H859">
        <v>4</v>
      </c>
      <c r="I859">
        <v>59</v>
      </c>
      <c r="K859" s="122">
        <v>45538</v>
      </c>
      <c r="L859" t="s">
        <v>739</v>
      </c>
      <c r="M859">
        <v>10.7</v>
      </c>
    </row>
    <row r="860" spans="1:13" hidden="1" x14ac:dyDescent="0.35">
      <c r="A860" t="s">
        <v>34</v>
      </c>
      <c r="D860" t="s">
        <v>36</v>
      </c>
      <c r="F860">
        <v>3</v>
      </c>
      <c r="G860">
        <v>8</v>
      </c>
      <c r="H860">
        <v>4</v>
      </c>
      <c r="I860">
        <v>59</v>
      </c>
      <c r="K860" s="122">
        <v>45547</v>
      </c>
      <c r="L860" t="s">
        <v>737</v>
      </c>
      <c r="M860">
        <v>12</v>
      </c>
    </row>
    <row r="861" spans="1:13" hidden="1" x14ac:dyDescent="0.35">
      <c r="A861" t="s">
        <v>34</v>
      </c>
      <c r="D861" t="s">
        <v>36</v>
      </c>
      <c r="F861">
        <v>3</v>
      </c>
      <c r="G861">
        <v>8</v>
      </c>
      <c r="H861">
        <v>4</v>
      </c>
      <c r="I861">
        <v>59</v>
      </c>
      <c r="K861" s="122">
        <v>45547</v>
      </c>
      <c r="L861" t="s">
        <v>738</v>
      </c>
      <c r="M861">
        <v>11</v>
      </c>
    </row>
    <row r="862" spans="1:13" hidden="1" x14ac:dyDescent="0.35">
      <c r="A862" t="s">
        <v>34</v>
      </c>
      <c r="D862" t="s">
        <v>36</v>
      </c>
      <c r="F862">
        <v>3</v>
      </c>
      <c r="G862">
        <v>8</v>
      </c>
      <c r="H862">
        <v>4</v>
      </c>
      <c r="I862">
        <v>59</v>
      </c>
      <c r="K862" s="122">
        <v>45547</v>
      </c>
      <c r="L862" t="s">
        <v>739</v>
      </c>
      <c r="M862">
        <v>11</v>
      </c>
    </row>
    <row r="863" spans="1:13" hidden="1" x14ac:dyDescent="0.35">
      <c r="A863" t="s">
        <v>34</v>
      </c>
      <c r="D863" t="s">
        <v>36</v>
      </c>
      <c r="F863">
        <v>3</v>
      </c>
      <c r="G863">
        <v>8</v>
      </c>
      <c r="H863">
        <v>4</v>
      </c>
      <c r="I863">
        <v>59</v>
      </c>
      <c r="K863" s="122">
        <v>45555</v>
      </c>
      <c r="L863" t="s">
        <v>737</v>
      </c>
    </row>
    <row r="864" spans="1:13" hidden="1" x14ac:dyDescent="0.35">
      <c r="A864" t="s">
        <v>34</v>
      </c>
      <c r="D864" t="s">
        <v>36</v>
      </c>
      <c r="F864">
        <v>3</v>
      </c>
      <c r="G864">
        <v>8</v>
      </c>
      <c r="H864">
        <v>4</v>
      </c>
      <c r="I864">
        <v>59</v>
      </c>
      <c r="K864" s="122">
        <v>45555</v>
      </c>
      <c r="L864" t="s">
        <v>738</v>
      </c>
    </row>
    <row r="865" spans="1:13" hidden="1" x14ac:dyDescent="0.35">
      <c r="A865" t="s">
        <v>34</v>
      </c>
      <c r="D865" t="s">
        <v>36</v>
      </c>
      <c r="F865">
        <v>3</v>
      </c>
      <c r="G865">
        <v>8</v>
      </c>
      <c r="H865">
        <v>4</v>
      </c>
      <c r="I865">
        <v>59</v>
      </c>
      <c r="K865" s="122">
        <v>45555</v>
      </c>
      <c r="L865" t="s">
        <v>739</v>
      </c>
    </row>
    <row r="866" spans="1:13" hidden="1" x14ac:dyDescent="0.35">
      <c r="A866" t="s">
        <v>24</v>
      </c>
      <c r="D866" t="s">
        <v>29</v>
      </c>
      <c r="F866">
        <v>4</v>
      </c>
      <c r="G866">
        <v>1</v>
      </c>
      <c r="H866">
        <v>1</v>
      </c>
      <c r="I866">
        <v>4</v>
      </c>
      <c r="K866" s="122">
        <v>45442</v>
      </c>
      <c r="L866" t="s">
        <v>737</v>
      </c>
      <c r="M866">
        <v>4.7</v>
      </c>
    </row>
    <row r="867" spans="1:13" hidden="1" x14ac:dyDescent="0.35">
      <c r="A867" t="s">
        <v>24</v>
      </c>
      <c r="D867" t="s">
        <v>29</v>
      </c>
      <c r="F867">
        <v>4</v>
      </c>
      <c r="G867">
        <v>1</v>
      </c>
      <c r="H867">
        <v>1</v>
      </c>
      <c r="I867">
        <v>4</v>
      </c>
      <c r="K867" s="122">
        <v>45442</v>
      </c>
      <c r="L867" t="s">
        <v>738</v>
      </c>
      <c r="M867">
        <v>4.3</v>
      </c>
    </row>
    <row r="868" spans="1:13" hidden="1" x14ac:dyDescent="0.35">
      <c r="A868" t="s">
        <v>24</v>
      </c>
      <c r="D868" t="s">
        <v>29</v>
      </c>
      <c r="F868">
        <v>4</v>
      </c>
      <c r="G868">
        <v>1</v>
      </c>
      <c r="H868">
        <v>1</v>
      </c>
      <c r="I868">
        <v>4</v>
      </c>
      <c r="K868" s="122">
        <v>45442</v>
      </c>
      <c r="L868" t="s">
        <v>739</v>
      </c>
      <c r="M868">
        <v>4.5999999999999996</v>
      </c>
    </row>
    <row r="869" spans="1:13" hidden="1" x14ac:dyDescent="0.35">
      <c r="A869" t="s">
        <v>24</v>
      </c>
      <c r="D869" t="s">
        <v>29</v>
      </c>
      <c r="F869">
        <v>4</v>
      </c>
      <c r="G869">
        <v>1</v>
      </c>
      <c r="H869">
        <v>1</v>
      </c>
      <c r="I869">
        <v>4</v>
      </c>
      <c r="K869" s="122">
        <v>45447</v>
      </c>
      <c r="L869" t="s">
        <v>737</v>
      </c>
      <c r="M869">
        <v>4.8</v>
      </c>
    </row>
    <row r="870" spans="1:13" hidden="1" x14ac:dyDescent="0.35">
      <c r="A870" t="s">
        <v>24</v>
      </c>
      <c r="D870" t="s">
        <v>29</v>
      </c>
      <c r="F870">
        <v>4</v>
      </c>
      <c r="G870">
        <v>1</v>
      </c>
      <c r="H870">
        <v>1</v>
      </c>
      <c r="I870">
        <v>4</v>
      </c>
      <c r="K870" s="122">
        <v>45447</v>
      </c>
      <c r="L870" t="s">
        <v>738</v>
      </c>
      <c r="M870">
        <v>4.8</v>
      </c>
    </row>
    <row r="871" spans="1:13" hidden="1" x14ac:dyDescent="0.35">
      <c r="A871" t="s">
        <v>24</v>
      </c>
      <c r="D871" t="s">
        <v>29</v>
      </c>
      <c r="F871">
        <v>4</v>
      </c>
      <c r="G871">
        <v>1</v>
      </c>
      <c r="H871">
        <v>1</v>
      </c>
      <c r="I871">
        <v>4</v>
      </c>
      <c r="K871" s="122">
        <v>45447</v>
      </c>
      <c r="L871" t="s">
        <v>739</v>
      </c>
      <c r="M871">
        <v>4.3</v>
      </c>
    </row>
    <row r="872" spans="1:13" hidden="1" x14ac:dyDescent="0.35">
      <c r="A872" t="s">
        <v>24</v>
      </c>
      <c r="D872" t="s">
        <v>29</v>
      </c>
      <c r="F872">
        <v>4</v>
      </c>
      <c r="G872">
        <v>1</v>
      </c>
      <c r="H872">
        <v>1</v>
      </c>
      <c r="I872">
        <v>4</v>
      </c>
      <c r="K872" s="122">
        <v>45462</v>
      </c>
      <c r="L872" t="s">
        <v>737</v>
      </c>
      <c r="M872">
        <v>5.9</v>
      </c>
    </row>
    <row r="873" spans="1:13" hidden="1" x14ac:dyDescent="0.35">
      <c r="A873" t="s">
        <v>24</v>
      </c>
      <c r="D873" t="s">
        <v>29</v>
      </c>
      <c r="F873">
        <v>4</v>
      </c>
      <c r="G873">
        <v>1</v>
      </c>
      <c r="H873">
        <v>1</v>
      </c>
      <c r="I873">
        <v>4</v>
      </c>
      <c r="K873" s="122">
        <v>45462</v>
      </c>
      <c r="L873" t="s">
        <v>738</v>
      </c>
      <c r="M873">
        <v>5.4</v>
      </c>
    </row>
    <row r="874" spans="1:13" hidden="1" x14ac:dyDescent="0.35">
      <c r="A874" t="s">
        <v>24</v>
      </c>
      <c r="D874" t="s">
        <v>29</v>
      </c>
      <c r="F874">
        <v>4</v>
      </c>
      <c r="G874">
        <v>1</v>
      </c>
      <c r="H874">
        <v>1</v>
      </c>
      <c r="I874">
        <v>4</v>
      </c>
      <c r="K874" s="122">
        <v>45462</v>
      </c>
      <c r="L874" t="s">
        <v>739</v>
      </c>
      <c r="M874">
        <v>5.3</v>
      </c>
    </row>
    <row r="875" spans="1:13" hidden="1" x14ac:dyDescent="0.35">
      <c r="A875" t="s">
        <v>24</v>
      </c>
      <c r="D875" t="s">
        <v>29</v>
      </c>
      <c r="F875">
        <v>4</v>
      </c>
      <c r="G875">
        <v>1</v>
      </c>
      <c r="H875">
        <v>1</v>
      </c>
      <c r="I875">
        <v>4</v>
      </c>
      <c r="K875" s="122">
        <v>45477</v>
      </c>
      <c r="L875" t="s">
        <v>737</v>
      </c>
    </row>
    <row r="876" spans="1:13" hidden="1" x14ac:dyDescent="0.35">
      <c r="A876" t="s">
        <v>24</v>
      </c>
      <c r="D876" t="s">
        <v>29</v>
      </c>
      <c r="F876">
        <v>4</v>
      </c>
      <c r="G876">
        <v>1</v>
      </c>
      <c r="H876">
        <v>1</v>
      </c>
      <c r="I876">
        <v>4</v>
      </c>
      <c r="K876" s="122">
        <v>45477</v>
      </c>
      <c r="L876" t="s">
        <v>738</v>
      </c>
    </row>
    <row r="877" spans="1:13" hidden="1" x14ac:dyDescent="0.35">
      <c r="A877" t="s">
        <v>24</v>
      </c>
      <c r="D877" t="s">
        <v>29</v>
      </c>
      <c r="F877">
        <v>4</v>
      </c>
      <c r="G877">
        <v>1</v>
      </c>
      <c r="H877">
        <v>1</v>
      </c>
      <c r="I877">
        <v>4</v>
      </c>
      <c r="K877" s="122">
        <v>45477</v>
      </c>
      <c r="L877" t="s">
        <v>739</v>
      </c>
    </row>
    <row r="878" spans="1:13" hidden="1" x14ac:dyDescent="0.35">
      <c r="A878" t="s">
        <v>24</v>
      </c>
      <c r="D878" t="s">
        <v>29</v>
      </c>
      <c r="F878">
        <v>4</v>
      </c>
      <c r="G878">
        <v>1</v>
      </c>
      <c r="H878">
        <v>1</v>
      </c>
      <c r="I878">
        <v>4</v>
      </c>
      <c r="K878" s="122">
        <v>45485</v>
      </c>
      <c r="L878" t="s">
        <v>737</v>
      </c>
      <c r="M878">
        <v>6.7</v>
      </c>
    </row>
    <row r="879" spans="1:13" hidden="1" x14ac:dyDescent="0.35">
      <c r="A879" t="s">
        <v>24</v>
      </c>
      <c r="D879" t="s">
        <v>29</v>
      </c>
      <c r="F879">
        <v>4</v>
      </c>
      <c r="G879">
        <v>1</v>
      </c>
      <c r="H879">
        <v>1</v>
      </c>
      <c r="I879">
        <v>4</v>
      </c>
      <c r="K879" s="122">
        <v>45485</v>
      </c>
      <c r="L879" t="s">
        <v>738</v>
      </c>
      <c r="M879">
        <v>7.3</v>
      </c>
    </row>
    <row r="880" spans="1:13" hidden="1" x14ac:dyDescent="0.35">
      <c r="A880" t="s">
        <v>24</v>
      </c>
      <c r="D880" t="s">
        <v>29</v>
      </c>
      <c r="F880">
        <v>4</v>
      </c>
      <c r="G880">
        <v>1</v>
      </c>
      <c r="H880">
        <v>1</v>
      </c>
      <c r="I880">
        <v>4</v>
      </c>
      <c r="K880" s="122">
        <v>45485</v>
      </c>
      <c r="L880" t="s">
        <v>739</v>
      </c>
      <c r="M880">
        <v>6.3</v>
      </c>
    </row>
    <row r="881" spans="1:13" hidden="1" x14ac:dyDescent="0.35">
      <c r="A881" t="s">
        <v>24</v>
      </c>
      <c r="D881" t="s">
        <v>29</v>
      </c>
      <c r="F881">
        <v>4</v>
      </c>
      <c r="G881">
        <v>1</v>
      </c>
      <c r="H881">
        <v>1</v>
      </c>
      <c r="I881">
        <v>4</v>
      </c>
      <c r="K881" s="122">
        <v>45492</v>
      </c>
      <c r="L881" t="s">
        <v>737</v>
      </c>
      <c r="M881">
        <v>7.3</v>
      </c>
    </row>
    <row r="882" spans="1:13" hidden="1" x14ac:dyDescent="0.35">
      <c r="A882" t="s">
        <v>24</v>
      </c>
      <c r="D882" t="s">
        <v>29</v>
      </c>
      <c r="F882">
        <v>4</v>
      </c>
      <c r="G882">
        <v>1</v>
      </c>
      <c r="H882">
        <v>1</v>
      </c>
      <c r="I882">
        <v>4</v>
      </c>
      <c r="K882" s="122">
        <v>45492</v>
      </c>
      <c r="L882" t="s">
        <v>738</v>
      </c>
      <c r="M882">
        <v>6.5</v>
      </c>
    </row>
    <row r="883" spans="1:13" hidden="1" x14ac:dyDescent="0.35">
      <c r="A883" t="s">
        <v>24</v>
      </c>
      <c r="D883" t="s">
        <v>29</v>
      </c>
      <c r="F883">
        <v>4</v>
      </c>
      <c r="G883">
        <v>1</v>
      </c>
      <c r="H883">
        <v>1</v>
      </c>
      <c r="I883">
        <v>4</v>
      </c>
      <c r="K883" s="122">
        <v>45492</v>
      </c>
      <c r="L883" t="s">
        <v>739</v>
      </c>
      <c r="M883">
        <v>7.7</v>
      </c>
    </row>
    <row r="884" spans="1:13" hidden="1" x14ac:dyDescent="0.35">
      <c r="A884" t="s">
        <v>24</v>
      </c>
      <c r="D884" t="s">
        <v>29</v>
      </c>
      <c r="F884">
        <v>4</v>
      </c>
      <c r="G884">
        <v>1</v>
      </c>
      <c r="H884">
        <v>1</v>
      </c>
      <c r="I884">
        <v>4</v>
      </c>
      <c r="K884" s="122">
        <v>45509</v>
      </c>
      <c r="L884" t="s">
        <v>737</v>
      </c>
      <c r="M884">
        <v>8.3000000000000007</v>
      </c>
    </row>
    <row r="885" spans="1:13" hidden="1" x14ac:dyDescent="0.35">
      <c r="A885" t="s">
        <v>24</v>
      </c>
      <c r="D885" t="s">
        <v>29</v>
      </c>
      <c r="F885">
        <v>4</v>
      </c>
      <c r="G885">
        <v>1</v>
      </c>
      <c r="H885">
        <v>1</v>
      </c>
      <c r="I885">
        <v>4</v>
      </c>
      <c r="K885" s="122">
        <v>45509</v>
      </c>
      <c r="L885" t="s">
        <v>738</v>
      </c>
      <c r="M885">
        <v>7.7</v>
      </c>
    </row>
    <row r="886" spans="1:13" hidden="1" x14ac:dyDescent="0.35">
      <c r="A886" t="s">
        <v>24</v>
      </c>
      <c r="D886" t="s">
        <v>29</v>
      </c>
      <c r="F886">
        <v>4</v>
      </c>
      <c r="G886">
        <v>1</v>
      </c>
      <c r="H886">
        <v>1</v>
      </c>
      <c r="I886">
        <v>4</v>
      </c>
      <c r="K886" s="122">
        <v>45509</v>
      </c>
      <c r="L886" t="s">
        <v>739</v>
      </c>
      <c r="M886">
        <v>8.6999999999999993</v>
      </c>
    </row>
    <row r="887" spans="1:13" hidden="1" x14ac:dyDescent="0.35">
      <c r="A887" t="s">
        <v>24</v>
      </c>
      <c r="D887" t="s">
        <v>29</v>
      </c>
      <c r="F887">
        <v>4</v>
      </c>
      <c r="G887">
        <v>1</v>
      </c>
      <c r="H887">
        <v>1</v>
      </c>
      <c r="I887">
        <v>4</v>
      </c>
      <c r="K887" s="122">
        <v>45519</v>
      </c>
      <c r="L887" t="s">
        <v>737</v>
      </c>
      <c r="M887">
        <v>9.1</v>
      </c>
    </row>
    <row r="888" spans="1:13" hidden="1" x14ac:dyDescent="0.35">
      <c r="A888" t="s">
        <v>24</v>
      </c>
      <c r="D888" t="s">
        <v>29</v>
      </c>
      <c r="F888">
        <v>4</v>
      </c>
      <c r="G888">
        <v>1</v>
      </c>
      <c r="H888">
        <v>1</v>
      </c>
      <c r="I888">
        <v>4</v>
      </c>
      <c r="K888" s="122">
        <v>45519</v>
      </c>
      <c r="L888" t="s">
        <v>738</v>
      </c>
      <c r="M888">
        <v>9.6</v>
      </c>
    </row>
    <row r="889" spans="1:13" hidden="1" x14ac:dyDescent="0.35">
      <c r="A889" t="s">
        <v>24</v>
      </c>
      <c r="D889" t="s">
        <v>29</v>
      </c>
      <c r="F889">
        <v>4</v>
      </c>
      <c r="G889">
        <v>1</v>
      </c>
      <c r="H889">
        <v>1</v>
      </c>
      <c r="I889">
        <v>4</v>
      </c>
      <c r="K889" s="122">
        <v>45519</v>
      </c>
      <c r="L889" t="s">
        <v>739</v>
      </c>
      <c r="M889">
        <v>8.5</v>
      </c>
    </row>
    <row r="890" spans="1:13" hidden="1" x14ac:dyDescent="0.35">
      <c r="A890" t="s">
        <v>24</v>
      </c>
      <c r="D890" t="s">
        <v>29</v>
      </c>
      <c r="F890">
        <v>4</v>
      </c>
      <c r="G890">
        <v>1</v>
      </c>
      <c r="H890">
        <v>1</v>
      </c>
      <c r="I890">
        <v>4</v>
      </c>
      <c r="K890" s="122">
        <v>45530</v>
      </c>
      <c r="L890" t="s">
        <v>737</v>
      </c>
      <c r="M890">
        <v>10.5</v>
      </c>
    </row>
    <row r="891" spans="1:13" hidden="1" x14ac:dyDescent="0.35">
      <c r="A891" t="s">
        <v>24</v>
      </c>
      <c r="D891" t="s">
        <v>29</v>
      </c>
      <c r="F891">
        <v>4</v>
      </c>
      <c r="G891">
        <v>1</v>
      </c>
      <c r="H891">
        <v>1</v>
      </c>
      <c r="I891">
        <v>4</v>
      </c>
      <c r="K891" s="122">
        <v>45530</v>
      </c>
      <c r="L891" t="s">
        <v>738</v>
      </c>
      <c r="M891">
        <v>10.199999999999999</v>
      </c>
    </row>
    <row r="892" spans="1:13" hidden="1" x14ac:dyDescent="0.35">
      <c r="A892" t="s">
        <v>24</v>
      </c>
      <c r="D892" t="s">
        <v>29</v>
      </c>
      <c r="F892">
        <v>4</v>
      </c>
      <c r="G892">
        <v>1</v>
      </c>
      <c r="H892">
        <v>1</v>
      </c>
      <c r="I892">
        <v>4</v>
      </c>
      <c r="K892" s="122">
        <v>45530</v>
      </c>
      <c r="L892" t="s">
        <v>739</v>
      </c>
      <c r="M892">
        <v>11.1</v>
      </c>
    </row>
    <row r="893" spans="1:13" hidden="1" x14ac:dyDescent="0.35">
      <c r="A893" t="s">
        <v>24</v>
      </c>
      <c r="D893" t="s">
        <v>29</v>
      </c>
      <c r="F893">
        <v>4</v>
      </c>
      <c r="G893">
        <v>1</v>
      </c>
      <c r="H893">
        <v>1</v>
      </c>
      <c r="I893">
        <v>4</v>
      </c>
      <c r="K893" s="122">
        <v>45538</v>
      </c>
      <c r="L893" t="s">
        <v>737</v>
      </c>
      <c r="M893">
        <v>11.1</v>
      </c>
    </row>
    <row r="894" spans="1:13" hidden="1" x14ac:dyDescent="0.35">
      <c r="A894" t="s">
        <v>24</v>
      </c>
      <c r="D894" t="s">
        <v>29</v>
      </c>
      <c r="F894">
        <v>4</v>
      </c>
      <c r="G894">
        <v>1</v>
      </c>
      <c r="H894">
        <v>1</v>
      </c>
      <c r="I894">
        <v>4</v>
      </c>
      <c r="K894" s="122">
        <v>45538</v>
      </c>
      <c r="L894" t="s">
        <v>738</v>
      </c>
      <c r="M894">
        <v>11.3</v>
      </c>
    </row>
    <row r="895" spans="1:13" hidden="1" x14ac:dyDescent="0.35">
      <c r="A895" t="s">
        <v>24</v>
      </c>
      <c r="D895" t="s">
        <v>29</v>
      </c>
      <c r="F895">
        <v>4</v>
      </c>
      <c r="G895">
        <v>1</v>
      </c>
      <c r="H895">
        <v>1</v>
      </c>
      <c r="I895">
        <v>4</v>
      </c>
      <c r="K895" s="122">
        <v>45538</v>
      </c>
      <c r="L895" t="s">
        <v>739</v>
      </c>
      <c r="M895">
        <v>12.1</v>
      </c>
    </row>
    <row r="896" spans="1:13" hidden="1" x14ac:dyDescent="0.35">
      <c r="A896" t="s">
        <v>24</v>
      </c>
      <c r="D896" t="s">
        <v>29</v>
      </c>
      <c r="F896">
        <v>4</v>
      </c>
      <c r="G896">
        <v>1</v>
      </c>
      <c r="H896">
        <v>1</v>
      </c>
      <c r="I896">
        <v>4</v>
      </c>
      <c r="K896" s="122">
        <v>45547</v>
      </c>
      <c r="L896" t="s">
        <v>737</v>
      </c>
      <c r="M896">
        <v>12</v>
      </c>
    </row>
    <row r="897" spans="1:13" hidden="1" x14ac:dyDescent="0.35">
      <c r="A897" t="s">
        <v>24</v>
      </c>
      <c r="D897" t="s">
        <v>29</v>
      </c>
      <c r="F897">
        <v>4</v>
      </c>
      <c r="G897">
        <v>1</v>
      </c>
      <c r="H897">
        <v>1</v>
      </c>
      <c r="I897">
        <v>4</v>
      </c>
      <c r="K897" s="122">
        <v>45547</v>
      </c>
      <c r="L897" t="s">
        <v>738</v>
      </c>
      <c r="M897">
        <v>12</v>
      </c>
    </row>
    <row r="898" spans="1:13" hidden="1" x14ac:dyDescent="0.35">
      <c r="A898" t="s">
        <v>24</v>
      </c>
      <c r="D898" t="s">
        <v>29</v>
      </c>
      <c r="F898">
        <v>4</v>
      </c>
      <c r="G898">
        <v>1</v>
      </c>
      <c r="H898">
        <v>1</v>
      </c>
      <c r="I898">
        <v>4</v>
      </c>
      <c r="K898" s="122">
        <v>45547</v>
      </c>
      <c r="L898" t="s">
        <v>739</v>
      </c>
      <c r="M898">
        <v>13</v>
      </c>
    </row>
    <row r="899" spans="1:13" hidden="1" x14ac:dyDescent="0.35">
      <c r="A899" t="s">
        <v>24</v>
      </c>
      <c r="D899" t="s">
        <v>29</v>
      </c>
      <c r="F899">
        <v>4</v>
      </c>
      <c r="G899">
        <v>1</v>
      </c>
      <c r="H899">
        <v>1</v>
      </c>
      <c r="I899">
        <v>4</v>
      </c>
      <c r="K899" s="122">
        <v>45555</v>
      </c>
      <c r="L899" t="s">
        <v>737</v>
      </c>
    </row>
    <row r="900" spans="1:13" hidden="1" x14ac:dyDescent="0.35">
      <c r="A900" t="s">
        <v>24</v>
      </c>
      <c r="D900" t="s">
        <v>29</v>
      </c>
      <c r="F900">
        <v>4</v>
      </c>
      <c r="G900">
        <v>1</v>
      </c>
      <c r="H900">
        <v>1</v>
      </c>
      <c r="I900">
        <v>4</v>
      </c>
      <c r="K900" s="122">
        <v>45555</v>
      </c>
      <c r="L900" t="s">
        <v>738</v>
      </c>
    </row>
    <row r="901" spans="1:13" hidden="1" x14ac:dyDescent="0.35">
      <c r="A901" t="s">
        <v>24</v>
      </c>
      <c r="D901" t="s">
        <v>29</v>
      </c>
      <c r="F901">
        <v>4</v>
      </c>
      <c r="G901">
        <v>1</v>
      </c>
      <c r="H901">
        <v>1</v>
      </c>
      <c r="I901">
        <v>4</v>
      </c>
      <c r="K901" s="122">
        <v>45555</v>
      </c>
      <c r="L901" t="s">
        <v>739</v>
      </c>
    </row>
    <row r="902" spans="1:13" x14ac:dyDescent="0.35">
      <c r="A902" t="s">
        <v>34</v>
      </c>
      <c r="D902" t="s">
        <v>41</v>
      </c>
      <c r="F902">
        <v>4</v>
      </c>
      <c r="G902">
        <v>2</v>
      </c>
      <c r="H902">
        <v>1</v>
      </c>
      <c r="I902">
        <v>12</v>
      </c>
      <c r="K902" s="122">
        <v>45442</v>
      </c>
      <c r="L902" t="s">
        <v>737</v>
      </c>
    </row>
    <row r="903" spans="1:13" hidden="1" x14ac:dyDescent="0.35">
      <c r="A903" t="s">
        <v>34</v>
      </c>
      <c r="D903" t="s">
        <v>41</v>
      </c>
      <c r="F903">
        <v>4</v>
      </c>
      <c r="G903">
        <v>2</v>
      </c>
      <c r="H903">
        <v>1</v>
      </c>
      <c r="I903">
        <v>12</v>
      </c>
      <c r="K903" s="122">
        <v>45442</v>
      </c>
      <c r="L903" t="s">
        <v>738</v>
      </c>
    </row>
    <row r="904" spans="1:13" hidden="1" x14ac:dyDescent="0.35">
      <c r="A904" t="s">
        <v>34</v>
      </c>
      <c r="D904" t="s">
        <v>41</v>
      </c>
      <c r="F904">
        <v>4</v>
      </c>
      <c r="G904">
        <v>2</v>
      </c>
      <c r="H904">
        <v>1</v>
      </c>
      <c r="I904">
        <v>12</v>
      </c>
      <c r="K904" s="122">
        <v>45442</v>
      </c>
      <c r="L904" t="s">
        <v>739</v>
      </c>
    </row>
    <row r="905" spans="1:13" x14ac:dyDescent="0.35">
      <c r="A905" t="s">
        <v>34</v>
      </c>
      <c r="D905" t="s">
        <v>41</v>
      </c>
      <c r="F905">
        <v>4</v>
      </c>
      <c r="G905">
        <v>2</v>
      </c>
      <c r="H905">
        <v>1</v>
      </c>
      <c r="I905">
        <v>12</v>
      </c>
      <c r="K905" s="122">
        <v>45447</v>
      </c>
      <c r="L905" t="s">
        <v>737</v>
      </c>
      <c r="M905">
        <v>1.9</v>
      </c>
    </row>
    <row r="906" spans="1:13" hidden="1" x14ac:dyDescent="0.35">
      <c r="A906" t="s">
        <v>34</v>
      </c>
      <c r="D906" t="s">
        <v>41</v>
      </c>
      <c r="F906">
        <v>4</v>
      </c>
      <c r="G906">
        <v>2</v>
      </c>
      <c r="H906">
        <v>1</v>
      </c>
      <c r="I906">
        <v>12</v>
      </c>
      <c r="K906" s="122">
        <v>45447</v>
      </c>
      <c r="L906" t="s">
        <v>738</v>
      </c>
      <c r="M906">
        <v>1.8</v>
      </c>
    </row>
    <row r="907" spans="1:13" hidden="1" x14ac:dyDescent="0.35">
      <c r="A907" t="s">
        <v>34</v>
      </c>
      <c r="D907" t="s">
        <v>41</v>
      </c>
      <c r="F907">
        <v>4</v>
      </c>
      <c r="G907">
        <v>2</v>
      </c>
      <c r="H907">
        <v>1</v>
      </c>
      <c r="I907">
        <v>12</v>
      </c>
      <c r="K907" s="122">
        <v>45447</v>
      </c>
      <c r="L907" t="s">
        <v>739</v>
      </c>
      <c r="M907">
        <v>1.9</v>
      </c>
    </row>
    <row r="908" spans="1:13" x14ac:dyDescent="0.35">
      <c r="A908" t="s">
        <v>34</v>
      </c>
      <c r="D908" t="s">
        <v>41</v>
      </c>
      <c r="F908">
        <v>4</v>
      </c>
      <c r="G908">
        <v>2</v>
      </c>
      <c r="H908">
        <v>1</v>
      </c>
      <c r="I908">
        <v>12</v>
      </c>
      <c r="K908" s="122">
        <v>45462</v>
      </c>
      <c r="L908" t="s">
        <v>737</v>
      </c>
      <c r="M908">
        <v>3.2</v>
      </c>
    </row>
    <row r="909" spans="1:13" hidden="1" x14ac:dyDescent="0.35">
      <c r="A909" t="s">
        <v>34</v>
      </c>
      <c r="D909" t="s">
        <v>41</v>
      </c>
      <c r="F909">
        <v>4</v>
      </c>
      <c r="G909">
        <v>2</v>
      </c>
      <c r="H909">
        <v>1</v>
      </c>
      <c r="I909">
        <v>12</v>
      </c>
      <c r="K909" s="122">
        <v>45462</v>
      </c>
      <c r="L909" t="s">
        <v>738</v>
      </c>
      <c r="M909">
        <v>3.2</v>
      </c>
    </row>
    <row r="910" spans="1:13" hidden="1" x14ac:dyDescent="0.35">
      <c r="A910" t="s">
        <v>34</v>
      </c>
      <c r="D910" t="s">
        <v>41</v>
      </c>
      <c r="F910">
        <v>4</v>
      </c>
      <c r="G910">
        <v>2</v>
      </c>
      <c r="H910">
        <v>1</v>
      </c>
      <c r="I910">
        <v>12</v>
      </c>
      <c r="K910" s="122">
        <v>45462</v>
      </c>
      <c r="L910" t="s">
        <v>739</v>
      </c>
      <c r="M910">
        <v>3.2</v>
      </c>
    </row>
    <row r="911" spans="1:13" x14ac:dyDescent="0.35">
      <c r="A911" t="s">
        <v>34</v>
      </c>
      <c r="D911" t="s">
        <v>41</v>
      </c>
      <c r="F911">
        <v>4</v>
      </c>
      <c r="G911">
        <v>2</v>
      </c>
      <c r="H911">
        <v>1</v>
      </c>
      <c r="I911">
        <v>12</v>
      </c>
      <c r="K911" s="122">
        <v>45477</v>
      </c>
      <c r="L911" t="s">
        <v>737</v>
      </c>
      <c r="M911">
        <v>4.5</v>
      </c>
    </row>
    <row r="912" spans="1:13" hidden="1" x14ac:dyDescent="0.35">
      <c r="A912" t="s">
        <v>34</v>
      </c>
      <c r="D912" t="s">
        <v>41</v>
      </c>
      <c r="F912">
        <v>4</v>
      </c>
      <c r="G912">
        <v>2</v>
      </c>
      <c r="H912">
        <v>1</v>
      </c>
      <c r="I912">
        <v>12</v>
      </c>
      <c r="K912" s="122">
        <v>45477</v>
      </c>
      <c r="L912" t="s">
        <v>738</v>
      </c>
      <c r="M912">
        <v>4.8</v>
      </c>
    </row>
    <row r="913" spans="1:13" hidden="1" x14ac:dyDescent="0.35">
      <c r="A913" t="s">
        <v>34</v>
      </c>
      <c r="D913" t="s">
        <v>41</v>
      </c>
      <c r="F913">
        <v>4</v>
      </c>
      <c r="G913">
        <v>2</v>
      </c>
      <c r="H913">
        <v>1</v>
      </c>
      <c r="I913">
        <v>12</v>
      </c>
      <c r="K913" s="122">
        <v>45477</v>
      </c>
      <c r="L913" t="s">
        <v>739</v>
      </c>
      <c r="M913">
        <v>4.5999999999999996</v>
      </c>
    </row>
    <row r="914" spans="1:13" x14ac:dyDescent="0.35">
      <c r="A914" t="s">
        <v>34</v>
      </c>
      <c r="D914" t="s">
        <v>41</v>
      </c>
      <c r="F914">
        <v>4</v>
      </c>
      <c r="G914">
        <v>2</v>
      </c>
      <c r="H914">
        <v>1</v>
      </c>
      <c r="I914">
        <v>12</v>
      </c>
      <c r="K914" s="122">
        <v>45485</v>
      </c>
      <c r="L914" t="s">
        <v>737</v>
      </c>
    </row>
    <row r="915" spans="1:13" hidden="1" x14ac:dyDescent="0.35">
      <c r="A915" t="s">
        <v>34</v>
      </c>
      <c r="D915" t="s">
        <v>41</v>
      </c>
      <c r="F915">
        <v>4</v>
      </c>
      <c r="G915">
        <v>2</v>
      </c>
      <c r="H915">
        <v>1</v>
      </c>
      <c r="I915">
        <v>12</v>
      </c>
      <c r="K915" s="122">
        <v>45485</v>
      </c>
      <c r="L915" t="s">
        <v>738</v>
      </c>
    </row>
    <row r="916" spans="1:13" hidden="1" x14ac:dyDescent="0.35">
      <c r="A916" t="s">
        <v>34</v>
      </c>
      <c r="D916" t="s">
        <v>41</v>
      </c>
      <c r="F916">
        <v>4</v>
      </c>
      <c r="G916">
        <v>2</v>
      </c>
      <c r="H916">
        <v>1</v>
      </c>
      <c r="I916">
        <v>12</v>
      </c>
      <c r="K916" s="122">
        <v>45485</v>
      </c>
      <c r="L916" t="s">
        <v>739</v>
      </c>
    </row>
    <row r="917" spans="1:13" x14ac:dyDescent="0.35">
      <c r="A917" t="s">
        <v>34</v>
      </c>
      <c r="D917" t="s">
        <v>41</v>
      </c>
      <c r="F917">
        <v>4</v>
      </c>
      <c r="G917">
        <v>2</v>
      </c>
      <c r="H917">
        <v>1</v>
      </c>
      <c r="I917">
        <v>12</v>
      </c>
      <c r="K917" s="122">
        <v>45492</v>
      </c>
      <c r="L917" t="s">
        <v>737</v>
      </c>
      <c r="M917">
        <v>5.9</v>
      </c>
    </row>
    <row r="918" spans="1:13" hidden="1" x14ac:dyDescent="0.35">
      <c r="A918" t="s">
        <v>34</v>
      </c>
      <c r="D918" t="s">
        <v>41</v>
      </c>
      <c r="F918">
        <v>4</v>
      </c>
      <c r="G918">
        <v>2</v>
      </c>
      <c r="H918">
        <v>1</v>
      </c>
      <c r="I918">
        <v>12</v>
      </c>
      <c r="K918" s="122">
        <v>45492</v>
      </c>
      <c r="L918" t="s">
        <v>738</v>
      </c>
      <c r="M918">
        <v>5.8</v>
      </c>
    </row>
    <row r="919" spans="1:13" hidden="1" x14ac:dyDescent="0.35">
      <c r="A919" t="s">
        <v>34</v>
      </c>
      <c r="D919" t="s">
        <v>41</v>
      </c>
      <c r="F919">
        <v>4</v>
      </c>
      <c r="G919">
        <v>2</v>
      </c>
      <c r="H919">
        <v>1</v>
      </c>
      <c r="I919">
        <v>12</v>
      </c>
      <c r="K919" s="122">
        <v>45492</v>
      </c>
      <c r="L919" t="s">
        <v>739</v>
      </c>
      <c r="M919">
        <v>6.3</v>
      </c>
    </row>
    <row r="920" spans="1:13" x14ac:dyDescent="0.35">
      <c r="A920" t="s">
        <v>34</v>
      </c>
      <c r="D920" t="s">
        <v>41</v>
      </c>
      <c r="F920">
        <v>4</v>
      </c>
      <c r="G920">
        <v>2</v>
      </c>
      <c r="H920">
        <v>1</v>
      </c>
      <c r="I920">
        <v>12</v>
      </c>
      <c r="K920" s="122">
        <v>45509</v>
      </c>
      <c r="L920" t="s">
        <v>737</v>
      </c>
      <c r="M920">
        <v>7.3</v>
      </c>
    </row>
    <row r="921" spans="1:13" hidden="1" x14ac:dyDescent="0.35">
      <c r="A921" t="s">
        <v>34</v>
      </c>
      <c r="D921" t="s">
        <v>41</v>
      </c>
      <c r="F921">
        <v>4</v>
      </c>
      <c r="G921">
        <v>2</v>
      </c>
      <c r="H921">
        <v>1</v>
      </c>
      <c r="I921">
        <v>12</v>
      </c>
      <c r="K921" s="122">
        <v>45509</v>
      </c>
      <c r="L921" t="s">
        <v>738</v>
      </c>
      <c r="M921">
        <v>7.4</v>
      </c>
    </row>
    <row r="922" spans="1:13" hidden="1" x14ac:dyDescent="0.35">
      <c r="A922" t="s">
        <v>34</v>
      </c>
      <c r="D922" t="s">
        <v>41</v>
      </c>
      <c r="F922">
        <v>4</v>
      </c>
      <c r="G922">
        <v>2</v>
      </c>
      <c r="H922">
        <v>1</v>
      </c>
      <c r="I922">
        <v>12</v>
      </c>
      <c r="K922" s="122">
        <v>45509</v>
      </c>
      <c r="L922" t="s">
        <v>739</v>
      </c>
      <c r="M922">
        <v>7.3</v>
      </c>
    </row>
    <row r="923" spans="1:13" x14ac:dyDescent="0.35">
      <c r="A923" t="s">
        <v>34</v>
      </c>
      <c r="D923" t="s">
        <v>41</v>
      </c>
      <c r="F923">
        <v>4</v>
      </c>
      <c r="G923">
        <v>2</v>
      </c>
      <c r="H923">
        <v>1</v>
      </c>
      <c r="I923">
        <v>12</v>
      </c>
      <c r="K923" s="122">
        <v>45519</v>
      </c>
      <c r="L923" t="s">
        <v>737</v>
      </c>
      <c r="M923">
        <v>8.1999999999999993</v>
      </c>
    </row>
    <row r="924" spans="1:13" hidden="1" x14ac:dyDescent="0.35">
      <c r="A924" t="s">
        <v>34</v>
      </c>
      <c r="D924" t="s">
        <v>41</v>
      </c>
      <c r="F924">
        <v>4</v>
      </c>
      <c r="G924">
        <v>2</v>
      </c>
      <c r="H924">
        <v>1</v>
      </c>
      <c r="I924">
        <v>12</v>
      </c>
      <c r="K924" s="122">
        <v>45519</v>
      </c>
      <c r="L924" t="s">
        <v>738</v>
      </c>
      <c r="M924">
        <v>8.3000000000000007</v>
      </c>
    </row>
    <row r="925" spans="1:13" hidden="1" x14ac:dyDescent="0.35">
      <c r="A925" t="s">
        <v>34</v>
      </c>
      <c r="D925" t="s">
        <v>41</v>
      </c>
      <c r="F925">
        <v>4</v>
      </c>
      <c r="G925">
        <v>2</v>
      </c>
      <c r="H925">
        <v>1</v>
      </c>
      <c r="I925">
        <v>12</v>
      </c>
      <c r="K925" s="122">
        <v>45519</v>
      </c>
      <c r="L925" t="s">
        <v>739</v>
      </c>
      <c r="M925">
        <v>8.3000000000000007</v>
      </c>
    </row>
    <row r="926" spans="1:13" x14ac:dyDescent="0.35">
      <c r="A926" t="s">
        <v>34</v>
      </c>
      <c r="D926" t="s">
        <v>41</v>
      </c>
      <c r="F926">
        <v>4</v>
      </c>
      <c r="G926">
        <v>2</v>
      </c>
      <c r="H926">
        <v>1</v>
      </c>
      <c r="I926">
        <v>12</v>
      </c>
      <c r="K926" s="122">
        <v>45530</v>
      </c>
      <c r="L926" t="s">
        <v>737</v>
      </c>
      <c r="M926">
        <v>9.3000000000000007</v>
      </c>
    </row>
    <row r="927" spans="1:13" hidden="1" x14ac:dyDescent="0.35">
      <c r="A927" t="s">
        <v>34</v>
      </c>
      <c r="D927" t="s">
        <v>41</v>
      </c>
      <c r="F927">
        <v>4</v>
      </c>
      <c r="G927">
        <v>2</v>
      </c>
      <c r="H927">
        <v>1</v>
      </c>
      <c r="I927">
        <v>12</v>
      </c>
      <c r="K927" s="122">
        <v>45530</v>
      </c>
      <c r="L927" t="s">
        <v>738</v>
      </c>
      <c r="M927">
        <v>9.6</v>
      </c>
    </row>
    <row r="928" spans="1:13" hidden="1" x14ac:dyDescent="0.35">
      <c r="A928" t="s">
        <v>34</v>
      </c>
      <c r="D928" t="s">
        <v>41</v>
      </c>
      <c r="F928">
        <v>4</v>
      </c>
      <c r="G928">
        <v>2</v>
      </c>
      <c r="H928">
        <v>1</v>
      </c>
      <c r="I928">
        <v>12</v>
      </c>
      <c r="K928" s="122">
        <v>45530</v>
      </c>
      <c r="L928" t="s">
        <v>739</v>
      </c>
      <c r="M928">
        <v>9.8000000000000007</v>
      </c>
    </row>
    <row r="929" spans="1:13" x14ac:dyDescent="0.35">
      <c r="A929" t="s">
        <v>34</v>
      </c>
      <c r="D929" t="s">
        <v>41</v>
      </c>
      <c r="F929">
        <v>4</v>
      </c>
      <c r="G929">
        <v>2</v>
      </c>
      <c r="H929">
        <v>1</v>
      </c>
      <c r="I929">
        <v>12</v>
      </c>
      <c r="K929" s="122">
        <v>45538</v>
      </c>
      <c r="L929" t="s">
        <v>737</v>
      </c>
      <c r="M929">
        <v>9.8000000000000007</v>
      </c>
    </row>
    <row r="930" spans="1:13" hidden="1" x14ac:dyDescent="0.35">
      <c r="A930" t="s">
        <v>34</v>
      </c>
      <c r="D930" t="s">
        <v>41</v>
      </c>
      <c r="F930">
        <v>4</v>
      </c>
      <c r="G930">
        <v>2</v>
      </c>
      <c r="H930">
        <v>1</v>
      </c>
      <c r="I930">
        <v>12</v>
      </c>
      <c r="K930" s="122">
        <v>45538</v>
      </c>
      <c r="L930" t="s">
        <v>738</v>
      </c>
      <c r="M930">
        <v>10</v>
      </c>
    </row>
    <row r="931" spans="1:13" hidden="1" x14ac:dyDescent="0.35">
      <c r="A931" t="s">
        <v>34</v>
      </c>
      <c r="D931" t="s">
        <v>41</v>
      </c>
      <c r="F931">
        <v>4</v>
      </c>
      <c r="G931">
        <v>2</v>
      </c>
      <c r="H931">
        <v>1</v>
      </c>
      <c r="I931">
        <v>12</v>
      </c>
      <c r="K931" s="122">
        <v>45538</v>
      </c>
      <c r="L931" t="s">
        <v>739</v>
      </c>
      <c r="M931">
        <v>10.6</v>
      </c>
    </row>
    <row r="932" spans="1:13" x14ac:dyDescent="0.35">
      <c r="A932" t="s">
        <v>34</v>
      </c>
      <c r="D932" t="s">
        <v>41</v>
      </c>
      <c r="F932">
        <v>4</v>
      </c>
      <c r="G932">
        <v>2</v>
      </c>
      <c r="H932">
        <v>1</v>
      </c>
      <c r="I932">
        <v>12</v>
      </c>
      <c r="K932" s="122">
        <v>45547</v>
      </c>
      <c r="L932" t="s">
        <v>737</v>
      </c>
      <c r="M932">
        <v>10</v>
      </c>
    </row>
    <row r="933" spans="1:13" hidden="1" x14ac:dyDescent="0.35">
      <c r="A933" t="s">
        <v>34</v>
      </c>
      <c r="D933" t="s">
        <v>41</v>
      </c>
      <c r="F933">
        <v>4</v>
      </c>
      <c r="G933">
        <v>2</v>
      </c>
      <c r="H933">
        <v>1</v>
      </c>
      <c r="I933">
        <v>12</v>
      </c>
      <c r="K933" s="122">
        <v>45547</v>
      </c>
      <c r="L933" t="s">
        <v>738</v>
      </c>
      <c r="M933">
        <v>10</v>
      </c>
    </row>
    <row r="934" spans="1:13" hidden="1" x14ac:dyDescent="0.35">
      <c r="A934" t="s">
        <v>34</v>
      </c>
      <c r="D934" t="s">
        <v>41</v>
      </c>
      <c r="F934">
        <v>4</v>
      </c>
      <c r="G934">
        <v>2</v>
      </c>
      <c r="H934">
        <v>1</v>
      </c>
      <c r="I934">
        <v>12</v>
      </c>
      <c r="K934" s="122">
        <v>45547</v>
      </c>
      <c r="L934" t="s">
        <v>739</v>
      </c>
      <c r="M934">
        <v>11</v>
      </c>
    </row>
    <row r="935" spans="1:13" x14ac:dyDescent="0.35">
      <c r="A935" t="s">
        <v>34</v>
      </c>
      <c r="D935" t="s">
        <v>41</v>
      </c>
      <c r="F935">
        <v>4</v>
      </c>
      <c r="G935">
        <v>2</v>
      </c>
      <c r="H935">
        <v>1</v>
      </c>
      <c r="I935">
        <v>12</v>
      </c>
      <c r="K935" s="122">
        <v>45555</v>
      </c>
      <c r="L935" t="s">
        <v>737</v>
      </c>
    </row>
    <row r="936" spans="1:13" hidden="1" x14ac:dyDescent="0.35">
      <c r="A936" t="s">
        <v>34</v>
      </c>
      <c r="D936" t="s">
        <v>41</v>
      </c>
      <c r="F936">
        <v>4</v>
      </c>
      <c r="G936">
        <v>2</v>
      </c>
      <c r="H936">
        <v>1</v>
      </c>
      <c r="I936">
        <v>12</v>
      </c>
      <c r="K936" s="122">
        <v>45555</v>
      </c>
      <c r="L936" t="s">
        <v>738</v>
      </c>
    </row>
    <row r="937" spans="1:13" hidden="1" x14ac:dyDescent="0.35">
      <c r="A937" t="s">
        <v>34</v>
      </c>
      <c r="D937" t="s">
        <v>41</v>
      </c>
      <c r="F937">
        <v>4</v>
      </c>
      <c r="G937">
        <v>2</v>
      </c>
      <c r="H937">
        <v>1</v>
      </c>
      <c r="I937">
        <v>12</v>
      </c>
      <c r="K937" s="122">
        <v>45555</v>
      </c>
      <c r="L937" t="s">
        <v>739</v>
      </c>
    </row>
    <row r="938" spans="1:13" hidden="1" x14ac:dyDescent="0.35">
      <c r="A938" t="s">
        <v>24</v>
      </c>
      <c r="D938" t="s">
        <v>336</v>
      </c>
      <c r="F938">
        <v>4</v>
      </c>
      <c r="G938">
        <v>3</v>
      </c>
      <c r="H938">
        <v>2</v>
      </c>
      <c r="I938">
        <v>20</v>
      </c>
      <c r="K938" s="122">
        <v>45442</v>
      </c>
      <c r="L938" t="s">
        <v>737</v>
      </c>
      <c r="M938">
        <v>4.7</v>
      </c>
    </row>
    <row r="939" spans="1:13" hidden="1" x14ac:dyDescent="0.35">
      <c r="A939" t="s">
        <v>24</v>
      </c>
      <c r="D939" t="s">
        <v>336</v>
      </c>
      <c r="F939">
        <v>4</v>
      </c>
      <c r="G939">
        <v>3</v>
      </c>
      <c r="H939">
        <v>2</v>
      </c>
      <c r="I939">
        <v>20</v>
      </c>
      <c r="K939" s="122">
        <v>45442</v>
      </c>
      <c r="L939" t="s">
        <v>738</v>
      </c>
      <c r="M939">
        <v>4.7</v>
      </c>
    </row>
    <row r="940" spans="1:13" hidden="1" x14ac:dyDescent="0.35">
      <c r="A940" t="s">
        <v>24</v>
      </c>
      <c r="D940" t="s">
        <v>336</v>
      </c>
      <c r="F940">
        <v>4</v>
      </c>
      <c r="G940">
        <v>3</v>
      </c>
      <c r="H940">
        <v>2</v>
      </c>
      <c r="I940">
        <v>20</v>
      </c>
      <c r="K940" s="122">
        <v>45442</v>
      </c>
      <c r="L940" t="s">
        <v>739</v>
      </c>
      <c r="M940">
        <v>4.5999999999999996</v>
      </c>
    </row>
    <row r="941" spans="1:13" hidden="1" x14ac:dyDescent="0.35">
      <c r="A941" t="s">
        <v>24</v>
      </c>
      <c r="D941" t="s">
        <v>336</v>
      </c>
      <c r="F941">
        <v>4</v>
      </c>
      <c r="G941">
        <v>3</v>
      </c>
      <c r="H941">
        <v>2</v>
      </c>
      <c r="I941">
        <v>20</v>
      </c>
      <c r="K941" s="122">
        <v>45447</v>
      </c>
      <c r="L941" t="s">
        <v>737</v>
      </c>
      <c r="M941">
        <v>5.3</v>
      </c>
    </row>
    <row r="942" spans="1:13" hidden="1" x14ac:dyDescent="0.35">
      <c r="A942" t="s">
        <v>24</v>
      </c>
      <c r="D942" t="s">
        <v>336</v>
      </c>
      <c r="F942">
        <v>4</v>
      </c>
      <c r="G942">
        <v>3</v>
      </c>
      <c r="H942">
        <v>2</v>
      </c>
      <c r="I942">
        <v>20</v>
      </c>
      <c r="K942" s="122">
        <v>45447</v>
      </c>
      <c r="L942" t="s">
        <v>738</v>
      </c>
      <c r="M942">
        <v>5.3</v>
      </c>
    </row>
    <row r="943" spans="1:13" hidden="1" x14ac:dyDescent="0.35">
      <c r="A943" t="s">
        <v>24</v>
      </c>
      <c r="D943" t="s">
        <v>336</v>
      </c>
      <c r="F943">
        <v>4</v>
      </c>
      <c r="G943">
        <v>3</v>
      </c>
      <c r="H943">
        <v>2</v>
      </c>
      <c r="I943">
        <v>20</v>
      </c>
      <c r="K943" s="122">
        <v>45447</v>
      </c>
      <c r="L943" t="s">
        <v>739</v>
      </c>
      <c r="M943">
        <v>5.2</v>
      </c>
    </row>
    <row r="944" spans="1:13" hidden="1" x14ac:dyDescent="0.35">
      <c r="A944" t="s">
        <v>24</v>
      </c>
      <c r="D944" t="s">
        <v>336</v>
      </c>
      <c r="F944">
        <v>4</v>
      </c>
      <c r="G944">
        <v>3</v>
      </c>
      <c r="H944">
        <v>2</v>
      </c>
      <c r="I944">
        <v>20</v>
      </c>
      <c r="K944" s="122">
        <v>45462</v>
      </c>
      <c r="L944" t="s">
        <v>737</v>
      </c>
      <c r="M944">
        <v>5</v>
      </c>
    </row>
    <row r="945" spans="1:13" hidden="1" x14ac:dyDescent="0.35">
      <c r="A945" t="s">
        <v>24</v>
      </c>
      <c r="D945" t="s">
        <v>336</v>
      </c>
      <c r="F945">
        <v>4</v>
      </c>
      <c r="G945">
        <v>3</v>
      </c>
      <c r="H945">
        <v>2</v>
      </c>
      <c r="I945">
        <v>20</v>
      </c>
      <c r="K945" s="122">
        <v>45462</v>
      </c>
      <c r="L945" t="s">
        <v>738</v>
      </c>
      <c r="M945">
        <v>5.3</v>
      </c>
    </row>
    <row r="946" spans="1:13" hidden="1" x14ac:dyDescent="0.35">
      <c r="A946" t="s">
        <v>24</v>
      </c>
      <c r="D946" t="s">
        <v>336</v>
      </c>
      <c r="F946">
        <v>4</v>
      </c>
      <c r="G946">
        <v>3</v>
      </c>
      <c r="H946">
        <v>2</v>
      </c>
      <c r="I946">
        <v>20</v>
      </c>
      <c r="K946" s="122">
        <v>45462</v>
      </c>
      <c r="L946" t="s">
        <v>739</v>
      </c>
      <c r="M946">
        <v>5</v>
      </c>
    </row>
    <row r="947" spans="1:13" hidden="1" x14ac:dyDescent="0.35">
      <c r="A947" t="s">
        <v>24</v>
      </c>
      <c r="D947" t="s">
        <v>336</v>
      </c>
      <c r="F947">
        <v>4</v>
      </c>
      <c r="G947">
        <v>3</v>
      </c>
      <c r="H947">
        <v>2</v>
      </c>
      <c r="I947">
        <v>20</v>
      </c>
      <c r="K947" s="122">
        <v>45477</v>
      </c>
      <c r="L947" t="s">
        <v>737</v>
      </c>
    </row>
    <row r="948" spans="1:13" hidden="1" x14ac:dyDescent="0.35">
      <c r="A948" t="s">
        <v>24</v>
      </c>
      <c r="D948" t="s">
        <v>336</v>
      </c>
      <c r="F948">
        <v>4</v>
      </c>
      <c r="G948">
        <v>3</v>
      </c>
      <c r="H948">
        <v>2</v>
      </c>
      <c r="I948">
        <v>20</v>
      </c>
      <c r="K948" s="122">
        <v>45477</v>
      </c>
      <c r="L948" t="s">
        <v>738</v>
      </c>
    </row>
    <row r="949" spans="1:13" hidden="1" x14ac:dyDescent="0.35">
      <c r="A949" t="s">
        <v>24</v>
      </c>
      <c r="D949" t="s">
        <v>336</v>
      </c>
      <c r="F949">
        <v>4</v>
      </c>
      <c r="G949">
        <v>3</v>
      </c>
      <c r="H949">
        <v>2</v>
      </c>
      <c r="I949">
        <v>20</v>
      </c>
      <c r="K949" s="122">
        <v>45477</v>
      </c>
      <c r="L949" t="s">
        <v>739</v>
      </c>
    </row>
    <row r="950" spans="1:13" hidden="1" x14ac:dyDescent="0.35">
      <c r="A950" t="s">
        <v>24</v>
      </c>
      <c r="D950" t="s">
        <v>336</v>
      </c>
      <c r="F950">
        <v>4</v>
      </c>
      <c r="G950">
        <v>3</v>
      </c>
      <c r="H950">
        <v>2</v>
      </c>
      <c r="I950">
        <v>20</v>
      </c>
      <c r="K950" s="122">
        <v>45485</v>
      </c>
      <c r="L950" t="s">
        <v>737</v>
      </c>
      <c r="M950">
        <v>5.9</v>
      </c>
    </row>
    <row r="951" spans="1:13" hidden="1" x14ac:dyDescent="0.35">
      <c r="A951" t="s">
        <v>24</v>
      </c>
      <c r="D951" t="s">
        <v>336</v>
      </c>
      <c r="F951">
        <v>4</v>
      </c>
      <c r="G951">
        <v>3</v>
      </c>
      <c r="H951">
        <v>2</v>
      </c>
      <c r="I951">
        <v>20</v>
      </c>
      <c r="K951" s="122">
        <v>45485</v>
      </c>
      <c r="L951" t="s">
        <v>738</v>
      </c>
      <c r="M951">
        <v>6.4</v>
      </c>
    </row>
    <row r="952" spans="1:13" hidden="1" x14ac:dyDescent="0.35">
      <c r="A952" t="s">
        <v>24</v>
      </c>
      <c r="D952" t="s">
        <v>336</v>
      </c>
      <c r="F952">
        <v>4</v>
      </c>
      <c r="G952">
        <v>3</v>
      </c>
      <c r="H952">
        <v>2</v>
      </c>
      <c r="I952">
        <v>20</v>
      </c>
      <c r="K952" s="122">
        <v>45485</v>
      </c>
      <c r="L952" t="s">
        <v>739</v>
      </c>
      <c r="M952">
        <v>7.3</v>
      </c>
    </row>
    <row r="953" spans="1:13" hidden="1" x14ac:dyDescent="0.35">
      <c r="A953" t="s">
        <v>24</v>
      </c>
      <c r="D953" t="s">
        <v>336</v>
      </c>
      <c r="F953">
        <v>4</v>
      </c>
      <c r="G953">
        <v>3</v>
      </c>
      <c r="H953">
        <v>2</v>
      </c>
      <c r="I953">
        <v>20</v>
      </c>
      <c r="K953" s="122">
        <v>45492</v>
      </c>
      <c r="L953" t="s">
        <v>737</v>
      </c>
      <c r="M953">
        <v>6.3</v>
      </c>
    </row>
    <row r="954" spans="1:13" hidden="1" x14ac:dyDescent="0.35">
      <c r="A954" t="s">
        <v>24</v>
      </c>
      <c r="D954" t="s">
        <v>336</v>
      </c>
      <c r="F954">
        <v>4</v>
      </c>
      <c r="G954">
        <v>3</v>
      </c>
      <c r="H954">
        <v>2</v>
      </c>
      <c r="I954">
        <v>20</v>
      </c>
      <c r="K954" s="122">
        <v>45492</v>
      </c>
      <c r="L954" t="s">
        <v>738</v>
      </c>
      <c r="M954">
        <v>6.7</v>
      </c>
    </row>
    <row r="955" spans="1:13" hidden="1" x14ac:dyDescent="0.35">
      <c r="A955" t="s">
        <v>24</v>
      </c>
      <c r="D955" t="s">
        <v>336</v>
      </c>
      <c r="F955">
        <v>4</v>
      </c>
      <c r="G955">
        <v>3</v>
      </c>
      <c r="H955">
        <v>2</v>
      </c>
      <c r="I955">
        <v>20</v>
      </c>
      <c r="K955" s="122">
        <v>45492</v>
      </c>
      <c r="L955" t="s">
        <v>739</v>
      </c>
      <c r="M955">
        <v>7.6</v>
      </c>
    </row>
    <row r="956" spans="1:13" hidden="1" x14ac:dyDescent="0.35">
      <c r="A956" t="s">
        <v>24</v>
      </c>
      <c r="D956" t="s">
        <v>336</v>
      </c>
      <c r="F956">
        <v>4</v>
      </c>
      <c r="G956">
        <v>3</v>
      </c>
      <c r="H956">
        <v>2</v>
      </c>
      <c r="I956">
        <v>20</v>
      </c>
      <c r="K956" s="122">
        <v>45509</v>
      </c>
      <c r="L956" t="s">
        <v>737</v>
      </c>
      <c r="M956">
        <v>7.3</v>
      </c>
    </row>
    <row r="957" spans="1:13" hidden="1" x14ac:dyDescent="0.35">
      <c r="A957" t="s">
        <v>24</v>
      </c>
      <c r="D957" t="s">
        <v>336</v>
      </c>
      <c r="F957">
        <v>4</v>
      </c>
      <c r="G957">
        <v>3</v>
      </c>
      <c r="H957">
        <v>2</v>
      </c>
      <c r="I957">
        <v>20</v>
      </c>
      <c r="K957" s="122">
        <v>45509</v>
      </c>
      <c r="L957" t="s">
        <v>738</v>
      </c>
      <c r="M957">
        <v>7.8</v>
      </c>
    </row>
    <row r="958" spans="1:13" hidden="1" x14ac:dyDescent="0.35">
      <c r="A958" t="s">
        <v>24</v>
      </c>
      <c r="D958" t="s">
        <v>336</v>
      </c>
      <c r="F958">
        <v>4</v>
      </c>
      <c r="G958">
        <v>3</v>
      </c>
      <c r="H958">
        <v>2</v>
      </c>
      <c r="I958">
        <v>20</v>
      </c>
      <c r="K958" s="122">
        <v>45509</v>
      </c>
      <c r="L958" t="s">
        <v>739</v>
      </c>
      <c r="M958">
        <v>7.6</v>
      </c>
    </row>
    <row r="959" spans="1:13" hidden="1" x14ac:dyDescent="0.35">
      <c r="A959" t="s">
        <v>24</v>
      </c>
      <c r="D959" t="s">
        <v>336</v>
      </c>
      <c r="F959">
        <v>4</v>
      </c>
      <c r="G959">
        <v>3</v>
      </c>
      <c r="H959">
        <v>2</v>
      </c>
      <c r="I959">
        <v>20</v>
      </c>
      <c r="K959" s="122">
        <v>45519</v>
      </c>
      <c r="L959" t="s">
        <v>737</v>
      </c>
      <c r="M959">
        <v>7.8</v>
      </c>
    </row>
    <row r="960" spans="1:13" hidden="1" x14ac:dyDescent="0.35">
      <c r="A960" t="s">
        <v>24</v>
      </c>
      <c r="D960" t="s">
        <v>336</v>
      </c>
      <c r="F960">
        <v>4</v>
      </c>
      <c r="G960">
        <v>3</v>
      </c>
      <c r="H960">
        <v>2</v>
      </c>
      <c r="I960">
        <v>20</v>
      </c>
      <c r="K960" s="122">
        <v>45519</v>
      </c>
      <c r="L960" t="s">
        <v>738</v>
      </c>
      <c r="M960">
        <v>8.6</v>
      </c>
    </row>
    <row r="961" spans="1:13" hidden="1" x14ac:dyDescent="0.35">
      <c r="A961" t="s">
        <v>24</v>
      </c>
      <c r="D961" t="s">
        <v>336</v>
      </c>
      <c r="F961">
        <v>4</v>
      </c>
      <c r="G961">
        <v>3</v>
      </c>
      <c r="H961">
        <v>2</v>
      </c>
      <c r="I961">
        <v>20</v>
      </c>
      <c r="K961" s="122">
        <v>45519</v>
      </c>
      <c r="L961" t="s">
        <v>739</v>
      </c>
      <c r="M961">
        <v>9.4</v>
      </c>
    </row>
    <row r="962" spans="1:13" hidden="1" x14ac:dyDescent="0.35">
      <c r="A962" t="s">
        <v>24</v>
      </c>
      <c r="D962" t="s">
        <v>336</v>
      </c>
      <c r="F962">
        <v>4</v>
      </c>
      <c r="G962">
        <v>3</v>
      </c>
      <c r="H962">
        <v>2</v>
      </c>
      <c r="I962">
        <v>20</v>
      </c>
      <c r="K962" s="122">
        <v>45530</v>
      </c>
      <c r="L962" t="s">
        <v>737</v>
      </c>
      <c r="M962">
        <v>9.6</v>
      </c>
    </row>
    <row r="963" spans="1:13" hidden="1" x14ac:dyDescent="0.35">
      <c r="A963" t="s">
        <v>24</v>
      </c>
      <c r="D963" t="s">
        <v>336</v>
      </c>
      <c r="F963">
        <v>4</v>
      </c>
      <c r="G963">
        <v>3</v>
      </c>
      <c r="H963">
        <v>2</v>
      </c>
      <c r="I963">
        <v>20</v>
      </c>
      <c r="K963" s="122">
        <v>45530</v>
      </c>
      <c r="L963" t="s">
        <v>738</v>
      </c>
      <c r="M963">
        <v>9.8000000000000007</v>
      </c>
    </row>
    <row r="964" spans="1:13" hidden="1" x14ac:dyDescent="0.35">
      <c r="A964" t="s">
        <v>24</v>
      </c>
      <c r="D964" t="s">
        <v>336</v>
      </c>
      <c r="F964">
        <v>4</v>
      </c>
      <c r="G964">
        <v>3</v>
      </c>
      <c r="H964">
        <v>2</v>
      </c>
      <c r="I964">
        <v>20</v>
      </c>
      <c r="K964" s="122">
        <v>45530</v>
      </c>
      <c r="L964" t="s">
        <v>739</v>
      </c>
      <c r="M964">
        <v>10.6</v>
      </c>
    </row>
    <row r="965" spans="1:13" hidden="1" x14ac:dyDescent="0.35">
      <c r="A965" t="s">
        <v>24</v>
      </c>
      <c r="D965" t="s">
        <v>336</v>
      </c>
      <c r="F965">
        <v>4</v>
      </c>
      <c r="G965">
        <v>3</v>
      </c>
      <c r="H965">
        <v>2</v>
      </c>
      <c r="I965">
        <v>20</v>
      </c>
      <c r="K965" s="122">
        <v>45538</v>
      </c>
      <c r="L965" t="s">
        <v>737</v>
      </c>
      <c r="M965">
        <v>10.1</v>
      </c>
    </row>
    <row r="966" spans="1:13" hidden="1" x14ac:dyDescent="0.35">
      <c r="A966" t="s">
        <v>24</v>
      </c>
      <c r="D966" t="s">
        <v>336</v>
      </c>
      <c r="F966">
        <v>4</v>
      </c>
      <c r="G966">
        <v>3</v>
      </c>
      <c r="H966">
        <v>2</v>
      </c>
      <c r="I966">
        <v>20</v>
      </c>
      <c r="K966" s="122">
        <v>45538</v>
      </c>
      <c r="L966" t="s">
        <v>738</v>
      </c>
      <c r="M966">
        <v>10.7</v>
      </c>
    </row>
    <row r="967" spans="1:13" hidden="1" x14ac:dyDescent="0.35">
      <c r="A967" t="s">
        <v>24</v>
      </c>
      <c r="D967" t="s">
        <v>336</v>
      </c>
      <c r="F967">
        <v>4</v>
      </c>
      <c r="G967">
        <v>3</v>
      </c>
      <c r="H967">
        <v>2</v>
      </c>
      <c r="I967">
        <v>20</v>
      </c>
      <c r="K967" s="122">
        <v>45538</v>
      </c>
      <c r="L967" t="s">
        <v>739</v>
      </c>
      <c r="M967">
        <v>11.3</v>
      </c>
    </row>
    <row r="968" spans="1:13" hidden="1" x14ac:dyDescent="0.35">
      <c r="A968" t="s">
        <v>24</v>
      </c>
      <c r="D968" t="s">
        <v>336</v>
      </c>
      <c r="F968">
        <v>4</v>
      </c>
      <c r="G968">
        <v>3</v>
      </c>
      <c r="H968">
        <v>2</v>
      </c>
      <c r="I968">
        <v>20</v>
      </c>
      <c r="K968" s="122">
        <v>45547</v>
      </c>
      <c r="L968" t="s">
        <v>737</v>
      </c>
      <c r="M968">
        <v>10.7</v>
      </c>
    </row>
    <row r="969" spans="1:13" hidden="1" x14ac:dyDescent="0.35">
      <c r="A969" t="s">
        <v>24</v>
      </c>
      <c r="D969" t="s">
        <v>336</v>
      </c>
      <c r="F969">
        <v>4</v>
      </c>
      <c r="G969">
        <v>3</v>
      </c>
      <c r="H969">
        <v>2</v>
      </c>
      <c r="I969">
        <v>20</v>
      </c>
      <c r="K969" s="122">
        <v>45547</v>
      </c>
      <c r="L969" t="s">
        <v>738</v>
      </c>
      <c r="M969">
        <v>11</v>
      </c>
    </row>
    <row r="970" spans="1:13" hidden="1" x14ac:dyDescent="0.35">
      <c r="A970" t="s">
        <v>24</v>
      </c>
      <c r="D970" t="s">
        <v>336</v>
      </c>
      <c r="F970">
        <v>4</v>
      </c>
      <c r="G970">
        <v>3</v>
      </c>
      <c r="H970">
        <v>2</v>
      </c>
      <c r="I970">
        <v>20</v>
      </c>
      <c r="K970" s="122">
        <v>45547</v>
      </c>
      <c r="L970" t="s">
        <v>739</v>
      </c>
      <c r="M970">
        <v>12</v>
      </c>
    </row>
    <row r="971" spans="1:13" hidden="1" x14ac:dyDescent="0.35">
      <c r="A971" t="s">
        <v>24</v>
      </c>
      <c r="D971" t="s">
        <v>336</v>
      </c>
      <c r="F971">
        <v>4</v>
      </c>
      <c r="G971">
        <v>3</v>
      </c>
      <c r="H971">
        <v>2</v>
      </c>
      <c r="I971">
        <v>20</v>
      </c>
      <c r="K971" s="122">
        <v>45555</v>
      </c>
      <c r="L971" t="s">
        <v>737</v>
      </c>
      <c r="M971">
        <v>11</v>
      </c>
    </row>
    <row r="972" spans="1:13" hidden="1" x14ac:dyDescent="0.35">
      <c r="A972" t="s">
        <v>24</v>
      </c>
      <c r="D972" t="s">
        <v>336</v>
      </c>
      <c r="F972">
        <v>4</v>
      </c>
      <c r="G972">
        <v>3</v>
      </c>
      <c r="H972">
        <v>2</v>
      </c>
      <c r="I972">
        <v>20</v>
      </c>
      <c r="K972" s="122">
        <v>45555</v>
      </c>
      <c r="L972" t="s">
        <v>738</v>
      </c>
      <c r="M972">
        <v>11</v>
      </c>
    </row>
    <row r="973" spans="1:13" hidden="1" x14ac:dyDescent="0.35">
      <c r="A973" t="s">
        <v>24</v>
      </c>
      <c r="D973" t="s">
        <v>336</v>
      </c>
      <c r="F973">
        <v>4</v>
      </c>
      <c r="G973">
        <v>3</v>
      </c>
      <c r="H973">
        <v>2</v>
      </c>
      <c r="I973">
        <v>20</v>
      </c>
      <c r="K973" s="122">
        <v>45555</v>
      </c>
      <c r="L973" t="s">
        <v>739</v>
      </c>
      <c r="M973">
        <v>12</v>
      </c>
    </row>
    <row r="974" spans="1:13" hidden="1" x14ac:dyDescent="0.35">
      <c r="A974" t="s">
        <v>34</v>
      </c>
      <c r="D974" t="s">
        <v>39</v>
      </c>
      <c r="F974">
        <v>4</v>
      </c>
      <c r="G974">
        <v>4</v>
      </c>
      <c r="H974">
        <v>2</v>
      </c>
      <c r="I974">
        <v>28</v>
      </c>
      <c r="K974" s="122">
        <v>45442</v>
      </c>
      <c r="L974" t="s">
        <v>737</v>
      </c>
    </row>
    <row r="975" spans="1:13" hidden="1" x14ac:dyDescent="0.35">
      <c r="A975" t="s">
        <v>34</v>
      </c>
      <c r="D975" t="s">
        <v>39</v>
      </c>
      <c r="F975">
        <v>4</v>
      </c>
      <c r="G975">
        <v>4</v>
      </c>
      <c r="H975">
        <v>2</v>
      </c>
      <c r="I975">
        <v>28</v>
      </c>
      <c r="K975" s="122">
        <v>45442</v>
      </c>
      <c r="L975" t="s">
        <v>738</v>
      </c>
    </row>
    <row r="976" spans="1:13" hidden="1" x14ac:dyDescent="0.35">
      <c r="A976" t="s">
        <v>34</v>
      </c>
      <c r="D976" t="s">
        <v>39</v>
      </c>
      <c r="F976">
        <v>4</v>
      </c>
      <c r="G976">
        <v>4</v>
      </c>
      <c r="H976">
        <v>2</v>
      </c>
      <c r="I976">
        <v>28</v>
      </c>
      <c r="K976" s="122">
        <v>45442</v>
      </c>
      <c r="L976" t="s">
        <v>739</v>
      </c>
    </row>
    <row r="977" spans="1:13" hidden="1" x14ac:dyDescent="0.35">
      <c r="A977" t="s">
        <v>34</v>
      </c>
      <c r="D977" t="s">
        <v>39</v>
      </c>
      <c r="F977">
        <v>4</v>
      </c>
      <c r="G977">
        <v>4</v>
      </c>
      <c r="H977">
        <v>2</v>
      </c>
      <c r="I977">
        <v>28</v>
      </c>
      <c r="K977" s="122">
        <v>45447</v>
      </c>
      <c r="L977" t="s">
        <v>737</v>
      </c>
      <c r="M977">
        <v>1.8</v>
      </c>
    </row>
    <row r="978" spans="1:13" hidden="1" x14ac:dyDescent="0.35">
      <c r="A978" t="s">
        <v>34</v>
      </c>
      <c r="D978" t="s">
        <v>39</v>
      </c>
      <c r="F978">
        <v>4</v>
      </c>
      <c r="G978">
        <v>4</v>
      </c>
      <c r="H978">
        <v>2</v>
      </c>
      <c r="I978">
        <v>28</v>
      </c>
      <c r="K978" s="122">
        <v>45447</v>
      </c>
      <c r="L978" t="s">
        <v>738</v>
      </c>
      <c r="M978">
        <v>1.8</v>
      </c>
    </row>
    <row r="979" spans="1:13" hidden="1" x14ac:dyDescent="0.35">
      <c r="A979" t="s">
        <v>34</v>
      </c>
      <c r="D979" t="s">
        <v>39</v>
      </c>
      <c r="F979">
        <v>4</v>
      </c>
      <c r="G979">
        <v>4</v>
      </c>
      <c r="H979">
        <v>2</v>
      </c>
      <c r="I979">
        <v>28</v>
      </c>
      <c r="K979" s="122">
        <v>45447</v>
      </c>
      <c r="L979" t="s">
        <v>739</v>
      </c>
      <c r="M979">
        <v>1.7</v>
      </c>
    </row>
    <row r="980" spans="1:13" hidden="1" x14ac:dyDescent="0.35">
      <c r="A980" t="s">
        <v>34</v>
      </c>
      <c r="D980" t="s">
        <v>39</v>
      </c>
      <c r="F980">
        <v>4</v>
      </c>
      <c r="G980">
        <v>4</v>
      </c>
      <c r="H980">
        <v>2</v>
      </c>
      <c r="I980">
        <v>28</v>
      </c>
      <c r="K980" s="122">
        <v>45462</v>
      </c>
      <c r="L980" t="s">
        <v>737</v>
      </c>
      <c r="M980">
        <v>3.1</v>
      </c>
    </row>
    <row r="981" spans="1:13" hidden="1" x14ac:dyDescent="0.35">
      <c r="A981" t="s">
        <v>34</v>
      </c>
      <c r="D981" t="s">
        <v>39</v>
      </c>
      <c r="F981">
        <v>4</v>
      </c>
      <c r="G981">
        <v>4</v>
      </c>
      <c r="H981">
        <v>2</v>
      </c>
      <c r="I981">
        <v>28</v>
      </c>
      <c r="K981" s="122">
        <v>45462</v>
      </c>
      <c r="L981" t="s">
        <v>738</v>
      </c>
      <c r="M981">
        <v>3.1</v>
      </c>
    </row>
    <row r="982" spans="1:13" hidden="1" x14ac:dyDescent="0.35">
      <c r="A982" t="s">
        <v>34</v>
      </c>
      <c r="D982" t="s">
        <v>39</v>
      </c>
      <c r="F982">
        <v>4</v>
      </c>
      <c r="G982">
        <v>4</v>
      </c>
      <c r="H982">
        <v>2</v>
      </c>
      <c r="I982">
        <v>28</v>
      </c>
      <c r="K982" s="122">
        <v>45462</v>
      </c>
      <c r="L982" t="s">
        <v>739</v>
      </c>
      <c r="M982">
        <v>3.3</v>
      </c>
    </row>
    <row r="983" spans="1:13" hidden="1" x14ac:dyDescent="0.35">
      <c r="A983" t="s">
        <v>34</v>
      </c>
      <c r="D983" t="s">
        <v>39</v>
      </c>
      <c r="F983">
        <v>4</v>
      </c>
      <c r="G983">
        <v>4</v>
      </c>
      <c r="H983">
        <v>2</v>
      </c>
      <c r="I983">
        <v>28</v>
      </c>
      <c r="K983" s="122">
        <v>45477</v>
      </c>
      <c r="L983" t="s">
        <v>737</v>
      </c>
      <c r="M983">
        <v>4.3</v>
      </c>
    </row>
    <row r="984" spans="1:13" hidden="1" x14ac:dyDescent="0.35">
      <c r="A984" t="s">
        <v>34</v>
      </c>
      <c r="D984" t="s">
        <v>39</v>
      </c>
      <c r="F984">
        <v>4</v>
      </c>
      <c r="G984">
        <v>4</v>
      </c>
      <c r="H984">
        <v>2</v>
      </c>
      <c r="I984">
        <v>28</v>
      </c>
      <c r="K984" s="122">
        <v>45477</v>
      </c>
      <c r="L984" t="s">
        <v>738</v>
      </c>
      <c r="M984">
        <v>4.2</v>
      </c>
    </row>
    <row r="985" spans="1:13" hidden="1" x14ac:dyDescent="0.35">
      <c r="A985" t="s">
        <v>34</v>
      </c>
      <c r="D985" t="s">
        <v>39</v>
      </c>
      <c r="F985">
        <v>4</v>
      </c>
      <c r="G985">
        <v>4</v>
      </c>
      <c r="H985">
        <v>2</v>
      </c>
      <c r="I985">
        <v>28</v>
      </c>
      <c r="K985" s="122">
        <v>45477</v>
      </c>
      <c r="L985" t="s">
        <v>739</v>
      </c>
      <c r="M985">
        <v>4.7</v>
      </c>
    </row>
    <row r="986" spans="1:13" hidden="1" x14ac:dyDescent="0.35">
      <c r="A986" t="s">
        <v>34</v>
      </c>
      <c r="D986" t="s">
        <v>39</v>
      </c>
      <c r="F986">
        <v>4</v>
      </c>
      <c r="G986">
        <v>4</v>
      </c>
      <c r="H986">
        <v>2</v>
      </c>
      <c r="I986">
        <v>28</v>
      </c>
      <c r="K986" s="122">
        <v>45485</v>
      </c>
      <c r="L986" t="s">
        <v>737</v>
      </c>
    </row>
    <row r="987" spans="1:13" hidden="1" x14ac:dyDescent="0.35">
      <c r="A987" t="s">
        <v>34</v>
      </c>
      <c r="D987" t="s">
        <v>39</v>
      </c>
      <c r="F987">
        <v>4</v>
      </c>
      <c r="G987">
        <v>4</v>
      </c>
      <c r="H987">
        <v>2</v>
      </c>
      <c r="I987">
        <v>28</v>
      </c>
      <c r="K987" s="122">
        <v>45485</v>
      </c>
      <c r="L987" t="s">
        <v>738</v>
      </c>
    </row>
    <row r="988" spans="1:13" hidden="1" x14ac:dyDescent="0.35">
      <c r="A988" t="s">
        <v>34</v>
      </c>
      <c r="D988" t="s">
        <v>39</v>
      </c>
      <c r="F988">
        <v>4</v>
      </c>
      <c r="G988">
        <v>4</v>
      </c>
      <c r="H988">
        <v>2</v>
      </c>
      <c r="I988">
        <v>28</v>
      </c>
      <c r="K988" s="122">
        <v>45485</v>
      </c>
      <c r="L988" t="s">
        <v>739</v>
      </c>
    </row>
    <row r="989" spans="1:13" hidden="1" x14ac:dyDescent="0.35">
      <c r="A989" t="s">
        <v>34</v>
      </c>
      <c r="D989" t="s">
        <v>39</v>
      </c>
      <c r="F989">
        <v>4</v>
      </c>
      <c r="G989">
        <v>4</v>
      </c>
      <c r="H989">
        <v>2</v>
      </c>
      <c r="I989">
        <v>28</v>
      </c>
      <c r="K989" s="122">
        <v>45492</v>
      </c>
      <c r="L989" t="s">
        <v>737</v>
      </c>
      <c r="M989">
        <v>5.3</v>
      </c>
    </row>
    <row r="990" spans="1:13" hidden="1" x14ac:dyDescent="0.35">
      <c r="A990" t="s">
        <v>34</v>
      </c>
      <c r="D990" t="s">
        <v>39</v>
      </c>
      <c r="F990">
        <v>4</v>
      </c>
      <c r="G990">
        <v>4</v>
      </c>
      <c r="H990">
        <v>2</v>
      </c>
      <c r="I990">
        <v>28</v>
      </c>
      <c r="K990" s="122">
        <v>45492</v>
      </c>
      <c r="L990" t="s">
        <v>738</v>
      </c>
      <c r="M990">
        <v>5.4</v>
      </c>
    </row>
    <row r="991" spans="1:13" hidden="1" x14ac:dyDescent="0.35">
      <c r="A991" t="s">
        <v>34</v>
      </c>
      <c r="D991" t="s">
        <v>39</v>
      </c>
      <c r="F991">
        <v>4</v>
      </c>
      <c r="G991">
        <v>4</v>
      </c>
      <c r="H991">
        <v>2</v>
      </c>
      <c r="I991">
        <v>28</v>
      </c>
      <c r="K991" s="122">
        <v>45492</v>
      </c>
      <c r="L991" t="s">
        <v>739</v>
      </c>
      <c r="M991">
        <v>5.9</v>
      </c>
    </row>
    <row r="992" spans="1:13" hidden="1" x14ac:dyDescent="0.35">
      <c r="A992" t="s">
        <v>34</v>
      </c>
      <c r="D992" t="s">
        <v>39</v>
      </c>
      <c r="F992">
        <v>4</v>
      </c>
      <c r="G992">
        <v>4</v>
      </c>
      <c r="H992">
        <v>2</v>
      </c>
      <c r="I992">
        <v>28</v>
      </c>
      <c r="K992" s="122">
        <v>45509</v>
      </c>
      <c r="L992" t="s">
        <v>737</v>
      </c>
      <c r="M992">
        <v>6.6</v>
      </c>
    </row>
    <row r="993" spans="1:13" hidden="1" x14ac:dyDescent="0.35">
      <c r="A993" t="s">
        <v>34</v>
      </c>
      <c r="D993" t="s">
        <v>39</v>
      </c>
      <c r="F993">
        <v>4</v>
      </c>
      <c r="G993">
        <v>4</v>
      </c>
      <c r="H993">
        <v>2</v>
      </c>
      <c r="I993">
        <v>28</v>
      </c>
      <c r="K993" s="122">
        <v>45509</v>
      </c>
      <c r="L993" t="s">
        <v>738</v>
      </c>
      <c r="M993">
        <v>7.5</v>
      </c>
    </row>
    <row r="994" spans="1:13" hidden="1" x14ac:dyDescent="0.35">
      <c r="A994" t="s">
        <v>34</v>
      </c>
      <c r="D994" t="s">
        <v>39</v>
      </c>
      <c r="F994">
        <v>4</v>
      </c>
      <c r="G994">
        <v>4</v>
      </c>
      <c r="H994">
        <v>2</v>
      </c>
      <c r="I994">
        <v>28</v>
      </c>
      <c r="K994" s="122">
        <v>45509</v>
      </c>
      <c r="L994" t="s">
        <v>739</v>
      </c>
      <c r="M994">
        <v>7.3</v>
      </c>
    </row>
    <row r="995" spans="1:13" hidden="1" x14ac:dyDescent="0.35">
      <c r="A995" t="s">
        <v>34</v>
      </c>
      <c r="D995" t="s">
        <v>39</v>
      </c>
      <c r="F995">
        <v>4</v>
      </c>
      <c r="G995">
        <v>4</v>
      </c>
      <c r="H995">
        <v>2</v>
      </c>
      <c r="I995">
        <v>28</v>
      </c>
      <c r="K995" s="122">
        <v>45519</v>
      </c>
      <c r="L995" t="s">
        <v>737</v>
      </c>
      <c r="M995">
        <v>7.2</v>
      </c>
    </row>
    <row r="996" spans="1:13" hidden="1" x14ac:dyDescent="0.35">
      <c r="A996" t="s">
        <v>34</v>
      </c>
      <c r="D996" t="s">
        <v>39</v>
      </c>
      <c r="F996">
        <v>4</v>
      </c>
      <c r="G996">
        <v>4</v>
      </c>
      <c r="H996">
        <v>2</v>
      </c>
      <c r="I996">
        <v>28</v>
      </c>
      <c r="K996" s="122">
        <v>45519</v>
      </c>
      <c r="L996" t="s">
        <v>738</v>
      </c>
      <c r="M996">
        <v>8.3000000000000007</v>
      </c>
    </row>
    <row r="997" spans="1:13" hidden="1" x14ac:dyDescent="0.35">
      <c r="A997" t="s">
        <v>34</v>
      </c>
      <c r="D997" t="s">
        <v>39</v>
      </c>
      <c r="F997">
        <v>4</v>
      </c>
      <c r="G997">
        <v>4</v>
      </c>
      <c r="H997">
        <v>2</v>
      </c>
      <c r="I997">
        <v>28</v>
      </c>
      <c r="K997" s="122">
        <v>45519</v>
      </c>
      <c r="L997" t="s">
        <v>739</v>
      </c>
      <c r="M997">
        <v>8.1999999999999993</v>
      </c>
    </row>
    <row r="998" spans="1:13" hidden="1" x14ac:dyDescent="0.35">
      <c r="A998" t="s">
        <v>34</v>
      </c>
      <c r="D998" t="s">
        <v>39</v>
      </c>
      <c r="F998">
        <v>4</v>
      </c>
      <c r="G998">
        <v>4</v>
      </c>
      <c r="H998">
        <v>2</v>
      </c>
      <c r="I998">
        <v>28</v>
      </c>
      <c r="K998" s="122">
        <v>45530</v>
      </c>
      <c r="L998" t="s">
        <v>737</v>
      </c>
      <c r="M998">
        <v>8.3000000000000007</v>
      </c>
    </row>
    <row r="999" spans="1:13" hidden="1" x14ac:dyDescent="0.35">
      <c r="A999" t="s">
        <v>34</v>
      </c>
      <c r="D999" t="s">
        <v>39</v>
      </c>
      <c r="F999">
        <v>4</v>
      </c>
      <c r="G999">
        <v>4</v>
      </c>
      <c r="H999">
        <v>2</v>
      </c>
      <c r="I999">
        <v>28</v>
      </c>
      <c r="K999" s="122">
        <v>45530</v>
      </c>
      <c r="L999" t="s">
        <v>738</v>
      </c>
      <c r="M999">
        <v>9.6999999999999993</v>
      </c>
    </row>
    <row r="1000" spans="1:13" hidden="1" x14ac:dyDescent="0.35">
      <c r="A1000" t="s">
        <v>34</v>
      </c>
      <c r="D1000" t="s">
        <v>39</v>
      </c>
      <c r="F1000">
        <v>4</v>
      </c>
      <c r="G1000">
        <v>4</v>
      </c>
      <c r="H1000">
        <v>2</v>
      </c>
      <c r="I1000">
        <v>28</v>
      </c>
      <c r="K1000" s="122">
        <v>45530</v>
      </c>
      <c r="L1000" t="s">
        <v>739</v>
      </c>
      <c r="M1000">
        <v>9.3000000000000007</v>
      </c>
    </row>
    <row r="1001" spans="1:13" hidden="1" x14ac:dyDescent="0.35">
      <c r="A1001" t="s">
        <v>34</v>
      </c>
      <c r="D1001" t="s">
        <v>39</v>
      </c>
      <c r="F1001">
        <v>4</v>
      </c>
      <c r="G1001">
        <v>4</v>
      </c>
      <c r="H1001">
        <v>2</v>
      </c>
      <c r="I1001">
        <v>28</v>
      </c>
      <c r="K1001" s="122">
        <v>45538</v>
      </c>
      <c r="L1001" t="s">
        <v>737</v>
      </c>
      <c r="M1001">
        <v>9</v>
      </c>
    </row>
    <row r="1002" spans="1:13" hidden="1" x14ac:dyDescent="0.35">
      <c r="A1002" t="s">
        <v>34</v>
      </c>
      <c r="D1002" t="s">
        <v>39</v>
      </c>
      <c r="F1002">
        <v>4</v>
      </c>
      <c r="G1002">
        <v>4</v>
      </c>
      <c r="H1002">
        <v>2</v>
      </c>
      <c r="I1002">
        <v>28</v>
      </c>
      <c r="K1002" s="122">
        <v>45538</v>
      </c>
      <c r="L1002" t="s">
        <v>738</v>
      </c>
      <c r="M1002">
        <v>10.6</v>
      </c>
    </row>
    <row r="1003" spans="1:13" hidden="1" x14ac:dyDescent="0.35">
      <c r="A1003" t="s">
        <v>34</v>
      </c>
      <c r="D1003" t="s">
        <v>39</v>
      </c>
      <c r="F1003">
        <v>4</v>
      </c>
      <c r="G1003">
        <v>4</v>
      </c>
      <c r="H1003">
        <v>2</v>
      </c>
      <c r="I1003">
        <v>28</v>
      </c>
      <c r="K1003" s="122">
        <v>45538</v>
      </c>
      <c r="L1003" t="s">
        <v>739</v>
      </c>
      <c r="M1003">
        <v>9.9</v>
      </c>
    </row>
    <row r="1004" spans="1:13" hidden="1" x14ac:dyDescent="0.35">
      <c r="A1004" t="s">
        <v>34</v>
      </c>
      <c r="D1004" t="s">
        <v>39</v>
      </c>
      <c r="F1004">
        <v>4</v>
      </c>
      <c r="G1004">
        <v>4</v>
      </c>
      <c r="H1004">
        <v>2</v>
      </c>
      <c r="I1004">
        <v>28</v>
      </c>
      <c r="K1004" s="122">
        <v>45547</v>
      </c>
      <c r="L1004" t="s">
        <v>737</v>
      </c>
      <c r="M1004">
        <v>9</v>
      </c>
    </row>
    <row r="1005" spans="1:13" hidden="1" x14ac:dyDescent="0.35">
      <c r="A1005" t="s">
        <v>34</v>
      </c>
      <c r="D1005" t="s">
        <v>39</v>
      </c>
      <c r="F1005">
        <v>4</v>
      </c>
      <c r="G1005">
        <v>4</v>
      </c>
      <c r="H1005">
        <v>2</v>
      </c>
      <c r="I1005">
        <v>28</v>
      </c>
      <c r="K1005" s="122">
        <v>45547</v>
      </c>
      <c r="L1005" t="s">
        <v>738</v>
      </c>
      <c r="M1005">
        <v>10</v>
      </c>
    </row>
    <row r="1006" spans="1:13" hidden="1" x14ac:dyDescent="0.35">
      <c r="A1006" t="s">
        <v>34</v>
      </c>
      <c r="D1006" t="s">
        <v>39</v>
      </c>
      <c r="F1006">
        <v>4</v>
      </c>
      <c r="G1006">
        <v>4</v>
      </c>
      <c r="H1006">
        <v>2</v>
      </c>
      <c r="I1006">
        <v>28</v>
      </c>
      <c r="K1006" s="122">
        <v>45547</v>
      </c>
      <c r="L1006" t="s">
        <v>739</v>
      </c>
      <c r="M1006">
        <v>11</v>
      </c>
    </row>
    <row r="1007" spans="1:13" hidden="1" x14ac:dyDescent="0.35">
      <c r="A1007" t="s">
        <v>34</v>
      </c>
      <c r="D1007" t="s">
        <v>39</v>
      </c>
      <c r="F1007">
        <v>4</v>
      </c>
      <c r="G1007">
        <v>4</v>
      </c>
      <c r="H1007">
        <v>2</v>
      </c>
      <c r="I1007">
        <v>28</v>
      </c>
      <c r="K1007" s="122">
        <v>45555</v>
      </c>
      <c r="L1007" t="s">
        <v>737</v>
      </c>
    </row>
    <row r="1008" spans="1:13" hidden="1" x14ac:dyDescent="0.35">
      <c r="A1008" t="s">
        <v>34</v>
      </c>
      <c r="D1008" t="s">
        <v>39</v>
      </c>
      <c r="F1008">
        <v>4</v>
      </c>
      <c r="G1008">
        <v>4</v>
      </c>
      <c r="H1008">
        <v>2</v>
      </c>
      <c r="I1008">
        <v>28</v>
      </c>
      <c r="K1008" s="122">
        <v>45555</v>
      </c>
      <c r="L1008" t="s">
        <v>738</v>
      </c>
    </row>
    <row r="1009" spans="1:13" hidden="1" x14ac:dyDescent="0.35">
      <c r="A1009" t="s">
        <v>34</v>
      </c>
      <c r="D1009" t="s">
        <v>39</v>
      </c>
      <c r="F1009">
        <v>4</v>
      </c>
      <c r="G1009">
        <v>4</v>
      </c>
      <c r="H1009">
        <v>2</v>
      </c>
      <c r="I1009">
        <v>28</v>
      </c>
      <c r="K1009" s="122">
        <v>45555</v>
      </c>
      <c r="L1009" t="s">
        <v>739</v>
      </c>
    </row>
    <row r="1010" spans="1:13" hidden="1" x14ac:dyDescent="0.35">
      <c r="A1010" t="s">
        <v>24</v>
      </c>
      <c r="D1010" t="s">
        <v>28</v>
      </c>
      <c r="F1010">
        <v>4</v>
      </c>
      <c r="G1010">
        <v>5</v>
      </c>
      <c r="H1010">
        <v>3</v>
      </c>
      <c r="I1010">
        <v>36</v>
      </c>
      <c r="K1010" s="122">
        <v>45442</v>
      </c>
      <c r="L1010" t="s">
        <v>737</v>
      </c>
    </row>
    <row r="1011" spans="1:13" hidden="1" x14ac:dyDescent="0.35">
      <c r="A1011" t="s">
        <v>24</v>
      </c>
      <c r="D1011" t="s">
        <v>28</v>
      </c>
      <c r="F1011">
        <v>4</v>
      </c>
      <c r="G1011">
        <v>5</v>
      </c>
      <c r="H1011">
        <v>3</v>
      </c>
      <c r="I1011">
        <v>36</v>
      </c>
      <c r="K1011" s="122">
        <v>45442</v>
      </c>
      <c r="L1011" t="s">
        <v>738</v>
      </c>
    </row>
    <row r="1012" spans="1:13" hidden="1" x14ac:dyDescent="0.35">
      <c r="A1012" t="s">
        <v>24</v>
      </c>
      <c r="D1012" t="s">
        <v>28</v>
      </c>
      <c r="F1012">
        <v>4</v>
      </c>
      <c r="G1012">
        <v>5</v>
      </c>
      <c r="H1012">
        <v>3</v>
      </c>
      <c r="I1012">
        <v>36</v>
      </c>
      <c r="K1012" s="122">
        <v>45442</v>
      </c>
      <c r="L1012" t="s">
        <v>739</v>
      </c>
    </row>
    <row r="1013" spans="1:13" hidden="1" x14ac:dyDescent="0.35">
      <c r="A1013" t="s">
        <v>24</v>
      </c>
      <c r="D1013" t="s">
        <v>28</v>
      </c>
      <c r="F1013">
        <v>4</v>
      </c>
      <c r="G1013">
        <v>5</v>
      </c>
      <c r="H1013">
        <v>3</v>
      </c>
      <c r="I1013">
        <v>36</v>
      </c>
      <c r="K1013" s="122">
        <v>45447</v>
      </c>
      <c r="L1013" t="s">
        <v>737</v>
      </c>
      <c r="M1013">
        <v>5.3</v>
      </c>
    </row>
    <row r="1014" spans="1:13" hidden="1" x14ac:dyDescent="0.35">
      <c r="A1014" t="s">
        <v>24</v>
      </c>
      <c r="D1014" t="s">
        <v>28</v>
      </c>
      <c r="F1014">
        <v>4</v>
      </c>
      <c r="G1014">
        <v>5</v>
      </c>
      <c r="H1014">
        <v>3</v>
      </c>
      <c r="I1014">
        <v>36</v>
      </c>
      <c r="K1014" s="122">
        <v>45447</v>
      </c>
      <c r="L1014" t="s">
        <v>738</v>
      </c>
      <c r="M1014">
        <v>5.4</v>
      </c>
    </row>
    <row r="1015" spans="1:13" hidden="1" x14ac:dyDescent="0.35">
      <c r="A1015" t="s">
        <v>24</v>
      </c>
      <c r="D1015" t="s">
        <v>28</v>
      </c>
      <c r="F1015">
        <v>4</v>
      </c>
      <c r="G1015">
        <v>5</v>
      </c>
      <c r="H1015">
        <v>3</v>
      </c>
      <c r="I1015">
        <v>36</v>
      </c>
      <c r="K1015" s="122">
        <v>45447</v>
      </c>
      <c r="L1015" t="s">
        <v>739</v>
      </c>
      <c r="M1015">
        <v>5.4</v>
      </c>
    </row>
    <row r="1016" spans="1:13" hidden="1" x14ac:dyDescent="0.35">
      <c r="A1016" t="s">
        <v>24</v>
      </c>
      <c r="D1016" t="s">
        <v>28</v>
      </c>
      <c r="F1016">
        <v>4</v>
      </c>
      <c r="G1016">
        <v>5</v>
      </c>
      <c r="H1016">
        <v>3</v>
      </c>
      <c r="I1016">
        <v>36</v>
      </c>
      <c r="K1016" s="122">
        <v>45462</v>
      </c>
      <c r="L1016" t="s">
        <v>737</v>
      </c>
      <c r="M1016">
        <v>5.5</v>
      </c>
    </row>
    <row r="1017" spans="1:13" hidden="1" x14ac:dyDescent="0.35">
      <c r="A1017" t="s">
        <v>24</v>
      </c>
      <c r="D1017" t="s">
        <v>28</v>
      </c>
      <c r="F1017">
        <v>4</v>
      </c>
      <c r="G1017">
        <v>5</v>
      </c>
      <c r="H1017">
        <v>3</v>
      </c>
      <c r="I1017">
        <v>36</v>
      </c>
      <c r="K1017" s="122">
        <v>45462</v>
      </c>
      <c r="L1017" t="s">
        <v>738</v>
      </c>
      <c r="M1017">
        <v>5.7</v>
      </c>
    </row>
    <row r="1018" spans="1:13" hidden="1" x14ac:dyDescent="0.35">
      <c r="A1018" t="s">
        <v>24</v>
      </c>
      <c r="D1018" t="s">
        <v>28</v>
      </c>
      <c r="F1018">
        <v>4</v>
      </c>
      <c r="G1018">
        <v>5</v>
      </c>
      <c r="H1018">
        <v>3</v>
      </c>
      <c r="I1018">
        <v>36</v>
      </c>
      <c r="K1018" s="122">
        <v>45462</v>
      </c>
      <c r="L1018" t="s">
        <v>739</v>
      </c>
      <c r="M1018">
        <v>5.6</v>
      </c>
    </row>
    <row r="1019" spans="1:13" hidden="1" x14ac:dyDescent="0.35">
      <c r="A1019" t="s">
        <v>24</v>
      </c>
      <c r="D1019" t="s">
        <v>28</v>
      </c>
      <c r="F1019">
        <v>4</v>
      </c>
      <c r="G1019">
        <v>5</v>
      </c>
      <c r="H1019">
        <v>3</v>
      </c>
      <c r="I1019">
        <v>36</v>
      </c>
      <c r="K1019" s="122">
        <v>45477</v>
      </c>
      <c r="L1019" t="s">
        <v>737</v>
      </c>
    </row>
    <row r="1020" spans="1:13" hidden="1" x14ac:dyDescent="0.35">
      <c r="A1020" t="s">
        <v>24</v>
      </c>
      <c r="D1020" t="s">
        <v>28</v>
      </c>
      <c r="F1020">
        <v>4</v>
      </c>
      <c r="G1020">
        <v>5</v>
      </c>
      <c r="H1020">
        <v>3</v>
      </c>
      <c r="I1020">
        <v>36</v>
      </c>
      <c r="K1020" s="122">
        <v>45477</v>
      </c>
      <c r="L1020" t="s">
        <v>738</v>
      </c>
    </row>
    <row r="1021" spans="1:13" hidden="1" x14ac:dyDescent="0.35">
      <c r="A1021" t="s">
        <v>24</v>
      </c>
      <c r="D1021" t="s">
        <v>28</v>
      </c>
      <c r="F1021">
        <v>4</v>
      </c>
      <c r="G1021">
        <v>5</v>
      </c>
      <c r="H1021">
        <v>3</v>
      </c>
      <c r="I1021">
        <v>36</v>
      </c>
      <c r="K1021" s="122">
        <v>45477</v>
      </c>
      <c r="L1021" t="s">
        <v>739</v>
      </c>
    </row>
    <row r="1022" spans="1:13" hidden="1" x14ac:dyDescent="0.35">
      <c r="A1022" t="s">
        <v>24</v>
      </c>
      <c r="D1022" t="s">
        <v>28</v>
      </c>
      <c r="F1022">
        <v>4</v>
      </c>
      <c r="G1022">
        <v>5</v>
      </c>
      <c r="H1022">
        <v>3</v>
      </c>
      <c r="I1022">
        <v>36</v>
      </c>
      <c r="K1022" s="122">
        <v>45485</v>
      </c>
      <c r="L1022" t="s">
        <v>737</v>
      </c>
    </row>
    <row r="1023" spans="1:13" hidden="1" x14ac:dyDescent="0.35">
      <c r="A1023" t="s">
        <v>24</v>
      </c>
      <c r="D1023" t="s">
        <v>28</v>
      </c>
      <c r="F1023">
        <v>4</v>
      </c>
      <c r="G1023">
        <v>5</v>
      </c>
      <c r="H1023">
        <v>3</v>
      </c>
      <c r="I1023">
        <v>36</v>
      </c>
      <c r="K1023" s="122">
        <v>45485</v>
      </c>
      <c r="L1023" t="s">
        <v>738</v>
      </c>
    </row>
    <row r="1024" spans="1:13" hidden="1" x14ac:dyDescent="0.35">
      <c r="A1024" t="s">
        <v>24</v>
      </c>
      <c r="D1024" t="s">
        <v>28</v>
      </c>
      <c r="F1024">
        <v>4</v>
      </c>
      <c r="G1024">
        <v>5</v>
      </c>
      <c r="H1024">
        <v>3</v>
      </c>
      <c r="I1024">
        <v>36</v>
      </c>
      <c r="K1024" s="122">
        <v>45485</v>
      </c>
      <c r="L1024" t="s">
        <v>739</v>
      </c>
    </row>
    <row r="1025" spans="1:13" hidden="1" x14ac:dyDescent="0.35">
      <c r="A1025" t="s">
        <v>24</v>
      </c>
      <c r="D1025" t="s">
        <v>28</v>
      </c>
      <c r="F1025">
        <v>4</v>
      </c>
      <c r="G1025">
        <v>5</v>
      </c>
      <c r="H1025">
        <v>3</v>
      </c>
      <c r="I1025">
        <v>36</v>
      </c>
      <c r="K1025" s="122">
        <v>45492</v>
      </c>
      <c r="L1025" t="s">
        <v>737</v>
      </c>
      <c r="M1025">
        <v>7.6</v>
      </c>
    </row>
    <row r="1026" spans="1:13" hidden="1" x14ac:dyDescent="0.35">
      <c r="A1026" t="s">
        <v>24</v>
      </c>
      <c r="D1026" t="s">
        <v>28</v>
      </c>
      <c r="F1026">
        <v>4</v>
      </c>
      <c r="G1026">
        <v>5</v>
      </c>
      <c r="H1026">
        <v>3</v>
      </c>
      <c r="I1026">
        <v>36</v>
      </c>
      <c r="K1026" s="122">
        <v>45492</v>
      </c>
      <c r="L1026" t="s">
        <v>738</v>
      </c>
      <c r="M1026">
        <v>7.3</v>
      </c>
    </row>
    <row r="1027" spans="1:13" hidden="1" x14ac:dyDescent="0.35">
      <c r="A1027" t="s">
        <v>24</v>
      </c>
      <c r="D1027" t="s">
        <v>28</v>
      </c>
      <c r="F1027">
        <v>4</v>
      </c>
      <c r="G1027">
        <v>5</v>
      </c>
      <c r="H1027">
        <v>3</v>
      </c>
      <c r="I1027">
        <v>36</v>
      </c>
      <c r="K1027" s="122">
        <v>45492</v>
      </c>
      <c r="L1027" t="s">
        <v>739</v>
      </c>
      <c r="M1027">
        <v>7.3</v>
      </c>
    </row>
    <row r="1028" spans="1:13" hidden="1" x14ac:dyDescent="0.35">
      <c r="A1028" t="s">
        <v>24</v>
      </c>
      <c r="D1028" t="s">
        <v>28</v>
      </c>
      <c r="F1028">
        <v>4</v>
      </c>
      <c r="G1028">
        <v>5</v>
      </c>
      <c r="H1028">
        <v>3</v>
      </c>
      <c r="I1028">
        <v>36</v>
      </c>
      <c r="K1028" s="122">
        <v>45509</v>
      </c>
      <c r="L1028" t="s">
        <v>737</v>
      </c>
      <c r="M1028">
        <v>8.9</v>
      </c>
    </row>
    <row r="1029" spans="1:13" hidden="1" x14ac:dyDescent="0.35">
      <c r="A1029" t="s">
        <v>24</v>
      </c>
      <c r="D1029" t="s">
        <v>28</v>
      </c>
      <c r="F1029">
        <v>4</v>
      </c>
      <c r="G1029">
        <v>5</v>
      </c>
      <c r="H1029">
        <v>3</v>
      </c>
      <c r="I1029">
        <v>36</v>
      </c>
      <c r="K1029" s="122">
        <v>45509</v>
      </c>
      <c r="L1029" t="s">
        <v>738</v>
      </c>
      <c r="M1029">
        <v>8.6</v>
      </c>
    </row>
    <row r="1030" spans="1:13" hidden="1" x14ac:dyDescent="0.35">
      <c r="A1030" t="s">
        <v>24</v>
      </c>
      <c r="D1030" t="s">
        <v>28</v>
      </c>
      <c r="F1030">
        <v>4</v>
      </c>
      <c r="G1030">
        <v>5</v>
      </c>
      <c r="H1030">
        <v>3</v>
      </c>
      <c r="I1030">
        <v>36</v>
      </c>
      <c r="K1030" s="122">
        <v>45509</v>
      </c>
      <c r="L1030" t="s">
        <v>739</v>
      </c>
      <c r="M1030">
        <v>8.6</v>
      </c>
    </row>
    <row r="1031" spans="1:13" hidden="1" x14ac:dyDescent="0.35">
      <c r="A1031" t="s">
        <v>24</v>
      </c>
      <c r="D1031" t="s">
        <v>28</v>
      </c>
      <c r="F1031">
        <v>4</v>
      </c>
      <c r="G1031">
        <v>5</v>
      </c>
      <c r="H1031">
        <v>3</v>
      </c>
      <c r="I1031">
        <v>36</v>
      </c>
      <c r="K1031" s="122">
        <v>45519</v>
      </c>
      <c r="L1031" t="s">
        <v>737</v>
      </c>
      <c r="M1031">
        <v>9.6999999999999993</v>
      </c>
    </row>
    <row r="1032" spans="1:13" hidden="1" x14ac:dyDescent="0.35">
      <c r="A1032" t="s">
        <v>24</v>
      </c>
      <c r="D1032" t="s">
        <v>28</v>
      </c>
      <c r="F1032">
        <v>4</v>
      </c>
      <c r="G1032">
        <v>5</v>
      </c>
      <c r="H1032">
        <v>3</v>
      </c>
      <c r="I1032">
        <v>36</v>
      </c>
      <c r="K1032" s="122">
        <v>45519</v>
      </c>
      <c r="L1032" t="s">
        <v>738</v>
      </c>
      <c r="M1032">
        <v>9.4</v>
      </c>
    </row>
    <row r="1033" spans="1:13" hidden="1" x14ac:dyDescent="0.35">
      <c r="A1033" t="s">
        <v>24</v>
      </c>
      <c r="D1033" t="s">
        <v>28</v>
      </c>
      <c r="F1033">
        <v>4</v>
      </c>
      <c r="G1033">
        <v>5</v>
      </c>
      <c r="H1033">
        <v>3</v>
      </c>
      <c r="I1033">
        <v>36</v>
      </c>
      <c r="K1033" s="122">
        <v>45519</v>
      </c>
      <c r="L1033" t="s">
        <v>739</v>
      </c>
      <c r="M1033">
        <v>9.1999999999999993</v>
      </c>
    </row>
    <row r="1034" spans="1:13" hidden="1" x14ac:dyDescent="0.35">
      <c r="A1034" t="s">
        <v>24</v>
      </c>
      <c r="D1034" t="s">
        <v>28</v>
      </c>
      <c r="F1034">
        <v>4</v>
      </c>
      <c r="G1034">
        <v>5</v>
      </c>
      <c r="H1034">
        <v>3</v>
      </c>
      <c r="I1034">
        <v>36</v>
      </c>
      <c r="K1034" s="122">
        <v>45530</v>
      </c>
      <c r="L1034" t="s">
        <v>737</v>
      </c>
      <c r="M1034">
        <v>10.8</v>
      </c>
    </row>
    <row r="1035" spans="1:13" hidden="1" x14ac:dyDescent="0.35">
      <c r="A1035" t="s">
        <v>24</v>
      </c>
      <c r="D1035" t="s">
        <v>28</v>
      </c>
      <c r="F1035">
        <v>4</v>
      </c>
      <c r="G1035">
        <v>5</v>
      </c>
      <c r="H1035">
        <v>3</v>
      </c>
      <c r="I1035">
        <v>36</v>
      </c>
      <c r="K1035" s="122">
        <v>45530</v>
      </c>
      <c r="L1035" t="s">
        <v>738</v>
      </c>
      <c r="M1035">
        <v>10.5</v>
      </c>
    </row>
    <row r="1036" spans="1:13" hidden="1" x14ac:dyDescent="0.35">
      <c r="A1036" t="s">
        <v>24</v>
      </c>
      <c r="D1036" t="s">
        <v>28</v>
      </c>
      <c r="F1036">
        <v>4</v>
      </c>
      <c r="G1036">
        <v>5</v>
      </c>
      <c r="H1036">
        <v>3</v>
      </c>
      <c r="I1036">
        <v>36</v>
      </c>
      <c r="K1036" s="122">
        <v>45530</v>
      </c>
      <c r="L1036" t="s">
        <v>739</v>
      </c>
      <c r="M1036">
        <v>10.1</v>
      </c>
    </row>
    <row r="1037" spans="1:13" hidden="1" x14ac:dyDescent="0.35">
      <c r="A1037" t="s">
        <v>24</v>
      </c>
      <c r="D1037" t="s">
        <v>28</v>
      </c>
      <c r="F1037">
        <v>4</v>
      </c>
      <c r="G1037">
        <v>5</v>
      </c>
      <c r="H1037">
        <v>3</v>
      </c>
      <c r="I1037">
        <v>36</v>
      </c>
      <c r="K1037" s="122">
        <v>45538</v>
      </c>
      <c r="L1037" t="s">
        <v>737</v>
      </c>
      <c r="M1037">
        <v>11.7</v>
      </c>
    </row>
    <row r="1038" spans="1:13" hidden="1" x14ac:dyDescent="0.35">
      <c r="A1038" t="s">
        <v>24</v>
      </c>
      <c r="D1038" t="s">
        <v>28</v>
      </c>
      <c r="F1038">
        <v>4</v>
      </c>
      <c r="G1038">
        <v>5</v>
      </c>
      <c r="H1038">
        <v>3</v>
      </c>
      <c r="I1038">
        <v>36</v>
      </c>
      <c r="K1038" s="122">
        <v>45538</v>
      </c>
      <c r="L1038" t="s">
        <v>738</v>
      </c>
      <c r="M1038">
        <v>11</v>
      </c>
    </row>
    <row r="1039" spans="1:13" hidden="1" x14ac:dyDescent="0.35">
      <c r="A1039" t="s">
        <v>24</v>
      </c>
      <c r="D1039" t="s">
        <v>28</v>
      </c>
      <c r="F1039">
        <v>4</v>
      </c>
      <c r="G1039">
        <v>5</v>
      </c>
      <c r="H1039">
        <v>3</v>
      </c>
      <c r="I1039">
        <v>36</v>
      </c>
      <c r="K1039" s="122">
        <v>45538</v>
      </c>
      <c r="L1039" t="s">
        <v>739</v>
      </c>
      <c r="M1039">
        <v>11</v>
      </c>
    </row>
    <row r="1040" spans="1:13" hidden="1" x14ac:dyDescent="0.35">
      <c r="A1040" t="s">
        <v>24</v>
      </c>
      <c r="D1040" t="s">
        <v>28</v>
      </c>
      <c r="F1040">
        <v>4</v>
      </c>
      <c r="G1040">
        <v>5</v>
      </c>
      <c r="H1040">
        <v>3</v>
      </c>
      <c r="I1040">
        <v>36</v>
      </c>
      <c r="K1040" s="122">
        <v>45547</v>
      </c>
      <c r="L1040" t="s">
        <v>737</v>
      </c>
      <c r="M1040">
        <v>11</v>
      </c>
    </row>
    <row r="1041" spans="1:13" hidden="1" x14ac:dyDescent="0.35">
      <c r="A1041" t="s">
        <v>24</v>
      </c>
      <c r="D1041" t="s">
        <v>28</v>
      </c>
      <c r="F1041">
        <v>4</v>
      </c>
      <c r="G1041">
        <v>5</v>
      </c>
      <c r="H1041">
        <v>3</v>
      </c>
      <c r="I1041">
        <v>36</v>
      </c>
      <c r="K1041" s="122">
        <v>45547</v>
      </c>
      <c r="L1041" t="s">
        <v>738</v>
      </c>
      <c r="M1041">
        <v>12</v>
      </c>
    </row>
    <row r="1042" spans="1:13" hidden="1" x14ac:dyDescent="0.35">
      <c r="A1042" t="s">
        <v>24</v>
      </c>
      <c r="D1042" t="s">
        <v>28</v>
      </c>
      <c r="F1042">
        <v>4</v>
      </c>
      <c r="G1042">
        <v>5</v>
      </c>
      <c r="H1042">
        <v>3</v>
      </c>
      <c r="I1042">
        <v>36</v>
      </c>
      <c r="K1042" s="122">
        <v>45547</v>
      </c>
      <c r="L1042" t="s">
        <v>739</v>
      </c>
      <c r="M1042">
        <v>11</v>
      </c>
    </row>
    <row r="1043" spans="1:13" hidden="1" x14ac:dyDescent="0.35">
      <c r="A1043" t="s">
        <v>24</v>
      </c>
      <c r="D1043" t="s">
        <v>28</v>
      </c>
      <c r="F1043">
        <v>4</v>
      </c>
      <c r="G1043">
        <v>5</v>
      </c>
      <c r="H1043">
        <v>3</v>
      </c>
      <c r="I1043">
        <v>36</v>
      </c>
      <c r="K1043" s="122">
        <v>45555</v>
      </c>
      <c r="L1043" t="s">
        <v>737</v>
      </c>
    </row>
    <row r="1044" spans="1:13" hidden="1" x14ac:dyDescent="0.35">
      <c r="A1044" t="s">
        <v>24</v>
      </c>
      <c r="D1044" t="s">
        <v>28</v>
      </c>
      <c r="F1044">
        <v>4</v>
      </c>
      <c r="G1044">
        <v>5</v>
      </c>
      <c r="H1044">
        <v>3</v>
      </c>
      <c r="I1044">
        <v>36</v>
      </c>
      <c r="K1044" s="122">
        <v>45555</v>
      </c>
      <c r="L1044" t="s">
        <v>738</v>
      </c>
    </row>
    <row r="1045" spans="1:13" hidden="1" x14ac:dyDescent="0.35">
      <c r="A1045" t="s">
        <v>24</v>
      </c>
      <c r="D1045" t="s">
        <v>28</v>
      </c>
      <c r="F1045">
        <v>4</v>
      </c>
      <c r="G1045">
        <v>5</v>
      </c>
      <c r="H1045">
        <v>3</v>
      </c>
      <c r="I1045">
        <v>36</v>
      </c>
      <c r="K1045" s="122">
        <v>45555</v>
      </c>
      <c r="L1045" t="s">
        <v>739</v>
      </c>
    </row>
    <row r="1046" spans="1:13" hidden="1" x14ac:dyDescent="0.35">
      <c r="A1046" t="s">
        <v>34</v>
      </c>
      <c r="D1046" t="s">
        <v>42</v>
      </c>
      <c r="F1046">
        <v>4</v>
      </c>
      <c r="G1046">
        <v>6</v>
      </c>
      <c r="H1046">
        <v>3</v>
      </c>
      <c r="I1046">
        <v>44</v>
      </c>
      <c r="K1046" s="122">
        <v>45442</v>
      </c>
      <c r="L1046" t="s">
        <v>737</v>
      </c>
    </row>
    <row r="1047" spans="1:13" hidden="1" x14ac:dyDescent="0.35">
      <c r="A1047" t="s">
        <v>34</v>
      </c>
      <c r="D1047" t="s">
        <v>42</v>
      </c>
      <c r="F1047">
        <v>4</v>
      </c>
      <c r="G1047">
        <v>6</v>
      </c>
      <c r="H1047">
        <v>3</v>
      </c>
      <c r="I1047">
        <v>44</v>
      </c>
      <c r="K1047" s="122">
        <v>45442</v>
      </c>
      <c r="L1047" t="s">
        <v>738</v>
      </c>
    </row>
    <row r="1048" spans="1:13" hidden="1" x14ac:dyDescent="0.35">
      <c r="A1048" t="s">
        <v>34</v>
      </c>
      <c r="D1048" t="s">
        <v>42</v>
      </c>
      <c r="F1048">
        <v>4</v>
      </c>
      <c r="G1048">
        <v>6</v>
      </c>
      <c r="H1048">
        <v>3</v>
      </c>
      <c r="I1048">
        <v>44</v>
      </c>
      <c r="K1048" s="122">
        <v>45442</v>
      </c>
      <c r="L1048" t="s">
        <v>739</v>
      </c>
    </row>
    <row r="1049" spans="1:13" hidden="1" x14ac:dyDescent="0.35">
      <c r="A1049" t="s">
        <v>34</v>
      </c>
      <c r="D1049" t="s">
        <v>42</v>
      </c>
      <c r="F1049">
        <v>4</v>
      </c>
      <c r="G1049">
        <v>6</v>
      </c>
      <c r="H1049">
        <v>3</v>
      </c>
      <c r="I1049">
        <v>44</v>
      </c>
      <c r="K1049" s="122">
        <v>45447</v>
      </c>
      <c r="L1049" t="s">
        <v>737</v>
      </c>
      <c r="M1049">
        <v>1.7</v>
      </c>
    </row>
    <row r="1050" spans="1:13" hidden="1" x14ac:dyDescent="0.35">
      <c r="A1050" t="s">
        <v>34</v>
      </c>
      <c r="D1050" t="s">
        <v>42</v>
      </c>
      <c r="F1050">
        <v>4</v>
      </c>
      <c r="G1050">
        <v>6</v>
      </c>
      <c r="H1050">
        <v>3</v>
      </c>
      <c r="I1050">
        <v>44</v>
      </c>
      <c r="K1050" s="122">
        <v>45447</v>
      </c>
      <c r="L1050" t="s">
        <v>738</v>
      </c>
      <c r="M1050">
        <v>1.9</v>
      </c>
    </row>
    <row r="1051" spans="1:13" hidden="1" x14ac:dyDescent="0.35">
      <c r="A1051" t="s">
        <v>34</v>
      </c>
      <c r="D1051" t="s">
        <v>42</v>
      </c>
      <c r="F1051">
        <v>4</v>
      </c>
      <c r="G1051">
        <v>6</v>
      </c>
      <c r="H1051">
        <v>3</v>
      </c>
      <c r="I1051">
        <v>44</v>
      </c>
      <c r="K1051" s="122">
        <v>45447</v>
      </c>
      <c r="L1051" t="s">
        <v>739</v>
      </c>
      <c r="M1051">
        <v>1.8</v>
      </c>
    </row>
    <row r="1052" spans="1:13" hidden="1" x14ac:dyDescent="0.35">
      <c r="A1052" t="s">
        <v>34</v>
      </c>
      <c r="D1052" t="s">
        <v>42</v>
      </c>
      <c r="F1052">
        <v>4</v>
      </c>
      <c r="G1052">
        <v>6</v>
      </c>
      <c r="H1052">
        <v>3</v>
      </c>
      <c r="I1052">
        <v>44</v>
      </c>
      <c r="K1052" s="122">
        <v>45462</v>
      </c>
      <c r="L1052" t="s">
        <v>737</v>
      </c>
      <c r="M1052">
        <v>3</v>
      </c>
    </row>
    <row r="1053" spans="1:13" hidden="1" x14ac:dyDescent="0.35">
      <c r="A1053" t="s">
        <v>34</v>
      </c>
      <c r="D1053" t="s">
        <v>42</v>
      </c>
      <c r="F1053">
        <v>4</v>
      </c>
      <c r="G1053">
        <v>6</v>
      </c>
      <c r="H1053">
        <v>3</v>
      </c>
      <c r="I1053">
        <v>44</v>
      </c>
      <c r="K1053" s="122">
        <v>45462</v>
      </c>
      <c r="L1053" t="s">
        <v>738</v>
      </c>
      <c r="M1053">
        <v>3.1</v>
      </c>
    </row>
    <row r="1054" spans="1:13" hidden="1" x14ac:dyDescent="0.35">
      <c r="A1054" t="s">
        <v>34</v>
      </c>
      <c r="D1054" t="s">
        <v>42</v>
      </c>
      <c r="F1054">
        <v>4</v>
      </c>
      <c r="G1054">
        <v>6</v>
      </c>
      <c r="H1054">
        <v>3</v>
      </c>
      <c r="I1054">
        <v>44</v>
      </c>
      <c r="K1054" s="122">
        <v>45462</v>
      </c>
      <c r="L1054" t="s">
        <v>739</v>
      </c>
      <c r="M1054">
        <v>3</v>
      </c>
    </row>
    <row r="1055" spans="1:13" hidden="1" x14ac:dyDescent="0.35">
      <c r="A1055" t="s">
        <v>34</v>
      </c>
      <c r="D1055" t="s">
        <v>42</v>
      </c>
      <c r="F1055">
        <v>4</v>
      </c>
      <c r="G1055">
        <v>6</v>
      </c>
      <c r="H1055">
        <v>3</v>
      </c>
      <c r="I1055">
        <v>44</v>
      </c>
      <c r="K1055" s="122">
        <v>45477</v>
      </c>
      <c r="L1055" t="s">
        <v>737</v>
      </c>
      <c r="M1055">
        <v>4.3</v>
      </c>
    </row>
    <row r="1056" spans="1:13" hidden="1" x14ac:dyDescent="0.35">
      <c r="A1056" t="s">
        <v>34</v>
      </c>
      <c r="D1056" t="s">
        <v>42</v>
      </c>
      <c r="F1056">
        <v>4</v>
      </c>
      <c r="G1056">
        <v>6</v>
      </c>
      <c r="H1056">
        <v>3</v>
      </c>
      <c r="I1056">
        <v>44</v>
      </c>
      <c r="K1056" s="122">
        <v>45477</v>
      </c>
      <c r="L1056" t="s">
        <v>738</v>
      </c>
      <c r="M1056">
        <v>4.4000000000000004</v>
      </c>
    </row>
    <row r="1057" spans="1:13" hidden="1" x14ac:dyDescent="0.35">
      <c r="A1057" t="s">
        <v>34</v>
      </c>
      <c r="D1057" t="s">
        <v>42</v>
      </c>
      <c r="F1057">
        <v>4</v>
      </c>
      <c r="G1057">
        <v>6</v>
      </c>
      <c r="H1057">
        <v>3</v>
      </c>
      <c r="I1057">
        <v>44</v>
      </c>
      <c r="K1057" s="122">
        <v>45477</v>
      </c>
      <c r="L1057" t="s">
        <v>739</v>
      </c>
      <c r="M1057">
        <v>4.3</v>
      </c>
    </row>
    <row r="1058" spans="1:13" hidden="1" x14ac:dyDescent="0.35">
      <c r="A1058" t="s">
        <v>34</v>
      </c>
      <c r="D1058" t="s">
        <v>42</v>
      </c>
      <c r="F1058">
        <v>4</v>
      </c>
      <c r="G1058">
        <v>6</v>
      </c>
      <c r="H1058">
        <v>3</v>
      </c>
      <c r="I1058">
        <v>44</v>
      </c>
      <c r="K1058" s="122">
        <v>45485</v>
      </c>
      <c r="L1058" t="s">
        <v>737</v>
      </c>
    </row>
    <row r="1059" spans="1:13" hidden="1" x14ac:dyDescent="0.35">
      <c r="A1059" t="s">
        <v>34</v>
      </c>
      <c r="D1059" t="s">
        <v>42</v>
      </c>
      <c r="F1059">
        <v>4</v>
      </c>
      <c r="G1059">
        <v>6</v>
      </c>
      <c r="H1059">
        <v>3</v>
      </c>
      <c r="I1059">
        <v>44</v>
      </c>
      <c r="K1059" s="122">
        <v>45485</v>
      </c>
      <c r="L1059" t="s">
        <v>738</v>
      </c>
    </row>
    <row r="1060" spans="1:13" hidden="1" x14ac:dyDescent="0.35">
      <c r="A1060" t="s">
        <v>34</v>
      </c>
      <c r="D1060" t="s">
        <v>42</v>
      </c>
      <c r="F1060">
        <v>4</v>
      </c>
      <c r="G1060">
        <v>6</v>
      </c>
      <c r="H1060">
        <v>3</v>
      </c>
      <c r="I1060">
        <v>44</v>
      </c>
      <c r="K1060" s="122">
        <v>45485</v>
      </c>
      <c r="L1060" t="s">
        <v>739</v>
      </c>
    </row>
    <row r="1061" spans="1:13" hidden="1" x14ac:dyDescent="0.35">
      <c r="A1061" t="s">
        <v>34</v>
      </c>
      <c r="D1061" t="s">
        <v>42</v>
      </c>
      <c r="F1061">
        <v>4</v>
      </c>
      <c r="G1061">
        <v>6</v>
      </c>
      <c r="H1061">
        <v>3</v>
      </c>
      <c r="I1061">
        <v>44</v>
      </c>
      <c r="K1061" s="122">
        <v>45492</v>
      </c>
      <c r="L1061" t="s">
        <v>737</v>
      </c>
      <c r="M1061">
        <v>5.3</v>
      </c>
    </row>
    <row r="1062" spans="1:13" hidden="1" x14ac:dyDescent="0.35">
      <c r="A1062" t="s">
        <v>34</v>
      </c>
      <c r="D1062" t="s">
        <v>42</v>
      </c>
      <c r="F1062">
        <v>4</v>
      </c>
      <c r="G1062">
        <v>6</v>
      </c>
      <c r="H1062">
        <v>3</v>
      </c>
      <c r="I1062">
        <v>44</v>
      </c>
      <c r="K1062" s="122">
        <v>45492</v>
      </c>
      <c r="L1062" t="s">
        <v>738</v>
      </c>
      <c r="M1062">
        <v>5.3</v>
      </c>
    </row>
    <row r="1063" spans="1:13" hidden="1" x14ac:dyDescent="0.35">
      <c r="A1063" t="s">
        <v>34</v>
      </c>
      <c r="D1063" t="s">
        <v>42</v>
      </c>
      <c r="F1063">
        <v>4</v>
      </c>
      <c r="G1063">
        <v>6</v>
      </c>
      <c r="H1063">
        <v>3</v>
      </c>
      <c r="I1063">
        <v>44</v>
      </c>
      <c r="K1063" s="122">
        <v>45492</v>
      </c>
      <c r="L1063" t="s">
        <v>739</v>
      </c>
      <c r="M1063">
        <v>5.6</v>
      </c>
    </row>
    <row r="1064" spans="1:13" hidden="1" x14ac:dyDescent="0.35">
      <c r="A1064" t="s">
        <v>34</v>
      </c>
      <c r="D1064" t="s">
        <v>42</v>
      </c>
      <c r="F1064">
        <v>4</v>
      </c>
      <c r="G1064">
        <v>6</v>
      </c>
      <c r="H1064">
        <v>3</v>
      </c>
      <c r="I1064">
        <v>44</v>
      </c>
      <c r="K1064" s="122">
        <v>45509</v>
      </c>
      <c r="L1064" t="s">
        <v>737</v>
      </c>
      <c r="M1064">
        <v>6.9</v>
      </c>
    </row>
    <row r="1065" spans="1:13" hidden="1" x14ac:dyDescent="0.35">
      <c r="A1065" t="s">
        <v>34</v>
      </c>
      <c r="D1065" t="s">
        <v>42</v>
      </c>
      <c r="F1065">
        <v>4</v>
      </c>
      <c r="G1065">
        <v>6</v>
      </c>
      <c r="H1065">
        <v>3</v>
      </c>
      <c r="I1065">
        <v>44</v>
      </c>
      <c r="K1065" s="122">
        <v>45509</v>
      </c>
      <c r="L1065" t="s">
        <v>738</v>
      </c>
      <c r="M1065">
        <v>6.9</v>
      </c>
    </row>
    <row r="1066" spans="1:13" hidden="1" x14ac:dyDescent="0.35">
      <c r="A1066" t="s">
        <v>34</v>
      </c>
      <c r="D1066" t="s">
        <v>42</v>
      </c>
      <c r="F1066">
        <v>4</v>
      </c>
      <c r="G1066">
        <v>6</v>
      </c>
      <c r="H1066">
        <v>3</v>
      </c>
      <c r="I1066">
        <v>44</v>
      </c>
      <c r="K1066" s="122">
        <v>45509</v>
      </c>
      <c r="L1066" t="s">
        <v>739</v>
      </c>
      <c r="M1066">
        <v>6.9</v>
      </c>
    </row>
    <row r="1067" spans="1:13" hidden="1" x14ac:dyDescent="0.35">
      <c r="A1067" t="s">
        <v>34</v>
      </c>
      <c r="D1067" t="s">
        <v>42</v>
      </c>
      <c r="F1067">
        <v>4</v>
      </c>
      <c r="G1067">
        <v>6</v>
      </c>
      <c r="H1067">
        <v>3</v>
      </c>
      <c r="I1067">
        <v>44</v>
      </c>
      <c r="K1067" s="122">
        <v>45519</v>
      </c>
      <c r="L1067" t="s">
        <v>737</v>
      </c>
      <c r="M1067">
        <v>7.8</v>
      </c>
    </row>
    <row r="1068" spans="1:13" hidden="1" x14ac:dyDescent="0.35">
      <c r="A1068" t="s">
        <v>34</v>
      </c>
      <c r="D1068" t="s">
        <v>42</v>
      </c>
      <c r="F1068">
        <v>4</v>
      </c>
      <c r="G1068">
        <v>6</v>
      </c>
      <c r="H1068">
        <v>3</v>
      </c>
      <c r="I1068">
        <v>44</v>
      </c>
      <c r="K1068" s="122">
        <v>45519</v>
      </c>
      <c r="L1068" t="s">
        <v>738</v>
      </c>
      <c r="M1068">
        <v>7.9</v>
      </c>
    </row>
    <row r="1069" spans="1:13" hidden="1" x14ac:dyDescent="0.35">
      <c r="A1069" t="s">
        <v>34</v>
      </c>
      <c r="D1069" t="s">
        <v>42</v>
      </c>
      <c r="F1069">
        <v>4</v>
      </c>
      <c r="G1069">
        <v>6</v>
      </c>
      <c r="H1069">
        <v>3</v>
      </c>
      <c r="I1069">
        <v>44</v>
      </c>
      <c r="K1069" s="122">
        <v>45519</v>
      </c>
      <c r="L1069" t="s">
        <v>739</v>
      </c>
      <c r="M1069">
        <v>7.8</v>
      </c>
    </row>
    <row r="1070" spans="1:13" hidden="1" x14ac:dyDescent="0.35">
      <c r="A1070" t="s">
        <v>34</v>
      </c>
      <c r="D1070" t="s">
        <v>42</v>
      </c>
      <c r="F1070">
        <v>4</v>
      </c>
      <c r="G1070">
        <v>6</v>
      </c>
      <c r="H1070">
        <v>3</v>
      </c>
      <c r="I1070">
        <v>44</v>
      </c>
      <c r="K1070" s="122">
        <v>45530</v>
      </c>
      <c r="L1070" t="s">
        <v>737</v>
      </c>
      <c r="M1070">
        <v>8.9</v>
      </c>
    </row>
    <row r="1071" spans="1:13" hidden="1" x14ac:dyDescent="0.35">
      <c r="A1071" t="s">
        <v>34</v>
      </c>
      <c r="D1071" t="s">
        <v>42</v>
      </c>
      <c r="F1071">
        <v>4</v>
      </c>
      <c r="G1071">
        <v>6</v>
      </c>
      <c r="H1071">
        <v>3</v>
      </c>
      <c r="I1071">
        <v>44</v>
      </c>
      <c r="K1071" s="122">
        <v>45530</v>
      </c>
      <c r="L1071" t="s">
        <v>738</v>
      </c>
      <c r="M1071">
        <v>9.1</v>
      </c>
    </row>
    <row r="1072" spans="1:13" hidden="1" x14ac:dyDescent="0.35">
      <c r="A1072" t="s">
        <v>34</v>
      </c>
      <c r="D1072" t="s">
        <v>42</v>
      </c>
      <c r="F1072">
        <v>4</v>
      </c>
      <c r="G1072">
        <v>6</v>
      </c>
      <c r="H1072">
        <v>3</v>
      </c>
      <c r="I1072">
        <v>44</v>
      </c>
      <c r="K1072" s="122">
        <v>45530</v>
      </c>
      <c r="L1072" t="s">
        <v>739</v>
      </c>
      <c r="M1072">
        <v>8.9</v>
      </c>
    </row>
    <row r="1073" spans="1:13" hidden="1" x14ac:dyDescent="0.35">
      <c r="A1073" t="s">
        <v>34</v>
      </c>
      <c r="D1073" t="s">
        <v>42</v>
      </c>
      <c r="F1073">
        <v>4</v>
      </c>
      <c r="G1073">
        <v>6</v>
      </c>
      <c r="H1073">
        <v>3</v>
      </c>
      <c r="I1073">
        <v>44</v>
      </c>
      <c r="K1073" s="122">
        <v>45538</v>
      </c>
      <c r="L1073" t="s">
        <v>737</v>
      </c>
      <c r="M1073">
        <v>9.6999999999999993</v>
      </c>
    </row>
    <row r="1074" spans="1:13" hidden="1" x14ac:dyDescent="0.35">
      <c r="A1074" t="s">
        <v>34</v>
      </c>
      <c r="D1074" t="s">
        <v>42</v>
      </c>
      <c r="F1074">
        <v>4</v>
      </c>
      <c r="G1074">
        <v>6</v>
      </c>
      <c r="H1074">
        <v>3</v>
      </c>
      <c r="I1074">
        <v>44</v>
      </c>
      <c r="K1074" s="122">
        <v>45538</v>
      </c>
      <c r="L1074" t="s">
        <v>738</v>
      </c>
      <c r="M1074">
        <v>9.6999999999999993</v>
      </c>
    </row>
    <row r="1075" spans="1:13" hidden="1" x14ac:dyDescent="0.35">
      <c r="A1075" t="s">
        <v>34</v>
      </c>
      <c r="D1075" t="s">
        <v>42</v>
      </c>
      <c r="F1075">
        <v>4</v>
      </c>
      <c r="G1075">
        <v>6</v>
      </c>
      <c r="H1075">
        <v>3</v>
      </c>
      <c r="I1075">
        <v>44</v>
      </c>
      <c r="K1075" s="122">
        <v>45538</v>
      </c>
      <c r="L1075" t="s">
        <v>739</v>
      </c>
      <c r="M1075">
        <v>9.6999999999999993</v>
      </c>
    </row>
    <row r="1076" spans="1:13" hidden="1" x14ac:dyDescent="0.35">
      <c r="A1076" t="s">
        <v>34</v>
      </c>
      <c r="D1076" t="s">
        <v>42</v>
      </c>
      <c r="F1076">
        <v>4</v>
      </c>
      <c r="G1076">
        <v>6</v>
      </c>
      <c r="H1076">
        <v>3</v>
      </c>
      <c r="I1076">
        <v>44</v>
      </c>
      <c r="K1076" s="122">
        <v>45547</v>
      </c>
      <c r="L1076" t="s">
        <v>737</v>
      </c>
      <c r="M1076">
        <v>10</v>
      </c>
    </row>
    <row r="1077" spans="1:13" hidden="1" x14ac:dyDescent="0.35">
      <c r="A1077" t="s">
        <v>34</v>
      </c>
      <c r="D1077" t="s">
        <v>42</v>
      </c>
      <c r="F1077">
        <v>4</v>
      </c>
      <c r="G1077">
        <v>6</v>
      </c>
      <c r="H1077">
        <v>3</v>
      </c>
      <c r="I1077">
        <v>44</v>
      </c>
      <c r="K1077" s="122">
        <v>45547</v>
      </c>
      <c r="L1077" t="s">
        <v>738</v>
      </c>
      <c r="M1077">
        <v>10</v>
      </c>
    </row>
    <row r="1078" spans="1:13" hidden="1" x14ac:dyDescent="0.35">
      <c r="A1078" t="s">
        <v>34</v>
      </c>
      <c r="D1078" t="s">
        <v>42</v>
      </c>
      <c r="F1078">
        <v>4</v>
      </c>
      <c r="G1078">
        <v>6</v>
      </c>
      <c r="H1078">
        <v>3</v>
      </c>
      <c r="I1078">
        <v>44</v>
      </c>
      <c r="K1078" s="122">
        <v>45547</v>
      </c>
      <c r="L1078" t="s">
        <v>739</v>
      </c>
      <c r="M1078">
        <v>10</v>
      </c>
    </row>
    <row r="1079" spans="1:13" hidden="1" x14ac:dyDescent="0.35">
      <c r="A1079" t="s">
        <v>34</v>
      </c>
      <c r="D1079" t="s">
        <v>42</v>
      </c>
      <c r="F1079">
        <v>4</v>
      </c>
      <c r="G1079">
        <v>6</v>
      </c>
      <c r="H1079">
        <v>3</v>
      </c>
      <c r="I1079">
        <v>44</v>
      </c>
      <c r="K1079" s="122">
        <v>45555</v>
      </c>
      <c r="L1079" t="s">
        <v>737</v>
      </c>
    </row>
    <row r="1080" spans="1:13" hidden="1" x14ac:dyDescent="0.35">
      <c r="A1080" t="s">
        <v>34</v>
      </c>
      <c r="D1080" t="s">
        <v>42</v>
      </c>
      <c r="F1080">
        <v>4</v>
      </c>
      <c r="G1080">
        <v>6</v>
      </c>
      <c r="H1080">
        <v>3</v>
      </c>
      <c r="I1080">
        <v>44</v>
      </c>
      <c r="K1080" s="122">
        <v>45555</v>
      </c>
      <c r="L1080" t="s">
        <v>738</v>
      </c>
    </row>
    <row r="1081" spans="1:13" hidden="1" x14ac:dyDescent="0.35">
      <c r="A1081" t="s">
        <v>34</v>
      </c>
      <c r="D1081" t="s">
        <v>42</v>
      </c>
      <c r="F1081">
        <v>4</v>
      </c>
      <c r="G1081">
        <v>6</v>
      </c>
      <c r="H1081">
        <v>3</v>
      </c>
      <c r="I1081">
        <v>44</v>
      </c>
      <c r="K1081" s="122">
        <v>45555</v>
      </c>
      <c r="L1081" t="s">
        <v>739</v>
      </c>
    </row>
    <row r="1082" spans="1:13" hidden="1" x14ac:dyDescent="0.35">
      <c r="A1082" t="s">
        <v>24</v>
      </c>
      <c r="D1082" t="s">
        <v>27</v>
      </c>
      <c r="F1082">
        <v>1</v>
      </c>
      <c r="G1082">
        <v>1</v>
      </c>
      <c r="H1082">
        <v>1</v>
      </c>
      <c r="I1082">
        <v>1</v>
      </c>
      <c r="K1082" s="122">
        <v>45477</v>
      </c>
      <c r="L1082" t="s">
        <v>737</v>
      </c>
    </row>
    <row r="1083" spans="1:13" hidden="1" x14ac:dyDescent="0.35">
      <c r="A1083" t="s">
        <v>24</v>
      </c>
      <c r="D1083" t="s">
        <v>27</v>
      </c>
      <c r="F1083">
        <v>1</v>
      </c>
      <c r="G1083">
        <v>1</v>
      </c>
      <c r="H1083">
        <v>1</v>
      </c>
      <c r="I1083">
        <v>1</v>
      </c>
      <c r="K1083" s="122">
        <v>45477</v>
      </c>
      <c r="L1083" t="s">
        <v>738</v>
      </c>
    </row>
    <row r="1084" spans="1:13" hidden="1" x14ac:dyDescent="0.35">
      <c r="A1084" t="s">
        <v>24</v>
      </c>
      <c r="D1084" t="s">
        <v>27</v>
      </c>
      <c r="F1084">
        <v>1</v>
      </c>
      <c r="G1084">
        <v>1</v>
      </c>
      <c r="H1084">
        <v>1</v>
      </c>
      <c r="I1084">
        <v>1</v>
      </c>
      <c r="K1084" s="122">
        <v>45477</v>
      </c>
      <c r="L1084" t="s">
        <v>739</v>
      </c>
    </row>
    <row r="1085" spans="1:13" hidden="1" x14ac:dyDescent="0.35">
      <c r="A1085" t="s">
        <v>24</v>
      </c>
      <c r="D1085" t="s">
        <v>27</v>
      </c>
      <c r="F1085">
        <v>4</v>
      </c>
      <c r="G1085">
        <v>7</v>
      </c>
      <c r="H1085">
        <v>4</v>
      </c>
      <c r="I1085">
        <v>52</v>
      </c>
      <c r="K1085" s="122">
        <v>45477</v>
      </c>
      <c r="L1085" t="s">
        <v>737</v>
      </c>
    </row>
    <row r="1086" spans="1:13" hidden="1" x14ac:dyDescent="0.35">
      <c r="A1086" t="s">
        <v>24</v>
      </c>
      <c r="D1086" t="s">
        <v>27</v>
      </c>
      <c r="F1086">
        <v>4</v>
      </c>
      <c r="G1086">
        <v>7</v>
      </c>
      <c r="H1086">
        <v>4</v>
      </c>
      <c r="I1086">
        <v>52</v>
      </c>
      <c r="K1086" s="122">
        <v>45477</v>
      </c>
      <c r="L1086" t="s">
        <v>738</v>
      </c>
    </row>
    <row r="1087" spans="1:13" hidden="1" x14ac:dyDescent="0.35">
      <c r="A1087" t="s">
        <v>24</v>
      </c>
      <c r="D1087" t="s">
        <v>27</v>
      </c>
      <c r="F1087">
        <v>4</v>
      </c>
      <c r="G1087">
        <v>7</v>
      </c>
      <c r="H1087">
        <v>4</v>
      </c>
      <c r="I1087">
        <v>52</v>
      </c>
      <c r="K1087" s="122">
        <v>45477</v>
      </c>
      <c r="L1087" t="s">
        <v>739</v>
      </c>
    </row>
    <row r="1088" spans="1:13" hidden="1" x14ac:dyDescent="0.35">
      <c r="A1088" t="s">
        <v>24</v>
      </c>
      <c r="D1088" t="s">
        <v>27</v>
      </c>
      <c r="F1088">
        <v>5</v>
      </c>
      <c r="G1088">
        <v>5</v>
      </c>
      <c r="H1088">
        <v>3</v>
      </c>
      <c r="I1088">
        <v>37</v>
      </c>
      <c r="K1088" s="122">
        <v>45477</v>
      </c>
      <c r="L1088" t="s">
        <v>737</v>
      </c>
    </row>
    <row r="1089" spans="1:13" hidden="1" x14ac:dyDescent="0.35">
      <c r="A1089" t="s">
        <v>24</v>
      </c>
      <c r="D1089" t="s">
        <v>27</v>
      </c>
      <c r="F1089">
        <v>5</v>
      </c>
      <c r="G1089">
        <v>5</v>
      </c>
      <c r="H1089">
        <v>3</v>
      </c>
      <c r="I1089">
        <v>37</v>
      </c>
      <c r="K1089" s="122">
        <v>45477</v>
      </c>
      <c r="L1089" t="s">
        <v>738</v>
      </c>
    </row>
    <row r="1090" spans="1:13" hidden="1" x14ac:dyDescent="0.35">
      <c r="A1090" t="s">
        <v>24</v>
      </c>
      <c r="D1090" t="s">
        <v>27</v>
      </c>
      <c r="F1090">
        <v>5</v>
      </c>
      <c r="G1090">
        <v>5</v>
      </c>
      <c r="H1090">
        <v>3</v>
      </c>
      <c r="I1090">
        <v>37</v>
      </c>
      <c r="K1090" s="122">
        <v>45477</v>
      </c>
      <c r="L1090" t="s">
        <v>739</v>
      </c>
    </row>
    <row r="1091" spans="1:13" hidden="1" x14ac:dyDescent="0.35">
      <c r="A1091" t="s">
        <v>24</v>
      </c>
      <c r="D1091" t="s">
        <v>27</v>
      </c>
      <c r="F1091">
        <v>8</v>
      </c>
      <c r="G1091">
        <v>3</v>
      </c>
      <c r="H1091">
        <v>2</v>
      </c>
      <c r="I1091">
        <v>24</v>
      </c>
      <c r="K1091" s="122">
        <v>45477</v>
      </c>
      <c r="L1091" t="s">
        <v>737</v>
      </c>
    </row>
    <row r="1092" spans="1:13" hidden="1" x14ac:dyDescent="0.35">
      <c r="A1092" t="s">
        <v>24</v>
      </c>
      <c r="D1092" t="s">
        <v>27</v>
      </c>
      <c r="F1092">
        <v>8</v>
      </c>
      <c r="G1092">
        <v>3</v>
      </c>
      <c r="H1092">
        <v>2</v>
      </c>
      <c r="I1092">
        <v>24</v>
      </c>
      <c r="K1092" s="122">
        <v>45477</v>
      </c>
      <c r="L1092" t="s">
        <v>738</v>
      </c>
    </row>
    <row r="1093" spans="1:13" hidden="1" x14ac:dyDescent="0.35">
      <c r="A1093" t="s">
        <v>24</v>
      </c>
      <c r="D1093" t="s">
        <v>27</v>
      </c>
      <c r="F1093">
        <v>8</v>
      </c>
      <c r="G1093">
        <v>3</v>
      </c>
      <c r="H1093">
        <v>2</v>
      </c>
      <c r="I1093">
        <v>24</v>
      </c>
      <c r="K1093" s="122">
        <v>45477</v>
      </c>
      <c r="L1093" t="s">
        <v>739</v>
      </c>
    </row>
    <row r="1094" spans="1:13" hidden="1" x14ac:dyDescent="0.35">
      <c r="A1094" t="s">
        <v>24</v>
      </c>
      <c r="D1094" t="s">
        <v>27</v>
      </c>
      <c r="F1094">
        <v>1</v>
      </c>
      <c r="G1094">
        <v>1</v>
      </c>
      <c r="H1094">
        <v>1</v>
      </c>
      <c r="I1094">
        <v>1</v>
      </c>
      <c r="K1094" s="122">
        <v>45485</v>
      </c>
      <c r="L1094" t="s">
        <v>737</v>
      </c>
      <c r="M1094">
        <v>6.8</v>
      </c>
    </row>
    <row r="1095" spans="1:13" hidden="1" x14ac:dyDescent="0.35">
      <c r="A1095" t="s">
        <v>24</v>
      </c>
      <c r="D1095" t="s">
        <v>27</v>
      </c>
      <c r="F1095">
        <v>1</v>
      </c>
      <c r="G1095">
        <v>1</v>
      </c>
      <c r="H1095">
        <v>1</v>
      </c>
      <c r="I1095">
        <v>1</v>
      </c>
      <c r="K1095" s="122">
        <v>45485</v>
      </c>
      <c r="L1095" t="s">
        <v>738</v>
      </c>
      <c r="M1095">
        <v>6.9</v>
      </c>
    </row>
    <row r="1096" spans="1:13" hidden="1" x14ac:dyDescent="0.35">
      <c r="A1096" t="s">
        <v>24</v>
      </c>
      <c r="D1096" t="s">
        <v>27</v>
      </c>
      <c r="F1096">
        <v>1</v>
      </c>
      <c r="G1096">
        <v>1</v>
      </c>
      <c r="H1096">
        <v>1</v>
      </c>
      <c r="I1096">
        <v>1</v>
      </c>
      <c r="K1096" s="122">
        <v>45485</v>
      </c>
      <c r="L1096" t="s">
        <v>739</v>
      </c>
      <c r="M1096">
        <v>7.7</v>
      </c>
    </row>
    <row r="1097" spans="1:13" hidden="1" x14ac:dyDescent="0.35">
      <c r="A1097" t="s">
        <v>24</v>
      </c>
      <c r="D1097" t="s">
        <v>27</v>
      </c>
      <c r="F1097">
        <v>4</v>
      </c>
      <c r="G1097">
        <v>7</v>
      </c>
      <c r="H1097">
        <v>4</v>
      </c>
      <c r="I1097">
        <v>52</v>
      </c>
      <c r="K1097" s="122">
        <v>45485</v>
      </c>
      <c r="L1097" t="s">
        <v>737</v>
      </c>
    </row>
    <row r="1098" spans="1:13" hidden="1" x14ac:dyDescent="0.35">
      <c r="A1098" t="s">
        <v>24</v>
      </c>
      <c r="D1098" t="s">
        <v>27</v>
      </c>
      <c r="F1098">
        <v>4</v>
      </c>
      <c r="G1098">
        <v>7</v>
      </c>
      <c r="H1098">
        <v>4</v>
      </c>
      <c r="I1098">
        <v>52</v>
      </c>
      <c r="K1098" s="122">
        <v>45485</v>
      </c>
      <c r="L1098" t="s">
        <v>738</v>
      </c>
    </row>
    <row r="1099" spans="1:13" hidden="1" x14ac:dyDescent="0.35">
      <c r="A1099" t="s">
        <v>24</v>
      </c>
      <c r="D1099" t="s">
        <v>27</v>
      </c>
      <c r="F1099">
        <v>4</v>
      </c>
      <c r="G1099">
        <v>7</v>
      </c>
      <c r="H1099">
        <v>4</v>
      </c>
      <c r="I1099">
        <v>52</v>
      </c>
      <c r="K1099" s="122">
        <v>45485</v>
      </c>
      <c r="L1099" t="s">
        <v>739</v>
      </c>
    </row>
    <row r="1100" spans="1:13" hidden="1" x14ac:dyDescent="0.35">
      <c r="A1100" t="s">
        <v>24</v>
      </c>
      <c r="D1100" t="s">
        <v>27</v>
      </c>
      <c r="F1100">
        <v>5</v>
      </c>
      <c r="G1100">
        <v>5</v>
      </c>
      <c r="H1100">
        <v>3</v>
      </c>
      <c r="I1100">
        <v>37</v>
      </c>
      <c r="K1100" s="122">
        <v>45485</v>
      </c>
      <c r="L1100" t="s">
        <v>737</v>
      </c>
    </row>
    <row r="1101" spans="1:13" hidden="1" x14ac:dyDescent="0.35">
      <c r="A1101" t="s">
        <v>24</v>
      </c>
      <c r="D1101" t="s">
        <v>27</v>
      </c>
      <c r="F1101">
        <v>5</v>
      </c>
      <c r="G1101">
        <v>5</v>
      </c>
      <c r="H1101">
        <v>3</v>
      </c>
      <c r="I1101">
        <v>37</v>
      </c>
      <c r="K1101" s="122">
        <v>45485</v>
      </c>
      <c r="L1101" t="s">
        <v>738</v>
      </c>
    </row>
    <row r="1102" spans="1:13" hidden="1" x14ac:dyDescent="0.35">
      <c r="A1102" t="s">
        <v>24</v>
      </c>
      <c r="D1102" t="s">
        <v>27</v>
      </c>
      <c r="F1102">
        <v>5</v>
      </c>
      <c r="G1102">
        <v>5</v>
      </c>
      <c r="H1102">
        <v>3</v>
      </c>
      <c r="I1102">
        <v>37</v>
      </c>
      <c r="K1102" s="122">
        <v>45485</v>
      </c>
      <c r="L1102" t="s">
        <v>739</v>
      </c>
    </row>
    <row r="1103" spans="1:13" hidden="1" x14ac:dyDescent="0.35">
      <c r="A1103" t="s">
        <v>24</v>
      </c>
      <c r="D1103" t="s">
        <v>27</v>
      </c>
      <c r="F1103">
        <v>8</v>
      </c>
      <c r="G1103">
        <v>3</v>
      </c>
      <c r="H1103">
        <v>2</v>
      </c>
      <c r="I1103">
        <v>24</v>
      </c>
      <c r="K1103" s="122">
        <v>45485</v>
      </c>
      <c r="L1103" t="s">
        <v>737</v>
      </c>
      <c r="M1103">
        <v>6.2</v>
      </c>
    </row>
    <row r="1104" spans="1:13" hidden="1" x14ac:dyDescent="0.35">
      <c r="A1104" t="s">
        <v>24</v>
      </c>
      <c r="D1104" t="s">
        <v>27</v>
      </c>
      <c r="F1104">
        <v>8</v>
      </c>
      <c r="G1104">
        <v>3</v>
      </c>
      <c r="H1104">
        <v>2</v>
      </c>
      <c r="I1104">
        <v>24</v>
      </c>
      <c r="K1104" s="122">
        <v>45485</v>
      </c>
      <c r="L1104" t="s">
        <v>738</v>
      </c>
      <c r="M1104">
        <v>6.3</v>
      </c>
    </row>
    <row r="1105" spans="1:13" hidden="1" x14ac:dyDescent="0.35">
      <c r="A1105" t="s">
        <v>24</v>
      </c>
      <c r="D1105" t="s">
        <v>27</v>
      </c>
      <c r="F1105">
        <v>8</v>
      </c>
      <c r="G1105">
        <v>3</v>
      </c>
      <c r="H1105">
        <v>2</v>
      </c>
      <c r="I1105">
        <v>24</v>
      </c>
      <c r="K1105" s="122">
        <v>45485</v>
      </c>
      <c r="L1105" t="s">
        <v>739</v>
      </c>
      <c r="M1105">
        <v>6.8</v>
      </c>
    </row>
    <row r="1106" spans="1:13" hidden="1" x14ac:dyDescent="0.35">
      <c r="A1106" t="s">
        <v>24</v>
      </c>
      <c r="D1106" t="s">
        <v>27</v>
      </c>
      <c r="F1106">
        <v>1</v>
      </c>
      <c r="G1106">
        <v>1</v>
      </c>
      <c r="H1106">
        <v>1</v>
      </c>
      <c r="I1106">
        <v>1</v>
      </c>
      <c r="K1106" s="122">
        <v>45492</v>
      </c>
      <c r="L1106" t="s">
        <v>737</v>
      </c>
      <c r="M1106">
        <v>7.2</v>
      </c>
    </row>
    <row r="1107" spans="1:13" hidden="1" x14ac:dyDescent="0.35">
      <c r="A1107" t="s">
        <v>24</v>
      </c>
      <c r="D1107" t="s">
        <v>27</v>
      </c>
      <c r="F1107">
        <v>1</v>
      </c>
      <c r="G1107">
        <v>1</v>
      </c>
      <c r="H1107">
        <v>1</v>
      </c>
      <c r="I1107">
        <v>1</v>
      </c>
      <c r="K1107" s="122">
        <v>45492</v>
      </c>
      <c r="L1107" t="s">
        <v>738</v>
      </c>
      <c r="M1107">
        <v>8.3000000000000007</v>
      </c>
    </row>
    <row r="1108" spans="1:13" hidden="1" x14ac:dyDescent="0.35">
      <c r="A1108" t="s">
        <v>24</v>
      </c>
      <c r="D1108" t="s">
        <v>27</v>
      </c>
      <c r="F1108">
        <v>1</v>
      </c>
      <c r="G1108">
        <v>1</v>
      </c>
      <c r="H1108">
        <v>1</v>
      </c>
      <c r="I1108">
        <v>1</v>
      </c>
      <c r="K1108" s="122">
        <v>45492</v>
      </c>
      <c r="L1108" t="s">
        <v>739</v>
      </c>
      <c r="M1108">
        <v>7.4</v>
      </c>
    </row>
    <row r="1109" spans="1:13" hidden="1" x14ac:dyDescent="0.35">
      <c r="A1109" t="s">
        <v>24</v>
      </c>
      <c r="D1109" t="s">
        <v>27</v>
      </c>
      <c r="F1109">
        <v>4</v>
      </c>
      <c r="G1109">
        <v>7</v>
      </c>
      <c r="H1109">
        <v>4</v>
      </c>
      <c r="I1109">
        <v>52</v>
      </c>
      <c r="K1109" s="122">
        <v>45492</v>
      </c>
      <c r="L1109" t="s">
        <v>737</v>
      </c>
      <c r="M1109">
        <v>7.2</v>
      </c>
    </row>
    <row r="1110" spans="1:13" hidden="1" x14ac:dyDescent="0.35">
      <c r="A1110" t="s">
        <v>24</v>
      </c>
      <c r="D1110" t="s">
        <v>27</v>
      </c>
      <c r="F1110">
        <v>4</v>
      </c>
      <c r="G1110">
        <v>7</v>
      </c>
      <c r="H1110">
        <v>4</v>
      </c>
      <c r="I1110">
        <v>52</v>
      </c>
      <c r="K1110" s="122">
        <v>45492</v>
      </c>
      <c r="L1110" t="s">
        <v>738</v>
      </c>
      <c r="M1110">
        <v>7.2</v>
      </c>
    </row>
    <row r="1111" spans="1:13" hidden="1" x14ac:dyDescent="0.35">
      <c r="A1111" t="s">
        <v>24</v>
      </c>
      <c r="D1111" t="s">
        <v>27</v>
      </c>
      <c r="F1111">
        <v>4</v>
      </c>
      <c r="G1111">
        <v>7</v>
      </c>
      <c r="H1111">
        <v>4</v>
      </c>
      <c r="I1111">
        <v>52</v>
      </c>
      <c r="K1111" s="122">
        <v>45492</v>
      </c>
      <c r="L1111" t="s">
        <v>739</v>
      </c>
      <c r="M1111">
        <v>7.3</v>
      </c>
    </row>
    <row r="1112" spans="1:13" hidden="1" x14ac:dyDescent="0.35">
      <c r="A1112" t="s">
        <v>24</v>
      </c>
      <c r="D1112" t="s">
        <v>27</v>
      </c>
      <c r="F1112">
        <v>5</v>
      </c>
      <c r="G1112">
        <v>5</v>
      </c>
      <c r="H1112">
        <v>3</v>
      </c>
      <c r="I1112">
        <v>37</v>
      </c>
      <c r="K1112" s="122">
        <v>45492</v>
      </c>
      <c r="L1112" t="s">
        <v>737</v>
      </c>
      <c r="M1112">
        <v>7.4</v>
      </c>
    </row>
    <row r="1113" spans="1:13" hidden="1" x14ac:dyDescent="0.35">
      <c r="A1113" t="s">
        <v>24</v>
      </c>
      <c r="D1113" t="s">
        <v>27</v>
      </c>
      <c r="F1113">
        <v>5</v>
      </c>
      <c r="G1113">
        <v>5</v>
      </c>
      <c r="H1113">
        <v>3</v>
      </c>
      <c r="I1113">
        <v>37</v>
      </c>
      <c r="K1113" s="122">
        <v>45492</v>
      </c>
      <c r="L1113" t="s">
        <v>738</v>
      </c>
      <c r="M1113">
        <v>7.3</v>
      </c>
    </row>
    <row r="1114" spans="1:13" hidden="1" x14ac:dyDescent="0.35">
      <c r="A1114" t="s">
        <v>24</v>
      </c>
      <c r="D1114" t="s">
        <v>27</v>
      </c>
      <c r="F1114">
        <v>5</v>
      </c>
      <c r="G1114">
        <v>5</v>
      </c>
      <c r="H1114">
        <v>3</v>
      </c>
      <c r="I1114">
        <v>37</v>
      </c>
      <c r="K1114" s="122">
        <v>45492</v>
      </c>
      <c r="L1114" t="s">
        <v>739</v>
      </c>
      <c r="M1114">
        <v>8.3000000000000007</v>
      </c>
    </row>
    <row r="1115" spans="1:13" hidden="1" x14ac:dyDescent="0.35">
      <c r="A1115" t="s">
        <v>24</v>
      </c>
      <c r="D1115" t="s">
        <v>27</v>
      </c>
      <c r="F1115">
        <v>8</v>
      </c>
      <c r="G1115">
        <v>3</v>
      </c>
      <c r="H1115">
        <v>2</v>
      </c>
      <c r="I1115">
        <v>24</v>
      </c>
      <c r="K1115" s="122">
        <v>45492</v>
      </c>
      <c r="L1115" t="s">
        <v>737</v>
      </c>
      <c r="M1115">
        <v>6.6</v>
      </c>
    </row>
    <row r="1116" spans="1:13" hidden="1" x14ac:dyDescent="0.35">
      <c r="A1116" t="s">
        <v>24</v>
      </c>
      <c r="D1116" t="s">
        <v>27</v>
      </c>
      <c r="F1116">
        <v>8</v>
      </c>
      <c r="G1116">
        <v>3</v>
      </c>
      <c r="H1116">
        <v>2</v>
      </c>
      <c r="I1116">
        <v>24</v>
      </c>
      <c r="K1116" s="122">
        <v>45492</v>
      </c>
      <c r="L1116" t="s">
        <v>738</v>
      </c>
      <c r="M1116">
        <v>7.2</v>
      </c>
    </row>
    <row r="1117" spans="1:13" hidden="1" x14ac:dyDescent="0.35">
      <c r="A1117" t="s">
        <v>24</v>
      </c>
      <c r="D1117" t="s">
        <v>27</v>
      </c>
      <c r="F1117">
        <v>8</v>
      </c>
      <c r="G1117">
        <v>3</v>
      </c>
      <c r="H1117">
        <v>2</v>
      </c>
      <c r="I1117">
        <v>24</v>
      </c>
      <c r="K1117" s="122">
        <v>45492</v>
      </c>
      <c r="L1117" t="s">
        <v>739</v>
      </c>
      <c r="M1117">
        <v>7.2</v>
      </c>
    </row>
    <row r="1118" spans="1:13" hidden="1" x14ac:dyDescent="0.35">
      <c r="A1118" t="s">
        <v>34</v>
      </c>
      <c r="D1118" t="s">
        <v>343</v>
      </c>
      <c r="F1118">
        <v>4</v>
      </c>
      <c r="G1118">
        <v>8</v>
      </c>
      <c r="H1118">
        <v>4</v>
      </c>
      <c r="I1118">
        <v>60</v>
      </c>
      <c r="K1118" s="122">
        <v>45442</v>
      </c>
      <c r="L1118" t="s">
        <v>737</v>
      </c>
    </row>
    <row r="1119" spans="1:13" hidden="1" x14ac:dyDescent="0.35">
      <c r="A1119" t="s">
        <v>34</v>
      </c>
      <c r="D1119" t="s">
        <v>343</v>
      </c>
      <c r="F1119">
        <v>4</v>
      </c>
      <c r="G1119">
        <v>8</v>
      </c>
      <c r="H1119">
        <v>4</v>
      </c>
      <c r="I1119">
        <v>60</v>
      </c>
      <c r="K1119" s="122">
        <v>45442</v>
      </c>
      <c r="L1119" t="s">
        <v>738</v>
      </c>
    </row>
    <row r="1120" spans="1:13" hidden="1" x14ac:dyDescent="0.35">
      <c r="A1120" t="s">
        <v>34</v>
      </c>
      <c r="D1120" t="s">
        <v>343</v>
      </c>
      <c r="F1120">
        <v>4</v>
      </c>
      <c r="G1120">
        <v>8</v>
      </c>
      <c r="H1120">
        <v>4</v>
      </c>
      <c r="I1120">
        <v>60</v>
      </c>
      <c r="K1120" s="122">
        <v>45442</v>
      </c>
      <c r="L1120" t="s">
        <v>739</v>
      </c>
    </row>
    <row r="1121" spans="1:13" hidden="1" x14ac:dyDescent="0.35">
      <c r="A1121" t="s">
        <v>34</v>
      </c>
      <c r="D1121" t="s">
        <v>343</v>
      </c>
      <c r="F1121">
        <v>4</v>
      </c>
      <c r="G1121">
        <v>8</v>
      </c>
      <c r="H1121">
        <v>4</v>
      </c>
      <c r="I1121">
        <v>60</v>
      </c>
      <c r="K1121" s="122">
        <v>45447</v>
      </c>
      <c r="L1121" t="s">
        <v>737</v>
      </c>
      <c r="M1121">
        <v>1.9</v>
      </c>
    </row>
    <row r="1122" spans="1:13" hidden="1" x14ac:dyDescent="0.35">
      <c r="A1122" t="s">
        <v>34</v>
      </c>
      <c r="D1122" t="s">
        <v>343</v>
      </c>
      <c r="F1122">
        <v>4</v>
      </c>
      <c r="G1122">
        <v>8</v>
      </c>
      <c r="H1122">
        <v>4</v>
      </c>
      <c r="I1122">
        <v>60</v>
      </c>
      <c r="K1122" s="122">
        <v>45447</v>
      </c>
      <c r="L1122" t="s">
        <v>738</v>
      </c>
      <c r="M1122">
        <v>1.9</v>
      </c>
    </row>
    <row r="1123" spans="1:13" hidden="1" x14ac:dyDescent="0.35">
      <c r="A1123" t="s">
        <v>34</v>
      </c>
      <c r="D1123" t="s">
        <v>343</v>
      </c>
      <c r="F1123">
        <v>4</v>
      </c>
      <c r="G1123">
        <v>8</v>
      </c>
      <c r="H1123">
        <v>4</v>
      </c>
      <c r="I1123">
        <v>60</v>
      </c>
      <c r="K1123" s="122">
        <v>45447</v>
      </c>
      <c r="L1123" t="s">
        <v>739</v>
      </c>
      <c r="M1123">
        <v>1.9</v>
      </c>
    </row>
    <row r="1124" spans="1:13" hidden="1" x14ac:dyDescent="0.35">
      <c r="A1124" t="s">
        <v>34</v>
      </c>
      <c r="D1124" t="s">
        <v>343</v>
      </c>
      <c r="F1124">
        <v>4</v>
      </c>
      <c r="G1124">
        <v>8</v>
      </c>
      <c r="H1124">
        <v>4</v>
      </c>
      <c r="I1124">
        <v>60</v>
      </c>
      <c r="K1124" s="122">
        <v>45462</v>
      </c>
      <c r="L1124" t="s">
        <v>737</v>
      </c>
      <c r="M1124">
        <v>3.1</v>
      </c>
    </row>
    <row r="1125" spans="1:13" hidden="1" x14ac:dyDescent="0.35">
      <c r="A1125" t="s">
        <v>34</v>
      </c>
      <c r="D1125" t="s">
        <v>343</v>
      </c>
      <c r="F1125">
        <v>4</v>
      </c>
      <c r="G1125">
        <v>8</v>
      </c>
      <c r="H1125">
        <v>4</v>
      </c>
      <c r="I1125">
        <v>60</v>
      </c>
      <c r="K1125" s="122">
        <v>45462</v>
      </c>
      <c r="L1125" t="s">
        <v>738</v>
      </c>
      <c r="M1125">
        <v>3.1</v>
      </c>
    </row>
    <row r="1126" spans="1:13" hidden="1" x14ac:dyDescent="0.35">
      <c r="A1126" t="s">
        <v>34</v>
      </c>
      <c r="D1126" t="s">
        <v>343</v>
      </c>
      <c r="F1126">
        <v>4</v>
      </c>
      <c r="G1126">
        <v>8</v>
      </c>
      <c r="H1126">
        <v>4</v>
      </c>
      <c r="I1126">
        <v>60</v>
      </c>
      <c r="K1126" s="122">
        <v>45462</v>
      </c>
      <c r="L1126" t="s">
        <v>739</v>
      </c>
      <c r="M1126">
        <v>3.2</v>
      </c>
    </row>
    <row r="1127" spans="1:13" hidden="1" x14ac:dyDescent="0.35">
      <c r="A1127" t="s">
        <v>34</v>
      </c>
      <c r="D1127" t="s">
        <v>343</v>
      </c>
      <c r="F1127">
        <v>4</v>
      </c>
      <c r="G1127">
        <v>8</v>
      </c>
      <c r="H1127">
        <v>4</v>
      </c>
      <c r="I1127">
        <v>60</v>
      </c>
      <c r="K1127" s="122">
        <v>45477</v>
      </c>
      <c r="L1127" t="s">
        <v>737</v>
      </c>
      <c r="M1127">
        <v>4.5</v>
      </c>
    </row>
    <row r="1128" spans="1:13" hidden="1" x14ac:dyDescent="0.35">
      <c r="A1128" t="s">
        <v>34</v>
      </c>
      <c r="D1128" t="s">
        <v>343</v>
      </c>
      <c r="F1128">
        <v>4</v>
      </c>
      <c r="G1128">
        <v>8</v>
      </c>
      <c r="H1128">
        <v>4</v>
      </c>
      <c r="I1128">
        <v>60</v>
      </c>
      <c r="K1128" s="122">
        <v>45477</v>
      </c>
      <c r="L1128" t="s">
        <v>738</v>
      </c>
      <c r="M1128">
        <v>4.5999999999999996</v>
      </c>
    </row>
    <row r="1129" spans="1:13" hidden="1" x14ac:dyDescent="0.35">
      <c r="A1129" t="s">
        <v>34</v>
      </c>
      <c r="D1129" t="s">
        <v>343</v>
      </c>
      <c r="F1129">
        <v>4</v>
      </c>
      <c r="G1129">
        <v>8</v>
      </c>
      <c r="H1129">
        <v>4</v>
      </c>
      <c r="I1129">
        <v>60</v>
      </c>
      <c r="K1129" s="122">
        <v>45477</v>
      </c>
      <c r="L1129" t="s">
        <v>739</v>
      </c>
      <c r="M1129">
        <v>4.8</v>
      </c>
    </row>
    <row r="1130" spans="1:13" hidden="1" x14ac:dyDescent="0.35">
      <c r="A1130" t="s">
        <v>34</v>
      </c>
      <c r="D1130" t="s">
        <v>343</v>
      </c>
      <c r="F1130">
        <v>4</v>
      </c>
      <c r="G1130">
        <v>8</v>
      </c>
      <c r="H1130">
        <v>4</v>
      </c>
      <c r="I1130">
        <v>60</v>
      </c>
      <c r="K1130" s="122">
        <v>45485</v>
      </c>
      <c r="L1130" t="s">
        <v>737</v>
      </c>
    </row>
    <row r="1131" spans="1:13" hidden="1" x14ac:dyDescent="0.35">
      <c r="A1131" t="s">
        <v>34</v>
      </c>
      <c r="D1131" t="s">
        <v>343</v>
      </c>
      <c r="F1131">
        <v>4</v>
      </c>
      <c r="G1131">
        <v>8</v>
      </c>
      <c r="H1131">
        <v>4</v>
      </c>
      <c r="I1131">
        <v>60</v>
      </c>
      <c r="K1131" s="122">
        <v>45485</v>
      </c>
      <c r="L1131" t="s">
        <v>738</v>
      </c>
    </row>
    <row r="1132" spans="1:13" hidden="1" x14ac:dyDescent="0.35">
      <c r="A1132" t="s">
        <v>34</v>
      </c>
      <c r="D1132" t="s">
        <v>343</v>
      </c>
      <c r="F1132">
        <v>4</v>
      </c>
      <c r="G1132">
        <v>8</v>
      </c>
      <c r="H1132">
        <v>4</v>
      </c>
      <c r="I1132">
        <v>60</v>
      </c>
      <c r="K1132" s="122">
        <v>45485</v>
      </c>
      <c r="L1132" t="s">
        <v>739</v>
      </c>
    </row>
    <row r="1133" spans="1:13" hidden="1" x14ac:dyDescent="0.35">
      <c r="A1133" t="s">
        <v>34</v>
      </c>
      <c r="D1133" t="s">
        <v>343</v>
      </c>
      <c r="F1133">
        <v>4</v>
      </c>
      <c r="G1133">
        <v>8</v>
      </c>
      <c r="H1133">
        <v>4</v>
      </c>
      <c r="I1133">
        <v>60</v>
      </c>
      <c r="K1133" s="122">
        <v>45492</v>
      </c>
      <c r="L1133" t="s">
        <v>737</v>
      </c>
      <c r="M1133">
        <v>5.7</v>
      </c>
    </row>
    <row r="1134" spans="1:13" hidden="1" x14ac:dyDescent="0.35">
      <c r="A1134" t="s">
        <v>34</v>
      </c>
      <c r="D1134" t="s">
        <v>343</v>
      </c>
      <c r="F1134">
        <v>4</v>
      </c>
      <c r="G1134">
        <v>8</v>
      </c>
      <c r="H1134">
        <v>4</v>
      </c>
      <c r="I1134">
        <v>60</v>
      </c>
      <c r="K1134" s="122">
        <v>45492</v>
      </c>
      <c r="L1134" t="s">
        <v>738</v>
      </c>
      <c r="M1134">
        <v>5.8</v>
      </c>
    </row>
    <row r="1135" spans="1:13" hidden="1" x14ac:dyDescent="0.35">
      <c r="A1135" t="s">
        <v>34</v>
      </c>
      <c r="D1135" t="s">
        <v>343</v>
      </c>
      <c r="F1135">
        <v>4</v>
      </c>
      <c r="G1135">
        <v>8</v>
      </c>
      <c r="H1135">
        <v>4</v>
      </c>
      <c r="I1135">
        <v>60</v>
      </c>
      <c r="K1135" s="122">
        <v>45492</v>
      </c>
      <c r="L1135" t="s">
        <v>739</v>
      </c>
      <c r="M1135">
        <v>6.1</v>
      </c>
    </row>
    <row r="1136" spans="1:13" hidden="1" x14ac:dyDescent="0.35">
      <c r="A1136" t="s">
        <v>34</v>
      </c>
      <c r="D1136" t="s">
        <v>343</v>
      </c>
      <c r="F1136">
        <v>4</v>
      </c>
      <c r="G1136">
        <v>8</v>
      </c>
      <c r="H1136">
        <v>4</v>
      </c>
      <c r="I1136">
        <v>60</v>
      </c>
      <c r="K1136" s="122">
        <v>45509</v>
      </c>
      <c r="L1136" t="s">
        <v>737</v>
      </c>
      <c r="M1136">
        <v>7.2</v>
      </c>
    </row>
    <row r="1137" spans="1:13" hidden="1" x14ac:dyDescent="0.35">
      <c r="A1137" t="s">
        <v>34</v>
      </c>
      <c r="D1137" t="s">
        <v>343</v>
      </c>
      <c r="F1137">
        <v>4</v>
      </c>
      <c r="G1137">
        <v>8</v>
      </c>
      <c r="H1137">
        <v>4</v>
      </c>
      <c r="I1137">
        <v>60</v>
      </c>
      <c r="K1137" s="122">
        <v>45509</v>
      </c>
      <c r="L1137" t="s">
        <v>738</v>
      </c>
      <c r="M1137">
        <v>7.4</v>
      </c>
    </row>
    <row r="1138" spans="1:13" hidden="1" x14ac:dyDescent="0.35">
      <c r="A1138" t="s">
        <v>34</v>
      </c>
      <c r="D1138" t="s">
        <v>343</v>
      </c>
      <c r="F1138">
        <v>4</v>
      </c>
      <c r="G1138">
        <v>8</v>
      </c>
      <c r="H1138">
        <v>4</v>
      </c>
      <c r="I1138">
        <v>60</v>
      </c>
      <c r="K1138" s="122">
        <v>45509</v>
      </c>
      <c r="L1138" t="s">
        <v>739</v>
      </c>
      <c r="M1138">
        <v>7.4</v>
      </c>
    </row>
    <row r="1139" spans="1:13" hidden="1" x14ac:dyDescent="0.35">
      <c r="A1139" t="s">
        <v>34</v>
      </c>
      <c r="D1139" t="s">
        <v>343</v>
      </c>
      <c r="F1139">
        <v>4</v>
      </c>
      <c r="G1139">
        <v>8</v>
      </c>
      <c r="H1139">
        <v>4</v>
      </c>
      <c r="I1139">
        <v>60</v>
      </c>
      <c r="K1139" s="122">
        <v>45519</v>
      </c>
      <c r="L1139" t="s">
        <v>737</v>
      </c>
      <c r="M1139">
        <v>8.1999999999999993</v>
      </c>
    </row>
    <row r="1140" spans="1:13" hidden="1" x14ac:dyDescent="0.35">
      <c r="A1140" t="s">
        <v>34</v>
      </c>
      <c r="D1140" t="s">
        <v>343</v>
      </c>
      <c r="F1140">
        <v>4</v>
      </c>
      <c r="G1140">
        <v>8</v>
      </c>
      <c r="H1140">
        <v>4</v>
      </c>
      <c r="I1140">
        <v>60</v>
      </c>
      <c r="K1140" s="122">
        <v>45519</v>
      </c>
      <c r="L1140" t="s">
        <v>738</v>
      </c>
      <c r="M1140">
        <v>8.3000000000000007</v>
      </c>
    </row>
    <row r="1141" spans="1:13" hidden="1" x14ac:dyDescent="0.35">
      <c r="A1141" t="s">
        <v>34</v>
      </c>
      <c r="D1141" t="s">
        <v>343</v>
      </c>
      <c r="F1141">
        <v>4</v>
      </c>
      <c r="G1141">
        <v>8</v>
      </c>
      <c r="H1141">
        <v>4</v>
      </c>
      <c r="I1141">
        <v>60</v>
      </c>
      <c r="K1141" s="122">
        <v>45519</v>
      </c>
      <c r="L1141" t="s">
        <v>739</v>
      </c>
      <c r="M1141">
        <v>8.5</v>
      </c>
    </row>
    <row r="1142" spans="1:13" hidden="1" x14ac:dyDescent="0.35">
      <c r="A1142" t="s">
        <v>34</v>
      </c>
      <c r="D1142" t="s">
        <v>343</v>
      </c>
      <c r="F1142">
        <v>4</v>
      </c>
      <c r="G1142">
        <v>8</v>
      </c>
      <c r="H1142">
        <v>4</v>
      </c>
      <c r="I1142">
        <v>60</v>
      </c>
      <c r="K1142" s="122">
        <v>45530</v>
      </c>
      <c r="L1142" t="s">
        <v>737</v>
      </c>
      <c r="M1142">
        <v>9.1999999999999993</v>
      </c>
    </row>
    <row r="1143" spans="1:13" hidden="1" x14ac:dyDescent="0.35">
      <c r="A1143" t="s">
        <v>34</v>
      </c>
      <c r="D1143" t="s">
        <v>343</v>
      </c>
      <c r="F1143">
        <v>4</v>
      </c>
      <c r="G1143">
        <v>8</v>
      </c>
      <c r="H1143">
        <v>4</v>
      </c>
      <c r="I1143">
        <v>60</v>
      </c>
      <c r="K1143" s="122">
        <v>45530</v>
      </c>
      <c r="L1143" t="s">
        <v>738</v>
      </c>
      <c r="M1143">
        <v>9.8000000000000007</v>
      </c>
    </row>
    <row r="1144" spans="1:13" hidden="1" x14ac:dyDescent="0.35">
      <c r="A1144" t="s">
        <v>34</v>
      </c>
      <c r="D1144" t="s">
        <v>343</v>
      </c>
      <c r="F1144">
        <v>4</v>
      </c>
      <c r="G1144">
        <v>8</v>
      </c>
      <c r="H1144">
        <v>4</v>
      </c>
      <c r="I1144">
        <v>60</v>
      </c>
      <c r="K1144" s="122">
        <v>45530</v>
      </c>
      <c r="L1144" t="s">
        <v>739</v>
      </c>
      <c r="M1144">
        <v>9.8000000000000007</v>
      </c>
    </row>
    <row r="1145" spans="1:13" hidden="1" x14ac:dyDescent="0.35">
      <c r="A1145" t="s">
        <v>34</v>
      </c>
      <c r="D1145" t="s">
        <v>343</v>
      </c>
      <c r="F1145">
        <v>4</v>
      </c>
      <c r="G1145">
        <v>8</v>
      </c>
      <c r="H1145">
        <v>4</v>
      </c>
      <c r="I1145">
        <v>60</v>
      </c>
      <c r="K1145" s="122">
        <v>45538</v>
      </c>
      <c r="L1145" t="s">
        <v>737</v>
      </c>
      <c r="M1145">
        <v>9.9</v>
      </c>
    </row>
    <row r="1146" spans="1:13" hidden="1" x14ac:dyDescent="0.35">
      <c r="A1146" t="s">
        <v>34</v>
      </c>
      <c r="D1146" t="s">
        <v>343</v>
      </c>
      <c r="F1146">
        <v>4</v>
      </c>
      <c r="G1146">
        <v>8</v>
      </c>
      <c r="H1146">
        <v>4</v>
      </c>
      <c r="I1146">
        <v>60</v>
      </c>
      <c r="K1146" s="122">
        <v>45538</v>
      </c>
      <c r="L1146" t="s">
        <v>738</v>
      </c>
      <c r="M1146">
        <v>10.7</v>
      </c>
    </row>
    <row r="1147" spans="1:13" hidden="1" x14ac:dyDescent="0.35">
      <c r="A1147" t="s">
        <v>34</v>
      </c>
      <c r="D1147" t="s">
        <v>343</v>
      </c>
      <c r="F1147">
        <v>4</v>
      </c>
      <c r="G1147">
        <v>8</v>
      </c>
      <c r="H1147">
        <v>4</v>
      </c>
      <c r="I1147">
        <v>60</v>
      </c>
      <c r="K1147" s="122">
        <v>45538</v>
      </c>
      <c r="L1147" t="s">
        <v>739</v>
      </c>
      <c r="M1147">
        <v>10.7</v>
      </c>
    </row>
    <row r="1148" spans="1:13" hidden="1" x14ac:dyDescent="0.35">
      <c r="A1148" t="s">
        <v>34</v>
      </c>
      <c r="D1148" t="s">
        <v>343</v>
      </c>
      <c r="F1148">
        <v>4</v>
      </c>
      <c r="G1148">
        <v>8</v>
      </c>
      <c r="H1148">
        <v>4</v>
      </c>
      <c r="I1148">
        <v>60</v>
      </c>
      <c r="K1148" s="122">
        <v>45547</v>
      </c>
      <c r="L1148" t="s">
        <v>737</v>
      </c>
      <c r="M1148">
        <v>10</v>
      </c>
    </row>
    <row r="1149" spans="1:13" hidden="1" x14ac:dyDescent="0.35">
      <c r="A1149" t="s">
        <v>34</v>
      </c>
      <c r="D1149" t="s">
        <v>343</v>
      </c>
      <c r="F1149">
        <v>4</v>
      </c>
      <c r="G1149">
        <v>8</v>
      </c>
      <c r="H1149">
        <v>4</v>
      </c>
      <c r="I1149">
        <v>60</v>
      </c>
      <c r="K1149" s="122">
        <v>45547</v>
      </c>
      <c r="L1149" t="s">
        <v>738</v>
      </c>
      <c r="M1149">
        <v>11</v>
      </c>
    </row>
    <row r="1150" spans="1:13" hidden="1" x14ac:dyDescent="0.35">
      <c r="A1150" t="s">
        <v>34</v>
      </c>
      <c r="D1150" t="s">
        <v>343</v>
      </c>
      <c r="F1150">
        <v>4</v>
      </c>
      <c r="G1150">
        <v>8</v>
      </c>
      <c r="H1150">
        <v>4</v>
      </c>
      <c r="I1150">
        <v>60</v>
      </c>
      <c r="K1150" s="122">
        <v>45547</v>
      </c>
      <c r="L1150" t="s">
        <v>739</v>
      </c>
      <c r="M1150">
        <v>11</v>
      </c>
    </row>
    <row r="1151" spans="1:13" hidden="1" x14ac:dyDescent="0.35">
      <c r="A1151" t="s">
        <v>34</v>
      </c>
      <c r="D1151" t="s">
        <v>343</v>
      </c>
      <c r="F1151">
        <v>4</v>
      </c>
      <c r="G1151">
        <v>8</v>
      </c>
      <c r="H1151">
        <v>4</v>
      </c>
      <c r="I1151">
        <v>60</v>
      </c>
      <c r="K1151" s="122">
        <v>45555</v>
      </c>
      <c r="L1151" t="s">
        <v>737</v>
      </c>
    </row>
    <row r="1152" spans="1:13" hidden="1" x14ac:dyDescent="0.35">
      <c r="A1152" t="s">
        <v>34</v>
      </c>
      <c r="D1152" t="s">
        <v>343</v>
      </c>
      <c r="F1152">
        <v>4</v>
      </c>
      <c r="G1152">
        <v>8</v>
      </c>
      <c r="H1152">
        <v>4</v>
      </c>
      <c r="I1152">
        <v>60</v>
      </c>
      <c r="K1152" s="122">
        <v>45555</v>
      </c>
      <c r="L1152" t="s">
        <v>738</v>
      </c>
    </row>
    <row r="1153" spans="1:13" hidden="1" x14ac:dyDescent="0.35">
      <c r="A1153" t="s">
        <v>34</v>
      </c>
      <c r="D1153" t="s">
        <v>343</v>
      </c>
      <c r="F1153">
        <v>4</v>
      </c>
      <c r="G1153">
        <v>8</v>
      </c>
      <c r="H1153">
        <v>4</v>
      </c>
      <c r="I1153">
        <v>60</v>
      </c>
      <c r="K1153" s="122">
        <v>45555</v>
      </c>
      <c r="L1153" t="s">
        <v>739</v>
      </c>
    </row>
    <row r="1154" spans="1:13" hidden="1" x14ac:dyDescent="0.35">
      <c r="A1154" t="s">
        <v>24</v>
      </c>
      <c r="D1154" t="s">
        <v>336</v>
      </c>
      <c r="F1154">
        <v>5</v>
      </c>
      <c r="G1154">
        <v>1</v>
      </c>
      <c r="H1154">
        <v>1</v>
      </c>
      <c r="I1154">
        <v>5</v>
      </c>
      <c r="K1154" s="122">
        <v>45442</v>
      </c>
      <c r="L1154" t="s">
        <v>737</v>
      </c>
      <c r="M1154">
        <v>4.5999999999999996</v>
      </c>
    </row>
    <row r="1155" spans="1:13" hidden="1" x14ac:dyDescent="0.35">
      <c r="A1155" t="s">
        <v>24</v>
      </c>
      <c r="D1155" t="s">
        <v>336</v>
      </c>
      <c r="F1155">
        <v>5</v>
      </c>
      <c r="G1155">
        <v>1</v>
      </c>
      <c r="H1155">
        <v>1</v>
      </c>
      <c r="I1155">
        <v>5</v>
      </c>
      <c r="K1155" s="122">
        <v>45442</v>
      </c>
      <c r="L1155" t="s">
        <v>738</v>
      </c>
      <c r="M1155">
        <v>4.8</v>
      </c>
    </row>
    <row r="1156" spans="1:13" hidden="1" x14ac:dyDescent="0.35">
      <c r="A1156" t="s">
        <v>24</v>
      </c>
      <c r="D1156" t="s">
        <v>336</v>
      </c>
      <c r="F1156">
        <v>5</v>
      </c>
      <c r="G1156">
        <v>1</v>
      </c>
      <c r="H1156">
        <v>1</v>
      </c>
      <c r="I1156">
        <v>5</v>
      </c>
      <c r="K1156" s="122">
        <v>45442</v>
      </c>
      <c r="L1156" t="s">
        <v>739</v>
      </c>
      <c r="M1156">
        <v>4.5</v>
      </c>
    </row>
    <row r="1157" spans="1:13" hidden="1" x14ac:dyDescent="0.35">
      <c r="A1157" t="s">
        <v>24</v>
      </c>
      <c r="D1157" t="s">
        <v>336</v>
      </c>
      <c r="F1157">
        <v>5</v>
      </c>
      <c r="G1157">
        <v>1</v>
      </c>
      <c r="H1157">
        <v>1</v>
      </c>
      <c r="I1157">
        <v>5</v>
      </c>
      <c r="K1157" s="122">
        <v>45447</v>
      </c>
      <c r="L1157" t="s">
        <v>737</v>
      </c>
      <c r="M1157">
        <v>5.2</v>
      </c>
    </row>
    <row r="1158" spans="1:13" hidden="1" x14ac:dyDescent="0.35">
      <c r="A1158" t="s">
        <v>24</v>
      </c>
      <c r="D1158" t="s">
        <v>336</v>
      </c>
      <c r="F1158">
        <v>5</v>
      </c>
      <c r="G1158">
        <v>1</v>
      </c>
      <c r="H1158">
        <v>1</v>
      </c>
      <c r="I1158">
        <v>5</v>
      </c>
      <c r="K1158" s="122">
        <v>45447</v>
      </c>
      <c r="L1158" t="s">
        <v>738</v>
      </c>
      <c r="M1158">
        <v>5.4</v>
      </c>
    </row>
    <row r="1159" spans="1:13" hidden="1" x14ac:dyDescent="0.35">
      <c r="A1159" t="s">
        <v>24</v>
      </c>
      <c r="D1159" t="s">
        <v>336</v>
      </c>
      <c r="F1159">
        <v>5</v>
      </c>
      <c r="G1159">
        <v>1</v>
      </c>
      <c r="H1159">
        <v>1</v>
      </c>
      <c r="I1159">
        <v>5</v>
      </c>
      <c r="K1159" s="122">
        <v>45447</v>
      </c>
      <c r="L1159" t="s">
        <v>739</v>
      </c>
      <c r="M1159">
        <v>5.2</v>
      </c>
    </row>
    <row r="1160" spans="1:13" hidden="1" x14ac:dyDescent="0.35">
      <c r="A1160" t="s">
        <v>24</v>
      </c>
      <c r="D1160" t="s">
        <v>336</v>
      </c>
      <c r="F1160">
        <v>5</v>
      </c>
      <c r="G1160">
        <v>1</v>
      </c>
      <c r="H1160">
        <v>1</v>
      </c>
      <c r="I1160">
        <v>5</v>
      </c>
      <c r="K1160" s="122">
        <v>45462</v>
      </c>
      <c r="L1160" t="s">
        <v>737</v>
      </c>
      <c r="M1160">
        <v>5</v>
      </c>
    </row>
    <row r="1161" spans="1:13" hidden="1" x14ac:dyDescent="0.35">
      <c r="A1161" t="s">
        <v>24</v>
      </c>
      <c r="D1161" t="s">
        <v>336</v>
      </c>
      <c r="F1161">
        <v>5</v>
      </c>
      <c r="G1161">
        <v>1</v>
      </c>
      <c r="H1161">
        <v>1</v>
      </c>
      <c r="I1161">
        <v>5</v>
      </c>
      <c r="K1161" s="122">
        <v>45462</v>
      </c>
      <c r="L1161" t="s">
        <v>738</v>
      </c>
      <c r="M1161">
        <v>5.2</v>
      </c>
    </row>
    <row r="1162" spans="1:13" hidden="1" x14ac:dyDescent="0.35">
      <c r="A1162" t="s">
        <v>24</v>
      </c>
      <c r="D1162" t="s">
        <v>336</v>
      </c>
      <c r="F1162">
        <v>5</v>
      </c>
      <c r="G1162">
        <v>1</v>
      </c>
      <c r="H1162">
        <v>1</v>
      </c>
      <c r="I1162">
        <v>5</v>
      </c>
      <c r="K1162" s="122">
        <v>45462</v>
      </c>
      <c r="L1162" t="s">
        <v>739</v>
      </c>
      <c r="M1162">
        <v>5</v>
      </c>
    </row>
    <row r="1163" spans="1:13" hidden="1" x14ac:dyDescent="0.35">
      <c r="A1163" t="s">
        <v>24</v>
      </c>
      <c r="D1163" t="s">
        <v>336</v>
      </c>
      <c r="F1163">
        <v>5</v>
      </c>
      <c r="G1163">
        <v>1</v>
      </c>
      <c r="H1163">
        <v>1</v>
      </c>
      <c r="I1163">
        <v>5</v>
      </c>
      <c r="K1163" s="122">
        <v>45477</v>
      </c>
      <c r="L1163" t="s">
        <v>737</v>
      </c>
    </row>
    <row r="1164" spans="1:13" hidden="1" x14ac:dyDescent="0.35">
      <c r="A1164" t="s">
        <v>24</v>
      </c>
      <c r="D1164" t="s">
        <v>336</v>
      </c>
      <c r="F1164">
        <v>5</v>
      </c>
      <c r="G1164">
        <v>1</v>
      </c>
      <c r="H1164">
        <v>1</v>
      </c>
      <c r="I1164">
        <v>5</v>
      </c>
      <c r="K1164" s="122">
        <v>45477</v>
      </c>
      <c r="L1164" t="s">
        <v>738</v>
      </c>
    </row>
    <row r="1165" spans="1:13" hidden="1" x14ac:dyDescent="0.35">
      <c r="A1165" t="s">
        <v>24</v>
      </c>
      <c r="D1165" t="s">
        <v>336</v>
      </c>
      <c r="F1165">
        <v>5</v>
      </c>
      <c r="G1165">
        <v>1</v>
      </c>
      <c r="H1165">
        <v>1</v>
      </c>
      <c r="I1165">
        <v>5</v>
      </c>
      <c r="K1165" s="122">
        <v>45477</v>
      </c>
      <c r="L1165" t="s">
        <v>739</v>
      </c>
    </row>
    <row r="1166" spans="1:13" hidden="1" x14ac:dyDescent="0.35">
      <c r="A1166" t="s">
        <v>24</v>
      </c>
      <c r="D1166" t="s">
        <v>336</v>
      </c>
      <c r="F1166">
        <v>5</v>
      </c>
      <c r="G1166">
        <v>1</v>
      </c>
      <c r="H1166">
        <v>1</v>
      </c>
      <c r="I1166">
        <v>5</v>
      </c>
      <c r="K1166" s="122">
        <v>45485</v>
      </c>
      <c r="L1166" t="s">
        <v>737</v>
      </c>
      <c r="M1166">
        <v>6</v>
      </c>
    </row>
    <row r="1167" spans="1:13" hidden="1" x14ac:dyDescent="0.35">
      <c r="A1167" t="s">
        <v>24</v>
      </c>
      <c r="D1167" t="s">
        <v>336</v>
      </c>
      <c r="F1167">
        <v>5</v>
      </c>
      <c r="G1167">
        <v>1</v>
      </c>
      <c r="H1167">
        <v>1</v>
      </c>
      <c r="I1167">
        <v>5</v>
      </c>
      <c r="K1167" s="122">
        <v>45485</v>
      </c>
      <c r="L1167" t="s">
        <v>738</v>
      </c>
      <c r="M1167">
        <v>6.3</v>
      </c>
    </row>
    <row r="1168" spans="1:13" hidden="1" x14ac:dyDescent="0.35">
      <c r="A1168" t="s">
        <v>24</v>
      </c>
      <c r="D1168" t="s">
        <v>336</v>
      </c>
      <c r="F1168">
        <v>5</v>
      </c>
      <c r="G1168">
        <v>1</v>
      </c>
      <c r="H1168">
        <v>1</v>
      </c>
      <c r="I1168">
        <v>5</v>
      </c>
      <c r="K1168" s="122">
        <v>45485</v>
      </c>
      <c r="L1168" t="s">
        <v>739</v>
      </c>
      <c r="M1168">
        <v>6.3</v>
      </c>
    </row>
    <row r="1169" spans="1:13" hidden="1" x14ac:dyDescent="0.35">
      <c r="A1169" t="s">
        <v>24</v>
      </c>
      <c r="D1169" t="s">
        <v>336</v>
      </c>
      <c r="F1169">
        <v>5</v>
      </c>
      <c r="G1169">
        <v>1</v>
      </c>
      <c r="H1169">
        <v>1</v>
      </c>
      <c r="I1169">
        <v>5</v>
      </c>
      <c r="K1169" s="122">
        <v>45492</v>
      </c>
      <c r="L1169" t="s">
        <v>737</v>
      </c>
      <c r="M1169">
        <v>6.2</v>
      </c>
    </row>
    <row r="1170" spans="1:13" hidden="1" x14ac:dyDescent="0.35">
      <c r="A1170" t="s">
        <v>24</v>
      </c>
      <c r="D1170" t="s">
        <v>336</v>
      </c>
      <c r="F1170">
        <v>5</v>
      </c>
      <c r="G1170">
        <v>1</v>
      </c>
      <c r="H1170">
        <v>1</v>
      </c>
      <c r="I1170">
        <v>5</v>
      </c>
      <c r="K1170" s="122">
        <v>45492</v>
      </c>
      <c r="L1170" t="s">
        <v>738</v>
      </c>
      <c r="M1170">
        <v>6.5</v>
      </c>
    </row>
    <row r="1171" spans="1:13" hidden="1" x14ac:dyDescent="0.35">
      <c r="A1171" t="s">
        <v>24</v>
      </c>
      <c r="D1171" t="s">
        <v>336</v>
      </c>
      <c r="F1171">
        <v>5</v>
      </c>
      <c r="G1171">
        <v>1</v>
      </c>
      <c r="H1171">
        <v>1</v>
      </c>
      <c r="I1171">
        <v>5</v>
      </c>
      <c r="K1171" s="122">
        <v>45492</v>
      </c>
      <c r="L1171" t="s">
        <v>739</v>
      </c>
      <c r="M1171">
        <v>6.5</v>
      </c>
    </row>
    <row r="1172" spans="1:13" hidden="1" x14ac:dyDescent="0.35">
      <c r="A1172" t="s">
        <v>24</v>
      </c>
      <c r="D1172" t="s">
        <v>336</v>
      </c>
      <c r="F1172">
        <v>5</v>
      </c>
      <c r="G1172">
        <v>1</v>
      </c>
      <c r="H1172">
        <v>1</v>
      </c>
      <c r="I1172">
        <v>5</v>
      </c>
      <c r="K1172" s="122">
        <v>45509</v>
      </c>
      <c r="L1172" t="s">
        <v>737</v>
      </c>
      <c r="M1172">
        <v>7.5</v>
      </c>
    </row>
    <row r="1173" spans="1:13" hidden="1" x14ac:dyDescent="0.35">
      <c r="A1173" t="s">
        <v>24</v>
      </c>
      <c r="D1173" t="s">
        <v>336</v>
      </c>
      <c r="F1173">
        <v>5</v>
      </c>
      <c r="G1173">
        <v>1</v>
      </c>
      <c r="H1173">
        <v>1</v>
      </c>
      <c r="I1173">
        <v>5</v>
      </c>
      <c r="K1173" s="122">
        <v>45509</v>
      </c>
      <c r="L1173" t="s">
        <v>738</v>
      </c>
      <c r="M1173">
        <v>7.5</v>
      </c>
    </row>
    <row r="1174" spans="1:13" hidden="1" x14ac:dyDescent="0.35">
      <c r="A1174" t="s">
        <v>24</v>
      </c>
      <c r="D1174" t="s">
        <v>336</v>
      </c>
      <c r="F1174">
        <v>5</v>
      </c>
      <c r="G1174">
        <v>1</v>
      </c>
      <c r="H1174">
        <v>1</v>
      </c>
      <c r="I1174">
        <v>5</v>
      </c>
      <c r="K1174" s="122">
        <v>45509</v>
      </c>
      <c r="L1174" t="s">
        <v>739</v>
      </c>
      <c r="M1174">
        <v>7.4</v>
      </c>
    </row>
    <row r="1175" spans="1:13" hidden="1" x14ac:dyDescent="0.35">
      <c r="A1175" t="s">
        <v>24</v>
      </c>
      <c r="D1175" t="s">
        <v>336</v>
      </c>
      <c r="F1175">
        <v>5</v>
      </c>
      <c r="G1175">
        <v>1</v>
      </c>
      <c r="H1175">
        <v>1</v>
      </c>
      <c r="I1175">
        <v>5</v>
      </c>
      <c r="K1175" s="122">
        <v>45519</v>
      </c>
      <c r="L1175" t="s">
        <v>737</v>
      </c>
      <c r="M1175">
        <v>8.3000000000000007</v>
      </c>
    </row>
    <row r="1176" spans="1:13" hidden="1" x14ac:dyDescent="0.35">
      <c r="A1176" t="s">
        <v>24</v>
      </c>
      <c r="D1176" t="s">
        <v>336</v>
      </c>
      <c r="F1176">
        <v>5</v>
      </c>
      <c r="G1176">
        <v>1</v>
      </c>
      <c r="H1176">
        <v>1</v>
      </c>
      <c r="I1176">
        <v>5</v>
      </c>
      <c r="K1176" s="122">
        <v>45519</v>
      </c>
      <c r="L1176" t="s">
        <v>738</v>
      </c>
      <c r="M1176">
        <v>8</v>
      </c>
    </row>
    <row r="1177" spans="1:13" hidden="1" x14ac:dyDescent="0.35">
      <c r="A1177" t="s">
        <v>24</v>
      </c>
      <c r="D1177" t="s">
        <v>336</v>
      </c>
      <c r="F1177">
        <v>5</v>
      </c>
      <c r="G1177">
        <v>1</v>
      </c>
      <c r="H1177">
        <v>1</v>
      </c>
      <c r="I1177">
        <v>5</v>
      </c>
      <c r="K1177" s="122">
        <v>45519</v>
      </c>
      <c r="L1177" t="s">
        <v>739</v>
      </c>
      <c r="M1177">
        <v>8.3000000000000007</v>
      </c>
    </row>
    <row r="1178" spans="1:13" hidden="1" x14ac:dyDescent="0.35">
      <c r="A1178" t="s">
        <v>24</v>
      </c>
      <c r="D1178" t="s">
        <v>336</v>
      </c>
      <c r="F1178">
        <v>5</v>
      </c>
      <c r="G1178">
        <v>1</v>
      </c>
      <c r="H1178">
        <v>1</v>
      </c>
      <c r="I1178">
        <v>5</v>
      </c>
      <c r="K1178" s="122">
        <v>45530</v>
      </c>
      <c r="L1178" t="s">
        <v>737</v>
      </c>
      <c r="M1178">
        <v>9.6999999999999993</v>
      </c>
    </row>
    <row r="1179" spans="1:13" hidden="1" x14ac:dyDescent="0.35">
      <c r="A1179" t="s">
        <v>24</v>
      </c>
      <c r="D1179" t="s">
        <v>336</v>
      </c>
      <c r="F1179">
        <v>5</v>
      </c>
      <c r="G1179">
        <v>1</v>
      </c>
      <c r="H1179">
        <v>1</v>
      </c>
      <c r="I1179">
        <v>5</v>
      </c>
      <c r="K1179" s="122">
        <v>45530</v>
      </c>
      <c r="L1179" t="s">
        <v>738</v>
      </c>
      <c r="M1179">
        <v>8.9</v>
      </c>
    </row>
    <row r="1180" spans="1:13" hidden="1" x14ac:dyDescent="0.35">
      <c r="A1180" t="s">
        <v>24</v>
      </c>
      <c r="D1180" t="s">
        <v>336</v>
      </c>
      <c r="F1180">
        <v>5</v>
      </c>
      <c r="G1180">
        <v>1</v>
      </c>
      <c r="H1180">
        <v>1</v>
      </c>
      <c r="I1180">
        <v>5</v>
      </c>
      <c r="K1180" s="122">
        <v>45530</v>
      </c>
      <c r="L1180" t="s">
        <v>739</v>
      </c>
      <c r="M1180">
        <v>9.3000000000000007</v>
      </c>
    </row>
    <row r="1181" spans="1:13" hidden="1" x14ac:dyDescent="0.35">
      <c r="A1181" t="s">
        <v>24</v>
      </c>
      <c r="D1181" t="s">
        <v>336</v>
      </c>
      <c r="F1181">
        <v>5</v>
      </c>
      <c r="G1181">
        <v>1</v>
      </c>
      <c r="H1181">
        <v>1</v>
      </c>
      <c r="I1181">
        <v>5</v>
      </c>
      <c r="K1181" s="122">
        <v>45538</v>
      </c>
      <c r="L1181" t="s">
        <v>737</v>
      </c>
      <c r="M1181">
        <v>10.199999999999999</v>
      </c>
    </row>
    <row r="1182" spans="1:13" hidden="1" x14ac:dyDescent="0.35">
      <c r="A1182" t="s">
        <v>24</v>
      </c>
      <c r="D1182" t="s">
        <v>336</v>
      </c>
      <c r="F1182">
        <v>5</v>
      </c>
      <c r="G1182">
        <v>1</v>
      </c>
      <c r="H1182">
        <v>1</v>
      </c>
      <c r="I1182">
        <v>5</v>
      </c>
      <c r="K1182" s="122">
        <v>45538</v>
      </c>
      <c r="L1182" t="s">
        <v>738</v>
      </c>
      <c r="M1182">
        <v>10.3</v>
      </c>
    </row>
    <row r="1183" spans="1:13" hidden="1" x14ac:dyDescent="0.35">
      <c r="A1183" t="s">
        <v>24</v>
      </c>
      <c r="D1183" t="s">
        <v>336</v>
      </c>
      <c r="F1183">
        <v>5</v>
      </c>
      <c r="G1183">
        <v>1</v>
      </c>
      <c r="H1183">
        <v>1</v>
      </c>
      <c r="I1183">
        <v>5</v>
      </c>
      <c r="K1183" s="122">
        <v>45538</v>
      </c>
      <c r="L1183" t="s">
        <v>739</v>
      </c>
      <c r="M1183">
        <v>10.4</v>
      </c>
    </row>
    <row r="1184" spans="1:13" hidden="1" x14ac:dyDescent="0.35">
      <c r="A1184" t="s">
        <v>24</v>
      </c>
      <c r="D1184" t="s">
        <v>336</v>
      </c>
      <c r="F1184">
        <v>5</v>
      </c>
      <c r="G1184">
        <v>1</v>
      </c>
      <c r="H1184">
        <v>1</v>
      </c>
      <c r="I1184">
        <v>5</v>
      </c>
      <c r="K1184" s="122">
        <v>45547</v>
      </c>
      <c r="L1184" t="s">
        <v>737</v>
      </c>
      <c r="M1184">
        <v>10.9</v>
      </c>
    </row>
    <row r="1185" spans="1:13" hidden="1" x14ac:dyDescent="0.35">
      <c r="A1185" t="s">
        <v>24</v>
      </c>
      <c r="D1185" t="s">
        <v>336</v>
      </c>
      <c r="F1185">
        <v>5</v>
      </c>
      <c r="G1185">
        <v>1</v>
      </c>
      <c r="H1185">
        <v>1</v>
      </c>
      <c r="I1185">
        <v>5</v>
      </c>
      <c r="K1185" s="122">
        <v>45547</v>
      </c>
      <c r="L1185" t="s">
        <v>738</v>
      </c>
      <c r="M1185">
        <v>10.9</v>
      </c>
    </row>
    <row r="1186" spans="1:13" hidden="1" x14ac:dyDescent="0.35">
      <c r="A1186" t="s">
        <v>24</v>
      </c>
      <c r="D1186" t="s">
        <v>336</v>
      </c>
      <c r="F1186">
        <v>5</v>
      </c>
      <c r="G1186">
        <v>1</v>
      </c>
      <c r="H1186">
        <v>1</v>
      </c>
      <c r="I1186">
        <v>5</v>
      </c>
      <c r="K1186" s="122">
        <v>45547</v>
      </c>
      <c r="L1186" t="s">
        <v>739</v>
      </c>
      <c r="M1186">
        <v>10</v>
      </c>
    </row>
    <row r="1187" spans="1:13" hidden="1" x14ac:dyDescent="0.35">
      <c r="A1187" t="s">
        <v>24</v>
      </c>
      <c r="D1187" t="s">
        <v>336</v>
      </c>
      <c r="F1187">
        <v>5</v>
      </c>
      <c r="G1187">
        <v>1</v>
      </c>
      <c r="H1187">
        <v>1</v>
      </c>
      <c r="I1187">
        <v>5</v>
      </c>
      <c r="K1187" s="122">
        <v>45555</v>
      </c>
      <c r="L1187" t="s">
        <v>737</v>
      </c>
      <c r="M1187">
        <v>11</v>
      </c>
    </row>
    <row r="1188" spans="1:13" hidden="1" x14ac:dyDescent="0.35">
      <c r="A1188" t="s">
        <v>24</v>
      </c>
      <c r="D1188" t="s">
        <v>336</v>
      </c>
      <c r="F1188">
        <v>5</v>
      </c>
      <c r="G1188">
        <v>1</v>
      </c>
      <c r="H1188">
        <v>1</v>
      </c>
      <c r="I1188">
        <v>5</v>
      </c>
      <c r="K1188" s="122">
        <v>45555</v>
      </c>
      <c r="L1188" t="s">
        <v>738</v>
      </c>
      <c r="M1188">
        <v>11</v>
      </c>
    </row>
    <row r="1189" spans="1:13" hidden="1" x14ac:dyDescent="0.35">
      <c r="A1189" t="s">
        <v>24</v>
      </c>
      <c r="D1189" t="s">
        <v>336</v>
      </c>
      <c r="F1189">
        <v>5</v>
      </c>
      <c r="G1189">
        <v>1</v>
      </c>
      <c r="H1189">
        <v>1</v>
      </c>
      <c r="I1189">
        <v>5</v>
      </c>
      <c r="K1189" s="122">
        <v>45555</v>
      </c>
      <c r="L1189" t="s">
        <v>739</v>
      </c>
      <c r="M1189">
        <v>10</v>
      </c>
    </row>
    <row r="1190" spans="1:13" hidden="1" x14ac:dyDescent="0.35">
      <c r="A1190" t="s">
        <v>34</v>
      </c>
      <c r="D1190" t="s">
        <v>37</v>
      </c>
      <c r="F1190">
        <v>5</v>
      </c>
      <c r="G1190">
        <v>2</v>
      </c>
      <c r="H1190">
        <v>1</v>
      </c>
      <c r="I1190">
        <v>13</v>
      </c>
      <c r="K1190" s="122">
        <v>45442</v>
      </c>
      <c r="L1190" t="s">
        <v>737</v>
      </c>
    </row>
    <row r="1191" spans="1:13" hidden="1" x14ac:dyDescent="0.35">
      <c r="A1191" t="s">
        <v>34</v>
      </c>
      <c r="D1191" t="s">
        <v>37</v>
      </c>
      <c r="F1191">
        <v>5</v>
      </c>
      <c r="G1191">
        <v>2</v>
      </c>
      <c r="H1191">
        <v>1</v>
      </c>
      <c r="I1191">
        <v>13</v>
      </c>
      <c r="K1191" s="122">
        <v>45442</v>
      </c>
      <c r="L1191" t="s">
        <v>738</v>
      </c>
    </row>
    <row r="1192" spans="1:13" hidden="1" x14ac:dyDescent="0.35">
      <c r="A1192" t="s">
        <v>34</v>
      </c>
      <c r="D1192" t="s">
        <v>37</v>
      </c>
      <c r="F1192">
        <v>5</v>
      </c>
      <c r="G1192">
        <v>2</v>
      </c>
      <c r="H1192">
        <v>1</v>
      </c>
      <c r="I1192">
        <v>13</v>
      </c>
      <c r="K1192" s="122">
        <v>45442</v>
      </c>
      <c r="L1192" t="s">
        <v>739</v>
      </c>
    </row>
    <row r="1193" spans="1:13" hidden="1" x14ac:dyDescent="0.35">
      <c r="A1193" t="s">
        <v>34</v>
      </c>
      <c r="D1193" t="s">
        <v>37</v>
      </c>
      <c r="F1193">
        <v>5</v>
      </c>
      <c r="G1193">
        <v>2</v>
      </c>
      <c r="H1193">
        <v>1</v>
      </c>
      <c r="I1193">
        <v>13</v>
      </c>
      <c r="K1193" s="122">
        <v>45447</v>
      </c>
      <c r="L1193" t="s">
        <v>737</v>
      </c>
      <c r="M1193">
        <v>1.8</v>
      </c>
    </row>
    <row r="1194" spans="1:13" hidden="1" x14ac:dyDescent="0.35">
      <c r="A1194" t="s">
        <v>34</v>
      </c>
      <c r="D1194" t="s">
        <v>37</v>
      </c>
      <c r="F1194">
        <v>5</v>
      </c>
      <c r="G1194">
        <v>2</v>
      </c>
      <c r="H1194">
        <v>1</v>
      </c>
      <c r="I1194">
        <v>13</v>
      </c>
      <c r="K1194" s="122">
        <v>45447</v>
      </c>
      <c r="L1194" t="s">
        <v>738</v>
      </c>
      <c r="M1194">
        <v>1.8</v>
      </c>
    </row>
    <row r="1195" spans="1:13" hidden="1" x14ac:dyDescent="0.35">
      <c r="A1195" t="s">
        <v>34</v>
      </c>
      <c r="D1195" t="s">
        <v>37</v>
      </c>
      <c r="F1195">
        <v>5</v>
      </c>
      <c r="G1195">
        <v>2</v>
      </c>
      <c r="H1195">
        <v>1</v>
      </c>
      <c r="I1195">
        <v>13</v>
      </c>
      <c r="K1195" s="122">
        <v>45447</v>
      </c>
      <c r="L1195" t="s">
        <v>739</v>
      </c>
      <c r="M1195">
        <v>1.8</v>
      </c>
    </row>
    <row r="1196" spans="1:13" hidden="1" x14ac:dyDescent="0.35">
      <c r="A1196" t="s">
        <v>34</v>
      </c>
      <c r="D1196" t="s">
        <v>37</v>
      </c>
      <c r="F1196">
        <v>5</v>
      </c>
      <c r="G1196">
        <v>2</v>
      </c>
      <c r="H1196">
        <v>1</v>
      </c>
      <c r="I1196">
        <v>13</v>
      </c>
      <c r="K1196" s="122">
        <v>45462</v>
      </c>
      <c r="L1196" t="s">
        <v>737</v>
      </c>
      <c r="M1196">
        <v>3.4</v>
      </c>
    </row>
    <row r="1197" spans="1:13" hidden="1" x14ac:dyDescent="0.35">
      <c r="A1197" t="s">
        <v>34</v>
      </c>
      <c r="D1197" t="s">
        <v>37</v>
      </c>
      <c r="F1197">
        <v>5</v>
      </c>
      <c r="G1197">
        <v>2</v>
      </c>
      <c r="H1197">
        <v>1</v>
      </c>
      <c r="I1197">
        <v>13</v>
      </c>
      <c r="K1197" s="122">
        <v>45462</v>
      </c>
      <c r="L1197" t="s">
        <v>738</v>
      </c>
      <c r="M1197">
        <v>3.2</v>
      </c>
    </row>
    <row r="1198" spans="1:13" hidden="1" x14ac:dyDescent="0.35">
      <c r="A1198" t="s">
        <v>34</v>
      </c>
      <c r="D1198" t="s">
        <v>37</v>
      </c>
      <c r="F1198">
        <v>5</v>
      </c>
      <c r="G1198">
        <v>2</v>
      </c>
      <c r="H1198">
        <v>1</v>
      </c>
      <c r="I1198">
        <v>13</v>
      </c>
      <c r="K1198" s="122">
        <v>45462</v>
      </c>
      <c r="L1198" t="s">
        <v>739</v>
      </c>
      <c r="M1198">
        <v>3.1</v>
      </c>
    </row>
    <row r="1199" spans="1:13" hidden="1" x14ac:dyDescent="0.35">
      <c r="A1199" t="s">
        <v>34</v>
      </c>
      <c r="D1199" t="s">
        <v>37</v>
      </c>
      <c r="F1199">
        <v>5</v>
      </c>
      <c r="G1199">
        <v>2</v>
      </c>
      <c r="H1199">
        <v>1</v>
      </c>
      <c r="I1199">
        <v>13</v>
      </c>
      <c r="K1199" s="122">
        <v>45477</v>
      </c>
      <c r="L1199" t="s">
        <v>737</v>
      </c>
      <c r="M1199">
        <v>4.8</v>
      </c>
    </row>
    <row r="1200" spans="1:13" hidden="1" x14ac:dyDescent="0.35">
      <c r="A1200" t="s">
        <v>34</v>
      </c>
      <c r="D1200" t="s">
        <v>37</v>
      </c>
      <c r="F1200">
        <v>5</v>
      </c>
      <c r="G1200">
        <v>2</v>
      </c>
      <c r="H1200">
        <v>1</v>
      </c>
      <c r="I1200">
        <v>13</v>
      </c>
      <c r="K1200" s="122">
        <v>45477</v>
      </c>
      <c r="L1200" t="s">
        <v>738</v>
      </c>
      <c r="M1200">
        <v>4.5999999999999996</v>
      </c>
    </row>
    <row r="1201" spans="1:13" hidden="1" x14ac:dyDescent="0.35">
      <c r="A1201" t="s">
        <v>34</v>
      </c>
      <c r="D1201" t="s">
        <v>37</v>
      </c>
      <c r="F1201">
        <v>5</v>
      </c>
      <c r="G1201">
        <v>2</v>
      </c>
      <c r="H1201">
        <v>1</v>
      </c>
      <c r="I1201">
        <v>13</v>
      </c>
      <c r="K1201" s="122">
        <v>45477</v>
      </c>
      <c r="L1201" t="s">
        <v>739</v>
      </c>
      <c r="M1201">
        <v>4.5999999999999996</v>
      </c>
    </row>
    <row r="1202" spans="1:13" hidden="1" x14ac:dyDescent="0.35">
      <c r="A1202" t="s">
        <v>34</v>
      </c>
      <c r="D1202" t="s">
        <v>37</v>
      </c>
      <c r="F1202">
        <v>5</v>
      </c>
      <c r="G1202">
        <v>2</v>
      </c>
      <c r="H1202">
        <v>1</v>
      </c>
      <c r="I1202">
        <v>13</v>
      </c>
      <c r="K1202" s="122">
        <v>45485</v>
      </c>
      <c r="L1202" t="s">
        <v>737</v>
      </c>
    </row>
    <row r="1203" spans="1:13" hidden="1" x14ac:dyDescent="0.35">
      <c r="A1203" t="s">
        <v>34</v>
      </c>
      <c r="D1203" t="s">
        <v>37</v>
      </c>
      <c r="F1203">
        <v>5</v>
      </c>
      <c r="G1203">
        <v>2</v>
      </c>
      <c r="H1203">
        <v>1</v>
      </c>
      <c r="I1203">
        <v>13</v>
      </c>
      <c r="K1203" s="122">
        <v>45485</v>
      </c>
      <c r="L1203" t="s">
        <v>738</v>
      </c>
    </row>
    <row r="1204" spans="1:13" hidden="1" x14ac:dyDescent="0.35">
      <c r="A1204" t="s">
        <v>34</v>
      </c>
      <c r="D1204" t="s">
        <v>37</v>
      </c>
      <c r="F1204">
        <v>5</v>
      </c>
      <c r="G1204">
        <v>2</v>
      </c>
      <c r="H1204">
        <v>1</v>
      </c>
      <c r="I1204">
        <v>13</v>
      </c>
      <c r="K1204" s="122">
        <v>45485</v>
      </c>
      <c r="L1204" t="s">
        <v>739</v>
      </c>
    </row>
    <row r="1205" spans="1:13" hidden="1" x14ac:dyDescent="0.35">
      <c r="A1205" t="s">
        <v>34</v>
      </c>
      <c r="D1205" t="s">
        <v>37</v>
      </c>
      <c r="F1205">
        <v>5</v>
      </c>
      <c r="G1205">
        <v>2</v>
      </c>
      <c r="H1205">
        <v>1</v>
      </c>
      <c r="I1205">
        <v>13</v>
      </c>
      <c r="K1205" s="122">
        <v>45492</v>
      </c>
      <c r="L1205" t="s">
        <v>737</v>
      </c>
      <c r="M1205">
        <v>6.2</v>
      </c>
    </row>
    <row r="1206" spans="1:13" hidden="1" x14ac:dyDescent="0.35">
      <c r="A1206" t="s">
        <v>34</v>
      </c>
      <c r="D1206" t="s">
        <v>37</v>
      </c>
      <c r="F1206">
        <v>5</v>
      </c>
      <c r="G1206">
        <v>2</v>
      </c>
      <c r="H1206">
        <v>1</v>
      </c>
      <c r="I1206">
        <v>13</v>
      </c>
      <c r="K1206" s="122">
        <v>45492</v>
      </c>
      <c r="L1206" t="s">
        <v>738</v>
      </c>
      <c r="M1206">
        <v>6.1</v>
      </c>
    </row>
    <row r="1207" spans="1:13" hidden="1" x14ac:dyDescent="0.35">
      <c r="A1207" t="s">
        <v>34</v>
      </c>
      <c r="D1207" t="s">
        <v>37</v>
      </c>
      <c r="F1207">
        <v>5</v>
      </c>
      <c r="G1207">
        <v>2</v>
      </c>
      <c r="H1207">
        <v>1</v>
      </c>
      <c r="I1207">
        <v>13</v>
      </c>
      <c r="K1207" s="122">
        <v>45492</v>
      </c>
      <c r="L1207" t="s">
        <v>739</v>
      </c>
      <c r="M1207">
        <v>6.2</v>
      </c>
    </row>
    <row r="1208" spans="1:13" hidden="1" x14ac:dyDescent="0.35">
      <c r="A1208" t="s">
        <v>34</v>
      </c>
      <c r="D1208" t="s">
        <v>37</v>
      </c>
      <c r="F1208">
        <v>5</v>
      </c>
      <c r="G1208">
        <v>2</v>
      </c>
      <c r="H1208">
        <v>1</v>
      </c>
      <c r="I1208">
        <v>13</v>
      </c>
      <c r="K1208" s="122">
        <v>45509</v>
      </c>
      <c r="L1208" t="s">
        <v>737</v>
      </c>
      <c r="M1208">
        <v>7.5</v>
      </c>
    </row>
    <row r="1209" spans="1:13" hidden="1" x14ac:dyDescent="0.35">
      <c r="A1209" t="s">
        <v>34</v>
      </c>
      <c r="D1209" t="s">
        <v>37</v>
      </c>
      <c r="F1209">
        <v>5</v>
      </c>
      <c r="G1209">
        <v>2</v>
      </c>
      <c r="H1209">
        <v>1</v>
      </c>
      <c r="I1209">
        <v>13</v>
      </c>
      <c r="K1209" s="122">
        <v>45509</v>
      </c>
      <c r="L1209" t="s">
        <v>738</v>
      </c>
      <c r="M1209">
        <v>7.4</v>
      </c>
    </row>
    <row r="1210" spans="1:13" hidden="1" x14ac:dyDescent="0.35">
      <c r="A1210" t="s">
        <v>34</v>
      </c>
      <c r="D1210" t="s">
        <v>37</v>
      </c>
      <c r="F1210">
        <v>5</v>
      </c>
      <c r="G1210">
        <v>2</v>
      </c>
      <c r="H1210">
        <v>1</v>
      </c>
      <c r="I1210">
        <v>13</v>
      </c>
      <c r="K1210" s="122">
        <v>45509</v>
      </c>
      <c r="L1210" t="s">
        <v>739</v>
      </c>
      <c r="M1210">
        <v>7.4</v>
      </c>
    </row>
    <row r="1211" spans="1:13" hidden="1" x14ac:dyDescent="0.35">
      <c r="A1211" t="s">
        <v>34</v>
      </c>
      <c r="D1211" t="s">
        <v>37</v>
      </c>
      <c r="F1211">
        <v>5</v>
      </c>
      <c r="G1211">
        <v>2</v>
      </c>
      <c r="H1211">
        <v>1</v>
      </c>
      <c r="I1211">
        <v>13</v>
      </c>
      <c r="K1211" s="122">
        <v>45519</v>
      </c>
      <c r="L1211" t="s">
        <v>737</v>
      </c>
      <c r="M1211">
        <v>8.5</v>
      </c>
    </row>
    <row r="1212" spans="1:13" hidden="1" x14ac:dyDescent="0.35">
      <c r="A1212" t="s">
        <v>34</v>
      </c>
      <c r="D1212" t="s">
        <v>37</v>
      </c>
      <c r="F1212">
        <v>5</v>
      </c>
      <c r="G1212">
        <v>2</v>
      </c>
      <c r="H1212">
        <v>1</v>
      </c>
      <c r="I1212">
        <v>13</v>
      </c>
      <c r="K1212" s="122">
        <v>45519</v>
      </c>
      <c r="L1212" t="s">
        <v>738</v>
      </c>
      <c r="M1212">
        <v>8.4</v>
      </c>
    </row>
    <row r="1213" spans="1:13" hidden="1" x14ac:dyDescent="0.35">
      <c r="A1213" t="s">
        <v>34</v>
      </c>
      <c r="D1213" t="s">
        <v>37</v>
      </c>
      <c r="F1213">
        <v>5</v>
      </c>
      <c r="G1213">
        <v>2</v>
      </c>
      <c r="H1213">
        <v>1</v>
      </c>
      <c r="I1213">
        <v>13</v>
      </c>
      <c r="K1213" s="122">
        <v>45519</v>
      </c>
      <c r="L1213" t="s">
        <v>739</v>
      </c>
      <c r="M1213">
        <v>8.3000000000000007</v>
      </c>
    </row>
    <row r="1214" spans="1:13" hidden="1" x14ac:dyDescent="0.35">
      <c r="A1214" t="s">
        <v>34</v>
      </c>
      <c r="D1214" t="s">
        <v>37</v>
      </c>
      <c r="F1214">
        <v>5</v>
      </c>
      <c r="G1214">
        <v>2</v>
      </c>
      <c r="H1214">
        <v>1</v>
      </c>
      <c r="I1214">
        <v>13</v>
      </c>
      <c r="K1214" s="122">
        <v>45530</v>
      </c>
      <c r="L1214" t="s">
        <v>737</v>
      </c>
      <c r="M1214">
        <v>9.6</v>
      </c>
    </row>
    <row r="1215" spans="1:13" hidden="1" x14ac:dyDescent="0.35">
      <c r="A1215" t="s">
        <v>34</v>
      </c>
      <c r="D1215" t="s">
        <v>37</v>
      </c>
      <c r="F1215">
        <v>5</v>
      </c>
      <c r="G1215">
        <v>2</v>
      </c>
      <c r="H1215">
        <v>1</v>
      </c>
      <c r="I1215">
        <v>13</v>
      </c>
      <c r="K1215" s="122">
        <v>45530</v>
      </c>
      <c r="L1215" t="s">
        <v>738</v>
      </c>
      <c r="M1215">
        <v>9.6999999999999993</v>
      </c>
    </row>
    <row r="1216" spans="1:13" hidden="1" x14ac:dyDescent="0.35">
      <c r="A1216" t="s">
        <v>34</v>
      </c>
      <c r="D1216" t="s">
        <v>37</v>
      </c>
      <c r="F1216">
        <v>5</v>
      </c>
      <c r="G1216">
        <v>2</v>
      </c>
      <c r="H1216">
        <v>1</v>
      </c>
      <c r="I1216">
        <v>13</v>
      </c>
      <c r="K1216" s="122">
        <v>45530</v>
      </c>
      <c r="L1216" t="s">
        <v>739</v>
      </c>
      <c r="M1216">
        <v>9.6</v>
      </c>
    </row>
    <row r="1217" spans="1:13" hidden="1" x14ac:dyDescent="0.35">
      <c r="A1217" t="s">
        <v>34</v>
      </c>
      <c r="D1217" t="s">
        <v>37</v>
      </c>
      <c r="F1217">
        <v>5</v>
      </c>
      <c r="G1217">
        <v>2</v>
      </c>
      <c r="H1217">
        <v>1</v>
      </c>
      <c r="I1217">
        <v>13</v>
      </c>
      <c r="K1217" s="122">
        <v>45538</v>
      </c>
      <c r="L1217" t="s">
        <v>737</v>
      </c>
      <c r="M1217">
        <v>10.4</v>
      </c>
    </row>
    <row r="1218" spans="1:13" hidden="1" x14ac:dyDescent="0.35">
      <c r="A1218" t="s">
        <v>34</v>
      </c>
      <c r="D1218" t="s">
        <v>37</v>
      </c>
      <c r="F1218">
        <v>5</v>
      </c>
      <c r="G1218">
        <v>2</v>
      </c>
      <c r="H1218">
        <v>1</v>
      </c>
      <c r="I1218">
        <v>13</v>
      </c>
      <c r="K1218" s="122">
        <v>45538</v>
      </c>
      <c r="L1218" t="s">
        <v>738</v>
      </c>
      <c r="M1218">
        <v>10.3</v>
      </c>
    </row>
    <row r="1219" spans="1:13" hidden="1" x14ac:dyDescent="0.35">
      <c r="A1219" t="s">
        <v>34</v>
      </c>
      <c r="D1219" t="s">
        <v>37</v>
      </c>
      <c r="F1219">
        <v>5</v>
      </c>
      <c r="G1219">
        <v>2</v>
      </c>
      <c r="H1219">
        <v>1</v>
      </c>
      <c r="I1219">
        <v>13</v>
      </c>
      <c r="K1219" s="122">
        <v>45538</v>
      </c>
      <c r="L1219" t="s">
        <v>739</v>
      </c>
      <c r="M1219">
        <v>10.5</v>
      </c>
    </row>
    <row r="1220" spans="1:13" hidden="1" x14ac:dyDescent="0.35">
      <c r="A1220" t="s">
        <v>34</v>
      </c>
      <c r="D1220" t="s">
        <v>37</v>
      </c>
      <c r="F1220">
        <v>5</v>
      </c>
      <c r="G1220">
        <v>2</v>
      </c>
      <c r="H1220">
        <v>1</v>
      </c>
      <c r="I1220">
        <v>13</v>
      </c>
      <c r="K1220" s="122">
        <v>45547</v>
      </c>
      <c r="L1220" t="s">
        <v>737</v>
      </c>
      <c r="M1220">
        <v>11</v>
      </c>
    </row>
    <row r="1221" spans="1:13" hidden="1" x14ac:dyDescent="0.35">
      <c r="A1221" t="s">
        <v>34</v>
      </c>
      <c r="D1221" t="s">
        <v>37</v>
      </c>
      <c r="F1221">
        <v>5</v>
      </c>
      <c r="G1221">
        <v>2</v>
      </c>
      <c r="H1221">
        <v>1</v>
      </c>
      <c r="I1221">
        <v>13</v>
      </c>
      <c r="K1221" s="122">
        <v>45547</v>
      </c>
      <c r="L1221" t="s">
        <v>738</v>
      </c>
      <c r="M1221">
        <v>11</v>
      </c>
    </row>
    <row r="1222" spans="1:13" hidden="1" x14ac:dyDescent="0.35">
      <c r="A1222" t="s">
        <v>34</v>
      </c>
      <c r="D1222" t="s">
        <v>37</v>
      </c>
      <c r="F1222">
        <v>5</v>
      </c>
      <c r="G1222">
        <v>2</v>
      </c>
      <c r="H1222">
        <v>1</v>
      </c>
      <c r="I1222">
        <v>13</v>
      </c>
      <c r="K1222" s="122">
        <v>45547</v>
      </c>
      <c r="L1222" t="s">
        <v>739</v>
      </c>
      <c r="M1222">
        <v>11</v>
      </c>
    </row>
    <row r="1223" spans="1:13" hidden="1" x14ac:dyDescent="0.35">
      <c r="A1223" t="s">
        <v>34</v>
      </c>
      <c r="D1223" t="s">
        <v>37</v>
      </c>
      <c r="F1223">
        <v>5</v>
      </c>
      <c r="G1223">
        <v>2</v>
      </c>
      <c r="H1223">
        <v>1</v>
      </c>
      <c r="I1223">
        <v>13</v>
      </c>
      <c r="K1223" s="122">
        <v>45555</v>
      </c>
      <c r="L1223" t="s">
        <v>737</v>
      </c>
    </row>
    <row r="1224" spans="1:13" hidden="1" x14ac:dyDescent="0.35">
      <c r="A1224" t="s">
        <v>34</v>
      </c>
      <c r="D1224" t="s">
        <v>37</v>
      </c>
      <c r="F1224">
        <v>5</v>
      </c>
      <c r="G1224">
        <v>2</v>
      </c>
      <c r="H1224">
        <v>1</v>
      </c>
      <c r="I1224">
        <v>13</v>
      </c>
      <c r="K1224" s="122">
        <v>45555</v>
      </c>
      <c r="L1224" t="s">
        <v>738</v>
      </c>
    </row>
    <row r="1225" spans="1:13" hidden="1" x14ac:dyDescent="0.35">
      <c r="A1225" t="s">
        <v>34</v>
      </c>
      <c r="D1225" t="s">
        <v>37</v>
      </c>
      <c r="F1225">
        <v>5</v>
      </c>
      <c r="G1225">
        <v>2</v>
      </c>
      <c r="H1225">
        <v>1</v>
      </c>
      <c r="I1225">
        <v>13</v>
      </c>
      <c r="K1225" s="122">
        <v>45555</v>
      </c>
      <c r="L1225" t="s">
        <v>739</v>
      </c>
    </row>
    <row r="1226" spans="1:13" hidden="1" x14ac:dyDescent="0.35">
      <c r="A1226" t="s">
        <v>24</v>
      </c>
      <c r="D1226" t="s">
        <v>29</v>
      </c>
      <c r="F1226">
        <v>5</v>
      </c>
      <c r="G1226">
        <v>3</v>
      </c>
      <c r="H1226">
        <v>2</v>
      </c>
      <c r="I1226">
        <v>21</v>
      </c>
      <c r="K1226" s="122">
        <v>45442</v>
      </c>
      <c r="L1226" t="s">
        <v>737</v>
      </c>
      <c r="M1226">
        <v>4.8</v>
      </c>
    </row>
    <row r="1227" spans="1:13" hidden="1" x14ac:dyDescent="0.35">
      <c r="A1227" t="s">
        <v>24</v>
      </c>
      <c r="D1227" t="s">
        <v>29</v>
      </c>
      <c r="F1227">
        <v>5</v>
      </c>
      <c r="G1227">
        <v>3</v>
      </c>
      <c r="H1227">
        <v>2</v>
      </c>
      <c r="I1227">
        <v>21</v>
      </c>
      <c r="K1227" s="122">
        <v>45442</v>
      </c>
      <c r="L1227" t="s">
        <v>738</v>
      </c>
      <c r="M1227">
        <v>4.8</v>
      </c>
    </row>
    <row r="1228" spans="1:13" hidden="1" x14ac:dyDescent="0.35">
      <c r="A1228" t="s">
        <v>24</v>
      </c>
      <c r="D1228" t="s">
        <v>29</v>
      </c>
      <c r="F1228">
        <v>5</v>
      </c>
      <c r="G1228">
        <v>3</v>
      </c>
      <c r="H1228">
        <v>2</v>
      </c>
      <c r="I1228">
        <v>21</v>
      </c>
      <c r="K1228" s="122">
        <v>45442</v>
      </c>
      <c r="L1228" t="s">
        <v>739</v>
      </c>
      <c r="M1228">
        <v>4.8</v>
      </c>
    </row>
    <row r="1229" spans="1:13" hidden="1" x14ac:dyDescent="0.35">
      <c r="A1229" t="s">
        <v>24</v>
      </c>
      <c r="D1229" t="s">
        <v>29</v>
      </c>
      <c r="F1229">
        <v>5</v>
      </c>
      <c r="G1229">
        <v>3</v>
      </c>
      <c r="H1229">
        <v>2</v>
      </c>
      <c r="I1229">
        <v>21</v>
      </c>
      <c r="K1229" s="122">
        <v>45447</v>
      </c>
      <c r="L1229" t="s">
        <v>737</v>
      </c>
      <c r="M1229">
        <v>5.5</v>
      </c>
    </row>
    <row r="1230" spans="1:13" hidden="1" x14ac:dyDescent="0.35">
      <c r="A1230" t="s">
        <v>24</v>
      </c>
      <c r="D1230" t="s">
        <v>29</v>
      </c>
      <c r="F1230">
        <v>5</v>
      </c>
      <c r="G1230">
        <v>3</v>
      </c>
      <c r="H1230">
        <v>2</v>
      </c>
      <c r="I1230">
        <v>21</v>
      </c>
      <c r="K1230" s="122">
        <v>45447</v>
      </c>
      <c r="L1230" t="s">
        <v>738</v>
      </c>
      <c r="M1230">
        <v>5.6</v>
      </c>
    </row>
    <row r="1231" spans="1:13" hidden="1" x14ac:dyDescent="0.35">
      <c r="A1231" t="s">
        <v>24</v>
      </c>
      <c r="D1231" t="s">
        <v>29</v>
      </c>
      <c r="F1231">
        <v>5</v>
      </c>
      <c r="G1231">
        <v>3</v>
      </c>
      <c r="H1231">
        <v>2</v>
      </c>
      <c r="I1231">
        <v>21</v>
      </c>
      <c r="K1231" s="122">
        <v>45447</v>
      </c>
      <c r="L1231" t="s">
        <v>739</v>
      </c>
      <c r="M1231">
        <v>5.6</v>
      </c>
    </row>
    <row r="1232" spans="1:13" hidden="1" x14ac:dyDescent="0.35">
      <c r="A1232" t="s">
        <v>24</v>
      </c>
      <c r="D1232" t="s">
        <v>29</v>
      </c>
      <c r="F1232">
        <v>5</v>
      </c>
      <c r="G1232">
        <v>3</v>
      </c>
      <c r="H1232">
        <v>2</v>
      </c>
      <c r="I1232">
        <v>21</v>
      </c>
      <c r="K1232" s="122">
        <v>45462</v>
      </c>
      <c r="L1232" t="s">
        <v>737</v>
      </c>
      <c r="M1232">
        <v>5.3</v>
      </c>
    </row>
    <row r="1233" spans="1:13" hidden="1" x14ac:dyDescent="0.35">
      <c r="A1233" t="s">
        <v>24</v>
      </c>
      <c r="D1233" t="s">
        <v>29</v>
      </c>
      <c r="F1233">
        <v>5</v>
      </c>
      <c r="G1233">
        <v>3</v>
      </c>
      <c r="H1233">
        <v>2</v>
      </c>
      <c r="I1233">
        <v>21</v>
      </c>
      <c r="K1233" s="122">
        <v>45462</v>
      </c>
      <c r="L1233" t="s">
        <v>738</v>
      </c>
      <c r="M1233">
        <v>5.6</v>
      </c>
    </row>
    <row r="1234" spans="1:13" hidden="1" x14ac:dyDescent="0.35">
      <c r="A1234" t="s">
        <v>24</v>
      </c>
      <c r="D1234" t="s">
        <v>29</v>
      </c>
      <c r="F1234">
        <v>5</v>
      </c>
      <c r="G1234">
        <v>3</v>
      </c>
      <c r="H1234">
        <v>2</v>
      </c>
      <c r="I1234">
        <v>21</v>
      </c>
      <c r="K1234" s="122">
        <v>45462</v>
      </c>
      <c r="L1234" t="s">
        <v>739</v>
      </c>
      <c r="M1234">
        <v>5.6</v>
      </c>
    </row>
    <row r="1235" spans="1:13" hidden="1" x14ac:dyDescent="0.35">
      <c r="A1235" t="s">
        <v>24</v>
      </c>
      <c r="D1235" t="s">
        <v>29</v>
      </c>
      <c r="F1235">
        <v>5</v>
      </c>
      <c r="G1235">
        <v>3</v>
      </c>
      <c r="H1235">
        <v>2</v>
      </c>
      <c r="I1235">
        <v>21</v>
      </c>
      <c r="K1235" s="122">
        <v>45477</v>
      </c>
      <c r="L1235" t="s">
        <v>737</v>
      </c>
    </row>
    <row r="1236" spans="1:13" hidden="1" x14ac:dyDescent="0.35">
      <c r="A1236" t="s">
        <v>24</v>
      </c>
      <c r="D1236" t="s">
        <v>29</v>
      </c>
      <c r="F1236">
        <v>5</v>
      </c>
      <c r="G1236">
        <v>3</v>
      </c>
      <c r="H1236">
        <v>2</v>
      </c>
      <c r="I1236">
        <v>21</v>
      </c>
      <c r="K1236" s="122">
        <v>45477</v>
      </c>
      <c r="L1236" t="s">
        <v>738</v>
      </c>
    </row>
    <row r="1237" spans="1:13" hidden="1" x14ac:dyDescent="0.35">
      <c r="A1237" t="s">
        <v>24</v>
      </c>
      <c r="D1237" t="s">
        <v>29</v>
      </c>
      <c r="F1237">
        <v>5</v>
      </c>
      <c r="G1237">
        <v>3</v>
      </c>
      <c r="H1237">
        <v>2</v>
      </c>
      <c r="I1237">
        <v>21</v>
      </c>
      <c r="K1237" s="122">
        <v>45477</v>
      </c>
      <c r="L1237" t="s">
        <v>739</v>
      </c>
    </row>
    <row r="1238" spans="1:13" hidden="1" x14ac:dyDescent="0.35">
      <c r="A1238" t="s">
        <v>24</v>
      </c>
      <c r="D1238" t="s">
        <v>29</v>
      </c>
      <c r="F1238">
        <v>5</v>
      </c>
      <c r="G1238">
        <v>3</v>
      </c>
      <c r="H1238">
        <v>2</v>
      </c>
      <c r="I1238">
        <v>21</v>
      </c>
      <c r="K1238" s="122">
        <v>45485</v>
      </c>
      <c r="L1238" t="s">
        <v>737</v>
      </c>
      <c r="M1238">
        <v>6.8</v>
      </c>
    </row>
    <row r="1239" spans="1:13" hidden="1" x14ac:dyDescent="0.35">
      <c r="A1239" t="s">
        <v>24</v>
      </c>
      <c r="D1239" t="s">
        <v>29</v>
      </c>
      <c r="F1239">
        <v>5</v>
      </c>
      <c r="G1239">
        <v>3</v>
      </c>
      <c r="H1239">
        <v>2</v>
      </c>
      <c r="I1239">
        <v>21</v>
      </c>
      <c r="K1239" s="122">
        <v>45485</v>
      </c>
      <c r="L1239" t="s">
        <v>738</v>
      </c>
      <c r="M1239">
        <v>6.8</v>
      </c>
    </row>
    <row r="1240" spans="1:13" hidden="1" x14ac:dyDescent="0.35">
      <c r="A1240" t="s">
        <v>24</v>
      </c>
      <c r="D1240" t="s">
        <v>29</v>
      </c>
      <c r="F1240">
        <v>5</v>
      </c>
      <c r="G1240">
        <v>3</v>
      </c>
      <c r="H1240">
        <v>2</v>
      </c>
      <c r="I1240">
        <v>21</v>
      </c>
      <c r="K1240" s="122">
        <v>45485</v>
      </c>
      <c r="L1240" t="s">
        <v>739</v>
      </c>
      <c r="M1240">
        <v>6.9</v>
      </c>
    </row>
    <row r="1241" spans="1:13" hidden="1" x14ac:dyDescent="0.35">
      <c r="A1241" t="s">
        <v>24</v>
      </c>
      <c r="D1241" t="s">
        <v>29</v>
      </c>
      <c r="F1241">
        <v>5</v>
      </c>
      <c r="G1241">
        <v>3</v>
      </c>
      <c r="H1241">
        <v>2</v>
      </c>
      <c r="I1241">
        <v>21</v>
      </c>
      <c r="K1241" s="122">
        <v>45492</v>
      </c>
      <c r="L1241" t="s">
        <v>737</v>
      </c>
      <c r="M1241">
        <v>7.3</v>
      </c>
    </row>
    <row r="1242" spans="1:13" hidden="1" x14ac:dyDescent="0.35">
      <c r="A1242" t="s">
        <v>24</v>
      </c>
      <c r="D1242" t="s">
        <v>29</v>
      </c>
      <c r="F1242">
        <v>5</v>
      </c>
      <c r="G1242">
        <v>3</v>
      </c>
      <c r="H1242">
        <v>2</v>
      </c>
      <c r="I1242">
        <v>21</v>
      </c>
      <c r="K1242" s="122">
        <v>45492</v>
      </c>
      <c r="L1242" t="s">
        <v>738</v>
      </c>
      <c r="M1242">
        <v>7.3</v>
      </c>
    </row>
    <row r="1243" spans="1:13" hidden="1" x14ac:dyDescent="0.35">
      <c r="A1243" t="s">
        <v>24</v>
      </c>
      <c r="D1243" t="s">
        <v>29</v>
      </c>
      <c r="F1243">
        <v>5</v>
      </c>
      <c r="G1243">
        <v>3</v>
      </c>
      <c r="H1243">
        <v>2</v>
      </c>
      <c r="I1243">
        <v>21</v>
      </c>
      <c r="K1243" s="122">
        <v>45492</v>
      </c>
      <c r="L1243" t="s">
        <v>739</v>
      </c>
      <c r="M1243">
        <v>7.3</v>
      </c>
    </row>
    <row r="1244" spans="1:13" hidden="1" x14ac:dyDescent="0.35">
      <c r="A1244" t="s">
        <v>24</v>
      </c>
      <c r="D1244" t="s">
        <v>29</v>
      </c>
      <c r="F1244">
        <v>5</v>
      </c>
      <c r="G1244">
        <v>3</v>
      </c>
      <c r="H1244">
        <v>2</v>
      </c>
      <c r="I1244">
        <v>21</v>
      </c>
      <c r="K1244" s="122">
        <v>45509</v>
      </c>
      <c r="L1244" t="s">
        <v>737</v>
      </c>
      <c r="M1244">
        <v>8.5</v>
      </c>
    </row>
    <row r="1245" spans="1:13" hidden="1" x14ac:dyDescent="0.35">
      <c r="A1245" t="s">
        <v>24</v>
      </c>
      <c r="D1245" t="s">
        <v>29</v>
      </c>
      <c r="F1245">
        <v>5</v>
      </c>
      <c r="G1245">
        <v>3</v>
      </c>
      <c r="H1245">
        <v>2</v>
      </c>
      <c r="I1245">
        <v>21</v>
      </c>
      <c r="K1245" s="122">
        <v>45509</v>
      </c>
      <c r="L1245" t="s">
        <v>738</v>
      </c>
      <c r="M1245">
        <v>7.9</v>
      </c>
    </row>
    <row r="1246" spans="1:13" hidden="1" x14ac:dyDescent="0.35">
      <c r="A1246" t="s">
        <v>24</v>
      </c>
      <c r="D1246" t="s">
        <v>29</v>
      </c>
      <c r="F1246">
        <v>5</v>
      </c>
      <c r="G1246">
        <v>3</v>
      </c>
      <c r="H1246">
        <v>2</v>
      </c>
      <c r="I1246">
        <v>21</v>
      </c>
      <c r="K1246" s="122">
        <v>45509</v>
      </c>
      <c r="L1246" t="s">
        <v>739</v>
      </c>
      <c r="M1246">
        <v>8.4</v>
      </c>
    </row>
    <row r="1247" spans="1:13" hidden="1" x14ac:dyDescent="0.35">
      <c r="A1247" t="s">
        <v>24</v>
      </c>
      <c r="D1247" t="s">
        <v>29</v>
      </c>
      <c r="F1247">
        <v>5</v>
      </c>
      <c r="G1247">
        <v>3</v>
      </c>
      <c r="H1247">
        <v>2</v>
      </c>
      <c r="I1247">
        <v>21</v>
      </c>
      <c r="K1247" s="122">
        <v>45519</v>
      </c>
      <c r="L1247" t="s">
        <v>737</v>
      </c>
      <c r="M1247">
        <v>9.3000000000000007</v>
      </c>
    </row>
    <row r="1248" spans="1:13" hidden="1" x14ac:dyDescent="0.35">
      <c r="A1248" t="s">
        <v>24</v>
      </c>
      <c r="D1248" t="s">
        <v>29</v>
      </c>
      <c r="F1248">
        <v>5</v>
      </c>
      <c r="G1248">
        <v>3</v>
      </c>
      <c r="H1248">
        <v>2</v>
      </c>
      <c r="I1248">
        <v>21</v>
      </c>
      <c r="K1248" s="122">
        <v>45519</v>
      </c>
      <c r="L1248" t="s">
        <v>738</v>
      </c>
      <c r="M1248">
        <v>8.6999999999999993</v>
      </c>
    </row>
    <row r="1249" spans="1:13" hidden="1" x14ac:dyDescent="0.35">
      <c r="A1249" t="s">
        <v>24</v>
      </c>
      <c r="D1249" t="s">
        <v>29</v>
      </c>
      <c r="F1249">
        <v>5</v>
      </c>
      <c r="G1249">
        <v>3</v>
      </c>
      <c r="H1249">
        <v>2</v>
      </c>
      <c r="I1249">
        <v>21</v>
      </c>
      <c r="K1249" s="122">
        <v>45519</v>
      </c>
      <c r="L1249" t="s">
        <v>739</v>
      </c>
      <c r="M1249">
        <v>9.1999999999999993</v>
      </c>
    </row>
    <row r="1250" spans="1:13" hidden="1" x14ac:dyDescent="0.35">
      <c r="A1250" t="s">
        <v>24</v>
      </c>
      <c r="D1250" t="s">
        <v>29</v>
      </c>
      <c r="F1250">
        <v>5</v>
      </c>
      <c r="G1250">
        <v>3</v>
      </c>
      <c r="H1250">
        <v>2</v>
      </c>
      <c r="I1250">
        <v>21</v>
      </c>
      <c r="K1250" s="122">
        <v>45530</v>
      </c>
      <c r="L1250" t="s">
        <v>737</v>
      </c>
      <c r="M1250">
        <v>10.5</v>
      </c>
    </row>
    <row r="1251" spans="1:13" hidden="1" x14ac:dyDescent="0.35">
      <c r="A1251" t="s">
        <v>24</v>
      </c>
      <c r="D1251" t="s">
        <v>29</v>
      </c>
      <c r="F1251">
        <v>5</v>
      </c>
      <c r="G1251">
        <v>3</v>
      </c>
      <c r="H1251">
        <v>2</v>
      </c>
      <c r="I1251">
        <v>21</v>
      </c>
      <c r="K1251" s="122">
        <v>45530</v>
      </c>
      <c r="L1251" t="s">
        <v>738</v>
      </c>
      <c r="M1251">
        <v>10.6</v>
      </c>
    </row>
    <row r="1252" spans="1:13" hidden="1" x14ac:dyDescent="0.35">
      <c r="A1252" t="s">
        <v>24</v>
      </c>
      <c r="D1252" t="s">
        <v>29</v>
      </c>
      <c r="F1252">
        <v>5</v>
      </c>
      <c r="G1252">
        <v>3</v>
      </c>
      <c r="H1252">
        <v>2</v>
      </c>
      <c r="I1252">
        <v>21</v>
      </c>
      <c r="K1252" s="122">
        <v>45530</v>
      </c>
      <c r="L1252" t="s">
        <v>739</v>
      </c>
      <c r="M1252">
        <v>10.7</v>
      </c>
    </row>
    <row r="1253" spans="1:13" hidden="1" x14ac:dyDescent="0.35">
      <c r="A1253" t="s">
        <v>24</v>
      </c>
      <c r="D1253" t="s">
        <v>29</v>
      </c>
      <c r="F1253">
        <v>5</v>
      </c>
      <c r="G1253">
        <v>3</v>
      </c>
      <c r="H1253">
        <v>2</v>
      </c>
      <c r="I1253">
        <v>21</v>
      </c>
      <c r="K1253" s="122">
        <v>45538</v>
      </c>
      <c r="L1253" t="s">
        <v>737</v>
      </c>
      <c r="M1253">
        <v>11.4</v>
      </c>
    </row>
    <row r="1254" spans="1:13" hidden="1" x14ac:dyDescent="0.35">
      <c r="A1254" t="s">
        <v>24</v>
      </c>
      <c r="D1254" t="s">
        <v>29</v>
      </c>
      <c r="F1254">
        <v>5</v>
      </c>
      <c r="G1254">
        <v>3</v>
      </c>
      <c r="H1254">
        <v>2</v>
      </c>
      <c r="I1254">
        <v>21</v>
      </c>
      <c r="K1254" s="122">
        <v>45538</v>
      </c>
      <c r="L1254" t="s">
        <v>738</v>
      </c>
      <c r="M1254">
        <v>11.5</v>
      </c>
    </row>
    <row r="1255" spans="1:13" hidden="1" x14ac:dyDescent="0.35">
      <c r="A1255" t="s">
        <v>24</v>
      </c>
      <c r="D1255" t="s">
        <v>29</v>
      </c>
      <c r="F1255">
        <v>5</v>
      </c>
      <c r="G1255">
        <v>3</v>
      </c>
      <c r="H1255">
        <v>2</v>
      </c>
      <c r="I1255">
        <v>21</v>
      </c>
      <c r="K1255" s="122">
        <v>45538</v>
      </c>
      <c r="L1255" t="s">
        <v>739</v>
      </c>
      <c r="M1255">
        <v>11.3</v>
      </c>
    </row>
    <row r="1256" spans="1:13" hidden="1" x14ac:dyDescent="0.35">
      <c r="A1256" t="s">
        <v>24</v>
      </c>
      <c r="D1256" t="s">
        <v>29</v>
      </c>
      <c r="F1256">
        <v>5</v>
      </c>
      <c r="G1256">
        <v>3</v>
      </c>
      <c r="H1256">
        <v>2</v>
      </c>
      <c r="I1256">
        <v>21</v>
      </c>
      <c r="K1256" s="122">
        <v>45547</v>
      </c>
      <c r="L1256" t="s">
        <v>737</v>
      </c>
      <c r="M1256">
        <v>12</v>
      </c>
    </row>
    <row r="1257" spans="1:13" hidden="1" x14ac:dyDescent="0.35">
      <c r="A1257" t="s">
        <v>24</v>
      </c>
      <c r="D1257" t="s">
        <v>29</v>
      </c>
      <c r="F1257">
        <v>5</v>
      </c>
      <c r="G1257">
        <v>3</v>
      </c>
      <c r="H1257">
        <v>2</v>
      </c>
      <c r="I1257">
        <v>21</v>
      </c>
      <c r="K1257" s="122">
        <v>45547</v>
      </c>
      <c r="L1257" t="s">
        <v>738</v>
      </c>
      <c r="M1257">
        <v>12</v>
      </c>
    </row>
    <row r="1258" spans="1:13" hidden="1" x14ac:dyDescent="0.35">
      <c r="A1258" t="s">
        <v>24</v>
      </c>
      <c r="D1258" t="s">
        <v>29</v>
      </c>
      <c r="F1258">
        <v>5</v>
      </c>
      <c r="G1258">
        <v>3</v>
      </c>
      <c r="H1258">
        <v>2</v>
      </c>
      <c r="I1258">
        <v>21</v>
      </c>
      <c r="K1258" s="122">
        <v>45547</v>
      </c>
      <c r="L1258" t="s">
        <v>739</v>
      </c>
      <c r="M1258">
        <v>12</v>
      </c>
    </row>
    <row r="1259" spans="1:13" hidden="1" x14ac:dyDescent="0.35">
      <c r="A1259" t="s">
        <v>24</v>
      </c>
      <c r="D1259" t="s">
        <v>29</v>
      </c>
      <c r="F1259">
        <v>5</v>
      </c>
      <c r="G1259">
        <v>3</v>
      </c>
      <c r="H1259">
        <v>2</v>
      </c>
      <c r="I1259">
        <v>21</v>
      </c>
      <c r="K1259" s="122">
        <v>45555</v>
      </c>
      <c r="L1259" t="s">
        <v>737</v>
      </c>
    </row>
    <row r="1260" spans="1:13" hidden="1" x14ac:dyDescent="0.35">
      <c r="A1260" t="s">
        <v>24</v>
      </c>
      <c r="D1260" t="s">
        <v>29</v>
      </c>
      <c r="F1260">
        <v>5</v>
      </c>
      <c r="G1260">
        <v>3</v>
      </c>
      <c r="H1260">
        <v>2</v>
      </c>
      <c r="I1260">
        <v>21</v>
      </c>
      <c r="K1260" s="122">
        <v>45555</v>
      </c>
      <c r="L1260" t="s">
        <v>738</v>
      </c>
    </row>
    <row r="1261" spans="1:13" hidden="1" x14ac:dyDescent="0.35">
      <c r="A1261" t="s">
        <v>24</v>
      </c>
      <c r="D1261" t="s">
        <v>29</v>
      </c>
      <c r="F1261">
        <v>5</v>
      </c>
      <c r="G1261">
        <v>3</v>
      </c>
      <c r="H1261">
        <v>2</v>
      </c>
      <c r="I1261">
        <v>21</v>
      </c>
      <c r="K1261" s="122">
        <v>45555</v>
      </c>
      <c r="L1261" t="s">
        <v>739</v>
      </c>
    </row>
    <row r="1262" spans="1:13" hidden="1" x14ac:dyDescent="0.35">
      <c r="A1262" t="s">
        <v>34</v>
      </c>
      <c r="D1262" t="s">
        <v>42</v>
      </c>
      <c r="F1262">
        <v>5</v>
      </c>
      <c r="G1262">
        <v>4</v>
      </c>
      <c r="H1262">
        <v>2</v>
      </c>
      <c r="I1262">
        <v>29</v>
      </c>
      <c r="K1262" s="122">
        <v>45442</v>
      </c>
      <c r="L1262" t="s">
        <v>737</v>
      </c>
    </row>
    <row r="1263" spans="1:13" hidden="1" x14ac:dyDescent="0.35">
      <c r="A1263" t="s">
        <v>34</v>
      </c>
      <c r="D1263" t="s">
        <v>42</v>
      </c>
      <c r="F1263">
        <v>5</v>
      </c>
      <c r="G1263">
        <v>4</v>
      </c>
      <c r="H1263">
        <v>2</v>
      </c>
      <c r="I1263">
        <v>29</v>
      </c>
      <c r="K1263" s="122">
        <v>45442</v>
      </c>
      <c r="L1263" t="s">
        <v>738</v>
      </c>
    </row>
    <row r="1264" spans="1:13" hidden="1" x14ac:dyDescent="0.35">
      <c r="A1264" t="s">
        <v>34</v>
      </c>
      <c r="D1264" t="s">
        <v>42</v>
      </c>
      <c r="F1264">
        <v>5</v>
      </c>
      <c r="G1264">
        <v>4</v>
      </c>
      <c r="H1264">
        <v>2</v>
      </c>
      <c r="I1264">
        <v>29</v>
      </c>
      <c r="K1264" s="122">
        <v>45442</v>
      </c>
      <c r="L1264" t="s">
        <v>739</v>
      </c>
    </row>
    <row r="1265" spans="1:13" hidden="1" x14ac:dyDescent="0.35">
      <c r="A1265" t="s">
        <v>34</v>
      </c>
      <c r="D1265" t="s">
        <v>42</v>
      </c>
      <c r="F1265">
        <v>5</v>
      </c>
      <c r="G1265">
        <v>4</v>
      </c>
      <c r="H1265">
        <v>2</v>
      </c>
      <c r="I1265">
        <v>29</v>
      </c>
      <c r="K1265" s="122">
        <v>45447</v>
      </c>
      <c r="L1265" t="s">
        <v>737</v>
      </c>
      <c r="M1265">
        <v>1.8</v>
      </c>
    </row>
    <row r="1266" spans="1:13" hidden="1" x14ac:dyDescent="0.35">
      <c r="A1266" t="s">
        <v>34</v>
      </c>
      <c r="D1266" t="s">
        <v>42</v>
      </c>
      <c r="F1266">
        <v>5</v>
      </c>
      <c r="G1266">
        <v>4</v>
      </c>
      <c r="H1266">
        <v>2</v>
      </c>
      <c r="I1266">
        <v>29</v>
      </c>
      <c r="K1266" s="122">
        <v>45447</v>
      </c>
      <c r="L1266" t="s">
        <v>738</v>
      </c>
      <c r="M1266">
        <v>1.8</v>
      </c>
    </row>
    <row r="1267" spans="1:13" hidden="1" x14ac:dyDescent="0.35">
      <c r="A1267" t="s">
        <v>34</v>
      </c>
      <c r="D1267" t="s">
        <v>42</v>
      </c>
      <c r="F1267">
        <v>5</v>
      </c>
      <c r="G1267">
        <v>4</v>
      </c>
      <c r="H1267">
        <v>2</v>
      </c>
      <c r="I1267">
        <v>29</v>
      </c>
      <c r="K1267" s="122">
        <v>45447</v>
      </c>
      <c r="L1267" t="s">
        <v>739</v>
      </c>
      <c r="M1267">
        <v>1.8</v>
      </c>
    </row>
    <row r="1268" spans="1:13" hidden="1" x14ac:dyDescent="0.35">
      <c r="A1268" t="s">
        <v>34</v>
      </c>
      <c r="D1268" t="s">
        <v>42</v>
      </c>
      <c r="F1268">
        <v>5</v>
      </c>
      <c r="G1268">
        <v>4</v>
      </c>
      <c r="H1268">
        <v>2</v>
      </c>
      <c r="I1268">
        <v>29</v>
      </c>
      <c r="K1268" s="122">
        <v>45462</v>
      </c>
      <c r="L1268" t="s">
        <v>737</v>
      </c>
      <c r="M1268">
        <v>3</v>
      </c>
    </row>
    <row r="1269" spans="1:13" hidden="1" x14ac:dyDescent="0.35">
      <c r="A1269" t="s">
        <v>34</v>
      </c>
      <c r="D1269" t="s">
        <v>42</v>
      </c>
      <c r="F1269">
        <v>5</v>
      </c>
      <c r="G1269">
        <v>4</v>
      </c>
      <c r="H1269">
        <v>2</v>
      </c>
      <c r="I1269">
        <v>29</v>
      </c>
      <c r="K1269" s="122">
        <v>45462</v>
      </c>
      <c r="L1269" t="s">
        <v>738</v>
      </c>
      <c r="M1269">
        <v>2.9</v>
      </c>
    </row>
    <row r="1270" spans="1:13" hidden="1" x14ac:dyDescent="0.35">
      <c r="A1270" t="s">
        <v>34</v>
      </c>
      <c r="D1270" t="s">
        <v>42</v>
      </c>
      <c r="F1270">
        <v>5</v>
      </c>
      <c r="G1270">
        <v>4</v>
      </c>
      <c r="H1270">
        <v>2</v>
      </c>
      <c r="I1270">
        <v>29</v>
      </c>
      <c r="K1270" s="122">
        <v>45462</v>
      </c>
      <c r="L1270" t="s">
        <v>739</v>
      </c>
      <c r="M1270">
        <v>3.1</v>
      </c>
    </row>
    <row r="1271" spans="1:13" hidden="1" x14ac:dyDescent="0.35">
      <c r="A1271" t="s">
        <v>34</v>
      </c>
      <c r="D1271" t="s">
        <v>42</v>
      </c>
      <c r="F1271">
        <v>5</v>
      </c>
      <c r="G1271">
        <v>4</v>
      </c>
      <c r="H1271">
        <v>2</v>
      </c>
      <c r="I1271">
        <v>29</v>
      </c>
      <c r="K1271" s="122">
        <v>45477</v>
      </c>
      <c r="L1271" t="s">
        <v>737</v>
      </c>
      <c r="M1271">
        <v>4.3</v>
      </c>
    </row>
    <row r="1272" spans="1:13" hidden="1" x14ac:dyDescent="0.35">
      <c r="A1272" t="s">
        <v>34</v>
      </c>
      <c r="D1272" t="s">
        <v>42</v>
      </c>
      <c r="F1272">
        <v>5</v>
      </c>
      <c r="G1272">
        <v>4</v>
      </c>
      <c r="H1272">
        <v>2</v>
      </c>
      <c r="I1272">
        <v>29</v>
      </c>
      <c r="K1272" s="122">
        <v>45477</v>
      </c>
      <c r="L1272" t="s">
        <v>738</v>
      </c>
      <c r="M1272">
        <v>3.8</v>
      </c>
    </row>
    <row r="1273" spans="1:13" hidden="1" x14ac:dyDescent="0.35">
      <c r="A1273" t="s">
        <v>34</v>
      </c>
      <c r="D1273" t="s">
        <v>42</v>
      </c>
      <c r="F1273">
        <v>5</v>
      </c>
      <c r="G1273">
        <v>4</v>
      </c>
      <c r="H1273">
        <v>2</v>
      </c>
      <c r="I1273">
        <v>29</v>
      </c>
      <c r="K1273" s="122">
        <v>45477</v>
      </c>
      <c r="L1273" t="s">
        <v>739</v>
      </c>
      <c r="M1273">
        <v>4.4000000000000004</v>
      </c>
    </row>
    <row r="1274" spans="1:13" hidden="1" x14ac:dyDescent="0.35">
      <c r="A1274" t="s">
        <v>34</v>
      </c>
      <c r="D1274" t="s">
        <v>42</v>
      </c>
      <c r="F1274">
        <v>5</v>
      </c>
      <c r="G1274">
        <v>4</v>
      </c>
      <c r="H1274">
        <v>2</v>
      </c>
      <c r="I1274">
        <v>29</v>
      </c>
      <c r="K1274" s="122">
        <v>45485</v>
      </c>
      <c r="L1274" t="s">
        <v>737</v>
      </c>
    </row>
    <row r="1275" spans="1:13" hidden="1" x14ac:dyDescent="0.35">
      <c r="A1275" t="s">
        <v>34</v>
      </c>
      <c r="D1275" t="s">
        <v>42</v>
      </c>
      <c r="F1275">
        <v>5</v>
      </c>
      <c r="G1275">
        <v>4</v>
      </c>
      <c r="H1275">
        <v>2</v>
      </c>
      <c r="I1275">
        <v>29</v>
      </c>
      <c r="K1275" s="122">
        <v>45485</v>
      </c>
      <c r="L1275" t="s">
        <v>738</v>
      </c>
    </row>
    <row r="1276" spans="1:13" hidden="1" x14ac:dyDescent="0.35">
      <c r="A1276" t="s">
        <v>34</v>
      </c>
      <c r="D1276" t="s">
        <v>42</v>
      </c>
      <c r="F1276">
        <v>5</v>
      </c>
      <c r="G1276">
        <v>4</v>
      </c>
      <c r="H1276">
        <v>2</v>
      </c>
      <c r="I1276">
        <v>29</v>
      </c>
      <c r="K1276" s="122">
        <v>45485</v>
      </c>
      <c r="L1276" t="s">
        <v>739</v>
      </c>
    </row>
    <row r="1277" spans="1:13" hidden="1" x14ac:dyDescent="0.35">
      <c r="A1277" t="s">
        <v>34</v>
      </c>
      <c r="D1277" t="s">
        <v>42</v>
      </c>
      <c r="F1277">
        <v>5</v>
      </c>
      <c r="G1277">
        <v>4</v>
      </c>
      <c r="H1277">
        <v>2</v>
      </c>
      <c r="I1277">
        <v>29</v>
      </c>
      <c r="K1277" s="122">
        <v>45492</v>
      </c>
      <c r="L1277" t="s">
        <v>737</v>
      </c>
      <c r="M1277">
        <v>5.3</v>
      </c>
    </row>
    <row r="1278" spans="1:13" hidden="1" x14ac:dyDescent="0.35">
      <c r="A1278" t="s">
        <v>34</v>
      </c>
      <c r="D1278" t="s">
        <v>42</v>
      </c>
      <c r="F1278">
        <v>5</v>
      </c>
      <c r="G1278">
        <v>4</v>
      </c>
      <c r="H1278">
        <v>2</v>
      </c>
      <c r="I1278">
        <v>29</v>
      </c>
      <c r="K1278" s="122">
        <v>45492</v>
      </c>
      <c r="L1278" t="s">
        <v>738</v>
      </c>
      <c r="M1278">
        <v>5.3</v>
      </c>
    </row>
    <row r="1279" spans="1:13" hidden="1" x14ac:dyDescent="0.35">
      <c r="A1279" t="s">
        <v>34</v>
      </c>
      <c r="D1279" t="s">
        <v>42</v>
      </c>
      <c r="F1279">
        <v>5</v>
      </c>
      <c r="G1279">
        <v>4</v>
      </c>
      <c r="H1279">
        <v>2</v>
      </c>
      <c r="I1279">
        <v>29</v>
      </c>
      <c r="K1279" s="122">
        <v>45492</v>
      </c>
      <c r="L1279" t="s">
        <v>739</v>
      </c>
      <c r="M1279">
        <v>5.7</v>
      </c>
    </row>
    <row r="1280" spans="1:13" hidden="1" x14ac:dyDescent="0.35">
      <c r="A1280" t="s">
        <v>34</v>
      </c>
      <c r="D1280" t="s">
        <v>42</v>
      </c>
      <c r="F1280">
        <v>5</v>
      </c>
      <c r="G1280">
        <v>4</v>
      </c>
      <c r="H1280">
        <v>2</v>
      </c>
      <c r="I1280">
        <v>29</v>
      </c>
      <c r="K1280" s="122">
        <v>45509</v>
      </c>
      <c r="L1280" t="s">
        <v>737</v>
      </c>
      <c r="M1280">
        <v>6.8</v>
      </c>
    </row>
    <row r="1281" spans="1:13" hidden="1" x14ac:dyDescent="0.35">
      <c r="A1281" t="s">
        <v>34</v>
      </c>
      <c r="D1281" t="s">
        <v>42</v>
      </c>
      <c r="F1281">
        <v>5</v>
      </c>
      <c r="G1281">
        <v>4</v>
      </c>
      <c r="H1281">
        <v>2</v>
      </c>
      <c r="I1281">
        <v>29</v>
      </c>
      <c r="K1281" s="122">
        <v>45509</v>
      </c>
      <c r="L1281" t="s">
        <v>738</v>
      </c>
      <c r="M1281">
        <v>6.4</v>
      </c>
    </row>
    <row r="1282" spans="1:13" hidden="1" x14ac:dyDescent="0.35">
      <c r="A1282" t="s">
        <v>34</v>
      </c>
      <c r="D1282" t="s">
        <v>42</v>
      </c>
      <c r="F1282">
        <v>5</v>
      </c>
      <c r="G1282">
        <v>4</v>
      </c>
      <c r="H1282">
        <v>2</v>
      </c>
      <c r="I1282">
        <v>29</v>
      </c>
      <c r="K1282" s="122">
        <v>45509</v>
      </c>
      <c r="L1282" t="s">
        <v>739</v>
      </c>
      <c r="M1282">
        <v>7</v>
      </c>
    </row>
    <row r="1283" spans="1:13" hidden="1" x14ac:dyDescent="0.35">
      <c r="A1283" t="s">
        <v>34</v>
      </c>
      <c r="D1283" t="s">
        <v>42</v>
      </c>
      <c r="F1283">
        <v>5</v>
      </c>
      <c r="G1283">
        <v>4</v>
      </c>
      <c r="H1283">
        <v>2</v>
      </c>
      <c r="I1283">
        <v>29</v>
      </c>
      <c r="K1283" s="122">
        <v>45519</v>
      </c>
      <c r="L1283" t="s">
        <v>737</v>
      </c>
      <c r="M1283">
        <v>7.6</v>
      </c>
    </row>
    <row r="1284" spans="1:13" hidden="1" x14ac:dyDescent="0.35">
      <c r="A1284" t="s">
        <v>34</v>
      </c>
      <c r="D1284" t="s">
        <v>42</v>
      </c>
      <c r="F1284">
        <v>5</v>
      </c>
      <c r="G1284">
        <v>4</v>
      </c>
      <c r="H1284">
        <v>2</v>
      </c>
      <c r="I1284">
        <v>29</v>
      </c>
      <c r="K1284" s="122">
        <v>45519</v>
      </c>
      <c r="L1284" t="s">
        <v>738</v>
      </c>
      <c r="M1284">
        <v>7.8</v>
      </c>
    </row>
    <row r="1285" spans="1:13" hidden="1" x14ac:dyDescent="0.35">
      <c r="A1285" t="s">
        <v>34</v>
      </c>
      <c r="D1285" t="s">
        <v>42</v>
      </c>
      <c r="F1285">
        <v>5</v>
      </c>
      <c r="G1285">
        <v>4</v>
      </c>
      <c r="H1285">
        <v>2</v>
      </c>
      <c r="I1285">
        <v>29</v>
      </c>
      <c r="K1285" s="122">
        <v>45519</v>
      </c>
      <c r="L1285" t="s">
        <v>739</v>
      </c>
      <c r="M1285">
        <v>7.8</v>
      </c>
    </row>
    <row r="1286" spans="1:13" hidden="1" x14ac:dyDescent="0.35">
      <c r="A1286" t="s">
        <v>34</v>
      </c>
      <c r="D1286" t="s">
        <v>42</v>
      </c>
      <c r="F1286">
        <v>5</v>
      </c>
      <c r="G1286">
        <v>4</v>
      </c>
      <c r="H1286">
        <v>2</v>
      </c>
      <c r="I1286">
        <v>29</v>
      </c>
      <c r="K1286" s="122">
        <v>45530</v>
      </c>
      <c r="L1286" t="s">
        <v>737</v>
      </c>
      <c r="M1286">
        <v>8.9</v>
      </c>
    </row>
    <row r="1287" spans="1:13" hidden="1" x14ac:dyDescent="0.35">
      <c r="A1287" t="s">
        <v>34</v>
      </c>
      <c r="D1287" t="s">
        <v>42</v>
      </c>
      <c r="F1287">
        <v>5</v>
      </c>
      <c r="G1287">
        <v>4</v>
      </c>
      <c r="H1287">
        <v>2</v>
      </c>
      <c r="I1287">
        <v>29</v>
      </c>
      <c r="K1287" s="122">
        <v>45530</v>
      </c>
      <c r="L1287" t="s">
        <v>738</v>
      </c>
      <c r="M1287">
        <v>9.1</v>
      </c>
    </row>
    <row r="1288" spans="1:13" hidden="1" x14ac:dyDescent="0.35">
      <c r="A1288" t="s">
        <v>34</v>
      </c>
      <c r="D1288" t="s">
        <v>42</v>
      </c>
      <c r="F1288">
        <v>5</v>
      </c>
      <c r="G1288">
        <v>4</v>
      </c>
      <c r="H1288">
        <v>2</v>
      </c>
      <c r="I1288">
        <v>29</v>
      </c>
      <c r="K1288" s="122">
        <v>45530</v>
      </c>
      <c r="L1288" t="s">
        <v>739</v>
      </c>
    </row>
    <row r="1289" spans="1:13" hidden="1" x14ac:dyDescent="0.35">
      <c r="A1289" t="s">
        <v>34</v>
      </c>
      <c r="D1289" t="s">
        <v>42</v>
      </c>
      <c r="F1289">
        <v>5</v>
      </c>
      <c r="G1289">
        <v>4</v>
      </c>
      <c r="H1289">
        <v>2</v>
      </c>
      <c r="I1289">
        <v>29</v>
      </c>
      <c r="K1289" s="122">
        <v>45538</v>
      </c>
      <c r="L1289" t="s">
        <v>737</v>
      </c>
      <c r="M1289">
        <v>9.6999999999999993</v>
      </c>
    </row>
    <row r="1290" spans="1:13" hidden="1" x14ac:dyDescent="0.35">
      <c r="A1290" t="s">
        <v>34</v>
      </c>
      <c r="D1290" t="s">
        <v>42</v>
      </c>
      <c r="F1290">
        <v>5</v>
      </c>
      <c r="G1290">
        <v>4</v>
      </c>
      <c r="H1290">
        <v>2</v>
      </c>
      <c r="I1290">
        <v>29</v>
      </c>
      <c r="K1290" s="122">
        <v>45538</v>
      </c>
      <c r="L1290" t="s">
        <v>738</v>
      </c>
      <c r="M1290">
        <v>9.8000000000000007</v>
      </c>
    </row>
    <row r="1291" spans="1:13" hidden="1" x14ac:dyDescent="0.35">
      <c r="A1291" t="s">
        <v>34</v>
      </c>
      <c r="D1291" t="s">
        <v>42</v>
      </c>
      <c r="F1291">
        <v>5</v>
      </c>
      <c r="G1291">
        <v>4</v>
      </c>
      <c r="H1291">
        <v>2</v>
      </c>
      <c r="I1291">
        <v>29</v>
      </c>
      <c r="K1291" s="122">
        <v>45538</v>
      </c>
      <c r="L1291" t="s">
        <v>739</v>
      </c>
    </row>
    <row r="1292" spans="1:13" hidden="1" x14ac:dyDescent="0.35">
      <c r="A1292" t="s">
        <v>34</v>
      </c>
      <c r="D1292" t="s">
        <v>42</v>
      </c>
      <c r="F1292">
        <v>5</v>
      </c>
      <c r="G1292">
        <v>4</v>
      </c>
      <c r="H1292">
        <v>2</v>
      </c>
      <c r="I1292">
        <v>29</v>
      </c>
      <c r="K1292" s="122">
        <v>45547</v>
      </c>
      <c r="L1292" t="s">
        <v>737</v>
      </c>
      <c r="M1292">
        <v>10</v>
      </c>
    </row>
    <row r="1293" spans="1:13" hidden="1" x14ac:dyDescent="0.35">
      <c r="A1293" t="s">
        <v>34</v>
      </c>
      <c r="D1293" t="s">
        <v>42</v>
      </c>
      <c r="F1293">
        <v>5</v>
      </c>
      <c r="G1293">
        <v>4</v>
      </c>
      <c r="H1293">
        <v>2</v>
      </c>
      <c r="I1293">
        <v>29</v>
      </c>
      <c r="K1293" s="122">
        <v>45547</v>
      </c>
      <c r="L1293" t="s">
        <v>738</v>
      </c>
      <c r="M1293">
        <v>10</v>
      </c>
    </row>
    <row r="1294" spans="1:13" hidden="1" x14ac:dyDescent="0.35">
      <c r="A1294" t="s">
        <v>34</v>
      </c>
      <c r="D1294" t="s">
        <v>42</v>
      </c>
      <c r="F1294">
        <v>5</v>
      </c>
      <c r="G1294">
        <v>4</v>
      </c>
      <c r="H1294">
        <v>2</v>
      </c>
      <c r="I1294">
        <v>29</v>
      </c>
      <c r="K1294" s="122">
        <v>45547</v>
      </c>
      <c r="L1294" t="s">
        <v>739</v>
      </c>
    </row>
    <row r="1295" spans="1:13" hidden="1" x14ac:dyDescent="0.35">
      <c r="A1295" t="s">
        <v>34</v>
      </c>
      <c r="D1295" t="s">
        <v>42</v>
      </c>
      <c r="F1295">
        <v>5</v>
      </c>
      <c r="G1295">
        <v>4</v>
      </c>
      <c r="H1295">
        <v>2</v>
      </c>
      <c r="I1295">
        <v>29</v>
      </c>
      <c r="K1295" s="122">
        <v>45555</v>
      </c>
      <c r="L1295" t="s">
        <v>737</v>
      </c>
    </row>
    <row r="1296" spans="1:13" hidden="1" x14ac:dyDescent="0.35">
      <c r="A1296" t="s">
        <v>34</v>
      </c>
      <c r="D1296" t="s">
        <v>42</v>
      </c>
      <c r="F1296">
        <v>5</v>
      </c>
      <c r="G1296">
        <v>4</v>
      </c>
      <c r="H1296">
        <v>2</v>
      </c>
      <c r="I1296">
        <v>29</v>
      </c>
      <c r="K1296" s="122">
        <v>45555</v>
      </c>
      <c r="L1296" t="s">
        <v>738</v>
      </c>
    </row>
    <row r="1297" spans="1:13" hidden="1" x14ac:dyDescent="0.35">
      <c r="A1297" t="s">
        <v>34</v>
      </c>
      <c r="D1297" t="s">
        <v>42</v>
      </c>
      <c r="F1297">
        <v>5</v>
      </c>
      <c r="G1297">
        <v>4</v>
      </c>
      <c r="H1297">
        <v>2</v>
      </c>
      <c r="I1297">
        <v>29</v>
      </c>
      <c r="K1297" s="122">
        <v>45555</v>
      </c>
      <c r="L1297" t="s">
        <v>739</v>
      </c>
    </row>
    <row r="1298" spans="1:13" hidden="1" x14ac:dyDescent="0.35">
      <c r="A1298" t="s">
        <v>24</v>
      </c>
      <c r="D1298" t="s">
        <v>27</v>
      </c>
      <c r="F1298">
        <v>1</v>
      </c>
      <c r="G1298">
        <v>1</v>
      </c>
      <c r="H1298">
        <v>1</v>
      </c>
      <c r="I1298">
        <v>1</v>
      </c>
      <c r="K1298" s="122">
        <v>45509</v>
      </c>
      <c r="L1298" t="s">
        <v>737</v>
      </c>
      <c r="M1298">
        <v>8.5</v>
      </c>
    </row>
    <row r="1299" spans="1:13" hidden="1" x14ac:dyDescent="0.35">
      <c r="A1299" t="s">
        <v>24</v>
      </c>
      <c r="D1299" t="s">
        <v>27</v>
      </c>
      <c r="F1299">
        <v>1</v>
      </c>
      <c r="G1299">
        <v>1</v>
      </c>
      <c r="H1299">
        <v>1</v>
      </c>
      <c r="I1299">
        <v>1</v>
      </c>
      <c r="K1299" s="122">
        <v>45509</v>
      </c>
      <c r="L1299" t="s">
        <v>738</v>
      </c>
      <c r="M1299">
        <v>8.6999999999999993</v>
      </c>
    </row>
    <row r="1300" spans="1:13" hidden="1" x14ac:dyDescent="0.35">
      <c r="A1300" t="s">
        <v>24</v>
      </c>
      <c r="D1300" t="s">
        <v>27</v>
      </c>
      <c r="F1300">
        <v>1</v>
      </c>
      <c r="G1300">
        <v>1</v>
      </c>
      <c r="H1300">
        <v>1</v>
      </c>
      <c r="I1300">
        <v>1</v>
      </c>
      <c r="K1300" s="122">
        <v>45509</v>
      </c>
      <c r="L1300" t="s">
        <v>739</v>
      </c>
    </row>
    <row r="1301" spans="1:13" hidden="1" x14ac:dyDescent="0.35">
      <c r="A1301" t="s">
        <v>24</v>
      </c>
      <c r="D1301" t="s">
        <v>27</v>
      </c>
      <c r="F1301">
        <v>4</v>
      </c>
      <c r="G1301">
        <v>7</v>
      </c>
      <c r="H1301">
        <v>4</v>
      </c>
      <c r="I1301">
        <v>52</v>
      </c>
      <c r="K1301" s="122">
        <v>45509</v>
      </c>
      <c r="L1301" t="s">
        <v>737</v>
      </c>
      <c r="M1301">
        <v>8.5</v>
      </c>
    </row>
    <row r="1302" spans="1:13" hidden="1" x14ac:dyDescent="0.35">
      <c r="A1302" t="s">
        <v>24</v>
      </c>
      <c r="D1302" t="s">
        <v>27</v>
      </c>
      <c r="F1302">
        <v>4</v>
      </c>
      <c r="G1302">
        <v>7</v>
      </c>
      <c r="H1302">
        <v>4</v>
      </c>
      <c r="I1302">
        <v>52</v>
      </c>
      <c r="K1302" s="122">
        <v>45509</v>
      </c>
      <c r="L1302" t="s">
        <v>738</v>
      </c>
      <c r="M1302">
        <v>8.5</v>
      </c>
    </row>
    <row r="1303" spans="1:13" hidden="1" x14ac:dyDescent="0.35">
      <c r="A1303" t="s">
        <v>24</v>
      </c>
      <c r="D1303" t="s">
        <v>27</v>
      </c>
      <c r="F1303">
        <v>4</v>
      </c>
      <c r="G1303">
        <v>7</v>
      </c>
      <c r="H1303">
        <v>4</v>
      </c>
      <c r="I1303">
        <v>52</v>
      </c>
      <c r="K1303" s="122">
        <v>45509</v>
      </c>
      <c r="L1303" t="s">
        <v>739</v>
      </c>
      <c r="M1303">
        <v>8.5</v>
      </c>
    </row>
    <row r="1304" spans="1:13" hidden="1" x14ac:dyDescent="0.35">
      <c r="A1304" t="s">
        <v>24</v>
      </c>
      <c r="D1304" t="s">
        <v>27</v>
      </c>
      <c r="F1304">
        <v>5</v>
      </c>
      <c r="G1304">
        <v>5</v>
      </c>
      <c r="H1304">
        <v>3</v>
      </c>
      <c r="I1304">
        <v>37</v>
      </c>
      <c r="K1304" s="122">
        <v>45509</v>
      </c>
      <c r="L1304" t="s">
        <v>737</v>
      </c>
      <c r="M1304">
        <v>8.6</v>
      </c>
    </row>
    <row r="1305" spans="1:13" hidden="1" x14ac:dyDescent="0.35">
      <c r="A1305" t="s">
        <v>24</v>
      </c>
      <c r="D1305" t="s">
        <v>27</v>
      </c>
      <c r="F1305">
        <v>5</v>
      </c>
      <c r="G1305">
        <v>5</v>
      </c>
      <c r="H1305">
        <v>3</v>
      </c>
      <c r="I1305">
        <v>37</v>
      </c>
      <c r="K1305" s="122">
        <v>45509</v>
      </c>
      <c r="L1305" t="s">
        <v>738</v>
      </c>
      <c r="M1305">
        <v>8.4</v>
      </c>
    </row>
    <row r="1306" spans="1:13" hidden="1" x14ac:dyDescent="0.35">
      <c r="A1306" t="s">
        <v>24</v>
      </c>
      <c r="D1306" t="s">
        <v>27</v>
      </c>
      <c r="F1306">
        <v>5</v>
      </c>
      <c r="G1306">
        <v>5</v>
      </c>
      <c r="H1306">
        <v>3</v>
      </c>
      <c r="I1306">
        <v>37</v>
      </c>
      <c r="K1306" s="122">
        <v>45509</v>
      </c>
      <c r="L1306" t="s">
        <v>739</v>
      </c>
      <c r="M1306">
        <v>9.4</v>
      </c>
    </row>
    <row r="1307" spans="1:13" hidden="1" x14ac:dyDescent="0.35">
      <c r="A1307" t="s">
        <v>24</v>
      </c>
      <c r="D1307" t="s">
        <v>27</v>
      </c>
      <c r="F1307">
        <v>8</v>
      </c>
      <c r="G1307">
        <v>3</v>
      </c>
      <c r="H1307">
        <v>2</v>
      </c>
      <c r="I1307">
        <v>24</v>
      </c>
      <c r="K1307" s="122">
        <v>45509</v>
      </c>
      <c r="L1307" t="s">
        <v>737</v>
      </c>
      <c r="M1307">
        <v>7.6</v>
      </c>
    </row>
    <row r="1308" spans="1:13" hidden="1" x14ac:dyDescent="0.35">
      <c r="A1308" t="s">
        <v>24</v>
      </c>
      <c r="D1308" t="s">
        <v>27</v>
      </c>
      <c r="F1308">
        <v>8</v>
      </c>
      <c r="G1308">
        <v>3</v>
      </c>
      <c r="H1308">
        <v>2</v>
      </c>
      <c r="I1308">
        <v>24</v>
      </c>
      <c r="K1308" s="122">
        <v>45509</v>
      </c>
      <c r="L1308" t="s">
        <v>738</v>
      </c>
      <c r="M1308">
        <v>7.6</v>
      </c>
    </row>
    <row r="1309" spans="1:13" hidden="1" x14ac:dyDescent="0.35">
      <c r="A1309" t="s">
        <v>24</v>
      </c>
      <c r="D1309" t="s">
        <v>27</v>
      </c>
      <c r="F1309">
        <v>8</v>
      </c>
      <c r="G1309">
        <v>3</v>
      </c>
      <c r="H1309">
        <v>2</v>
      </c>
      <c r="I1309">
        <v>24</v>
      </c>
      <c r="K1309" s="122">
        <v>45509</v>
      </c>
      <c r="L1309" t="s">
        <v>739</v>
      </c>
      <c r="M1309">
        <v>8.4</v>
      </c>
    </row>
    <row r="1310" spans="1:13" hidden="1" x14ac:dyDescent="0.35">
      <c r="A1310" t="s">
        <v>24</v>
      </c>
      <c r="D1310" t="s">
        <v>27</v>
      </c>
      <c r="F1310">
        <v>1</v>
      </c>
      <c r="G1310">
        <v>1</v>
      </c>
      <c r="H1310">
        <v>1</v>
      </c>
      <c r="I1310">
        <v>1</v>
      </c>
      <c r="K1310" s="122">
        <v>45519</v>
      </c>
      <c r="L1310" t="s">
        <v>737</v>
      </c>
      <c r="M1310">
        <v>9.3000000000000007</v>
      </c>
    </row>
    <row r="1311" spans="1:13" hidden="1" x14ac:dyDescent="0.35">
      <c r="A1311" t="s">
        <v>24</v>
      </c>
      <c r="D1311" t="s">
        <v>27</v>
      </c>
      <c r="F1311">
        <v>1</v>
      </c>
      <c r="G1311">
        <v>1</v>
      </c>
      <c r="H1311">
        <v>1</v>
      </c>
      <c r="I1311">
        <v>1</v>
      </c>
      <c r="K1311" s="122">
        <v>45519</v>
      </c>
      <c r="L1311" t="s">
        <v>738</v>
      </c>
      <c r="M1311">
        <v>10.5</v>
      </c>
    </row>
    <row r="1312" spans="1:13" hidden="1" x14ac:dyDescent="0.35">
      <c r="A1312" t="s">
        <v>24</v>
      </c>
      <c r="D1312" t="s">
        <v>27</v>
      </c>
      <c r="F1312">
        <v>1</v>
      </c>
      <c r="G1312">
        <v>1</v>
      </c>
      <c r="H1312">
        <v>1</v>
      </c>
      <c r="I1312">
        <v>1</v>
      </c>
      <c r="K1312" s="122">
        <v>45519</v>
      </c>
      <c r="L1312" t="s">
        <v>739</v>
      </c>
    </row>
    <row r="1313" spans="1:13" hidden="1" x14ac:dyDescent="0.35">
      <c r="A1313" t="s">
        <v>24</v>
      </c>
      <c r="D1313" t="s">
        <v>27</v>
      </c>
      <c r="F1313">
        <v>4</v>
      </c>
      <c r="G1313">
        <v>7</v>
      </c>
      <c r="H1313">
        <v>4</v>
      </c>
      <c r="I1313">
        <v>52</v>
      </c>
      <c r="K1313" s="122">
        <v>45519</v>
      </c>
      <c r="L1313" t="s">
        <v>737</v>
      </c>
      <c r="M1313">
        <v>9.3000000000000007</v>
      </c>
    </row>
    <row r="1314" spans="1:13" hidden="1" x14ac:dyDescent="0.35">
      <c r="A1314" t="s">
        <v>24</v>
      </c>
      <c r="D1314" t="s">
        <v>27</v>
      </c>
      <c r="F1314">
        <v>4</v>
      </c>
      <c r="G1314">
        <v>7</v>
      </c>
      <c r="H1314">
        <v>4</v>
      </c>
      <c r="I1314">
        <v>52</v>
      </c>
      <c r="K1314" s="122">
        <v>45519</v>
      </c>
      <c r="L1314" t="s">
        <v>738</v>
      </c>
      <c r="M1314">
        <v>9.4</v>
      </c>
    </row>
    <row r="1315" spans="1:13" hidden="1" x14ac:dyDescent="0.35">
      <c r="A1315" t="s">
        <v>24</v>
      </c>
      <c r="D1315" t="s">
        <v>27</v>
      </c>
      <c r="F1315">
        <v>4</v>
      </c>
      <c r="G1315">
        <v>7</v>
      </c>
      <c r="H1315">
        <v>4</v>
      </c>
      <c r="I1315">
        <v>52</v>
      </c>
      <c r="K1315" s="122">
        <v>45519</v>
      </c>
      <c r="L1315" t="s">
        <v>739</v>
      </c>
      <c r="M1315">
        <v>9.1999999999999993</v>
      </c>
    </row>
    <row r="1316" spans="1:13" hidden="1" x14ac:dyDescent="0.35">
      <c r="A1316" t="s">
        <v>24</v>
      </c>
      <c r="D1316" t="s">
        <v>27</v>
      </c>
      <c r="F1316">
        <v>5</v>
      </c>
      <c r="G1316">
        <v>5</v>
      </c>
      <c r="H1316">
        <v>3</v>
      </c>
      <c r="I1316">
        <v>37</v>
      </c>
      <c r="K1316" s="122">
        <v>45519</v>
      </c>
      <c r="L1316" t="s">
        <v>737</v>
      </c>
      <c r="M1316">
        <v>9.3000000000000007</v>
      </c>
    </row>
    <row r="1317" spans="1:13" hidden="1" x14ac:dyDescent="0.35">
      <c r="A1317" t="s">
        <v>24</v>
      </c>
      <c r="D1317" t="s">
        <v>27</v>
      </c>
      <c r="F1317">
        <v>5</v>
      </c>
      <c r="G1317">
        <v>5</v>
      </c>
      <c r="H1317">
        <v>3</v>
      </c>
      <c r="I1317">
        <v>37</v>
      </c>
      <c r="K1317" s="122">
        <v>45519</v>
      </c>
      <c r="L1317" t="s">
        <v>738</v>
      </c>
      <c r="M1317">
        <v>9.1999999999999993</v>
      </c>
    </row>
    <row r="1318" spans="1:13" hidden="1" x14ac:dyDescent="0.35">
      <c r="A1318" t="s">
        <v>24</v>
      </c>
      <c r="D1318" t="s">
        <v>27</v>
      </c>
      <c r="F1318">
        <v>5</v>
      </c>
      <c r="G1318">
        <v>5</v>
      </c>
      <c r="H1318">
        <v>3</v>
      </c>
      <c r="I1318">
        <v>37</v>
      </c>
      <c r="K1318" s="122">
        <v>45519</v>
      </c>
      <c r="L1318" t="s">
        <v>739</v>
      </c>
      <c r="M1318">
        <v>10.199999999999999</v>
      </c>
    </row>
    <row r="1319" spans="1:13" hidden="1" x14ac:dyDescent="0.35">
      <c r="A1319" t="s">
        <v>24</v>
      </c>
      <c r="D1319" t="s">
        <v>27</v>
      </c>
      <c r="F1319">
        <v>8</v>
      </c>
      <c r="G1319">
        <v>3</v>
      </c>
      <c r="H1319">
        <v>2</v>
      </c>
      <c r="I1319">
        <v>24</v>
      </c>
      <c r="K1319" s="122">
        <v>45519</v>
      </c>
      <c r="L1319" t="s">
        <v>737</v>
      </c>
      <c r="M1319">
        <v>8.4</v>
      </c>
    </row>
    <row r="1320" spans="1:13" hidden="1" x14ac:dyDescent="0.35">
      <c r="A1320" t="s">
        <v>24</v>
      </c>
      <c r="D1320" t="s">
        <v>27</v>
      </c>
      <c r="F1320">
        <v>8</v>
      </c>
      <c r="G1320">
        <v>3</v>
      </c>
      <c r="H1320">
        <v>2</v>
      </c>
      <c r="I1320">
        <v>24</v>
      </c>
      <c r="K1320" s="122">
        <v>45519</v>
      </c>
      <c r="L1320" t="s">
        <v>738</v>
      </c>
      <c r="M1320">
        <v>8.6999999999999993</v>
      </c>
    </row>
    <row r="1321" spans="1:13" hidden="1" x14ac:dyDescent="0.35">
      <c r="A1321" t="s">
        <v>24</v>
      </c>
      <c r="D1321" t="s">
        <v>27</v>
      </c>
      <c r="F1321">
        <v>8</v>
      </c>
      <c r="G1321">
        <v>3</v>
      </c>
      <c r="H1321">
        <v>2</v>
      </c>
      <c r="I1321">
        <v>24</v>
      </c>
      <c r="K1321" s="122">
        <v>45519</v>
      </c>
      <c r="L1321" t="s">
        <v>739</v>
      </c>
      <c r="M1321">
        <v>9.3000000000000007</v>
      </c>
    </row>
    <row r="1322" spans="1:13" hidden="1" x14ac:dyDescent="0.35">
      <c r="A1322" t="s">
        <v>24</v>
      </c>
      <c r="D1322" t="s">
        <v>27</v>
      </c>
      <c r="F1322">
        <v>1</v>
      </c>
      <c r="G1322">
        <v>1</v>
      </c>
      <c r="H1322">
        <v>1</v>
      </c>
      <c r="I1322">
        <v>1</v>
      </c>
      <c r="K1322" s="122">
        <v>45530</v>
      </c>
      <c r="L1322" t="s">
        <v>737</v>
      </c>
      <c r="M1322">
        <v>10.5</v>
      </c>
    </row>
    <row r="1323" spans="1:13" hidden="1" x14ac:dyDescent="0.35">
      <c r="A1323" t="s">
        <v>24</v>
      </c>
      <c r="D1323" t="s">
        <v>27</v>
      </c>
      <c r="F1323">
        <v>1</v>
      </c>
      <c r="G1323">
        <v>1</v>
      </c>
      <c r="H1323">
        <v>1</v>
      </c>
      <c r="I1323">
        <v>1</v>
      </c>
      <c r="K1323" s="122">
        <v>45530</v>
      </c>
      <c r="L1323" t="s">
        <v>738</v>
      </c>
      <c r="M1323">
        <v>11.6</v>
      </c>
    </row>
    <row r="1324" spans="1:13" hidden="1" x14ac:dyDescent="0.35">
      <c r="A1324" t="s">
        <v>24</v>
      </c>
      <c r="D1324" t="s">
        <v>27</v>
      </c>
      <c r="F1324">
        <v>1</v>
      </c>
      <c r="G1324">
        <v>1</v>
      </c>
      <c r="H1324">
        <v>1</v>
      </c>
      <c r="I1324">
        <v>1</v>
      </c>
      <c r="K1324" s="122">
        <v>45530</v>
      </c>
      <c r="L1324" t="s">
        <v>739</v>
      </c>
    </row>
    <row r="1325" spans="1:13" hidden="1" x14ac:dyDescent="0.35">
      <c r="A1325" t="s">
        <v>24</v>
      </c>
      <c r="D1325" t="s">
        <v>27</v>
      </c>
      <c r="F1325">
        <v>4</v>
      </c>
      <c r="G1325">
        <v>7</v>
      </c>
      <c r="H1325">
        <v>4</v>
      </c>
      <c r="I1325">
        <v>52</v>
      </c>
      <c r="K1325" s="122">
        <v>45530</v>
      </c>
      <c r="L1325" t="s">
        <v>737</v>
      </c>
      <c r="M1325">
        <v>10.1</v>
      </c>
    </row>
    <row r="1326" spans="1:13" hidden="1" x14ac:dyDescent="0.35">
      <c r="A1326" t="s">
        <v>24</v>
      </c>
      <c r="D1326" t="s">
        <v>27</v>
      </c>
      <c r="F1326">
        <v>4</v>
      </c>
      <c r="G1326">
        <v>7</v>
      </c>
      <c r="H1326">
        <v>4</v>
      </c>
      <c r="I1326">
        <v>52</v>
      </c>
      <c r="K1326" s="122">
        <v>45530</v>
      </c>
      <c r="L1326" t="s">
        <v>738</v>
      </c>
      <c r="M1326">
        <v>10.5</v>
      </c>
    </row>
    <row r="1327" spans="1:13" hidden="1" x14ac:dyDescent="0.35">
      <c r="A1327" t="s">
        <v>24</v>
      </c>
      <c r="D1327" t="s">
        <v>27</v>
      </c>
      <c r="F1327">
        <v>4</v>
      </c>
      <c r="G1327">
        <v>7</v>
      </c>
      <c r="H1327">
        <v>4</v>
      </c>
      <c r="I1327">
        <v>52</v>
      </c>
      <c r="K1327" s="122">
        <v>45530</v>
      </c>
      <c r="L1327" t="s">
        <v>739</v>
      </c>
      <c r="M1327">
        <v>10.199999999999999</v>
      </c>
    </row>
    <row r="1328" spans="1:13" hidden="1" x14ac:dyDescent="0.35">
      <c r="A1328" t="s">
        <v>24</v>
      </c>
      <c r="D1328" t="s">
        <v>27</v>
      </c>
      <c r="F1328">
        <v>5</v>
      </c>
      <c r="G1328">
        <v>5</v>
      </c>
      <c r="H1328">
        <v>3</v>
      </c>
      <c r="I1328">
        <v>37</v>
      </c>
      <c r="K1328" s="122">
        <v>45530</v>
      </c>
      <c r="L1328" t="s">
        <v>737</v>
      </c>
      <c r="M1328">
        <v>10.6</v>
      </c>
    </row>
    <row r="1329" spans="1:13" hidden="1" x14ac:dyDescent="0.35">
      <c r="A1329" t="s">
        <v>24</v>
      </c>
      <c r="D1329" t="s">
        <v>27</v>
      </c>
      <c r="F1329">
        <v>5</v>
      </c>
      <c r="G1329">
        <v>5</v>
      </c>
      <c r="H1329">
        <v>3</v>
      </c>
      <c r="I1329">
        <v>37</v>
      </c>
      <c r="K1329" s="122">
        <v>45530</v>
      </c>
      <c r="L1329" t="s">
        <v>738</v>
      </c>
      <c r="M1329">
        <v>10.6</v>
      </c>
    </row>
    <row r="1330" spans="1:13" hidden="1" x14ac:dyDescent="0.35">
      <c r="A1330" t="s">
        <v>24</v>
      </c>
      <c r="D1330" t="s">
        <v>27</v>
      </c>
      <c r="F1330">
        <v>5</v>
      </c>
      <c r="G1330">
        <v>5</v>
      </c>
      <c r="H1330">
        <v>3</v>
      </c>
      <c r="I1330">
        <v>37</v>
      </c>
      <c r="K1330" s="122">
        <v>45530</v>
      </c>
      <c r="L1330" t="s">
        <v>739</v>
      </c>
      <c r="M1330">
        <v>11.6</v>
      </c>
    </row>
    <row r="1331" spans="1:13" hidden="1" x14ac:dyDescent="0.35">
      <c r="A1331" t="s">
        <v>24</v>
      </c>
      <c r="D1331" t="s">
        <v>27</v>
      </c>
      <c r="F1331">
        <v>8</v>
      </c>
      <c r="G1331">
        <v>3</v>
      </c>
      <c r="H1331">
        <v>2</v>
      </c>
      <c r="I1331">
        <v>24</v>
      </c>
      <c r="K1331" s="122">
        <v>45530</v>
      </c>
      <c r="L1331" t="s">
        <v>737</v>
      </c>
      <c r="M1331">
        <v>9.9</v>
      </c>
    </row>
    <row r="1332" spans="1:13" hidden="1" x14ac:dyDescent="0.35">
      <c r="A1332" t="s">
        <v>24</v>
      </c>
      <c r="D1332" t="s">
        <v>27</v>
      </c>
      <c r="F1332">
        <v>8</v>
      </c>
      <c r="G1332">
        <v>3</v>
      </c>
      <c r="H1332">
        <v>2</v>
      </c>
      <c r="I1332">
        <v>24</v>
      </c>
      <c r="K1332" s="122">
        <v>45530</v>
      </c>
      <c r="L1332" t="s">
        <v>738</v>
      </c>
      <c r="M1332">
        <v>9.6</v>
      </c>
    </row>
    <row r="1333" spans="1:13" hidden="1" x14ac:dyDescent="0.35">
      <c r="A1333" t="s">
        <v>24</v>
      </c>
      <c r="D1333" t="s">
        <v>27</v>
      </c>
      <c r="F1333">
        <v>8</v>
      </c>
      <c r="G1333">
        <v>3</v>
      </c>
      <c r="H1333">
        <v>2</v>
      </c>
      <c r="I1333">
        <v>24</v>
      </c>
      <c r="K1333" s="122">
        <v>45530</v>
      </c>
      <c r="L1333" t="s">
        <v>739</v>
      </c>
      <c r="M1333">
        <v>10.4</v>
      </c>
    </row>
    <row r="1334" spans="1:13" hidden="1" x14ac:dyDescent="0.35">
      <c r="A1334" t="s">
        <v>34</v>
      </c>
      <c r="D1334" t="s">
        <v>43</v>
      </c>
      <c r="F1334">
        <v>5</v>
      </c>
      <c r="G1334">
        <v>6</v>
      </c>
      <c r="H1334">
        <v>3</v>
      </c>
      <c r="I1334">
        <v>45</v>
      </c>
      <c r="K1334" s="122">
        <v>45442</v>
      </c>
      <c r="L1334" t="s">
        <v>737</v>
      </c>
    </row>
    <row r="1335" spans="1:13" hidden="1" x14ac:dyDescent="0.35">
      <c r="A1335" t="s">
        <v>34</v>
      </c>
      <c r="D1335" t="s">
        <v>43</v>
      </c>
      <c r="F1335">
        <v>5</v>
      </c>
      <c r="G1335">
        <v>6</v>
      </c>
      <c r="H1335">
        <v>3</v>
      </c>
      <c r="I1335">
        <v>45</v>
      </c>
      <c r="K1335" s="122">
        <v>45442</v>
      </c>
      <c r="L1335" t="s">
        <v>738</v>
      </c>
    </row>
    <row r="1336" spans="1:13" hidden="1" x14ac:dyDescent="0.35">
      <c r="A1336" t="s">
        <v>34</v>
      </c>
      <c r="D1336" t="s">
        <v>43</v>
      </c>
      <c r="F1336">
        <v>5</v>
      </c>
      <c r="G1336">
        <v>6</v>
      </c>
      <c r="H1336">
        <v>3</v>
      </c>
      <c r="I1336">
        <v>45</v>
      </c>
      <c r="K1336" s="122">
        <v>45442</v>
      </c>
      <c r="L1336" t="s">
        <v>739</v>
      </c>
    </row>
    <row r="1337" spans="1:13" hidden="1" x14ac:dyDescent="0.35">
      <c r="A1337" t="s">
        <v>34</v>
      </c>
      <c r="D1337" t="s">
        <v>43</v>
      </c>
      <c r="F1337">
        <v>5</v>
      </c>
      <c r="G1337">
        <v>6</v>
      </c>
      <c r="H1337">
        <v>3</v>
      </c>
      <c r="I1337">
        <v>45</v>
      </c>
      <c r="K1337" s="122">
        <v>45447</v>
      </c>
      <c r="L1337" t="s">
        <v>737</v>
      </c>
      <c r="M1337">
        <v>1.7</v>
      </c>
    </row>
    <row r="1338" spans="1:13" hidden="1" x14ac:dyDescent="0.35">
      <c r="A1338" t="s">
        <v>34</v>
      </c>
      <c r="D1338" t="s">
        <v>43</v>
      </c>
      <c r="F1338">
        <v>5</v>
      </c>
      <c r="G1338">
        <v>6</v>
      </c>
      <c r="H1338">
        <v>3</v>
      </c>
      <c r="I1338">
        <v>45</v>
      </c>
      <c r="K1338" s="122">
        <v>45447</v>
      </c>
      <c r="L1338" t="s">
        <v>738</v>
      </c>
      <c r="M1338">
        <v>1.9</v>
      </c>
    </row>
    <row r="1339" spans="1:13" hidden="1" x14ac:dyDescent="0.35">
      <c r="A1339" t="s">
        <v>34</v>
      </c>
      <c r="D1339" t="s">
        <v>43</v>
      </c>
      <c r="F1339">
        <v>5</v>
      </c>
      <c r="G1339">
        <v>6</v>
      </c>
      <c r="H1339">
        <v>3</v>
      </c>
      <c r="I1339">
        <v>45</v>
      </c>
      <c r="K1339" s="122">
        <v>45447</v>
      </c>
      <c r="L1339" t="s">
        <v>739</v>
      </c>
      <c r="M1339">
        <v>1.8</v>
      </c>
    </row>
    <row r="1340" spans="1:13" hidden="1" x14ac:dyDescent="0.35">
      <c r="A1340" t="s">
        <v>34</v>
      </c>
      <c r="D1340" t="s">
        <v>43</v>
      </c>
      <c r="F1340">
        <v>5</v>
      </c>
      <c r="G1340">
        <v>6</v>
      </c>
      <c r="H1340">
        <v>3</v>
      </c>
      <c r="I1340">
        <v>45</v>
      </c>
      <c r="K1340" s="122">
        <v>45462</v>
      </c>
      <c r="L1340" t="s">
        <v>737</v>
      </c>
      <c r="M1340">
        <v>3.4</v>
      </c>
    </row>
    <row r="1341" spans="1:13" hidden="1" x14ac:dyDescent="0.35">
      <c r="A1341" t="s">
        <v>34</v>
      </c>
      <c r="D1341" t="s">
        <v>43</v>
      </c>
      <c r="F1341">
        <v>5</v>
      </c>
      <c r="G1341">
        <v>6</v>
      </c>
      <c r="H1341">
        <v>3</v>
      </c>
      <c r="I1341">
        <v>45</v>
      </c>
      <c r="K1341" s="122">
        <v>45462</v>
      </c>
      <c r="L1341" t="s">
        <v>738</v>
      </c>
      <c r="M1341">
        <v>3.1</v>
      </c>
    </row>
    <row r="1342" spans="1:13" hidden="1" x14ac:dyDescent="0.35">
      <c r="A1342" t="s">
        <v>34</v>
      </c>
      <c r="D1342" t="s">
        <v>43</v>
      </c>
      <c r="F1342">
        <v>5</v>
      </c>
      <c r="G1342">
        <v>6</v>
      </c>
      <c r="H1342">
        <v>3</v>
      </c>
      <c r="I1342">
        <v>45</v>
      </c>
      <c r="K1342" s="122">
        <v>45462</v>
      </c>
      <c r="L1342" t="s">
        <v>739</v>
      </c>
      <c r="M1342">
        <v>3.1</v>
      </c>
    </row>
    <row r="1343" spans="1:13" hidden="1" x14ac:dyDescent="0.35">
      <c r="A1343" t="s">
        <v>34</v>
      </c>
      <c r="D1343" t="s">
        <v>43</v>
      </c>
      <c r="F1343">
        <v>5</v>
      </c>
      <c r="G1343">
        <v>6</v>
      </c>
      <c r="H1343">
        <v>3</v>
      </c>
      <c r="I1343">
        <v>45</v>
      </c>
      <c r="K1343" s="122">
        <v>45477</v>
      </c>
      <c r="L1343" t="s">
        <v>737</v>
      </c>
      <c r="M1343">
        <v>4.9000000000000004</v>
      </c>
    </row>
    <row r="1344" spans="1:13" hidden="1" x14ac:dyDescent="0.35">
      <c r="A1344" t="s">
        <v>34</v>
      </c>
      <c r="D1344" t="s">
        <v>43</v>
      </c>
      <c r="F1344">
        <v>5</v>
      </c>
      <c r="G1344">
        <v>6</v>
      </c>
      <c r="H1344">
        <v>3</v>
      </c>
      <c r="I1344">
        <v>45</v>
      </c>
      <c r="K1344" s="122">
        <v>45477</v>
      </c>
      <c r="L1344" t="s">
        <v>738</v>
      </c>
      <c r="M1344">
        <v>4.5999999999999996</v>
      </c>
    </row>
    <row r="1345" spans="1:13" hidden="1" x14ac:dyDescent="0.35">
      <c r="A1345" t="s">
        <v>34</v>
      </c>
      <c r="D1345" t="s">
        <v>43</v>
      </c>
      <c r="F1345">
        <v>5</v>
      </c>
      <c r="G1345">
        <v>6</v>
      </c>
      <c r="H1345">
        <v>3</v>
      </c>
      <c r="I1345">
        <v>45</v>
      </c>
      <c r="K1345" s="122">
        <v>45477</v>
      </c>
      <c r="L1345" t="s">
        <v>739</v>
      </c>
      <c r="M1345">
        <v>4.3</v>
      </c>
    </row>
    <row r="1346" spans="1:13" hidden="1" x14ac:dyDescent="0.35">
      <c r="A1346" t="s">
        <v>34</v>
      </c>
      <c r="D1346" t="s">
        <v>43</v>
      </c>
      <c r="F1346">
        <v>5</v>
      </c>
      <c r="G1346">
        <v>6</v>
      </c>
      <c r="H1346">
        <v>3</v>
      </c>
      <c r="I1346">
        <v>45</v>
      </c>
      <c r="K1346" s="122">
        <v>45485</v>
      </c>
      <c r="L1346" t="s">
        <v>737</v>
      </c>
    </row>
    <row r="1347" spans="1:13" hidden="1" x14ac:dyDescent="0.35">
      <c r="A1347" t="s">
        <v>34</v>
      </c>
      <c r="D1347" t="s">
        <v>43</v>
      </c>
      <c r="F1347">
        <v>5</v>
      </c>
      <c r="G1347">
        <v>6</v>
      </c>
      <c r="H1347">
        <v>3</v>
      </c>
      <c r="I1347">
        <v>45</v>
      </c>
      <c r="K1347" s="122">
        <v>45485</v>
      </c>
      <c r="L1347" t="s">
        <v>738</v>
      </c>
    </row>
    <row r="1348" spans="1:13" hidden="1" x14ac:dyDescent="0.35">
      <c r="A1348" t="s">
        <v>34</v>
      </c>
      <c r="D1348" t="s">
        <v>43</v>
      </c>
      <c r="F1348">
        <v>5</v>
      </c>
      <c r="G1348">
        <v>6</v>
      </c>
      <c r="H1348">
        <v>3</v>
      </c>
      <c r="I1348">
        <v>45</v>
      </c>
      <c r="K1348" s="122">
        <v>45485</v>
      </c>
      <c r="L1348" t="s">
        <v>739</v>
      </c>
    </row>
    <row r="1349" spans="1:13" hidden="1" x14ac:dyDescent="0.35">
      <c r="A1349" t="s">
        <v>34</v>
      </c>
      <c r="D1349" t="s">
        <v>43</v>
      </c>
      <c r="F1349">
        <v>5</v>
      </c>
      <c r="G1349">
        <v>6</v>
      </c>
      <c r="H1349">
        <v>3</v>
      </c>
      <c r="I1349">
        <v>45</v>
      </c>
      <c r="K1349" s="122">
        <v>45492</v>
      </c>
      <c r="L1349" t="s">
        <v>737</v>
      </c>
      <c r="M1349">
        <v>5.6</v>
      </c>
    </row>
    <row r="1350" spans="1:13" hidden="1" x14ac:dyDescent="0.35">
      <c r="A1350" t="s">
        <v>34</v>
      </c>
      <c r="D1350" t="s">
        <v>43</v>
      </c>
      <c r="F1350">
        <v>5</v>
      </c>
      <c r="G1350">
        <v>6</v>
      </c>
      <c r="H1350">
        <v>3</v>
      </c>
      <c r="I1350">
        <v>45</v>
      </c>
      <c r="K1350" s="122">
        <v>45492</v>
      </c>
      <c r="L1350" t="s">
        <v>738</v>
      </c>
      <c r="M1350">
        <v>5.6</v>
      </c>
    </row>
    <row r="1351" spans="1:13" hidden="1" x14ac:dyDescent="0.35">
      <c r="A1351" t="s">
        <v>34</v>
      </c>
      <c r="D1351" t="s">
        <v>43</v>
      </c>
      <c r="F1351">
        <v>5</v>
      </c>
      <c r="G1351">
        <v>6</v>
      </c>
      <c r="H1351">
        <v>3</v>
      </c>
      <c r="I1351">
        <v>45</v>
      </c>
      <c r="K1351" s="122">
        <v>45492</v>
      </c>
      <c r="L1351" t="s">
        <v>739</v>
      </c>
      <c r="M1351">
        <v>6.3</v>
      </c>
    </row>
    <row r="1352" spans="1:13" hidden="1" x14ac:dyDescent="0.35">
      <c r="A1352" t="s">
        <v>34</v>
      </c>
      <c r="D1352" t="s">
        <v>43</v>
      </c>
      <c r="F1352">
        <v>5</v>
      </c>
      <c r="G1352">
        <v>6</v>
      </c>
      <c r="H1352">
        <v>3</v>
      </c>
      <c r="I1352">
        <v>45</v>
      </c>
      <c r="K1352" s="122">
        <v>45509</v>
      </c>
      <c r="L1352" t="s">
        <v>737</v>
      </c>
      <c r="M1352">
        <v>6.8</v>
      </c>
    </row>
    <row r="1353" spans="1:13" hidden="1" x14ac:dyDescent="0.35">
      <c r="A1353" t="s">
        <v>34</v>
      </c>
      <c r="D1353" t="s">
        <v>43</v>
      </c>
      <c r="F1353">
        <v>5</v>
      </c>
      <c r="G1353">
        <v>6</v>
      </c>
      <c r="H1353">
        <v>3</v>
      </c>
      <c r="I1353">
        <v>45</v>
      </c>
      <c r="K1353" s="122">
        <v>45509</v>
      </c>
      <c r="L1353" t="s">
        <v>738</v>
      </c>
      <c r="M1353">
        <v>7.6</v>
      </c>
    </row>
    <row r="1354" spans="1:13" hidden="1" x14ac:dyDescent="0.35">
      <c r="A1354" t="s">
        <v>34</v>
      </c>
      <c r="D1354" t="s">
        <v>43</v>
      </c>
      <c r="F1354">
        <v>5</v>
      </c>
      <c r="G1354">
        <v>6</v>
      </c>
      <c r="H1354">
        <v>3</v>
      </c>
      <c r="I1354">
        <v>45</v>
      </c>
      <c r="K1354" s="122">
        <v>45509</v>
      </c>
      <c r="L1354" t="s">
        <v>739</v>
      </c>
      <c r="M1354">
        <v>6.9</v>
      </c>
    </row>
    <row r="1355" spans="1:13" hidden="1" x14ac:dyDescent="0.35">
      <c r="A1355" t="s">
        <v>34</v>
      </c>
      <c r="D1355" t="s">
        <v>43</v>
      </c>
      <c r="F1355">
        <v>5</v>
      </c>
      <c r="G1355">
        <v>6</v>
      </c>
      <c r="H1355">
        <v>3</v>
      </c>
      <c r="I1355">
        <v>45</v>
      </c>
      <c r="K1355" s="122">
        <v>45519</v>
      </c>
      <c r="L1355" t="s">
        <v>737</v>
      </c>
      <c r="M1355">
        <v>8.6</v>
      </c>
    </row>
    <row r="1356" spans="1:13" hidden="1" x14ac:dyDescent="0.35">
      <c r="A1356" t="s">
        <v>34</v>
      </c>
      <c r="D1356" t="s">
        <v>43</v>
      </c>
      <c r="F1356">
        <v>5</v>
      </c>
      <c r="G1356">
        <v>6</v>
      </c>
      <c r="H1356">
        <v>3</v>
      </c>
      <c r="I1356">
        <v>45</v>
      </c>
      <c r="K1356" s="122">
        <v>45519</v>
      </c>
      <c r="L1356" t="s">
        <v>738</v>
      </c>
      <c r="M1356">
        <v>7.8</v>
      </c>
    </row>
    <row r="1357" spans="1:13" hidden="1" x14ac:dyDescent="0.35">
      <c r="A1357" t="s">
        <v>34</v>
      </c>
      <c r="D1357" t="s">
        <v>43</v>
      </c>
      <c r="F1357">
        <v>5</v>
      </c>
      <c r="G1357">
        <v>6</v>
      </c>
      <c r="H1357">
        <v>3</v>
      </c>
      <c r="I1357">
        <v>45</v>
      </c>
      <c r="K1357" s="122">
        <v>45519</v>
      </c>
      <c r="L1357" t="s">
        <v>739</v>
      </c>
      <c r="M1357">
        <v>7.8</v>
      </c>
    </row>
    <row r="1358" spans="1:13" hidden="1" x14ac:dyDescent="0.35">
      <c r="A1358" t="s">
        <v>34</v>
      </c>
      <c r="D1358" t="s">
        <v>43</v>
      </c>
      <c r="F1358">
        <v>5</v>
      </c>
      <c r="G1358">
        <v>6</v>
      </c>
      <c r="H1358">
        <v>3</v>
      </c>
      <c r="I1358">
        <v>45</v>
      </c>
      <c r="K1358" s="122">
        <v>45530</v>
      </c>
      <c r="L1358" t="s">
        <v>737</v>
      </c>
      <c r="M1358">
        <v>9.4</v>
      </c>
    </row>
    <row r="1359" spans="1:13" hidden="1" x14ac:dyDescent="0.35">
      <c r="A1359" t="s">
        <v>34</v>
      </c>
      <c r="D1359" t="s">
        <v>43</v>
      </c>
      <c r="F1359">
        <v>5</v>
      </c>
      <c r="G1359">
        <v>6</v>
      </c>
      <c r="H1359">
        <v>3</v>
      </c>
      <c r="I1359">
        <v>45</v>
      </c>
      <c r="K1359" s="122">
        <v>45530</v>
      </c>
      <c r="L1359" t="s">
        <v>738</v>
      </c>
      <c r="M1359">
        <v>8.9</v>
      </c>
    </row>
    <row r="1360" spans="1:13" hidden="1" x14ac:dyDescent="0.35">
      <c r="A1360" t="s">
        <v>34</v>
      </c>
      <c r="D1360" t="s">
        <v>43</v>
      </c>
      <c r="F1360">
        <v>5</v>
      </c>
      <c r="G1360">
        <v>6</v>
      </c>
      <c r="H1360">
        <v>3</v>
      </c>
      <c r="I1360">
        <v>45</v>
      </c>
      <c r="K1360" s="122">
        <v>45530</v>
      </c>
      <c r="L1360" t="s">
        <v>739</v>
      </c>
      <c r="M1360">
        <v>8.9</v>
      </c>
    </row>
    <row r="1361" spans="1:13" hidden="1" x14ac:dyDescent="0.35">
      <c r="A1361" t="s">
        <v>34</v>
      </c>
      <c r="D1361" t="s">
        <v>43</v>
      </c>
      <c r="F1361">
        <v>5</v>
      </c>
      <c r="G1361">
        <v>6</v>
      </c>
      <c r="H1361">
        <v>3</v>
      </c>
      <c r="I1361">
        <v>45</v>
      </c>
      <c r="K1361" s="122">
        <v>45538</v>
      </c>
      <c r="L1361" t="s">
        <v>737</v>
      </c>
      <c r="M1361">
        <v>10</v>
      </c>
    </row>
    <row r="1362" spans="1:13" hidden="1" x14ac:dyDescent="0.35">
      <c r="A1362" t="s">
        <v>34</v>
      </c>
      <c r="D1362" t="s">
        <v>43</v>
      </c>
      <c r="F1362">
        <v>5</v>
      </c>
      <c r="G1362">
        <v>6</v>
      </c>
      <c r="H1362">
        <v>3</v>
      </c>
      <c r="I1362">
        <v>45</v>
      </c>
      <c r="K1362" s="122">
        <v>45538</v>
      </c>
      <c r="L1362" t="s">
        <v>738</v>
      </c>
      <c r="M1362">
        <v>9.6</v>
      </c>
    </row>
    <row r="1363" spans="1:13" hidden="1" x14ac:dyDescent="0.35">
      <c r="A1363" t="s">
        <v>34</v>
      </c>
      <c r="D1363" t="s">
        <v>43</v>
      </c>
      <c r="F1363">
        <v>5</v>
      </c>
      <c r="G1363">
        <v>6</v>
      </c>
      <c r="H1363">
        <v>3</v>
      </c>
      <c r="I1363">
        <v>45</v>
      </c>
      <c r="K1363" s="122">
        <v>45538</v>
      </c>
      <c r="L1363" t="s">
        <v>739</v>
      </c>
      <c r="M1363">
        <v>9.6</v>
      </c>
    </row>
    <row r="1364" spans="1:13" hidden="1" x14ac:dyDescent="0.35">
      <c r="A1364" t="s">
        <v>34</v>
      </c>
      <c r="D1364" t="s">
        <v>43</v>
      </c>
      <c r="F1364">
        <v>5</v>
      </c>
      <c r="G1364">
        <v>6</v>
      </c>
      <c r="H1364">
        <v>3</v>
      </c>
      <c r="I1364">
        <v>45</v>
      </c>
      <c r="K1364" s="122">
        <v>45547</v>
      </c>
      <c r="L1364" t="s">
        <v>737</v>
      </c>
      <c r="M1364">
        <v>10</v>
      </c>
    </row>
    <row r="1365" spans="1:13" hidden="1" x14ac:dyDescent="0.35">
      <c r="A1365" t="s">
        <v>34</v>
      </c>
      <c r="D1365" t="s">
        <v>43</v>
      </c>
      <c r="F1365">
        <v>5</v>
      </c>
      <c r="G1365">
        <v>6</v>
      </c>
      <c r="H1365">
        <v>3</v>
      </c>
      <c r="I1365">
        <v>45</v>
      </c>
      <c r="K1365" s="122">
        <v>45547</v>
      </c>
      <c r="L1365" t="s">
        <v>738</v>
      </c>
      <c r="M1365">
        <v>10</v>
      </c>
    </row>
    <row r="1366" spans="1:13" hidden="1" x14ac:dyDescent="0.35">
      <c r="A1366" t="s">
        <v>34</v>
      </c>
      <c r="D1366" t="s">
        <v>43</v>
      </c>
      <c r="F1366">
        <v>5</v>
      </c>
      <c r="G1366">
        <v>6</v>
      </c>
      <c r="H1366">
        <v>3</v>
      </c>
      <c r="I1366">
        <v>45</v>
      </c>
      <c r="K1366" s="122">
        <v>45547</v>
      </c>
      <c r="L1366" t="s">
        <v>739</v>
      </c>
      <c r="M1366">
        <v>10</v>
      </c>
    </row>
    <row r="1367" spans="1:13" hidden="1" x14ac:dyDescent="0.35">
      <c r="A1367" t="s">
        <v>34</v>
      </c>
      <c r="D1367" t="s">
        <v>43</v>
      </c>
      <c r="F1367">
        <v>5</v>
      </c>
      <c r="G1367">
        <v>6</v>
      </c>
      <c r="H1367">
        <v>3</v>
      </c>
      <c r="I1367">
        <v>45</v>
      </c>
      <c r="K1367" s="122">
        <v>45555</v>
      </c>
      <c r="L1367" t="s">
        <v>737</v>
      </c>
    </row>
    <row r="1368" spans="1:13" hidden="1" x14ac:dyDescent="0.35">
      <c r="A1368" t="s">
        <v>34</v>
      </c>
      <c r="D1368" t="s">
        <v>43</v>
      </c>
      <c r="F1368">
        <v>5</v>
      </c>
      <c r="G1368">
        <v>6</v>
      </c>
      <c r="H1368">
        <v>3</v>
      </c>
      <c r="I1368">
        <v>45</v>
      </c>
      <c r="K1368" s="122">
        <v>45555</v>
      </c>
      <c r="L1368" t="s">
        <v>738</v>
      </c>
    </row>
    <row r="1369" spans="1:13" hidden="1" x14ac:dyDescent="0.35">
      <c r="A1369" t="s">
        <v>34</v>
      </c>
      <c r="D1369" t="s">
        <v>43</v>
      </c>
      <c r="F1369">
        <v>5</v>
      </c>
      <c r="G1369">
        <v>6</v>
      </c>
      <c r="H1369">
        <v>3</v>
      </c>
      <c r="I1369">
        <v>45</v>
      </c>
      <c r="K1369" s="122">
        <v>45555</v>
      </c>
      <c r="L1369" t="s">
        <v>739</v>
      </c>
    </row>
    <row r="1370" spans="1:13" hidden="1" x14ac:dyDescent="0.35">
      <c r="A1370" t="s">
        <v>24</v>
      </c>
      <c r="D1370" t="s">
        <v>28</v>
      </c>
      <c r="F1370">
        <v>5</v>
      </c>
      <c r="G1370">
        <v>7</v>
      </c>
      <c r="H1370">
        <v>4</v>
      </c>
      <c r="I1370">
        <v>53</v>
      </c>
      <c r="K1370" s="122">
        <v>45442</v>
      </c>
      <c r="L1370" t="s">
        <v>737</v>
      </c>
    </row>
    <row r="1371" spans="1:13" hidden="1" x14ac:dyDescent="0.35">
      <c r="A1371" t="s">
        <v>24</v>
      </c>
      <c r="D1371" t="s">
        <v>28</v>
      </c>
      <c r="F1371">
        <v>5</v>
      </c>
      <c r="G1371">
        <v>7</v>
      </c>
      <c r="H1371">
        <v>4</v>
      </c>
      <c r="I1371">
        <v>53</v>
      </c>
      <c r="K1371" s="122">
        <v>45442</v>
      </c>
      <c r="L1371" t="s">
        <v>738</v>
      </c>
    </row>
    <row r="1372" spans="1:13" hidden="1" x14ac:dyDescent="0.35">
      <c r="A1372" t="s">
        <v>24</v>
      </c>
      <c r="D1372" t="s">
        <v>28</v>
      </c>
      <c r="F1372">
        <v>5</v>
      </c>
      <c r="G1372">
        <v>7</v>
      </c>
      <c r="H1372">
        <v>4</v>
      </c>
      <c r="I1372">
        <v>53</v>
      </c>
      <c r="K1372" s="122">
        <v>45442</v>
      </c>
      <c r="L1372" t="s">
        <v>739</v>
      </c>
    </row>
    <row r="1373" spans="1:13" hidden="1" x14ac:dyDescent="0.35">
      <c r="A1373" t="s">
        <v>24</v>
      </c>
      <c r="D1373" t="s">
        <v>28</v>
      </c>
      <c r="F1373">
        <v>5</v>
      </c>
      <c r="G1373">
        <v>7</v>
      </c>
      <c r="H1373">
        <v>4</v>
      </c>
      <c r="I1373">
        <v>53</v>
      </c>
      <c r="K1373" s="122">
        <v>45447</v>
      </c>
      <c r="L1373" t="s">
        <v>737</v>
      </c>
      <c r="M1373">
        <v>5.2</v>
      </c>
    </row>
    <row r="1374" spans="1:13" hidden="1" x14ac:dyDescent="0.35">
      <c r="A1374" t="s">
        <v>24</v>
      </c>
      <c r="D1374" t="s">
        <v>28</v>
      </c>
      <c r="F1374">
        <v>5</v>
      </c>
      <c r="G1374">
        <v>7</v>
      </c>
      <c r="H1374">
        <v>4</v>
      </c>
      <c r="I1374">
        <v>53</v>
      </c>
      <c r="K1374" s="122">
        <v>45447</v>
      </c>
      <c r="L1374" t="s">
        <v>738</v>
      </c>
      <c r="M1374">
        <v>5.3</v>
      </c>
    </row>
    <row r="1375" spans="1:13" hidden="1" x14ac:dyDescent="0.35">
      <c r="A1375" t="s">
        <v>24</v>
      </c>
      <c r="D1375" t="s">
        <v>28</v>
      </c>
      <c r="F1375">
        <v>5</v>
      </c>
      <c r="G1375">
        <v>7</v>
      </c>
      <c r="H1375">
        <v>4</v>
      </c>
      <c r="I1375">
        <v>53</v>
      </c>
      <c r="K1375" s="122">
        <v>45447</v>
      </c>
      <c r="L1375" t="s">
        <v>739</v>
      </c>
      <c r="M1375">
        <v>5.3</v>
      </c>
    </row>
    <row r="1376" spans="1:13" hidden="1" x14ac:dyDescent="0.35">
      <c r="A1376" t="s">
        <v>24</v>
      </c>
      <c r="D1376" t="s">
        <v>28</v>
      </c>
      <c r="F1376">
        <v>5</v>
      </c>
      <c r="G1376">
        <v>7</v>
      </c>
      <c r="H1376">
        <v>4</v>
      </c>
      <c r="I1376">
        <v>53</v>
      </c>
      <c r="K1376" s="122">
        <v>45462</v>
      </c>
      <c r="L1376" t="s">
        <v>737</v>
      </c>
      <c r="M1376">
        <v>5.4</v>
      </c>
    </row>
    <row r="1377" spans="1:13" hidden="1" x14ac:dyDescent="0.35">
      <c r="A1377" t="s">
        <v>24</v>
      </c>
      <c r="D1377" t="s">
        <v>28</v>
      </c>
      <c r="F1377">
        <v>5</v>
      </c>
      <c r="G1377">
        <v>7</v>
      </c>
      <c r="H1377">
        <v>4</v>
      </c>
      <c r="I1377">
        <v>53</v>
      </c>
      <c r="K1377" s="122">
        <v>45462</v>
      </c>
      <c r="L1377" t="s">
        <v>738</v>
      </c>
      <c r="M1377">
        <v>5.5</v>
      </c>
    </row>
    <row r="1378" spans="1:13" hidden="1" x14ac:dyDescent="0.35">
      <c r="A1378" t="s">
        <v>24</v>
      </c>
      <c r="D1378" t="s">
        <v>28</v>
      </c>
      <c r="F1378">
        <v>5</v>
      </c>
      <c r="G1378">
        <v>7</v>
      </c>
      <c r="H1378">
        <v>4</v>
      </c>
      <c r="I1378">
        <v>53</v>
      </c>
      <c r="K1378" s="122">
        <v>45462</v>
      </c>
      <c r="L1378" t="s">
        <v>739</v>
      </c>
      <c r="M1378">
        <v>5.6</v>
      </c>
    </row>
    <row r="1379" spans="1:13" hidden="1" x14ac:dyDescent="0.35">
      <c r="A1379" t="s">
        <v>24</v>
      </c>
      <c r="D1379" t="s">
        <v>28</v>
      </c>
      <c r="F1379">
        <v>5</v>
      </c>
      <c r="G1379">
        <v>7</v>
      </c>
      <c r="H1379">
        <v>4</v>
      </c>
      <c r="I1379">
        <v>53</v>
      </c>
      <c r="K1379" s="122">
        <v>45477</v>
      </c>
      <c r="L1379" t="s">
        <v>737</v>
      </c>
    </row>
    <row r="1380" spans="1:13" hidden="1" x14ac:dyDescent="0.35">
      <c r="A1380" t="s">
        <v>24</v>
      </c>
      <c r="D1380" t="s">
        <v>28</v>
      </c>
      <c r="F1380">
        <v>5</v>
      </c>
      <c r="G1380">
        <v>7</v>
      </c>
      <c r="H1380">
        <v>4</v>
      </c>
      <c r="I1380">
        <v>53</v>
      </c>
      <c r="K1380" s="122">
        <v>45477</v>
      </c>
      <c r="L1380" t="s">
        <v>738</v>
      </c>
    </row>
    <row r="1381" spans="1:13" hidden="1" x14ac:dyDescent="0.35">
      <c r="A1381" t="s">
        <v>24</v>
      </c>
      <c r="D1381" t="s">
        <v>28</v>
      </c>
      <c r="F1381">
        <v>5</v>
      </c>
      <c r="G1381">
        <v>7</v>
      </c>
      <c r="H1381">
        <v>4</v>
      </c>
      <c r="I1381">
        <v>53</v>
      </c>
      <c r="K1381" s="122">
        <v>45477</v>
      </c>
      <c r="L1381" t="s">
        <v>739</v>
      </c>
    </row>
    <row r="1382" spans="1:13" hidden="1" x14ac:dyDescent="0.35">
      <c r="A1382" t="s">
        <v>24</v>
      </c>
      <c r="D1382" t="s">
        <v>28</v>
      </c>
      <c r="F1382">
        <v>5</v>
      </c>
      <c r="G1382">
        <v>7</v>
      </c>
      <c r="H1382">
        <v>4</v>
      </c>
      <c r="I1382">
        <v>53</v>
      </c>
      <c r="K1382" s="122">
        <v>45485</v>
      </c>
      <c r="L1382" t="s">
        <v>737</v>
      </c>
    </row>
    <row r="1383" spans="1:13" hidden="1" x14ac:dyDescent="0.35">
      <c r="A1383" t="s">
        <v>24</v>
      </c>
      <c r="D1383" t="s">
        <v>28</v>
      </c>
      <c r="F1383">
        <v>5</v>
      </c>
      <c r="G1383">
        <v>7</v>
      </c>
      <c r="H1383">
        <v>4</v>
      </c>
      <c r="I1383">
        <v>53</v>
      </c>
      <c r="K1383" s="122">
        <v>45485</v>
      </c>
      <c r="L1383" t="s">
        <v>738</v>
      </c>
    </row>
    <row r="1384" spans="1:13" hidden="1" x14ac:dyDescent="0.35">
      <c r="A1384" t="s">
        <v>24</v>
      </c>
      <c r="D1384" t="s">
        <v>28</v>
      </c>
      <c r="F1384">
        <v>5</v>
      </c>
      <c r="G1384">
        <v>7</v>
      </c>
      <c r="H1384">
        <v>4</v>
      </c>
      <c r="I1384">
        <v>53</v>
      </c>
      <c r="K1384" s="122">
        <v>45485</v>
      </c>
      <c r="L1384" t="s">
        <v>739</v>
      </c>
    </row>
    <row r="1385" spans="1:13" hidden="1" x14ac:dyDescent="0.35">
      <c r="A1385" t="s">
        <v>24</v>
      </c>
      <c r="D1385" t="s">
        <v>28</v>
      </c>
      <c r="F1385">
        <v>5</v>
      </c>
      <c r="G1385">
        <v>7</v>
      </c>
      <c r="H1385">
        <v>4</v>
      </c>
      <c r="I1385">
        <v>53</v>
      </c>
      <c r="K1385" s="122">
        <v>45492</v>
      </c>
      <c r="L1385" t="s">
        <v>737</v>
      </c>
      <c r="M1385">
        <v>6.9</v>
      </c>
    </row>
    <row r="1386" spans="1:13" hidden="1" x14ac:dyDescent="0.35">
      <c r="A1386" t="s">
        <v>24</v>
      </c>
      <c r="D1386" t="s">
        <v>28</v>
      </c>
      <c r="F1386">
        <v>5</v>
      </c>
      <c r="G1386">
        <v>7</v>
      </c>
      <c r="H1386">
        <v>4</v>
      </c>
      <c r="I1386">
        <v>53</v>
      </c>
      <c r="K1386" s="122">
        <v>45492</v>
      </c>
      <c r="L1386" t="s">
        <v>738</v>
      </c>
      <c r="M1386">
        <v>7.3</v>
      </c>
    </row>
    <row r="1387" spans="1:13" hidden="1" x14ac:dyDescent="0.35">
      <c r="A1387" t="s">
        <v>24</v>
      </c>
      <c r="D1387" t="s">
        <v>28</v>
      </c>
      <c r="F1387">
        <v>5</v>
      </c>
      <c r="G1387">
        <v>7</v>
      </c>
      <c r="H1387">
        <v>4</v>
      </c>
      <c r="I1387">
        <v>53</v>
      </c>
      <c r="K1387" s="122">
        <v>45492</v>
      </c>
      <c r="L1387" t="s">
        <v>739</v>
      </c>
      <c r="M1387">
        <v>7.6</v>
      </c>
    </row>
    <row r="1388" spans="1:13" hidden="1" x14ac:dyDescent="0.35">
      <c r="A1388" t="s">
        <v>24</v>
      </c>
      <c r="D1388" t="s">
        <v>28</v>
      </c>
      <c r="F1388">
        <v>5</v>
      </c>
      <c r="G1388">
        <v>7</v>
      </c>
      <c r="H1388">
        <v>4</v>
      </c>
      <c r="I1388">
        <v>53</v>
      </c>
      <c r="K1388" s="122">
        <v>45509</v>
      </c>
      <c r="L1388" t="s">
        <v>737</v>
      </c>
      <c r="M1388">
        <v>8.3000000000000007</v>
      </c>
    </row>
    <row r="1389" spans="1:13" hidden="1" x14ac:dyDescent="0.35">
      <c r="A1389" t="s">
        <v>24</v>
      </c>
      <c r="D1389" t="s">
        <v>28</v>
      </c>
      <c r="F1389">
        <v>5</v>
      </c>
      <c r="G1389">
        <v>7</v>
      </c>
      <c r="H1389">
        <v>4</v>
      </c>
      <c r="I1389">
        <v>53</v>
      </c>
      <c r="K1389" s="122">
        <v>45509</v>
      </c>
      <c r="L1389" t="s">
        <v>738</v>
      </c>
      <c r="M1389">
        <v>7.4</v>
      </c>
    </row>
    <row r="1390" spans="1:13" hidden="1" x14ac:dyDescent="0.35">
      <c r="A1390" t="s">
        <v>24</v>
      </c>
      <c r="D1390" t="s">
        <v>28</v>
      </c>
      <c r="F1390">
        <v>5</v>
      </c>
      <c r="G1390">
        <v>7</v>
      </c>
      <c r="H1390">
        <v>4</v>
      </c>
      <c r="I1390">
        <v>53</v>
      </c>
      <c r="K1390" s="122">
        <v>45509</v>
      </c>
      <c r="L1390" t="s">
        <v>739</v>
      </c>
      <c r="M1390">
        <v>8.9</v>
      </c>
    </row>
    <row r="1391" spans="1:13" hidden="1" x14ac:dyDescent="0.35">
      <c r="A1391" t="s">
        <v>24</v>
      </c>
      <c r="D1391" t="s">
        <v>28</v>
      </c>
      <c r="F1391">
        <v>5</v>
      </c>
      <c r="G1391">
        <v>7</v>
      </c>
      <c r="H1391">
        <v>4</v>
      </c>
      <c r="I1391">
        <v>53</v>
      </c>
      <c r="K1391" s="122">
        <v>45519</v>
      </c>
      <c r="L1391" t="s">
        <v>737</v>
      </c>
      <c r="M1391">
        <v>8.9</v>
      </c>
    </row>
    <row r="1392" spans="1:13" hidden="1" x14ac:dyDescent="0.35">
      <c r="A1392" t="s">
        <v>24</v>
      </c>
      <c r="D1392" t="s">
        <v>28</v>
      </c>
      <c r="F1392">
        <v>5</v>
      </c>
      <c r="G1392">
        <v>7</v>
      </c>
      <c r="H1392">
        <v>4</v>
      </c>
      <c r="I1392">
        <v>53</v>
      </c>
      <c r="K1392" s="122">
        <v>45519</v>
      </c>
      <c r="L1392" t="s">
        <v>738</v>
      </c>
    </row>
    <row r="1393" spans="1:13" hidden="1" x14ac:dyDescent="0.35">
      <c r="A1393" t="s">
        <v>24</v>
      </c>
      <c r="D1393" t="s">
        <v>28</v>
      </c>
      <c r="F1393">
        <v>5</v>
      </c>
      <c r="G1393">
        <v>7</v>
      </c>
      <c r="H1393">
        <v>4</v>
      </c>
      <c r="I1393">
        <v>53</v>
      </c>
      <c r="K1393" s="122">
        <v>45519</v>
      </c>
      <c r="L1393" t="s">
        <v>739</v>
      </c>
      <c r="M1393">
        <v>9.6999999999999993</v>
      </c>
    </row>
    <row r="1394" spans="1:13" hidden="1" x14ac:dyDescent="0.35">
      <c r="A1394" t="s">
        <v>24</v>
      </c>
      <c r="D1394" t="s">
        <v>28</v>
      </c>
      <c r="F1394">
        <v>5</v>
      </c>
      <c r="G1394">
        <v>7</v>
      </c>
      <c r="H1394">
        <v>4</v>
      </c>
      <c r="I1394">
        <v>53</v>
      </c>
      <c r="K1394" s="122">
        <v>45530</v>
      </c>
      <c r="L1394" t="s">
        <v>737</v>
      </c>
      <c r="M1394">
        <v>10.1</v>
      </c>
    </row>
    <row r="1395" spans="1:13" hidden="1" x14ac:dyDescent="0.35">
      <c r="A1395" t="s">
        <v>24</v>
      </c>
      <c r="D1395" t="s">
        <v>28</v>
      </c>
      <c r="F1395">
        <v>5</v>
      </c>
      <c r="G1395">
        <v>7</v>
      </c>
      <c r="H1395">
        <v>4</v>
      </c>
      <c r="I1395">
        <v>53</v>
      </c>
      <c r="K1395" s="122">
        <v>45530</v>
      </c>
      <c r="L1395" t="s">
        <v>738</v>
      </c>
    </row>
    <row r="1396" spans="1:13" hidden="1" x14ac:dyDescent="0.35">
      <c r="A1396" t="s">
        <v>24</v>
      </c>
      <c r="D1396" t="s">
        <v>28</v>
      </c>
      <c r="F1396">
        <v>5</v>
      </c>
      <c r="G1396">
        <v>7</v>
      </c>
      <c r="H1396">
        <v>4</v>
      </c>
      <c r="I1396">
        <v>53</v>
      </c>
      <c r="K1396" s="122">
        <v>45530</v>
      </c>
      <c r="L1396" t="s">
        <v>739</v>
      </c>
      <c r="M1396">
        <v>11.1</v>
      </c>
    </row>
    <row r="1397" spans="1:13" hidden="1" x14ac:dyDescent="0.35">
      <c r="A1397" t="s">
        <v>24</v>
      </c>
      <c r="D1397" t="s">
        <v>28</v>
      </c>
      <c r="F1397">
        <v>5</v>
      </c>
      <c r="G1397">
        <v>7</v>
      </c>
      <c r="H1397">
        <v>4</v>
      </c>
      <c r="I1397">
        <v>53</v>
      </c>
      <c r="K1397" s="122">
        <v>45538</v>
      </c>
      <c r="L1397" t="s">
        <v>737</v>
      </c>
      <c r="M1397">
        <v>11.9</v>
      </c>
    </row>
    <row r="1398" spans="1:13" hidden="1" x14ac:dyDescent="0.35">
      <c r="A1398" t="s">
        <v>24</v>
      </c>
      <c r="D1398" t="s">
        <v>28</v>
      </c>
      <c r="F1398">
        <v>5</v>
      </c>
      <c r="G1398">
        <v>7</v>
      </c>
      <c r="H1398">
        <v>4</v>
      </c>
      <c r="I1398">
        <v>53</v>
      </c>
      <c r="K1398" s="122">
        <v>45538</v>
      </c>
      <c r="L1398" t="s">
        <v>738</v>
      </c>
      <c r="M1398">
        <v>10.9</v>
      </c>
    </row>
    <row r="1399" spans="1:13" hidden="1" x14ac:dyDescent="0.35">
      <c r="A1399" t="s">
        <v>24</v>
      </c>
      <c r="D1399" t="s">
        <v>28</v>
      </c>
      <c r="F1399">
        <v>5</v>
      </c>
      <c r="G1399">
        <v>7</v>
      </c>
      <c r="H1399">
        <v>4</v>
      </c>
      <c r="I1399">
        <v>53</v>
      </c>
      <c r="K1399" s="122">
        <v>45538</v>
      </c>
      <c r="L1399" t="s">
        <v>739</v>
      </c>
    </row>
    <row r="1400" spans="1:13" hidden="1" x14ac:dyDescent="0.35">
      <c r="A1400" t="s">
        <v>24</v>
      </c>
      <c r="D1400" t="s">
        <v>28</v>
      </c>
      <c r="F1400">
        <v>5</v>
      </c>
      <c r="G1400">
        <v>7</v>
      </c>
      <c r="H1400">
        <v>4</v>
      </c>
      <c r="I1400">
        <v>53</v>
      </c>
      <c r="K1400" s="122">
        <v>45547</v>
      </c>
      <c r="L1400" t="s">
        <v>737</v>
      </c>
      <c r="M1400">
        <v>12</v>
      </c>
    </row>
    <row r="1401" spans="1:13" hidden="1" x14ac:dyDescent="0.35">
      <c r="A1401" t="s">
        <v>24</v>
      </c>
      <c r="D1401" t="s">
        <v>28</v>
      </c>
      <c r="F1401">
        <v>5</v>
      </c>
      <c r="G1401">
        <v>7</v>
      </c>
      <c r="H1401">
        <v>4</v>
      </c>
      <c r="I1401">
        <v>53</v>
      </c>
      <c r="K1401" s="122">
        <v>45547</v>
      </c>
      <c r="L1401" t="s">
        <v>738</v>
      </c>
      <c r="M1401">
        <v>11</v>
      </c>
    </row>
    <row r="1402" spans="1:13" hidden="1" x14ac:dyDescent="0.35">
      <c r="A1402" t="s">
        <v>24</v>
      </c>
      <c r="D1402" t="s">
        <v>28</v>
      </c>
      <c r="F1402">
        <v>5</v>
      </c>
      <c r="G1402">
        <v>7</v>
      </c>
      <c r="H1402">
        <v>4</v>
      </c>
      <c r="I1402">
        <v>53</v>
      </c>
      <c r="K1402" s="122">
        <v>45547</v>
      </c>
      <c r="L1402" t="s">
        <v>739</v>
      </c>
    </row>
    <row r="1403" spans="1:13" hidden="1" x14ac:dyDescent="0.35">
      <c r="A1403" t="s">
        <v>24</v>
      </c>
      <c r="D1403" t="s">
        <v>28</v>
      </c>
      <c r="F1403">
        <v>5</v>
      </c>
      <c r="G1403">
        <v>7</v>
      </c>
      <c r="H1403">
        <v>4</v>
      </c>
      <c r="I1403">
        <v>53</v>
      </c>
      <c r="K1403" s="122">
        <v>45555</v>
      </c>
      <c r="L1403" t="s">
        <v>737</v>
      </c>
    </row>
    <row r="1404" spans="1:13" hidden="1" x14ac:dyDescent="0.35">
      <c r="A1404" t="s">
        <v>24</v>
      </c>
      <c r="D1404" t="s">
        <v>28</v>
      </c>
      <c r="F1404">
        <v>5</v>
      </c>
      <c r="G1404">
        <v>7</v>
      </c>
      <c r="H1404">
        <v>4</v>
      </c>
      <c r="I1404">
        <v>53</v>
      </c>
      <c r="K1404" s="122">
        <v>45555</v>
      </c>
      <c r="L1404" t="s">
        <v>738</v>
      </c>
    </row>
    <row r="1405" spans="1:13" hidden="1" x14ac:dyDescent="0.35">
      <c r="A1405" t="s">
        <v>24</v>
      </c>
      <c r="D1405" t="s">
        <v>28</v>
      </c>
      <c r="F1405">
        <v>5</v>
      </c>
      <c r="G1405">
        <v>7</v>
      </c>
      <c r="H1405">
        <v>4</v>
      </c>
      <c r="I1405">
        <v>53</v>
      </c>
      <c r="K1405" s="122">
        <v>45555</v>
      </c>
      <c r="L1405" t="s">
        <v>739</v>
      </c>
    </row>
    <row r="1406" spans="1:13" x14ac:dyDescent="0.35">
      <c r="A1406" t="s">
        <v>34</v>
      </c>
      <c r="D1406" t="s">
        <v>41</v>
      </c>
      <c r="F1406">
        <v>5</v>
      </c>
      <c r="G1406">
        <v>8</v>
      </c>
      <c r="H1406">
        <v>4</v>
      </c>
      <c r="I1406">
        <v>61</v>
      </c>
      <c r="K1406" s="122">
        <v>45442</v>
      </c>
      <c r="L1406" t="s">
        <v>737</v>
      </c>
    </row>
    <row r="1407" spans="1:13" hidden="1" x14ac:dyDescent="0.35">
      <c r="A1407" t="s">
        <v>34</v>
      </c>
      <c r="D1407" t="s">
        <v>41</v>
      </c>
      <c r="F1407">
        <v>5</v>
      </c>
      <c r="G1407">
        <v>8</v>
      </c>
      <c r="H1407">
        <v>4</v>
      </c>
      <c r="I1407">
        <v>61</v>
      </c>
      <c r="K1407" s="122">
        <v>45442</v>
      </c>
      <c r="L1407" t="s">
        <v>738</v>
      </c>
    </row>
    <row r="1408" spans="1:13" hidden="1" x14ac:dyDescent="0.35">
      <c r="A1408" t="s">
        <v>34</v>
      </c>
      <c r="D1408" t="s">
        <v>41</v>
      </c>
      <c r="F1408">
        <v>5</v>
      </c>
      <c r="G1408">
        <v>8</v>
      </c>
      <c r="H1408">
        <v>4</v>
      </c>
      <c r="I1408">
        <v>61</v>
      </c>
      <c r="K1408" s="122">
        <v>45442</v>
      </c>
      <c r="L1408" t="s">
        <v>739</v>
      </c>
    </row>
    <row r="1409" spans="1:13" x14ac:dyDescent="0.35">
      <c r="A1409" t="s">
        <v>34</v>
      </c>
      <c r="D1409" t="s">
        <v>41</v>
      </c>
      <c r="F1409">
        <v>5</v>
      </c>
      <c r="G1409">
        <v>8</v>
      </c>
      <c r="H1409">
        <v>4</v>
      </c>
      <c r="I1409">
        <v>61</v>
      </c>
      <c r="K1409" s="122">
        <v>45447</v>
      </c>
      <c r="L1409" t="s">
        <v>737</v>
      </c>
      <c r="M1409">
        <v>1.9</v>
      </c>
    </row>
    <row r="1410" spans="1:13" hidden="1" x14ac:dyDescent="0.35">
      <c r="A1410" t="s">
        <v>34</v>
      </c>
      <c r="D1410" t="s">
        <v>41</v>
      </c>
      <c r="F1410">
        <v>5</v>
      </c>
      <c r="G1410">
        <v>8</v>
      </c>
      <c r="H1410">
        <v>4</v>
      </c>
      <c r="I1410">
        <v>61</v>
      </c>
      <c r="K1410" s="122">
        <v>45447</v>
      </c>
      <c r="L1410" t="s">
        <v>738</v>
      </c>
      <c r="M1410">
        <v>1.9</v>
      </c>
    </row>
    <row r="1411" spans="1:13" hidden="1" x14ac:dyDescent="0.35">
      <c r="A1411" t="s">
        <v>34</v>
      </c>
      <c r="D1411" t="s">
        <v>41</v>
      </c>
      <c r="F1411">
        <v>5</v>
      </c>
      <c r="G1411">
        <v>8</v>
      </c>
      <c r="H1411">
        <v>4</v>
      </c>
      <c r="I1411">
        <v>61</v>
      </c>
      <c r="K1411" s="122">
        <v>45447</v>
      </c>
      <c r="L1411" t="s">
        <v>739</v>
      </c>
      <c r="M1411">
        <v>1.8</v>
      </c>
    </row>
    <row r="1412" spans="1:13" x14ac:dyDescent="0.35">
      <c r="A1412" t="s">
        <v>34</v>
      </c>
      <c r="D1412" t="s">
        <v>41</v>
      </c>
      <c r="F1412">
        <v>5</v>
      </c>
      <c r="G1412">
        <v>8</v>
      </c>
      <c r="H1412">
        <v>4</v>
      </c>
      <c r="I1412">
        <v>61</v>
      </c>
      <c r="K1412" s="122">
        <v>45462</v>
      </c>
      <c r="L1412" t="s">
        <v>737</v>
      </c>
      <c r="M1412">
        <v>3.3</v>
      </c>
    </row>
    <row r="1413" spans="1:13" hidden="1" x14ac:dyDescent="0.35">
      <c r="A1413" t="s">
        <v>34</v>
      </c>
      <c r="D1413" t="s">
        <v>41</v>
      </c>
      <c r="F1413">
        <v>5</v>
      </c>
      <c r="G1413">
        <v>8</v>
      </c>
      <c r="H1413">
        <v>4</v>
      </c>
      <c r="I1413">
        <v>61</v>
      </c>
      <c r="K1413" s="122">
        <v>45462</v>
      </c>
      <c r="L1413" t="s">
        <v>738</v>
      </c>
      <c r="M1413">
        <v>3.2</v>
      </c>
    </row>
    <row r="1414" spans="1:13" hidden="1" x14ac:dyDescent="0.35">
      <c r="A1414" t="s">
        <v>34</v>
      </c>
      <c r="D1414" t="s">
        <v>41</v>
      </c>
      <c r="F1414">
        <v>5</v>
      </c>
      <c r="G1414">
        <v>8</v>
      </c>
      <c r="H1414">
        <v>4</v>
      </c>
      <c r="I1414">
        <v>61</v>
      </c>
      <c r="K1414" s="122">
        <v>45462</v>
      </c>
      <c r="L1414" t="s">
        <v>739</v>
      </c>
      <c r="M1414">
        <v>3.1</v>
      </c>
    </row>
    <row r="1415" spans="1:13" x14ac:dyDescent="0.35">
      <c r="A1415" t="s">
        <v>34</v>
      </c>
      <c r="D1415" t="s">
        <v>41</v>
      </c>
      <c r="F1415">
        <v>5</v>
      </c>
      <c r="G1415">
        <v>8</v>
      </c>
      <c r="H1415">
        <v>4</v>
      </c>
      <c r="I1415">
        <v>61</v>
      </c>
      <c r="K1415" s="122">
        <v>45477</v>
      </c>
      <c r="L1415" t="s">
        <v>737</v>
      </c>
      <c r="M1415">
        <v>4.7</v>
      </c>
    </row>
    <row r="1416" spans="1:13" hidden="1" x14ac:dyDescent="0.35">
      <c r="A1416" t="s">
        <v>34</v>
      </c>
      <c r="D1416" t="s">
        <v>41</v>
      </c>
      <c r="F1416">
        <v>5</v>
      </c>
      <c r="G1416">
        <v>8</v>
      </c>
      <c r="H1416">
        <v>4</v>
      </c>
      <c r="I1416">
        <v>61</v>
      </c>
      <c r="K1416" s="122">
        <v>45477</v>
      </c>
      <c r="L1416" t="s">
        <v>738</v>
      </c>
      <c r="M1416">
        <v>4.7</v>
      </c>
    </row>
    <row r="1417" spans="1:13" hidden="1" x14ac:dyDescent="0.35">
      <c r="A1417" t="s">
        <v>34</v>
      </c>
      <c r="D1417" t="s">
        <v>41</v>
      </c>
      <c r="F1417">
        <v>5</v>
      </c>
      <c r="G1417">
        <v>8</v>
      </c>
      <c r="H1417">
        <v>4</v>
      </c>
      <c r="I1417">
        <v>61</v>
      </c>
      <c r="K1417" s="122">
        <v>45477</v>
      </c>
      <c r="L1417" t="s">
        <v>739</v>
      </c>
      <c r="M1417">
        <v>4.5</v>
      </c>
    </row>
    <row r="1418" spans="1:13" x14ac:dyDescent="0.35">
      <c r="A1418" t="s">
        <v>34</v>
      </c>
      <c r="D1418" t="s">
        <v>41</v>
      </c>
      <c r="F1418">
        <v>5</v>
      </c>
      <c r="G1418">
        <v>8</v>
      </c>
      <c r="H1418">
        <v>4</v>
      </c>
      <c r="I1418">
        <v>61</v>
      </c>
      <c r="K1418" s="122">
        <v>45485</v>
      </c>
      <c r="L1418" t="s">
        <v>737</v>
      </c>
    </row>
    <row r="1419" spans="1:13" hidden="1" x14ac:dyDescent="0.35">
      <c r="A1419" t="s">
        <v>34</v>
      </c>
      <c r="D1419" t="s">
        <v>41</v>
      </c>
      <c r="F1419">
        <v>5</v>
      </c>
      <c r="G1419">
        <v>8</v>
      </c>
      <c r="H1419">
        <v>4</v>
      </c>
      <c r="I1419">
        <v>61</v>
      </c>
      <c r="K1419" s="122">
        <v>45485</v>
      </c>
      <c r="L1419" t="s">
        <v>738</v>
      </c>
    </row>
    <row r="1420" spans="1:13" hidden="1" x14ac:dyDescent="0.35">
      <c r="A1420" t="s">
        <v>34</v>
      </c>
      <c r="D1420" t="s">
        <v>41</v>
      </c>
      <c r="F1420">
        <v>5</v>
      </c>
      <c r="G1420">
        <v>8</v>
      </c>
      <c r="H1420">
        <v>4</v>
      </c>
      <c r="I1420">
        <v>61</v>
      </c>
      <c r="K1420" s="122">
        <v>45485</v>
      </c>
      <c r="L1420" t="s">
        <v>739</v>
      </c>
    </row>
    <row r="1421" spans="1:13" x14ac:dyDescent="0.35">
      <c r="A1421" t="s">
        <v>34</v>
      </c>
      <c r="D1421" t="s">
        <v>41</v>
      </c>
      <c r="F1421">
        <v>5</v>
      </c>
      <c r="G1421">
        <v>8</v>
      </c>
      <c r="H1421">
        <v>4</v>
      </c>
      <c r="I1421">
        <v>61</v>
      </c>
      <c r="K1421" s="122">
        <v>45492</v>
      </c>
      <c r="L1421" t="s">
        <v>737</v>
      </c>
      <c r="M1421">
        <v>6.1</v>
      </c>
    </row>
    <row r="1422" spans="1:13" hidden="1" x14ac:dyDescent="0.35">
      <c r="A1422" t="s">
        <v>34</v>
      </c>
      <c r="D1422" t="s">
        <v>41</v>
      </c>
      <c r="F1422">
        <v>5</v>
      </c>
      <c r="G1422">
        <v>8</v>
      </c>
      <c r="H1422">
        <v>4</v>
      </c>
      <c r="I1422">
        <v>61</v>
      </c>
      <c r="K1422" s="122">
        <v>45492</v>
      </c>
      <c r="L1422" t="s">
        <v>738</v>
      </c>
      <c r="M1422">
        <v>6.1</v>
      </c>
    </row>
    <row r="1423" spans="1:13" hidden="1" x14ac:dyDescent="0.35">
      <c r="A1423" t="s">
        <v>34</v>
      </c>
      <c r="D1423" t="s">
        <v>41</v>
      </c>
      <c r="F1423">
        <v>5</v>
      </c>
      <c r="G1423">
        <v>8</v>
      </c>
      <c r="H1423">
        <v>4</v>
      </c>
      <c r="I1423">
        <v>61</v>
      </c>
      <c r="K1423" s="122">
        <v>45492</v>
      </c>
      <c r="L1423" t="s">
        <v>739</v>
      </c>
      <c r="M1423">
        <v>5.7</v>
      </c>
    </row>
    <row r="1424" spans="1:13" x14ac:dyDescent="0.35">
      <c r="A1424" t="s">
        <v>34</v>
      </c>
      <c r="D1424" t="s">
        <v>41</v>
      </c>
      <c r="F1424">
        <v>5</v>
      </c>
      <c r="G1424">
        <v>8</v>
      </c>
      <c r="H1424">
        <v>4</v>
      </c>
      <c r="I1424">
        <v>61</v>
      </c>
      <c r="K1424" s="122">
        <v>45509</v>
      </c>
      <c r="L1424" t="s">
        <v>737</v>
      </c>
      <c r="M1424">
        <v>7.4</v>
      </c>
    </row>
    <row r="1425" spans="1:13" hidden="1" x14ac:dyDescent="0.35">
      <c r="A1425" t="s">
        <v>34</v>
      </c>
      <c r="D1425" t="s">
        <v>41</v>
      </c>
      <c r="F1425">
        <v>5</v>
      </c>
      <c r="G1425">
        <v>8</v>
      </c>
      <c r="H1425">
        <v>4</v>
      </c>
      <c r="I1425">
        <v>61</v>
      </c>
      <c r="K1425" s="122">
        <v>45509</v>
      </c>
      <c r="L1425" t="s">
        <v>738</v>
      </c>
      <c r="M1425">
        <v>7.3</v>
      </c>
    </row>
    <row r="1426" spans="1:13" hidden="1" x14ac:dyDescent="0.35">
      <c r="A1426" t="s">
        <v>34</v>
      </c>
      <c r="D1426" t="s">
        <v>41</v>
      </c>
      <c r="F1426">
        <v>5</v>
      </c>
      <c r="G1426">
        <v>8</v>
      </c>
      <c r="H1426">
        <v>4</v>
      </c>
      <c r="I1426">
        <v>61</v>
      </c>
      <c r="K1426" s="122">
        <v>45509</v>
      </c>
      <c r="L1426" t="s">
        <v>739</v>
      </c>
      <c r="M1426">
        <v>7.2</v>
      </c>
    </row>
    <row r="1427" spans="1:13" x14ac:dyDescent="0.35">
      <c r="A1427" t="s">
        <v>34</v>
      </c>
      <c r="D1427" t="s">
        <v>41</v>
      </c>
      <c r="F1427">
        <v>5</v>
      </c>
      <c r="G1427">
        <v>8</v>
      </c>
      <c r="H1427">
        <v>4</v>
      </c>
      <c r="I1427">
        <v>61</v>
      </c>
      <c r="K1427" s="122">
        <v>45519</v>
      </c>
      <c r="L1427" t="s">
        <v>737</v>
      </c>
      <c r="M1427">
        <v>8.1999999999999993</v>
      </c>
    </row>
    <row r="1428" spans="1:13" hidden="1" x14ac:dyDescent="0.35">
      <c r="A1428" t="s">
        <v>34</v>
      </c>
      <c r="D1428" t="s">
        <v>41</v>
      </c>
      <c r="F1428">
        <v>5</v>
      </c>
      <c r="G1428">
        <v>8</v>
      </c>
      <c r="H1428">
        <v>4</v>
      </c>
      <c r="I1428">
        <v>61</v>
      </c>
      <c r="K1428" s="122">
        <v>45519</v>
      </c>
      <c r="L1428" t="s">
        <v>738</v>
      </c>
      <c r="M1428">
        <v>8.3000000000000007</v>
      </c>
    </row>
    <row r="1429" spans="1:13" hidden="1" x14ac:dyDescent="0.35">
      <c r="A1429" t="s">
        <v>34</v>
      </c>
      <c r="D1429" t="s">
        <v>41</v>
      </c>
      <c r="F1429">
        <v>5</v>
      </c>
      <c r="G1429">
        <v>8</v>
      </c>
      <c r="H1429">
        <v>4</v>
      </c>
      <c r="I1429">
        <v>61</v>
      </c>
      <c r="K1429" s="122">
        <v>45519</v>
      </c>
      <c r="L1429" t="s">
        <v>739</v>
      </c>
      <c r="M1429">
        <v>7.9</v>
      </c>
    </row>
    <row r="1430" spans="1:13" x14ac:dyDescent="0.35">
      <c r="A1430" t="s">
        <v>34</v>
      </c>
      <c r="D1430" t="s">
        <v>41</v>
      </c>
      <c r="F1430">
        <v>5</v>
      </c>
      <c r="G1430">
        <v>8</v>
      </c>
      <c r="H1430">
        <v>4</v>
      </c>
      <c r="I1430">
        <v>61</v>
      </c>
      <c r="K1430" s="122">
        <v>45530</v>
      </c>
      <c r="L1430" t="s">
        <v>737</v>
      </c>
      <c r="M1430">
        <v>9.1999999999999993</v>
      </c>
    </row>
    <row r="1431" spans="1:13" hidden="1" x14ac:dyDescent="0.35">
      <c r="A1431" t="s">
        <v>34</v>
      </c>
      <c r="D1431" t="s">
        <v>41</v>
      </c>
      <c r="F1431">
        <v>5</v>
      </c>
      <c r="G1431">
        <v>8</v>
      </c>
      <c r="H1431">
        <v>4</v>
      </c>
      <c r="I1431">
        <v>61</v>
      </c>
      <c r="K1431" s="122">
        <v>45530</v>
      </c>
      <c r="L1431" t="s">
        <v>738</v>
      </c>
      <c r="M1431">
        <v>9.3000000000000007</v>
      </c>
    </row>
    <row r="1432" spans="1:13" hidden="1" x14ac:dyDescent="0.35">
      <c r="A1432" t="s">
        <v>34</v>
      </c>
      <c r="D1432" t="s">
        <v>41</v>
      </c>
      <c r="F1432">
        <v>5</v>
      </c>
      <c r="G1432">
        <v>8</v>
      </c>
      <c r="H1432">
        <v>4</v>
      </c>
      <c r="I1432">
        <v>61</v>
      </c>
      <c r="K1432" s="122">
        <v>45530</v>
      </c>
      <c r="L1432" t="s">
        <v>739</v>
      </c>
      <c r="M1432">
        <v>9.1</v>
      </c>
    </row>
    <row r="1433" spans="1:13" x14ac:dyDescent="0.35">
      <c r="A1433" t="s">
        <v>34</v>
      </c>
      <c r="D1433" t="s">
        <v>41</v>
      </c>
      <c r="F1433">
        <v>5</v>
      </c>
      <c r="G1433">
        <v>8</v>
      </c>
      <c r="H1433">
        <v>4</v>
      </c>
      <c r="I1433">
        <v>61</v>
      </c>
      <c r="K1433" s="122">
        <v>45538</v>
      </c>
      <c r="L1433" t="s">
        <v>737</v>
      </c>
      <c r="M1433">
        <v>10</v>
      </c>
    </row>
    <row r="1434" spans="1:13" hidden="1" x14ac:dyDescent="0.35">
      <c r="A1434" t="s">
        <v>34</v>
      </c>
      <c r="D1434" t="s">
        <v>41</v>
      </c>
      <c r="F1434">
        <v>5</v>
      </c>
      <c r="G1434">
        <v>8</v>
      </c>
      <c r="H1434">
        <v>4</v>
      </c>
      <c r="I1434">
        <v>61</v>
      </c>
      <c r="K1434" s="122">
        <v>45538</v>
      </c>
      <c r="L1434" t="s">
        <v>738</v>
      </c>
      <c r="M1434">
        <v>10</v>
      </c>
    </row>
    <row r="1435" spans="1:13" hidden="1" x14ac:dyDescent="0.35">
      <c r="A1435" t="s">
        <v>34</v>
      </c>
      <c r="D1435" t="s">
        <v>41</v>
      </c>
      <c r="F1435">
        <v>5</v>
      </c>
      <c r="G1435">
        <v>8</v>
      </c>
      <c r="H1435">
        <v>4</v>
      </c>
      <c r="I1435">
        <v>61</v>
      </c>
      <c r="K1435" s="122">
        <v>45538</v>
      </c>
      <c r="L1435" t="s">
        <v>739</v>
      </c>
      <c r="M1435">
        <v>10</v>
      </c>
    </row>
    <row r="1436" spans="1:13" x14ac:dyDescent="0.35">
      <c r="A1436" t="s">
        <v>34</v>
      </c>
      <c r="D1436" t="s">
        <v>41</v>
      </c>
      <c r="F1436">
        <v>5</v>
      </c>
      <c r="G1436">
        <v>8</v>
      </c>
      <c r="H1436">
        <v>4</v>
      </c>
      <c r="I1436">
        <v>61</v>
      </c>
      <c r="K1436" s="122">
        <v>45547</v>
      </c>
      <c r="L1436" t="s">
        <v>737</v>
      </c>
      <c r="M1436">
        <v>10</v>
      </c>
    </row>
    <row r="1437" spans="1:13" hidden="1" x14ac:dyDescent="0.35">
      <c r="A1437" t="s">
        <v>34</v>
      </c>
      <c r="D1437" t="s">
        <v>41</v>
      </c>
      <c r="F1437">
        <v>5</v>
      </c>
      <c r="G1437">
        <v>8</v>
      </c>
      <c r="H1437">
        <v>4</v>
      </c>
      <c r="I1437">
        <v>61</v>
      </c>
      <c r="K1437" s="122">
        <v>45547</v>
      </c>
      <c r="L1437" t="s">
        <v>738</v>
      </c>
      <c r="M1437">
        <v>10</v>
      </c>
    </row>
    <row r="1438" spans="1:13" hidden="1" x14ac:dyDescent="0.35">
      <c r="A1438" t="s">
        <v>34</v>
      </c>
      <c r="D1438" t="s">
        <v>41</v>
      </c>
      <c r="F1438">
        <v>5</v>
      </c>
      <c r="G1438">
        <v>8</v>
      </c>
      <c r="H1438">
        <v>4</v>
      </c>
      <c r="I1438">
        <v>61</v>
      </c>
      <c r="K1438" s="122">
        <v>45547</v>
      </c>
      <c r="L1438" t="s">
        <v>739</v>
      </c>
      <c r="M1438">
        <v>10</v>
      </c>
    </row>
    <row r="1439" spans="1:13" x14ac:dyDescent="0.35">
      <c r="A1439" t="s">
        <v>34</v>
      </c>
      <c r="D1439" t="s">
        <v>41</v>
      </c>
      <c r="F1439">
        <v>5</v>
      </c>
      <c r="G1439">
        <v>8</v>
      </c>
      <c r="H1439">
        <v>4</v>
      </c>
      <c r="I1439">
        <v>61</v>
      </c>
      <c r="K1439" s="122">
        <v>45555</v>
      </c>
      <c r="L1439" t="s">
        <v>737</v>
      </c>
    </row>
    <row r="1440" spans="1:13" hidden="1" x14ac:dyDescent="0.35">
      <c r="A1440" t="s">
        <v>34</v>
      </c>
      <c r="D1440" t="s">
        <v>41</v>
      </c>
      <c r="F1440">
        <v>5</v>
      </c>
      <c r="G1440">
        <v>8</v>
      </c>
      <c r="H1440">
        <v>4</v>
      </c>
      <c r="I1440">
        <v>61</v>
      </c>
      <c r="K1440" s="122">
        <v>45555</v>
      </c>
      <c r="L1440" t="s">
        <v>738</v>
      </c>
    </row>
    <row r="1441" spans="1:13" hidden="1" x14ac:dyDescent="0.35">
      <c r="A1441" t="s">
        <v>34</v>
      </c>
      <c r="D1441" t="s">
        <v>41</v>
      </c>
      <c r="F1441">
        <v>5</v>
      </c>
      <c r="G1441">
        <v>8</v>
      </c>
      <c r="H1441">
        <v>4</v>
      </c>
      <c r="I1441">
        <v>61</v>
      </c>
      <c r="K1441" s="122">
        <v>45555</v>
      </c>
      <c r="L1441" t="s">
        <v>739</v>
      </c>
    </row>
    <row r="1442" spans="1:13" hidden="1" x14ac:dyDescent="0.35">
      <c r="A1442" t="s">
        <v>24</v>
      </c>
      <c r="D1442" t="s">
        <v>32</v>
      </c>
      <c r="F1442">
        <v>6</v>
      </c>
      <c r="G1442">
        <v>1</v>
      </c>
      <c r="H1442">
        <v>1</v>
      </c>
      <c r="I1442">
        <v>6</v>
      </c>
      <c r="K1442" s="122">
        <v>45442</v>
      </c>
      <c r="L1442" t="s">
        <v>737</v>
      </c>
      <c r="M1442">
        <v>3.6</v>
      </c>
    </row>
    <row r="1443" spans="1:13" hidden="1" x14ac:dyDescent="0.35">
      <c r="A1443" t="s">
        <v>24</v>
      </c>
      <c r="D1443" t="s">
        <v>32</v>
      </c>
      <c r="F1443">
        <v>6</v>
      </c>
      <c r="G1443">
        <v>1</v>
      </c>
      <c r="H1443">
        <v>1</v>
      </c>
      <c r="I1443">
        <v>6</v>
      </c>
      <c r="K1443" s="122">
        <v>45442</v>
      </c>
      <c r="L1443" t="s">
        <v>738</v>
      </c>
      <c r="M1443">
        <v>4.2</v>
      </c>
    </row>
    <row r="1444" spans="1:13" hidden="1" x14ac:dyDescent="0.35">
      <c r="A1444" t="s">
        <v>24</v>
      </c>
      <c r="D1444" t="s">
        <v>32</v>
      </c>
      <c r="F1444">
        <v>6</v>
      </c>
      <c r="G1444">
        <v>1</v>
      </c>
      <c r="H1444">
        <v>1</v>
      </c>
      <c r="I1444">
        <v>6</v>
      </c>
      <c r="K1444" s="122">
        <v>45442</v>
      </c>
      <c r="L1444" t="s">
        <v>739</v>
      </c>
      <c r="M1444">
        <v>4.7</v>
      </c>
    </row>
    <row r="1445" spans="1:13" hidden="1" x14ac:dyDescent="0.35">
      <c r="A1445" t="s">
        <v>24</v>
      </c>
      <c r="D1445" t="s">
        <v>32</v>
      </c>
      <c r="F1445">
        <v>6</v>
      </c>
      <c r="G1445">
        <v>1</v>
      </c>
      <c r="H1445">
        <v>1</v>
      </c>
      <c r="I1445">
        <v>6</v>
      </c>
      <c r="K1445" s="122">
        <v>45447</v>
      </c>
      <c r="L1445" t="s">
        <v>737</v>
      </c>
      <c r="M1445">
        <v>4.3</v>
      </c>
    </row>
    <row r="1446" spans="1:13" hidden="1" x14ac:dyDescent="0.35">
      <c r="A1446" t="s">
        <v>24</v>
      </c>
      <c r="D1446" t="s">
        <v>32</v>
      </c>
      <c r="F1446">
        <v>6</v>
      </c>
      <c r="G1446">
        <v>1</v>
      </c>
      <c r="H1446">
        <v>1</v>
      </c>
      <c r="I1446">
        <v>6</v>
      </c>
      <c r="K1446" s="122">
        <v>45447</v>
      </c>
      <c r="L1446" t="s">
        <v>738</v>
      </c>
      <c r="M1446">
        <v>4.5999999999999996</v>
      </c>
    </row>
    <row r="1447" spans="1:13" hidden="1" x14ac:dyDescent="0.35">
      <c r="A1447" t="s">
        <v>24</v>
      </c>
      <c r="D1447" t="s">
        <v>32</v>
      </c>
      <c r="F1447">
        <v>6</v>
      </c>
      <c r="G1447">
        <v>1</v>
      </c>
      <c r="H1447">
        <v>1</v>
      </c>
      <c r="I1447">
        <v>6</v>
      </c>
      <c r="K1447" s="122">
        <v>45447</v>
      </c>
      <c r="L1447" t="s">
        <v>739</v>
      </c>
      <c r="M1447">
        <v>5.3</v>
      </c>
    </row>
    <row r="1448" spans="1:13" hidden="1" x14ac:dyDescent="0.35">
      <c r="A1448" t="s">
        <v>24</v>
      </c>
      <c r="D1448" t="s">
        <v>32</v>
      </c>
      <c r="F1448">
        <v>6</v>
      </c>
      <c r="G1448">
        <v>1</v>
      </c>
      <c r="H1448">
        <v>1</v>
      </c>
      <c r="I1448">
        <v>6</v>
      </c>
      <c r="K1448" s="122">
        <v>45462</v>
      </c>
      <c r="L1448" t="s">
        <v>737</v>
      </c>
      <c r="M1448">
        <v>5.3</v>
      </c>
    </row>
    <row r="1449" spans="1:13" hidden="1" x14ac:dyDescent="0.35">
      <c r="A1449" t="s">
        <v>24</v>
      </c>
      <c r="D1449" t="s">
        <v>32</v>
      </c>
      <c r="F1449">
        <v>6</v>
      </c>
      <c r="G1449">
        <v>1</v>
      </c>
      <c r="H1449">
        <v>1</v>
      </c>
      <c r="I1449">
        <v>6</v>
      </c>
      <c r="K1449" s="122">
        <v>45462</v>
      </c>
      <c r="L1449" t="s">
        <v>738</v>
      </c>
      <c r="M1449">
        <v>4.8</v>
      </c>
    </row>
    <row r="1450" spans="1:13" hidden="1" x14ac:dyDescent="0.35">
      <c r="A1450" t="s">
        <v>24</v>
      </c>
      <c r="D1450" t="s">
        <v>32</v>
      </c>
      <c r="F1450">
        <v>6</v>
      </c>
      <c r="G1450">
        <v>1</v>
      </c>
      <c r="H1450">
        <v>1</v>
      </c>
      <c r="I1450">
        <v>6</v>
      </c>
      <c r="K1450" s="122">
        <v>45462</v>
      </c>
      <c r="L1450" t="s">
        <v>739</v>
      </c>
      <c r="M1450">
        <v>4.8</v>
      </c>
    </row>
    <row r="1451" spans="1:13" hidden="1" x14ac:dyDescent="0.35">
      <c r="A1451" t="s">
        <v>24</v>
      </c>
      <c r="D1451" t="s">
        <v>32</v>
      </c>
      <c r="F1451">
        <v>6</v>
      </c>
      <c r="G1451">
        <v>1</v>
      </c>
      <c r="H1451">
        <v>1</v>
      </c>
      <c r="I1451">
        <v>6</v>
      </c>
      <c r="K1451" s="122">
        <v>45477</v>
      </c>
      <c r="L1451" t="s">
        <v>737</v>
      </c>
    </row>
    <row r="1452" spans="1:13" hidden="1" x14ac:dyDescent="0.35">
      <c r="A1452" t="s">
        <v>24</v>
      </c>
      <c r="D1452" t="s">
        <v>32</v>
      </c>
      <c r="F1452">
        <v>6</v>
      </c>
      <c r="G1452">
        <v>1</v>
      </c>
      <c r="H1452">
        <v>1</v>
      </c>
      <c r="I1452">
        <v>6</v>
      </c>
      <c r="K1452" s="122">
        <v>45477</v>
      </c>
      <c r="L1452" t="s">
        <v>738</v>
      </c>
    </row>
    <row r="1453" spans="1:13" hidden="1" x14ac:dyDescent="0.35">
      <c r="A1453" t="s">
        <v>24</v>
      </c>
      <c r="D1453" t="s">
        <v>32</v>
      </c>
      <c r="F1453">
        <v>6</v>
      </c>
      <c r="G1453">
        <v>1</v>
      </c>
      <c r="H1453">
        <v>1</v>
      </c>
      <c r="I1453">
        <v>6</v>
      </c>
      <c r="K1453" s="122">
        <v>45477</v>
      </c>
      <c r="L1453" t="s">
        <v>739</v>
      </c>
    </row>
    <row r="1454" spans="1:13" hidden="1" x14ac:dyDescent="0.35">
      <c r="A1454" t="s">
        <v>24</v>
      </c>
      <c r="D1454" t="s">
        <v>32</v>
      </c>
      <c r="F1454">
        <v>6</v>
      </c>
      <c r="G1454">
        <v>1</v>
      </c>
      <c r="H1454">
        <v>1</v>
      </c>
      <c r="I1454">
        <v>6</v>
      </c>
      <c r="K1454" s="122">
        <v>45485</v>
      </c>
      <c r="L1454" t="s">
        <v>737</v>
      </c>
      <c r="M1454">
        <v>6.6</v>
      </c>
    </row>
    <row r="1455" spans="1:13" hidden="1" x14ac:dyDescent="0.35">
      <c r="A1455" t="s">
        <v>24</v>
      </c>
      <c r="D1455" t="s">
        <v>32</v>
      </c>
      <c r="F1455">
        <v>6</v>
      </c>
      <c r="G1455">
        <v>1</v>
      </c>
      <c r="H1455">
        <v>1</v>
      </c>
      <c r="I1455">
        <v>6</v>
      </c>
      <c r="K1455" s="122">
        <v>45485</v>
      </c>
      <c r="L1455" t="s">
        <v>738</v>
      </c>
      <c r="M1455">
        <v>6</v>
      </c>
    </row>
    <row r="1456" spans="1:13" hidden="1" x14ac:dyDescent="0.35">
      <c r="A1456" t="s">
        <v>24</v>
      </c>
      <c r="D1456" t="s">
        <v>32</v>
      </c>
      <c r="F1456">
        <v>6</v>
      </c>
      <c r="G1456">
        <v>1</v>
      </c>
      <c r="H1456">
        <v>1</v>
      </c>
      <c r="I1456">
        <v>6</v>
      </c>
      <c r="K1456" s="122">
        <v>45485</v>
      </c>
      <c r="L1456" t="s">
        <v>739</v>
      </c>
      <c r="M1456">
        <v>6.6</v>
      </c>
    </row>
    <row r="1457" spans="1:13" hidden="1" x14ac:dyDescent="0.35">
      <c r="A1457" t="s">
        <v>24</v>
      </c>
      <c r="D1457" t="s">
        <v>32</v>
      </c>
      <c r="F1457">
        <v>6</v>
      </c>
      <c r="G1457">
        <v>1</v>
      </c>
      <c r="H1457">
        <v>1</v>
      </c>
      <c r="I1457">
        <v>6</v>
      </c>
      <c r="K1457" s="122">
        <v>45492</v>
      </c>
      <c r="L1457" t="s">
        <v>737</v>
      </c>
      <c r="M1457">
        <v>6.3</v>
      </c>
    </row>
    <row r="1458" spans="1:13" hidden="1" x14ac:dyDescent="0.35">
      <c r="A1458" t="s">
        <v>24</v>
      </c>
      <c r="D1458" t="s">
        <v>32</v>
      </c>
      <c r="F1458">
        <v>6</v>
      </c>
      <c r="G1458">
        <v>1</v>
      </c>
      <c r="H1458">
        <v>1</v>
      </c>
      <c r="I1458">
        <v>6</v>
      </c>
      <c r="K1458" s="122">
        <v>45492</v>
      </c>
      <c r="L1458" t="s">
        <v>738</v>
      </c>
      <c r="M1458">
        <v>7.3</v>
      </c>
    </row>
    <row r="1459" spans="1:13" hidden="1" x14ac:dyDescent="0.35">
      <c r="A1459" t="s">
        <v>24</v>
      </c>
      <c r="D1459" t="s">
        <v>32</v>
      </c>
      <c r="F1459">
        <v>6</v>
      </c>
      <c r="G1459">
        <v>1</v>
      </c>
      <c r="H1459">
        <v>1</v>
      </c>
      <c r="I1459">
        <v>6</v>
      </c>
      <c r="K1459" s="122">
        <v>45492</v>
      </c>
      <c r="L1459" t="s">
        <v>739</v>
      </c>
      <c r="M1459">
        <v>7</v>
      </c>
    </row>
    <row r="1460" spans="1:13" hidden="1" x14ac:dyDescent="0.35">
      <c r="A1460" t="s">
        <v>24</v>
      </c>
      <c r="D1460" t="s">
        <v>32</v>
      </c>
      <c r="F1460">
        <v>6</v>
      </c>
      <c r="G1460">
        <v>1</v>
      </c>
      <c r="H1460">
        <v>1</v>
      </c>
      <c r="I1460">
        <v>6</v>
      </c>
      <c r="K1460" s="122">
        <v>45509</v>
      </c>
      <c r="L1460" t="s">
        <v>737</v>
      </c>
      <c r="M1460">
        <v>8.6999999999999993</v>
      </c>
    </row>
    <row r="1461" spans="1:13" hidden="1" x14ac:dyDescent="0.35">
      <c r="A1461" t="s">
        <v>24</v>
      </c>
      <c r="D1461" t="s">
        <v>32</v>
      </c>
      <c r="F1461">
        <v>6</v>
      </c>
      <c r="G1461">
        <v>1</v>
      </c>
      <c r="H1461">
        <v>1</v>
      </c>
      <c r="I1461">
        <v>6</v>
      </c>
      <c r="K1461" s="122">
        <v>45509</v>
      </c>
      <c r="L1461" t="s">
        <v>738</v>
      </c>
      <c r="M1461">
        <v>7.3</v>
      </c>
    </row>
    <row r="1462" spans="1:13" hidden="1" x14ac:dyDescent="0.35">
      <c r="A1462" t="s">
        <v>24</v>
      </c>
      <c r="D1462" t="s">
        <v>32</v>
      </c>
      <c r="F1462">
        <v>6</v>
      </c>
      <c r="G1462">
        <v>1</v>
      </c>
      <c r="H1462">
        <v>1</v>
      </c>
      <c r="I1462">
        <v>6</v>
      </c>
      <c r="K1462" s="122">
        <v>45509</v>
      </c>
      <c r="L1462" t="s">
        <v>739</v>
      </c>
      <c r="M1462">
        <v>7.9</v>
      </c>
    </row>
    <row r="1463" spans="1:13" hidden="1" x14ac:dyDescent="0.35">
      <c r="A1463" t="s">
        <v>24</v>
      </c>
      <c r="D1463" t="s">
        <v>32</v>
      </c>
      <c r="F1463">
        <v>6</v>
      </c>
      <c r="G1463">
        <v>1</v>
      </c>
      <c r="H1463">
        <v>1</v>
      </c>
      <c r="I1463">
        <v>6</v>
      </c>
      <c r="K1463" s="122">
        <v>45519</v>
      </c>
      <c r="L1463" t="s">
        <v>737</v>
      </c>
      <c r="M1463">
        <v>9.6</v>
      </c>
    </row>
    <row r="1464" spans="1:13" hidden="1" x14ac:dyDescent="0.35">
      <c r="A1464" t="s">
        <v>24</v>
      </c>
      <c r="D1464" t="s">
        <v>32</v>
      </c>
      <c r="F1464">
        <v>6</v>
      </c>
      <c r="G1464">
        <v>1</v>
      </c>
      <c r="H1464">
        <v>1</v>
      </c>
      <c r="I1464">
        <v>6</v>
      </c>
      <c r="K1464" s="122">
        <v>45519</v>
      </c>
      <c r="L1464" t="s">
        <v>738</v>
      </c>
      <c r="M1464">
        <v>8.1999999999999993</v>
      </c>
    </row>
    <row r="1465" spans="1:13" hidden="1" x14ac:dyDescent="0.35">
      <c r="A1465" t="s">
        <v>24</v>
      </c>
      <c r="D1465" t="s">
        <v>32</v>
      </c>
      <c r="F1465">
        <v>6</v>
      </c>
      <c r="G1465">
        <v>1</v>
      </c>
      <c r="H1465">
        <v>1</v>
      </c>
      <c r="I1465">
        <v>6</v>
      </c>
      <c r="K1465" s="122">
        <v>45519</v>
      </c>
      <c r="L1465" t="s">
        <v>739</v>
      </c>
      <c r="M1465">
        <v>8.6999999999999993</v>
      </c>
    </row>
    <row r="1466" spans="1:13" hidden="1" x14ac:dyDescent="0.35">
      <c r="A1466" t="s">
        <v>24</v>
      </c>
      <c r="D1466" t="s">
        <v>32</v>
      </c>
      <c r="F1466">
        <v>6</v>
      </c>
      <c r="G1466">
        <v>1</v>
      </c>
      <c r="H1466">
        <v>1</v>
      </c>
      <c r="I1466">
        <v>6</v>
      </c>
      <c r="K1466" s="122">
        <v>45530</v>
      </c>
      <c r="L1466" t="s">
        <v>737</v>
      </c>
      <c r="M1466">
        <v>11</v>
      </c>
    </row>
    <row r="1467" spans="1:13" hidden="1" x14ac:dyDescent="0.35">
      <c r="A1467" t="s">
        <v>24</v>
      </c>
      <c r="D1467" t="s">
        <v>32</v>
      </c>
      <c r="F1467">
        <v>6</v>
      </c>
      <c r="G1467">
        <v>1</v>
      </c>
      <c r="H1467">
        <v>1</v>
      </c>
      <c r="I1467">
        <v>6</v>
      </c>
      <c r="K1467" s="122">
        <v>45530</v>
      </c>
      <c r="L1467" t="s">
        <v>738</v>
      </c>
      <c r="M1467">
        <v>10.1</v>
      </c>
    </row>
    <row r="1468" spans="1:13" hidden="1" x14ac:dyDescent="0.35">
      <c r="A1468" t="s">
        <v>24</v>
      </c>
      <c r="D1468" t="s">
        <v>32</v>
      </c>
      <c r="F1468">
        <v>6</v>
      </c>
      <c r="G1468">
        <v>1</v>
      </c>
      <c r="H1468">
        <v>1</v>
      </c>
      <c r="I1468">
        <v>6</v>
      </c>
      <c r="K1468" s="122">
        <v>45530</v>
      </c>
      <c r="L1468" t="s">
        <v>739</v>
      </c>
      <c r="M1468">
        <v>9.4</v>
      </c>
    </row>
    <row r="1469" spans="1:13" hidden="1" x14ac:dyDescent="0.35">
      <c r="A1469" t="s">
        <v>24</v>
      </c>
      <c r="D1469" t="s">
        <v>32</v>
      </c>
      <c r="F1469">
        <v>6</v>
      </c>
      <c r="G1469">
        <v>1</v>
      </c>
      <c r="H1469">
        <v>1</v>
      </c>
      <c r="I1469">
        <v>6</v>
      </c>
      <c r="K1469" s="122">
        <v>45538</v>
      </c>
      <c r="L1469" t="s">
        <v>737</v>
      </c>
      <c r="M1469">
        <v>11.7</v>
      </c>
    </row>
    <row r="1470" spans="1:13" hidden="1" x14ac:dyDescent="0.35">
      <c r="A1470" t="s">
        <v>24</v>
      </c>
      <c r="D1470" t="s">
        <v>32</v>
      </c>
      <c r="F1470">
        <v>6</v>
      </c>
      <c r="G1470">
        <v>1</v>
      </c>
      <c r="H1470">
        <v>1</v>
      </c>
      <c r="I1470">
        <v>6</v>
      </c>
      <c r="K1470" s="122">
        <v>45538</v>
      </c>
      <c r="L1470" t="s">
        <v>738</v>
      </c>
      <c r="M1470">
        <v>10.8</v>
      </c>
    </row>
    <row r="1471" spans="1:13" hidden="1" x14ac:dyDescent="0.35">
      <c r="A1471" t="s">
        <v>24</v>
      </c>
      <c r="D1471" t="s">
        <v>32</v>
      </c>
      <c r="F1471">
        <v>6</v>
      </c>
      <c r="G1471">
        <v>1</v>
      </c>
      <c r="H1471">
        <v>1</v>
      </c>
      <c r="I1471">
        <v>6</v>
      </c>
      <c r="K1471" s="122">
        <v>45538</v>
      </c>
      <c r="L1471" t="s">
        <v>739</v>
      </c>
      <c r="M1471">
        <v>9.9</v>
      </c>
    </row>
    <row r="1472" spans="1:13" hidden="1" x14ac:dyDescent="0.35">
      <c r="A1472" t="s">
        <v>24</v>
      </c>
      <c r="D1472" t="s">
        <v>32</v>
      </c>
      <c r="F1472">
        <v>6</v>
      </c>
      <c r="G1472">
        <v>1</v>
      </c>
      <c r="H1472">
        <v>1</v>
      </c>
      <c r="I1472">
        <v>6</v>
      </c>
      <c r="K1472" s="122">
        <v>45547</v>
      </c>
      <c r="L1472" t="s">
        <v>737</v>
      </c>
      <c r="M1472">
        <v>12</v>
      </c>
    </row>
    <row r="1473" spans="1:13" hidden="1" x14ac:dyDescent="0.35">
      <c r="A1473" t="s">
        <v>24</v>
      </c>
      <c r="D1473" t="s">
        <v>32</v>
      </c>
      <c r="F1473">
        <v>6</v>
      </c>
      <c r="G1473">
        <v>1</v>
      </c>
      <c r="H1473">
        <v>1</v>
      </c>
      <c r="I1473">
        <v>6</v>
      </c>
      <c r="K1473" s="122">
        <v>45547</v>
      </c>
      <c r="L1473" t="s">
        <v>738</v>
      </c>
      <c r="M1473">
        <v>10.7</v>
      </c>
    </row>
    <row r="1474" spans="1:13" hidden="1" x14ac:dyDescent="0.35">
      <c r="A1474" t="s">
        <v>24</v>
      </c>
      <c r="D1474" t="s">
        <v>32</v>
      </c>
      <c r="F1474">
        <v>6</v>
      </c>
      <c r="G1474">
        <v>1</v>
      </c>
      <c r="H1474">
        <v>1</v>
      </c>
      <c r="I1474">
        <v>6</v>
      </c>
      <c r="K1474" s="122">
        <v>45547</v>
      </c>
      <c r="L1474" t="s">
        <v>739</v>
      </c>
      <c r="M1474">
        <v>11</v>
      </c>
    </row>
    <row r="1475" spans="1:13" hidden="1" x14ac:dyDescent="0.35">
      <c r="A1475" t="s">
        <v>24</v>
      </c>
      <c r="D1475" t="s">
        <v>32</v>
      </c>
      <c r="F1475">
        <v>6</v>
      </c>
      <c r="G1475">
        <v>1</v>
      </c>
      <c r="H1475">
        <v>1</v>
      </c>
      <c r="I1475">
        <v>6</v>
      </c>
      <c r="K1475" s="122">
        <v>45555</v>
      </c>
      <c r="L1475" t="s">
        <v>737</v>
      </c>
      <c r="M1475">
        <v>12</v>
      </c>
    </row>
    <row r="1476" spans="1:13" hidden="1" x14ac:dyDescent="0.35">
      <c r="A1476" t="s">
        <v>24</v>
      </c>
      <c r="D1476" t="s">
        <v>32</v>
      </c>
      <c r="F1476">
        <v>6</v>
      </c>
      <c r="G1476">
        <v>1</v>
      </c>
      <c r="H1476">
        <v>1</v>
      </c>
      <c r="I1476">
        <v>6</v>
      </c>
      <c r="K1476" s="122">
        <v>45555</v>
      </c>
      <c r="L1476" t="s">
        <v>738</v>
      </c>
      <c r="M1476">
        <v>11</v>
      </c>
    </row>
    <row r="1477" spans="1:13" hidden="1" x14ac:dyDescent="0.35">
      <c r="A1477" t="s">
        <v>24</v>
      </c>
      <c r="D1477" t="s">
        <v>32</v>
      </c>
      <c r="F1477">
        <v>6</v>
      </c>
      <c r="G1477">
        <v>1</v>
      </c>
      <c r="H1477">
        <v>1</v>
      </c>
      <c r="I1477">
        <v>6</v>
      </c>
      <c r="K1477" s="122">
        <v>45555</v>
      </c>
      <c r="L1477" t="s">
        <v>739</v>
      </c>
      <c r="M1477">
        <v>11</v>
      </c>
    </row>
    <row r="1478" spans="1:13" hidden="1" x14ac:dyDescent="0.35">
      <c r="A1478" t="s">
        <v>34</v>
      </c>
      <c r="D1478" t="s">
        <v>343</v>
      </c>
      <c r="F1478">
        <v>6</v>
      </c>
      <c r="G1478">
        <v>2</v>
      </c>
      <c r="H1478">
        <v>1</v>
      </c>
      <c r="I1478">
        <v>14</v>
      </c>
      <c r="K1478" s="122">
        <v>45442</v>
      </c>
      <c r="L1478" t="s">
        <v>737</v>
      </c>
    </row>
    <row r="1479" spans="1:13" hidden="1" x14ac:dyDescent="0.35">
      <c r="A1479" t="s">
        <v>34</v>
      </c>
      <c r="D1479" t="s">
        <v>343</v>
      </c>
      <c r="F1479">
        <v>6</v>
      </c>
      <c r="G1479">
        <v>2</v>
      </c>
      <c r="H1479">
        <v>1</v>
      </c>
      <c r="I1479">
        <v>14</v>
      </c>
      <c r="K1479" s="122">
        <v>45442</v>
      </c>
      <c r="L1479" t="s">
        <v>738</v>
      </c>
    </row>
    <row r="1480" spans="1:13" hidden="1" x14ac:dyDescent="0.35">
      <c r="A1480" t="s">
        <v>34</v>
      </c>
      <c r="D1480" t="s">
        <v>343</v>
      </c>
      <c r="F1480">
        <v>6</v>
      </c>
      <c r="G1480">
        <v>2</v>
      </c>
      <c r="H1480">
        <v>1</v>
      </c>
      <c r="I1480">
        <v>14</v>
      </c>
      <c r="K1480" s="122">
        <v>45442</v>
      </c>
      <c r="L1480" t="s">
        <v>739</v>
      </c>
    </row>
    <row r="1481" spans="1:13" hidden="1" x14ac:dyDescent="0.35">
      <c r="A1481" t="s">
        <v>34</v>
      </c>
      <c r="D1481" t="s">
        <v>343</v>
      </c>
      <c r="F1481">
        <v>6</v>
      </c>
      <c r="G1481">
        <v>2</v>
      </c>
      <c r="H1481">
        <v>1</v>
      </c>
      <c r="I1481">
        <v>14</v>
      </c>
      <c r="K1481" s="122">
        <v>45447</v>
      </c>
      <c r="L1481" t="s">
        <v>737</v>
      </c>
      <c r="M1481">
        <v>1.8</v>
      </c>
    </row>
    <row r="1482" spans="1:13" hidden="1" x14ac:dyDescent="0.35">
      <c r="A1482" t="s">
        <v>34</v>
      </c>
      <c r="D1482" t="s">
        <v>343</v>
      </c>
      <c r="F1482">
        <v>6</v>
      </c>
      <c r="G1482">
        <v>2</v>
      </c>
      <c r="H1482">
        <v>1</v>
      </c>
      <c r="I1482">
        <v>14</v>
      </c>
      <c r="K1482" s="122">
        <v>45447</v>
      </c>
      <c r="L1482" t="s">
        <v>738</v>
      </c>
      <c r="M1482">
        <v>1.8</v>
      </c>
    </row>
    <row r="1483" spans="1:13" hidden="1" x14ac:dyDescent="0.35">
      <c r="A1483" t="s">
        <v>34</v>
      </c>
      <c r="D1483" t="s">
        <v>343</v>
      </c>
      <c r="F1483">
        <v>6</v>
      </c>
      <c r="G1483">
        <v>2</v>
      </c>
      <c r="H1483">
        <v>1</v>
      </c>
      <c r="I1483">
        <v>14</v>
      </c>
      <c r="K1483" s="122">
        <v>45447</v>
      </c>
      <c r="L1483" t="s">
        <v>739</v>
      </c>
      <c r="M1483">
        <v>1.8</v>
      </c>
    </row>
    <row r="1484" spans="1:13" hidden="1" x14ac:dyDescent="0.35">
      <c r="A1484" t="s">
        <v>34</v>
      </c>
      <c r="D1484" t="s">
        <v>343</v>
      </c>
      <c r="F1484">
        <v>6</v>
      </c>
      <c r="G1484">
        <v>2</v>
      </c>
      <c r="H1484">
        <v>1</v>
      </c>
      <c r="I1484">
        <v>14</v>
      </c>
      <c r="K1484" s="122">
        <v>45462</v>
      </c>
      <c r="L1484" t="s">
        <v>737</v>
      </c>
      <c r="M1484">
        <v>3.1</v>
      </c>
    </row>
    <row r="1485" spans="1:13" hidden="1" x14ac:dyDescent="0.35">
      <c r="A1485" t="s">
        <v>34</v>
      </c>
      <c r="D1485" t="s">
        <v>343</v>
      </c>
      <c r="F1485">
        <v>6</v>
      </c>
      <c r="G1485">
        <v>2</v>
      </c>
      <c r="H1485">
        <v>1</v>
      </c>
      <c r="I1485">
        <v>14</v>
      </c>
      <c r="K1485" s="122">
        <v>45462</v>
      </c>
      <c r="L1485" t="s">
        <v>738</v>
      </c>
      <c r="M1485">
        <v>3.4</v>
      </c>
    </row>
    <row r="1486" spans="1:13" hidden="1" x14ac:dyDescent="0.35">
      <c r="A1486" t="s">
        <v>34</v>
      </c>
      <c r="D1486" t="s">
        <v>343</v>
      </c>
      <c r="F1486">
        <v>6</v>
      </c>
      <c r="G1486">
        <v>2</v>
      </c>
      <c r="H1486">
        <v>1</v>
      </c>
      <c r="I1486">
        <v>14</v>
      </c>
      <c r="K1486" s="122">
        <v>45462</v>
      </c>
      <c r="L1486" t="s">
        <v>739</v>
      </c>
      <c r="M1486">
        <v>3.6</v>
      </c>
    </row>
    <row r="1487" spans="1:13" hidden="1" x14ac:dyDescent="0.35">
      <c r="A1487" t="s">
        <v>34</v>
      </c>
      <c r="D1487" t="s">
        <v>343</v>
      </c>
      <c r="F1487">
        <v>6</v>
      </c>
      <c r="G1487">
        <v>2</v>
      </c>
      <c r="H1487">
        <v>1</v>
      </c>
      <c r="I1487">
        <v>14</v>
      </c>
      <c r="K1487" s="122">
        <v>45477</v>
      </c>
      <c r="L1487" t="s">
        <v>737</v>
      </c>
      <c r="M1487">
        <v>4.7</v>
      </c>
    </row>
    <row r="1488" spans="1:13" hidden="1" x14ac:dyDescent="0.35">
      <c r="A1488" t="s">
        <v>34</v>
      </c>
      <c r="D1488" t="s">
        <v>343</v>
      </c>
      <c r="F1488">
        <v>6</v>
      </c>
      <c r="G1488">
        <v>2</v>
      </c>
      <c r="H1488">
        <v>1</v>
      </c>
      <c r="I1488">
        <v>14</v>
      </c>
      <c r="K1488" s="122">
        <v>45477</v>
      </c>
      <c r="L1488" t="s">
        <v>738</v>
      </c>
      <c r="M1488">
        <v>4.9000000000000004</v>
      </c>
    </row>
    <row r="1489" spans="1:13" hidden="1" x14ac:dyDescent="0.35">
      <c r="A1489" t="s">
        <v>34</v>
      </c>
      <c r="D1489" t="s">
        <v>343</v>
      </c>
      <c r="F1489">
        <v>6</v>
      </c>
      <c r="G1489">
        <v>2</v>
      </c>
      <c r="H1489">
        <v>1</v>
      </c>
      <c r="I1489">
        <v>14</v>
      </c>
      <c r="K1489" s="122">
        <v>45477</v>
      </c>
      <c r="L1489" t="s">
        <v>739</v>
      </c>
      <c r="M1489">
        <v>5</v>
      </c>
    </row>
    <row r="1490" spans="1:13" hidden="1" x14ac:dyDescent="0.35">
      <c r="A1490" t="s">
        <v>34</v>
      </c>
      <c r="D1490" t="s">
        <v>343</v>
      </c>
      <c r="F1490">
        <v>6</v>
      </c>
      <c r="G1490">
        <v>2</v>
      </c>
      <c r="H1490">
        <v>1</v>
      </c>
      <c r="I1490">
        <v>14</v>
      </c>
      <c r="K1490" s="122">
        <v>45485</v>
      </c>
      <c r="L1490" t="s">
        <v>737</v>
      </c>
    </row>
    <row r="1491" spans="1:13" hidden="1" x14ac:dyDescent="0.35">
      <c r="A1491" t="s">
        <v>34</v>
      </c>
      <c r="D1491" t="s">
        <v>343</v>
      </c>
      <c r="F1491">
        <v>6</v>
      </c>
      <c r="G1491">
        <v>2</v>
      </c>
      <c r="H1491">
        <v>1</v>
      </c>
      <c r="I1491">
        <v>14</v>
      </c>
      <c r="K1491" s="122">
        <v>45485</v>
      </c>
      <c r="L1491" t="s">
        <v>738</v>
      </c>
    </row>
    <row r="1492" spans="1:13" hidden="1" x14ac:dyDescent="0.35">
      <c r="A1492" t="s">
        <v>34</v>
      </c>
      <c r="D1492" t="s">
        <v>343</v>
      </c>
      <c r="F1492">
        <v>6</v>
      </c>
      <c r="G1492">
        <v>2</v>
      </c>
      <c r="H1492">
        <v>1</v>
      </c>
      <c r="I1492">
        <v>14</v>
      </c>
      <c r="K1492" s="122">
        <v>45485</v>
      </c>
      <c r="L1492" t="s">
        <v>739</v>
      </c>
    </row>
    <row r="1493" spans="1:13" hidden="1" x14ac:dyDescent="0.35">
      <c r="A1493" t="s">
        <v>34</v>
      </c>
      <c r="D1493" t="s">
        <v>343</v>
      </c>
      <c r="F1493">
        <v>6</v>
      </c>
      <c r="G1493">
        <v>2</v>
      </c>
      <c r="H1493">
        <v>1</v>
      </c>
      <c r="I1493">
        <v>14</v>
      </c>
      <c r="K1493" s="122">
        <v>45492</v>
      </c>
      <c r="L1493" t="s">
        <v>737</v>
      </c>
      <c r="M1493">
        <v>6.1</v>
      </c>
    </row>
    <row r="1494" spans="1:13" hidden="1" x14ac:dyDescent="0.35">
      <c r="A1494" t="s">
        <v>34</v>
      </c>
      <c r="D1494" t="s">
        <v>343</v>
      </c>
      <c r="F1494">
        <v>6</v>
      </c>
      <c r="G1494">
        <v>2</v>
      </c>
      <c r="H1494">
        <v>1</v>
      </c>
      <c r="I1494">
        <v>14</v>
      </c>
      <c r="K1494" s="122">
        <v>45492</v>
      </c>
      <c r="L1494" t="s">
        <v>738</v>
      </c>
      <c r="M1494">
        <v>6.3</v>
      </c>
    </row>
    <row r="1495" spans="1:13" hidden="1" x14ac:dyDescent="0.35">
      <c r="A1495" t="s">
        <v>34</v>
      </c>
      <c r="D1495" t="s">
        <v>343</v>
      </c>
      <c r="F1495">
        <v>6</v>
      </c>
      <c r="G1495">
        <v>2</v>
      </c>
      <c r="H1495">
        <v>1</v>
      </c>
      <c r="I1495">
        <v>14</v>
      </c>
      <c r="K1495" s="122">
        <v>45492</v>
      </c>
      <c r="L1495" t="s">
        <v>739</v>
      </c>
      <c r="M1495">
        <v>6.4</v>
      </c>
    </row>
    <row r="1496" spans="1:13" hidden="1" x14ac:dyDescent="0.35">
      <c r="A1496" t="s">
        <v>34</v>
      </c>
      <c r="D1496" t="s">
        <v>343</v>
      </c>
      <c r="F1496">
        <v>6</v>
      </c>
      <c r="G1496">
        <v>2</v>
      </c>
      <c r="H1496">
        <v>1</v>
      </c>
      <c r="I1496">
        <v>14</v>
      </c>
      <c r="K1496" s="122">
        <v>45509</v>
      </c>
      <c r="L1496" t="s">
        <v>737</v>
      </c>
      <c r="M1496">
        <v>7.4</v>
      </c>
    </row>
    <row r="1497" spans="1:13" hidden="1" x14ac:dyDescent="0.35">
      <c r="A1497" t="s">
        <v>34</v>
      </c>
      <c r="D1497" t="s">
        <v>343</v>
      </c>
      <c r="F1497">
        <v>6</v>
      </c>
      <c r="G1497">
        <v>2</v>
      </c>
      <c r="H1497">
        <v>1</v>
      </c>
      <c r="I1497">
        <v>14</v>
      </c>
      <c r="K1497" s="122">
        <v>45509</v>
      </c>
      <c r="L1497" t="s">
        <v>738</v>
      </c>
      <c r="M1497">
        <v>7.6</v>
      </c>
    </row>
    <row r="1498" spans="1:13" hidden="1" x14ac:dyDescent="0.35">
      <c r="A1498" t="s">
        <v>34</v>
      </c>
      <c r="D1498" t="s">
        <v>343</v>
      </c>
      <c r="F1498">
        <v>6</v>
      </c>
      <c r="G1498">
        <v>2</v>
      </c>
      <c r="H1498">
        <v>1</v>
      </c>
      <c r="I1498">
        <v>14</v>
      </c>
      <c r="K1498" s="122">
        <v>45509</v>
      </c>
      <c r="L1498" t="s">
        <v>739</v>
      </c>
      <c r="M1498">
        <v>7.6</v>
      </c>
    </row>
    <row r="1499" spans="1:13" hidden="1" x14ac:dyDescent="0.35">
      <c r="A1499" t="s">
        <v>34</v>
      </c>
      <c r="D1499" t="s">
        <v>343</v>
      </c>
      <c r="F1499">
        <v>6</v>
      </c>
      <c r="G1499">
        <v>2</v>
      </c>
      <c r="H1499">
        <v>1</v>
      </c>
      <c r="I1499">
        <v>14</v>
      </c>
      <c r="K1499" s="122">
        <v>45519</v>
      </c>
      <c r="L1499" t="s">
        <v>737</v>
      </c>
      <c r="M1499">
        <v>8.3000000000000007</v>
      </c>
    </row>
    <row r="1500" spans="1:13" hidden="1" x14ac:dyDescent="0.35">
      <c r="A1500" t="s">
        <v>34</v>
      </c>
      <c r="D1500" t="s">
        <v>343</v>
      </c>
      <c r="F1500">
        <v>6</v>
      </c>
      <c r="G1500">
        <v>2</v>
      </c>
      <c r="H1500">
        <v>1</v>
      </c>
      <c r="I1500">
        <v>14</v>
      </c>
      <c r="K1500" s="122">
        <v>45519</v>
      </c>
      <c r="L1500" t="s">
        <v>738</v>
      </c>
      <c r="M1500">
        <v>8.6</v>
      </c>
    </row>
    <row r="1501" spans="1:13" hidden="1" x14ac:dyDescent="0.35">
      <c r="A1501" t="s">
        <v>34</v>
      </c>
      <c r="D1501" t="s">
        <v>343</v>
      </c>
      <c r="F1501">
        <v>6</v>
      </c>
      <c r="G1501">
        <v>2</v>
      </c>
      <c r="H1501">
        <v>1</v>
      </c>
      <c r="I1501">
        <v>14</v>
      </c>
      <c r="K1501" s="122">
        <v>45519</v>
      </c>
      <c r="L1501" t="s">
        <v>739</v>
      </c>
      <c r="M1501">
        <v>8.6</v>
      </c>
    </row>
    <row r="1502" spans="1:13" hidden="1" x14ac:dyDescent="0.35">
      <c r="A1502" t="s">
        <v>34</v>
      </c>
      <c r="D1502" t="s">
        <v>343</v>
      </c>
      <c r="F1502">
        <v>6</v>
      </c>
      <c r="G1502">
        <v>2</v>
      </c>
      <c r="H1502">
        <v>1</v>
      </c>
      <c r="I1502">
        <v>14</v>
      </c>
      <c r="K1502" s="122">
        <v>45530</v>
      </c>
      <c r="L1502" t="s">
        <v>737</v>
      </c>
      <c r="M1502">
        <v>9.6</v>
      </c>
    </row>
    <row r="1503" spans="1:13" hidden="1" x14ac:dyDescent="0.35">
      <c r="A1503" t="s">
        <v>34</v>
      </c>
      <c r="D1503" t="s">
        <v>343</v>
      </c>
      <c r="F1503">
        <v>6</v>
      </c>
      <c r="G1503">
        <v>2</v>
      </c>
      <c r="H1503">
        <v>1</v>
      </c>
      <c r="I1503">
        <v>14</v>
      </c>
      <c r="K1503" s="122">
        <v>45530</v>
      </c>
      <c r="L1503" t="s">
        <v>738</v>
      </c>
      <c r="M1503">
        <v>9.9</v>
      </c>
    </row>
    <row r="1504" spans="1:13" hidden="1" x14ac:dyDescent="0.35">
      <c r="A1504" t="s">
        <v>34</v>
      </c>
      <c r="D1504" t="s">
        <v>343</v>
      </c>
      <c r="F1504">
        <v>6</v>
      </c>
      <c r="G1504">
        <v>2</v>
      </c>
      <c r="H1504">
        <v>1</v>
      </c>
      <c r="I1504">
        <v>14</v>
      </c>
      <c r="K1504" s="122">
        <v>45530</v>
      </c>
      <c r="L1504" t="s">
        <v>739</v>
      </c>
      <c r="M1504">
        <v>9.9</v>
      </c>
    </row>
    <row r="1505" spans="1:13" hidden="1" x14ac:dyDescent="0.35">
      <c r="A1505" t="s">
        <v>34</v>
      </c>
      <c r="D1505" t="s">
        <v>343</v>
      </c>
      <c r="F1505">
        <v>6</v>
      </c>
      <c r="G1505">
        <v>2</v>
      </c>
      <c r="H1505">
        <v>1</v>
      </c>
      <c r="I1505">
        <v>14</v>
      </c>
      <c r="K1505" s="122">
        <v>45538</v>
      </c>
      <c r="L1505" t="s">
        <v>737</v>
      </c>
      <c r="M1505">
        <v>10.7</v>
      </c>
    </row>
    <row r="1506" spans="1:13" hidden="1" x14ac:dyDescent="0.35">
      <c r="A1506" t="s">
        <v>34</v>
      </c>
      <c r="D1506" t="s">
        <v>343</v>
      </c>
      <c r="F1506">
        <v>6</v>
      </c>
      <c r="G1506">
        <v>2</v>
      </c>
      <c r="H1506">
        <v>1</v>
      </c>
      <c r="I1506">
        <v>14</v>
      </c>
      <c r="K1506" s="122">
        <v>45538</v>
      </c>
      <c r="L1506" t="s">
        <v>738</v>
      </c>
      <c r="M1506">
        <v>10.7</v>
      </c>
    </row>
    <row r="1507" spans="1:13" hidden="1" x14ac:dyDescent="0.35">
      <c r="A1507" t="s">
        <v>34</v>
      </c>
      <c r="D1507" t="s">
        <v>343</v>
      </c>
      <c r="F1507">
        <v>6</v>
      </c>
      <c r="G1507">
        <v>2</v>
      </c>
      <c r="H1507">
        <v>1</v>
      </c>
      <c r="I1507">
        <v>14</v>
      </c>
      <c r="K1507" s="122">
        <v>45538</v>
      </c>
      <c r="L1507" t="s">
        <v>739</v>
      </c>
      <c r="M1507">
        <v>10.8</v>
      </c>
    </row>
    <row r="1508" spans="1:13" hidden="1" x14ac:dyDescent="0.35">
      <c r="A1508" t="s">
        <v>34</v>
      </c>
      <c r="D1508" t="s">
        <v>343</v>
      </c>
      <c r="F1508">
        <v>6</v>
      </c>
      <c r="G1508">
        <v>2</v>
      </c>
      <c r="H1508">
        <v>1</v>
      </c>
      <c r="I1508">
        <v>14</v>
      </c>
      <c r="K1508" s="122">
        <v>45547</v>
      </c>
      <c r="L1508" t="s">
        <v>737</v>
      </c>
      <c r="M1508">
        <v>11</v>
      </c>
    </row>
    <row r="1509" spans="1:13" hidden="1" x14ac:dyDescent="0.35">
      <c r="A1509" t="s">
        <v>34</v>
      </c>
      <c r="D1509" t="s">
        <v>343</v>
      </c>
      <c r="F1509">
        <v>6</v>
      </c>
      <c r="G1509">
        <v>2</v>
      </c>
      <c r="H1509">
        <v>1</v>
      </c>
      <c r="I1509">
        <v>14</v>
      </c>
      <c r="K1509" s="122">
        <v>45547</v>
      </c>
      <c r="L1509" t="s">
        <v>738</v>
      </c>
      <c r="M1509">
        <v>11</v>
      </c>
    </row>
    <row r="1510" spans="1:13" hidden="1" x14ac:dyDescent="0.35">
      <c r="A1510" t="s">
        <v>34</v>
      </c>
      <c r="D1510" t="s">
        <v>343</v>
      </c>
      <c r="F1510">
        <v>6</v>
      </c>
      <c r="G1510">
        <v>2</v>
      </c>
      <c r="H1510">
        <v>1</v>
      </c>
      <c r="I1510">
        <v>14</v>
      </c>
      <c r="K1510" s="122">
        <v>45547</v>
      </c>
      <c r="L1510" t="s">
        <v>739</v>
      </c>
      <c r="M1510">
        <v>11</v>
      </c>
    </row>
    <row r="1511" spans="1:13" hidden="1" x14ac:dyDescent="0.35">
      <c r="A1511" t="s">
        <v>34</v>
      </c>
      <c r="D1511" t="s">
        <v>343</v>
      </c>
      <c r="F1511">
        <v>6</v>
      </c>
      <c r="G1511">
        <v>2</v>
      </c>
      <c r="H1511">
        <v>1</v>
      </c>
      <c r="I1511">
        <v>14</v>
      </c>
      <c r="K1511" s="122">
        <v>45555</v>
      </c>
      <c r="L1511" t="s">
        <v>737</v>
      </c>
    </row>
    <row r="1512" spans="1:13" hidden="1" x14ac:dyDescent="0.35">
      <c r="A1512" t="s">
        <v>34</v>
      </c>
      <c r="D1512" t="s">
        <v>343</v>
      </c>
      <c r="F1512">
        <v>6</v>
      </c>
      <c r="G1512">
        <v>2</v>
      </c>
      <c r="H1512">
        <v>1</v>
      </c>
      <c r="I1512">
        <v>14</v>
      </c>
      <c r="K1512" s="122">
        <v>45555</v>
      </c>
      <c r="L1512" t="s">
        <v>738</v>
      </c>
    </row>
    <row r="1513" spans="1:13" hidden="1" x14ac:dyDescent="0.35">
      <c r="A1513" t="s">
        <v>34</v>
      </c>
      <c r="D1513" t="s">
        <v>343</v>
      </c>
      <c r="F1513">
        <v>6</v>
      </c>
      <c r="G1513">
        <v>2</v>
      </c>
      <c r="H1513">
        <v>1</v>
      </c>
      <c r="I1513">
        <v>14</v>
      </c>
      <c r="K1513" s="122">
        <v>45555</v>
      </c>
      <c r="L1513" t="s">
        <v>739</v>
      </c>
    </row>
    <row r="1514" spans="1:13" hidden="1" x14ac:dyDescent="0.35">
      <c r="A1514" t="s">
        <v>24</v>
      </c>
      <c r="D1514" t="s">
        <v>337</v>
      </c>
      <c r="F1514">
        <v>6</v>
      </c>
      <c r="G1514">
        <v>3</v>
      </c>
      <c r="H1514">
        <v>2</v>
      </c>
      <c r="I1514">
        <v>22</v>
      </c>
      <c r="K1514" s="122">
        <v>45442</v>
      </c>
      <c r="L1514" t="s">
        <v>737</v>
      </c>
      <c r="M1514">
        <v>4.8</v>
      </c>
    </row>
    <row r="1515" spans="1:13" hidden="1" x14ac:dyDescent="0.35">
      <c r="A1515" t="s">
        <v>24</v>
      </c>
      <c r="D1515" t="s">
        <v>337</v>
      </c>
      <c r="F1515">
        <v>6</v>
      </c>
      <c r="G1515">
        <v>3</v>
      </c>
      <c r="H1515">
        <v>2</v>
      </c>
      <c r="I1515">
        <v>22</v>
      </c>
      <c r="K1515" s="122">
        <v>45442</v>
      </c>
      <c r="L1515" t="s">
        <v>738</v>
      </c>
      <c r="M1515">
        <v>5.0999999999999996</v>
      </c>
    </row>
    <row r="1516" spans="1:13" hidden="1" x14ac:dyDescent="0.35">
      <c r="A1516" t="s">
        <v>24</v>
      </c>
      <c r="D1516" t="s">
        <v>337</v>
      </c>
      <c r="F1516">
        <v>6</v>
      </c>
      <c r="G1516">
        <v>3</v>
      </c>
      <c r="H1516">
        <v>2</v>
      </c>
      <c r="I1516">
        <v>22</v>
      </c>
      <c r="K1516" s="122">
        <v>45442</v>
      </c>
      <c r="L1516" t="s">
        <v>739</v>
      </c>
      <c r="M1516">
        <v>4.8</v>
      </c>
    </row>
    <row r="1517" spans="1:13" hidden="1" x14ac:dyDescent="0.35">
      <c r="A1517" t="s">
        <v>24</v>
      </c>
      <c r="D1517" t="s">
        <v>337</v>
      </c>
      <c r="F1517">
        <v>6</v>
      </c>
      <c r="G1517">
        <v>3</v>
      </c>
      <c r="H1517">
        <v>2</v>
      </c>
      <c r="I1517">
        <v>22</v>
      </c>
      <c r="K1517" s="122">
        <v>45447</v>
      </c>
      <c r="L1517" t="s">
        <v>737</v>
      </c>
      <c r="M1517">
        <v>5.4</v>
      </c>
    </row>
    <row r="1518" spans="1:13" hidden="1" x14ac:dyDescent="0.35">
      <c r="A1518" t="s">
        <v>24</v>
      </c>
      <c r="D1518" t="s">
        <v>337</v>
      </c>
      <c r="F1518">
        <v>6</v>
      </c>
      <c r="G1518">
        <v>3</v>
      </c>
      <c r="H1518">
        <v>2</v>
      </c>
      <c r="I1518">
        <v>22</v>
      </c>
      <c r="K1518" s="122">
        <v>45447</v>
      </c>
      <c r="L1518" t="s">
        <v>738</v>
      </c>
      <c r="M1518">
        <v>5.6</v>
      </c>
    </row>
    <row r="1519" spans="1:13" hidden="1" x14ac:dyDescent="0.35">
      <c r="A1519" t="s">
        <v>24</v>
      </c>
      <c r="D1519" t="s">
        <v>337</v>
      </c>
      <c r="F1519">
        <v>6</v>
      </c>
      <c r="G1519">
        <v>3</v>
      </c>
      <c r="H1519">
        <v>2</v>
      </c>
      <c r="I1519">
        <v>22</v>
      </c>
      <c r="K1519" s="122">
        <v>45447</v>
      </c>
      <c r="L1519" t="s">
        <v>739</v>
      </c>
      <c r="M1519">
        <v>5.4</v>
      </c>
    </row>
    <row r="1520" spans="1:13" hidden="1" x14ac:dyDescent="0.35">
      <c r="A1520" t="s">
        <v>24</v>
      </c>
      <c r="D1520" t="s">
        <v>337</v>
      </c>
      <c r="F1520">
        <v>6</v>
      </c>
      <c r="G1520">
        <v>3</v>
      </c>
      <c r="H1520">
        <v>2</v>
      </c>
      <c r="I1520">
        <v>22</v>
      </c>
      <c r="K1520" s="122">
        <v>45462</v>
      </c>
      <c r="L1520" t="s">
        <v>737</v>
      </c>
      <c r="M1520">
        <v>5.3</v>
      </c>
    </row>
    <row r="1521" spans="1:13" hidden="1" x14ac:dyDescent="0.35">
      <c r="A1521" t="s">
        <v>24</v>
      </c>
      <c r="D1521" t="s">
        <v>337</v>
      </c>
      <c r="F1521">
        <v>6</v>
      </c>
      <c r="G1521">
        <v>3</v>
      </c>
      <c r="H1521">
        <v>2</v>
      </c>
      <c r="I1521">
        <v>22</v>
      </c>
      <c r="K1521" s="122">
        <v>45462</v>
      </c>
      <c r="L1521" t="s">
        <v>738</v>
      </c>
      <c r="M1521">
        <v>5.6</v>
      </c>
    </row>
    <row r="1522" spans="1:13" hidden="1" x14ac:dyDescent="0.35">
      <c r="A1522" t="s">
        <v>24</v>
      </c>
      <c r="D1522" t="s">
        <v>337</v>
      </c>
      <c r="F1522">
        <v>6</v>
      </c>
      <c r="G1522">
        <v>3</v>
      </c>
      <c r="H1522">
        <v>2</v>
      </c>
      <c r="I1522">
        <v>22</v>
      </c>
      <c r="K1522" s="122">
        <v>45462</v>
      </c>
      <c r="L1522" t="s">
        <v>739</v>
      </c>
      <c r="M1522">
        <v>5.3</v>
      </c>
    </row>
    <row r="1523" spans="1:13" hidden="1" x14ac:dyDescent="0.35">
      <c r="A1523" t="s">
        <v>24</v>
      </c>
      <c r="D1523" t="s">
        <v>337</v>
      </c>
      <c r="F1523">
        <v>6</v>
      </c>
      <c r="G1523">
        <v>3</v>
      </c>
      <c r="H1523">
        <v>2</v>
      </c>
      <c r="I1523">
        <v>22</v>
      </c>
      <c r="K1523" s="122">
        <v>45477</v>
      </c>
      <c r="L1523" t="s">
        <v>737</v>
      </c>
    </row>
    <row r="1524" spans="1:13" hidden="1" x14ac:dyDescent="0.35">
      <c r="A1524" t="s">
        <v>24</v>
      </c>
      <c r="D1524" t="s">
        <v>337</v>
      </c>
      <c r="F1524">
        <v>6</v>
      </c>
      <c r="G1524">
        <v>3</v>
      </c>
      <c r="H1524">
        <v>2</v>
      </c>
      <c r="I1524">
        <v>22</v>
      </c>
      <c r="K1524" s="122">
        <v>45477</v>
      </c>
      <c r="L1524" t="s">
        <v>738</v>
      </c>
    </row>
    <row r="1525" spans="1:13" hidden="1" x14ac:dyDescent="0.35">
      <c r="A1525" t="s">
        <v>24</v>
      </c>
      <c r="D1525" t="s">
        <v>337</v>
      </c>
      <c r="F1525">
        <v>6</v>
      </c>
      <c r="G1525">
        <v>3</v>
      </c>
      <c r="H1525">
        <v>2</v>
      </c>
      <c r="I1525">
        <v>22</v>
      </c>
      <c r="K1525" s="122">
        <v>45477</v>
      </c>
      <c r="L1525" t="s">
        <v>739</v>
      </c>
    </row>
    <row r="1526" spans="1:13" hidden="1" x14ac:dyDescent="0.35">
      <c r="A1526" t="s">
        <v>24</v>
      </c>
      <c r="D1526" t="s">
        <v>337</v>
      </c>
      <c r="F1526">
        <v>6</v>
      </c>
      <c r="G1526">
        <v>3</v>
      </c>
      <c r="H1526">
        <v>2</v>
      </c>
      <c r="I1526">
        <v>22</v>
      </c>
      <c r="K1526" s="122">
        <v>45485</v>
      </c>
      <c r="L1526" t="s">
        <v>737</v>
      </c>
      <c r="M1526">
        <v>7</v>
      </c>
    </row>
    <row r="1527" spans="1:13" hidden="1" x14ac:dyDescent="0.35">
      <c r="A1527" t="s">
        <v>24</v>
      </c>
      <c r="D1527" t="s">
        <v>337</v>
      </c>
      <c r="F1527">
        <v>6</v>
      </c>
      <c r="G1527">
        <v>3</v>
      </c>
      <c r="H1527">
        <v>2</v>
      </c>
      <c r="I1527">
        <v>22</v>
      </c>
      <c r="K1527" s="122">
        <v>45485</v>
      </c>
      <c r="L1527" t="s">
        <v>738</v>
      </c>
      <c r="M1527">
        <v>6.9</v>
      </c>
    </row>
    <row r="1528" spans="1:13" hidden="1" x14ac:dyDescent="0.35">
      <c r="A1528" t="s">
        <v>24</v>
      </c>
      <c r="D1528" t="s">
        <v>337</v>
      </c>
      <c r="F1528">
        <v>6</v>
      </c>
      <c r="G1528">
        <v>3</v>
      </c>
      <c r="H1528">
        <v>2</v>
      </c>
      <c r="I1528">
        <v>22</v>
      </c>
      <c r="K1528" s="122">
        <v>45485</v>
      </c>
      <c r="L1528" t="s">
        <v>739</v>
      </c>
      <c r="M1528">
        <v>6.3</v>
      </c>
    </row>
    <row r="1529" spans="1:13" hidden="1" x14ac:dyDescent="0.35">
      <c r="A1529" t="s">
        <v>24</v>
      </c>
      <c r="D1529" t="s">
        <v>337</v>
      </c>
      <c r="F1529">
        <v>6</v>
      </c>
      <c r="G1529">
        <v>3</v>
      </c>
      <c r="H1529">
        <v>2</v>
      </c>
      <c r="I1529">
        <v>22</v>
      </c>
      <c r="K1529" s="122">
        <v>45492</v>
      </c>
      <c r="L1529" t="s">
        <v>737</v>
      </c>
      <c r="M1529">
        <v>7.3</v>
      </c>
    </row>
    <row r="1530" spans="1:13" hidden="1" x14ac:dyDescent="0.35">
      <c r="A1530" t="s">
        <v>24</v>
      </c>
      <c r="D1530" t="s">
        <v>337</v>
      </c>
      <c r="F1530">
        <v>6</v>
      </c>
      <c r="G1530">
        <v>3</v>
      </c>
      <c r="H1530">
        <v>2</v>
      </c>
      <c r="I1530">
        <v>22</v>
      </c>
      <c r="K1530" s="122">
        <v>45492</v>
      </c>
      <c r="L1530" t="s">
        <v>738</v>
      </c>
      <c r="M1530">
        <v>6.9</v>
      </c>
    </row>
    <row r="1531" spans="1:13" hidden="1" x14ac:dyDescent="0.35">
      <c r="A1531" t="s">
        <v>24</v>
      </c>
      <c r="D1531" t="s">
        <v>337</v>
      </c>
      <c r="F1531">
        <v>6</v>
      </c>
      <c r="G1531">
        <v>3</v>
      </c>
      <c r="H1531">
        <v>2</v>
      </c>
      <c r="I1531">
        <v>22</v>
      </c>
      <c r="K1531" s="122">
        <v>45492</v>
      </c>
      <c r="L1531" t="s">
        <v>739</v>
      </c>
      <c r="M1531">
        <v>7.1</v>
      </c>
    </row>
    <row r="1532" spans="1:13" hidden="1" x14ac:dyDescent="0.35">
      <c r="A1532" t="s">
        <v>24</v>
      </c>
      <c r="D1532" t="s">
        <v>337</v>
      </c>
      <c r="F1532">
        <v>6</v>
      </c>
      <c r="G1532">
        <v>3</v>
      </c>
      <c r="H1532">
        <v>2</v>
      </c>
      <c r="I1532">
        <v>22</v>
      </c>
      <c r="K1532" s="122">
        <v>45509</v>
      </c>
      <c r="L1532" t="s">
        <v>737</v>
      </c>
      <c r="M1532">
        <v>8.6</v>
      </c>
    </row>
    <row r="1533" spans="1:13" hidden="1" x14ac:dyDescent="0.35">
      <c r="A1533" t="s">
        <v>24</v>
      </c>
      <c r="D1533" t="s">
        <v>337</v>
      </c>
      <c r="F1533">
        <v>6</v>
      </c>
      <c r="G1533">
        <v>3</v>
      </c>
      <c r="H1533">
        <v>2</v>
      </c>
      <c r="I1533">
        <v>22</v>
      </c>
      <c r="K1533" s="122">
        <v>45509</v>
      </c>
      <c r="L1533" t="s">
        <v>738</v>
      </c>
      <c r="M1533">
        <v>7.8</v>
      </c>
    </row>
    <row r="1534" spans="1:13" hidden="1" x14ac:dyDescent="0.35">
      <c r="A1534" t="s">
        <v>24</v>
      </c>
      <c r="D1534" t="s">
        <v>337</v>
      </c>
      <c r="F1534">
        <v>6</v>
      </c>
      <c r="G1534">
        <v>3</v>
      </c>
      <c r="H1534">
        <v>2</v>
      </c>
      <c r="I1534">
        <v>22</v>
      </c>
      <c r="K1534" s="122">
        <v>45509</v>
      </c>
      <c r="L1534" t="s">
        <v>739</v>
      </c>
    </row>
    <row r="1535" spans="1:13" hidden="1" x14ac:dyDescent="0.35">
      <c r="A1535" t="s">
        <v>24</v>
      </c>
      <c r="D1535" t="s">
        <v>337</v>
      </c>
      <c r="F1535">
        <v>6</v>
      </c>
      <c r="G1535">
        <v>3</v>
      </c>
      <c r="H1535">
        <v>2</v>
      </c>
      <c r="I1535">
        <v>22</v>
      </c>
      <c r="K1535" s="122">
        <v>45519</v>
      </c>
      <c r="L1535" t="s">
        <v>737</v>
      </c>
      <c r="M1535">
        <v>9.3000000000000007</v>
      </c>
    </row>
    <row r="1536" spans="1:13" hidden="1" x14ac:dyDescent="0.35">
      <c r="A1536" t="s">
        <v>24</v>
      </c>
      <c r="D1536" t="s">
        <v>337</v>
      </c>
      <c r="F1536">
        <v>6</v>
      </c>
      <c r="G1536">
        <v>3</v>
      </c>
      <c r="H1536">
        <v>2</v>
      </c>
      <c r="I1536">
        <v>22</v>
      </c>
      <c r="K1536" s="122">
        <v>45519</v>
      </c>
      <c r="L1536" t="s">
        <v>738</v>
      </c>
      <c r="M1536">
        <v>8</v>
      </c>
    </row>
    <row r="1537" spans="1:13" hidden="1" x14ac:dyDescent="0.35">
      <c r="A1537" t="s">
        <v>24</v>
      </c>
      <c r="D1537" t="s">
        <v>337</v>
      </c>
      <c r="F1537">
        <v>6</v>
      </c>
      <c r="G1537">
        <v>3</v>
      </c>
      <c r="H1537">
        <v>2</v>
      </c>
      <c r="I1537">
        <v>22</v>
      </c>
      <c r="K1537" s="122">
        <v>45519</v>
      </c>
      <c r="L1537" t="s">
        <v>739</v>
      </c>
      <c r="M1537">
        <v>8.4</v>
      </c>
    </row>
    <row r="1538" spans="1:13" hidden="1" x14ac:dyDescent="0.35">
      <c r="A1538" t="s">
        <v>24</v>
      </c>
      <c r="D1538" t="s">
        <v>337</v>
      </c>
      <c r="F1538">
        <v>6</v>
      </c>
      <c r="G1538">
        <v>3</v>
      </c>
      <c r="H1538">
        <v>2</v>
      </c>
      <c r="I1538">
        <v>22</v>
      </c>
      <c r="K1538" s="122">
        <v>45530</v>
      </c>
      <c r="L1538" t="s">
        <v>737</v>
      </c>
      <c r="M1538">
        <v>10.3</v>
      </c>
    </row>
    <row r="1539" spans="1:13" hidden="1" x14ac:dyDescent="0.35">
      <c r="A1539" t="s">
        <v>24</v>
      </c>
      <c r="D1539" t="s">
        <v>337</v>
      </c>
      <c r="F1539">
        <v>6</v>
      </c>
      <c r="G1539">
        <v>3</v>
      </c>
      <c r="H1539">
        <v>2</v>
      </c>
      <c r="I1539">
        <v>22</v>
      </c>
      <c r="K1539" s="122">
        <v>45530</v>
      </c>
      <c r="L1539" t="s">
        <v>738</v>
      </c>
      <c r="M1539">
        <v>9.5</v>
      </c>
    </row>
    <row r="1540" spans="1:13" hidden="1" x14ac:dyDescent="0.35">
      <c r="A1540" t="s">
        <v>24</v>
      </c>
      <c r="D1540" t="s">
        <v>337</v>
      </c>
      <c r="F1540">
        <v>6</v>
      </c>
      <c r="G1540">
        <v>3</v>
      </c>
      <c r="H1540">
        <v>2</v>
      </c>
      <c r="I1540">
        <v>22</v>
      </c>
      <c r="K1540" s="122">
        <v>45530</v>
      </c>
      <c r="L1540" t="s">
        <v>739</v>
      </c>
    </row>
    <row r="1541" spans="1:13" hidden="1" x14ac:dyDescent="0.35">
      <c r="A1541" t="s">
        <v>24</v>
      </c>
      <c r="D1541" t="s">
        <v>337</v>
      </c>
      <c r="F1541">
        <v>6</v>
      </c>
      <c r="G1541">
        <v>3</v>
      </c>
      <c r="H1541">
        <v>2</v>
      </c>
      <c r="I1541">
        <v>22</v>
      </c>
      <c r="K1541" s="122">
        <v>45538</v>
      </c>
      <c r="L1541" t="s">
        <v>737</v>
      </c>
      <c r="M1541">
        <v>11.1</v>
      </c>
    </row>
    <row r="1542" spans="1:13" hidden="1" x14ac:dyDescent="0.35">
      <c r="A1542" t="s">
        <v>24</v>
      </c>
      <c r="D1542" t="s">
        <v>337</v>
      </c>
      <c r="F1542">
        <v>6</v>
      </c>
      <c r="G1542">
        <v>3</v>
      </c>
      <c r="H1542">
        <v>2</v>
      </c>
      <c r="I1542">
        <v>22</v>
      </c>
      <c r="K1542" s="122">
        <v>45538</v>
      </c>
      <c r="L1542" t="s">
        <v>738</v>
      </c>
      <c r="M1542">
        <v>10.199999999999999</v>
      </c>
    </row>
    <row r="1543" spans="1:13" hidden="1" x14ac:dyDescent="0.35">
      <c r="A1543" t="s">
        <v>24</v>
      </c>
      <c r="D1543" t="s">
        <v>337</v>
      </c>
      <c r="F1543">
        <v>6</v>
      </c>
      <c r="G1543">
        <v>3</v>
      </c>
      <c r="H1543">
        <v>2</v>
      </c>
      <c r="I1543">
        <v>22</v>
      </c>
      <c r="K1543" s="122">
        <v>45538</v>
      </c>
      <c r="L1543" t="s">
        <v>739</v>
      </c>
    </row>
    <row r="1544" spans="1:13" hidden="1" x14ac:dyDescent="0.35">
      <c r="A1544" t="s">
        <v>24</v>
      </c>
      <c r="D1544" t="s">
        <v>337</v>
      </c>
      <c r="F1544">
        <v>6</v>
      </c>
      <c r="G1544">
        <v>3</v>
      </c>
      <c r="H1544">
        <v>2</v>
      </c>
      <c r="I1544">
        <v>22</v>
      </c>
      <c r="K1544" s="122">
        <v>45547</v>
      </c>
      <c r="L1544" t="s">
        <v>737</v>
      </c>
      <c r="M1544">
        <v>11.8</v>
      </c>
    </row>
    <row r="1545" spans="1:13" hidden="1" x14ac:dyDescent="0.35">
      <c r="A1545" t="s">
        <v>24</v>
      </c>
      <c r="D1545" t="s">
        <v>337</v>
      </c>
      <c r="F1545">
        <v>6</v>
      </c>
      <c r="G1545">
        <v>3</v>
      </c>
      <c r="H1545">
        <v>2</v>
      </c>
      <c r="I1545">
        <v>22</v>
      </c>
      <c r="K1545" s="122">
        <v>45547</v>
      </c>
      <c r="L1545" t="s">
        <v>738</v>
      </c>
      <c r="M1545">
        <v>10.8</v>
      </c>
    </row>
    <row r="1546" spans="1:13" hidden="1" x14ac:dyDescent="0.35">
      <c r="A1546" t="s">
        <v>24</v>
      </c>
      <c r="D1546" t="s">
        <v>337</v>
      </c>
      <c r="F1546">
        <v>6</v>
      </c>
      <c r="G1546">
        <v>3</v>
      </c>
      <c r="H1546">
        <v>2</v>
      </c>
      <c r="I1546">
        <v>22</v>
      </c>
      <c r="K1546" s="122">
        <v>45547</v>
      </c>
      <c r="L1546" t="s">
        <v>739</v>
      </c>
    </row>
    <row r="1547" spans="1:13" hidden="1" x14ac:dyDescent="0.35">
      <c r="A1547" t="s">
        <v>24</v>
      </c>
      <c r="D1547" t="s">
        <v>337</v>
      </c>
      <c r="F1547">
        <v>6</v>
      </c>
      <c r="G1547">
        <v>3</v>
      </c>
      <c r="H1547">
        <v>2</v>
      </c>
      <c r="I1547">
        <v>22</v>
      </c>
      <c r="K1547" s="122">
        <v>45555</v>
      </c>
      <c r="L1547" t="s">
        <v>737</v>
      </c>
      <c r="M1547">
        <v>12</v>
      </c>
    </row>
    <row r="1548" spans="1:13" hidden="1" x14ac:dyDescent="0.35">
      <c r="A1548" t="s">
        <v>24</v>
      </c>
      <c r="D1548" t="s">
        <v>337</v>
      </c>
      <c r="F1548">
        <v>6</v>
      </c>
      <c r="G1548">
        <v>3</v>
      </c>
      <c r="H1548">
        <v>2</v>
      </c>
      <c r="I1548">
        <v>22</v>
      </c>
      <c r="K1548" s="122">
        <v>45555</v>
      </c>
      <c r="L1548" t="s">
        <v>738</v>
      </c>
      <c r="M1548">
        <v>11</v>
      </c>
    </row>
    <row r="1549" spans="1:13" hidden="1" x14ac:dyDescent="0.35">
      <c r="A1549" t="s">
        <v>24</v>
      </c>
      <c r="D1549" t="s">
        <v>337</v>
      </c>
      <c r="F1549">
        <v>6</v>
      </c>
      <c r="G1549">
        <v>3</v>
      </c>
      <c r="H1549">
        <v>2</v>
      </c>
      <c r="I1549">
        <v>22</v>
      </c>
      <c r="K1549" s="122">
        <v>45555</v>
      </c>
      <c r="L1549" t="s">
        <v>739</v>
      </c>
    </row>
    <row r="1550" spans="1:13" hidden="1" x14ac:dyDescent="0.35">
      <c r="A1550" t="s">
        <v>34</v>
      </c>
      <c r="D1550" t="s">
        <v>36</v>
      </c>
      <c r="F1550">
        <v>6</v>
      </c>
      <c r="G1550">
        <v>4</v>
      </c>
      <c r="H1550">
        <v>2</v>
      </c>
      <c r="I1550">
        <v>30</v>
      </c>
      <c r="K1550" s="122">
        <v>45442</v>
      </c>
      <c r="L1550" t="s">
        <v>737</v>
      </c>
    </row>
    <row r="1551" spans="1:13" hidden="1" x14ac:dyDescent="0.35">
      <c r="A1551" t="s">
        <v>34</v>
      </c>
      <c r="D1551" t="s">
        <v>36</v>
      </c>
      <c r="F1551">
        <v>6</v>
      </c>
      <c r="G1551">
        <v>4</v>
      </c>
      <c r="H1551">
        <v>2</v>
      </c>
      <c r="I1551">
        <v>30</v>
      </c>
      <c r="K1551" s="122">
        <v>45442</v>
      </c>
      <c r="L1551" t="s">
        <v>738</v>
      </c>
    </row>
    <row r="1552" spans="1:13" hidden="1" x14ac:dyDescent="0.35">
      <c r="A1552" t="s">
        <v>34</v>
      </c>
      <c r="D1552" t="s">
        <v>36</v>
      </c>
      <c r="F1552">
        <v>6</v>
      </c>
      <c r="G1552">
        <v>4</v>
      </c>
      <c r="H1552">
        <v>2</v>
      </c>
      <c r="I1552">
        <v>30</v>
      </c>
      <c r="K1552" s="122">
        <v>45442</v>
      </c>
      <c r="L1552" t="s">
        <v>739</v>
      </c>
    </row>
    <row r="1553" spans="1:13" hidden="1" x14ac:dyDescent="0.35">
      <c r="A1553" t="s">
        <v>34</v>
      </c>
      <c r="D1553" t="s">
        <v>36</v>
      </c>
      <c r="F1553">
        <v>6</v>
      </c>
      <c r="G1553">
        <v>4</v>
      </c>
      <c r="H1553">
        <v>2</v>
      </c>
      <c r="I1553">
        <v>30</v>
      </c>
      <c r="K1553" s="122">
        <v>45447</v>
      </c>
      <c r="L1553" t="s">
        <v>737</v>
      </c>
      <c r="M1553">
        <v>1.9</v>
      </c>
    </row>
    <row r="1554" spans="1:13" hidden="1" x14ac:dyDescent="0.35">
      <c r="A1554" t="s">
        <v>34</v>
      </c>
      <c r="D1554" t="s">
        <v>36</v>
      </c>
      <c r="F1554">
        <v>6</v>
      </c>
      <c r="G1554">
        <v>4</v>
      </c>
      <c r="H1554">
        <v>2</v>
      </c>
      <c r="I1554">
        <v>30</v>
      </c>
      <c r="K1554" s="122">
        <v>45447</v>
      </c>
      <c r="L1554" t="s">
        <v>738</v>
      </c>
      <c r="M1554">
        <v>1.9</v>
      </c>
    </row>
    <row r="1555" spans="1:13" hidden="1" x14ac:dyDescent="0.35">
      <c r="A1555" t="s">
        <v>34</v>
      </c>
      <c r="D1555" t="s">
        <v>36</v>
      </c>
      <c r="F1555">
        <v>6</v>
      </c>
      <c r="G1555">
        <v>4</v>
      </c>
      <c r="H1555">
        <v>2</v>
      </c>
      <c r="I1555">
        <v>30</v>
      </c>
      <c r="K1555" s="122">
        <v>45447</v>
      </c>
      <c r="L1555" t="s">
        <v>739</v>
      </c>
      <c r="M1555">
        <v>1.8</v>
      </c>
    </row>
    <row r="1556" spans="1:13" hidden="1" x14ac:dyDescent="0.35">
      <c r="A1556" t="s">
        <v>34</v>
      </c>
      <c r="D1556" t="s">
        <v>36</v>
      </c>
      <c r="F1556">
        <v>6</v>
      </c>
      <c r="G1556">
        <v>4</v>
      </c>
      <c r="H1556">
        <v>2</v>
      </c>
      <c r="I1556">
        <v>30</v>
      </c>
      <c r="K1556" s="122">
        <v>45462</v>
      </c>
      <c r="L1556" t="s">
        <v>737</v>
      </c>
      <c r="M1556">
        <v>2.9</v>
      </c>
    </row>
    <row r="1557" spans="1:13" hidden="1" x14ac:dyDescent="0.35">
      <c r="A1557" t="s">
        <v>34</v>
      </c>
      <c r="D1557" t="s">
        <v>36</v>
      </c>
      <c r="F1557">
        <v>6</v>
      </c>
      <c r="G1557">
        <v>4</v>
      </c>
      <c r="H1557">
        <v>2</v>
      </c>
      <c r="I1557">
        <v>30</v>
      </c>
      <c r="K1557" s="122">
        <v>45462</v>
      </c>
      <c r="L1557" t="s">
        <v>738</v>
      </c>
      <c r="M1557">
        <v>3.2</v>
      </c>
    </row>
    <row r="1558" spans="1:13" hidden="1" x14ac:dyDescent="0.35">
      <c r="A1558" t="s">
        <v>34</v>
      </c>
      <c r="D1558" t="s">
        <v>36</v>
      </c>
      <c r="F1558">
        <v>6</v>
      </c>
      <c r="G1558">
        <v>4</v>
      </c>
      <c r="H1558">
        <v>2</v>
      </c>
      <c r="I1558">
        <v>30</v>
      </c>
      <c r="K1558" s="122">
        <v>45462</v>
      </c>
      <c r="L1558" t="s">
        <v>739</v>
      </c>
      <c r="M1558">
        <v>3.1</v>
      </c>
    </row>
    <row r="1559" spans="1:13" hidden="1" x14ac:dyDescent="0.35">
      <c r="A1559" t="s">
        <v>34</v>
      </c>
      <c r="D1559" t="s">
        <v>36</v>
      </c>
      <c r="F1559">
        <v>6</v>
      </c>
      <c r="G1559">
        <v>4</v>
      </c>
      <c r="H1559">
        <v>2</v>
      </c>
      <c r="I1559">
        <v>30</v>
      </c>
      <c r="K1559" s="122">
        <v>45477</v>
      </c>
      <c r="L1559" t="s">
        <v>737</v>
      </c>
      <c r="M1559">
        <v>4</v>
      </c>
    </row>
    <row r="1560" spans="1:13" hidden="1" x14ac:dyDescent="0.35">
      <c r="A1560" t="s">
        <v>34</v>
      </c>
      <c r="D1560" t="s">
        <v>36</v>
      </c>
      <c r="F1560">
        <v>6</v>
      </c>
      <c r="G1560">
        <v>4</v>
      </c>
      <c r="H1560">
        <v>2</v>
      </c>
      <c r="I1560">
        <v>30</v>
      </c>
      <c r="K1560" s="122">
        <v>45477</v>
      </c>
      <c r="L1560" t="s">
        <v>738</v>
      </c>
      <c r="M1560">
        <v>4.5</v>
      </c>
    </row>
    <row r="1561" spans="1:13" hidden="1" x14ac:dyDescent="0.35">
      <c r="A1561" t="s">
        <v>34</v>
      </c>
      <c r="D1561" t="s">
        <v>36</v>
      </c>
      <c r="F1561">
        <v>6</v>
      </c>
      <c r="G1561">
        <v>4</v>
      </c>
      <c r="H1561">
        <v>2</v>
      </c>
      <c r="I1561">
        <v>30</v>
      </c>
      <c r="K1561" s="122">
        <v>45477</v>
      </c>
      <c r="L1561" t="s">
        <v>739</v>
      </c>
      <c r="M1561">
        <v>4.4000000000000004</v>
      </c>
    </row>
    <row r="1562" spans="1:13" hidden="1" x14ac:dyDescent="0.35">
      <c r="A1562" t="s">
        <v>34</v>
      </c>
      <c r="D1562" t="s">
        <v>36</v>
      </c>
      <c r="F1562">
        <v>6</v>
      </c>
      <c r="G1562">
        <v>4</v>
      </c>
      <c r="H1562">
        <v>2</v>
      </c>
      <c r="I1562">
        <v>30</v>
      </c>
      <c r="K1562" s="122">
        <v>45485</v>
      </c>
      <c r="L1562" t="s">
        <v>737</v>
      </c>
    </row>
    <row r="1563" spans="1:13" hidden="1" x14ac:dyDescent="0.35">
      <c r="A1563" t="s">
        <v>34</v>
      </c>
      <c r="D1563" t="s">
        <v>36</v>
      </c>
      <c r="F1563">
        <v>6</v>
      </c>
      <c r="G1563">
        <v>4</v>
      </c>
      <c r="H1563">
        <v>2</v>
      </c>
      <c r="I1563">
        <v>30</v>
      </c>
      <c r="K1563" s="122">
        <v>45485</v>
      </c>
      <c r="L1563" t="s">
        <v>738</v>
      </c>
    </row>
    <row r="1564" spans="1:13" hidden="1" x14ac:dyDescent="0.35">
      <c r="A1564" t="s">
        <v>34</v>
      </c>
      <c r="D1564" t="s">
        <v>36</v>
      </c>
      <c r="F1564">
        <v>6</v>
      </c>
      <c r="G1564">
        <v>4</v>
      </c>
      <c r="H1564">
        <v>2</v>
      </c>
      <c r="I1564">
        <v>30</v>
      </c>
      <c r="K1564" s="122">
        <v>45485</v>
      </c>
      <c r="L1564" t="s">
        <v>739</v>
      </c>
    </row>
    <row r="1565" spans="1:13" hidden="1" x14ac:dyDescent="0.35">
      <c r="A1565" t="s">
        <v>34</v>
      </c>
      <c r="D1565" t="s">
        <v>36</v>
      </c>
      <c r="F1565">
        <v>6</v>
      </c>
      <c r="G1565">
        <v>4</v>
      </c>
      <c r="H1565">
        <v>2</v>
      </c>
      <c r="I1565">
        <v>30</v>
      </c>
      <c r="K1565" s="122">
        <v>45492</v>
      </c>
      <c r="L1565" t="s">
        <v>737</v>
      </c>
      <c r="M1565">
        <v>5.3</v>
      </c>
    </row>
    <row r="1566" spans="1:13" hidden="1" x14ac:dyDescent="0.35">
      <c r="A1566" t="s">
        <v>34</v>
      </c>
      <c r="D1566" t="s">
        <v>36</v>
      </c>
      <c r="F1566">
        <v>6</v>
      </c>
      <c r="G1566">
        <v>4</v>
      </c>
      <c r="H1566">
        <v>2</v>
      </c>
      <c r="I1566">
        <v>30</v>
      </c>
      <c r="K1566" s="122">
        <v>45492</v>
      </c>
      <c r="L1566" t="s">
        <v>738</v>
      </c>
      <c r="M1566">
        <v>5.7</v>
      </c>
    </row>
    <row r="1567" spans="1:13" hidden="1" x14ac:dyDescent="0.35">
      <c r="A1567" t="s">
        <v>34</v>
      </c>
      <c r="D1567" t="s">
        <v>36</v>
      </c>
      <c r="F1567">
        <v>6</v>
      </c>
      <c r="G1567">
        <v>4</v>
      </c>
      <c r="H1567">
        <v>2</v>
      </c>
      <c r="I1567">
        <v>30</v>
      </c>
      <c r="K1567" s="122">
        <v>45492</v>
      </c>
      <c r="L1567" t="s">
        <v>739</v>
      </c>
      <c r="M1567">
        <v>6</v>
      </c>
    </row>
    <row r="1568" spans="1:13" hidden="1" x14ac:dyDescent="0.35">
      <c r="A1568" t="s">
        <v>34</v>
      </c>
      <c r="D1568" t="s">
        <v>36</v>
      </c>
      <c r="F1568">
        <v>6</v>
      </c>
      <c r="G1568">
        <v>4</v>
      </c>
      <c r="H1568">
        <v>2</v>
      </c>
      <c r="I1568">
        <v>30</v>
      </c>
      <c r="K1568" s="122">
        <v>45509</v>
      </c>
      <c r="L1568" t="s">
        <v>737</v>
      </c>
      <c r="M1568">
        <v>6.6</v>
      </c>
    </row>
    <row r="1569" spans="1:13" hidden="1" x14ac:dyDescent="0.35">
      <c r="A1569" t="s">
        <v>34</v>
      </c>
      <c r="D1569" t="s">
        <v>36</v>
      </c>
      <c r="F1569">
        <v>6</v>
      </c>
      <c r="G1569">
        <v>4</v>
      </c>
      <c r="H1569">
        <v>2</v>
      </c>
      <c r="I1569">
        <v>30</v>
      </c>
      <c r="K1569" s="122">
        <v>45509</v>
      </c>
      <c r="L1569" t="s">
        <v>738</v>
      </c>
      <c r="M1569">
        <v>7.3</v>
      </c>
    </row>
    <row r="1570" spans="1:13" hidden="1" x14ac:dyDescent="0.35">
      <c r="A1570" t="s">
        <v>34</v>
      </c>
      <c r="D1570" t="s">
        <v>36</v>
      </c>
      <c r="F1570">
        <v>6</v>
      </c>
      <c r="G1570">
        <v>4</v>
      </c>
      <c r="H1570">
        <v>2</v>
      </c>
      <c r="I1570">
        <v>30</v>
      </c>
      <c r="K1570" s="122">
        <v>45509</v>
      </c>
      <c r="L1570" t="s">
        <v>739</v>
      </c>
      <c r="M1570">
        <v>6.9</v>
      </c>
    </row>
    <row r="1571" spans="1:13" hidden="1" x14ac:dyDescent="0.35">
      <c r="A1571" t="s">
        <v>34</v>
      </c>
      <c r="D1571" t="s">
        <v>36</v>
      </c>
      <c r="F1571">
        <v>6</v>
      </c>
      <c r="G1571">
        <v>4</v>
      </c>
      <c r="H1571">
        <v>2</v>
      </c>
      <c r="I1571">
        <v>30</v>
      </c>
      <c r="K1571" s="122">
        <v>45519</v>
      </c>
      <c r="L1571" t="s">
        <v>737</v>
      </c>
      <c r="M1571">
        <v>7.4</v>
      </c>
    </row>
    <row r="1572" spans="1:13" hidden="1" x14ac:dyDescent="0.35">
      <c r="A1572" t="s">
        <v>34</v>
      </c>
      <c r="D1572" t="s">
        <v>36</v>
      </c>
      <c r="F1572">
        <v>6</v>
      </c>
      <c r="G1572">
        <v>4</v>
      </c>
      <c r="H1572">
        <v>2</v>
      </c>
      <c r="I1572">
        <v>30</v>
      </c>
      <c r="K1572" s="122">
        <v>45519</v>
      </c>
      <c r="L1572" t="s">
        <v>738</v>
      </c>
      <c r="M1572">
        <v>8.3000000000000007</v>
      </c>
    </row>
    <row r="1573" spans="1:13" hidden="1" x14ac:dyDescent="0.35">
      <c r="A1573" t="s">
        <v>34</v>
      </c>
      <c r="D1573" t="s">
        <v>36</v>
      </c>
      <c r="F1573">
        <v>6</v>
      </c>
      <c r="G1573">
        <v>4</v>
      </c>
      <c r="H1573">
        <v>2</v>
      </c>
      <c r="I1573">
        <v>30</v>
      </c>
      <c r="K1573" s="122">
        <v>45519</v>
      </c>
      <c r="L1573" t="s">
        <v>739</v>
      </c>
      <c r="M1573">
        <v>7.8</v>
      </c>
    </row>
    <row r="1574" spans="1:13" hidden="1" x14ac:dyDescent="0.35">
      <c r="A1574" t="s">
        <v>34</v>
      </c>
      <c r="D1574" t="s">
        <v>36</v>
      </c>
      <c r="F1574">
        <v>6</v>
      </c>
      <c r="G1574">
        <v>4</v>
      </c>
      <c r="H1574">
        <v>2</v>
      </c>
      <c r="I1574">
        <v>30</v>
      </c>
      <c r="K1574" s="122">
        <v>45530</v>
      </c>
      <c r="L1574" t="s">
        <v>737</v>
      </c>
      <c r="M1574">
        <v>9.1</v>
      </c>
    </row>
    <row r="1575" spans="1:13" hidden="1" x14ac:dyDescent="0.35">
      <c r="A1575" t="s">
        <v>34</v>
      </c>
      <c r="D1575" t="s">
        <v>36</v>
      </c>
      <c r="F1575">
        <v>6</v>
      </c>
      <c r="G1575">
        <v>4</v>
      </c>
      <c r="H1575">
        <v>2</v>
      </c>
      <c r="I1575">
        <v>30</v>
      </c>
      <c r="K1575" s="122">
        <v>45530</v>
      </c>
      <c r="L1575" t="s">
        <v>738</v>
      </c>
      <c r="M1575">
        <v>9.8000000000000007</v>
      </c>
    </row>
    <row r="1576" spans="1:13" hidden="1" x14ac:dyDescent="0.35">
      <c r="A1576" t="s">
        <v>34</v>
      </c>
      <c r="D1576" t="s">
        <v>36</v>
      </c>
      <c r="F1576">
        <v>6</v>
      </c>
      <c r="G1576">
        <v>4</v>
      </c>
      <c r="H1576">
        <v>2</v>
      </c>
      <c r="I1576">
        <v>30</v>
      </c>
      <c r="K1576" s="122">
        <v>45530</v>
      </c>
      <c r="L1576" t="s">
        <v>739</v>
      </c>
      <c r="M1576">
        <v>9.3000000000000007</v>
      </c>
    </row>
    <row r="1577" spans="1:13" hidden="1" x14ac:dyDescent="0.35">
      <c r="A1577" t="s">
        <v>34</v>
      </c>
      <c r="D1577" t="s">
        <v>36</v>
      </c>
      <c r="F1577">
        <v>6</v>
      </c>
      <c r="G1577">
        <v>4</v>
      </c>
      <c r="H1577">
        <v>2</v>
      </c>
      <c r="I1577">
        <v>30</v>
      </c>
      <c r="K1577" s="122">
        <v>45538</v>
      </c>
      <c r="L1577" t="s">
        <v>737</v>
      </c>
      <c r="M1577">
        <v>9.9</v>
      </c>
    </row>
    <row r="1578" spans="1:13" hidden="1" x14ac:dyDescent="0.35">
      <c r="A1578" t="s">
        <v>34</v>
      </c>
      <c r="D1578" t="s">
        <v>36</v>
      </c>
      <c r="F1578">
        <v>6</v>
      </c>
      <c r="G1578">
        <v>4</v>
      </c>
      <c r="H1578">
        <v>2</v>
      </c>
      <c r="I1578">
        <v>30</v>
      </c>
      <c r="K1578" s="122">
        <v>45538</v>
      </c>
      <c r="L1578" t="s">
        <v>738</v>
      </c>
      <c r="M1578">
        <v>10.7</v>
      </c>
    </row>
    <row r="1579" spans="1:13" hidden="1" x14ac:dyDescent="0.35">
      <c r="A1579" t="s">
        <v>34</v>
      </c>
      <c r="D1579" t="s">
        <v>36</v>
      </c>
      <c r="F1579">
        <v>6</v>
      </c>
      <c r="G1579">
        <v>4</v>
      </c>
      <c r="H1579">
        <v>2</v>
      </c>
      <c r="I1579">
        <v>30</v>
      </c>
      <c r="K1579" s="122">
        <v>45538</v>
      </c>
      <c r="L1579" t="s">
        <v>739</v>
      </c>
      <c r="M1579">
        <v>9.9</v>
      </c>
    </row>
    <row r="1580" spans="1:13" hidden="1" x14ac:dyDescent="0.35">
      <c r="A1580" t="s">
        <v>34</v>
      </c>
      <c r="D1580" t="s">
        <v>36</v>
      </c>
      <c r="F1580">
        <v>6</v>
      </c>
      <c r="G1580">
        <v>4</v>
      </c>
      <c r="H1580">
        <v>2</v>
      </c>
      <c r="I1580">
        <v>30</v>
      </c>
      <c r="K1580" s="122">
        <v>45547</v>
      </c>
      <c r="L1580" t="s">
        <v>737</v>
      </c>
      <c r="M1580">
        <v>10.7</v>
      </c>
    </row>
    <row r="1581" spans="1:13" hidden="1" x14ac:dyDescent="0.35">
      <c r="A1581" t="s">
        <v>34</v>
      </c>
      <c r="D1581" t="s">
        <v>36</v>
      </c>
      <c r="F1581">
        <v>6</v>
      </c>
      <c r="G1581">
        <v>4</v>
      </c>
      <c r="H1581">
        <v>2</v>
      </c>
      <c r="I1581">
        <v>30</v>
      </c>
      <c r="K1581" s="122">
        <v>45547</v>
      </c>
      <c r="L1581" t="s">
        <v>738</v>
      </c>
      <c r="M1581">
        <v>11</v>
      </c>
    </row>
    <row r="1582" spans="1:13" hidden="1" x14ac:dyDescent="0.35">
      <c r="A1582" t="s">
        <v>34</v>
      </c>
      <c r="D1582" t="s">
        <v>36</v>
      </c>
      <c r="F1582">
        <v>6</v>
      </c>
      <c r="G1582">
        <v>4</v>
      </c>
      <c r="H1582">
        <v>2</v>
      </c>
      <c r="I1582">
        <v>30</v>
      </c>
      <c r="K1582" s="122">
        <v>45547</v>
      </c>
      <c r="L1582" t="s">
        <v>739</v>
      </c>
      <c r="M1582">
        <v>10</v>
      </c>
    </row>
    <row r="1583" spans="1:13" hidden="1" x14ac:dyDescent="0.35">
      <c r="A1583" t="s">
        <v>34</v>
      </c>
      <c r="D1583" t="s">
        <v>36</v>
      </c>
      <c r="F1583">
        <v>6</v>
      </c>
      <c r="G1583">
        <v>4</v>
      </c>
      <c r="H1583">
        <v>2</v>
      </c>
      <c r="I1583">
        <v>30</v>
      </c>
      <c r="K1583" s="122">
        <v>45555</v>
      </c>
      <c r="L1583" t="s">
        <v>737</v>
      </c>
      <c r="M1583">
        <v>11</v>
      </c>
    </row>
    <row r="1584" spans="1:13" hidden="1" x14ac:dyDescent="0.35">
      <c r="A1584" t="s">
        <v>34</v>
      </c>
      <c r="D1584" t="s">
        <v>36</v>
      </c>
      <c r="F1584">
        <v>6</v>
      </c>
      <c r="G1584">
        <v>4</v>
      </c>
      <c r="H1584">
        <v>2</v>
      </c>
      <c r="I1584">
        <v>30</v>
      </c>
      <c r="K1584" s="122">
        <v>45555</v>
      </c>
      <c r="L1584" t="s">
        <v>738</v>
      </c>
      <c r="M1584">
        <v>11</v>
      </c>
    </row>
    <row r="1585" spans="1:13" hidden="1" x14ac:dyDescent="0.35">
      <c r="A1585" t="s">
        <v>34</v>
      </c>
      <c r="D1585" t="s">
        <v>36</v>
      </c>
      <c r="F1585">
        <v>6</v>
      </c>
      <c r="G1585">
        <v>4</v>
      </c>
      <c r="H1585">
        <v>2</v>
      </c>
      <c r="I1585">
        <v>30</v>
      </c>
      <c r="K1585" s="122">
        <v>45555</v>
      </c>
      <c r="L1585" t="s">
        <v>739</v>
      </c>
      <c r="M1585">
        <v>10</v>
      </c>
    </row>
    <row r="1586" spans="1:13" hidden="1" x14ac:dyDescent="0.35">
      <c r="A1586" t="s">
        <v>24</v>
      </c>
      <c r="D1586" t="s">
        <v>335</v>
      </c>
      <c r="F1586">
        <v>6</v>
      </c>
      <c r="G1586">
        <v>5</v>
      </c>
      <c r="H1586">
        <v>3</v>
      </c>
      <c r="I1586">
        <v>38</v>
      </c>
      <c r="K1586" s="122">
        <v>45442</v>
      </c>
      <c r="L1586" t="s">
        <v>737</v>
      </c>
    </row>
    <row r="1587" spans="1:13" hidden="1" x14ac:dyDescent="0.35">
      <c r="A1587" t="s">
        <v>24</v>
      </c>
      <c r="D1587" t="s">
        <v>335</v>
      </c>
      <c r="F1587">
        <v>6</v>
      </c>
      <c r="G1587">
        <v>5</v>
      </c>
      <c r="H1587">
        <v>3</v>
      </c>
      <c r="I1587">
        <v>38</v>
      </c>
      <c r="K1587" s="122">
        <v>45442</v>
      </c>
      <c r="L1587" t="s">
        <v>738</v>
      </c>
    </row>
    <row r="1588" spans="1:13" hidden="1" x14ac:dyDescent="0.35">
      <c r="A1588" t="s">
        <v>24</v>
      </c>
      <c r="D1588" t="s">
        <v>335</v>
      </c>
      <c r="F1588">
        <v>6</v>
      </c>
      <c r="G1588">
        <v>5</v>
      </c>
      <c r="H1588">
        <v>3</v>
      </c>
      <c r="I1588">
        <v>38</v>
      </c>
      <c r="K1588" s="122">
        <v>45442</v>
      </c>
      <c r="L1588" t="s">
        <v>739</v>
      </c>
    </row>
    <row r="1589" spans="1:13" hidden="1" x14ac:dyDescent="0.35">
      <c r="A1589" t="s">
        <v>24</v>
      </c>
      <c r="D1589" t="s">
        <v>335</v>
      </c>
      <c r="F1589">
        <v>6</v>
      </c>
      <c r="G1589">
        <v>5</v>
      </c>
      <c r="H1589">
        <v>3</v>
      </c>
      <c r="I1589">
        <v>38</v>
      </c>
      <c r="K1589" s="122">
        <v>45447</v>
      </c>
      <c r="L1589" t="s">
        <v>737</v>
      </c>
      <c r="M1589">
        <v>5.2</v>
      </c>
    </row>
    <row r="1590" spans="1:13" hidden="1" x14ac:dyDescent="0.35">
      <c r="A1590" t="s">
        <v>24</v>
      </c>
      <c r="D1590" t="s">
        <v>335</v>
      </c>
      <c r="F1590">
        <v>6</v>
      </c>
      <c r="G1590">
        <v>5</v>
      </c>
      <c r="H1590">
        <v>3</v>
      </c>
      <c r="I1590">
        <v>38</v>
      </c>
      <c r="K1590" s="122">
        <v>45447</v>
      </c>
      <c r="L1590" t="s">
        <v>738</v>
      </c>
      <c r="M1590">
        <v>5.3</v>
      </c>
    </row>
    <row r="1591" spans="1:13" hidden="1" x14ac:dyDescent="0.35">
      <c r="A1591" t="s">
        <v>24</v>
      </c>
      <c r="D1591" t="s">
        <v>335</v>
      </c>
      <c r="F1591">
        <v>6</v>
      </c>
      <c r="G1591">
        <v>5</v>
      </c>
      <c r="H1591">
        <v>3</v>
      </c>
      <c r="I1591">
        <v>38</v>
      </c>
      <c r="K1591" s="122">
        <v>45447</v>
      </c>
      <c r="L1591" t="s">
        <v>739</v>
      </c>
      <c r="M1591">
        <v>5.2</v>
      </c>
    </row>
    <row r="1592" spans="1:13" hidden="1" x14ac:dyDescent="0.35">
      <c r="A1592" t="s">
        <v>24</v>
      </c>
      <c r="D1592" t="s">
        <v>335</v>
      </c>
      <c r="F1592">
        <v>6</v>
      </c>
      <c r="G1592">
        <v>5</v>
      </c>
      <c r="H1592">
        <v>3</v>
      </c>
      <c r="I1592">
        <v>38</v>
      </c>
      <c r="K1592" s="122">
        <v>45462</v>
      </c>
      <c r="L1592" t="s">
        <v>737</v>
      </c>
      <c r="M1592">
        <v>6.3</v>
      </c>
    </row>
    <row r="1593" spans="1:13" hidden="1" x14ac:dyDescent="0.35">
      <c r="A1593" t="s">
        <v>24</v>
      </c>
      <c r="D1593" t="s">
        <v>335</v>
      </c>
      <c r="F1593">
        <v>6</v>
      </c>
      <c r="G1593">
        <v>5</v>
      </c>
      <c r="H1593">
        <v>3</v>
      </c>
      <c r="I1593">
        <v>38</v>
      </c>
      <c r="K1593" s="122">
        <v>45462</v>
      </c>
      <c r="L1593" t="s">
        <v>738</v>
      </c>
      <c r="M1593">
        <v>6.7</v>
      </c>
    </row>
    <row r="1594" spans="1:13" hidden="1" x14ac:dyDescent="0.35">
      <c r="A1594" t="s">
        <v>24</v>
      </c>
      <c r="D1594" t="s">
        <v>335</v>
      </c>
      <c r="F1594">
        <v>6</v>
      </c>
      <c r="G1594">
        <v>5</v>
      </c>
      <c r="H1594">
        <v>3</v>
      </c>
      <c r="I1594">
        <v>38</v>
      </c>
      <c r="K1594" s="122">
        <v>45462</v>
      </c>
      <c r="L1594" t="s">
        <v>739</v>
      </c>
      <c r="M1594">
        <v>5.3</v>
      </c>
    </row>
    <row r="1595" spans="1:13" hidden="1" x14ac:dyDescent="0.35">
      <c r="A1595" t="s">
        <v>24</v>
      </c>
      <c r="D1595" t="s">
        <v>335</v>
      </c>
      <c r="F1595">
        <v>6</v>
      </c>
      <c r="G1595">
        <v>5</v>
      </c>
      <c r="H1595">
        <v>3</v>
      </c>
      <c r="I1595">
        <v>38</v>
      </c>
      <c r="K1595" s="122">
        <v>45477</v>
      </c>
      <c r="L1595" t="s">
        <v>737</v>
      </c>
    </row>
    <row r="1596" spans="1:13" hidden="1" x14ac:dyDescent="0.35">
      <c r="A1596" t="s">
        <v>24</v>
      </c>
      <c r="D1596" t="s">
        <v>335</v>
      </c>
      <c r="F1596">
        <v>6</v>
      </c>
      <c r="G1596">
        <v>5</v>
      </c>
      <c r="H1596">
        <v>3</v>
      </c>
      <c r="I1596">
        <v>38</v>
      </c>
      <c r="K1596" s="122">
        <v>45477</v>
      </c>
      <c r="L1596" t="s">
        <v>738</v>
      </c>
    </row>
    <row r="1597" spans="1:13" hidden="1" x14ac:dyDescent="0.35">
      <c r="A1597" t="s">
        <v>24</v>
      </c>
      <c r="D1597" t="s">
        <v>335</v>
      </c>
      <c r="F1597">
        <v>6</v>
      </c>
      <c r="G1597">
        <v>5</v>
      </c>
      <c r="H1597">
        <v>3</v>
      </c>
      <c r="I1597">
        <v>38</v>
      </c>
      <c r="K1597" s="122">
        <v>45477</v>
      </c>
      <c r="L1597" t="s">
        <v>739</v>
      </c>
    </row>
    <row r="1598" spans="1:13" hidden="1" x14ac:dyDescent="0.35">
      <c r="A1598" t="s">
        <v>24</v>
      </c>
      <c r="D1598" t="s">
        <v>335</v>
      </c>
      <c r="F1598">
        <v>6</v>
      </c>
      <c r="G1598">
        <v>5</v>
      </c>
      <c r="H1598">
        <v>3</v>
      </c>
      <c r="I1598">
        <v>38</v>
      </c>
      <c r="K1598" s="122">
        <v>45485</v>
      </c>
      <c r="L1598" t="s">
        <v>737</v>
      </c>
    </row>
    <row r="1599" spans="1:13" hidden="1" x14ac:dyDescent="0.35">
      <c r="A1599" t="s">
        <v>24</v>
      </c>
      <c r="D1599" t="s">
        <v>335</v>
      </c>
      <c r="F1599">
        <v>6</v>
      </c>
      <c r="G1599">
        <v>5</v>
      </c>
      <c r="H1599">
        <v>3</v>
      </c>
      <c r="I1599">
        <v>38</v>
      </c>
      <c r="K1599" s="122">
        <v>45485</v>
      </c>
      <c r="L1599" t="s">
        <v>738</v>
      </c>
    </row>
    <row r="1600" spans="1:13" hidden="1" x14ac:dyDescent="0.35">
      <c r="A1600" t="s">
        <v>24</v>
      </c>
      <c r="D1600" t="s">
        <v>335</v>
      </c>
      <c r="F1600">
        <v>6</v>
      </c>
      <c r="G1600">
        <v>5</v>
      </c>
      <c r="H1600">
        <v>3</v>
      </c>
      <c r="I1600">
        <v>38</v>
      </c>
      <c r="K1600" s="122">
        <v>45485</v>
      </c>
      <c r="L1600" t="s">
        <v>739</v>
      </c>
    </row>
    <row r="1601" spans="1:13" hidden="1" x14ac:dyDescent="0.35">
      <c r="A1601" t="s">
        <v>24</v>
      </c>
      <c r="D1601" t="s">
        <v>335</v>
      </c>
      <c r="F1601">
        <v>6</v>
      </c>
      <c r="G1601">
        <v>5</v>
      </c>
      <c r="H1601">
        <v>3</v>
      </c>
      <c r="I1601">
        <v>38</v>
      </c>
      <c r="K1601" s="122">
        <v>45492</v>
      </c>
      <c r="L1601" t="s">
        <v>737</v>
      </c>
      <c r="M1601">
        <v>7.8</v>
      </c>
    </row>
    <row r="1602" spans="1:13" hidden="1" x14ac:dyDescent="0.35">
      <c r="A1602" t="s">
        <v>24</v>
      </c>
      <c r="D1602" t="s">
        <v>335</v>
      </c>
      <c r="F1602">
        <v>6</v>
      </c>
      <c r="G1602">
        <v>5</v>
      </c>
      <c r="H1602">
        <v>3</v>
      </c>
      <c r="I1602">
        <v>38</v>
      </c>
      <c r="K1602" s="122">
        <v>45492</v>
      </c>
      <c r="L1602" t="s">
        <v>738</v>
      </c>
      <c r="M1602">
        <v>7.7</v>
      </c>
    </row>
    <row r="1603" spans="1:13" hidden="1" x14ac:dyDescent="0.35">
      <c r="A1603" t="s">
        <v>24</v>
      </c>
      <c r="D1603" t="s">
        <v>335</v>
      </c>
      <c r="F1603">
        <v>6</v>
      </c>
      <c r="G1603">
        <v>5</v>
      </c>
      <c r="H1603">
        <v>3</v>
      </c>
      <c r="I1603">
        <v>38</v>
      </c>
      <c r="K1603" s="122">
        <v>45492</v>
      </c>
      <c r="L1603" t="s">
        <v>739</v>
      </c>
      <c r="M1603">
        <v>7.4</v>
      </c>
    </row>
    <row r="1604" spans="1:13" hidden="1" x14ac:dyDescent="0.35">
      <c r="A1604" t="s">
        <v>24</v>
      </c>
      <c r="D1604" t="s">
        <v>335</v>
      </c>
      <c r="F1604">
        <v>6</v>
      </c>
      <c r="G1604">
        <v>5</v>
      </c>
      <c r="H1604">
        <v>3</v>
      </c>
      <c r="I1604">
        <v>38</v>
      </c>
      <c r="K1604" s="122">
        <v>45509</v>
      </c>
      <c r="L1604" t="s">
        <v>737</v>
      </c>
      <c r="M1604">
        <v>9.1999999999999993</v>
      </c>
    </row>
    <row r="1605" spans="1:13" hidden="1" x14ac:dyDescent="0.35">
      <c r="A1605" t="s">
        <v>24</v>
      </c>
      <c r="D1605" t="s">
        <v>335</v>
      </c>
      <c r="F1605">
        <v>6</v>
      </c>
      <c r="G1605">
        <v>5</v>
      </c>
      <c r="H1605">
        <v>3</v>
      </c>
      <c r="I1605">
        <v>38</v>
      </c>
      <c r="K1605" s="122">
        <v>45509</v>
      </c>
      <c r="L1605" t="s">
        <v>738</v>
      </c>
      <c r="M1605">
        <v>9.1999999999999993</v>
      </c>
    </row>
    <row r="1606" spans="1:13" hidden="1" x14ac:dyDescent="0.35">
      <c r="A1606" t="s">
        <v>24</v>
      </c>
      <c r="D1606" t="s">
        <v>335</v>
      </c>
      <c r="F1606">
        <v>6</v>
      </c>
      <c r="G1606">
        <v>5</v>
      </c>
      <c r="H1606">
        <v>3</v>
      </c>
      <c r="I1606">
        <v>38</v>
      </c>
      <c r="K1606" s="122">
        <v>45509</v>
      </c>
      <c r="L1606" t="s">
        <v>739</v>
      </c>
      <c r="M1606">
        <v>8.6</v>
      </c>
    </row>
    <row r="1607" spans="1:13" hidden="1" x14ac:dyDescent="0.35">
      <c r="A1607" t="s">
        <v>24</v>
      </c>
      <c r="D1607" t="s">
        <v>335</v>
      </c>
      <c r="F1607">
        <v>6</v>
      </c>
      <c r="G1607">
        <v>5</v>
      </c>
      <c r="H1607">
        <v>3</v>
      </c>
      <c r="I1607">
        <v>38</v>
      </c>
      <c r="K1607" s="122">
        <v>45519</v>
      </c>
      <c r="L1607" t="s">
        <v>737</v>
      </c>
      <c r="M1607">
        <v>9.8000000000000007</v>
      </c>
    </row>
    <row r="1608" spans="1:13" hidden="1" x14ac:dyDescent="0.35">
      <c r="A1608" t="s">
        <v>24</v>
      </c>
      <c r="D1608" t="s">
        <v>335</v>
      </c>
      <c r="F1608">
        <v>6</v>
      </c>
      <c r="G1608">
        <v>5</v>
      </c>
      <c r="H1608">
        <v>3</v>
      </c>
      <c r="I1608">
        <v>38</v>
      </c>
      <c r="K1608" s="122">
        <v>45519</v>
      </c>
      <c r="L1608" t="s">
        <v>738</v>
      </c>
      <c r="M1608">
        <v>10.199999999999999</v>
      </c>
    </row>
    <row r="1609" spans="1:13" hidden="1" x14ac:dyDescent="0.35">
      <c r="A1609" t="s">
        <v>24</v>
      </c>
      <c r="D1609" t="s">
        <v>335</v>
      </c>
      <c r="F1609">
        <v>6</v>
      </c>
      <c r="G1609">
        <v>5</v>
      </c>
      <c r="H1609">
        <v>3</v>
      </c>
      <c r="I1609">
        <v>38</v>
      </c>
      <c r="K1609" s="122">
        <v>45519</v>
      </c>
      <c r="L1609" t="s">
        <v>739</v>
      </c>
      <c r="M1609">
        <v>9.6999999999999993</v>
      </c>
    </row>
    <row r="1610" spans="1:13" hidden="1" x14ac:dyDescent="0.35">
      <c r="A1610" t="s">
        <v>24</v>
      </c>
      <c r="D1610" t="s">
        <v>335</v>
      </c>
      <c r="F1610">
        <v>6</v>
      </c>
      <c r="G1610">
        <v>5</v>
      </c>
      <c r="H1610">
        <v>3</v>
      </c>
      <c r="I1610">
        <v>38</v>
      </c>
      <c r="K1610" s="122">
        <v>45530</v>
      </c>
      <c r="L1610" t="s">
        <v>737</v>
      </c>
      <c r="M1610">
        <v>11.2</v>
      </c>
    </row>
    <row r="1611" spans="1:13" hidden="1" x14ac:dyDescent="0.35">
      <c r="A1611" t="s">
        <v>24</v>
      </c>
      <c r="D1611" t="s">
        <v>335</v>
      </c>
      <c r="F1611">
        <v>6</v>
      </c>
      <c r="G1611">
        <v>5</v>
      </c>
      <c r="H1611">
        <v>3</v>
      </c>
      <c r="I1611">
        <v>38</v>
      </c>
      <c r="K1611" s="122">
        <v>45530</v>
      </c>
      <c r="L1611" t="s">
        <v>738</v>
      </c>
      <c r="M1611">
        <v>11.3</v>
      </c>
    </row>
    <row r="1612" spans="1:13" hidden="1" x14ac:dyDescent="0.35">
      <c r="A1612" t="s">
        <v>24</v>
      </c>
      <c r="D1612" t="s">
        <v>335</v>
      </c>
      <c r="F1612">
        <v>6</v>
      </c>
      <c r="G1612">
        <v>5</v>
      </c>
      <c r="H1612">
        <v>3</v>
      </c>
      <c r="I1612">
        <v>38</v>
      </c>
      <c r="K1612" s="122">
        <v>45530</v>
      </c>
      <c r="L1612" t="s">
        <v>739</v>
      </c>
      <c r="M1612">
        <v>11.1</v>
      </c>
    </row>
    <row r="1613" spans="1:13" hidden="1" x14ac:dyDescent="0.35">
      <c r="A1613" t="s">
        <v>24</v>
      </c>
      <c r="D1613" t="s">
        <v>335</v>
      </c>
      <c r="F1613">
        <v>6</v>
      </c>
      <c r="G1613">
        <v>5</v>
      </c>
      <c r="H1613">
        <v>3</v>
      </c>
      <c r="I1613">
        <v>38</v>
      </c>
      <c r="K1613" s="122">
        <v>45538</v>
      </c>
      <c r="L1613" t="s">
        <v>737</v>
      </c>
      <c r="M1613">
        <v>11.9</v>
      </c>
    </row>
    <row r="1614" spans="1:13" hidden="1" x14ac:dyDescent="0.35">
      <c r="A1614" t="s">
        <v>24</v>
      </c>
      <c r="D1614" t="s">
        <v>335</v>
      </c>
      <c r="F1614">
        <v>6</v>
      </c>
      <c r="G1614">
        <v>5</v>
      </c>
      <c r="H1614">
        <v>3</v>
      </c>
      <c r="I1614">
        <v>38</v>
      </c>
      <c r="K1614" s="122">
        <v>45538</v>
      </c>
      <c r="L1614" t="s">
        <v>738</v>
      </c>
      <c r="M1614">
        <v>12</v>
      </c>
    </row>
    <row r="1615" spans="1:13" hidden="1" x14ac:dyDescent="0.35">
      <c r="A1615" t="s">
        <v>24</v>
      </c>
      <c r="D1615" t="s">
        <v>335</v>
      </c>
      <c r="F1615">
        <v>6</v>
      </c>
      <c r="G1615">
        <v>5</v>
      </c>
      <c r="H1615">
        <v>3</v>
      </c>
      <c r="I1615">
        <v>38</v>
      </c>
      <c r="K1615" s="122">
        <v>45538</v>
      </c>
      <c r="L1615" t="s">
        <v>739</v>
      </c>
      <c r="M1615">
        <v>11.9</v>
      </c>
    </row>
    <row r="1616" spans="1:13" hidden="1" x14ac:dyDescent="0.35">
      <c r="A1616" t="s">
        <v>24</v>
      </c>
      <c r="D1616" t="s">
        <v>335</v>
      </c>
      <c r="F1616">
        <v>6</v>
      </c>
      <c r="G1616">
        <v>5</v>
      </c>
      <c r="H1616">
        <v>3</v>
      </c>
      <c r="I1616">
        <v>38</v>
      </c>
      <c r="K1616" s="122">
        <v>45547</v>
      </c>
      <c r="L1616" t="s">
        <v>737</v>
      </c>
      <c r="M1616">
        <v>12</v>
      </c>
    </row>
    <row r="1617" spans="1:13" hidden="1" x14ac:dyDescent="0.35">
      <c r="A1617" t="s">
        <v>24</v>
      </c>
      <c r="D1617" t="s">
        <v>335</v>
      </c>
      <c r="F1617">
        <v>6</v>
      </c>
      <c r="G1617">
        <v>5</v>
      </c>
      <c r="H1617">
        <v>3</v>
      </c>
      <c r="I1617">
        <v>38</v>
      </c>
      <c r="K1617" s="122">
        <v>45547</v>
      </c>
      <c r="L1617" t="s">
        <v>738</v>
      </c>
      <c r="M1617">
        <v>12</v>
      </c>
    </row>
    <row r="1618" spans="1:13" hidden="1" x14ac:dyDescent="0.35">
      <c r="A1618" t="s">
        <v>24</v>
      </c>
      <c r="D1618" t="s">
        <v>335</v>
      </c>
      <c r="F1618">
        <v>6</v>
      </c>
      <c r="G1618">
        <v>5</v>
      </c>
      <c r="H1618">
        <v>3</v>
      </c>
      <c r="I1618">
        <v>38</v>
      </c>
      <c r="K1618" s="122">
        <v>45547</v>
      </c>
      <c r="L1618" t="s">
        <v>739</v>
      </c>
    </row>
    <row r="1619" spans="1:13" hidden="1" x14ac:dyDescent="0.35">
      <c r="A1619" t="s">
        <v>24</v>
      </c>
      <c r="D1619" t="s">
        <v>335</v>
      </c>
      <c r="F1619">
        <v>6</v>
      </c>
      <c r="G1619">
        <v>5</v>
      </c>
      <c r="H1619">
        <v>3</v>
      </c>
      <c r="I1619">
        <v>38</v>
      </c>
      <c r="K1619" s="122">
        <v>45555</v>
      </c>
      <c r="L1619" t="s">
        <v>737</v>
      </c>
    </row>
    <row r="1620" spans="1:13" hidden="1" x14ac:dyDescent="0.35">
      <c r="A1620" t="s">
        <v>24</v>
      </c>
      <c r="D1620" t="s">
        <v>335</v>
      </c>
      <c r="F1620">
        <v>6</v>
      </c>
      <c r="G1620">
        <v>5</v>
      </c>
      <c r="H1620">
        <v>3</v>
      </c>
      <c r="I1620">
        <v>38</v>
      </c>
      <c r="K1620" s="122">
        <v>45555</v>
      </c>
      <c r="L1620" t="s">
        <v>738</v>
      </c>
    </row>
    <row r="1621" spans="1:13" hidden="1" x14ac:dyDescent="0.35">
      <c r="A1621" t="s">
        <v>24</v>
      </c>
      <c r="D1621" t="s">
        <v>335</v>
      </c>
      <c r="F1621">
        <v>6</v>
      </c>
      <c r="G1621">
        <v>5</v>
      </c>
      <c r="H1621">
        <v>3</v>
      </c>
      <c r="I1621">
        <v>38</v>
      </c>
      <c r="K1621" s="122">
        <v>45555</v>
      </c>
      <c r="L1621" t="s">
        <v>739</v>
      </c>
    </row>
    <row r="1622" spans="1:13" hidden="1" x14ac:dyDescent="0.35">
      <c r="A1622" t="s">
        <v>34</v>
      </c>
      <c r="D1622" t="s">
        <v>39</v>
      </c>
      <c r="F1622">
        <v>6</v>
      </c>
      <c r="G1622">
        <v>6</v>
      </c>
      <c r="H1622">
        <v>3</v>
      </c>
      <c r="I1622">
        <v>46</v>
      </c>
      <c r="K1622" s="122">
        <v>45442</v>
      </c>
      <c r="L1622" t="s">
        <v>737</v>
      </c>
    </row>
    <row r="1623" spans="1:13" hidden="1" x14ac:dyDescent="0.35">
      <c r="A1623" t="s">
        <v>34</v>
      </c>
      <c r="D1623" t="s">
        <v>39</v>
      </c>
      <c r="F1623">
        <v>6</v>
      </c>
      <c r="G1623">
        <v>6</v>
      </c>
      <c r="H1623">
        <v>3</v>
      </c>
      <c r="I1623">
        <v>46</v>
      </c>
      <c r="K1623" s="122">
        <v>45442</v>
      </c>
      <c r="L1623" t="s">
        <v>738</v>
      </c>
    </row>
    <row r="1624" spans="1:13" hidden="1" x14ac:dyDescent="0.35">
      <c r="A1624" t="s">
        <v>34</v>
      </c>
      <c r="D1624" t="s">
        <v>39</v>
      </c>
      <c r="F1624">
        <v>6</v>
      </c>
      <c r="G1624">
        <v>6</v>
      </c>
      <c r="H1624">
        <v>3</v>
      </c>
      <c r="I1624">
        <v>46</v>
      </c>
      <c r="K1624" s="122">
        <v>45442</v>
      </c>
      <c r="L1624" t="s">
        <v>739</v>
      </c>
    </row>
    <row r="1625" spans="1:13" hidden="1" x14ac:dyDescent="0.35">
      <c r="A1625" t="s">
        <v>34</v>
      </c>
      <c r="D1625" t="s">
        <v>39</v>
      </c>
      <c r="F1625">
        <v>6</v>
      </c>
      <c r="G1625">
        <v>6</v>
      </c>
      <c r="H1625">
        <v>3</v>
      </c>
      <c r="I1625">
        <v>46</v>
      </c>
      <c r="K1625" s="122">
        <v>45447</v>
      </c>
      <c r="L1625" t="s">
        <v>737</v>
      </c>
      <c r="M1625">
        <v>1.7</v>
      </c>
    </row>
    <row r="1626" spans="1:13" hidden="1" x14ac:dyDescent="0.35">
      <c r="A1626" t="s">
        <v>34</v>
      </c>
      <c r="D1626" t="s">
        <v>39</v>
      </c>
      <c r="F1626">
        <v>6</v>
      </c>
      <c r="G1626">
        <v>6</v>
      </c>
      <c r="H1626">
        <v>3</v>
      </c>
      <c r="I1626">
        <v>46</v>
      </c>
      <c r="K1626" s="122">
        <v>45447</v>
      </c>
      <c r="L1626" t="s">
        <v>738</v>
      </c>
      <c r="M1626">
        <v>1.8</v>
      </c>
    </row>
    <row r="1627" spans="1:13" hidden="1" x14ac:dyDescent="0.35">
      <c r="A1627" t="s">
        <v>34</v>
      </c>
      <c r="D1627" t="s">
        <v>39</v>
      </c>
      <c r="F1627">
        <v>6</v>
      </c>
      <c r="G1627">
        <v>6</v>
      </c>
      <c r="H1627">
        <v>3</v>
      </c>
      <c r="I1627">
        <v>46</v>
      </c>
      <c r="K1627" s="122">
        <v>45447</v>
      </c>
      <c r="L1627" t="s">
        <v>739</v>
      </c>
      <c r="M1627">
        <v>1.8</v>
      </c>
    </row>
    <row r="1628" spans="1:13" hidden="1" x14ac:dyDescent="0.35">
      <c r="A1628" t="s">
        <v>34</v>
      </c>
      <c r="D1628" t="s">
        <v>39</v>
      </c>
      <c r="F1628">
        <v>6</v>
      </c>
      <c r="G1628">
        <v>6</v>
      </c>
      <c r="H1628">
        <v>3</v>
      </c>
      <c r="I1628">
        <v>46</v>
      </c>
      <c r="K1628" s="122">
        <v>45462</v>
      </c>
      <c r="L1628" t="s">
        <v>737</v>
      </c>
      <c r="M1628">
        <v>3.2</v>
      </c>
    </row>
    <row r="1629" spans="1:13" hidden="1" x14ac:dyDescent="0.35">
      <c r="A1629" t="s">
        <v>34</v>
      </c>
      <c r="D1629" t="s">
        <v>39</v>
      </c>
      <c r="F1629">
        <v>6</v>
      </c>
      <c r="G1629">
        <v>6</v>
      </c>
      <c r="H1629">
        <v>3</v>
      </c>
      <c r="I1629">
        <v>46</v>
      </c>
      <c r="K1629" s="122">
        <v>45462</v>
      </c>
      <c r="L1629" t="s">
        <v>738</v>
      </c>
      <c r="M1629">
        <v>3.1</v>
      </c>
    </row>
    <row r="1630" spans="1:13" hidden="1" x14ac:dyDescent="0.35">
      <c r="A1630" t="s">
        <v>34</v>
      </c>
      <c r="D1630" t="s">
        <v>39</v>
      </c>
      <c r="F1630">
        <v>6</v>
      </c>
      <c r="G1630">
        <v>6</v>
      </c>
      <c r="H1630">
        <v>3</v>
      </c>
      <c r="I1630">
        <v>46</v>
      </c>
      <c r="K1630" s="122">
        <v>45462</v>
      </c>
      <c r="L1630" t="s">
        <v>739</v>
      </c>
      <c r="M1630">
        <v>3.6</v>
      </c>
    </row>
    <row r="1631" spans="1:13" hidden="1" x14ac:dyDescent="0.35">
      <c r="A1631" t="s">
        <v>34</v>
      </c>
      <c r="D1631" t="s">
        <v>39</v>
      </c>
      <c r="F1631">
        <v>6</v>
      </c>
      <c r="G1631">
        <v>6</v>
      </c>
      <c r="H1631">
        <v>3</v>
      </c>
      <c r="I1631">
        <v>46</v>
      </c>
      <c r="K1631" s="122">
        <v>45477</v>
      </c>
      <c r="L1631" t="s">
        <v>737</v>
      </c>
      <c r="M1631">
        <v>4.8</v>
      </c>
    </row>
    <row r="1632" spans="1:13" hidden="1" x14ac:dyDescent="0.35">
      <c r="A1632" t="s">
        <v>34</v>
      </c>
      <c r="D1632" t="s">
        <v>39</v>
      </c>
      <c r="F1632">
        <v>6</v>
      </c>
      <c r="G1632">
        <v>6</v>
      </c>
      <c r="H1632">
        <v>3</v>
      </c>
      <c r="I1632">
        <v>46</v>
      </c>
      <c r="K1632" s="122">
        <v>45477</v>
      </c>
      <c r="L1632" t="s">
        <v>738</v>
      </c>
      <c r="M1632">
        <v>4.5999999999999996</v>
      </c>
    </row>
    <row r="1633" spans="1:13" hidden="1" x14ac:dyDescent="0.35">
      <c r="A1633" t="s">
        <v>34</v>
      </c>
      <c r="D1633" t="s">
        <v>39</v>
      </c>
      <c r="F1633">
        <v>6</v>
      </c>
      <c r="G1633">
        <v>6</v>
      </c>
      <c r="H1633">
        <v>3</v>
      </c>
      <c r="I1633">
        <v>46</v>
      </c>
      <c r="K1633" s="122">
        <v>45477</v>
      </c>
      <c r="L1633" t="s">
        <v>739</v>
      </c>
      <c r="M1633">
        <v>5.0999999999999996</v>
      </c>
    </row>
    <row r="1634" spans="1:13" hidden="1" x14ac:dyDescent="0.35">
      <c r="A1634" t="s">
        <v>34</v>
      </c>
      <c r="D1634" t="s">
        <v>39</v>
      </c>
      <c r="F1634">
        <v>6</v>
      </c>
      <c r="G1634">
        <v>6</v>
      </c>
      <c r="H1634">
        <v>3</v>
      </c>
      <c r="I1634">
        <v>46</v>
      </c>
      <c r="K1634" s="122">
        <v>45485</v>
      </c>
      <c r="L1634" t="s">
        <v>737</v>
      </c>
    </row>
    <row r="1635" spans="1:13" hidden="1" x14ac:dyDescent="0.35">
      <c r="A1635" t="s">
        <v>34</v>
      </c>
      <c r="D1635" t="s">
        <v>39</v>
      </c>
      <c r="F1635">
        <v>6</v>
      </c>
      <c r="G1635">
        <v>6</v>
      </c>
      <c r="H1635">
        <v>3</v>
      </c>
      <c r="I1635">
        <v>46</v>
      </c>
      <c r="K1635" s="122">
        <v>45485</v>
      </c>
      <c r="L1635" t="s">
        <v>738</v>
      </c>
    </row>
    <row r="1636" spans="1:13" hidden="1" x14ac:dyDescent="0.35">
      <c r="A1636" t="s">
        <v>34</v>
      </c>
      <c r="D1636" t="s">
        <v>39</v>
      </c>
      <c r="F1636">
        <v>6</v>
      </c>
      <c r="G1636">
        <v>6</v>
      </c>
      <c r="H1636">
        <v>3</v>
      </c>
      <c r="I1636">
        <v>46</v>
      </c>
      <c r="K1636" s="122">
        <v>45485</v>
      </c>
      <c r="L1636" t="s">
        <v>739</v>
      </c>
    </row>
    <row r="1637" spans="1:13" hidden="1" x14ac:dyDescent="0.35">
      <c r="A1637" t="s">
        <v>34</v>
      </c>
      <c r="D1637" t="s">
        <v>39</v>
      </c>
      <c r="F1637">
        <v>6</v>
      </c>
      <c r="G1637">
        <v>6</v>
      </c>
      <c r="H1637">
        <v>3</v>
      </c>
      <c r="I1637">
        <v>46</v>
      </c>
      <c r="K1637" s="122">
        <v>45492</v>
      </c>
      <c r="L1637" t="s">
        <v>737</v>
      </c>
      <c r="M1637">
        <v>5.9</v>
      </c>
    </row>
    <row r="1638" spans="1:13" hidden="1" x14ac:dyDescent="0.35">
      <c r="A1638" t="s">
        <v>34</v>
      </c>
      <c r="D1638" t="s">
        <v>39</v>
      </c>
      <c r="F1638">
        <v>6</v>
      </c>
      <c r="G1638">
        <v>6</v>
      </c>
      <c r="H1638">
        <v>3</v>
      </c>
      <c r="I1638">
        <v>46</v>
      </c>
      <c r="K1638" s="122">
        <v>45492</v>
      </c>
      <c r="L1638" t="s">
        <v>738</v>
      </c>
      <c r="M1638">
        <v>5.7</v>
      </c>
    </row>
    <row r="1639" spans="1:13" hidden="1" x14ac:dyDescent="0.35">
      <c r="A1639" t="s">
        <v>34</v>
      </c>
      <c r="D1639" t="s">
        <v>39</v>
      </c>
      <c r="F1639">
        <v>6</v>
      </c>
      <c r="G1639">
        <v>6</v>
      </c>
      <c r="H1639">
        <v>3</v>
      </c>
      <c r="I1639">
        <v>46</v>
      </c>
      <c r="K1639" s="122">
        <v>45492</v>
      </c>
      <c r="L1639" t="s">
        <v>739</v>
      </c>
      <c r="M1639">
        <v>5.4</v>
      </c>
    </row>
    <row r="1640" spans="1:13" hidden="1" x14ac:dyDescent="0.35">
      <c r="A1640" t="s">
        <v>34</v>
      </c>
      <c r="D1640" t="s">
        <v>39</v>
      </c>
      <c r="F1640">
        <v>6</v>
      </c>
      <c r="G1640">
        <v>6</v>
      </c>
      <c r="H1640">
        <v>3</v>
      </c>
      <c r="I1640">
        <v>46</v>
      </c>
      <c r="K1640" s="122">
        <v>45509</v>
      </c>
      <c r="L1640" t="s">
        <v>737</v>
      </c>
      <c r="M1640">
        <v>6.7</v>
      </c>
    </row>
    <row r="1641" spans="1:13" hidden="1" x14ac:dyDescent="0.35">
      <c r="A1641" t="s">
        <v>34</v>
      </c>
      <c r="D1641" t="s">
        <v>39</v>
      </c>
      <c r="F1641">
        <v>6</v>
      </c>
      <c r="G1641">
        <v>6</v>
      </c>
      <c r="H1641">
        <v>3</v>
      </c>
      <c r="I1641">
        <v>46</v>
      </c>
      <c r="K1641" s="122">
        <v>45509</v>
      </c>
      <c r="L1641" t="s">
        <v>738</v>
      </c>
      <c r="M1641">
        <v>7</v>
      </c>
    </row>
    <row r="1642" spans="1:13" hidden="1" x14ac:dyDescent="0.35">
      <c r="A1642" t="s">
        <v>34</v>
      </c>
      <c r="D1642" t="s">
        <v>39</v>
      </c>
      <c r="F1642">
        <v>6</v>
      </c>
      <c r="G1642">
        <v>6</v>
      </c>
      <c r="H1642">
        <v>3</v>
      </c>
      <c r="I1642">
        <v>46</v>
      </c>
      <c r="K1642" s="122">
        <v>45509</v>
      </c>
      <c r="L1642" t="s">
        <v>739</v>
      </c>
      <c r="M1642">
        <v>7.3</v>
      </c>
    </row>
    <row r="1643" spans="1:13" hidden="1" x14ac:dyDescent="0.35">
      <c r="A1643" t="s">
        <v>34</v>
      </c>
      <c r="D1643" t="s">
        <v>39</v>
      </c>
      <c r="F1643">
        <v>6</v>
      </c>
      <c r="G1643">
        <v>6</v>
      </c>
      <c r="H1643">
        <v>3</v>
      </c>
      <c r="I1643">
        <v>46</v>
      </c>
      <c r="K1643" s="122">
        <v>45519</v>
      </c>
      <c r="L1643" t="s">
        <v>737</v>
      </c>
      <c r="M1643">
        <v>8.1999999999999993</v>
      </c>
    </row>
    <row r="1644" spans="1:13" hidden="1" x14ac:dyDescent="0.35">
      <c r="A1644" t="s">
        <v>34</v>
      </c>
      <c r="D1644" t="s">
        <v>39</v>
      </c>
      <c r="F1644">
        <v>6</v>
      </c>
      <c r="G1644">
        <v>6</v>
      </c>
      <c r="H1644">
        <v>3</v>
      </c>
      <c r="I1644">
        <v>46</v>
      </c>
      <c r="K1644" s="122">
        <v>45519</v>
      </c>
      <c r="L1644" t="s">
        <v>738</v>
      </c>
      <c r="M1644">
        <v>7.9</v>
      </c>
    </row>
    <row r="1645" spans="1:13" hidden="1" x14ac:dyDescent="0.35">
      <c r="A1645" t="s">
        <v>34</v>
      </c>
      <c r="D1645" t="s">
        <v>39</v>
      </c>
      <c r="F1645">
        <v>6</v>
      </c>
      <c r="G1645">
        <v>6</v>
      </c>
      <c r="H1645">
        <v>3</v>
      </c>
      <c r="I1645">
        <v>46</v>
      </c>
      <c r="K1645" s="122">
        <v>45519</v>
      </c>
      <c r="L1645" t="s">
        <v>739</v>
      </c>
      <c r="M1645">
        <v>7.4</v>
      </c>
    </row>
    <row r="1646" spans="1:13" hidden="1" x14ac:dyDescent="0.35">
      <c r="A1646" t="s">
        <v>34</v>
      </c>
      <c r="D1646" t="s">
        <v>39</v>
      </c>
      <c r="F1646">
        <v>6</v>
      </c>
      <c r="G1646">
        <v>6</v>
      </c>
      <c r="H1646">
        <v>3</v>
      </c>
      <c r="I1646">
        <v>46</v>
      </c>
      <c r="K1646" s="122">
        <v>45530</v>
      </c>
      <c r="L1646" t="s">
        <v>737</v>
      </c>
      <c r="M1646">
        <v>9.1999999999999993</v>
      </c>
    </row>
    <row r="1647" spans="1:13" hidden="1" x14ac:dyDescent="0.35">
      <c r="A1647" t="s">
        <v>34</v>
      </c>
      <c r="D1647" t="s">
        <v>39</v>
      </c>
      <c r="F1647">
        <v>6</v>
      </c>
      <c r="G1647">
        <v>6</v>
      </c>
      <c r="H1647">
        <v>3</v>
      </c>
      <c r="I1647">
        <v>46</v>
      </c>
      <c r="K1647" s="122">
        <v>45530</v>
      </c>
      <c r="L1647" t="s">
        <v>738</v>
      </c>
      <c r="M1647">
        <v>9.1</v>
      </c>
    </row>
    <row r="1648" spans="1:13" hidden="1" x14ac:dyDescent="0.35">
      <c r="A1648" t="s">
        <v>34</v>
      </c>
      <c r="D1648" t="s">
        <v>39</v>
      </c>
      <c r="F1648">
        <v>6</v>
      </c>
      <c r="G1648">
        <v>6</v>
      </c>
      <c r="H1648">
        <v>3</v>
      </c>
      <c r="I1648">
        <v>46</v>
      </c>
      <c r="K1648" s="122">
        <v>45530</v>
      </c>
      <c r="L1648" t="s">
        <v>739</v>
      </c>
      <c r="M1648">
        <v>8.9</v>
      </c>
    </row>
    <row r="1649" spans="1:13" hidden="1" x14ac:dyDescent="0.35">
      <c r="A1649" t="s">
        <v>34</v>
      </c>
      <c r="D1649" t="s">
        <v>39</v>
      </c>
      <c r="F1649">
        <v>6</v>
      </c>
      <c r="G1649">
        <v>6</v>
      </c>
      <c r="H1649">
        <v>3</v>
      </c>
      <c r="I1649">
        <v>46</v>
      </c>
      <c r="K1649" s="122">
        <v>45538</v>
      </c>
      <c r="L1649" t="s">
        <v>737</v>
      </c>
      <c r="M1649">
        <v>10</v>
      </c>
    </row>
    <row r="1650" spans="1:13" hidden="1" x14ac:dyDescent="0.35">
      <c r="A1650" t="s">
        <v>34</v>
      </c>
      <c r="D1650" t="s">
        <v>39</v>
      </c>
      <c r="F1650">
        <v>6</v>
      </c>
      <c r="G1650">
        <v>6</v>
      </c>
      <c r="H1650">
        <v>3</v>
      </c>
      <c r="I1650">
        <v>46</v>
      </c>
      <c r="K1650" s="122">
        <v>45538</v>
      </c>
      <c r="L1650" t="s">
        <v>738</v>
      </c>
      <c r="M1650">
        <v>9.8000000000000007</v>
      </c>
    </row>
    <row r="1651" spans="1:13" hidden="1" x14ac:dyDescent="0.35">
      <c r="A1651" t="s">
        <v>34</v>
      </c>
      <c r="D1651" t="s">
        <v>39</v>
      </c>
      <c r="F1651">
        <v>6</v>
      </c>
      <c r="G1651">
        <v>6</v>
      </c>
      <c r="H1651">
        <v>3</v>
      </c>
      <c r="I1651">
        <v>46</v>
      </c>
      <c r="K1651" s="122">
        <v>45538</v>
      </c>
      <c r="L1651" t="s">
        <v>739</v>
      </c>
      <c r="M1651">
        <v>9.6999999999999993</v>
      </c>
    </row>
    <row r="1652" spans="1:13" hidden="1" x14ac:dyDescent="0.35">
      <c r="A1652" t="s">
        <v>34</v>
      </c>
      <c r="D1652" t="s">
        <v>39</v>
      </c>
      <c r="F1652">
        <v>6</v>
      </c>
      <c r="G1652">
        <v>6</v>
      </c>
      <c r="H1652">
        <v>3</v>
      </c>
      <c r="I1652">
        <v>46</v>
      </c>
      <c r="K1652" s="122">
        <v>45547</v>
      </c>
      <c r="L1652" t="s">
        <v>737</v>
      </c>
      <c r="M1652">
        <v>10</v>
      </c>
    </row>
    <row r="1653" spans="1:13" hidden="1" x14ac:dyDescent="0.35">
      <c r="A1653" t="s">
        <v>34</v>
      </c>
      <c r="D1653" t="s">
        <v>39</v>
      </c>
      <c r="F1653">
        <v>6</v>
      </c>
      <c r="G1653">
        <v>6</v>
      </c>
      <c r="H1653">
        <v>3</v>
      </c>
      <c r="I1653">
        <v>46</v>
      </c>
      <c r="K1653" s="122">
        <v>45547</v>
      </c>
      <c r="L1653" t="s">
        <v>738</v>
      </c>
      <c r="M1653">
        <v>10</v>
      </c>
    </row>
    <row r="1654" spans="1:13" hidden="1" x14ac:dyDescent="0.35">
      <c r="A1654" t="s">
        <v>34</v>
      </c>
      <c r="D1654" t="s">
        <v>39</v>
      </c>
      <c r="F1654">
        <v>6</v>
      </c>
      <c r="G1654">
        <v>6</v>
      </c>
      <c r="H1654">
        <v>3</v>
      </c>
      <c r="I1654">
        <v>46</v>
      </c>
      <c r="K1654" s="122">
        <v>45547</v>
      </c>
      <c r="L1654" t="s">
        <v>739</v>
      </c>
      <c r="M1654">
        <v>10</v>
      </c>
    </row>
    <row r="1655" spans="1:13" hidden="1" x14ac:dyDescent="0.35">
      <c r="A1655" t="s">
        <v>34</v>
      </c>
      <c r="D1655" t="s">
        <v>39</v>
      </c>
      <c r="F1655">
        <v>6</v>
      </c>
      <c r="G1655">
        <v>6</v>
      </c>
      <c r="H1655">
        <v>3</v>
      </c>
      <c r="I1655">
        <v>46</v>
      </c>
      <c r="K1655" s="122">
        <v>45555</v>
      </c>
      <c r="L1655" t="s">
        <v>737</v>
      </c>
    </row>
    <row r="1656" spans="1:13" hidden="1" x14ac:dyDescent="0.35">
      <c r="A1656" t="s">
        <v>34</v>
      </c>
      <c r="D1656" t="s">
        <v>39</v>
      </c>
      <c r="F1656">
        <v>6</v>
      </c>
      <c r="G1656">
        <v>6</v>
      </c>
      <c r="H1656">
        <v>3</v>
      </c>
      <c r="I1656">
        <v>46</v>
      </c>
      <c r="K1656" s="122">
        <v>45555</v>
      </c>
      <c r="L1656" t="s">
        <v>738</v>
      </c>
    </row>
    <row r="1657" spans="1:13" hidden="1" x14ac:dyDescent="0.35">
      <c r="A1657" t="s">
        <v>34</v>
      </c>
      <c r="D1657" t="s">
        <v>39</v>
      </c>
      <c r="F1657">
        <v>6</v>
      </c>
      <c r="G1657">
        <v>6</v>
      </c>
      <c r="H1657">
        <v>3</v>
      </c>
      <c r="I1657">
        <v>46</v>
      </c>
      <c r="K1657" s="122">
        <v>45555</v>
      </c>
      <c r="L1657" t="s">
        <v>739</v>
      </c>
    </row>
    <row r="1658" spans="1:13" hidden="1" x14ac:dyDescent="0.35">
      <c r="A1658" t="s">
        <v>24</v>
      </c>
      <c r="D1658" t="s">
        <v>26</v>
      </c>
      <c r="F1658">
        <v>6</v>
      </c>
      <c r="G1658">
        <v>7</v>
      </c>
      <c r="H1658">
        <v>4</v>
      </c>
      <c r="I1658">
        <v>54</v>
      </c>
      <c r="K1658" s="122">
        <v>45442</v>
      </c>
      <c r="L1658" t="s">
        <v>737</v>
      </c>
    </row>
    <row r="1659" spans="1:13" hidden="1" x14ac:dyDescent="0.35">
      <c r="A1659" t="s">
        <v>24</v>
      </c>
      <c r="D1659" t="s">
        <v>26</v>
      </c>
      <c r="F1659">
        <v>6</v>
      </c>
      <c r="G1659">
        <v>7</v>
      </c>
      <c r="H1659">
        <v>4</v>
      </c>
      <c r="I1659">
        <v>54</v>
      </c>
      <c r="K1659" s="122">
        <v>45442</v>
      </c>
      <c r="L1659" t="s">
        <v>738</v>
      </c>
    </row>
    <row r="1660" spans="1:13" hidden="1" x14ac:dyDescent="0.35">
      <c r="A1660" t="s">
        <v>24</v>
      </c>
      <c r="D1660" t="s">
        <v>26</v>
      </c>
      <c r="F1660">
        <v>6</v>
      </c>
      <c r="G1660">
        <v>7</v>
      </c>
      <c r="H1660">
        <v>4</v>
      </c>
      <c r="I1660">
        <v>54</v>
      </c>
      <c r="K1660" s="122">
        <v>45442</v>
      </c>
      <c r="L1660" t="s">
        <v>739</v>
      </c>
    </row>
    <row r="1661" spans="1:13" hidden="1" x14ac:dyDescent="0.35">
      <c r="A1661" t="s">
        <v>24</v>
      </c>
      <c r="D1661" t="s">
        <v>26</v>
      </c>
      <c r="F1661">
        <v>6</v>
      </c>
      <c r="G1661">
        <v>7</v>
      </c>
      <c r="H1661">
        <v>4</v>
      </c>
      <c r="I1661">
        <v>54</v>
      </c>
      <c r="K1661" s="122">
        <v>45447</v>
      </c>
      <c r="L1661" t="s">
        <v>737</v>
      </c>
      <c r="M1661">
        <v>5.3</v>
      </c>
    </row>
    <row r="1662" spans="1:13" hidden="1" x14ac:dyDescent="0.35">
      <c r="A1662" t="s">
        <v>24</v>
      </c>
      <c r="D1662" t="s">
        <v>26</v>
      </c>
      <c r="F1662">
        <v>6</v>
      </c>
      <c r="G1662">
        <v>7</v>
      </c>
      <c r="H1662">
        <v>4</v>
      </c>
      <c r="I1662">
        <v>54</v>
      </c>
      <c r="K1662" s="122">
        <v>45447</v>
      </c>
      <c r="L1662" t="s">
        <v>738</v>
      </c>
      <c r="M1662">
        <v>5.3</v>
      </c>
    </row>
    <row r="1663" spans="1:13" hidden="1" x14ac:dyDescent="0.35">
      <c r="A1663" t="s">
        <v>24</v>
      </c>
      <c r="D1663" t="s">
        <v>26</v>
      </c>
      <c r="F1663">
        <v>6</v>
      </c>
      <c r="G1663">
        <v>7</v>
      </c>
      <c r="H1663">
        <v>4</v>
      </c>
      <c r="I1663">
        <v>54</v>
      </c>
      <c r="K1663" s="122">
        <v>45447</v>
      </c>
      <c r="L1663" t="s">
        <v>739</v>
      </c>
      <c r="M1663">
        <v>5.3</v>
      </c>
    </row>
    <row r="1664" spans="1:13" hidden="1" x14ac:dyDescent="0.35">
      <c r="A1664" t="s">
        <v>24</v>
      </c>
      <c r="D1664" t="s">
        <v>26</v>
      </c>
      <c r="F1664">
        <v>6</v>
      </c>
      <c r="G1664">
        <v>7</v>
      </c>
      <c r="H1664">
        <v>4</v>
      </c>
      <c r="I1664">
        <v>54</v>
      </c>
      <c r="K1664" s="122">
        <v>45462</v>
      </c>
      <c r="L1664" t="s">
        <v>737</v>
      </c>
      <c r="M1664">
        <v>5.3</v>
      </c>
    </row>
    <row r="1665" spans="1:13" hidden="1" x14ac:dyDescent="0.35">
      <c r="A1665" t="s">
        <v>24</v>
      </c>
      <c r="D1665" t="s">
        <v>26</v>
      </c>
      <c r="F1665">
        <v>6</v>
      </c>
      <c r="G1665">
        <v>7</v>
      </c>
      <c r="H1665">
        <v>4</v>
      </c>
      <c r="I1665">
        <v>54</v>
      </c>
      <c r="K1665" s="122">
        <v>45462</v>
      </c>
      <c r="L1665" t="s">
        <v>738</v>
      </c>
      <c r="M1665">
        <v>5.6</v>
      </c>
    </row>
    <row r="1666" spans="1:13" hidden="1" x14ac:dyDescent="0.35">
      <c r="A1666" t="s">
        <v>24</v>
      </c>
      <c r="D1666" t="s">
        <v>26</v>
      </c>
      <c r="F1666">
        <v>6</v>
      </c>
      <c r="G1666">
        <v>7</v>
      </c>
      <c r="H1666">
        <v>4</v>
      </c>
      <c r="I1666">
        <v>54</v>
      </c>
      <c r="K1666" s="122">
        <v>45462</v>
      </c>
      <c r="L1666" t="s">
        <v>739</v>
      </c>
      <c r="M1666">
        <v>5.3</v>
      </c>
    </row>
    <row r="1667" spans="1:13" hidden="1" x14ac:dyDescent="0.35">
      <c r="A1667" t="s">
        <v>24</v>
      </c>
      <c r="D1667" t="s">
        <v>26</v>
      </c>
      <c r="F1667">
        <v>6</v>
      </c>
      <c r="G1667">
        <v>7</v>
      </c>
      <c r="H1667">
        <v>4</v>
      </c>
      <c r="I1667">
        <v>54</v>
      </c>
      <c r="K1667" s="122">
        <v>45477</v>
      </c>
      <c r="L1667" t="s">
        <v>737</v>
      </c>
    </row>
    <row r="1668" spans="1:13" hidden="1" x14ac:dyDescent="0.35">
      <c r="A1668" t="s">
        <v>24</v>
      </c>
      <c r="D1668" t="s">
        <v>26</v>
      </c>
      <c r="F1668">
        <v>6</v>
      </c>
      <c r="G1668">
        <v>7</v>
      </c>
      <c r="H1668">
        <v>4</v>
      </c>
      <c r="I1668">
        <v>54</v>
      </c>
      <c r="K1668" s="122">
        <v>45477</v>
      </c>
      <c r="L1668" t="s">
        <v>738</v>
      </c>
    </row>
    <row r="1669" spans="1:13" hidden="1" x14ac:dyDescent="0.35">
      <c r="A1669" t="s">
        <v>24</v>
      </c>
      <c r="D1669" t="s">
        <v>26</v>
      </c>
      <c r="F1669">
        <v>6</v>
      </c>
      <c r="G1669">
        <v>7</v>
      </c>
      <c r="H1669">
        <v>4</v>
      </c>
      <c r="I1669">
        <v>54</v>
      </c>
      <c r="K1669" s="122">
        <v>45477</v>
      </c>
      <c r="L1669" t="s">
        <v>739</v>
      </c>
    </row>
    <row r="1670" spans="1:13" hidden="1" x14ac:dyDescent="0.35">
      <c r="A1670" t="s">
        <v>24</v>
      </c>
      <c r="D1670" t="s">
        <v>26</v>
      </c>
      <c r="F1670">
        <v>6</v>
      </c>
      <c r="G1670">
        <v>7</v>
      </c>
      <c r="H1670">
        <v>4</v>
      </c>
      <c r="I1670">
        <v>54</v>
      </c>
      <c r="K1670" s="122">
        <v>45485</v>
      </c>
      <c r="L1670" t="s">
        <v>737</v>
      </c>
    </row>
    <row r="1671" spans="1:13" hidden="1" x14ac:dyDescent="0.35">
      <c r="A1671" t="s">
        <v>24</v>
      </c>
      <c r="D1671" t="s">
        <v>26</v>
      </c>
      <c r="F1671">
        <v>6</v>
      </c>
      <c r="G1671">
        <v>7</v>
      </c>
      <c r="H1671">
        <v>4</v>
      </c>
      <c r="I1671">
        <v>54</v>
      </c>
      <c r="K1671" s="122">
        <v>45485</v>
      </c>
      <c r="L1671" t="s">
        <v>738</v>
      </c>
    </row>
    <row r="1672" spans="1:13" hidden="1" x14ac:dyDescent="0.35">
      <c r="A1672" t="s">
        <v>24</v>
      </c>
      <c r="D1672" t="s">
        <v>26</v>
      </c>
      <c r="F1672">
        <v>6</v>
      </c>
      <c r="G1672">
        <v>7</v>
      </c>
      <c r="H1672">
        <v>4</v>
      </c>
      <c r="I1672">
        <v>54</v>
      </c>
      <c r="K1672" s="122">
        <v>45485</v>
      </c>
      <c r="L1672" t="s">
        <v>739</v>
      </c>
    </row>
    <row r="1673" spans="1:13" hidden="1" x14ac:dyDescent="0.35">
      <c r="A1673" t="s">
        <v>24</v>
      </c>
      <c r="D1673" t="s">
        <v>26</v>
      </c>
      <c r="F1673">
        <v>6</v>
      </c>
      <c r="G1673">
        <v>7</v>
      </c>
      <c r="H1673">
        <v>4</v>
      </c>
      <c r="I1673">
        <v>54</v>
      </c>
      <c r="K1673" s="122">
        <v>45492</v>
      </c>
      <c r="L1673" t="s">
        <v>737</v>
      </c>
      <c r="M1673">
        <v>6.9</v>
      </c>
    </row>
    <row r="1674" spans="1:13" hidden="1" x14ac:dyDescent="0.35">
      <c r="A1674" t="s">
        <v>24</v>
      </c>
      <c r="D1674" t="s">
        <v>26</v>
      </c>
      <c r="F1674">
        <v>6</v>
      </c>
      <c r="G1674">
        <v>7</v>
      </c>
      <c r="H1674">
        <v>4</v>
      </c>
      <c r="I1674">
        <v>54</v>
      </c>
      <c r="K1674" s="122">
        <v>45492</v>
      </c>
      <c r="L1674" t="s">
        <v>738</v>
      </c>
      <c r="M1674">
        <v>7.4</v>
      </c>
    </row>
    <row r="1675" spans="1:13" hidden="1" x14ac:dyDescent="0.35">
      <c r="A1675" t="s">
        <v>24</v>
      </c>
      <c r="D1675" t="s">
        <v>26</v>
      </c>
      <c r="F1675">
        <v>6</v>
      </c>
      <c r="G1675">
        <v>7</v>
      </c>
      <c r="H1675">
        <v>4</v>
      </c>
      <c r="I1675">
        <v>54</v>
      </c>
      <c r="K1675" s="122">
        <v>45492</v>
      </c>
      <c r="L1675" t="s">
        <v>739</v>
      </c>
      <c r="M1675">
        <v>6.8</v>
      </c>
    </row>
    <row r="1676" spans="1:13" hidden="1" x14ac:dyDescent="0.35">
      <c r="A1676" t="s">
        <v>24</v>
      </c>
      <c r="D1676" t="s">
        <v>26</v>
      </c>
      <c r="F1676">
        <v>6</v>
      </c>
      <c r="G1676">
        <v>7</v>
      </c>
      <c r="H1676">
        <v>4</v>
      </c>
      <c r="I1676">
        <v>54</v>
      </c>
      <c r="K1676" s="122">
        <v>45509</v>
      </c>
      <c r="L1676" t="s">
        <v>737</v>
      </c>
      <c r="M1676">
        <v>8.4</v>
      </c>
    </row>
    <row r="1677" spans="1:13" hidden="1" x14ac:dyDescent="0.35">
      <c r="A1677" t="s">
        <v>24</v>
      </c>
      <c r="D1677" t="s">
        <v>26</v>
      </c>
      <c r="F1677">
        <v>6</v>
      </c>
      <c r="G1677">
        <v>7</v>
      </c>
      <c r="H1677">
        <v>4</v>
      </c>
      <c r="I1677">
        <v>54</v>
      </c>
      <c r="K1677" s="122">
        <v>45509</v>
      </c>
      <c r="L1677" t="s">
        <v>738</v>
      </c>
      <c r="M1677">
        <v>8.6</v>
      </c>
    </row>
    <row r="1678" spans="1:13" hidden="1" x14ac:dyDescent="0.35">
      <c r="A1678" t="s">
        <v>24</v>
      </c>
      <c r="D1678" t="s">
        <v>26</v>
      </c>
      <c r="F1678">
        <v>6</v>
      </c>
      <c r="G1678">
        <v>7</v>
      </c>
      <c r="H1678">
        <v>4</v>
      </c>
      <c r="I1678">
        <v>54</v>
      </c>
      <c r="K1678" s="122">
        <v>45509</v>
      </c>
      <c r="L1678" t="s">
        <v>739</v>
      </c>
      <c r="M1678">
        <v>7.8</v>
      </c>
    </row>
    <row r="1679" spans="1:13" hidden="1" x14ac:dyDescent="0.35">
      <c r="A1679" t="s">
        <v>24</v>
      </c>
      <c r="D1679" t="s">
        <v>26</v>
      </c>
      <c r="F1679">
        <v>6</v>
      </c>
      <c r="G1679">
        <v>7</v>
      </c>
      <c r="H1679">
        <v>4</v>
      </c>
      <c r="I1679">
        <v>54</v>
      </c>
      <c r="K1679" s="122">
        <v>45519</v>
      </c>
      <c r="L1679" t="s">
        <v>737</v>
      </c>
      <c r="M1679">
        <v>9.1999999999999993</v>
      </c>
    </row>
    <row r="1680" spans="1:13" hidden="1" x14ac:dyDescent="0.35">
      <c r="A1680" t="s">
        <v>24</v>
      </c>
      <c r="D1680" t="s">
        <v>26</v>
      </c>
      <c r="F1680">
        <v>6</v>
      </c>
      <c r="G1680">
        <v>7</v>
      </c>
      <c r="H1680">
        <v>4</v>
      </c>
      <c r="I1680">
        <v>54</v>
      </c>
      <c r="K1680" s="122">
        <v>45519</v>
      </c>
      <c r="L1680" t="s">
        <v>738</v>
      </c>
      <c r="M1680">
        <v>9.6999999999999993</v>
      </c>
    </row>
    <row r="1681" spans="1:13" hidden="1" x14ac:dyDescent="0.35">
      <c r="A1681" t="s">
        <v>24</v>
      </c>
      <c r="D1681" t="s">
        <v>26</v>
      </c>
      <c r="F1681">
        <v>6</v>
      </c>
      <c r="G1681">
        <v>7</v>
      </c>
      <c r="H1681">
        <v>4</v>
      </c>
      <c r="I1681">
        <v>54</v>
      </c>
      <c r="K1681" s="122">
        <v>45519</v>
      </c>
      <c r="L1681" t="s">
        <v>739</v>
      </c>
      <c r="M1681">
        <v>8.6999999999999993</v>
      </c>
    </row>
    <row r="1682" spans="1:13" hidden="1" x14ac:dyDescent="0.35">
      <c r="A1682" t="s">
        <v>24</v>
      </c>
      <c r="D1682" t="s">
        <v>26</v>
      </c>
      <c r="F1682">
        <v>6</v>
      </c>
      <c r="G1682">
        <v>7</v>
      </c>
      <c r="H1682">
        <v>4</v>
      </c>
      <c r="I1682">
        <v>54</v>
      </c>
      <c r="K1682" s="122">
        <v>45530</v>
      </c>
      <c r="L1682" t="s">
        <v>737</v>
      </c>
      <c r="M1682">
        <v>10.6</v>
      </c>
    </row>
    <row r="1683" spans="1:13" hidden="1" x14ac:dyDescent="0.35">
      <c r="A1683" t="s">
        <v>24</v>
      </c>
      <c r="D1683" t="s">
        <v>26</v>
      </c>
      <c r="F1683">
        <v>6</v>
      </c>
      <c r="G1683">
        <v>7</v>
      </c>
      <c r="H1683">
        <v>4</v>
      </c>
      <c r="I1683">
        <v>54</v>
      </c>
      <c r="K1683" s="122">
        <v>45530</v>
      </c>
      <c r="L1683" t="s">
        <v>738</v>
      </c>
      <c r="M1683">
        <v>10.8</v>
      </c>
    </row>
    <row r="1684" spans="1:13" hidden="1" x14ac:dyDescent="0.35">
      <c r="A1684" t="s">
        <v>24</v>
      </c>
      <c r="D1684" t="s">
        <v>26</v>
      </c>
      <c r="F1684">
        <v>6</v>
      </c>
      <c r="G1684">
        <v>7</v>
      </c>
      <c r="H1684">
        <v>4</v>
      </c>
      <c r="I1684">
        <v>54</v>
      </c>
      <c r="K1684" s="122">
        <v>45530</v>
      </c>
      <c r="L1684" t="s">
        <v>739</v>
      </c>
      <c r="M1684">
        <v>9.8000000000000007</v>
      </c>
    </row>
    <row r="1685" spans="1:13" hidden="1" x14ac:dyDescent="0.35">
      <c r="A1685" t="s">
        <v>24</v>
      </c>
      <c r="D1685" t="s">
        <v>26</v>
      </c>
      <c r="F1685">
        <v>6</v>
      </c>
      <c r="G1685">
        <v>7</v>
      </c>
      <c r="H1685">
        <v>4</v>
      </c>
      <c r="I1685">
        <v>54</v>
      </c>
      <c r="K1685" s="122">
        <v>45538</v>
      </c>
      <c r="L1685" t="s">
        <v>737</v>
      </c>
      <c r="M1685">
        <v>11.4</v>
      </c>
    </row>
    <row r="1686" spans="1:13" hidden="1" x14ac:dyDescent="0.35">
      <c r="A1686" t="s">
        <v>24</v>
      </c>
      <c r="D1686" t="s">
        <v>26</v>
      </c>
      <c r="F1686">
        <v>6</v>
      </c>
      <c r="G1686">
        <v>7</v>
      </c>
      <c r="H1686">
        <v>4</v>
      </c>
      <c r="I1686">
        <v>54</v>
      </c>
      <c r="K1686" s="122">
        <v>45538</v>
      </c>
      <c r="L1686" t="s">
        <v>738</v>
      </c>
      <c r="M1686">
        <v>11.7</v>
      </c>
    </row>
    <row r="1687" spans="1:13" hidden="1" x14ac:dyDescent="0.35">
      <c r="A1687" t="s">
        <v>24</v>
      </c>
      <c r="D1687" t="s">
        <v>26</v>
      </c>
      <c r="F1687">
        <v>6</v>
      </c>
      <c r="G1687">
        <v>7</v>
      </c>
      <c r="H1687">
        <v>4</v>
      </c>
      <c r="I1687">
        <v>54</v>
      </c>
      <c r="K1687" s="122">
        <v>45538</v>
      </c>
      <c r="L1687" t="s">
        <v>739</v>
      </c>
      <c r="M1687">
        <v>10.5</v>
      </c>
    </row>
    <row r="1688" spans="1:13" hidden="1" x14ac:dyDescent="0.35">
      <c r="A1688" t="s">
        <v>24</v>
      </c>
      <c r="D1688" t="s">
        <v>26</v>
      </c>
      <c r="F1688">
        <v>6</v>
      </c>
      <c r="G1688">
        <v>7</v>
      </c>
      <c r="H1688">
        <v>4</v>
      </c>
      <c r="I1688">
        <v>54</v>
      </c>
      <c r="K1688" s="122">
        <v>45547</v>
      </c>
      <c r="L1688" t="s">
        <v>737</v>
      </c>
      <c r="M1688">
        <v>12</v>
      </c>
    </row>
    <row r="1689" spans="1:13" hidden="1" x14ac:dyDescent="0.35">
      <c r="A1689" t="s">
        <v>24</v>
      </c>
      <c r="D1689" t="s">
        <v>26</v>
      </c>
      <c r="F1689">
        <v>6</v>
      </c>
      <c r="G1689">
        <v>7</v>
      </c>
      <c r="H1689">
        <v>4</v>
      </c>
      <c r="I1689">
        <v>54</v>
      </c>
      <c r="K1689" s="122">
        <v>45547</v>
      </c>
      <c r="L1689" t="s">
        <v>738</v>
      </c>
      <c r="M1689">
        <v>12</v>
      </c>
    </row>
    <row r="1690" spans="1:13" hidden="1" x14ac:dyDescent="0.35">
      <c r="A1690" t="s">
        <v>24</v>
      </c>
      <c r="D1690" t="s">
        <v>26</v>
      </c>
      <c r="F1690">
        <v>6</v>
      </c>
      <c r="G1690">
        <v>7</v>
      </c>
      <c r="H1690">
        <v>4</v>
      </c>
      <c r="I1690">
        <v>54</v>
      </c>
      <c r="K1690" s="122">
        <v>45547</v>
      </c>
      <c r="L1690" t="s">
        <v>739</v>
      </c>
      <c r="M1690">
        <v>11</v>
      </c>
    </row>
    <row r="1691" spans="1:13" hidden="1" x14ac:dyDescent="0.35">
      <c r="A1691" t="s">
        <v>24</v>
      </c>
      <c r="D1691" t="s">
        <v>26</v>
      </c>
      <c r="F1691">
        <v>6</v>
      </c>
      <c r="G1691">
        <v>7</v>
      </c>
      <c r="H1691">
        <v>4</v>
      </c>
      <c r="I1691">
        <v>54</v>
      </c>
      <c r="K1691" s="122">
        <v>45555</v>
      </c>
      <c r="L1691" t="s">
        <v>737</v>
      </c>
    </row>
    <row r="1692" spans="1:13" hidden="1" x14ac:dyDescent="0.35">
      <c r="A1692" t="s">
        <v>24</v>
      </c>
      <c r="D1692" t="s">
        <v>26</v>
      </c>
      <c r="F1692">
        <v>6</v>
      </c>
      <c r="G1692">
        <v>7</v>
      </c>
      <c r="H1692">
        <v>4</v>
      </c>
      <c r="I1692">
        <v>54</v>
      </c>
      <c r="K1692" s="122">
        <v>45555</v>
      </c>
      <c r="L1692" t="s">
        <v>738</v>
      </c>
    </row>
    <row r="1693" spans="1:13" hidden="1" x14ac:dyDescent="0.35">
      <c r="A1693" t="s">
        <v>24</v>
      </c>
      <c r="D1693" t="s">
        <v>26</v>
      </c>
      <c r="F1693">
        <v>6</v>
      </c>
      <c r="G1693">
        <v>7</v>
      </c>
      <c r="H1693">
        <v>4</v>
      </c>
      <c r="I1693">
        <v>54</v>
      </c>
      <c r="K1693" s="122">
        <v>45555</v>
      </c>
      <c r="L1693" t="s">
        <v>739</v>
      </c>
    </row>
    <row r="1694" spans="1:13" hidden="1" x14ac:dyDescent="0.35">
      <c r="A1694" t="s">
        <v>34</v>
      </c>
      <c r="D1694" t="s">
        <v>38</v>
      </c>
      <c r="F1694">
        <v>6</v>
      </c>
      <c r="G1694">
        <v>8</v>
      </c>
      <c r="H1694">
        <v>4</v>
      </c>
      <c r="I1694">
        <v>62</v>
      </c>
      <c r="K1694" s="122">
        <v>45442</v>
      </c>
      <c r="L1694" t="s">
        <v>737</v>
      </c>
    </row>
    <row r="1695" spans="1:13" hidden="1" x14ac:dyDescent="0.35">
      <c r="A1695" t="s">
        <v>34</v>
      </c>
      <c r="D1695" t="s">
        <v>38</v>
      </c>
      <c r="F1695">
        <v>6</v>
      </c>
      <c r="G1695">
        <v>8</v>
      </c>
      <c r="H1695">
        <v>4</v>
      </c>
      <c r="I1695">
        <v>62</v>
      </c>
      <c r="K1695" s="122">
        <v>45442</v>
      </c>
      <c r="L1695" t="s">
        <v>738</v>
      </c>
    </row>
    <row r="1696" spans="1:13" hidden="1" x14ac:dyDescent="0.35">
      <c r="A1696" t="s">
        <v>34</v>
      </c>
      <c r="D1696" t="s">
        <v>38</v>
      </c>
      <c r="F1696">
        <v>6</v>
      </c>
      <c r="G1696">
        <v>8</v>
      </c>
      <c r="H1696">
        <v>4</v>
      </c>
      <c r="I1696">
        <v>62</v>
      </c>
      <c r="K1696" s="122">
        <v>45442</v>
      </c>
      <c r="L1696" t="s">
        <v>739</v>
      </c>
    </row>
    <row r="1697" spans="1:13" hidden="1" x14ac:dyDescent="0.35">
      <c r="A1697" t="s">
        <v>34</v>
      </c>
      <c r="D1697" t="s">
        <v>38</v>
      </c>
      <c r="F1697">
        <v>6</v>
      </c>
      <c r="G1697">
        <v>8</v>
      </c>
      <c r="H1697">
        <v>4</v>
      </c>
      <c r="I1697">
        <v>62</v>
      </c>
      <c r="K1697" s="122">
        <v>45447</v>
      </c>
      <c r="L1697" t="s">
        <v>737</v>
      </c>
      <c r="M1697">
        <v>1.7</v>
      </c>
    </row>
    <row r="1698" spans="1:13" hidden="1" x14ac:dyDescent="0.35">
      <c r="A1698" t="s">
        <v>34</v>
      </c>
      <c r="D1698" t="s">
        <v>38</v>
      </c>
      <c r="F1698">
        <v>6</v>
      </c>
      <c r="G1698">
        <v>8</v>
      </c>
      <c r="H1698">
        <v>4</v>
      </c>
      <c r="I1698">
        <v>62</v>
      </c>
      <c r="K1698" s="122">
        <v>45447</v>
      </c>
      <c r="L1698" t="s">
        <v>738</v>
      </c>
      <c r="M1698">
        <v>1.8</v>
      </c>
    </row>
    <row r="1699" spans="1:13" hidden="1" x14ac:dyDescent="0.35">
      <c r="A1699" t="s">
        <v>34</v>
      </c>
      <c r="D1699" t="s">
        <v>38</v>
      </c>
      <c r="F1699">
        <v>6</v>
      </c>
      <c r="G1699">
        <v>8</v>
      </c>
      <c r="H1699">
        <v>4</v>
      </c>
      <c r="I1699">
        <v>62</v>
      </c>
      <c r="K1699" s="122">
        <v>45447</v>
      </c>
      <c r="L1699" t="s">
        <v>739</v>
      </c>
      <c r="M1699">
        <v>1.7</v>
      </c>
    </row>
    <row r="1700" spans="1:13" hidden="1" x14ac:dyDescent="0.35">
      <c r="A1700" t="s">
        <v>34</v>
      </c>
      <c r="D1700" t="s">
        <v>38</v>
      </c>
      <c r="F1700">
        <v>6</v>
      </c>
      <c r="G1700">
        <v>8</v>
      </c>
      <c r="H1700">
        <v>4</v>
      </c>
      <c r="I1700">
        <v>62</v>
      </c>
      <c r="K1700" s="122">
        <v>45462</v>
      </c>
      <c r="L1700" t="s">
        <v>737</v>
      </c>
      <c r="M1700">
        <v>3.5</v>
      </c>
    </row>
    <row r="1701" spans="1:13" hidden="1" x14ac:dyDescent="0.35">
      <c r="A1701" t="s">
        <v>34</v>
      </c>
      <c r="D1701" t="s">
        <v>38</v>
      </c>
      <c r="F1701">
        <v>6</v>
      </c>
      <c r="G1701">
        <v>8</v>
      </c>
      <c r="H1701">
        <v>4</v>
      </c>
      <c r="I1701">
        <v>62</v>
      </c>
      <c r="K1701" s="122">
        <v>45462</v>
      </c>
      <c r="L1701" t="s">
        <v>738</v>
      </c>
      <c r="M1701">
        <v>3.3</v>
      </c>
    </row>
    <row r="1702" spans="1:13" hidden="1" x14ac:dyDescent="0.35">
      <c r="A1702" t="s">
        <v>34</v>
      </c>
      <c r="D1702" t="s">
        <v>38</v>
      </c>
      <c r="F1702">
        <v>6</v>
      </c>
      <c r="G1702">
        <v>8</v>
      </c>
      <c r="H1702">
        <v>4</v>
      </c>
      <c r="I1702">
        <v>62</v>
      </c>
      <c r="K1702" s="122">
        <v>45462</v>
      </c>
      <c r="L1702" t="s">
        <v>739</v>
      </c>
      <c r="M1702">
        <v>3.2</v>
      </c>
    </row>
    <row r="1703" spans="1:13" hidden="1" x14ac:dyDescent="0.35">
      <c r="A1703" t="s">
        <v>34</v>
      </c>
      <c r="D1703" t="s">
        <v>38</v>
      </c>
      <c r="F1703">
        <v>6</v>
      </c>
      <c r="G1703">
        <v>8</v>
      </c>
      <c r="H1703">
        <v>4</v>
      </c>
      <c r="I1703">
        <v>62</v>
      </c>
      <c r="K1703" s="122">
        <v>45477</v>
      </c>
      <c r="L1703" t="s">
        <v>737</v>
      </c>
      <c r="M1703">
        <v>4.8</v>
      </c>
    </row>
    <row r="1704" spans="1:13" hidden="1" x14ac:dyDescent="0.35">
      <c r="A1704" t="s">
        <v>34</v>
      </c>
      <c r="D1704" t="s">
        <v>38</v>
      </c>
      <c r="F1704">
        <v>6</v>
      </c>
      <c r="G1704">
        <v>8</v>
      </c>
      <c r="H1704">
        <v>4</v>
      </c>
      <c r="I1704">
        <v>62</v>
      </c>
      <c r="K1704" s="122">
        <v>45477</v>
      </c>
      <c r="L1704" t="s">
        <v>738</v>
      </c>
      <c r="M1704">
        <v>4.5999999999999996</v>
      </c>
    </row>
    <row r="1705" spans="1:13" hidden="1" x14ac:dyDescent="0.35">
      <c r="A1705" t="s">
        <v>34</v>
      </c>
      <c r="D1705" t="s">
        <v>38</v>
      </c>
      <c r="F1705">
        <v>6</v>
      </c>
      <c r="G1705">
        <v>8</v>
      </c>
      <c r="H1705">
        <v>4</v>
      </c>
      <c r="I1705">
        <v>62</v>
      </c>
      <c r="K1705" s="122">
        <v>45477</v>
      </c>
      <c r="L1705" t="s">
        <v>739</v>
      </c>
      <c r="M1705">
        <v>4.5999999999999996</v>
      </c>
    </row>
    <row r="1706" spans="1:13" hidden="1" x14ac:dyDescent="0.35">
      <c r="A1706" t="s">
        <v>34</v>
      </c>
      <c r="D1706" t="s">
        <v>38</v>
      </c>
      <c r="F1706">
        <v>6</v>
      </c>
      <c r="G1706">
        <v>8</v>
      </c>
      <c r="H1706">
        <v>4</v>
      </c>
      <c r="I1706">
        <v>62</v>
      </c>
      <c r="K1706" s="122">
        <v>45485</v>
      </c>
      <c r="L1706" t="s">
        <v>737</v>
      </c>
    </row>
    <row r="1707" spans="1:13" hidden="1" x14ac:dyDescent="0.35">
      <c r="A1707" t="s">
        <v>34</v>
      </c>
      <c r="D1707" t="s">
        <v>38</v>
      </c>
      <c r="F1707">
        <v>6</v>
      </c>
      <c r="G1707">
        <v>8</v>
      </c>
      <c r="H1707">
        <v>4</v>
      </c>
      <c r="I1707">
        <v>62</v>
      </c>
      <c r="K1707" s="122">
        <v>45485</v>
      </c>
      <c r="L1707" t="s">
        <v>738</v>
      </c>
    </row>
    <row r="1708" spans="1:13" hidden="1" x14ac:dyDescent="0.35">
      <c r="A1708" t="s">
        <v>34</v>
      </c>
      <c r="D1708" t="s">
        <v>38</v>
      </c>
      <c r="F1708">
        <v>6</v>
      </c>
      <c r="G1708">
        <v>8</v>
      </c>
      <c r="H1708">
        <v>4</v>
      </c>
      <c r="I1708">
        <v>62</v>
      </c>
      <c r="K1708" s="122">
        <v>45485</v>
      </c>
      <c r="L1708" t="s">
        <v>739</v>
      </c>
    </row>
    <row r="1709" spans="1:13" hidden="1" x14ac:dyDescent="0.35">
      <c r="A1709" t="s">
        <v>34</v>
      </c>
      <c r="D1709" t="s">
        <v>38</v>
      </c>
      <c r="F1709">
        <v>6</v>
      </c>
      <c r="G1709">
        <v>8</v>
      </c>
      <c r="H1709">
        <v>4</v>
      </c>
      <c r="I1709">
        <v>62</v>
      </c>
      <c r="K1709" s="122">
        <v>45492</v>
      </c>
      <c r="L1709" t="s">
        <v>737</v>
      </c>
      <c r="M1709">
        <v>5.7</v>
      </c>
    </row>
    <row r="1710" spans="1:13" hidden="1" x14ac:dyDescent="0.35">
      <c r="A1710" t="s">
        <v>34</v>
      </c>
      <c r="D1710" t="s">
        <v>38</v>
      </c>
      <c r="F1710">
        <v>6</v>
      </c>
      <c r="G1710">
        <v>8</v>
      </c>
      <c r="H1710">
        <v>4</v>
      </c>
      <c r="I1710">
        <v>62</v>
      </c>
      <c r="K1710" s="122">
        <v>45492</v>
      </c>
      <c r="L1710" t="s">
        <v>738</v>
      </c>
      <c r="M1710">
        <v>5.6</v>
      </c>
    </row>
    <row r="1711" spans="1:13" hidden="1" x14ac:dyDescent="0.35">
      <c r="A1711" t="s">
        <v>34</v>
      </c>
      <c r="D1711" t="s">
        <v>38</v>
      </c>
      <c r="F1711">
        <v>6</v>
      </c>
      <c r="G1711">
        <v>8</v>
      </c>
      <c r="H1711">
        <v>4</v>
      </c>
      <c r="I1711">
        <v>62</v>
      </c>
      <c r="K1711" s="122">
        <v>45492</v>
      </c>
      <c r="L1711" t="s">
        <v>739</v>
      </c>
      <c r="M1711">
        <v>5.7</v>
      </c>
    </row>
    <row r="1712" spans="1:13" hidden="1" x14ac:dyDescent="0.35">
      <c r="A1712" t="s">
        <v>34</v>
      </c>
      <c r="D1712" t="s">
        <v>38</v>
      </c>
      <c r="F1712">
        <v>6</v>
      </c>
      <c r="G1712">
        <v>8</v>
      </c>
      <c r="H1712">
        <v>4</v>
      </c>
      <c r="I1712">
        <v>62</v>
      </c>
      <c r="K1712" s="122">
        <v>45509</v>
      </c>
      <c r="L1712" t="s">
        <v>737</v>
      </c>
      <c r="M1712">
        <v>6.9</v>
      </c>
    </row>
    <row r="1713" spans="1:13" hidden="1" x14ac:dyDescent="0.35">
      <c r="A1713" t="s">
        <v>34</v>
      </c>
      <c r="D1713" t="s">
        <v>38</v>
      </c>
      <c r="F1713">
        <v>6</v>
      </c>
      <c r="G1713">
        <v>8</v>
      </c>
      <c r="H1713">
        <v>4</v>
      </c>
      <c r="I1713">
        <v>62</v>
      </c>
      <c r="K1713" s="122">
        <v>45509</v>
      </c>
      <c r="L1713" t="s">
        <v>738</v>
      </c>
      <c r="M1713">
        <v>6.9</v>
      </c>
    </row>
    <row r="1714" spans="1:13" hidden="1" x14ac:dyDescent="0.35">
      <c r="A1714" t="s">
        <v>34</v>
      </c>
      <c r="D1714" t="s">
        <v>38</v>
      </c>
      <c r="F1714">
        <v>6</v>
      </c>
      <c r="G1714">
        <v>8</v>
      </c>
      <c r="H1714">
        <v>4</v>
      </c>
      <c r="I1714">
        <v>62</v>
      </c>
      <c r="K1714" s="122">
        <v>45509</v>
      </c>
      <c r="L1714" t="s">
        <v>739</v>
      </c>
      <c r="M1714">
        <v>6.9</v>
      </c>
    </row>
    <row r="1715" spans="1:13" hidden="1" x14ac:dyDescent="0.35">
      <c r="A1715" t="s">
        <v>34</v>
      </c>
      <c r="D1715" t="s">
        <v>38</v>
      </c>
      <c r="F1715">
        <v>6</v>
      </c>
      <c r="G1715">
        <v>8</v>
      </c>
      <c r="H1715">
        <v>4</v>
      </c>
      <c r="I1715">
        <v>62</v>
      </c>
      <c r="K1715" s="122">
        <v>45519</v>
      </c>
      <c r="L1715" t="s">
        <v>737</v>
      </c>
      <c r="M1715">
        <v>7.6</v>
      </c>
    </row>
    <row r="1716" spans="1:13" hidden="1" x14ac:dyDescent="0.35">
      <c r="A1716" t="s">
        <v>34</v>
      </c>
      <c r="D1716" t="s">
        <v>38</v>
      </c>
      <c r="F1716">
        <v>6</v>
      </c>
      <c r="G1716">
        <v>8</v>
      </c>
      <c r="H1716">
        <v>4</v>
      </c>
      <c r="I1716">
        <v>62</v>
      </c>
      <c r="K1716" s="122">
        <v>45519</v>
      </c>
      <c r="L1716" t="s">
        <v>738</v>
      </c>
      <c r="M1716">
        <v>7.7</v>
      </c>
    </row>
    <row r="1717" spans="1:13" hidden="1" x14ac:dyDescent="0.35">
      <c r="A1717" t="s">
        <v>34</v>
      </c>
      <c r="D1717" t="s">
        <v>38</v>
      </c>
      <c r="F1717">
        <v>6</v>
      </c>
      <c r="G1717">
        <v>8</v>
      </c>
      <c r="H1717">
        <v>4</v>
      </c>
      <c r="I1717">
        <v>62</v>
      </c>
      <c r="K1717" s="122">
        <v>45519</v>
      </c>
      <c r="L1717" t="s">
        <v>739</v>
      </c>
      <c r="M1717">
        <v>7.8</v>
      </c>
    </row>
    <row r="1718" spans="1:13" hidden="1" x14ac:dyDescent="0.35">
      <c r="A1718" t="s">
        <v>34</v>
      </c>
      <c r="D1718" t="s">
        <v>38</v>
      </c>
      <c r="F1718">
        <v>6</v>
      </c>
      <c r="G1718">
        <v>8</v>
      </c>
      <c r="H1718">
        <v>4</v>
      </c>
      <c r="I1718">
        <v>62</v>
      </c>
      <c r="K1718" s="122">
        <v>45530</v>
      </c>
      <c r="L1718" t="s">
        <v>737</v>
      </c>
      <c r="M1718">
        <v>8.4</v>
      </c>
    </row>
    <row r="1719" spans="1:13" hidden="1" x14ac:dyDescent="0.35">
      <c r="A1719" t="s">
        <v>34</v>
      </c>
      <c r="D1719" t="s">
        <v>38</v>
      </c>
      <c r="F1719">
        <v>6</v>
      </c>
      <c r="G1719">
        <v>8</v>
      </c>
      <c r="H1719">
        <v>4</v>
      </c>
      <c r="I1719">
        <v>62</v>
      </c>
      <c r="K1719" s="122">
        <v>45530</v>
      </c>
      <c r="L1719" t="s">
        <v>738</v>
      </c>
      <c r="M1719">
        <v>8.9</v>
      </c>
    </row>
    <row r="1720" spans="1:13" hidden="1" x14ac:dyDescent="0.35">
      <c r="A1720" t="s">
        <v>34</v>
      </c>
      <c r="D1720" t="s">
        <v>38</v>
      </c>
      <c r="F1720">
        <v>6</v>
      </c>
      <c r="G1720">
        <v>8</v>
      </c>
      <c r="H1720">
        <v>4</v>
      </c>
      <c r="I1720">
        <v>62</v>
      </c>
      <c r="K1720" s="122">
        <v>45530</v>
      </c>
      <c r="L1720" t="s">
        <v>739</v>
      </c>
      <c r="M1720">
        <v>8.9</v>
      </c>
    </row>
    <row r="1721" spans="1:13" hidden="1" x14ac:dyDescent="0.35">
      <c r="A1721" t="s">
        <v>34</v>
      </c>
      <c r="D1721" t="s">
        <v>38</v>
      </c>
      <c r="F1721">
        <v>6</v>
      </c>
      <c r="G1721">
        <v>8</v>
      </c>
      <c r="H1721">
        <v>4</v>
      </c>
      <c r="I1721">
        <v>62</v>
      </c>
      <c r="K1721" s="122">
        <v>45538</v>
      </c>
      <c r="L1721" t="s">
        <v>737</v>
      </c>
      <c r="M1721">
        <v>9.6</v>
      </c>
    </row>
    <row r="1722" spans="1:13" hidden="1" x14ac:dyDescent="0.35">
      <c r="A1722" t="s">
        <v>34</v>
      </c>
      <c r="D1722" t="s">
        <v>38</v>
      </c>
      <c r="F1722">
        <v>6</v>
      </c>
      <c r="G1722">
        <v>8</v>
      </c>
      <c r="H1722">
        <v>4</v>
      </c>
      <c r="I1722">
        <v>62</v>
      </c>
      <c r="K1722" s="122">
        <v>45538</v>
      </c>
      <c r="L1722" t="s">
        <v>738</v>
      </c>
      <c r="M1722">
        <v>9.6</v>
      </c>
    </row>
    <row r="1723" spans="1:13" hidden="1" x14ac:dyDescent="0.35">
      <c r="A1723" t="s">
        <v>34</v>
      </c>
      <c r="D1723" t="s">
        <v>38</v>
      </c>
      <c r="F1723">
        <v>6</v>
      </c>
      <c r="G1723">
        <v>8</v>
      </c>
      <c r="H1723">
        <v>4</v>
      </c>
      <c r="I1723">
        <v>62</v>
      </c>
      <c r="K1723" s="122">
        <v>45538</v>
      </c>
      <c r="L1723" t="s">
        <v>739</v>
      </c>
      <c r="M1723">
        <v>9.9</v>
      </c>
    </row>
    <row r="1724" spans="1:13" hidden="1" x14ac:dyDescent="0.35">
      <c r="A1724" t="s">
        <v>34</v>
      </c>
      <c r="D1724" t="s">
        <v>38</v>
      </c>
      <c r="F1724">
        <v>6</v>
      </c>
      <c r="G1724">
        <v>8</v>
      </c>
      <c r="H1724">
        <v>4</v>
      </c>
      <c r="I1724">
        <v>62</v>
      </c>
      <c r="K1724" s="122">
        <v>45547</v>
      </c>
      <c r="L1724" t="s">
        <v>737</v>
      </c>
      <c r="M1724">
        <v>10</v>
      </c>
    </row>
    <row r="1725" spans="1:13" hidden="1" x14ac:dyDescent="0.35">
      <c r="A1725" t="s">
        <v>34</v>
      </c>
      <c r="D1725" t="s">
        <v>38</v>
      </c>
      <c r="F1725">
        <v>6</v>
      </c>
      <c r="G1725">
        <v>8</v>
      </c>
      <c r="H1725">
        <v>4</v>
      </c>
      <c r="I1725">
        <v>62</v>
      </c>
      <c r="K1725" s="122">
        <v>45547</v>
      </c>
      <c r="L1725" t="s">
        <v>738</v>
      </c>
      <c r="M1725">
        <v>10</v>
      </c>
    </row>
    <row r="1726" spans="1:13" hidden="1" x14ac:dyDescent="0.35">
      <c r="A1726" t="s">
        <v>34</v>
      </c>
      <c r="D1726" t="s">
        <v>38</v>
      </c>
      <c r="F1726">
        <v>6</v>
      </c>
      <c r="G1726">
        <v>8</v>
      </c>
      <c r="H1726">
        <v>4</v>
      </c>
      <c r="I1726">
        <v>62</v>
      </c>
      <c r="K1726" s="122">
        <v>45547</v>
      </c>
      <c r="L1726" t="s">
        <v>739</v>
      </c>
      <c r="M1726">
        <v>10</v>
      </c>
    </row>
    <row r="1727" spans="1:13" hidden="1" x14ac:dyDescent="0.35">
      <c r="A1727" t="s">
        <v>34</v>
      </c>
      <c r="D1727" t="s">
        <v>38</v>
      </c>
      <c r="F1727">
        <v>6</v>
      </c>
      <c r="G1727">
        <v>8</v>
      </c>
      <c r="H1727">
        <v>4</v>
      </c>
      <c r="I1727">
        <v>62</v>
      </c>
      <c r="K1727" s="122">
        <v>45555</v>
      </c>
      <c r="L1727" t="s">
        <v>737</v>
      </c>
    </row>
    <row r="1728" spans="1:13" hidden="1" x14ac:dyDescent="0.35">
      <c r="A1728" t="s">
        <v>34</v>
      </c>
      <c r="D1728" t="s">
        <v>38</v>
      </c>
      <c r="F1728">
        <v>6</v>
      </c>
      <c r="G1728">
        <v>8</v>
      </c>
      <c r="H1728">
        <v>4</v>
      </c>
      <c r="I1728">
        <v>62</v>
      </c>
      <c r="K1728" s="122">
        <v>45555</v>
      </c>
      <c r="L1728" t="s">
        <v>738</v>
      </c>
    </row>
    <row r="1729" spans="1:13" hidden="1" x14ac:dyDescent="0.35">
      <c r="A1729" t="s">
        <v>34</v>
      </c>
      <c r="D1729" t="s">
        <v>38</v>
      </c>
      <c r="F1729">
        <v>6</v>
      </c>
      <c r="G1729">
        <v>8</v>
      </c>
      <c r="H1729">
        <v>4</v>
      </c>
      <c r="I1729">
        <v>62</v>
      </c>
      <c r="K1729" s="122">
        <v>45555</v>
      </c>
      <c r="L1729" t="s">
        <v>739</v>
      </c>
    </row>
    <row r="1730" spans="1:13" hidden="1" x14ac:dyDescent="0.35">
      <c r="A1730" t="s">
        <v>24</v>
      </c>
      <c r="D1730" t="s">
        <v>28</v>
      </c>
      <c r="F1730">
        <v>7</v>
      </c>
      <c r="G1730">
        <v>1</v>
      </c>
      <c r="H1730">
        <v>1</v>
      </c>
      <c r="I1730">
        <v>7</v>
      </c>
      <c r="K1730" s="122">
        <v>45442</v>
      </c>
      <c r="L1730" t="s">
        <v>737</v>
      </c>
      <c r="M1730">
        <v>4.5</v>
      </c>
    </row>
    <row r="1731" spans="1:13" hidden="1" x14ac:dyDescent="0.35">
      <c r="A1731" t="s">
        <v>24</v>
      </c>
      <c r="D1731" t="s">
        <v>28</v>
      </c>
      <c r="F1731">
        <v>7</v>
      </c>
      <c r="G1731">
        <v>1</v>
      </c>
      <c r="H1731">
        <v>1</v>
      </c>
      <c r="I1731">
        <v>7</v>
      </c>
      <c r="K1731" s="122">
        <v>45442</v>
      </c>
      <c r="L1731" t="s">
        <v>738</v>
      </c>
      <c r="M1731">
        <v>4.5</v>
      </c>
    </row>
    <row r="1732" spans="1:13" hidden="1" x14ac:dyDescent="0.35">
      <c r="A1732" t="s">
        <v>24</v>
      </c>
      <c r="D1732" t="s">
        <v>28</v>
      </c>
      <c r="F1732">
        <v>7</v>
      </c>
      <c r="G1732">
        <v>1</v>
      </c>
      <c r="H1732">
        <v>1</v>
      </c>
      <c r="I1732">
        <v>7</v>
      </c>
      <c r="K1732" s="122">
        <v>45442</v>
      </c>
      <c r="L1732" t="s">
        <v>739</v>
      </c>
      <c r="M1732">
        <v>4.5999999999999996</v>
      </c>
    </row>
    <row r="1733" spans="1:13" hidden="1" x14ac:dyDescent="0.35">
      <c r="A1733" t="s">
        <v>24</v>
      </c>
      <c r="D1733" t="s">
        <v>28</v>
      </c>
      <c r="F1733">
        <v>7</v>
      </c>
      <c r="G1733">
        <v>1</v>
      </c>
      <c r="H1733">
        <v>1</v>
      </c>
      <c r="I1733">
        <v>7</v>
      </c>
      <c r="K1733" s="122">
        <v>45447</v>
      </c>
      <c r="L1733" t="s">
        <v>737</v>
      </c>
      <c r="M1733">
        <v>5.3</v>
      </c>
    </row>
    <row r="1734" spans="1:13" hidden="1" x14ac:dyDescent="0.35">
      <c r="A1734" t="s">
        <v>24</v>
      </c>
      <c r="D1734" t="s">
        <v>28</v>
      </c>
      <c r="F1734">
        <v>7</v>
      </c>
      <c r="G1734">
        <v>1</v>
      </c>
      <c r="H1734">
        <v>1</v>
      </c>
      <c r="I1734">
        <v>7</v>
      </c>
      <c r="K1734" s="122">
        <v>45447</v>
      </c>
      <c r="L1734" t="s">
        <v>738</v>
      </c>
      <c r="M1734">
        <v>5.2</v>
      </c>
    </row>
    <row r="1735" spans="1:13" hidden="1" x14ac:dyDescent="0.35">
      <c r="A1735" t="s">
        <v>24</v>
      </c>
      <c r="D1735" t="s">
        <v>28</v>
      </c>
      <c r="F1735">
        <v>7</v>
      </c>
      <c r="G1735">
        <v>1</v>
      </c>
      <c r="H1735">
        <v>1</v>
      </c>
      <c r="I1735">
        <v>7</v>
      </c>
      <c r="K1735" s="122">
        <v>45447</v>
      </c>
      <c r="L1735" t="s">
        <v>739</v>
      </c>
      <c r="M1735">
        <v>5.2</v>
      </c>
    </row>
    <row r="1736" spans="1:13" hidden="1" x14ac:dyDescent="0.35">
      <c r="A1736" t="s">
        <v>24</v>
      </c>
      <c r="D1736" t="s">
        <v>28</v>
      </c>
      <c r="F1736">
        <v>7</v>
      </c>
      <c r="G1736">
        <v>1</v>
      </c>
      <c r="H1736">
        <v>1</v>
      </c>
      <c r="I1736">
        <v>7</v>
      </c>
      <c r="K1736" s="122">
        <v>45462</v>
      </c>
      <c r="L1736" t="s">
        <v>737</v>
      </c>
      <c r="M1736">
        <v>5.8</v>
      </c>
    </row>
    <row r="1737" spans="1:13" hidden="1" x14ac:dyDescent="0.35">
      <c r="A1737" t="s">
        <v>24</v>
      </c>
      <c r="D1737" t="s">
        <v>28</v>
      </c>
      <c r="F1737">
        <v>7</v>
      </c>
      <c r="G1737">
        <v>1</v>
      </c>
      <c r="H1737">
        <v>1</v>
      </c>
      <c r="I1737">
        <v>7</v>
      </c>
      <c r="K1737" s="122">
        <v>45462</v>
      </c>
      <c r="L1737" t="s">
        <v>738</v>
      </c>
      <c r="M1737">
        <v>5.3</v>
      </c>
    </row>
    <row r="1738" spans="1:13" hidden="1" x14ac:dyDescent="0.35">
      <c r="A1738" t="s">
        <v>24</v>
      </c>
      <c r="D1738" t="s">
        <v>28</v>
      </c>
      <c r="F1738">
        <v>7</v>
      </c>
      <c r="G1738">
        <v>1</v>
      </c>
      <c r="H1738">
        <v>1</v>
      </c>
      <c r="I1738">
        <v>7</v>
      </c>
      <c r="K1738" s="122">
        <v>45462</v>
      </c>
      <c r="L1738" t="s">
        <v>739</v>
      </c>
      <c r="M1738">
        <v>5.3</v>
      </c>
    </row>
    <row r="1739" spans="1:13" hidden="1" x14ac:dyDescent="0.35">
      <c r="A1739" t="s">
        <v>24</v>
      </c>
      <c r="D1739" t="s">
        <v>28</v>
      </c>
      <c r="F1739">
        <v>7</v>
      </c>
      <c r="G1739">
        <v>1</v>
      </c>
      <c r="H1739">
        <v>1</v>
      </c>
      <c r="I1739">
        <v>7</v>
      </c>
      <c r="K1739" s="122">
        <v>45477</v>
      </c>
      <c r="L1739" t="s">
        <v>737</v>
      </c>
    </row>
    <row r="1740" spans="1:13" hidden="1" x14ac:dyDescent="0.35">
      <c r="A1740" t="s">
        <v>24</v>
      </c>
      <c r="D1740" t="s">
        <v>28</v>
      </c>
      <c r="F1740">
        <v>7</v>
      </c>
      <c r="G1740">
        <v>1</v>
      </c>
      <c r="H1740">
        <v>1</v>
      </c>
      <c r="I1740">
        <v>7</v>
      </c>
      <c r="K1740" s="122">
        <v>45477</v>
      </c>
      <c r="L1740" t="s">
        <v>738</v>
      </c>
    </row>
    <row r="1741" spans="1:13" hidden="1" x14ac:dyDescent="0.35">
      <c r="A1741" t="s">
        <v>24</v>
      </c>
      <c r="D1741" t="s">
        <v>28</v>
      </c>
      <c r="F1741">
        <v>7</v>
      </c>
      <c r="G1741">
        <v>1</v>
      </c>
      <c r="H1741">
        <v>1</v>
      </c>
      <c r="I1741">
        <v>7</v>
      </c>
      <c r="K1741" s="122">
        <v>45477</v>
      </c>
      <c r="L1741" t="s">
        <v>739</v>
      </c>
    </row>
    <row r="1742" spans="1:13" hidden="1" x14ac:dyDescent="0.35">
      <c r="A1742" t="s">
        <v>24</v>
      </c>
      <c r="D1742" t="s">
        <v>28</v>
      </c>
      <c r="F1742">
        <v>7</v>
      </c>
      <c r="G1742">
        <v>1</v>
      </c>
      <c r="H1742">
        <v>1</v>
      </c>
      <c r="I1742">
        <v>7</v>
      </c>
      <c r="K1742" s="122">
        <v>45485</v>
      </c>
      <c r="L1742" t="s">
        <v>737</v>
      </c>
      <c r="M1742">
        <v>7.1</v>
      </c>
    </row>
    <row r="1743" spans="1:13" hidden="1" x14ac:dyDescent="0.35">
      <c r="A1743" t="s">
        <v>24</v>
      </c>
      <c r="D1743" t="s">
        <v>28</v>
      </c>
      <c r="F1743">
        <v>7</v>
      </c>
      <c r="G1743">
        <v>1</v>
      </c>
      <c r="H1743">
        <v>1</v>
      </c>
      <c r="I1743">
        <v>7</v>
      </c>
      <c r="K1743" s="122">
        <v>45485</v>
      </c>
      <c r="L1743" t="s">
        <v>738</v>
      </c>
      <c r="M1743">
        <v>7.4</v>
      </c>
    </row>
    <row r="1744" spans="1:13" hidden="1" x14ac:dyDescent="0.35">
      <c r="A1744" t="s">
        <v>24</v>
      </c>
      <c r="D1744" t="s">
        <v>28</v>
      </c>
      <c r="F1744">
        <v>7</v>
      </c>
      <c r="G1744">
        <v>1</v>
      </c>
      <c r="H1744">
        <v>1</v>
      </c>
      <c r="I1744">
        <v>7</v>
      </c>
      <c r="K1744" s="122">
        <v>45485</v>
      </c>
      <c r="L1744" t="s">
        <v>739</v>
      </c>
      <c r="M1744">
        <v>6.8</v>
      </c>
    </row>
    <row r="1745" spans="1:13" hidden="1" x14ac:dyDescent="0.35">
      <c r="A1745" t="s">
        <v>24</v>
      </c>
      <c r="D1745" t="s">
        <v>28</v>
      </c>
      <c r="F1745">
        <v>7</v>
      </c>
      <c r="G1745">
        <v>1</v>
      </c>
      <c r="H1745">
        <v>1</v>
      </c>
      <c r="I1745">
        <v>7</v>
      </c>
      <c r="K1745" s="122">
        <v>45492</v>
      </c>
      <c r="L1745" t="s">
        <v>737</v>
      </c>
      <c r="M1745">
        <v>7.3</v>
      </c>
    </row>
    <row r="1746" spans="1:13" hidden="1" x14ac:dyDescent="0.35">
      <c r="A1746" t="s">
        <v>24</v>
      </c>
      <c r="D1746" t="s">
        <v>28</v>
      </c>
      <c r="F1746">
        <v>7</v>
      </c>
      <c r="G1746">
        <v>1</v>
      </c>
      <c r="H1746">
        <v>1</v>
      </c>
      <c r="I1746">
        <v>7</v>
      </c>
      <c r="K1746" s="122">
        <v>45492</v>
      </c>
      <c r="L1746" t="s">
        <v>738</v>
      </c>
      <c r="M1746">
        <v>7.5</v>
      </c>
    </row>
    <row r="1747" spans="1:13" hidden="1" x14ac:dyDescent="0.35">
      <c r="A1747" t="s">
        <v>24</v>
      </c>
      <c r="D1747" t="s">
        <v>28</v>
      </c>
      <c r="F1747">
        <v>7</v>
      </c>
      <c r="G1747">
        <v>1</v>
      </c>
      <c r="H1747">
        <v>1</v>
      </c>
      <c r="I1747">
        <v>7</v>
      </c>
      <c r="K1747" s="122">
        <v>45492</v>
      </c>
      <c r="L1747" t="s">
        <v>739</v>
      </c>
      <c r="M1747">
        <v>7.9</v>
      </c>
    </row>
    <row r="1748" spans="1:13" hidden="1" x14ac:dyDescent="0.35">
      <c r="A1748" t="s">
        <v>24</v>
      </c>
      <c r="D1748" t="s">
        <v>28</v>
      </c>
      <c r="F1748">
        <v>7</v>
      </c>
      <c r="G1748">
        <v>1</v>
      </c>
      <c r="H1748">
        <v>1</v>
      </c>
      <c r="I1748">
        <v>7</v>
      </c>
      <c r="K1748" s="122">
        <v>45509</v>
      </c>
      <c r="L1748" t="s">
        <v>737</v>
      </c>
      <c r="M1748">
        <v>9.3000000000000007</v>
      </c>
    </row>
    <row r="1749" spans="1:13" hidden="1" x14ac:dyDescent="0.35">
      <c r="A1749" t="s">
        <v>24</v>
      </c>
      <c r="D1749" t="s">
        <v>28</v>
      </c>
      <c r="F1749">
        <v>7</v>
      </c>
      <c r="G1749">
        <v>1</v>
      </c>
      <c r="H1749">
        <v>1</v>
      </c>
      <c r="I1749">
        <v>7</v>
      </c>
      <c r="K1749" s="122">
        <v>45509</v>
      </c>
      <c r="L1749" t="s">
        <v>738</v>
      </c>
      <c r="M1749">
        <v>8.3000000000000007</v>
      </c>
    </row>
    <row r="1750" spans="1:13" hidden="1" x14ac:dyDescent="0.35">
      <c r="A1750" t="s">
        <v>24</v>
      </c>
      <c r="D1750" t="s">
        <v>28</v>
      </c>
      <c r="F1750">
        <v>7</v>
      </c>
      <c r="G1750">
        <v>1</v>
      </c>
      <c r="H1750">
        <v>1</v>
      </c>
      <c r="I1750">
        <v>7</v>
      </c>
      <c r="K1750" s="122">
        <v>45509</v>
      </c>
      <c r="L1750" t="s">
        <v>739</v>
      </c>
    </row>
    <row r="1751" spans="1:13" hidden="1" x14ac:dyDescent="0.35">
      <c r="A1751" t="s">
        <v>24</v>
      </c>
      <c r="D1751" t="s">
        <v>28</v>
      </c>
      <c r="F1751">
        <v>7</v>
      </c>
      <c r="G1751">
        <v>1</v>
      </c>
      <c r="H1751">
        <v>1</v>
      </c>
      <c r="I1751">
        <v>7</v>
      </c>
      <c r="K1751" s="122">
        <v>45519</v>
      </c>
      <c r="L1751" t="s">
        <v>737</v>
      </c>
      <c r="M1751">
        <v>9.6</v>
      </c>
    </row>
    <row r="1752" spans="1:13" hidden="1" x14ac:dyDescent="0.35">
      <c r="A1752" t="s">
        <v>24</v>
      </c>
      <c r="D1752" t="s">
        <v>28</v>
      </c>
      <c r="F1752">
        <v>7</v>
      </c>
      <c r="G1752">
        <v>1</v>
      </c>
      <c r="H1752">
        <v>1</v>
      </c>
      <c r="I1752">
        <v>7</v>
      </c>
      <c r="K1752" s="122">
        <v>45519</v>
      </c>
      <c r="L1752" t="s">
        <v>738</v>
      </c>
      <c r="M1752">
        <v>9.8000000000000007</v>
      </c>
    </row>
    <row r="1753" spans="1:13" hidden="1" x14ac:dyDescent="0.35">
      <c r="A1753" t="s">
        <v>24</v>
      </c>
      <c r="D1753" t="s">
        <v>28</v>
      </c>
      <c r="F1753">
        <v>7</v>
      </c>
      <c r="G1753">
        <v>1</v>
      </c>
      <c r="H1753">
        <v>1</v>
      </c>
      <c r="I1753">
        <v>7</v>
      </c>
      <c r="K1753" s="122">
        <v>45519</v>
      </c>
      <c r="L1753" t="s">
        <v>739</v>
      </c>
      <c r="M1753">
        <v>9.1</v>
      </c>
    </row>
    <row r="1754" spans="1:13" hidden="1" x14ac:dyDescent="0.35">
      <c r="A1754" t="s">
        <v>24</v>
      </c>
      <c r="D1754" t="s">
        <v>28</v>
      </c>
      <c r="F1754">
        <v>7</v>
      </c>
      <c r="G1754">
        <v>1</v>
      </c>
      <c r="H1754">
        <v>1</v>
      </c>
      <c r="I1754">
        <v>7</v>
      </c>
      <c r="K1754" s="122">
        <v>45530</v>
      </c>
      <c r="L1754" t="s">
        <v>737</v>
      </c>
      <c r="M1754">
        <v>10.7</v>
      </c>
    </row>
    <row r="1755" spans="1:13" hidden="1" x14ac:dyDescent="0.35">
      <c r="A1755" t="s">
        <v>24</v>
      </c>
      <c r="D1755" t="s">
        <v>28</v>
      </c>
      <c r="F1755">
        <v>7</v>
      </c>
      <c r="G1755">
        <v>1</v>
      </c>
      <c r="H1755">
        <v>1</v>
      </c>
      <c r="I1755">
        <v>7</v>
      </c>
      <c r="K1755" s="122">
        <v>45530</v>
      </c>
      <c r="L1755" t="s">
        <v>738</v>
      </c>
      <c r="M1755">
        <v>11.1</v>
      </c>
    </row>
    <row r="1756" spans="1:13" hidden="1" x14ac:dyDescent="0.35">
      <c r="A1756" t="s">
        <v>24</v>
      </c>
      <c r="D1756" t="s">
        <v>28</v>
      </c>
      <c r="F1756">
        <v>7</v>
      </c>
      <c r="G1756">
        <v>1</v>
      </c>
      <c r="H1756">
        <v>1</v>
      </c>
      <c r="I1756">
        <v>7</v>
      </c>
      <c r="K1756" s="122">
        <v>45530</v>
      </c>
      <c r="L1756" t="s">
        <v>739</v>
      </c>
      <c r="M1756">
        <v>10.9</v>
      </c>
    </row>
    <row r="1757" spans="1:13" hidden="1" x14ac:dyDescent="0.35">
      <c r="A1757" t="s">
        <v>24</v>
      </c>
      <c r="D1757" t="s">
        <v>28</v>
      </c>
      <c r="F1757">
        <v>7</v>
      </c>
      <c r="G1757">
        <v>1</v>
      </c>
      <c r="H1757">
        <v>1</v>
      </c>
      <c r="I1757">
        <v>7</v>
      </c>
      <c r="K1757" s="122">
        <v>45538</v>
      </c>
      <c r="L1757" t="s">
        <v>737</v>
      </c>
      <c r="M1757">
        <v>11.2</v>
      </c>
    </row>
    <row r="1758" spans="1:13" hidden="1" x14ac:dyDescent="0.35">
      <c r="A1758" t="s">
        <v>24</v>
      </c>
      <c r="D1758" t="s">
        <v>28</v>
      </c>
      <c r="F1758">
        <v>7</v>
      </c>
      <c r="G1758">
        <v>1</v>
      </c>
      <c r="H1758">
        <v>1</v>
      </c>
      <c r="I1758">
        <v>7</v>
      </c>
      <c r="K1758" s="122">
        <v>45538</v>
      </c>
      <c r="L1758" t="s">
        <v>738</v>
      </c>
      <c r="M1758">
        <v>11.7</v>
      </c>
    </row>
    <row r="1759" spans="1:13" hidden="1" x14ac:dyDescent="0.35">
      <c r="A1759" t="s">
        <v>24</v>
      </c>
      <c r="D1759" t="s">
        <v>28</v>
      </c>
      <c r="F1759">
        <v>7</v>
      </c>
      <c r="G1759">
        <v>1</v>
      </c>
      <c r="H1759">
        <v>1</v>
      </c>
      <c r="I1759">
        <v>7</v>
      </c>
      <c r="K1759" s="122">
        <v>45538</v>
      </c>
      <c r="L1759" t="s">
        <v>739</v>
      </c>
      <c r="M1759">
        <v>11.6</v>
      </c>
    </row>
    <row r="1760" spans="1:13" hidden="1" x14ac:dyDescent="0.35">
      <c r="A1760" t="s">
        <v>24</v>
      </c>
      <c r="D1760" t="s">
        <v>28</v>
      </c>
      <c r="F1760">
        <v>7</v>
      </c>
      <c r="G1760">
        <v>1</v>
      </c>
      <c r="H1760">
        <v>1</v>
      </c>
      <c r="I1760">
        <v>7</v>
      </c>
      <c r="K1760" s="122">
        <v>45547</v>
      </c>
      <c r="L1760" t="s">
        <v>737</v>
      </c>
      <c r="M1760">
        <v>12</v>
      </c>
    </row>
    <row r="1761" spans="1:13" hidden="1" x14ac:dyDescent="0.35">
      <c r="A1761" t="s">
        <v>24</v>
      </c>
      <c r="D1761" t="s">
        <v>28</v>
      </c>
      <c r="F1761">
        <v>7</v>
      </c>
      <c r="G1761">
        <v>1</v>
      </c>
      <c r="H1761">
        <v>1</v>
      </c>
      <c r="I1761">
        <v>7</v>
      </c>
      <c r="K1761" s="122">
        <v>45547</v>
      </c>
      <c r="L1761" t="s">
        <v>738</v>
      </c>
      <c r="M1761">
        <v>12</v>
      </c>
    </row>
    <row r="1762" spans="1:13" hidden="1" x14ac:dyDescent="0.35">
      <c r="A1762" t="s">
        <v>24</v>
      </c>
      <c r="D1762" t="s">
        <v>28</v>
      </c>
      <c r="F1762">
        <v>7</v>
      </c>
      <c r="G1762">
        <v>1</v>
      </c>
      <c r="H1762">
        <v>1</v>
      </c>
      <c r="I1762">
        <v>7</v>
      </c>
      <c r="K1762" s="122">
        <v>45547</v>
      </c>
      <c r="L1762" t="s">
        <v>739</v>
      </c>
      <c r="M1762">
        <v>12</v>
      </c>
    </row>
    <row r="1763" spans="1:13" hidden="1" x14ac:dyDescent="0.35">
      <c r="A1763" t="s">
        <v>24</v>
      </c>
      <c r="D1763" t="s">
        <v>28</v>
      </c>
      <c r="F1763">
        <v>7</v>
      </c>
      <c r="G1763">
        <v>1</v>
      </c>
      <c r="H1763">
        <v>1</v>
      </c>
      <c r="I1763">
        <v>7</v>
      </c>
      <c r="K1763" s="122">
        <v>45555</v>
      </c>
      <c r="L1763" t="s">
        <v>737</v>
      </c>
    </row>
    <row r="1764" spans="1:13" hidden="1" x14ac:dyDescent="0.35">
      <c r="A1764" t="s">
        <v>24</v>
      </c>
      <c r="D1764" t="s">
        <v>28</v>
      </c>
      <c r="F1764">
        <v>7</v>
      </c>
      <c r="G1764">
        <v>1</v>
      </c>
      <c r="H1764">
        <v>1</v>
      </c>
      <c r="I1764">
        <v>7</v>
      </c>
      <c r="K1764" s="122">
        <v>45555</v>
      </c>
      <c r="L1764" t="s">
        <v>738</v>
      </c>
    </row>
    <row r="1765" spans="1:13" hidden="1" x14ac:dyDescent="0.35">
      <c r="A1765" t="s">
        <v>24</v>
      </c>
      <c r="D1765" t="s">
        <v>28</v>
      </c>
      <c r="F1765">
        <v>7</v>
      </c>
      <c r="G1765">
        <v>1</v>
      </c>
      <c r="H1765">
        <v>1</v>
      </c>
      <c r="I1765">
        <v>7</v>
      </c>
      <c r="K1765" s="122">
        <v>45555</v>
      </c>
      <c r="L1765" t="s">
        <v>739</v>
      </c>
    </row>
    <row r="1766" spans="1:13" hidden="1" x14ac:dyDescent="0.35">
      <c r="A1766" t="s">
        <v>34</v>
      </c>
      <c r="D1766" t="s">
        <v>36</v>
      </c>
      <c r="F1766">
        <v>7</v>
      </c>
      <c r="G1766">
        <v>2</v>
      </c>
      <c r="H1766">
        <v>1</v>
      </c>
      <c r="I1766">
        <v>15</v>
      </c>
      <c r="K1766" s="122">
        <v>45442</v>
      </c>
      <c r="L1766" t="s">
        <v>737</v>
      </c>
    </row>
    <row r="1767" spans="1:13" hidden="1" x14ac:dyDescent="0.35">
      <c r="A1767" t="s">
        <v>34</v>
      </c>
      <c r="D1767" t="s">
        <v>36</v>
      </c>
      <c r="F1767">
        <v>7</v>
      </c>
      <c r="G1767">
        <v>2</v>
      </c>
      <c r="H1767">
        <v>1</v>
      </c>
      <c r="I1767">
        <v>15</v>
      </c>
      <c r="K1767" s="122">
        <v>45442</v>
      </c>
      <c r="L1767" t="s">
        <v>738</v>
      </c>
    </row>
    <row r="1768" spans="1:13" hidden="1" x14ac:dyDescent="0.35">
      <c r="A1768" t="s">
        <v>34</v>
      </c>
      <c r="D1768" t="s">
        <v>36</v>
      </c>
      <c r="F1768">
        <v>7</v>
      </c>
      <c r="G1768">
        <v>2</v>
      </c>
      <c r="H1768">
        <v>1</v>
      </c>
      <c r="I1768">
        <v>15</v>
      </c>
      <c r="K1768" s="122">
        <v>45442</v>
      </c>
      <c r="L1768" t="s">
        <v>739</v>
      </c>
    </row>
    <row r="1769" spans="1:13" hidden="1" x14ac:dyDescent="0.35">
      <c r="A1769" t="s">
        <v>34</v>
      </c>
      <c r="D1769" t="s">
        <v>36</v>
      </c>
      <c r="F1769">
        <v>7</v>
      </c>
      <c r="G1769">
        <v>2</v>
      </c>
      <c r="H1769">
        <v>1</v>
      </c>
      <c r="I1769">
        <v>15</v>
      </c>
      <c r="K1769" s="122">
        <v>45447</v>
      </c>
      <c r="L1769" t="s">
        <v>737</v>
      </c>
      <c r="M1769">
        <v>1.9</v>
      </c>
    </row>
    <row r="1770" spans="1:13" hidden="1" x14ac:dyDescent="0.35">
      <c r="A1770" t="s">
        <v>34</v>
      </c>
      <c r="D1770" t="s">
        <v>36</v>
      </c>
      <c r="F1770">
        <v>7</v>
      </c>
      <c r="G1770">
        <v>2</v>
      </c>
      <c r="H1770">
        <v>1</v>
      </c>
      <c r="I1770">
        <v>15</v>
      </c>
      <c r="K1770" s="122">
        <v>45447</v>
      </c>
      <c r="L1770" t="s">
        <v>738</v>
      </c>
      <c r="M1770">
        <v>1.5</v>
      </c>
    </row>
    <row r="1771" spans="1:13" hidden="1" x14ac:dyDescent="0.35">
      <c r="A1771" t="s">
        <v>34</v>
      </c>
      <c r="D1771" t="s">
        <v>36</v>
      </c>
      <c r="F1771">
        <v>7</v>
      </c>
      <c r="G1771">
        <v>2</v>
      </c>
      <c r="H1771">
        <v>1</v>
      </c>
      <c r="I1771">
        <v>15</v>
      </c>
      <c r="K1771" s="122">
        <v>45447</v>
      </c>
      <c r="L1771" t="s">
        <v>739</v>
      </c>
      <c r="M1771">
        <v>1.9</v>
      </c>
    </row>
    <row r="1772" spans="1:13" hidden="1" x14ac:dyDescent="0.35">
      <c r="A1772" t="s">
        <v>34</v>
      </c>
      <c r="D1772" t="s">
        <v>36</v>
      </c>
      <c r="F1772">
        <v>7</v>
      </c>
      <c r="G1772">
        <v>2</v>
      </c>
      <c r="H1772">
        <v>1</v>
      </c>
      <c r="I1772">
        <v>15</v>
      </c>
      <c r="K1772" s="122">
        <v>45462</v>
      </c>
      <c r="L1772" t="s">
        <v>737</v>
      </c>
      <c r="M1772">
        <v>3.2</v>
      </c>
    </row>
    <row r="1773" spans="1:13" hidden="1" x14ac:dyDescent="0.35">
      <c r="A1773" t="s">
        <v>34</v>
      </c>
      <c r="D1773" t="s">
        <v>36</v>
      </c>
      <c r="F1773">
        <v>7</v>
      </c>
      <c r="G1773">
        <v>2</v>
      </c>
      <c r="H1773">
        <v>1</v>
      </c>
      <c r="I1773">
        <v>15</v>
      </c>
      <c r="K1773" s="122">
        <v>45462</v>
      </c>
      <c r="L1773" t="s">
        <v>738</v>
      </c>
      <c r="M1773">
        <v>3.8</v>
      </c>
    </row>
    <row r="1774" spans="1:13" hidden="1" x14ac:dyDescent="0.35">
      <c r="A1774" t="s">
        <v>34</v>
      </c>
      <c r="D1774" t="s">
        <v>36</v>
      </c>
      <c r="F1774">
        <v>7</v>
      </c>
      <c r="G1774">
        <v>2</v>
      </c>
      <c r="H1774">
        <v>1</v>
      </c>
      <c r="I1774">
        <v>15</v>
      </c>
      <c r="K1774" s="122">
        <v>45462</v>
      </c>
      <c r="L1774" t="s">
        <v>739</v>
      </c>
      <c r="M1774">
        <v>3.7</v>
      </c>
    </row>
    <row r="1775" spans="1:13" hidden="1" x14ac:dyDescent="0.35">
      <c r="A1775" t="s">
        <v>34</v>
      </c>
      <c r="D1775" t="s">
        <v>36</v>
      </c>
      <c r="F1775">
        <v>7</v>
      </c>
      <c r="G1775">
        <v>2</v>
      </c>
      <c r="H1775">
        <v>1</v>
      </c>
      <c r="I1775">
        <v>15</v>
      </c>
      <c r="K1775" s="122">
        <v>45477</v>
      </c>
      <c r="L1775" t="s">
        <v>737</v>
      </c>
      <c r="M1775">
        <v>4.7</v>
      </c>
    </row>
    <row r="1776" spans="1:13" hidden="1" x14ac:dyDescent="0.35">
      <c r="A1776" t="s">
        <v>34</v>
      </c>
      <c r="D1776" t="s">
        <v>36</v>
      </c>
      <c r="F1776">
        <v>7</v>
      </c>
      <c r="G1776">
        <v>2</v>
      </c>
      <c r="H1776">
        <v>1</v>
      </c>
      <c r="I1776">
        <v>15</v>
      </c>
      <c r="K1776" s="122">
        <v>45477</v>
      </c>
      <c r="L1776" t="s">
        <v>738</v>
      </c>
      <c r="M1776">
        <v>5</v>
      </c>
    </row>
    <row r="1777" spans="1:13" hidden="1" x14ac:dyDescent="0.35">
      <c r="A1777" t="s">
        <v>34</v>
      </c>
      <c r="D1777" t="s">
        <v>36</v>
      </c>
      <c r="F1777">
        <v>7</v>
      </c>
      <c r="G1777">
        <v>2</v>
      </c>
      <c r="H1777">
        <v>1</v>
      </c>
      <c r="I1777">
        <v>15</v>
      </c>
      <c r="K1777" s="122">
        <v>45477</v>
      </c>
      <c r="L1777" t="s">
        <v>739</v>
      </c>
      <c r="M1777">
        <v>5.3</v>
      </c>
    </row>
    <row r="1778" spans="1:13" hidden="1" x14ac:dyDescent="0.35">
      <c r="A1778" t="s">
        <v>34</v>
      </c>
      <c r="D1778" t="s">
        <v>36</v>
      </c>
      <c r="F1778">
        <v>7</v>
      </c>
      <c r="G1778">
        <v>2</v>
      </c>
      <c r="H1778">
        <v>1</v>
      </c>
      <c r="I1778">
        <v>15</v>
      </c>
      <c r="K1778" s="122">
        <v>45485</v>
      </c>
      <c r="L1778" t="s">
        <v>737</v>
      </c>
    </row>
    <row r="1779" spans="1:13" hidden="1" x14ac:dyDescent="0.35">
      <c r="A1779" t="s">
        <v>34</v>
      </c>
      <c r="D1779" t="s">
        <v>36</v>
      </c>
      <c r="F1779">
        <v>7</v>
      </c>
      <c r="G1779">
        <v>2</v>
      </c>
      <c r="H1779">
        <v>1</v>
      </c>
      <c r="I1779">
        <v>15</v>
      </c>
      <c r="K1779" s="122">
        <v>45485</v>
      </c>
      <c r="L1779" t="s">
        <v>738</v>
      </c>
    </row>
    <row r="1780" spans="1:13" hidden="1" x14ac:dyDescent="0.35">
      <c r="A1780" t="s">
        <v>34</v>
      </c>
      <c r="D1780" t="s">
        <v>36</v>
      </c>
      <c r="F1780">
        <v>7</v>
      </c>
      <c r="G1780">
        <v>2</v>
      </c>
      <c r="H1780">
        <v>1</v>
      </c>
      <c r="I1780">
        <v>15</v>
      </c>
      <c r="K1780" s="122">
        <v>45485</v>
      </c>
      <c r="L1780" t="s">
        <v>739</v>
      </c>
    </row>
    <row r="1781" spans="1:13" hidden="1" x14ac:dyDescent="0.35">
      <c r="A1781" t="s">
        <v>34</v>
      </c>
      <c r="D1781" t="s">
        <v>36</v>
      </c>
      <c r="F1781">
        <v>7</v>
      </c>
      <c r="G1781">
        <v>2</v>
      </c>
      <c r="H1781">
        <v>1</v>
      </c>
      <c r="I1781">
        <v>15</v>
      </c>
      <c r="K1781" s="122">
        <v>45492</v>
      </c>
      <c r="L1781" t="s">
        <v>737</v>
      </c>
      <c r="M1781">
        <v>6.2</v>
      </c>
    </row>
    <row r="1782" spans="1:13" hidden="1" x14ac:dyDescent="0.35">
      <c r="A1782" t="s">
        <v>34</v>
      </c>
      <c r="D1782" t="s">
        <v>36</v>
      </c>
      <c r="F1782">
        <v>7</v>
      </c>
      <c r="G1782">
        <v>2</v>
      </c>
      <c r="H1782">
        <v>1</v>
      </c>
      <c r="I1782">
        <v>15</v>
      </c>
      <c r="K1782" s="122">
        <v>45492</v>
      </c>
      <c r="L1782" t="s">
        <v>738</v>
      </c>
      <c r="M1782">
        <v>6.4</v>
      </c>
    </row>
    <row r="1783" spans="1:13" hidden="1" x14ac:dyDescent="0.35">
      <c r="A1783" t="s">
        <v>34</v>
      </c>
      <c r="D1783" t="s">
        <v>36</v>
      </c>
      <c r="F1783">
        <v>7</v>
      </c>
      <c r="G1783">
        <v>2</v>
      </c>
      <c r="H1783">
        <v>1</v>
      </c>
      <c r="I1783">
        <v>15</v>
      </c>
      <c r="K1783" s="122">
        <v>45492</v>
      </c>
      <c r="L1783" t="s">
        <v>739</v>
      </c>
      <c r="M1783">
        <v>5.7</v>
      </c>
    </row>
    <row r="1784" spans="1:13" hidden="1" x14ac:dyDescent="0.35">
      <c r="A1784" t="s">
        <v>34</v>
      </c>
      <c r="D1784" t="s">
        <v>36</v>
      </c>
      <c r="F1784">
        <v>7</v>
      </c>
      <c r="G1784">
        <v>2</v>
      </c>
      <c r="H1784">
        <v>1</v>
      </c>
      <c r="I1784">
        <v>15</v>
      </c>
      <c r="K1784" s="122">
        <v>45509</v>
      </c>
      <c r="L1784" t="s">
        <v>737</v>
      </c>
      <c r="M1784">
        <v>6.8</v>
      </c>
    </row>
    <row r="1785" spans="1:13" hidden="1" x14ac:dyDescent="0.35">
      <c r="A1785" t="s">
        <v>34</v>
      </c>
      <c r="D1785" t="s">
        <v>36</v>
      </c>
      <c r="F1785">
        <v>7</v>
      </c>
      <c r="G1785">
        <v>2</v>
      </c>
      <c r="H1785">
        <v>1</v>
      </c>
      <c r="I1785">
        <v>15</v>
      </c>
      <c r="K1785" s="122">
        <v>45509</v>
      </c>
      <c r="L1785" t="s">
        <v>738</v>
      </c>
      <c r="M1785">
        <v>7.4</v>
      </c>
    </row>
    <row r="1786" spans="1:13" hidden="1" x14ac:dyDescent="0.35">
      <c r="A1786" t="s">
        <v>34</v>
      </c>
      <c r="D1786" t="s">
        <v>36</v>
      </c>
      <c r="F1786">
        <v>7</v>
      </c>
      <c r="G1786">
        <v>2</v>
      </c>
      <c r="H1786">
        <v>1</v>
      </c>
      <c r="I1786">
        <v>15</v>
      </c>
      <c r="K1786" s="122">
        <v>45509</v>
      </c>
      <c r="L1786" t="s">
        <v>739</v>
      </c>
      <c r="M1786">
        <v>7.9</v>
      </c>
    </row>
    <row r="1787" spans="1:13" hidden="1" x14ac:dyDescent="0.35">
      <c r="A1787" t="s">
        <v>34</v>
      </c>
      <c r="D1787" t="s">
        <v>36</v>
      </c>
      <c r="F1787">
        <v>7</v>
      </c>
      <c r="G1787">
        <v>2</v>
      </c>
      <c r="H1787">
        <v>1</v>
      </c>
      <c r="I1787">
        <v>15</v>
      </c>
      <c r="K1787" s="122">
        <v>45519</v>
      </c>
      <c r="L1787" t="s">
        <v>737</v>
      </c>
      <c r="M1787">
        <v>8.4</v>
      </c>
    </row>
    <row r="1788" spans="1:13" hidden="1" x14ac:dyDescent="0.35">
      <c r="A1788" t="s">
        <v>34</v>
      </c>
      <c r="D1788" t="s">
        <v>36</v>
      </c>
      <c r="F1788">
        <v>7</v>
      </c>
      <c r="G1788">
        <v>2</v>
      </c>
      <c r="H1788">
        <v>1</v>
      </c>
      <c r="I1788">
        <v>15</v>
      </c>
      <c r="K1788" s="122">
        <v>45519</v>
      </c>
      <c r="L1788" t="s">
        <v>738</v>
      </c>
      <c r="M1788">
        <v>7.9</v>
      </c>
    </row>
    <row r="1789" spans="1:13" hidden="1" x14ac:dyDescent="0.35">
      <c r="A1789" t="s">
        <v>34</v>
      </c>
      <c r="D1789" t="s">
        <v>36</v>
      </c>
      <c r="F1789">
        <v>7</v>
      </c>
      <c r="G1789">
        <v>2</v>
      </c>
      <c r="H1789">
        <v>1</v>
      </c>
      <c r="I1789">
        <v>15</v>
      </c>
      <c r="K1789" s="122">
        <v>45519</v>
      </c>
      <c r="L1789" t="s">
        <v>739</v>
      </c>
      <c r="M1789">
        <v>8.8000000000000007</v>
      </c>
    </row>
    <row r="1790" spans="1:13" hidden="1" x14ac:dyDescent="0.35">
      <c r="A1790" t="s">
        <v>34</v>
      </c>
      <c r="D1790" t="s">
        <v>36</v>
      </c>
      <c r="F1790">
        <v>7</v>
      </c>
      <c r="G1790">
        <v>2</v>
      </c>
      <c r="H1790">
        <v>1</v>
      </c>
      <c r="I1790">
        <v>15</v>
      </c>
      <c r="K1790" s="122">
        <v>45530</v>
      </c>
      <c r="L1790" t="s">
        <v>737</v>
      </c>
      <c r="M1790">
        <v>9.8000000000000007</v>
      </c>
    </row>
    <row r="1791" spans="1:13" hidden="1" x14ac:dyDescent="0.35">
      <c r="A1791" t="s">
        <v>34</v>
      </c>
      <c r="D1791" t="s">
        <v>36</v>
      </c>
      <c r="F1791">
        <v>7</v>
      </c>
      <c r="G1791">
        <v>2</v>
      </c>
      <c r="H1791">
        <v>1</v>
      </c>
      <c r="I1791">
        <v>15</v>
      </c>
      <c r="K1791" s="122">
        <v>45530</v>
      </c>
      <c r="L1791" t="s">
        <v>738</v>
      </c>
      <c r="M1791">
        <v>9.1999999999999993</v>
      </c>
    </row>
    <row r="1792" spans="1:13" hidden="1" x14ac:dyDescent="0.35">
      <c r="A1792" t="s">
        <v>34</v>
      </c>
      <c r="D1792" t="s">
        <v>36</v>
      </c>
      <c r="F1792">
        <v>7</v>
      </c>
      <c r="G1792">
        <v>2</v>
      </c>
      <c r="H1792">
        <v>1</v>
      </c>
      <c r="I1792">
        <v>15</v>
      </c>
      <c r="K1792" s="122">
        <v>45530</v>
      </c>
      <c r="L1792" t="s">
        <v>739</v>
      </c>
      <c r="M1792">
        <v>9.9</v>
      </c>
    </row>
    <row r="1793" spans="1:13" hidden="1" x14ac:dyDescent="0.35">
      <c r="A1793" t="s">
        <v>34</v>
      </c>
      <c r="D1793" t="s">
        <v>36</v>
      </c>
      <c r="F1793">
        <v>7</v>
      </c>
      <c r="G1793">
        <v>2</v>
      </c>
      <c r="H1793">
        <v>1</v>
      </c>
      <c r="I1793">
        <v>15</v>
      </c>
      <c r="K1793" s="122">
        <v>45538</v>
      </c>
      <c r="L1793" t="s">
        <v>737</v>
      </c>
      <c r="M1793">
        <v>10.6</v>
      </c>
    </row>
    <row r="1794" spans="1:13" hidden="1" x14ac:dyDescent="0.35">
      <c r="A1794" t="s">
        <v>34</v>
      </c>
      <c r="D1794" t="s">
        <v>36</v>
      </c>
      <c r="F1794">
        <v>7</v>
      </c>
      <c r="G1794">
        <v>2</v>
      </c>
      <c r="H1794">
        <v>1</v>
      </c>
      <c r="I1794">
        <v>15</v>
      </c>
      <c r="K1794" s="122">
        <v>45538</v>
      </c>
      <c r="L1794" t="s">
        <v>738</v>
      </c>
      <c r="M1794">
        <v>10.7</v>
      </c>
    </row>
    <row r="1795" spans="1:13" hidden="1" x14ac:dyDescent="0.35">
      <c r="A1795" t="s">
        <v>34</v>
      </c>
      <c r="D1795" t="s">
        <v>36</v>
      </c>
      <c r="F1795">
        <v>7</v>
      </c>
      <c r="G1795">
        <v>2</v>
      </c>
      <c r="H1795">
        <v>1</v>
      </c>
      <c r="I1795">
        <v>15</v>
      </c>
      <c r="K1795" s="122">
        <v>45538</v>
      </c>
      <c r="L1795" t="s">
        <v>739</v>
      </c>
      <c r="M1795">
        <v>9.8000000000000007</v>
      </c>
    </row>
    <row r="1796" spans="1:13" hidden="1" x14ac:dyDescent="0.35">
      <c r="A1796" t="s">
        <v>34</v>
      </c>
      <c r="D1796" t="s">
        <v>36</v>
      </c>
      <c r="F1796">
        <v>7</v>
      </c>
      <c r="G1796">
        <v>2</v>
      </c>
      <c r="H1796">
        <v>1</v>
      </c>
      <c r="I1796">
        <v>15</v>
      </c>
      <c r="K1796" s="122">
        <v>45547</v>
      </c>
      <c r="L1796" t="s">
        <v>737</v>
      </c>
      <c r="M1796">
        <v>11</v>
      </c>
    </row>
    <row r="1797" spans="1:13" hidden="1" x14ac:dyDescent="0.35">
      <c r="A1797" t="s">
        <v>34</v>
      </c>
      <c r="D1797" t="s">
        <v>36</v>
      </c>
      <c r="F1797">
        <v>7</v>
      </c>
      <c r="G1797">
        <v>2</v>
      </c>
      <c r="H1797">
        <v>1</v>
      </c>
      <c r="I1797">
        <v>15</v>
      </c>
      <c r="K1797" s="122">
        <v>45547</v>
      </c>
      <c r="L1797" t="s">
        <v>738</v>
      </c>
      <c r="M1797">
        <v>11</v>
      </c>
    </row>
    <row r="1798" spans="1:13" hidden="1" x14ac:dyDescent="0.35">
      <c r="A1798" t="s">
        <v>34</v>
      </c>
      <c r="D1798" t="s">
        <v>36</v>
      </c>
      <c r="F1798">
        <v>7</v>
      </c>
      <c r="G1798">
        <v>2</v>
      </c>
      <c r="H1798">
        <v>1</v>
      </c>
      <c r="I1798">
        <v>15</v>
      </c>
      <c r="K1798" s="122">
        <v>45547</v>
      </c>
      <c r="L1798" t="s">
        <v>739</v>
      </c>
      <c r="M1798">
        <v>10</v>
      </c>
    </row>
    <row r="1799" spans="1:13" hidden="1" x14ac:dyDescent="0.35">
      <c r="A1799" t="s">
        <v>34</v>
      </c>
      <c r="D1799" t="s">
        <v>36</v>
      </c>
      <c r="F1799">
        <v>7</v>
      </c>
      <c r="G1799">
        <v>2</v>
      </c>
      <c r="H1799">
        <v>1</v>
      </c>
      <c r="I1799">
        <v>15</v>
      </c>
      <c r="K1799" s="122">
        <v>45555</v>
      </c>
      <c r="L1799" t="s">
        <v>737</v>
      </c>
    </row>
    <row r="1800" spans="1:13" hidden="1" x14ac:dyDescent="0.35">
      <c r="A1800" t="s">
        <v>34</v>
      </c>
      <c r="D1800" t="s">
        <v>36</v>
      </c>
      <c r="F1800">
        <v>7</v>
      </c>
      <c r="G1800">
        <v>2</v>
      </c>
      <c r="H1800">
        <v>1</v>
      </c>
      <c r="I1800">
        <v>15</v>
      </c>
      <c r="K1800" s="122">
        <v>45555</v>
      </c>
      <c r="L1800" t="s">
        <v>738</v>
      </c>
    </row>
    <row r="1801" spans="1:13" hidden="1" x14ac:dyDescent="0.35">
      <c r="A1801" t="s">
        <v>34</v>
      </c>
      <c r="D1801" t="s">
        <v>36</v>
      </c>
      <c r="F1801">
        <v>7</v>
      </c>
      <c r="G1801">
        <v>2</v>
      </c>
      <c r="H1801">
        <v>1</v>
      </c>
      <c r="I1801">
        <v>15</v>
      </c>
      <c r="K1801" s="122">
        <v>45555</v>
      </c>
      <c r="L1801" t="s">
        <v>739</v>
      </c>
    </row>
    <row r="1802" spans="1:13" hidden="1" x14ac:dyDescent="0.35">
      <c r="A1802" t="s">
        <v>24</v>
      </c>
      <c r="D1802" t="s">
        <v>32</v>
      </c>
      <c r="F1802">
        <v>7</v>
      </c>
      <c r="G1802">
        <v>3</v>
      </c>
      <c r="H1802">
        <v>2</v>
      </c>
      <c r="I1802">
        <v>23</v>
      </c>
      <c r="K1802" s="122">
        <v>45442</v>
      </c>
      <c r="L1802" t="s">
        <v>737</v>
      </c>
      <c r="M1802">
        <v>4.7</v>
      </c>
    </row>
    <row r="1803" spans="1:13" hidden="1" x14ac:dyDescent="0.35">
      <c r="A1803" t="s">
        <v>24</v>
      </c>
      <c r="D1803" t="s">
        <v>32</v>
      </c>
      <c r="F1803">
        <v>7</v>
      </c>
      <c r="G1803">
        <v>3</v>
      </c>
      <c r="H1803">
        <v>2</v>
      </c>
      <c r="I1803">
        <v>23</v>
      </c>
      <c r="K1803" s="122">
        <v>45442</v>
      </c>
      <c r="L1803" t="s">
        <v>738</v>
      </c>
      <c r="M1803">
        <v>4.5999999999999996</v>
      </c>
    </row>
    <row r="1804" spans="1:13" hidden="1" x14ac:dyDescent="0.35">
      <c r="A1804" t="s">
        <v>24</v>
      </c>
      <c r="D1804" t="s">
        <v>32</v>
      </c>
      <c r="F1804">
        <v>7</v>
      </c>
      <c r="G1804">
        <v>3</v>
      </c>
      <c r="H1804">
        <v>2</v>
      </c>
      <c r="I1804">
        <v>23</v>
      </c>
      <c r="K1804" s="122">
        <v>45442</v>
      </c>
      <c r="L1804" t="s">
        <v>739</v>
      </c>
      <c r="M1804">
        <v>4.5999999999999996</v>
      </c>
    </row>
    <row r="1805" spans="1:13" hidden="1" x14ac:dyDescent="0.35">
      <c r="A1805" t="s">
        <v>24</v>
      </c>
      <c r="D1805" t="s">
        <v>32</v>
      </c>
      <c r="F1805">
        <v>7</v>
      </c>
      <c r="G1805">
        <v>3</v>
      </c>
      <c r="H1805">
        <v>2</v>
      </c>
      <c r="I1805">
        <v>23</v>
      </c>
      <c r="K1805" s="122">
        <v>45447</v>
      </c>
      <c r="L1805" t="s">
        <v>737</v>
      </c>
      <c r="M1805">
        <v>5.3</v>
      </c>
    </row>
    <row r="1806" spans="1:13" hidden="1" x14ac:dyDescent="0.35">
      <c r="A1806" t="s">
        <v>24</v>
      </c>
      <c r="D1806" t="s">
        <v>32</v>
      </c>
      <c r="F1806">
        <v>7</v>
      </c>
      <c r="G1806">
        <v>3</v>
      </c>
      <c r="H1806">
        <v>2</v>
      </c>
      <c r="I1806">
        <v>23</v>
      </c>
      <c r="K1806" s="122">
        <v>45447</v>
      </c>
      <c r="L1806" t="s">
        <v>738</v>
      </c>
      <c r="M1806">
        <v>5.3</v>
      </c>
    </row>
    <row r="1807" spans="1:13" hidden="1" x14ac:dyDescent="0.35">
      <c r="A1807" t="s">
        <v>24</v>
      </c>
      <c r="D1807" t="s">
        <v>32</v>
      </c>
      <c r="F1807">
        <v>7</v>
      </c>
      <c r="G1807">
        <v>3</v>
      </c>
      <c r="H1807">
        <v>2</v>
      </c>
      <c r="I1807">
        <v>23</v>
      </c>
      <c r="K1807" s="122">
        <v>45447</v>
      </c>
      <c r="L1807" t="s">
        <v>739</v>
      </c>
      <c r="M1807">
        <v>5.2</v>
      </c>
    </row>
    <row r="1808" spans="1:13" hidden="1" x14ac:dyDescent="0.35">
      <c r="A1808" t="s">
        <v>24</v>
      </c>
      <c r="D1808" t="s">
        <v>32</v>
      </c>
      <c r="F1808">
        <v>7</v>
      </c>
      <c r="G1808">
        <v>3</v>
      </c>
      <c r="H1808">
        <v>2</v>
      </c>
      <c r="I1808">
        <v>23</v>
      </c>
      <c r="K1808" s="122">
        <v>45462</v>
      </c>
      <c r="L1808" t="s">
        <v>737</v>
      </c>
      <c r="M1808">
        <v>5.4</v>
      </c>
    </row>
    <row r="1809" spans="1:13" hidden="1" x14ac:dyDescent="0.35">
      <c r="A1809" t="s">
        <v>24</v>
      </c>
      <c r="D1809" t="s">
        <v>32</v>
      </c>
      <c r="F1809">
        <v>7</v>
      </c>
      <c r="G1809">
        <v>3</v>
      </c>
      <c r="H1809">
        <v>2</v>
      </c>
      <c r="I1809">
        <v>23</v>
      </c>
      <c r="K1809" s="122">
        <v>45462</v>
      </c>
      <c r="L1809" t="s">
        <v>738</v>
      </c>
      <c r="M1809">
        <v>5.3</v>
      </c>
    </row>
    <row r="1810" spans="1:13" hidden="1" x14ac:dyDescent="0.35">
      <c r="A1810" t="s">
        <v>24</v>
      </c>
      <c r="D1810" t="s">
        <v>32</v>
      </c>
      <c r="F1810">
        <v>7</v>
      </c>
      <c r="G1810">
        <v>3</v>
      </c>
      <c r="H1810">
        <v>2</v>
      </c>
      <c r="I1810">
        <v>23</v>
      </c>
      <c r="K1810" s="122">
        <v>45462</v>
      </c>
      <c r="L1810" t="s">
        <v>739</v>
      </c>
      <c r="M1810">
        <v>5.3</v>
      </c>
    </row>
    <row r="1811" spans="1:13" hidden="1" x14ac:dyDescent="0.35">
      <c r="A1811" t="s">
        <v>24</v>
      </c>
      <c r="D1811" t="s">
        <v>32</v>
      </c>
      <c r="F1811">
        <v>7</v>
      </c>
      <c r="G1811">
        <v>3</v>
      </c>
      <c r="H1811">
        <v>2</v>
      </c>
      <c r="I1811">
        <v>23</v>
      </c>
      <c r="K1811" s="122">
        <v>45477</v>
      </c>
      <c r="L1811" t="s">
        <v>737</v>
      </c>
    </row>
    <row r="1812" spans="1:13" hidden="1" x14ac:dyDescent="0.35">
      <c r="A1812" t="s">
        <v>24</v>
      </c>
      <c r="D1812" t="s">
        <v>32</v>
      </c>
      <c r="F1812">
        <v>7</v>
      </c>
      <c r="G1812">
        <v>3</v>
      </c>
      <c r="H1812">
        <v>2</v>
      </c>
      <c r="I1812">
        <v>23</v>
      </c>
      <c r="K1812" s="122">
        <v>45477</v>
      </c>
      <c r="L1812" t="s">
        <v>738</v>
      </c>
    </row>
    <row r="1813" spans="1:13" hidden="1" x14ac:dyDescent="0.35">
      <c r="A1813" t="s">
        <v>24</v>
      </c>
      <c r="D1813" t="s">
        <v>32</v>
      </c>
      <c r="F1813">
        <v>7</v>
      </c>
      <c r="G1813">
        <v>3</v>
      </c>
      <c r="H1813">
        <v>2</v>
      </c>
      <c r="I1813">
        <v>23</v>
      </c>
      <c r="K1813" s="122">
        <v>45477</v>
      </c>
      <c r="L1813" t="s">
        <v>739</v>
      </c>
    </row>
    <row r="1814" spans="1:13" hidden="1" x14ac:dyDescent="0.35">
      <c r="A1814" t="s">
        <v>24</v>
      </c>
      <c r="D1814" t="s">
        <v>32</v>
      </c>
      <c r="F1814">
        <v>7</v>
      </c>
      <c r="G1814">
        <v>3</v>
      </c>
      <c r="H1814">
        <v>2</v>
      </c>
      <c r="I1814">
        <v>23</v>
      </c>
      <c r="K1814" s="122">
        <v>45485</v>
      </c>
      <c r="L1814" t="s">
        <v>737</v>
      </c>
      <c r="M1814">
        <v>6.3</v>
      </c>
    </row>
    <row r="1815" spans="1:13" hidden="1" x14ac:dyDescent="0.35">
      <c r="A1815" t="s">
        <v>24</v>
      </c>
      <c r="D1815" t="s">
        <v>32</v>
      </c>
      <c r="F1815">
        <v>7</v>
      </c>
      <c r="G1815">
        <v>3</v>
      </c>
      <c r="H1815">
        <v>2</v>
      </c>
      <c r="I1815">
        <v>23</v>
      </c>
      <c r="K1815" s="122">
        <v>45485</v>
      </c>
      <c r="L1815" t="s">
        <v>738</v>
      </c>
      <c r="M1815">
        <v>6.3</v>
      </c>
    </row>
    <row r="1816" spans="1:13" hidden="1" x14ac:dyDescent="0.35">
      <c r="A1816" t="s">
        <v>24</v>
      </c>
      <c r="D1816" t="s">
        <v>32</v>
      </c>
      <c r="F1816">
        <v>7</v>
      </c>
      <c r="G1816">
        <v>3</v>
      </c>
      <c r="H1816">
        <v>2</v>
      </c>
      <c r="I1816">
        <v>23</v>
      </c>
      <c r="K1816" s="122">
        <v>45485</v>
      </c>
      <c r="L1816" t="s">
        <v>739</v>
      </c>
      <c r="M1816">
        <v>6.3</v>
      </c>
    </row>
    <row r="1817" spans="1:13" hidden="1" x14ac:dyDescent="0.35">
      <c r="A1817" t="s">
        <v>24</v>
      </c>
      <c r="D1817" t="s">
        <v>32</v>
      </c>
      <c r="F1817">
        <v>7</v>
      </c>
      <c r="G1817">
        <v>3</v>
      </c>
      <c r="H1817">
        <v>2</v>
      </c>
      <c r="I1817">
        <v>23</v>
      </c>
      <c r="K1817" s="122">
        <v>45492</v>
      </c>
      <c r="L1817" t="s">
        <v>737</v>
      </c>
      <c r="M1817">
        <v>6.9</v>
      </c>
    </row>
    <row r="1818" spans="1:13" hidden="1" x14ac:dyDescent="0.35">
      <c r="A1818" t="s">
        <v>24</v>
      </c>
      <c r="D1818" t="s">
        <v>32</v>
      </c>
      <c r="F1818">
        <v>7</v>
      </c>
      <c r="G1818">
        <v>3</v>
      </c>
      <c r="H1818">
        <v>2</v>
      </c>
      <c r="I1818">
        <v>23</v>
      </c>
      <c r="K1818" s="122">
        <v>45492</v>
      </c>
      <c r="L1818" t="s">
        <v>738</v>
      </c>
      <c r="M1818">
        <v>6.8</v>
      </c>
    </row>
    <row r="1819" spans="1:13" hidden="1" x14ac:dyDescent="0.35">
      <c r="A1819" t="s">
        <v>24</v>
      </c>
      <c r="D1819" t="s">
        <v>32</v>
      </c>
      <c r="F1819">
        <v>7</v>
      </c>
      <c r="G1819">
        <v>3</v>
      </c>
      <c r="H1819">
        <v>2</v>
      </c>
      <c r="I1819">
        <v>23</v>
      </c>
      <c r="K1819" s="122">
        <v>45492</v>
      </c>
      <c r="L1819" t="s">
        <v>739</v>
      </c>
      <c r="M1819">
        <v>6.7</v>
      </c>
    </row>
    <row r="1820" spans="1:13" hidden="1" x14ac:dyDescent="0.35">
      <c r="A1820" t="s">
        <v>24</v>
      </c>
      <c r="D1820" t="s">
        <v>32</v>
      </c>
      <c r="F1820">
        <v>7</v>
      </c>
      <c r="G1820">
        <v>3</v>
      </c>
      <c r="H1820">
        <v>2</v>
      </c>
      <c r="I1820">
        <v>23</v>
      </c>
      <c r="K1820" s="122">
        <v>45509</v>
      </c>
      <c r="L1820" t="s">
        <v>737</v>
      </c>
      <c r="M1820">
        <v>8.4</v>
      </c>
    </row>
    <row r="1821" spans="1:13" hidden="1" x14ac:dyDescent="0.35">
      <c r="A1821" t="s">
        <v>24</v>
      </c>
      <c r="D1821" t="s">
        <v>32</v>
      </c>
      <c r="F1821">
        <v>7</v>
      </c>
      <c r="G1821">
        <v>3</v>
      </c>
      <c r="H1821">
        <v>2</v>
      </c>
      <c r="I1821">
        <v>23</v>
      </c>
      <c r="K1821" s="122">
        <v>45509</v>
      </c>
      <c r="L1821" t="s">
        <v>738</v>
      </c>
      <c r="M1821">
        <v>7.7</v>
      </c>
    </row>
    <row r="1822" spans="1:13" hidden="1" x14ac:dyDescent="0.35">
      <c r="A1822" t="s">
        <v>24</v>
      </c>
      <c r="D1822" t="s">
        <v>32</v>
      </c>
      <c r="F1822">
        <v>7</v>
      </c>
      <c r="G1822">
        <v>3</v>
      </c>
      <c r="H1822">
        <v>2</v>
      </c>
      <c r="I1822">
        <v>23</v>
      </c>
      <c r="K1822" s="122">
        <v>45509</v>
      </c>
      <c r="L1822" t="s">
        <v>739</v>
      </c>
      <c r="M1822">
        <v>7.7</v>
      </c>
    </row>
    <row r="1823" spans="1:13" hidden="1" x14ac:dyDescent="0.35">
      <c r="A1823" t="s">
        <v>24</v>
      </c>
      <c r="D1823" t="s">
        <v>32</v>
      </c>
      <c r="F1823">
        <v>7</v>
      </c>
      <c r="G1823">
        <v>3</v>
      </c>
      <c r="H1823">
        <v>2</v>
      </c>
      <c r="I1823">
        <v>23</v>
      </c>
      <c r="K1823" s="122">
        <v>45519</v>
      </c>
      <c r="L1823" t="s">
        <v>737</v>
      </c>
      <c r="M1823">
        <v>8.9</v>
      </c>
    </row>
    <row r="1824" spans="1:13" hidden="1" x14ac:dyDescent="0.35">
      <c r="A1824" t="s">
        <v>24</v>
      </c>
      <c r="D1824" t="s">
        <v>32</v>
      </c>
      <c r="F1824">
        <v>7</v>
      </c>
      <c r="G1824">
        <v>3</v>
      </c>
      <c r="H1824">
        <v>2</v>
      </c>
      <c r="I1824">
        <v>23</v>
      </c>
      <c r="K1824" s="122">
        <v>45519</v>
      </c>
      <c r="L1824" t="s">
        <v>738</v>
      </c>
      <c r="M1824">
        <v>8.6999999999999993</v>
      </c>
    </row>
    <row r="1825" spans="1:13" hidden="1" x14ac:dyDescent="0.35">
      <c r="A1825" t="s">
        <v>24</v>
      </c>
      <c r="D1825" t="s">
        <v>32</v>
      </c>
      <c r="F1825">
        <v>7</v>
      </c>
      <c r="G1825">
        <v>3</v>
      </c>
      <c r="H1825">
        <v>2</v>
      </c>
      <c r="I1825">
        <v>23</v>
      </c>
      <c r="K1825" s="122">
        <v>45519</v>
      </c>
      <c r="L1825" t="s">
        <v>739</v>
      </c>
      <c r="M1825">
        <v>8.6999999999999993</v>
      </c>
    </row>
    <row r="1826" spans="1:13" hidden="1" x14ac:dyDescent="0.35">
      <c r="A1826" t="s">
        <v>24</v>
      </c>
      <c r="D1826" t="s">
        <v>32</v>
      </c>
      <c r="F1826">
        <v>7</v>
      </c>
      <c r="G1826">
        <v>3</v>
      </c>
      <c r="H1826">
        <v>2</v>
      </c>
      <c r="I1826">
        <v>23</v>
      </c>
      <c r="K1826" s="122">
        <v>45530</v>
      </c>
      <c r="L1826" t="s">
        <v>737</v>
      </c>
      <c r="M1826">
        <v>10.199999999999999</v>
      </c>
    </row>
    <row r="1827" spans="1:13" hidden="1" x14ac:dyDescent="0.35">
      <c r="A1827" t="s">
        <v>24</v>
      </c>
      <c r="D1827" t="s">
        <v>32</v>
      </c>
      <c r="F1827">
        <v>7</v>
      </c>
      <c r="G1827">
        <v>3</v>
      </c>
      <c r="H1827">
        <v>2</v>
      </c>
      <c r="I1827">
        <v>23</v>
      </c>
      <c r="K1827" s="122">
        <v>45530</v>
      </c>
      <c r="L1827" t="s">
        <v>738</v>
      </c>
      <c r="M1827">
        <v>9.9</v>
      </c>
    </row>
    <row r="1828" spans="1:13" hidden="1" x14ac:dyDescent="0.35">
      <c r="A1828" t="s">
        <v>24</v>
      </c>
      <c r="D1828" t="s">
        <v>32</v>
      </c>
      <c r="F1828">
        <v>7</v>
      </c>
      <c r="G1828">
        <v>3</v>
      </c>
      <c r="H1828">
        <v>2</v>
      </c>
      <c r="I1828">
        <v>23</v>
      </c>
      <c r="K1828" s="122">
        <v>45530</v>
      </c>
      <c r="L1828" t="s">
        <v>739</v>
      </c>
      <c r="M1828">
        <v>9.9</v>
      </c>
    </row>
    <row r="1829" spans="1:13" hidden="1" x14ac:dyDescent="0.35">
      <c r="A1829" t="s">
        <v>24</v>
      </c>
      <c r="D1829" t="s">
        <v>32</v>
      </c>
      <c r="F1829">
        <v>7</v>
      </c>
      <c r="G1829">
        <v>3</v>
      </c>
      <c r="H1829">
        <v>2</v>
      </c>
      <c r="I1829">
        <v>23</v>
      </c>
      <c r="K1829" s="122">
        <v>45538</v>
      </c>
      <c r="L1829" t="s">
        <v>737</v>
      </c>
      <c r="M1829">
        <v>10.8</v>
      </c>
    </row>
    <row r="1830" spans="1:13" hidden="1" x14ac:dyDescent="0.35">
      <c r="A1830" t="s">
        <v>24</v>
      </c>
      <c r="D1830" t="s">
        <v>32</v>
      </c>
      <c r="F1830">
        <v>7</v>
      </c>
      <c r="G1830">
        <v>3</v>
      </c>
      <c r="H1830">
        <v>2</v>
      </c>
      <c r="I1830">
        <v>23</v>
      </c>
      <c r="K1830" s="122">
        <v>45538</v>
      </c>
      <c r="L1830" t="s">
        <v>738</v>
      </c>
      <c r="M1830">
        <v>10.6</v>
      </c>
    </row>
    <row r="1831" spans="1:13" hidden="1" x14ac:dyDescent="0.35">
      <c r="A1831" t="s">
        <v>24</v>
      </c>
      <c r="D1831" t="s">
        <v>32</v>
      </c>
      <c r="F1831">
        <v>7</v>
      </c>
      <c r="G1831">
        <v>3</v>
      </c>
      <c r="H1831">
        <v>2</v>
      </c>
      <c r="I1831">
        <v>23</v>
      </c>
      <c r="K1831" s="122">
        <v>45538</v>
      </c>
      <c r="L1831" t="s">
        <v>739</v>
      </c>
      <c r="M1831">
        <v>10.5</v>
      </c>
    </row>
    <row r="1832" spans="1:13" hidden="1" x14ac:dyDescent="0.35">
      <c r="A1832" t="s">
        <v>24</v>
      </c>
      <c r="D1832" t="s">
        <v>32</v>
      </c>
      <c r="F1832">
        <v>7</v>
      </c>
      <c r="G1832">
        <v>3</v>
      </c>
      <c r="H1832">
        <v>2</v>
      </c>
      <c r="I1832">
        <v>23</v>
      </c>
      <c r="K1832" s="122">
        <v>45547</v>
      </c>
      <c r="L1832" t="s">
        <v>737</v>
      </c>
      <c r="M1832">
        <v>11</v>
      </c>
    </row>
    <row r="1833" spans="1:13" hidden="1" x14ac:dyDescent="0.35">
      <c r="A1833" t="s">
        <v>24</v>
      </c>
      <c r="D1833" t="s">
        <v>32</v>
      </c>
      <c r="F1833">
        <v>7</v>
      </c>
      <c r="G1833">
        <v>3</v>
      </c>
      <c r="H1833">
        <v>2</v>
      </c>
      <c r="I1833">
        <v>23</v>
      </c>
      <c r="K1833" s="122">
        <v>45547</v>
      </c>
      <c r="L1833" t="s">
        <v>738</v>
      </c>
      <c r="M1833">
        <v>11</v>
      </c>
    </row>
    <row r="1834" spans="1:13" hidden="1" x14ac:dyDescent="0.35">
      <c r="A1834" t="s">
        <v>24</v>
      </c>
      <c r="D1834" t="s">
        <v>32</v>
      </c>
      <c r="F1834">
        <v>7</v>
      </c>
      <c r="G1834">
        <v>3</v>
      </c>
      <c r="H1834">
        <v>2</v>
      </c>
      <c r="I1834">
        <v>23</v>
      </c>
      <c r="K1834" s="122">
        <v>45547</v>
      </c>
      <c r="L1834" t="s">
        <v>739</v>
      </c>
      <c r="M1834">
        <v>11</v>
      </c>
    </row>
    <row r="1835" spans="1:13" hidden="1" x14ac:dyDescent="0.35">
      <c r="A1835" t="s">
        <v>24</v>
      </c>
      <c r="D1835" t="s">
        <v>32</v>
      </c>
      <c r="F1835">
        <v>7</v>
      </c>
      <c r="G1835">
        <v>3</v>
      </c>
      <c r="H1835">
        <v>2</v>
      </c>
      <c r="I1835">
        <v>23</v>
      </c>
      <c r="K1835" s="122">
        <v>45555</v>
      </c>
      <c r="L1835" t="s">
        <v>737</v>
      </c>
    </row>
    <row r="1836" spans="1:13" hidden="1" x14ac:dyDescent="0.35">
      <c r="A1836" t="s">
        <v>24</v>
      </c>
      <c r="D1836" t="s">
        <v>32</v>
      </c>
      <c r="F1836">
        <v>7</v>
      </c>
      <c r="G1836">
        <v>3</v>
      </c>
      <c r="H1836">
        <v>2</v>
      </c>
      <c r="I1836">
        <v>23</v>
      </c>
      <c r="K1836" s="122">
        <v>45555</v>
      </c>
      <c r="L1836" t="s">
        <v>738</v>
      </c>
    </row>
    <row r="1837" spans="1:13" hidden="1" x14ac:dyDescent="0.35">
      <c r="A1837" t="s">
        <v>24</v>
      </c>
      <c r="D1837" t="s">
        <v>32</v>
      </c>
      <c r="F1837">
        <v>7</v>
      </c>
      <c r="G1837">
        <v>3</v>
      </c>
      <c r="H1837">
        <v>2</v>
      </c>
      <c r="I1837">
        <v>23</v>
      </c>
      <c r="K1837" s="122">
        <v>45555</v>
      </c>
      <c r="L1837" t="s">
        <v>739</v>
      </c>
    </row>
    <row r="1838" spans="1:13" x14ac:dyDescent="0.35">
      <c r="A1838" t="s">
        <v>34</v>
      </c>
      <c r="D1838" t="s">
        <v>41</v>
      </c>
      <c r="F1838">
        <v>7</v>
      </c>
      <c r="G1838">
        <v>4</v>
      </c>
      <c r="H1838">
        <v>2</v>
      </c>
      <c r="I1838">
        <v>31</v>
      </c>
      <c r="K1838" s="122">
        <v>45442</v>
      </c>
      <c r="L1838" t="s">
        <v>737</v>
      </c>
    </row>
    <row r="1839" spans="1:13" hidden="1" x14ac:dyDescent="0.35">
      <c r="A1839" t="s">
        <v>34</v>
      </c>
      <c r="D1839" t="s">
        <v>41</v>
      </c>
      <c r="F1839">
        <v>7</v>
      </c>
      <c r="G1839">
        <v>4</v>
      </c>
      <c r="H1839">
        <v>2</v>
      </c>
      <c r="I1839">
        <v>31</v>
      </c>
      <c r="K1839" s="122">
        <v>45442</v>
      </c>
      <c r="L1839" t="s">
        <v>738</v>
      </c>
    </row>
    <row r="1840" spans="1:13" hidden="1" x14ac:dyDescent="0.35">
      <c r="A1840" t="s">
        <v>34</v>
      </c>
      <c r="D1840" t="s">
        <v>41</v>
      </c>
      <c r="F1840">
        <v>7</v>
      </c>
      <c r="G1840">
        <v>4</v>
      </c>
      <c r="H1840">
        <v>2</v>
      </c>
      <c r="I1840">
        <v>31</v>
      </c>
      <c r="K1840" s="122">
        <v>45442</v>
      </c>
      <c r="L1840" t="s">
        <v>739</v>
      </c>
    </row>
    <row r="1841" spans="1:13" x14ac:dyDescent="0.35">
      <c r="A1841" t="s">
        <v>34</v>
      </c>
      <c r="D1841" t="s">
        <v>41</v>
      </c>
      <c r="F1841">
        <v>7</v>
      </c>
      <c r="G1841">
        <v>4</v>
      </c>
      <c r="H1841">
        <v>2</v>
      </c>
      <c r="I1841">
        <v>31</v>
      </c>
      <c r="K1841" s="122">
        <v>45447</v>
      </c>
      <c r="L1841" t="s">
        <v>737</v>
      </c>
      <c r="M1841">
        <v>1.8</v>
      </c>
    </row>
    <row r="1842" spans="1:13" hidden="1" x14ac:dyDescent="0.35">
      <c r="A1842" t="s">
        <v>34</v>
      </c>
      <c r="D1842" t="s">
        <v>41</v>
      </c>
      <c r="F1842">
        <v>7</v>
      </c>
      <c r="G1842">
        <v>4</v>
      </c>
      <c r="H1842">
        <v>2</v>
      </c>
      <c r="I1842">
        <v>31</v>
      </c>
      <c r="K1842" s="122">
        <v>45447</v>
      </c>
      <c r="L1842" t="s">
        <v>738</v>
      </c>
      <c r="M1842">
        <v>1.7</v>
      </c>
    </row>
    <row r="1843" spans="1:13" hidden="1" x14ac:dyDescent="0.35">
      <c r="A1843" t="s">
        <v>34</v>
      </c>
      <c r="D1843" t="s">
        <v>41</v>
      </c>
      <c r="F1843">
        <v>7</v>
      </c>
      <c r="G1843">
        <v>4</v>
      </c>
      <c r="H1843">
        <v>2</v>
      </c>
      <c r="I1843">
        <v>31</v>
      </c>
      <c r="K1843" s="122">
        <v>45447</v>
      </c>
      <c r="L1843" t="s">
        <v>739</v>
      </c>
      <c r="M1843">
        <v>1.8</v>
      </c>
    </row>
    <row r="1844" spans="1:13" x14ac:dyDescent="0.35">
      <c r="A1844" t="s">
        <v>34</v>
      </c>
      <c r="D1844" t="s">
        <v>41</v>
      </c>
      <c r="F1844">
        <v>7</v>
      </c>
      <c r="G1844">
        <v>4</v>
      </c>
      <c r="H1844">
        <v>2</v>
      </c>
      <c r="I1844">
        <v>31</v>
      </c>
      <c r="K1844" s="122">
        <v>45462</v>
      </c>
      <c r="L1844" t="s">
        <v>737</v>
      </c>
      <c r="M1844">
        <v>3.3</v>
      </c>
    </row>
    <row r="1845" spans="1:13" hidden="1" x14ac:dyDescent="0.35">
      <c r="A1845" t="s">
        <v>34</v>
      </c>
      <c r="D1845" t="s">
        <v>41</v>
      </c>
      <c r="F1845">
        <v>7</v>
      </c>
      <c r="G1845">
        <v>4</v>
      </c>
      <c r="H1845">
        <v>2</v>
      </c>
      <c r="I1845">
        <v>31</v>
      </c>
      <c r="K1845" s="122">
        <v>45462</v>
      </c>
      <c r="L1845" t="s">
        <v>738</v>
      </c>
      <c r="M1845">
        <v>3.1</v>
      </c>
    </row>
    <row r="1846" spans="1:13" hidden="1" x14ac:dyDescent="0.35">
      <c r="A1846" t="s">
        <v>34</v>
      </c>
      <c r="D1846" t="s">
        <v>41</v>
      </c>
      <c r="F1846">
        <v>7</v>
      </c>
      <c r="G1846">
        <v>4</v>
      </c>
      <c r="H1846">
        <v>2</v>
      </c>
      <c r="I1846">
        <v>31</v>
      </c>
      <c r="K1846" s="122">
        <v>45462</v>
      </c>
      <c r="L1846" t="s">
        <v>739</v>
      </c>
      <c r="M1846">
        <v>3.2</v>
      </c>
    </row>
    <row r="1847" spans="1:13" x14ac:dyDescent="0.35">
      <c r="A1847" t="s">
        <v>34</v>
      </c>
      <c r="D1847" t="s">
        <v>41</v>
      </c>
      <c r="F1847">
        <v>7</v>
      </c>
      <c r="G1847">
        <v>4</v>
      </c>
      <c r="H1847">
        <v>2</v>
      </c>
      <c r="I1847">
        <v>31</v>
      </c>
      <c r="K1847" s="122">
        <v>45477</v>
      </c>
      <c r="L1847" t="s">
        <v>737</v>
      </c>
      <c r="M1847">
        <v>4.7</v>
      </c>
    </row>
    <row r="1848" spans="1:13" hidden="1" x14ac:dyDescent="0.35">
      <c r="A1848" t="s">
        <v>34</v>
      </c>
      <c r="D1848" t="s">
        <v>41</v>
      </c>
      <c r="F1848">
        <v>7</v>
      </c>
      <c r="G1848">
        <v>4</v>
      </c>
      <c r="H1848">
        <v>2</v>
      </c>
      <c r="I1848">
        <v>31</v>
      </c>
      <c r="K1848" s="122">
        <v>45477</v>
      </c>
      <c r="L1848" t="s">
        <v>738</v>
      </c>
      <c r="M1848">
        <v>4.5999999999999996</v>
      </c>
    </row>
    <row r="1849" spans="1:13" hidden="1" x14ac:dyDescent="0.35">
      <c r="A1849" t="s">
        <v>34</v>
      </c>
      <c r="D1849" t="s">
        <v>41</v>
      </c>
      <c r="F1849">
        <v>7</v>
      </c>
      <c r="G1849">
        <v>4</v>
      </c>
      <c r="H1849">
        <v>2</v>
      </c>
      <c r="I1849">
        <v>31</v>
      </c>
      <c r="K1849" s="122">
        <v>45477</v>
      </c>
      <c r="L1849" t="s">
        <v>739</v>
      </c>
      <c r="M1849">
        <v>4.8</v>
      </c>
    </row>
    <row r="1850" spans="1:13" x14ac:dyDescent="0.35">
      <c r="A1850" t="s">
        <v>34</v>
      </c>
      <c r="D1850" t="s">
        <v>41</v>
      </c>
      <c r="F1850">
        <v>7</v>
      </c>
      <c r="G1850">
        <v>4</v>
      </c>
      <c r="H1850">
        <v>2</v>
      </c>
      <c r="I1850">
        <v>31</v>
      </c>
      <c r="K1850" s="122">
        <v>45485</v>
      </c>
      <c r="L1850" t="s">
        <v>737</v>
      </c>
    </row>
    <row r="1851" spans="1:13" hidden="1" x14ac:dyDescent="0.35">
      <c r="A1851" t="s">
        <v>34</v>
      </c>
      <c r="D1851" t="s">
        <v>41</v>
      </c>
      <c r="F1851">
        <v>7</v>
      </c>
      <c r="G1851">
        <v>4</v>
      </c>
      <c r="H1851">
        <v>2</v>
      </c>
      <c r="I1851">
        <v>31</v>
      </c>
      <c r="K1851" s="122">
        <v>45485</v>
      </c>
      <c r="L1851" t="s">
        <v>738</v>
      </c>
    </row>
    <row r="1852" spans="1:13" hidden="1" x14ac:dyDescent="0.35">
      <c r="A1852" t="s">
        <v>34</v>
      </c>
      <c r="D1852" t="s">
        <v>41</v>
      </c>
      <c r="F1852">
        <v>7</v>
      </c>
      <c r="G1852">
        <v>4</v>
      </c>
      <c r="H1852">
        <v>2</v>
      </c>
      <c r="I1852">
        <v>31</v>
      </c>
      <c r="K1852" s="122">
        <v>45485</v>
      </c>
      <c r="L1852" t="s">
        <v>739</v>
      </c>
    </row>
    <row r="1853" spans="1:13" x14ac:dyDescent="0.35">
      <c r="A1853" t="s">
        <v>34</v>
      </c>
      <c r="D1853" t="s">
        <v>41</v>
      </c>
      <c r="F1853">
        <v>7</v>
      </c>
      <c r="G1853">
        <v>4</v>
      </c>
      <c r="H1853">
        <v>2</v>
      </c>
      <c r="I1853">
        <v>31</v>
      </c>
      <c r="K1853" s="122">
        <v>45492</v>
      </c>
      <c r="L1853" t="s">
        <v>737</v>
      </c>
      <c r="M1853">
        <v>5.7</v>
      </c>
    </row>
    <row r="1854" spans="1:13" hidden="1" x14ac:dyDescent="0.35">
      <c r="A1854" t="s">
        <v>34</v>
      </c>
      <c r="D1854" t="s">
        <v>41</v>
      </c>
      <c r="F1854">
        <v>7</v>
      </c>
      <c r="G1854">
        <v>4</v>
      </c>
      <c r="H1854">
        <v>2</v>
      </c>
      <c r="I1854">
        <v>31</v>
      </c>
      <c r="K1854" s="122">
        <v>45492</v>
      </c>
      <c r="L1854" t="s">
        <v>738</v>
      </c>
      <c r="M1854">
        <v>5.7</v>
      </c>
    </row>
    <row r="1855" spans="1:13" hidden="1" x14ac:dyDescent="0.35">
      <c r="A1855" t="s">
        <v>34</v>
      </c>
      <c r="D1855" t="s">
        <v>41</v>
      </c>
      <c r="F1855">
        <v>7</v>
      </c>
      <c r="G1855">
        <v>4</v>
      </c>
      <c r="H1855">
        <v>2</v>
      </c>
      <c r="I1855">
        <v>31</v>
      </c>
      <c r="K1855" s="122">
        <v>45492</v>
      </c>
      <c r="L1855" t="s">
        <v>739</v>
      </c>
      <c r="M1855">
        <v>6.2</v>
      </c>
    </row>
    <row r="1856" spans="1:13" x14ac:dyDescent="0.35">
      <c r="A1856" t="s">
        <v>34</v>
      </c>
      <c r="D1856" t="s">
        <v>41</v>
      </c>
      <c r="F1856">
        <v>7</v>
      </c>
      <c r="G1856">
        <v>4</v>
      </c>
      <c r="H1856">
        <v>2</v>
      </c>
      <c r="I1856">
        <v>31</v>
      </c>
      <c r="K1856" s="122">
        <v>45509</v>
      </c>
      <c r="L1856" t="s">
        <v>737</v>
      </c>
      <c r="M1856">
        <v>7.5</v>
      </c>
    </row>
    <row r="1857" spans="1:13" hidden="1" x14ac:dyDescent="0.35">
      <c r="A1857" t="s">
        <v>34</v>
      </c>
      <c r="D1857" t="s">
        <v>41</v>
      </c>
      <c r="F1857">
        <v>7</v>
      </c>
      <c r="G1857">
        <v>4</v>
      </c>
      <c r="H1857">
        <v>2</v>
      </c>
      <c r="I1857">
        <v>31</v>
      </c>
      <c r="K1857" s="122">
        <v>45509</v>
      </c>
      <c r="L1857" t="s">
        <v>738</v>
      </c>
      <c r="M1857">
        <v>7.2</v>
      </c>
    </row>
    <row r="1858" spans="1:13" hidden="1" x14ac:dyDescent="0.35">
      <c r="A1858" t="s">
        <v>34</v>
      </c>
      <c r="D1858" t="s">
        <v>41</v>
      </c>
      <c r="F1858">
        <v>7</v>
      </c>
      <c r="G1858">
        <v>4</v>
      </c>
      <c r="H1858">
        <v>2</v>
      </c>
      <c r="I1858">
        <v>31</v>
      </c>
      <c r="K1858" s="122">
        <v>45509</v>
      </c>
      <c r="L1858" t="s">
        <v>739</v>
      </c>
      <c r="M1858">
        <v>7.3</v>
      </c>
    </row>
    <row r="1859" spans="1:13" x14ac:dyDescent="0.35">
      <c r="A1859" t="s">
        <v>34</v>
      </c>
      <c r="D1859" t="s">
        <v>41</v>
      </c>
      <c r="F1859">
        <v>7</v>
      </c>
      <c r="G1859">
        <v>4</v>
      </c>
      <c r="H1859">
        <v>2</v>
      </c>
      <c r="I1859">
        <v>31</v>
      </c>
      <c r="K1859" s="122">
        <v>45519</v>
      </c>
      <c r="L1859" t="s">
        <v>737</v>
      </c>
      <c r="M1859">
        <v>8.1999999999999993</v>
      </c>
    </row>
    <row r="1860" spans="1:13" hidden="1" x14ac:dyDescent="0.35">
      <c r="A1860" t="s">
        <v>34</v>
      </c>
      <c r="D1860" t="s">
        <v>41</v>
      </c>
      <c r="F1860">
        <v>7</v>
      </c>
      <c r="G1860">
        <v>4</v>
      </c>
      <c r="H1860">
        <v>2</v>
      </c>
      <c r="I1860">
        <v>31</v>
      </c>
      <c r="K1860" s="122">
        <v>45519</v>
      </c>
      <c r="L1860" t="s">
        <v>738</v>
      </c>
      <c r="M1860">
        <v>8</v>
      </c>
    </row>
    <row r="1861" spans="1:13" hidden="1" x14ac:dyDescent="0.35">
      <c r="A1861" t="s">
        <v>34</v>
      </c>
      <c r="D1861" t="s">
        <v>41</v>
      </c>
      <c r="F1861">
        <v>7</v>
      </c>
      <c r="G1861">
        <v>4</v>
      </c>
      <c r="H1861">
        <v>2</v>
      </c>
      <c r="I1861">
        <v>31</v>
      </c>
      <c r="K1861" s="122">
        <v>45519</v>
      </c>
      <c r="L1861" t="s">
        <v>739</v>
      </c>
      <c r="M1861">
        <v>8.1999999999999993</v>
      </c>
    </row>
    <row r="1862" spans="1:13" x14ac:dyDescent="0.35">
      <c r="A1862" t="s">
        <v>34</v>
      </c>
      <c r="D1862" t="s">
        <v>41</v>
      </c>
      <c r="F1862">
        <v>7</v>
      </c>
      <c r="G1862">
        <v>4</v>
      </c>
      <c r="H1862">
        <v>2</v>
      </c>
      <c r="I1862">
        <v>31</v>
      </c>
      <c r="K1862" s="122">
        <v>45530</v>
      </c>
      <c r="L1862" t="s">
        <v>737</v>
      </c>
      <c r="M1862">
        <v>9.1999999999999993</v>
      </c>
    </row>
    <row r="1863" spans="1:13" hidden="1" x14ac:dyDescent="0.35">
      <c r="A1863" t="s">
        <v>34</v>
      </c>
      <c r="D1863" t="s">
        <v>41</v>
      </c>
      <c r="F1863">
        <v>7</v>
      </c>
      <c r="G1863">
        <v>4</v>
      </c>
      <c r="H1863">
        <v>2</v>
      </c>
      <c r="I1863">
        <v>31</v>
      </c>
      <c r="K1863" s="122">
        <v>45530</v>
      </c>
      <c r="L1863" t="s">
        <v>738</v>
      </c>
      <c r="M1863">
        <v>9.1999999999999993</v>
      </c>
    </row>
    <row r="1864" spans="1:13" hidden="1" x14ac:dyDescent="0.35">
      <c r="A1864" t="s">
        <v>34</v>
      </c>
      <c r="D1864" t="s">
        <v>41</v>
      </c>
      <c r="F1864">
        <v>7</v>
      </c>
      <c r="G1864">
        <v>4</v>
      </c>
      <c r="H1864">
        <v>2</v>
      </c>
      <c r="I1864">
        <v>31</v>
      </c>
      <c r="K1864" s="122">
        <v>45530</v>
      </c>
      <c r="L1864" t="s">
        <v>739</v>
      </c>
      <c r="M1864">
        <v>9.3000000000000007</v>
      </c>
    </row>
    <row r="1865" spans="1:13" x14ac:dyDescent="0.35">
      <c r="A1865" t="s">
        <v>34</v>
      </c>
      <c r="D1865" t="s">
        <v>41</v>
      </c>
      <c r="F1865">
        <v>7</v>
      </c>
      <c r="G1865">
        <v>4</v>
      </c>
      <c r="H1865">
        <v>2</v>
      </c>
      <c r="I1865">
        <v>31</v>
      </c>
      <c r="K1865" s="122">
        <v>45538</v>
      </c>
      <c r="L1865" t="s">
        <v>737</v>
      </c>
      <c r="M1865">
        <v>9.8000000000000007</v>
      </c>
    </row>
    <row r="1866" spans="1:13" hidden="1" x14ac:dyDescent="0.35">
      <c r="A1866" t="s">
        <v>34</v>
      </c>
      <c r="D1866" t="s">
        <v>41</v>
      </c>
      <c r="F1866">
        <v>7</v>
      </c>
      <c r="G1866">
        <v>4</v>
      </c>
      <c r="H1866">
        <v>2</v>
      </c>
      <c r="I1866">
        <v>31</v>
      </c>
      <c r="K1866" s="122">
        <v>45538</v>
      </c>
      <c r="L1866" t="s">
        <v>738</v>
      </c>
      <c r="M1866">
        <v>9.9</v>
      </c>
    </row>
    <row r="1867" spans="1:13" hidden="1" x14ac:dyDescent="0.35">
      <c r="A1867" t="s">
        <v>34</v>
      </c>
      <c r="D1867" t="s">
        <v>41</v>
      </c>
      <c r="F1867">
        <v>7</v>
      </c>
      <c r="G1867">
        <v>4</v>
      </c>
      <c r="H1867">
        <v>2</v>
      </c>
      <c r="I1867">
        <v>31</v>
      </c>
      <c r="K1867" s="122">
        <v>45538</v>
      </c>
      <c r="L1867" t="s">
        <v>739</v>
      </c>
      <c r="M1867">
        <v>10</v>
      </c>
    </row>
    <row r="1868" spans="1:13" x14ac:dyDescent="0.35">
      <c r="A1868" t="s">
        <v>34</v>
      </c>
      <c r="D1868" t="s">
        <v>41</v>
      </c>
      <c r="F1868">
        <v>7</v>
      </c>
      <c r="G1868">
        <v>4</v>
      </c>
      <c r="H1868">
        <v>2</v>
      </c>
      <c r="I1868">
        <v>31</v>
      </c>
      <c r="K1868" s="122">
        <v>45547</v>
      </c>
      <c r="L1868" t="s">
        <v>737</v>
      </c>
      <c r="M1868">
        <v>10</v>
      </c>
    </row>
    <row r="1869" spans="1:13" hidden="1" x14ac:dyDescent="0.35">
      <c r="A1869" t="s">
        <v>34</v>
      </c>
      <c r="D1869" t="s">
        <v>41</v>
      </c>
      <c r="F1869">
        <v>7</v>
      </c>
      <c r="G1869">
        <v>4</v>
      </c>
      <c r="H1869">
        <v>2</v>
      </c>
      <c r="I1869">
        <v>31</v>
      </c>
      <c r="K1869" s="122">
        <v>45547</v>
      </c>
      <c r="L1869" t="s">
        <v>738</v>
      </c>
      <c r="M1869">
        <v>10</v>
      </c>
    </row>
    <row r="1870" spans="1:13" hidden="1" x14ac:dyDescent="0.35">
      <c r="A1870" t="s">
        <v>34</v>
      </c>
      <c r="D1870" t="s">
        <v>41</v>
      </c>
      <c r="F1870">
        <v>7</v>
      </c>
      <c r="G1870">
        <v>4</v>
      </c>
      <c r="H1870">
        <v>2</v>
      </c>
      <c r="I1870">
        <v>31</v>
      </c>
      <c r="K1870" s="122">
        <v>45547</v>
      </c>
      <c r="L1870" t="s">
        <v>739</v>
      </c>
      <c r="M1870">
        <v>10</v>
      </c>
    </row>
    <row r="1871" spans="1:13" x14ac:dyDescent="0.35">
      <c r="A1871" t="s">
        <v>34</v>
      </c>
      <c r="D1871" t="s">
        <v>41</v>
      </c>
      <c r="F1871">
        <v>7</v>
      </c>
      <c r="G1871">
        <v>4</v>
      </c>
      <c r="H1871">
        <v>2</v>
      </c>
      <c r="I1871">
        <v>31</v>
      </c>
      <c r="K1871" s="122">
        <v>45555</v>
      </c>
      <c r="L1871" t="s">
        <v>737</v>
      </c>
    </row>
    <row r="1872" spans="1:13" hidden="1" x14ac:dyDescent="0.35">
      <c r="A1872" t="s">
        <v>34</v>
      </c>
      <c r="D1872" t="s">
        <v>41</v>
      </c>
      <c r="F1872">
        <v>7</v>
      </c>
      <c r="G1872">
        <v>4</v>
      </c>
      <c r="H1872">
        <v>2</v>
      </c>
      <c r="I1872">
        <v>31</v>
      </c>
      <c r="K1872" s="122">
        <v>45555</v>
      </c>
      <c r="L1872" t="s">
        <v>738</v>
      </c>
    </row>
    <row r="1873" spans="1:13" hidden="1" x14ac:dyDescent="0.35">
      <c r="A1873" t="s">
        <v>34</v>
      </c>
      <c r="D1873" t="s">
        <v>41</v>
      </c>
      <c r="F1873">
        <v>7</v>
      </c>
      <c r="G1873">
        <v>4</v>
      </c>
      <c r="H1873">
        <v>2</v>
      </c>
      <c r="I1873">
        <v>31</v>
      </c>
      <c r="K1873" s="122">
        <v>45555</v>
      </c>
      <c r="L1873" t="s">
        <v>739</v>
      </c>
    </row>
    <row r="1874" spans="1:13" hidden="1" x14ac:dyDescent="0.35">
      <c r="A1874" t="s">
        <v>24</v>
      </c>
      <c r="D1874" t="s">
        <v>29</v>
      </c>
      <c r="F1874">
        <v>7</v>
      </c>
      <c r="G1874">
        <v>5</v>
      </c>
      <c r="H1874">
        <v>3</v>
      </c>
      <c r="I1874">
        <v>39</v>
      </c>
      <c r="K1874" s="122">
        <v>45442</v>
      </c>
      <c r="L1874" t="s">
        <v>737</v>
      </c>
    </row>
    <row r="1875" spans="1:13" hidden="1" x14ac:dyDescent="0.35">
      <c r="A1875" t="s">
        <v>24</v>
      </c>
      <c r="D1875" t="s">
        <v>29</v>
      </c>
      <c r="F1875">
        <v>7</v>
      </c>
      <c r="G1875">
        <v>5</v>
      </c>
      <c r="H1875">
        <v>3</v>
      </c>
      <c r="I1875">
        <v>39</v>
      </c>
      <c r="K1875" s="122">
        <v>45442</v>
      </c>
      <c r="L1875" t="s">
        <v>738</v>
      </c>
    </row>
    <row r="1876" spans="1:13" hidden="1" x14ac:dyDescent="0.35">
      <c r="A1876" t="s">
        <v>24</v>
      </c>
      <c r="D1876" t="s">
        <v>29</v>
      </c>
      <c r="F1876">
        <v>7</v>
      </c>
      <c r="G1876">
        <v>5</v>
      </c>
      <c r="H1876">
        <v>3</v>
      </c>
      <c r="I1876">
        <v>39</v>
      </c>
      <c r="K1876" s="122">
        <v>45442</v>
      </c>
      <c r="L1876" t="s">
        <v>739</v>
      </c>
    </row>
    <row r="1877" spans="1:13" hidden="1" x14ac:dyDescent="0.35">
      <c r="A1877" t="s">
        <v>24</v>
      </c>
      <c r="D1877" t="s">
        <v>29</v>
      </c>
      <c r="F1877">
        <v>7</v>
      </c>
      <c r="G1877">
        <v>5</v>
      </c>
      <c r="H1877">
        <v>3</v>
      </c>
      <c r="I1877">
        <v>39</v>
      </c>
      <c r="K1877" s="122">
        <v>45447</v>
      </c>
      <c r="L1877" t="s">
        <v>737</v>
      </c>
      <c r="M1877">
        <v>5.3</v>
      </c>
    </row>
    <row r="1878" spans="1:13" hidden="1" x14ac:dyDescent="0.35">
      <c r="A1878" t="s">
        <v>24</v>
      </c>
      <c r="D1878" t="s">
        <v>29</v>
      </c>
      <c r="F1878">
        <v>7</v>
      </c>
      <c r="G1878">
        <v>5</v>
      </c>
      <c r="H1878">
        <v>3</v>
      </c>
      <c r="I1878">
        <v>39</v>
      </c>
      <c r="K1878" s="122">
        <v>45447</v>
      </c>
      <c r="L1878" t="s">
        <v>738</v>
      </c>
      <c r="M1878">
        <v>5.6</v>
      </c>
    </row>
    <row r="1879" spans="1:13" hidden="1" x14ac:dyDescent="0.35">
      <c r="A1879" t="s">
        <v>24</v>
      </c>
      <c r="D1879" t="s">
        <v>29</v>
      </c>
      <c r="F1879">
        <v>7</v>
      </c>
      <c r="G1879">
        <v>5</v>
      </c>
      <c r="H1879">
        <v>3</v>
      </c>
      <c r="I1879">
        <v>39</v>
      </c>
      <c r="K1879" s="122">
        <v>45447</v>
      </c>
      <c r="L1879" t="s">
        <v>739</v>
      </c>
      <c r="M1879">
        <v>5.5</v>
      </c>
    </row>
    <row r="1880" spans="1:13" hidden="1" x14ac:dyDescent="0.35">
      <c r="A1880" t="s">
        <v>24</v>
      </c>
      <c r="D1880" t="s">
        <v>29</v>
      </c>
      <c r="F1880">
        <v>7</v>
      </c>
      <c r="G1880">
        <v>5</v>
      </c>
      <c r="H1880">
        <v>3</v>
      </c>
      <c r="I1880">
        <v>39</v>
      </c>
      <c r="K1880" s="122">
        <v>45462</v>
      </c>
      <c r="L1880" t="s">
        <v>737</v>
      </c>
      <c r="M1880">
        <v>5.3</v>
      </c>
    </row>
    <row r="1881" spans="1:13" hidden="1" x14ac:dyDescent="0.35">
      <c r="A1881" t="s">
        <v>24</v>
      </c>
      <c r="D1881" t="s">
        <v>29</v>
      </c>
      <c r="F1881">
        <v>7</v>
      </c>
      <c r="G1881">
        <v>5</v>
      </c>
      <c r="H1881">
        <v>3</v>
      </c>
      <c r="I1881">
        <v>39</v>
      </c>
      <c r="K1881" s="122">
        <v>45462</v>
      </c>
      <c r="L1881" t="s">
        <v>738</v>
      </c>
      <c r="M1881">
        <v>5.3</v>
      </c>
    </row>
    <row r="1882" spans="1:13" hidden="1" x14ac:dyDescent="0.35">
      <c r="A1882" t="s">
        <v>24</v>
      </c>
      <c r="D1882" t="s">
        <v>29</v>
      </c>
      <c r="F1882">
        <v>7</v>
      </c>
      <c r="G1882">
        <v>5</v>
      </c>
      <c r="H1882">
        <v>3</v>
      </c>
      <c r="I1882">
        <v>39</v>
      </c>
      <c r="K1882" s="122">
        <v>45462</v>
      </c>
      <c r="L1882" t="s">
        <v>739</v>
      </c>
      <c r="M1882">
        <v>5.6</v>
      </c>
    </row>
    <row r="1883" spans="1:13" hidden="1" x14ac:dyDescent="0.35">
      <c r="A1883" t="s">
        <v>24</v>
      </c>
      <c r="D1883" t="s">
        <v>29</v>
      </c>
      <c r="F1883">
        <v>7</v>
      </c>
      <c r="G1883">
        <v>5</v>
      </c>
      <c r="H1883">
        <v>3</v>
      </c>
      <c r="I1883">
        <v>39</v>
      </c>
      <c r="K1883" s="122">
        <v>45477</v>
      </c>
      <c r="L1883" t="s">
        <v>737</v>
      </c>
    </row>
    <row r="1884" spans="1:13" hidden="1" x14ac:dyDescent="0.35">
      <c r="A1884" t="s">
        <v>24</v>
      </c>
      <c r="D1884" t="s">
        <v>29</v>
      </c>
      <c r="F1884">
        <v>7</v>
      </c>
      <c r="G1884">
        <v>5</v>
      </c>
      <c r="H1884">
        <v>3</v>
      </c>
      <c r="I1884">
        <v>39</v>
      </c>
      <c r="K1884" s="122">
        <v>45477</v>
      </c>
      <c r="L1884" t="s">
        <v>738</v>
      </c>
    </row>
    <row r="1885" spans="1:13" hidden="1" x14ac:dyDescent="0.35">
      <c r="A1885" t="s">
        <v>24</v>
      </c>
      <c r="D1885" t="s">
        <v>29</v>
      </c>
      <c r="F1885">
        <v>7</v>
      </c>
      <c r="G1885">
        <v>5</v>
      </c>
      <c r="H1885">
        <v>3</v>
      </c>
      <c r="I1885">
        <v>39</v>
      </c>
      <c r="K1885" s="122">
        <v>45477</v>
      </c>
      <c r="L1885" t="s">
        <v>739</v>
      </c>
    </row>
    <row r="1886" spans="1:13" hidden="1" x14ac:dyDescent="0.35">
      <c r="A1886" t="s">
        <v>24</v>
      </c>
      <c r="D1886" t="s">
        <v>29</v>
      </c>
      <c r="F1886">
        <v>7</v>
      </c>
      <c r="G1886">
        <v>5</v>
      </c>
      <c r="H1886">
        <v>3</v>
      </c>
      <c r="I1886">
        <v>39</v>
      </c>
      <c r="K1886" s="122">
        <v>45485</v>
      </c>
      <c r="L1886" t="s">
        <v>737</v>
      </c>
    </row>
    <row r="1887" spans="1:13" hidden="1" x14ac:dyDescent="0.35">
      <c r="A1887" t="s">
        <v>24</v>
      </c>
      <c r="D1887" t="s">
        <v>29</v>
      </c>
      <c r="F1887">
        <v>7</v>
      </c>
      <c r="G1887">
        <v>5</v>
      </c>
      <c r="H1887">
        <v>3</v>
      </c>
      <c r="I1887">
        <v>39</v>
      </c>
      <c r="K1887" s="122">
        <v>45485</v>
      </c>
      <c r="L1887" t="s">
        <v>738</v>
      </c>
    </row>
    <row r="1888" spans="1:13" hidden="1" x14ac:dyDescent="0.35">
      <c r="A1888" t="s">
        <v>24</v>
      </c>
      <c r="D1888" t="s">
        <v>29</v>
      </c>
      <c r="F1888">
        <v>7</v>
      </c>
      <c r="G1888">
        <v>5</v>
      </c>
      <c r="H1888">
        <v>3</v>
      </c>
      <c r="I1888">
        <v>39</v>
      </c>
      <c r="K1888" s="122">
        <v>45485</v>
      </c>
      <c r="L1888" t="s">
        <v>739</v>
      </c>
    </row>
    <row r="1889" spans="1:13" hidden="1" x14ac:dyDescent="0.35">
      <c r="A1889" t="s">
        <v>24</v>
      </c>
      <c r="D1889" t="s">
        <v>29</v>
      </c>
      <c r="F1889">
        <v>7</v>
      </c>
      <c r="G1889">
        <v>5</v>
      </c>
      <c r="H1889">
        <v>3</v>
      </c>
      <c r="I1889">
        <v>39</v>
      </c>
      <c r="K1889" s="122">
        <v>45492</v>
      </c>
      <c r="L1889" t="s">
        <v>737</v>
      </c>
      <c r="M1889">
        <v>7.2</v>
      </c>
    </row>
    <row r="1890" spans="1:13" hidden="1" x14ac:dyDescent="0.35">
      <c r="A1890" t="s">
        <v>24</v>
      </c>
      <c r="D1890" t="s">
        <v>29</v>
      </c>
      <c r="F1890">
        <v>7</v>
      </c>
      <c r="G1890">
        <v>5</v>
      </c>
      <c r="H1890">
        <v>3</v>
      </c>
      <c r="I1890">
        <v>39</v>
      </c>
      <c r="K1890" s="122">
        <v>45492</v>
      </c>
      <c r="L1890" t="s">
        <v>738</v>
      </c>
      <c r="M1890">
        <v>7.4</v>
      </c>
    </row>
    <row r="1891" spans="1:13" hidden="1" x14ac:dyDescent="0.35">
      <c r="A1891" t="s">
        <v>24</v>
      </c>
      <c r="D1891" t="s">
        <v>29</v>
      </c>
      <c r="F1891">
        <v>7</v>
      </c>
      <c r="G1891">
        <v>5</v>
      </c>
      <c r="H1891">
        <v>3</v>
      </c>
      <c r="I1891">
        <v>39</v>
      </c>
      <c r="K1891" s="122">
        <v>45492</v>
      </c>
      <c r="L1891" t="s">
        <v>739</v>
      </c>
      <c r="M1891">
        <v>7.6</v>
      </c>
    </row>
    <row r="1892" spans="1:13" hidden="1" x14ac:dyDescent="0.35">
      <c r="A1892" t="s">
        <v>24</v>
      </c>
      <c r="D1892" t="s">
        <v>29</v>
      </c>
      <c r="F1892">
        <v>7</v>
      </c>
      <c r="G1892">
        <v>5</v>
      </c>
      <c r="H1892">
        <v>3</v>
      </c>
      <c r="I1892">
        <v>39</v>
      </c>
      <c r="K1892" s="122">
        <v>45509</v>
      </c>
      <c r="L1892" t="s">
        <v>737</v>
      </c>
      <c r="M1892">
        <v>8.4</v>
      </c>
    </row>
    <row r="1893" spans="1:13" hidden="1" x14ac:dyDescent="0.35">
      <c r="A1893" t="s">
        <v>24</v>
      </c>
      <c r="D1893" t="s">
        <v>29</v>
      </c>
      <c r="F1893">
        <v>7</v>
      </c>
      <c r="G1893">
        <v>5</v>
      </c>
      <c r="H1893">
        <v>3</v>
      </c>
      <c r="I1893">
        <v>39</v>
      </c>
      <c r="K1893" s="122">
        <v>45509</v>
      </c>
      <c r="L1893" t="s">
        <v>738</v>
      </c>
      <c r="M1893">
        <v>8.5</v>
      </c>
    </row>
    <row r="1894" spans="1:13" hidden="1" x14ac:dyDescent="0.35">
      <c r="A1894" t="s">
        <v>24</v>
      </c>
      <c r="D1894" t="s">
        <v>29</v>
      </c>
      <c r="F1894">
        <v>7</v>
      </c>
      <c r="G1894">
        <v>5</v>
      </c>
      <c r="H1894">
        <v>3</v>
      </c>
      <c r="I1894">
        <v>39</v>
      </c>
      <c r="K1894" s="122">
        <v>45509</v>
      </c>
      <c r="L1894" t="s">
        <v>739</v>
      </c>
      <c r="M1894">
        <v>8.6999999999999993</v>
      </c>
    </row>
    <row r="1895" spans="1:13" hidden="1" x14ac:dyDescent="0.35">
      <c r="A1895" t="s">
        <v>24</v>
      </c>
      <c r="D1895" t="s">
        <v>29</v>
      </c>
      <c r="F1895">
        <v>7</v>
      </c>
      <c r="G1895">
        <v>5</v>
      </c>
      <c r="H1895">
        <v>3</v>
      </c>
      <c r="I1895">
        <v>39</v>
      </c>
      <c r="K1895" s="122">
        <v>45519</v>
      </c>
      <c r="L1895" t="s">
        <v>737</v>
      </c>
      <c r="M1895">
        <v>9.1999999999999993</v>
      </c>
    </row>
    <row r="1896" spans="1:13" hidden="1" x14ac:dyDescent="0.35">
      <c r="A1896" t="s">
        <v>24</v>
      </c>
      <c r="D1896" t="s">
        <v>29</v>
      </c>
      <c r="F1896">
        <v>7</v>
      </c>
      <c r="G1896">
        <v>5</v>
      </c>
      <c r="H1896">
        <v>3</v>
      </c>
      <c r="I1896">
        <v>39</v>
      </c>
      <c r="K1896" s="122">
        <v>45519</v>
      </c>
      <c r="L1896" t="s">
        <v>738</v>
      </c>
      <c r="M1896">
        <v>9.4</v>
      </c>
    </row>
    <row r="1897" spans="1:13" hidden="1" x14ac:dyDescent="0.35">
      <c r="A1897" t="s">
        <v>24</v>
      </c>
      <c r="D1897" t="s">
        <v>29</v>
      </c>
      <c r="F1897">
        <v>7</v>
      </c>
      <c r="G1897">
        <v>5</v>
      </c>
      <c r="H1897">
        <v>3</v>
      </c>
      <c r="I1897">
        <v>39</v>
      </c>
      <c r="K1897" s="122">
        <v>45519</v>
      </c>
      <c r="L1897" t="s">
        <v>739</v>
      </c>
      <c r="M1897">
        <v>9.6999999999999993</v>
      </c>
    </row>
    <row r="1898" spans="1:13" hidden="1" x14ac:dyDescent="0.35">
      <c r="A1898" t="s">
        <v>24</v>
      </c>
      <c r="D1898" t="s">
        <v>29</v>
      </c>
      <c r="F1898">
        <v>7</v>
      </c>
      <c r="G1898">
        <v>5</v>
      </c>
      <c r="H1898">
        <v>3</v>
      </c>
      <c r="I1898">
        <v>39</v>
      </c>
      <c r="K1898" s="122">
        <v>45530</v>
      </c>
      <c r="L1898" t="s">
        <v>737</v>
      </c>
      <c r="M1898">
        <v>11.1</v>
      </c>
    </row>
    <row r="1899" spans="1:13" hidden="1" x14ac:dyDescent="0.35">
      <c r="A1899" t="s">
        <v>24</v>
      </c>
      <c r="D1899" t="s">
        <v>29</v>
      </c>
      <c r="F1899">
        <v>7</v>
      </c>
      <c r="G1899">
        <v>5</v>
      </c>
      <c r="H1899">
        <v>3</v>
      </c>
      <c r="I1899">
        <v>39</v>
      </c>
      <c r="K1899" s="122">
        <v>45530</v>
      </c>
      <c r="L1899" t="s">
        <v>738</v>
      </c>
      <c r="M1899">
        <v>10.7</v>
      </c>
    </row>
    <row r="1900" spans="1:13" hidden="1" x14ac:dyDescent="0.35">
      <c r="A1900" t="s">
        <v>24</v>
      </c>
      <c r="D1900" t="s">
        <v>29</v>
      </c>
      <c r="F1900">
        <v>7</v>
      </c>
      <c r="G1900">
        <v>5</v>
      </c>
      <c r="H1900">
        <v>3</v>
      </c>
      <c r="I1900">
        <v>39</v>
      </c>
      <c r="K1900" s="122">
        <v>45530</v>
      </c>
      <c r="L1900" t="s">
        <v>739</v>
      </c>
      <c r="M1900">
        <v>11.1</v>
      </c>
    </row>
    <row r="1901" spans="1:13" hidden="1" x14ac:dyDescent="0.35">
      <c r="A1901" t="s">
        <v>24</v>
      </c>
      <c r="D1901" t="s">
        <v>29</v>
      </c>
      <c r="F1901">
        <v>7</v>
      </c>
      <c r="G1901">
        <v>5</v>
      </c>
      <c r="H1901">
        <v>3</v>
      </c>
      <c r="I1901">
        <v>39</v>
      </c>
      <c r="K1901" s="122">
        <v>45538</v>
      </c>
      <c r="L1901" t="s">
        <v>737</v>
      </c>
      <c r="M1901">
        <v>11.4</v>
      </c>
    </row>
    <row r="1902" spans="1:13" hidden="1" x14ac:dyDescent="0.35">
      <c r="A1902" t="s">
        <v>24</v>
      </c>
      <c r="D1902" t="s">
        <v>29</v>
      </c>
      <c r="F1902">
        <v>7</v>
      </c>
      <c r="G1902">
        <v>5</v>
      </c>
      <c r="H1902">
        <v>3</v>
      </c>
      <c r="I1902">
        <v>39</v>
      </c>
      <c r="K1902" s="122">
        <v>45538</v>
      </c>
      <c r="L1902" t="s">
        <v>738</v>
      </c>
      <c r="M1902">
        <v>11.7</v>
      </c>
    </row>
    <row r="1903" spans="1:13" hidden="1" x14ac:dyDescent="0.35">
      <c r="A1903" t="s">
        <v>24</v>
      </c>
      <c r="D1903" t="s">
        <v>29</v>
      </c>
      <c r="F1903">
        <v>7</v>
      </c>
      <c r="G1903">
        <v>5</v>
      </c>
      <c r="H1903">
        <v>3</v>
      </c>
      <c r="I1903">
        <v>39</v>
      </c>
      <c r="K1903" s="122">
        <v>45538</v>
      </c>
      <c r="L1903" t="s">
        <v>739</v>
      </c>
      <c r="M1903">
        <v>11.6</v>
      </c>
    </row>
    <row r="1904" spans="1:13" hidden="1" x14ac:dyDescent="0.35">
      <c r="A1904" t="s">
        <v>24</v>
      </c>
      <c r="D1904" t="s">
        <v>29</v>
      </c>
      <c r="F1904">
        <v>7</v>
      </c>
      <c r="G1904">
        <v>5</v>
      </c>
      <c r="H1904">
        <v>3</v>
      </c>
      <c r="I1904">
        <v>39</v>
      </c>
      <c r="K1904" s="122">
        <v>45547</v>
      </c>
      <c r="L1904" t="s">
        <v>737</v>
      </c>
      <c r="M1904">
        <v>12</v>
      </c>
    </row>
    <row r="1905" spans="1:13" hidden="1" x14ac:dyDescent="0.35">
      <c r="A1905" t="s">
        <v>24</v>
      </c>
      <c r="D1905" t="s">
        <v>29</v>
      </c>
      <c r="F1905">
        <v>7</v>
      </c>
      <c r="G1905">
        <v>5</v>
      </c>
      <c r="H1905">
        <v>3</v>
      </c>
      <c r="I1905">
        <v>39</v>
      </c>
      <c r="K1905" s="122">
        <v>45547</v>
      </c>
      <c r="L1905" t="s">
        <v>738</v>
      </c>
      <c r="M1905">
        <v>12</v>
      </c>
    </row>
    <row r="1906" spans="1:13" hidden="1" x14ac:dyDescent="0.35">
      <c r="A1906" t="s">
        <v>24</v>
      </c>
      <c r="D1906" t="s">
        <v>29</v>
      </c>
      <c r="F1906">
        <v>7</v>
      </c>
      <c r="G1906">
        <v>5</v>
      </c>
      <c r="H1906">
        <v>3</v>
      </c>
      <c r="I1906">
        <v>39</v>
      </c>
      <c r="K1906" s="122">
        <v>45547</v>
      </c>
      <c r="L1906" t="s">
        <v>739</v>
      </c>
      <c r="M1906">
        <v>12</v>
      </c>
    </row>
    <row r="1907" spans="1:13" hidden="1" x14ac:dyDescent="0.35">
      <c r="A1907" t="s">
        <v>24</v>
      </c>
      <c r="D1907" t="s">
        <v>29</v>
      </c>
      <c r="F1907">
        <v>7</v>
      </c>
      <c r="G1907">
        <v>5</v>
      </c>
      <c r="H1907">
        <v>3</v>
      </c>
      <c r="I1907">
        <v>39</v>
      </c>
      <c r="K1907" s="122">
        <v>45555</v>
      </c>
      <c r="L1907" t="s">
        <v>737</v>
      </c>
    </row>
    <row r="1908" spans="1:13" hidden="1" x14ac:dyDescent="0.35">
      <c r="A1908" t="s">
        <v>24</v>
      </c>
      <c r="D1908" t="s">
        <v>29</v>
      </c>
      <c r="F1908">
        <v>7</v>
      </c>
      <c r="G1908">
        <v>5</v>
      </c>
      <c r="H1908">
        <v>3</v>
      </c>
      <c r="I1908">
        <v>39</v>
      </c>
      <c r="K1908" s="122">
        <v>45555</v>
      </c>
      <c r="L1908" t="s">
        <v>738</v>
      </c>
    </row>
    <row r="1909" spans="1:13" hidden="1" x14ac:dyDescent="0.35">
      <c r="A1909" t="s">
        <v>24</v>
      </c>
      <c r="D1909" t="s">
        <v>29</v>
      </c>
      <c r="F1909">
        <v>7</v>
      </c>
      <c r="G1909">
        <v>5</v>
      </c>
      <c r="H1909">
        <v>3</v>
      </c>
      <c r="I1909">
        <v>39</v>
      </c>
      <c r="K1909" s="122">
        <v>45555</v>
      </c>
      <c r="L1909" t="s">
        <v>739</v>
      </c>
    </row>
    <row r="1910" spans="1:13" hidden="1" x14ac:dyDescent="0.35">
      <c r="A1910" t="s">
        <v>34</v>
      </c>
      <c r="D1910" t="s">
        <v>38</v>
      </c>
      <c r="F1910">
        <v>7</v>
      </c>
      <c r="G1910">
        <v>6</v>
      </c>
      <c r="H1910">
        <v>3</v>
      </c>
      <c r="I1910">
        <v>47</v>
      </c>
      <c r="K1910" s="122">
        <v>45442</v>
      </c>
      <c r="L1910" t="s">
        <v>737</v>
      </c>
    </row>
    <row r="1911" spans="1:13" hidden="1" x14ac:dyDescent="0.35">
      <c r="A1911" t="s">
        <v>34</v>
      </c>
      <c r="D1911" t="s">
        <v>38</v>
      </c>
      <c r="F1911">
        <v>7</v>
      </c>
      <c r="G1911">
        <v>6</v>
      </c>
      <c r="H1911">
        <v>3</v>
      </c>
      <c r="I1911">
        <v>47</v>
      </c>
      <c r="K1911" s="122">
        <v>45442</v>
      </c>
      <c r="L1911" t="s">
        <v>738</v>
      </c>
    </row>
    <row r="1912" spans="1:13" hidden="1" x14ac:dyDescent="0.35">
      <c r="A1912" t="s">
        <v>34</v>
      </c>
      <c r="D1912" t="s">
        <v>38</v>
      </c>
      <c r="F1912">
        <v>7</v>
      </c>
      <c r="G1912">
        <v>6</v>
      </c>
      <c r="H1912">
        <v>3</v>
      </c>
      <c r="I1912">
        <v>47</v>
      </c>
      <c r="K1912" s="122">
        <v>45442</v>
      </c>
      <c r="L1912" t="s">
        <v>739</v>
      </c>
    </row>
    <row r="1913" spans="1:13" hidden="1" x14ac:dyDescent="0.35">
      <c r="A1913" t="s">
        <v>34</v>
      </c>
      <c r="D1913" t="s">
        <v>38</v>
      </c>
      <c r="F1913">
        <v>7</v>
      </c>
      <c r="G1913">
        <v>6</v>
      </c>
      <c r="H1913">
        <v>3</v>
      </c>
      <c r="I1913">
        <v>47</v>
      </c>
      <c r="K1913" s="122">
        <v>45447</v>
      </c>
      <c r="L1913" t="s">
        <v>737</v>
      </c>
      <c r="M1913">
        <v>1.8</v>
      </c>
    </row>
    <row r="1914" spans="1:13" hidden="1" x14ac:dyDescent="0.35">
      <c r="A1914" t="s">
        <v>34</v>
      </c>
      <c r="D1914" t="s">
        <v>38</v>
      </c>
      <c r="F1914">
        <v>7</v>
      </c>
      <c r="G1914">
        <v>6</v>
      </c>
      <c r="H1914">
        <v>3</v>
      </c>
      <c r="I1914">
        <v>47</v>
      </c>
      <c r="K1914" s="122">
        <v>45447</v>
      </c>
      <c r="L1914" t="s">
        <v>738</v>
      </c>
      <c r="M1914">
        <v>1.8</v>
      </c>
    </row>
    <row r="1915" spans="1:13" hidden="1" x14ac:dyDescent="0.35">
      <c r="A1915" t="s">
        <v>34</v>
      </c>
      <c r="D1915" t="s">
        <v>38</v>
      </c>
      <c r="F1915">
        <v>7</v>
      </c>
      <c r="G1915">
        <v>6</v>
      </c>
      <c r="H1915">
        <v>3</v>
      </c>
      <c r="I1915">
        <v>47</v>
      </c>
      <c r="K1915" s="122">
        <v>45447</v>
      </c>
      <c r="L1915" t="s">
        <v>739</v>
      </c>
      <c r="M1915">
        <v>1.8</v>
      </c>
    </row>
    <row r="1916" spans="1:13" hidden="1" x14ac:dyDescent="0.35">
      <c r="A1916" t="s">
        <v>34</v>
      </c>
      <c r="D1916" t="s">
        <v>38</v>
      </c>
      <c r="F1916">
        <v>7</v>
      </c>
      <c r="G1916">
        <v>6</v>
      </c>
      <c r="H1916">
        <v>3</v>
      </c>
      <c r="I1916">
        <v>47</v>
      </c>
      <c r="K1916" s="122">
        <v>45462</v>
      </c>
      <c r="L1916" t="s">
        <v>737</v>
      </c>
      <c r="M1916">
        <v>3.5</v>
      </c>
    </row>
    <row r="1917" spans="1:13" hidden="1" x14ac:dyDescent="0.35">
      <c r="A1917" t="s">
        <v>34</v>
      </c>
      <c r="D1917" t="s">
        <v>38</v>
      </c>
      <c r="F1917">
        <v>7</v>
      </c>
      <c r="G1917">
        <v>6</v>
      </c>
      <c r="H1917">
        <v>3</v>
      </c>
      <c r="I1917">
        <v>47</v>
      </c>
      <c r="K1917" s="122">
        <v>45462</v>
      </c>
      <c r="L1917" t="s">
        <v>738</v>
      </c>
      <c r="M1917">
        <v>3.5</v>
      </c>
    </row>
    <row r="1918" spans="1:13" hidden="1" x14ac:dyDescent="0.35">
      <c r="A1918" t="s">
        <v>34</v>
      </c>
      <c r="D1918" t="s">
        <v>38</v>
      </c>
      <c r="F1918">
        <v>7</v>
      </c>
      <c r="G1918">
        <v>6</v>
      </c>
      <c r="H1918">
        <v>3</v>
      </c>
      <c r="I1918">
        <v>47</v>
      </c>
      <c r="K1918" s="122">
        <v>45462</v>
      </c>
      <c r="L1918" t="s">
        <v>739</v>
      </c>
      <c r="M1918">
        <v>3.5</v>
      </c>
    </row>
    <row r="1919" spans="1:13" hidden="1" x14ac:dyDescent="0.35">
      <c r="A1919" t="s">
        <v>34</v>
      </c>
      <c r="D1919" t="s">
        <v>38</v>
      </c>
      <c r="F1919">
        <v>7</v>
      </c>
      <c r="G1919">
        <v>6</v>
      </c>
      <c r="H1919">
        <v>3</v>
      </c>
      <c r="I1919">
        <v>47</v>
      </c>
      <c r="K1919" s="122">
        <v>45477</v>
      </c>
      <c r="L1919" t="s">
        <v>737</v>
      </c>
      <c r="M1919">
        <v>4.8</v>
      </c>
    </row>
    <row r="1920" spans="1:13" hidden="1" x14ac:dyDescent="0.35">
      <c r="A1920" t="s">
        <v>34</v>
      </c>
      <c r="D1920" t="s">
        <v>38</v>
      </c>
      <c r="F1920">
        <v>7</v>
      </c>
      <c r="G1920">
        <v>6</v>
      </c>
      <c r="H1920">
        <v>3</v>
      </c>
      <c r="I1920">
        <v>47</v>
      </c>
      <c r="K1920" s="122">
        <v>45477</v>
      </c>
      <c r="L1920" t="s">
        <v>738</v>
      </c>
      <c r="M1920">
        <v>5</v>
      </c>
    </row>
    <row r="1921" spans="1:13" hidden="1" x14ac:dyDescent="0.35">
      <c r="A1921" t="s">
        <v>34</v>
      </c>
      <c r="D1921" t="s">
        <v>38</v>
      </c>
      <c r="F1921">
        <v>7</v>
      </c>
      <c r="G1921">
        <v>6</v>
      </c>
      <c r="H1921">
        <v>3</v>
      </c>
      <c r="I1921">
        <v>47</v>
      </c>
      <c r="K1921" s="122">
        <v>45477</v>
      </c>
      <c r="L1921" t="s">
        <v>739</v>
      </c>
      <c r="M1921">
        <v>5</v>
      </c>
    </row>
    <row r="1922" spans="1:13" hidden="1" x14ac:dyDescent="0.35">
      <c r="A1922" t="s">
        <v>34</v>
      </c>
      <c r="D1922" t="s">
        <v>38</v>
      </c>
      <c r="F1922">
        <v>7</v>
      </c>
      <c r="G1922">
        <v>6</v>
      </c>
      <c r="H1922">
        <v>3</v>
      </c>
      <c r="I1922">
        <v>47</v>
      </c>
      <c r="K1922" s="122">
        <v>45485</v>
      </c>
      <c r="L1922" t="s">
        <v>737</v>
      </c>
    </row>
    <row r="1923" spans="1:13" hidden="1" x14ac:dyDescent="0.35">
      <c r="A1923" t="s">
        <v>34</v>
      </c>
      <c r="D1923" t="s">
        <v>38</v>
      </c>
      <c r="F1923">
        <v>7</v>
      </c>
      <c r="G1923">
        <v>6</v>
      </c>
      <c r="H1923">
        <v>3</v>
      </c>
      <c r="I1923">
        <v>47</v>
      </c>
      <c r="K1923" s="122">
        <v>45485</v>
      </c>
      <c r="L1923" t="s">
        <v>738</v>
      </c>
    </row>
    <row r="1924" spans="1:13" hidden="1" x14ac:dyDescent="0.35">
      <c r="A1924" t="s">
        <v>34</v>
      </c>
      <c r="D1924" t="s">
        <v>38</v>
      </c>
      <c r="F1924">
        <v>7</v>
      </c>
      <c r="G1924">
        <v>6</v>
      </c>
      <c r="H1924">
        <v>3</v>
      </c>
      <c r="I1924">
        <v>47</v>
      </c>
      <c r="K1924" s="122">
        <v>45485</v>
      </c>
      <c r="L1924" t="s">
        <v>739</v>
      </c>
    </row>
    <row r="1925" spans="1:13" hidden="1" x14ac:dyDescent="0.35">
      <c r="A1925" t="s">
        <v>34</v>
      </c>
      <c r="D1925" t="s">
        <v>38</v>
      </c>
      <c r="F1925">
        <v>7</v>
      </c>
      <c r="G1925">
        <v>6</v>
      </c>
      <c r="H1925">
        <v>3</v>
      </c>
      <c r="I1925">
        <v>47</v>
      </c>
      <c r="K1925" s="122">
        <v>45492</v>
      </c>
      <c r="L1925" t="s">
        <v>737</v>
      </c>
      <c r="M1925">
        <v>5.9</v>
      </c>
    </row>
    <row r="1926" spans="1:13" hidden="1" x14ac:dyDescent="0.35">
      <c r="A1926" t="s">
        <v>34</v>
      </c>
      <c r="D1926" t="s">
        <v>38</v>
      </c>
      <c r="F1926">
        <v>7</v>
      </c>
      <c r="G1926">
        <v>6</v>
      </c>
      <c r="H1926">
        <v>3</v>
      </c>
      <c r="I1926">
        <v>47</v>
      </c>
      <c r="K1926" s="122">
        <v>45492</v>
      </c>
      <c r="L1926" t="s">
        <v>738</v>
      </c>
      <c r="M1926">
        <v>6.1</v>
      </c>
    </row>
    <row r="1927" spans="1:13" hidden="1" x14ac:dyDescent="0.35">
      <c r="A1927" t="s">
        <v>34</v>
      </c>
      <c r="D1927" t="s">
        <v>38</v>
      </c>
      <c r="F1927">
        <v>7</v>
      </c>
      <c r="G1927">
        <v>6</v>
      </c>
      <c r="H1927">
        <v>3</v>
      </c>
      <c r="I1927">
        <v>47</v>
      </c>
      <c r="K1927" s="122">
        <v>45492</v>
      </c>
      <c r="L1927" t="s">
        <v>739</v>
      </c>
      <c r="M1927">
        <v>4.7</v>
      </c>
    </row>
    <row r="1928" spans="1:13" hidden="1" x14ac:dyDescent="0.35">
      <c r="A1928" t="s">
        <v>34</v>
      </c>
      <c r="D1928" t="s">
        <v>38</v>
      </c>
      <c r="F1928">
        <v>7</v>
      </c>
      <c r="G1928">
        <v>6</v>
      </c>
      <c r="H1928">
        <v>3</v>
      </c>
      <c r="I1928">
        <v>47</v>
      </c>
      <c r="K1928" s="122">
        <v>45509</v>
      </c>
      <c r="L1928" t="s">
        <v>737</v>
      </c>
      <c r="M1928">
        <v>7.2</v>
      </c>
    </row>
    <row r="1929" spans="1:13" hidden="1" x14ac:dyDescent="0.35">
      <c r="A1929" t="s">
        <v>34</v>
      </c>
      <c r="D1929" t="s">
        <v>38</v>
      </c>
      <c r="F1929">
        <v>7</v>
      </c>
      <c r="G1929">
        <v>6</v>
      </c>
      <c r="H1929">
        <v>3</v>
      </c>
      <c r="I1929">
        <v>47</v>
      </c>
      <c r="K1929" s="122">
        <v>45509</v>
      </c>
      <c r="L1929" t="s">
        <v>738</v>
      </c>
      <c r="M1929">
        <v>7.2</v>
      </c>
    </row>
    <row r="1930" spans="1:13" hidden="1" x14ac:dyDescent="0.35">
      <c r="A1930" t="s">
        <v>34</v>
      </c>
      <c r="D1930" t="s">
        <v>38</v>
      </c>
      <c r="F1930">
        <v>7</v>
      </c>
      <c r="G1930">
        <v>6</v>
      </c>
      <c r="H1930">
        <v>3</v>
      </c>
      <c r="I1930">
        <v>47</v>
      </c>
      <c r="K1930" s="122">
        <v>45509</v>
      </c>
      <c r="L1930" t="s">
        <v>739</v>
      </c>
    </row>
    <row r="1931" spans="1:13" hidden="1" x14ac:dyDescent="0.35">
      <c r="A1931" t="s">
        <v>34</v>
      </c>
      <c r="D1931" t="s">
        <v>38</v>
      </c>
      <c r="F1931">
        <v>7</v>
      </c>
      <c r="G1931">
        <v>6</v>
      </c>
      <c r="H1931">
        <v>3</v>
      </c>
      <c r="I1931">
        <v>47</v>
      </c>
      <c r="K1931" s="122">
        <v>45519</v>
      </c>
      <c r="L1931" t="s">
        <v>737</v>
      </c>
      <c r="M1931">
        <v>8</v>
      </c>
    </row>
    <row r="1932" spans="1:13" hidden="1" x14ac:dyDescent="0.35">
      <c r="A1932" t="s">
        <v>34</v>
      </c>
      <c r="D1932" t="s">
        <v>38</v>
      </c>
      <c r="F1932">
        <v>7</v>
      </c>
      <c r="G1932">
        <v>6</v>
      </c>
      <c r="H1932">
        <v>3</v>
      </c>
      <c r="I1932">
        <v>47</v>
      </c>
      <c r="K1932" s="122">
        <v>45519</v>
      </c>
      <c r="L1932" t="s">
        <v>738</v>
      </c>
      <c r="M1932">
        <v>8.3000000000000007</v>
      </c>
    </row>
    <row r="1933" spans="1:13" hidden="1" x14ac:dyDescent="0.35">
      <c r="A1933" t="s">
        <v>34</v>
      </c>
      <c r="D1933" t="s">
        <v>38</v>
      </c>
      <c r="F1933">
        <v>7</v>
      </c>
      <c r="G1933">
        <v>6</v>
      </c>
      <c r="H1933">
        <v>3</v>
      </c>
      <c r="I1933">
        <v>47</v>
      </c>
      <c r="K1933" s="122">
        <v>45519</v>
      </c>
      <c r="L1933" t="s">
        <v>739</v>
      </c>
    </row>
    <row r="1934" spans="1:13" hidden="1" x14ac:dyDescent="0.35">
      <c r="A1934" t="s">
        <v>34</v>
      </c>
      <c r="D1934" t="s">
        <v>38</v>
      </c>
      <c r="F1934">
        <v>7</v>
      </c>
      <c r="G1934">
        <v>6</v>
      </c>
      <c r="H1934">
        <v>3</v>
      </c>
      <c r="I1934">
        <v>47</v>
      </c>
      <c r="K1934" s="122">
        <v>45530</v>
      </c>
      <c r="L1934" t="s">
        <v>737</v>
      </c>
      <c r="M1934">
        <v>9.1</v>
      </c>
    </row>
    <row r="1935" spans="1:13" hidden="1" x14ac:dyDescent="0.35">
      <c r="A1935" t="s">
        <v>34</v>
      </c>
      <c r="D1935" t="s">
        <v>38</v>
      </c>
      <c r="F1935">
        <v>7</v>
      </c>
      <c r="G1935">
        <v>6</v>
      </c>
      <c r="H1935">
        <v>3</v>
      </c>
      <c r="I1935">
        <v>47</v>
      </c>
      <c r="K1935" s="122">
        <v>45530</v>
      </c>
      <c r="L1935" t="s">
        <v>738</v>
      </c>
      <c r="M1935">
        <v>9.1</v>
      </c>
    </row>
    <row r="1936" spans="1:13" hidden="1" x14ac:dyDescent="0.35">
      <c r="A1936" t="s">
        <v>34</v>
      </c>
      <c r="D1936" t="s">
        <v>38</v>
      </c>
      <c r="F1936">
        <v>7</v>
      </c>
      <c r="G1936">
        <v>6</v>
      </c>
      <c r="H1936">
        <v>3</v>
      </c>
      <c r="I1936">
        <v>47</v>
      </c>
      <c r="K1936" s="122">
        <v>45530</v>
      </c>
      <c r="L1936" t="s">
        <v>739</v>
      </c>
    </row>
    <row r="1937" spans="1:13" hidden="1" x14ac:dyDescent="0.35">
      <c r="A1937" t="s">
        <v>34</v>
      </c>
      <c r="D1937" t="s">
        <v>38</v>
      </c>
      <c r="F1937">
        <v>7</v>
      </c>
      <c r="G1937">
        <v>6</v>
      </c>
      <c r="H1937">
        <v>3</v>
      </c>
      <c r="I1937">
        <v>47</v>
      </c>
      <c r="K1937" s="122">
        <v>45538</v>
      </c>
      <c r="L1937" t="s">
        <v>737</v>
      </c>
      <c r="M1937">
        <v>9.8000000000000007</v>
      </c>
    </row>
    <row r="1938" spans="1:13" hidden="1" x14ac:dyDescent="0.35">
      <c r="A1938" t="s">
        <v>34</v>
      </c>
      <c r="D1938" t="s">
        <v>38</v>
      </c>
      <c r="F1938">
        <v>7</v>
      </c>
      <c r="G1938">
        <v>6</v>
      </c>
      <c r="H1938">
        <v>3</v>
      </c>
      <c r="I1938">
        <v>47</v>
      </c>
      <c r="K1938" s="122">
        <v>45538</v>
      </c>
      <c r="L1938" t="s">
        <v>738</v>
      </c>
      <c r="M1938">
        <v>9.9</v>
      </c>
    </row>
    <row r="1939" spans="1:13" hidden="1" x14ac:dyDescent="0.35">
      <c r="A1939" t="s">
        <v>34</v>
      </c>
      <c r="D1939" t="s">
        <v>38</v>
      </c>
      <c r="F1939">
        <v>7</v>
      </c>
      <c r="G1939">
        <v>6</v>
      </c>
      <c r="H1939">
        <v>3</v>
      </c>
      <c r="I1939">
        <v>47</v>
      </c>
      <c r="K1939" s="122">
        <v>45538</v>
      </c>
      <c r="L1939" t="s">
        <v>739</v>
      </c>
    </row>
    <row r="1940" spans="1:13" hidden="1" x14ac:dyDescent="0.35">
      <c r="A1940" t="s">
        <v>34</v>
      </c>
      <c r="D1940" t="s">
        <v>38</v>
      </c>
      <c r="F1940">
        <v>7</v>
      </c>
      <c r="G1940">
        <v>6</v>
      </c>
      <c r="H1940">
        <v>3</v>
      </c>
      <c r="I1940">
        <v>47</v>
      </c>
      <c r="K1940" s="122">
        <v>45547</v>
      </c>
      <c r="L1940" t="s">
        <v>737</v>
      </c>
      <c r="M1940">
        <v>10</v>
      </c>
    </row>
    <row r="1941" spans="1:13" hidden="1" x14ac:dyDescent="0.35">
      <c r="A1941" t="s">
        <v>34</v>
      </c>
      <c r="D1941" t="s">
        <v>38</v>
      </c>
      <c r="F1941">
        <v>7</v>
      </c>
      <c r="G1941">
        <v>6</v>
      </c>
      <c r="H1941">
        <v>3</v>
      </c>
      <c r="I1941">
        <v>47</v>
      </c>
      <c r="K1941" s="122">
        <v>45547</v>
      </c>
      <c r="L1941" t="s">
        <v>738</v>
      </c>
      <c r="M1941">
        <v>10</v>
      </c>
    </row>
    <row r="1942" spans="1:13" hidden="1" x14ac:dyDescent="0.35">
      <c r="A1942" t="s">
        <v>34</v>
      </c>
      <c r="D1942" t="s">
        <v>38</v>
      </c>
      <c r="F1942">
        <v>7</v>
      </c>
      <c r="G1942">
        <v>6</v>
      </c>
      <c r="H1942">
        <v>3</v>
      </c>
      <c r="I1942">
        <v>47</v>
      </c>
      <c r="K1942" s="122">
        <v>45547</v>
      </c>
      <c r="L1942" t="s">
        <v>739</v>
      </c>
    </row>
    <row r="1943" spans="1:13" hidden="1" x14ac:dyDescent="0.35">
      <c r="A1943" t="s">
        <v>34</v>
      </c>
      <c r="D1943" t="s">
        <v>38</v>
      </c>
      <c r="F1943">
        <v>7</v>
      </c>
      <c r="G1943">
        <v>6</v>
      </c>
      <c r="H1943">
        <v>3</v>
      </c>
      <c r="I1943">
        <v>47</v>
      </c>
      <c r="K1943" s="122">
        <v>45555</v>
      </c>
      <c r="L1943" t="s">
        <v>737</v>
      </c>
    </row>
    <row r="1944" spans="1:13" hidden="1" x14ac:dyDescent="0.35">
      <c r="A1944" t="s">
        <v>34</v>
      </c>
      <c r="D1944" t="s">
        <v>38</v>
      </c>
      <c r="F1944">
        <v>7</v>
      </c>
      <c r="G1944">
        <v>6</v>
      </c>
      <c r="H1944">
        <v>3</v>
      </c>
      <c r="I1944">
        <v>47</v>
      </c>
      <c r="K1944" s="122">
        <v>45555</v>
      </c>
      <c r="L1944" t="s">
        <v>738</v>
      </c>
    </row>
    <row r="1945" spans="1:13" hidden="1" x14ac:dyDescent="0.35">
      <c r="A1945" t="s">
        <v>34</v>
      </c>
      <c r="D1945" t="s">
        <v>38</v>
      </c>
      <c r="F1945">
        <v>7</v>
      </c>
      <c r="G1945">
        <v>6</v>
      </c>
      <c r="H1945">
        <v>3</v>
      </c>
      <c r="I1945">
        <v>47</v>
      </c>
      <c r="K1945" s="122">
        <v>45555</v>
      </c>
      <c r="L1945" t="s">
        <v>739</v>
      </c>
    </row>
    <row r="1946" spans="1:13" hidden="1" x14ac:dyDescent="0.35">
      <c r="A1946" t="s">
        <v>24</v>
      </c>
      <c r="D1946" t="s">
        <v>335</v>
      </c>
      <c r="F1946">
        <v>7</v>
      </c>
      <c r="G1946">
        <v>7</v>
      </c>
      <c r="H1946">
        <v>4</v>
      </c>
      <c r="I1946">
        <v>55</v>
      </c>
      <c r="K1946" s="122">
        <v>45442</v>
      </c>
      <c r="L1946" t="s">
        <v>737</v>
      </c>
    </row>
    <row r="1947" spans="1:13" hidden="1" x14ac:dyDescent="0.35">
      <c r="A1947" t="s">
        <v>24</v>
      </c>
      <c r="D1947" t="s">
        <v>335</v>
      </c>
      <c r="F1947">
        <v>7</v>
      </c>
      <c r="G1947">
        <v>7</v>
      </c>
      <c r="H1947">
        <v>4</v>
      </c>
      <c r="I1947">
        <v>55</v>
      </c>
      <c r="K1947" s="122">
        <v>45442</v>
      </c>
      <c r="L1947" t="s">
        <v>738</v>
      </c>
    </row>
    <row r="1948" spans="1:13" hidden="1" x14ac:dyDescent="0.35">
      <c r="A1948" t="s">
        <v>24</v>
      </c>
      <c r="D1948" t="s">
        <v>335</v>
      </c>
      <c r="F1948">
        <v>7</v>
      </c>
      <c r="G1948">
        <v>7</v>
      </c>
      <c r="H1948">
        <v>4</v>
      </c>
      <c r="I1948">
        <v>55</v>
      </c>
      <c r="K1948" s="122">
        <v>45442</v>
      </c>
      <c r="L1948" t="s">
        <v>739</v>
      </c>
    </row>
    <row r="1949" spans="1:13" hidden="1" x14ac:dyDescent="0.35">
      <c r="A1949" t="s">
        <v>24</v>
      </c>
      <c r="D1949" t="s">
        <v>335</v>
      </c>
      <c r="F1949">
        <v>7</v>
      </c>
      <c r="G1949">
        <v>7</v>
      </c>
      <c r="H1949">
        <v>4</v>
      </c>
      <c r="I1949">
        <v>55</v>
      </c>
      <c r="K1949" s="122">
        <v>45447</v>
      </c>
      <c r="L1949" t="s">
        <v>737</v>
      </c>
      <c r="M1949">
        <v>5.3</v>
      </c>
    </row>
    <row r="1950" spans="1:13" hidden="1" x14ac:dyDescent="0.35">
      <c r="A1950" t="s">
        <v>24</v>
      </c>
      <c r="D1950" t="s">
        <v>335</v>
      </c>
      <c r="F1950">
        <v>7</v>
      </c>
      <c r="G1950">
        <v>7</v>
      </c>
      <c r="H1950">
        <v>4</v>
      </c>
      <c r="I1950">
        <v>55</v>
      </c>
      <c r="K1950" s="122">
        <v>45447</v>
      </c>
      <c r="L1950" t="s">
        <v>738</v>
      </c>
      <c r="M1950">
        <v>5.3</v>
      </c>
    </row>
    <row r="1951" spans="1:13" hidden="1" x14ac:dyDescent="0.35">
      <c r="A1951" t="s">
        <v>24</v>
      </c>
      <c r="D1951" t="s">
        <v>335</v>
      </c>
      <c r="F1951">
        <v>7</v>
      </c>
      <c r="G1951">
        <v>7</v>
      </c>
      <c r="H1951">
        <v>4</v>
      </c>
      <c r="I1951">
        <v>55</v>
      </c>
      <c r="K1951" s="122">
        <v>45447</v>
      </c>
      <c r="L1951" t="s">
        <v>739</v>
      </c>
      <c r="M1951">
        <v>5.3</v>
      </c>
    </row>
    <row r="1952" spans="1:13" hidden="1" x14ac:dyDescent="0.35">
      <c r="A1952" t="s">
        <v>24</v>
      </c>
      <c r="D1952" t="s">
        <v>335</v>
      </c>
      <c r="F1952">
        <v>7</v>
      </c>
      <c r="G1952">
        <v>7</v>
      </c>
      <c r="H1952">
        <v>4</v>
      </c>
      <c r="I1952">
        <v>55</v>
      </c>
      <c r="K1952" s="122">
        <v>45462</v>
      </c>
      <c r="L1952" t="s">
        <v>737</v>
      </c>
      <c r="M1952">
        <v>5.5</v>
      </c>
    </row>
    <row r="1953" spans="1:13" hidden="1" x14ac:dyDescent="0.35">
      <c r="A1953" t="s">
        <v>24</v>
      </c>
      <c r="D1953" t="s">
        <v>335</v>
      </c>
      <c r="F1953">
        <v>7</v>
      </c>
      <c r="G1953">
        <v>7</v>
      </c>
      <c r="H1953">
        <v>4</v>
      </c>
      <c r="I1953">
        <v>55</v>
      </c>
      <c r="K1953" s="122">
        <v>45462</v>
      </c>
      <c r="L1953" t="s">
        <v>738</v>
      </c>
      <c r="M1953">
        <v>5.3</v>
      </c>
    </row>
    <row r="1954" spans="1:13" hidden="1" x14ac:dyDescent="0.35">
      <c r="A1954" t="s">
        <v>24</v>
      </c>
      <c r="D1954" t="s">
        <v>335</v>
      </c>
      <c r="F1954">
        <v>7</v>
      </c>
      <c r="G1954">
        <v>7</v>
      </c>
      <c r="H1954">
        <v>4</v>
      </c>
      <c r="I1954">
        <v>55</v>
      </c>
      <c r="K1954" s="122">
        <v>45462</v>
      </c>
      <c r="L1954" t="s">
        <v>739</v>
      </c>
      <c r="M1954">
        <v>5.7</v>
      </c>
    </row>
    <row r="1955" spans="1:13" hidden="1" x14ac:dyDescent="0.35">
      <c r="A1955" t="s">
        <v>24</v>
      </c>
      <c r="D1955" t="s">
        <v>335</v>
      </c>
      <c r="F1955">
        <v>7</v>
      </c>
      <c r="G1955">
        <v>7</v>
      </c>
      <c r="H1955">
        <v>4</v>
      </c>
      <c r="I1955">
        <v>55</v>
      </c>
      <c r="K1955" s="122">
        <v>45477</v>
      </c>
      <c r="L1955" t="s">
        <v>737</v>
      </c>
    </row>
    <row r="1956" spans="1:13" hidden="1" x14ac:dyDescent="0.35">
      <c r="A1956" t="s">
        <v>24</v>
      </c>
      <c r="D1956" t="s">
        <v>335</v>
      </c>
      <c r="F1956">
        <v>7</v>
      </c>
      <c r="G1956">
        <v>7</v>
      </c>
      <c r="H1956">
        <v>4</v>
      </c>
      <c r="I1956">
        <v>55</v>
      </c>
      <c r="K1956" s="122">
        <v>45477</v>
      </c>
      <c r="L1956" t="s">
        <v>738</v>
      </c>
    </row>
    <row r="1957" spans="1:13" hidden="1" x14ac:dyDescent="0.35">
      <c r="A1957" t="s">
        <v>24</v>
      </c>
      <c r="D1957" t="s">
        <v>335</v>
      </c>
      <c r="F1957">
        <v>7</v>
      </c>
      <c r="G1957">
        <v>7</v>
      </c>
      <c r="H1957">
        <v>4</v>
      </c>
      <c r="I1957">
        <v>55</v>
      </c>
      <c r="K1957" s="122">
        <v>45477</v>
      </c>
      <c r="L1957" t="s">
        <v>739</v>
      </c>
    </row>
    <row r="1958" spans="1:13" hidden="1" x14ac:dyDescent="0.35">
      <c r="A1958" t="s">
        <v>24</v>
      </c>
      <c r="D1958" t="s">
        <v>335</v>
      </c>
      <c r="F1958">
        <v>7</v>
      </c>
      <c r="G1958">
        <v>7</v>
      </c>
      <c r="H1958">
        <v>4</v>
      </c>
      <c r="I1958">
        <v>55</v>
      </c>
      <c r="K1958" s="122">
        <v>45485</v>
      </c>
      <c r="L1958" t="s">
        <v>737</v>
      </c>
    </row>
    <row r="1959" spans="1:13" hidden="1" x14ac:dyDescent="0.35">
      <c r="A1959" t="s">
        <v>24</v>
      </c>
      <c r="D1959" t="s">
        <v>335</v>
      </c>
      <c r="F1959">
        <v>7</v>
      </c>
      <c r="G1959">
        <v>7</v>
      </c>
      <c r="H1959">
        <v>4</v>
      </c>
      <c r="I1959">
        <v>55</v>
      </c>
      <c r="K1959" s="122">
        <v>45485</v>
      </c>
      <c r="L1959" t="s">
        <v>738</v>
      </c>
    </row>
    <row r="1960" spans="1:13" hidden="1" x14ac:dyDescent="0.35">
      <c r="A1960" t="s">
        <v>24</v>
      </c>
      <c r="D1960" t="s">
        <v>335</v>
      </c>
      <c r="F1960">
        <v>7</v>
      </c>
      <c r="G1960">
        <v>7</v>
      </c>
      <c r="H1960">
        <v>4</v>
      </c>
      <c r="I1960">
        <v>55</v>
      </c>
      <c r="K1960" s="122">
        <v>45485</v>
      </c>
      <c r="L1960" t="s">
        <v>739</v>
      </c>
    </row>
    <row r="1961" spans="1:13" hidden="1" x14ac:dyDescent="0.35">
      <c r="A1961" t="s">
        <v>24</v>
      </c>
      <c r="D1961" t="s">
        <v>335</v>
      </c>
      <c r="F1961">
        <v>7</v>
      </c>
      <c r="G1961">
        <v>7</v>
      </c>
      <c r="H1961">
        <v>4</v>
      </c>
      <c r="I1961">
        <v>55</v>
      </c>
      <c r="K1961" s="122">
        <v>45492</v>
      </c>
      <c r="L1961" t="s">
        <v>737</v>
      </c>
      <c r="M1961">
        <v>7.4</v>
      </c>
    </row>
    <row r="1962" spans="1:13" hidden="1" x14ac:dyDescent="0.35">
      <c r="A1962" t="s">
        <v>24</v>
      </c>
      <c r="D1962" t="s">
        <v>335</v>
      </c>
      <c r="F1962">
        <v>7</v>
      </c>
      <c r="G1962">
        <v>7</v>
      </c>
      <c r="H1962">
        <v>4</v>
      </c>
      <c r="I1962">
        <v>55</v>
      </c>
      <c r="K1962" s="122">
        <v>45492</v>
      </c>
      <c r="L1962" t="s">
        <v>738</v>
      </c>
      <c r="M1962">
        <v>7.5</v>
      </c>
    </row>
    <row r="1963" spans="1:13" hidden="1" x14ac:dyDescent="0.35">
      <c r="A1963" t="s">
        <v>24</v>
      </c>
      <c r="D1963" t="s">
        <v>335</v>
      </c>
      <c r="F1963">
        <v>7</v>
      </c>
      <c r="G1963">
        <v>7</v>
      </c>
      <c r="H1963">
        <v>4</v>
      </c>
      <c r="I1963">
        <v>55</v>
      </c>
      <c r="K1963" s="122">
        <v>45492</v>
      </c>
      <c r="L1963" t="s">
        <v>739</v>
      </c>
      <c r="M1963">
        <v>7.8</v>
      </c>
    </row>
    <row r="1964" spans="1:13" hidden="1" x14ac:dyDescent="0.35">
      <c r="A1964" t="s">
        <v>24</v>
      </c>
      <c r="D1964" t="s">
        <v>335</v>
      </c>
      <c r="F1964">
        <v>7</v>
      </c>
      <c r="G1964">
        <v>7</v>
      </c>
      <c r="H1964">
        <v>4</v>
      </c>
      <c r="I1964">
        <v>55</v>
      </c>
      <c r="K1964" s="122">
        <v>45509</v>
      </c>
      <c r="L1964" t="s">
        <v>737</v>
      </c>
      <c r="M1964">
        <v>8.8000000000000007</v>
      </c>
    </row>
    <row r="1965" spans="1:13" hidden="1" x14ac:dyDescent="0.35">
      <c r="A1965" t="s">
        <v>24</v>
      </c>
      <c r="D1965" t="s">
        <v>335</v>
      </c>
      <c r="F1965">
        <v>7</v>
      </c>
      <c r="G1965">
        <v>7</v>
      </c>
      <c r="H1965">
        <v>4</v>
      </c>
      <c r="I1965">
        <v>55</v>
      </c>
      <c r="K1965" s="122">
        <v>45509</v>
      </c>
      <c r="L1965" t="s">
        <v>738</v>
      </c>
      <c r="M1965">
        <v>8.8000000000000007</v>
      </c>
    </row>
    <row r="1966" spans="1:13" hidden="1" x14ac:dyDescent="0.35">
      <c r="A1966" t="s">
        <v>24</v>
      </c>
      <c r="D1966" t="s">
        <v>335</v>
      </c>
      <c r="F1966">
        <v>7</v>
      </c>
      <c r="G1966">
        <v>7</v>
      </c>
      <c r="H1966">
        <v>4</v>
      </c>
      <c r="I1966">
        <v>55</v>
      </c>
      <c r="K1966" s="122">
        <v>45509</v>
      </c>
      <c r="L1966" t="s">
        <v>739</v>
      </c>
      <c r="M1966">
        <v>9.3000000000000007</v>
      </c>
    </row>
    <row r="1967" spans="1:13" hidden="1" x14ac:dyDescent="0.35">
      <c r="A1967" t="s">
        <v>24</v>
      </c>
      <c r="D1967" t="s">
        <v>335</v>
      </c>
      <c r="F1967">
        <v>7</v>
      </c>
      <c r="G1967">
        <v>7</v>
      </c>
      <c r="H1967">
        <v>4</v>
      </c>
      <c r="I1967">
        <v>55</v>
      </c>
      <c r="K1967" s="122">
        <v>45519</v>
      </c>
      <c r="L1967" t="s">
        <v>737</v>
      </c>
      <c r="M1967">
        <v>9.6999999999999993</v>
      </c>
    </row>
    <row r="1968" spans="1:13" hidden="1" x14ac:dyDescent="0.35">
      <c r="A1968" t="s">
        <v>24</v>
      </c>
      <c r="D1968" t="s">
        <v>335</v>
      </c>
      <c r="F1968">
        <v>7</v>
      </c>
      <c r="G1968">
        <v>7</v>
      </c>
      <c r="H1968">
        <v>4</v>
      </c>
      <c r="I1968">
        <v>55</v>
      </c>
      <c r="K1968" s="122">
        <v>45519</v>
      </c>
      <c r="L1968" t="s">
        <v>738</v>
      </c>
      <c r="M1968">
        <v>9.6999999999999993</v>
      </c>
    </row>
    <row r="1969" spans="1:13" hidden="1" x14ac:dyDescent="0.35">
      <c r="A1969" t="s">
        <v>24</v>
      </c>
      <c r="D1969" t="s">
        <v>335</v>
      </c>
      <c r="F1969">
        <v>7</v>
      </c>
      <c r="G1969">
        <v>7</v>
      </c>
      <c r="H1969">
        <v>4</v>
      </c>
      <c r="I1969">
        <v>55</v>
      </c>
      <c r="K1969" s="122">
        <v>45519</v>
      </c>
      <c r="L1969" t="s">
        <v>739</v>
      </c>
      <c r="M1969">
        <v>10.199999999999999</v>
      </c>
    </row>
    <row r="1970" spans="1:13" hidden="1" x14ac:dyDescent="0.35">
      <c r="A1970" t="s">
        <v>24</v>
      </c>
      <c r="D1970" t="s">
        <v>335</v>
      </c>
      <c r="F1970">
        <v>7</v>
      </c>
      <c r="G1970">
        <v>7</v>
      </c>
      <c r="H1970">
        <v>4</v>
      </c>
      <c r="I1970">
        <v>55</v>
      </c>
      <c r="K1970" s="122">
        <v>45530</v>
      </c>
      <c r="L1970" t="s">
        <v>737</v>
      </c>
      <c r="M1970">
        <v>11.1</v>
      </c>
    </row>
    <row r="1971" spans="1:13" hidden="1" x14ac:dyDescent="0.35">
      <c r="A1971" t="s">
        <v>24</v>
      </c>
      <c r="D1971" t="s">
        <v>335</v>
      </c>
      <c r="F1971">
        <v>7</v>
      </c>
      <c r="G1971">
        <v>7</v>
      </c>
      <c r="H1971">
        <v>4</v>
      </c>
      <c r="I1971">
        <v>55</v>
      </c>
      <c r="K1971" s="122">
        <v>45530</v>
      </c>
      <c r="L1971" t="s">
        <v>738</v>
      </c>
      <c r="M1971">
        <v>11</v>
      </c>
    </row>
    <row r="1972" spans="1:13" hidden="1" x14ac:dyDescent="0.35">
      <c r="A1972" t="s">
        <v>24</v>
      </c>
      <c r="D1972" t="s">
        <v>335</v>
      </c>
      <c r="F1972">
        <v>7</v>
      </c>
      <c r="G1972">
        <v>7</v>
      </c>
      <c r="H1972">
        <v>4</v>
      </c>
      <c r="I1972">
        <v>55</v>
      </c>
      <c r="K1972" s="122">
        <v>45530</v>
      </c>
      <c r="L1972" t="s">
        <v>739</v>
      </c>
      <c r="M1972">
        <v>11.2</v>
      </c>
    </row>
    <row r="1973" spans="1:13" hidden="1" x14ac:dyDescent="0.35">
      <c r="A1973" t="s">
        <v>24</v>
      </c>
      <c r="D1973" t="s">
        <v>335</v>
      </c>
      <c r="F1973">
        <v>7</v>
      </c>
      <c r="G1973">
        <v>7</v>
      </c>
      <c r="H1973">
        <v>4</v>
      </c>
      <c r="I1973">
        <v>55</v>
      </c>
      <c r="K1973" s="122">
        <v>45538</v>
      </c>
      <c r="L1973" t="s">
        <v>737</v>
      </c>
      <c r="M1973">
        <v>11.7</v>
      </c>
    </row>
    <row r="1974" spans="1:13" hidden="1" x14ac:dyDescent="0.35">
      <c r="A1974" t="s">
        <v>24</v>
      </c>
      <c r="D1974" t="s">
        <v>335</v>
      </c>
      <c r="F1974">
        <v>7</v>
      </c>
      <c r="G1974">
        <v>7</v>
      </c>
      <c r="H1974">
        <v>4</v>
      </c>
      <c r="I1974">
        <v>55</v>
      </c>
      <c r="K1974" s="122">
        <v>45538</v>
      </c>
      <c r="L1974" t="s">
        <v>738</v>
      </c>
      <c r="M1974">
        <v>11.6</v>
      </c>
    </row>
    <row r="1975" spans="1:13" hidden="1" x14ac:dyDescent="0.35">
      <c r="A1975" t="s">
        <v>24</v>
      </c>
      <c r="D1975" t="s">
        <v>335</v>
      </c>
      <c r="F1975">
        <v>7</v>
      </c>
      <c r="G1975">
        <v>7</v>
      </c>
      <c r="H1975">
        <v>4</v>
      </c>
      <c r="I1975">
        <v>55</v>
      </c>
      <c r="K1975" s="122">
        <v>45538</v>
      </c>
      <c r="L1975" t="s">
        <v>739</v>
      </c>
      <c r="M1975">
        <v>11.9</v>
      </c>
    </row>
    <row r="1976" spans="1:13" hidden="1" x14ac:dyDescent="0.35">
      <c r="A1976" t="s">
        <v>24</v>
      </c>
      <c r="D1976" t="s">
        <v>335</v>
      </c>
      <c r="F1976">
        <v>7</v>
      </c>
      <c r="G1976">
        <v>7</v>
      </c>
      <c r="H1976">
        <v>4</v>
      </c>
      <c r="I1976">
        <v>55</v>
      </c>
      <c r="K1976" s="122">
        <v>45547</v>
      </c>
      <c r="L1976" t="s">
        <v>737</v>
      </c>
      <c r="M1976">
        <v>12</v>
      </c>
    </row>
    <row r="1977" spans="1:13" hidden="1" x14ac:dyDescent="0.35">
      <c r="A1977" t="s">
        <v>24</v>
      </c>
      <c r="D1977" t="s">
        <v>335</v>
      </c>
      <c r="F1977">
        <v>7</v>
      </c>
      <c r="G1977">
        <v>7</v>
      </c>
      <c r="H1977">
        <v>4</v>
      </c>
      <c r="I1977">
        <v>55</v>
      </c>
      <c r="K1977" s="122">
        <v>45547</v>
      </c>
      <c r="L1977" t="s">
        <v>738</v>
      </c>
      <c r="M1977">
        <v>12</v>
      </c>
    </row>
    <row r="1978" spans="1:13" hidden="1" x14ac:dyDescent="0.35">
      <c r="A1978" t="s">
        <v>24</v>
      </c>
      <c r="D1978" t="s">
        <v>335</v>
      </c>
      <c r="F1978">
        <v>7</v>
      </c>
      <c r="G1978">
        <v>7</v>
      </c>
      <c r="H1978">
        <v>4</v>
      </c>
      <c r="I1978">
        <v>55</v>
      </c>
      <c r="K1978" s="122">
        <v>45547</v>
      </c>
      <c r="L1978" t="s">
        <v>739</v>
      </c>
      <c r="M1978">
        <v>12</v>
      </c>
    </row>
    <row r="1979" spans="1:13" hidden="1" x14ac:dyDescent="0.35">
      <c r="A1979" t="s">
        <v>24</v>
      </c>
      <c r="D1979" t="s">
        <v>335</v>
      </c>
      <c r="F1979">
        <v>7</v>
      </c>
      <c r="G1979">
        <v>7</v>
      </c>
      <c r="H1979">
        <v>4</v>
      </c>
      <c r="I1979">
        <v>55</v>
      </c>
      <c r="K1979" s="122">
        <v>45555</v>
      </c>
      <c r="L1979" t="s">
        <v>737</v>
      </c>
    </row>
    <row r="1980" spans="1:13" hidden="1" x14ac:dyDescent="0.35">
      <c r="A1980" t="s">
        <v>24</v>
      </c>
      <c r="D1980" t="s">
        <v>335</v>
      </c>
      <c r="F1980">
        <v>7</v>
      </c>
      <c r="G1980">
        <v>7</v>
      </c>
      <c r="H1980">
        <v>4</v>
      </c>
      <c r="I1980">
        <v>55</v>
      </c>
      <c r="K1980" s="122">
        <v>45555</v>
      </c>
      <c r="L1980" t="s">
        <v>738</v>
      </c>
    </row>
    <row r="1981" spans="1:13" hidden="1" x14ac:dyDescent="0.35">
      <c r="A1981" t="s">
        <v>24</v>
      </c>
      <c r="D1981" t="s">
        <v>335</v>
      </c>
      <c r="F1981">
        <v>7</v>
      </c>
      <c r="G1981">
        <v>7</v>
      </c>
      <c r="H1981">
        <v>4</v>
      </c>
      <c r="I1981">
        <v>55</v>
      </c>
      <c r="K1981" s="122">
        <v>45555</v>
      </c>
      <c r="L1981" t="s">
        <v>739</v>
      </c>
    </row>
    <row r="1982" spans="1:13" hidden="1" x14ac:dyDescent="0.35">
      <c r="A1982" t="s">
        <v>34</v>
      </c>
      <c r="D1982" t="s">
        <v>42</v>
      </c>
      <c r="F1982">
        <v>7</v>
      </c>
      <c r="G1982">
        <v>8</v>
      </c>
      <c r="H1982">
        <v>4</v>
      </c>
      <c r="I1982">
        <v>63</v>
      </c>
      <c r="K1982" s="122">
        <v>45442</v>
      </c>
      <c r="L1982" t="s">
        <v>737</v>
      </c>
    </row>
    <row r="1983" spans="1:13" hidden="1" x14ac:dyDescent="0.35">
      <c r="A1983" t="s">
        <v>34</v>
      </c>
      <c r="D1983" t="s">
        <v>42</v>
      </c>
      <c r="F1983">
        <v>7</v>
      </c>
      <c r="G1983">
        <v>8</v>
      </c>
      <c r="H1983">
        <v>4</v>
      </c>
      <c r="I1983">
        <v>63</v>
      </c>
      <c r="K1983" s="122">
        <v>45442</v>
      </c>
      <c r="L1983" t="s">
        <v>738</v>
      </c>
    </row>
    <row r="1984" spans="1:13" hidden="1" x14ac:dyDescent="0.35">
      <c r="A1984" t="s">
        <v>34</v>
      </c>
      <c r="D1984" t="s">
        <v>42</v>
      </c>
      <c r="F1984">
        <v>7</v>
      </c>
      <c r="G1984">
        <v>8</v>
      </c>
      <c r="H1984">
        <v>4</v>
      </c>
      <c r="I1984">
        <v>63</v>
      </c>
      <c r="K1984" s="122">
        <v>45442</v>
      </c>
      <c r="L1984" t="s">
        <v>739</v>
      </c>
    </row>
    <row r="1985" spans="1:13" hidden="1" x14ac:dyDescent="0.35">
      <c r="A1985" t="s">
        <v>34</v>
      </c>
      <c r="D1985" t="s">
        <v>42</v>
      </c>
      <c r="F1985">
        <v>7</v>
      </c>
      <c r="G1985">
        <v>8</v>
      </c>
      <c r="H1985">
        <v>4</v>
      </c>
      <c r="I1985">
        <v>63</v>
      </c>
      <c r="K1985" s="122">
        <v>45447</v>
      </c>
      <c r="L1985" t="s">
        <v>737</v>
      </c>
      <c r="M1985">
        <v>1.9</v>
      </c>
    </row>
    <row r="1986" spans="1:13" hidden="1" x14ac:dyDescent="0.35">
      <c r="A1986" t="s">
        <v>34</v>
      </c>
      <c r="D1986" t="s">
        <v>42</v>
      </c>
      <c r="F1986">
        <v>7</v>
      </c>
      <c r="G1986">
        <v>8</v>
      </c>
      <c r="H1986">
        <v>4</v>
      </c>
      <c r="I1986">
        <v>63</v>
      </c>
      <c r="K1986" s="122">
        <v>45447</v>
      </c>
      <c r="L1986" t="s">
        <v>738</v>
      </c>
      <c r="M1986">
        <v>1.7</v>
      </c>
    </row>
    <row r="1987" spans="1:13" hidden="1" x14ac:dyDescent="0.35">
      <c r="A1987" t="s">
        <v>34</v>
      </c>
      <c r="D1987" t="s">
        <v>42</v>
      </c>
      <c r="F1987">
        <v>7</v>
      </c>
      <c r="G1987">
        <v>8</v>
      </c>
      <c r="H1987">
        <v>4</v>
      </c>
      <c r="I1987">
        <v>63</v>
      </c>
      <c r="K1987" s="122">
        <v>45447</v>
      </c>
      <c r="L1987" t="s">
        <v>739</v>
      </c>
      <c r="M1987">
        <v>1.8</v>
      </c>
    </row>
    <row r="1988" spans="1:13" hidden="1" x14ac:dyDescent="0.35">
      <c r="A1988" t="s">
        <v>34</v>
      </c>
      <c r="D1988" t="s">
        <v>42</v>
      </c>
      <c r="F1988">
        <v>7</v>
      </c>
      <c r="G1988">
        <v>8</v>
      </c>
      <c r="H1988">
        <v>4</v>
      </c>
      <c r="I1988">
        <v>63</v>
      </c>
      <c r="K1988" s="122">
        <v>45462</v>
      </c>
      <c r="L1988" t="s">
        <v>737</v>
      </c>
      <c r="M1988">
        <v>3.2</v>
      </c>
    </row>
    <row r="1989" spans="1:13" hidden="1" x14ac:dyDescent="0.35">
      <c r="A1989" t="s">
        <v>34</v>
      </c>
      <c r="D1989" t="s">
        <v>42</v>
      </c>
      <c r="F1989">
        <v>7</v>
      </c>
      <c r="G1989">
        <v>8</v>
      </c>
      <c r="H1989">
        <v>4</v>
      </c>
      <c r="I1989">
        <v>63</v>
      </c>
      <c r="K1989" s="122">
        <v>45462</v>
      </c>
      <c r="L1989" t="s">
        <v>738</v>
      </c>
      <c r="M1989">
        <v>3.4</v>
      </c>
    </row>
    <row r="1990" spans="1:13" hidden="1" x14ac:dyDescent="0.35">
      <c r="A1990" t="s">
        <v>34</v>
      </c>
      <c r="D1990" t="s">
        <v>42</v>
      </c>
      <c r="F1990">
        <v>7</v>
      </c>
      <c r="G1990">
        <v>8</v>
      </c>
      <c r="H1990">
        <v>4</v>
      </c>
      <c r="I1990">
        <v>63</v>
      </c>
      <c r="K1990" s="122">
        <v>45462</v>
      </c>
      <c r="L1990" t="s">
        <v>739</v>
      </c>
      <c r="M1990">
        <v>3.2</v>
      </c>
    </row>
    <row r="1991" spans="1:13" hidden="1" x14ac:dyDescent="0.35">
      <c r="A1991" t="s">
        <v>34</v>
      </c>
      <c r="D1991" t="s">
        <v>42</v>
      </c>
      <c r="F1991">
        <v>7</v>
      </c>
      <c r="G1991">
        <v>8</v>
      </c>
      <c r="H1991">
        <v>4</v>
      </c>
      <c r="I1991">
        <v>63</v>
      </c>
      <c r="K1991" s="122">
        <v>45477</v>
      </c>
      <c r="L1991" t="s">
        <v>737</v>
      </c>
      <c r="M1991">
        <v>4.7</v>
      </c>
    </row>
    <row r="1992" spans="1:13" hidden="1" x14ac:dyDescent="0.35">
      <c r="A1992" t="s">
        <v>34</v>
      </c>
      <c r="D1992" t="s">
        <v>42</v>
      </c>
      <c r="F1992">
        <v>7</v>
      </c>
      <c r="G1992">
        <v>8</v>
      </c>
      <c r="H1992">
        <v>4</v>
      </c>
      <c r="I1992">
        <v>63</v>
      </c>
      <c r="K1992" s="122">
        <v>45477</v>
      </c>
      <c r="L1992" t="s">
        <v>738</v>
      </c>
      <c r="M1992">
        <v>4.9000000000000004</v>
      </c>
    </row>
    <row r="1993" spans="1:13" hidden="1" x14ac:dyDescent="0.35">
      <c r="A1993" t="s">
        <v>34</v>
      </c>
      <c r="D1993" t="s">
        <v>42</v>
      </c>
      <c r="F1993">
        <v>7</v>
      </c>
      <c r="G1993">
        <v>8</v>
      </c>
      <c r="H1993">
        <v>4</v>
      </c>
      <c r="I1993">
        <v>63</v>
      </c>
      <c r="K1993" s="122">
        <v>45477</v>
      </c>
      <c r="L1993" t="s">
        <v>739</v>
      </c>
      <c r="M1993">
        <v>4.7</v>
      </c>
    </row>
    <row r="1994" spans="1:13" hidden="1" x14ac:dyDescent="0.35">
      <c r="A1994" t="s">
        <v>34</v>
      </c>
      <c r="D1994" t="s">
        <v>42</v>
      </c>
      <c r="F1994">
        <v>7</v>
      </c>
      <c r="G1994">
        <v>8</v>
      </c>
      <c r="H1994">
        <v>4</v>
      </c>
      <c r="I1994">
        <v>63</v>
      </c>
      <c r="K1994" s="122">
        <v>45485</v>
      </c>
      <c r="L1994" t="s">
        <v>737</v>
      </c>
    </row>
    <row r="1995" spans="1:13" hidden="1" x14ac:dyDescent="0.35">
      <c r="A1995" t="s">
        <v>34</v>
      </c>
      <c r="D1995" t="s">
        <v>42</v>
      </c>
      <c r="F1995">
        <v>7</v>
      </c>
      <c r="G1995">
        <v>8</v>
      </c>
      <c r="H1995">
        <v>4</v>
      </c>
      <c r="I1995">
        <v>63</v>
      </c>
      <c r="K1995" s="122">
        <v>45485</v>
      </c>
      <c r="L1995" t="s">
        <v>738</v>
      </c>
    </row>
    <row r="1996" spans="1:13" hidden="1" x14ac:dyDescent="0.35">
      <c r="A1996" t="s">
        <v>34</v>
      </c>
      <c r="D1996" t="s">
        <v>42</v>
      </c>
      <c r="F1996">
        <v>7</v>
      </c>
      <c r="G1996">
        <v>8</v>
      </c>
      <c r="H1996">
        <v>4</v>
      </c>
      <c r="I1996">
        <v>63</v>
      </c>
      <c r="K1996" s="122">
        <v>45485</v>
      </c>
      <c r="L1996" t="s">
        <v>739</v>
      </c>
    </row>
    <row r="1997" spans="1:13" hidden="1" x14ac:dyDescent="0.35">
      <c r="A1997" t="s">
        <v>34</v>
      </c>
      <c r="D1997" t="s">
        <v>42</v>
      </c>
      <c r="F1997">
        <v>7</v>
      </c>
      <c r="G1997">
        <v>8</v>
      </c>
      <c r="H1997">
        <v>4</v>
      </c>
      <c r="I1997">
        <v>63</v>
      </c>
      <c r="K1997" s="122">
        <v>45492</v>
      </c>
      <c r="L1997" t="s">
        <v>737</v>
      </c>
      <c r="M1997">
        <v>5.9</v>
      </c>
    </row>
    <row r="1998" spans="1:13" hidden="1" x14ac:dyDescent="0.35">
      <c r="A1998" t="s">
        <v>34</v>
      </c>
      <c r="D1998" t="s">
        <v>42</v>
      </c>
      <c r="F1998">
        <v>7</v>
      </c>
      <c r="G1998">
        <v>8</v>
      </c>
      <c r="H1998">
        <v>4</v>
      </c>
      <c r="I1998">
        <v>63</v>
      </c>
      <c r="K1998" s="122">
        <v>45492</v>
      </c>
      <c r="L1998" t="s">
        <v>738</v>
      </c>
      <c r="M1998">
        <v>5.9</v>
      </c>
    </row>
    <row r="1999" spans="1:13" hidden="1" x14ac:dyDescent="0.35">
      <c r="A1999" t="s">
        <v>34</v>
      </c>
      <c r="D1999" t="s">
        <v>42</v>
      </c>
      <c r="F1999">
        <v>7</v>
      </c>
      <c r="G1999">
        <v>8</v>
      </c>
      <c r="H1999">
        <v>4</v>
      </c>
      <c r="I1999">
        <v>63</v>
      </c>
      <c r="K1999" s="122">
        <v>45492</v>
      </c>
      <c r="L1999" t="s">
        <v>739</v>
      </c>
      <c r="M1999">
        <v>6.1</v>
      </c>
    </row>
    <row r="2000" spans="1:13" hidden="1" x14ac:dyDescent="0.35">
      <c r="A2000" t="s">
        <v>34</v>
      </c>
      <c r="D2000" t="s">
        <v>42</v>
      </c>
      <c r="F2000">
        <v>7</v>
      </c>
      <c r="G2000">
        <v>8</v>
      </c>
      <c r="H2000">
        <v>4</v>
      </c>
      <c r="I2000">
        <v>63</v>
      </c>
      <c r="K2000" s="122">
        <v>45509</v>
      </c>
      <c r="L2000" t="s">
        <v>737</v>
      </c>
      <c r="M2000">
        <v>7.2</v>
      </c>
    </row>
    <row r="2001" spans="1:13" hidden="1" x14ac:dyDescent="0.35">
      <c r="A2001" t="s">
        <v>34</v>
      </c>
      <c r="D2001" t="s">
        <v>42</v>
      </c>
      <c r="F2001">
        <v>7</v>
      </c>
      <c r="G2001">
        <v>8</v>
      </c>
      <c r="H2001">
        <v>4</v>
      </c>
      <c r="I2001">
        <v>63</v>
      </c>
      <c r="K2001" s="122">
        <v>45509</v>
      </c>
      <c r="L2001" t="s">
        <v>738</v>
      </c>
      <c r="M2001">
        <v>7.3</v>
      </c>
    </row>
    <row r="2002" spans="1:13" hidden="1" x14ac:dyDescent="0.35">
      <c r="A2002" t="s">
        <v>34</v>
      </c>
      <c r="D2002" t="s">
        <v>42</v>
      </c>
      <c r="F2002">
        <v>7</v>
      </c>
      <c r="G2002">
        <v>8</v>
      </c>
      <c r="H2002">
        <v>4</v>
      </c>
      <c r="I2002">
        <v>63</v>
      </c>
      <c r="K2002" s="122">
        <v>45509</v>
      </c>
      <c r="L2002" t="s">
        <v>739</v>
      </c>
      <c r="M2002">
        <v>7.2</v>
      </c>
    </row>
    <row r="2003" spans="1:13" hidden="1" x14ac:dyDescent="0.35">
      <c r="A2003" t="s">
        <v>34</v>
      </c>
      <c r="D2003" t="s">
        <v>42</v>
      </c>
      <c r="F2003">
        <v>7</v>
      </c>
      <c r="G2003">
        <v>8</v>
      </c>
      <c r="H2003">
        <v>4</v>
      </c>
      <c r="I2003">
        <v>63</v>
      </c>
      <c r="K2003" s="122">
        <v>45519</v>
      </c>
      <c r="L2003" t="s">
        <v>737</v>
      </c>
      <c r="M2003">
        <v>8.1999999999999993</v>
      </c>
    </row>
    <row r="2004" spans="1:13" hidden="1" x14ac:dyDescent="0.35">
      <c r="A2004" t="s">
        <v>34</v>
      </c>
      <c r="D2004" t="s">
        <v>42</v>
      </c>
      <c r="F2004">
        <v>7</v>
      </c>
      <c r="G2004">
        <v>8</v>
      </c>
      <c r="H2004">
        <v>4</v>
      </c>
      <c r="I2004">
        <v>63</v>
      </c>
      <c r="K2004" s="122">
        <v>45519</v>
      </c>
      <c r="L2004" t="s">
        <v>738</v>
      </c>
      <c r="M2004">
        <v>8.3000000000000007</v>
      </c>
    </row>
    <row r="2005" spans="1:13" hidden="1" x14ac:dyDescent="0.35">
      <c r="A2005" t="s">
        <v>34</v>
      </c>
      <c r="D2005" t="s">
        <v>42</v>
      </c>
      <c r="F2005">
        <v>7</v>
      </c>
      <c r="G2005">
        <v>8</v>
      </c>
      <c r="H2005">
        <v>4</v>
      </c>
      <c r="I2005">
        <v>63</v>
      </c>
      <c r="K2005" s="122">
        <v>45519</v>
      </c>
      <c r="L2005" t="s">
        <v>739</v>
      </c>
      <c r="M2005">
        <v>8.1999999999999993</v>
      </c>
    </row>
    <row r="2006" spans="1:13" hidden="1" x14ac:dyDescent="0.35">
      <c r="A2006" t="s">
        <v>34</v>
      </c>
      <c r="D2006" t="s">
        <v>42</v>
      </c>
      <c r="F2006">
        <v>7</v>
      </c>
      <c r="G2006">
        <v>8</v>
      </c>
      <c r="H2006">
        <v>4</v>
      </c>
      <c r="I2006">
        <v>63</v>
      </c>
      <c r="K2006" s="122">
        <v>45530</v>
      </c>
      <c r="L2006" t="s">
        <v>737</v>
      </c>
      <c r="M2006">
        <v>9.1999999999999993</v>
      </c>
    </row>
    <row r="2007" spans="1:13" hidden="1" x14ac:dyDescent="0.35">
      <c r="A2007" t="s">
        <v>34</v>
      </c>
      <c r="D2007" t="s">
        <v>42</v>
      </c>
      <c r="F2007">
        <v>7</v>
      </c>
      <c r="G2007">
        <v>8</v>
      </c>
      <c r="H2007">
        <v>4</v>
      </c>
      <c r="I2007">
        <v>63</v>
      </c>
      <c r="K2007" s="122">
        <v>45530</v>
      </c>
      <c r="L2007" t="s">
        <v>738</v>
      </c>
      <c r="M2007">
        <v>9.1999999999999993</v>
      </c>
    </row>
    <row r="2008" spans="1:13" hidden="1" x14ac:dyDescent="0.35">
      <c r="A2008" t="s">
        <v>34</v>
      </c>
      <c r="D2008" t="s">
        <v>42</v>
      </c>
      <c r="F2008">
        <v>7</v>
      </c>
      <c r="G2008">
        <v>8</v>
      </c>
      <c r="H2008">
        <v>4</v>
      </c>
      <c r="I2008">
        <v>63</v>
      </c>
      <c r="K2008" s="122">
        <v>45530</v>
      </c>
      <c r="L2008" t="s">
        <v>739</v>
      </c>
      <c r="M2008">
        <v>9.1999999999999993</v>
      </c>
    </row>
    <row r="2009" spans="1:13" hidden="1" x14ac:dyDescent="0.35">
      <c r="A2009" t="s">
        <v>34</v>
      </c>
      <c r="D2009" t="s">
        <v>42</v>
      </c>
      <c r="F2009">
        <v>7</v>
      </c>
      <c r="G2009">
        <v>8</v>
      </c>
      <c r="H2009">
        <v>4</v>
      </c>
      <c r="I2009">
        <v>63</v>
      </c>
      <c r="K2009" s="122">
        <v>45538</v>
      </c>
      <c r="L2009" t="s">
        <v>737</v>
      </c>
      <c r="M2009">
        <v>10</v>
      </c>
    </row>
    <row r="2010" spans="1:13" hidden="1" x14ac:dyDescent="0.35">
      <c r="A2010" t="s">
        <v>34</v>
      </c>
      <c r="D2010" t="s">
        <v>42</v>
      </c>
      <c r="F2010">
        <v>7</v>
      </c>
      <c r="G2010">
        <v>8</v>
      </c>
      <c r="H2010">
        <v>4</v>
      </c>
      <c r="I2010">
        <v>63</v>
      </c>
      <c r="K2010" s="122">
        <v>45538</v>
      </c>
      <c r="L2010" t="s">
        <v>738</v>
      </c>
      <c r="M2010">
        <v>10</v>
      </c>
    </row>
    <row r="2011" spans="1:13" hidden="1" x14ac:dyDescent="0.35">
      <c r="A2011" t="s">
        <v>34</v>
      </c>
      <c r="D2011" t="s">
        <v>42</v>
      </c>
      <c r="F2011">
        <v>7</v>
      </c>
      <c r="G2011">
        <v>8</v>
      </c>
      <c r="H2011">
        <v>4</v>
      </c>
      <c r="I2011">
        <v>63</v>
      </c>
      <c r="K2011" s="122">
        <v>45538</v>
      </c>
      <c r="L2011" t="s">
        <v>739</v>
      </c>
    </row>
    <row r="2012" spans="1:13" hidden="1" x14ac:dyDescent="0.35">
      <c r="A2012" t="s">
        <v>34</v>
      </c>
      <c r="D2012" t="s">
        <v>42</v>
      </c>
      <c r="F2012">
        <v>7</v>
      </c>
      <c r="G2012">
        <v>8</v>
      </c>
      <c r="H2012">
        <v>4</v>
      </c>
      <c r="I2012">
        <v>63</v>
      </c>
      <c r="K2012" s="122">
        <v>45547</v>
      </c>
      <c r="L2012" t="s">
        <v>737</v>
      </c>
      <c r="M2012">
        <v>10</v>
      </c>
    </row>
    <row r="2013" spans="1:13" hidden="1" x14ac:dyDescent="0.35">
      <c r="A2013" t="s">
        <v>34</v>
      </c>
      <c r="D2013" t="s">
        <v>42</v>
      </c>
      <c r="F2013">
        <v>7</v>
      </c>
      <c r="G2013">
        <v>8</v>
      </c>
      <c r="H2013">
        <v>4</v>
      </c>
      <c r="I2013">
        <v>63</v>
      </c>
      <c r="K2013" s="122">
        <v>45547</v>
      </c>
      <c r="L2013" t="s">
        <v>738</v>
      </c>
      <c r="M2013">
        <v>10</v>
      </c>
    </row>
    <row r="2014" spans="1:13" hidden="1" x14ac:dyDescent="0.35">
      <c r="A2014" t="s">
        <v>34</v>
      </c>
      <c r="D2014" t="s">
        <v>42</v>
      </c>
      <c r="F2014">
        <v>7</v>
      </c>
      <c r="G2014">
        <v>8</v>
      </c>
      <c r="H2014">
        <v>4</v>
      </c>
      <c r="I2014">
        <v>63</v>
      </c>
      <c r="K2014" s="122">
        <v>45547</v>
      </c>
      <c r="L2014" t="s">
        <v>739</v>
      </c>
    </row>
    <row r="2015" spans="1:13" hidden="1" x14ac:dyDescent="0.35">
      <c r="A2015" t="s">
        <v>34</v>
      </c>
      <c r="D2015" t="s">
        <v>42</v>
      </c>
      <c r="F2015">
        <v>7</v>
      </c>
      <c r="G2015">
        <v>8</v>
      </c>
      <c r="H2015">
        <v>4</v>
      </c>
      <c r="I2015">
        <v>63</v>
      </c>
      <c r="K2015" s="122">
        <v>45555</v>
      </c>
      <c r="L2015" t="s">
        <v>737</v>
      </c>
    </row>
    <row r="2016" spans="1:13" hidden="1" x14ac:dyDescent="0.35">
      <c r="A2016" t="s">
        <v>34</v>
      </c>
      <c r="D2016" t="s">
        <v>42</v>
      </c>
      <c r="F2016">
        <v>7</v>
      </c>
      <c r="G2016">
        <v>8</v>
      </c>
      <c r="H2016">
        <v>4</v>
      </c>
      <c r="I2016">
        <v>63</v>
      </c>
      <c r="K2016" s="122">
        <v>45555</v>
      </c>
      <c r="L2016" t="s">
        <v>738</v>
      </c>
    </row>
    <row r="2017" spans="1:13" hidden="1" x14ac:dyDescent="0.35">
      <c r="A2017" t="s">
        <v>34</v>
      </c>
      <c r="D2017" t="s">
        <v>42</v>
      </c>
      <c r="F2017">
        <v>7</v>
      </c>
      <c r="G2017">
        <v>8</v>
      </c>
      <c r="H2017">
        <v>4</v>
      </c>
      <c r="I2017">
        <v>63</v>
      </c>
      <c r="K2017" s="122">
        <v>45555</v>
      </c>
      <c r="L2017" t="s">
        <v>739</v>
      </c>
    </row>
    <row r="2018" spans="1:13" hidden="1" x14ac:dyDescent="0.35">
      <c r="A2018" t="s">
        <v>24</v>
      </c>
      <c r="D2018" t="s">
        <v>337</v>
      </c>
      <c r="F2018">
        <v>8</v>
      </c>
      <c r="G2018">
        <v>1</v>
      </c>
      <c r="H2018">
        <v>1</v>
      </c>
      <c r="I2018">
        <v>8</v>
      </c>
      <c r="K2018" s="122">
        <v>45442</v>
      </c>
      <c r="L2018" t="s">
        <v>737</v>
      </c>
      <c r="M2018">
        <v>4.5</v>
      </c>
    </row>
    <row r="2019" spans="1:13" hidden="1" x14ac:dyDescent="0.35">
      <c r="A2019" t="s">
        <v>24</v>
      </c>
      <c r="D2019" t="s">
        <v>337</v>
      </c>
      <c r="F2019">
        <v>8</v>
      </c>
      <c r="G2019">
        <v>1</v>
      </c>
      <c r="H2019">
        <v>1</v>
      </c>
      <c r="I2019">
        <v>8</v>
      </c>
      <c r="K2019" s="122">
        <v>45442</v>
      </c>
      <c r="L2019" t="s">
        <v>738</v>
      </c>
      <c r="M2019">
        <v>4.8</v>
      </c>
    </row>
    <row r="2020" spans="1:13" hidden="1" x14ac:dyDescent="0.35">
      <c r="A2020" t="s">
        <v>24</v>
      </c>
      <c r="D2020" t="s">
        <v>337</v>
      </c>
      <c r="F2020">
        <v>8</v>
      </c>
      <c r="G2020">
        <v>1</v>
      </c>
      <c r="H2020">
        <v>1</v>
      </c>
      <c r="I2020">
        <v>8</v>
      </c>
      <c r="K2020" s="122">
        <v>45442</v>
      </c>
      <c r="L2020" t="s">
        <v>739</v>
      </c>
      <c r="M2020">
        <v>4.5</v>
      </c>
    </row>
    <row r="2021" spans="1:13" hidden="1" x14ac:dyDescent="0.35">
      <c r="A2021" t="s">
        <v>24</v>
      </c>
      <c r="D2021" t="s">
        <v>337</v>
      </c>
      <c r="F2021">
        <v>8</v>
      </c>
      <c r="G2021">
        <v>1</v>
      </c>
      <c r="H2021">
        <v>1</v>
      </c>
      <c r="I2021">
        <v>8</v>
      </c>
      <c r="K2021" s="122">
        <v>45447</v>
      </c>
      <c r="L2021" t="s">
        <v>737</v>
      </c>
      <c r="M2021">
        <v>5.3</v>
      </c>
    </row>
    <row r="2022" spans="1:13" hidden="1" x14ac:dyDescent="0.35">
      <c r="A2022" t="s">
        <v>24</v>
      </c>
      <c r="D2022" t="s">
        <v>337</v>
      </c>
      <c r="F2022">
        <v>8</v>
      </c>
      <c r="G2022">
        <v>1</v>
      </c>
      <c r="H2022">
        <v>1</v>
      </c>
      <c r="I2022">
        <v>8</v>
      </c>
      <c r="K2022" s="122">
        <v>45447</v>
      </c>
      <c r="L2022" t="s">
        <v>738</v>
      </c>
      <c r="M2022">
        <v>5.6</v>
      </c>
    </row>
    <row r="2023" spans="1:13" hidden="1" x14ac:dyDescent="0.35">
      <c r="A2023" t="s">
        <v>24</v>
      </c>
      <c r="D2023" t="s">
        <v>337</v>
      </c>
      <c r="F2023">
        <v>8</v>
      </c>
      <c r="G2023">
        <v>1</v>
      </c>
      <c r="H2023">
        <v>1</v>
      </c>
      <c r="I2023">
        <v>8</v>
      </c>
      <c r="K2023" s="122">
        <v>45447</v>
      </c>
      <c r="L2023" t="s">
        <v>739</v>
      </c>
      <c r="M2023">
        <v>5.3</v>
      </c>
    </row>
    <row r="2024" spans="1:13" hidden="1" x14ac:dyDescent="0.35">
      <c r="A2024" t="s">
        <v>24</v>
      </c>
      <c r="D2024" t="s">
        <v>337</v>
      </c>
      <c r="F2024">
        <v>8</v>
      </c>
      <c r="G2024">
        <v>1</v>
      </c>
      <c r="H2024">
        <v>1</v>
      </c>
      <c r="I2024">
        <v>8</v>
      </c>
      <c r="K2024" s="122">
        <v>45462</v>
      </c>
      <c r="L2024" t="s">
        <v>737</v>
      </c>
      <c r="M2024">
        <v>5.4</v>
      </c>
    </row>
    <row r="2025" spans="1:13" hidden="1" x14ac:dyDescent="0.35">
      <c r="A2025" t="s">
        <v>24</v>
      </c>
      <c r="D2025" t="s">
        <v>337</v>
      </c>
      <c r="F2025">
        <v>8</v>
      </c>
      <c r="G2025">
        <v>1</v>
      </c>
      <c r="H2025">
        <v>1</v>
      </c>
      <c r="I2025">
        <v>8</v>
      </c>
      <c r="K2025" s="122">
        <v>45462</v>
      </c>
      <c r="L2025" t="s">
        <v>738</v>
      </c>
      <c r="M2025">
        <v>6.2</v>
      </c>
    </row>
    <row r="2026" spans="1:13" hidden="1" x14ac:dyDescent="0.35">
      <c r="A2026" t="s">
        <v>24</v>
      </c>
      <c r="D2026" t="s">
        <v>337</v>
      </c>
      <c r="F2026">
        <v>8</v>
      </c>
      <c r="G2026">
        <v>1</v>
      </c>
      <c r="H2026">
        <v>1</v>
      </c>
      <c r="I2026">
        <v>8</v>
      </c>
      <c r="K2026" s="122">
        <v>45462</v>
      </c>
      <c r="L2026" t="s">
        <v>739</v>
      </c>
      <c r="M2026">
        <v>5.2</v>
      </c>
    </row>
    <row r="2027" spans="1:13" hidden="1" x14ac:dyDescent="0.35">
      <c r="A2027" t="s">
        <v>24</v>
      </c>
      <c r="D2027" t="s">
        <v>337</v>
      </c>
      <c r="F2027">
        <v>8</v>
      </c>
      <c r="G2027">
        <v>1</v>
      </c>
      <c r="H2027">
        <v>1</v>
      </c>
      <c r="I2027">
        <v>8</v>
      </c>
      <c r="K2027" s="122">
        <v>45477</v>
      </c>
      <c r="L2027" t="s">
        <v>737</v>
      </c>
    </row>
    <row r="2028" spans="1:13" hidden="1" x14ac:dyDescent="0.35">
      <c r="A2028" t="s">
        <v>24</v>
      </c>
      <c r="D2028" t="s">
        <v>337</v>
      </c>
      <c r="F2028">
        <v>8</v>
      </c>
      <c r="G2028">
        <v>1</v>
      </c>
      <c r="H2028">
        <v>1</v>
      </c>
      <c r="I2028">
        <v>8</v>
      </c>
      <c r="K2028" s="122">
        <v>45477</v>
      </c>
      <c r="L2028" t="s">
        <v>738</v>
      </c>
    </row>
    <row r="2029" spans="1:13" hidden="1" x14ac:dyDescent="0.35">
      <c r="A2029" t="s">
        <v>24</v>
      </c>
      <c r="D2029" t="s">
        <v>337</v>
      </c>
      <c r="F2029">
        <v>8</v>
      </c>
      <c r="G2029">
        <v>1</v>
      </c>
      <c r="H2029">
        <v>1</v>
      </c>
      <c r="I2029">
        <v>8</v>
      </c>
      <c r="K2029" s="122">
        <v>45477</v>
      </c>
      <c r="L2029" t="s">
        <v>739</v>
      </c>
    </row>
    <row r="2030" spans="1:13" hidden="1" x14ac:dyDescent="0.35">
      <c r="A2030" t="s">
        <v>24</v>
      </c>
      <c r="D2030" t="s">
        <v>337</v>
      </c>
      <c r="F2030">
        <v>8</v>
      </c>
      <c r="G2030">
        <v>1</v>
      </c>
      <c r="H2030">
        <v>1</v>
      </c>
      <c r="I2030">
        <v>8</v>
      </c>
      <c r="K2030" s="122">
        <v>45485</v>
      </c>
      <c r="L2030" t="s">
        <v>737</v>
      </c>
      <c r="M2030">
        <v>6.4</v>
      </c>
    </row>
    <row r="2031" spans="1:13" hidden="1" x14ac:dyDescent="0.35">
      <c r="A2031" t="s">
        <v>24</v>
      </c>
      <c r="D2031" t="s">
        <v>337</v>
      </c>
      <c r="F2031">
        <v>8</v>
      </c>
      <c r="G2031">
        <v>1</v>
      </c>
      <c r="H2031">
        <v>1</v>
      </c>
      <c r="I2031">
        <v>8</v>
      </c>
      <c r="K2031" s="122">
        <v>45485</v>
      </c>
      <c r="L2031" t="s">
        <v>738</v>
      </c>
      <c r="M2031">
        <v>7.2</v>
      </c>
    </row>
    <row r="2032" spans="1:13" hidden="1" x14ac:dyDescent="0.35">
      <c r="A2032" t="s">
        <v>24</v>
      </c>
      <c r="D2032" t="s">
        <v>337</v>
      </c>
      <c r="F2032">
        <v>8</v>
      </c>
      <c r="G2032">
        <v>1</v>
      </c>
      <c r="H2032">
        <v>1</v>
      </c>
      <c r="I2032">
        <v>8</v>
      </c>
      <c r="K2032" s="122">
        <v>45485</v>
      </c>
      <c r="L2032" t="s">
        <v>739</v>
      </c>
      <c r="M2032">
        <v>6.4</v>
      </c>
    </row>
    <row r="2033" spans="1:13" hidden="1" x14ac:dyDescent="0.35">
      <c r="A2033" t="s">
        <v>24</v>
      </c>
      <c r="D2033" t="s">
        <v>337</v>
      </c>
      <c r="F2033">
        <v>8</v>
      </c>
      <c r="G2033">
        <v>1</v>
      </c>
      <c r="H2033">
        <v>1</v>
      </c>
      <c r="I2033">
        <v>8</v>
      </c>
      <c r="K2033" s="122">
        <v>45492</v>
      </c>
      <c r="L2033" t="s">
        <v>737</v>
      </c>
      <c r="M2033">
        <v>6.9</v>
      </c>
    </row>
    <row r="2034" spans="1:13" hidden="1" x14ac:dyDescent="0.35">
      <c r="A2034" t="s">
        <v>24</v>
      </c>
      <c r="D2034" t="s">
        <v>337</v>
      </c>
      <c r="F2034">
        <v>8</v>
      </c>
      <c r="G2034">
        <v>1</v>
      </c>
      <c r="H2034">
        <v>1</v>
      </c>
      <c r="I2034">
        <v>8</v>
      </c>
      <c r="K2034" s="122">
        <v>45492</v>
      </c>
      <c r="L2034" t="s">
        <v>738</v>
      </c>
      <c r="M2034">
        <v>7.5</v>
      </c>
    </row>
    <row r="2035" spans="1:13" hidden="1" x14ac:dyDescent="0.35">
      <c r="A2035" t="s">
        <v>24</v>
      </c>
      <c r="D2035" t="s">
        <v>337</v>
      </c>
      <c r="F2035">
        <v>8</v>
      </c>
      <c r="G2035">
        <v>1</v>
      </c>
      <c r="H2035">
        <v>1</v>
      </c>
      <c r="I2035">
        <v>8</v>
      </c>
      <c r="K2035" s="122">
        <v>45492</v>
      </c>
      <c r="L2035" t="s">
        <v>739</v>
      </c>
      <c r="M2035">
        <v>6.9</v>
      </c>
    </row>
    <row r="2036" spans="1:13" hidden="1" x14ac:dyDescent="0.35">
      <c r="A2036" t="s">
        <v>24</v>
      </c>
      <c r="D2036" t="s">
        <v>337</v>
      </c>
      <c r="F2036">
        <v>8</v>
      </c>
      <c r="G2036">
        <v>1</v>
      </c>
      <c r="H2036">
        <v>1</v>
      </c>
      <c r="I2036">
        <v>8</v>
      </c>
      <c r="K2036" s="122">
        <v>45509</v>
      </c>
      <c r="L2036" t="s">
        <v>737</v>
      </c>
      <c r="M2036">
        <v>7.9</v>
      </c>
    </row>
    <row r="2037" spans="1:13" hidden="1" x14ac:dyDescent="0.35">
      <c r="A2037" t="s">
        <v>24</v>
      </c>
      <c r="D2037" t="s">
        <v>337</v>
      </c>
      <c r="F2037">
        <v>8</v>
      </c>
      <c r="G2037">
        <v>1</v>
      </c>
      <c r="H2037">
        <v>1</v>
      </c>
      <c r="I2037">
        <v>8</v>
      </c>
      <c r="K2037" s="122">
        <v>45509</v>
      </c>
      <c r="L2037" t="s">
        <v>738</v>
      </c>
      <c r="M2037">
        <v>7.9</v>
      </c>
    </row>
    <row r="2038" spans="1:13" hidden="1" x14ac:dyDescent="0.35">
      <c r="A2038" t="s">
        <v>24</v>
      </c>
      <c r="D2038" t="s">
        <v>337</v>
      </c>
      <c r="F2038">
        <v>8</v>
      </c>
      <c r="G2038">
        <v>1</v>
      </c>
      <c r="H2038">
        <v>1</v>
      </c>
      <c r="I2038">
        <v>8</v>
      </c>
      <c r="K2038" s="122">
        <v>45509</v>
      </c>
      <c r="L2038" t="s">
        <v>739</v>
      </c>
      <c r="M2038">
        <v>8.6</v>
      </c>
    </row>
    <row r="2039" spans="1:13" hidden="1" x14ac:dyDescent="0.35">
      <c r="A2039" t="s">
        <v>24</v>
      </c>
      <c r="D2039" t="s">
        <v>337</v>
      </c>
      <c r="F2039">
        <v>8</v>
      </c>
      <c r="G2039">
        <v>1</v>
      </c>
      <c r="H2039">
        <v>1</v>
      </c>
      <c r="I2039">
        <v>8</v>
      </c>
      <c r="K2039" s="122">
        <v>45519</v>
      </c>
      <c r="L2039" t="s">
        <v>737</v>
      </c>
      <c r="M2039">
        <v>8.6999999999999993</v>
      </c>
    </row>
    <row r="2040" spans="1:13" hidden="1" x14ac:dyDescent="0.35">
      <c r="A2040" t="s">
        <v>24</v>
      </c>
      <c r="D2040" t="s">
        <v>337</v>
      </c>
      <c r="F2040">
        <v>8</v>
      </c>
      <c r="G2040">
        <v>1</v>
      </c>
      <c r="H2040">
        <v>1</v>
      </c>
      <c r="I2040">
        <v>8</v>
      </c>
      <c r="K2040" s="122">
        <v>45519</v>
      </c>
      <c r="L2040" t="s">
        <v>738</v>
      </c>
      <c r="M2040">
        <v>9.6</v>
      </c>
    </row>
    <row r="2041" spans="1:13" hidden="1" x14ac:dyDescent="0.35">
      <c r="A2041" t="s">
        <v>24</v>
      </c>
      <c r="D2041" t="s">
        <v>337</v>
      </c>
      <c r="F2041">
        <v>8</v>
      </c>
      <c r="G2041">
        <v>1</v>
      </c>
      <c r="H2041">
        <v>1</v>
      </c>
      <c r="I2041">
        <v>8</v>
      </c>
      <c r="K2041" s="122">
        <v>45519</v>
      </c>
      <c r="L2041" t="s">
        <v>739</v>
      </c>
      <c r="M2041">
        <v>8.6999999999999993</v>
      </c>
    </row>
    <row r="2042" spans="1:13" hidden="1" x14ac:dyDescent="0.35">
      <c r="A2042" t="s">
        <v>24</v>
      </c>
      <c r="D2042" t="s">
        <v>337</v>
      </c>
      <c r="F2042">
        <v>8</v>
      </c>
      <c r="G2042">
        <v>1</v>
      </c>
      <c r="H2042">
        <v>1</v>
      </c>
      <c r="I2042">
        <v>8</v>
      </c>
      <c r="K2042" s="122">
        <v>45530</v>
      </c>
      <c r="L2042" t="s">
        <v>737</v>
      </c>
      <c r="M2042">
        <v>9.8000000000000007</v>
      </c>
    </row>
    <row r="2043" spans="1:13" hidden="1" x14ac:dyDescent="0.35">
      <c r="A2043" t="s">
        <v>24</v>
      </c>
      <c r="D2043" t="s">
        <v>337</v>
      </c>
      <c r="F2043">
        <v>8</v>
      </c>
      <c r="G2043">
        <v>1</v>
      </c>
      <c r="H2043">
        <v>1</v>
      </c>
      <c r="I2043">
        <v>8</v>
      </c>
      <c r="K2043" s="122">
        <v>45530</v>
      </c>
      <c r="L2043" t="s">
        <v>738</v>
      </c>
      <c r="M2043">
        <v>10.6</v>
      </c>
    </row>
    <row r="2044" spans="1:13" hidden="1" x14ac:dyDescent="0.35">
      <c r="A2044" t="s">
        <v>24</v>
      </c>
      <c r="D2044" t="s">
        <v>337</v>
      </c>
      <c r="F2044">
        <v>8</v>
      </c>
      <c r="G2044">
        <v>1</v>
      </c>
      <c r="H2044">
        <v>1</v>
      </c>
      <c r="I2044">
        <v>8</v>
      </c>
      <c r="K2044" s="122">
        <v>45530</v>
      </c>
      <c r="L2044" t="s">
        <v>739</v>
      </c>
      <c r="M2044">
        <v>9.8000000000000007</v>
      </c>
    </row>
    <row r="2045" spans="1:13" hidden="1" x14ac:dyDescent="0.35">
      <c r="A2045" t="s">
        <v>24</v>
      </c>
      <c r="D2045" t="s">
        <v>337</v>
      </c>
      <c r="F2045">
        <v>8</v>
      </c>
      <c r="G2045">
        <v>1</v>
      </c>
      <c r="H2045">
        <v>1</v>
      </c>
      <c r="I2045">
        <v>8</v>
      </c>
      <c r="K2045" s="122">
        <v>45538</v>
      </c>
      <c r="L2045" t="s">
        <v>737</v>
      </c>
      <c r="M2045">
        <v>10.7</v>
      </c>
    </row>
    <row r="2046" spans="1:13" hidden="1" x14ac:dyDescent="0.35">
      <c r="A2046" t="s">
        <v>24</v>
      </c>
      <c r="D2046" t="s">
        <v>337</v>
      </c>
      <c r="F2046">
        <v>8</v>
      </c>
      <c r="G2046">
        <v>1</v>
      </c>
      <c r="H2046">
        <v>1</v>
      </c>
      <c r="I2046">
        <v>8</v>
      </c>
      <c r="K2046" s="122">
        <v>45538</v>
      </c>
      <c r="L2046" t="s">
        <v>738</v>
      </c>
      <c r="M2046">
        <v>10.8</v>
      </c>
    </row>
    <row r="2047" spans="1:13" hidden="1" x14ac:dyDescent="0.35">
      <c r="A2047" t="s">
        <v>24</v>
      </c>
      <c r="D2047" t="s">
        <v>337</v>
      </c>
      <c r="F2047">
        <v>8</v>
      </c>
      <c r="G2047">
        <v>1</v>
      </c>
      <c r="H2047">
        <v>1</v>
      </c>
      <c r="I2047">
        <v>8</v>
      </c>
      <c r="K2047" s="122">
        <v>45538</v>
      </c>
      <c r="L2047" t="s">
        <v>739</v>
      </c>
      <c r="M2047">
        <v>11.1</v>
      </c>
    </row>
    <row r="2048" spans="1:13" hidden="1" x14ac:dyDescent="0.35">
      <c r="A2048" t="s">
        <v>24</v>
      </c>
      <c r="D2048" t="s">
        <v>337</v>
      </c>
      <c r="F2048">
        <v>8</v>
      </c>
      <c r="G2048">
        <v>1</v>
      </c>
      <c r="H2048">
        <v>1</v>
      </c>
      <c r="I2048">
        <v>8</v>
      </c>
      <c r="K2048" s="122">
        <v>45547</v>
      </c>
      <c r="L2048" t="s">
        <v>737</v>
      </c>
      <c r="M2048">
        <v>11.3</v>
      </c>
    </row>
    <row r="2049" spans="1:13" hidden="1" x14ac:dyDescent="0.35">
      <c r="A2049" t="s">
        <v>24</v>
      </c>
      <c r="D2049" t="s">
        <v>337</v>
      </c>
      <c r="F2049">
        <v>8</v>
      </c>
      <c r="G2049">
        <v>1</v>
      </c>
      <c r="H2049">
        <v>1</v>
      </c>
      <c r="I2049">
        <v>8</v>
      </c>
      <c r="K2049" s="122">
        <v>45547</v>
      </c>
      <c r="L2049" t="s">
        <v>738</v>
      </c>
      <c r="M2049">
        <v>11.8</v>
      </c>
    </row>
    <row r="2050" spans="1:13" hidden="1" x14ac:dyDescent="0.35">
      <c r="A2050" t="s">
        <v>24</v>
      </c>
      <c r="D2050" t="s">
        <v>337</v>
      </c>
      <c r="F2050">
        <v>8</v>
      </c>
      <c r="G2050">
        <v>1</v>
      </c>
      <c r="H2050">
        <v>1</v>
      </c>
      <c r="I2050">
        <v>8</v>
      </c>
      <c r="K2050" s="122">
        <v>45547</v>
      </c>
      <c r="L2050" t="s">
        <v>739</v>
      </c>
      <c r="M2050">
        <v>11.6</v>
      </c>
    </row>
    <row r="2051" spans="1:13" hidden="1" x14ac:dyDescent="0.35">
      <c r="A2051" t="s">
        <v>24</v>
      </c>
      <c r="D2051" t="s">
        <v>337</v>
      </c>
      <c r="F2051">
        <v>8</v>
      </c>
      <c r="G2051">
        <v>1</v>
      </c>
      <c r="H2051">
        <v>1</v>
      </c>
      <c r="I2051">
        <v>8</v>
      </c>
      <c r="K2051" s="122">
        <v>45555</v>
      </c>
      <c r="L2051" t="s">
        <v>737</v>
      </c>
      <c r="M2051">
        <v>12</v>
      </c>
    </row>
    <row r="2052" spans="1:13" hidden="1" x14ac:dyDescent="0.35">
      <c r="A2052" t="s">
        <v>24</v>
      </c>
      <c r="D2052" t="s">
        <v>337</v>
      </c>
      <c r="F2052">
        <v>8</v>
      </c>
      <c r="G2052">
        <v>1</v>
      </c>
      <c r="H2052">
        <v>1</v>
      </c>
      <c r="I2052">
        <v>8</v>
      </c>
      <c r="K2052" s="122">
        <v>45555</v>
      </c>
      <c r="L2052" t="s">
        <v>738</v>
      </c>
      <c r="M2052">
        <v>12</v>
      </c>
    </row>
    <row r="2053" spans="1:13" hidden="1" x14ac:dyDescent="0.35">
      <c r="A2053" t="s">
        <v>24</v>
      </c>
      <c r="D2053" t="s">
        <v>337</v>
      </c>
      <c r="F2053">
        <v>8</v>
      </c>
      <c r="G2053">
        <v>1</v>
      </c>
      <c r="H2053">
        <v>1</v>
      </c>
      <c r="I2053">
        <v>8</v>
      </c>
      <c r="K2053" s="122">
        <v>45555</v>
      </c>
      <c r="L2053" t="s">
        <v>739</v>
      </c>
      <c r="M2053">
        <v>12</v>
      </c>
    </row>
    <row r="2054" spans="1:13" hidden="1" x14ac:dyDescent="0.35">
      <c r="A2054" t="s">
        <v>34</v>
      </c>
      <c r="D2054" t="s">
        <v>39</v>
      </c>
      <c r="F2054">
        <v>8</v>
      </c>
      <c r="G2054">
        <v>2</v>
      </c>
      <c r="H2054">
        <v>1</v>
      </c>
      <c r="I2054">
        <v>16</v>
      </c>
      <c r="K2054" s="122">
        <v>45442</v>
      </c>
      <c r="L2054" t="s">
        <v>737</v>
      </c>
    </row>
    <row r="2055" spans="1:13" hidden="1" x14ac:dyDescent="0.35">
      <c r="A2055" t="s">
        <v>34</v>
      </c>
      <c r="D2055" t="s">
        <v>39</v>
      </c>
      <c r="F2055">
        <v>8</v>
      </c>
      <c r="G2055">
        <v>2</v>
      </c>
      <c r="H2055">
        <v>1</v>
      </c>
      <c r="I2055">
        <v>16</v>
      </c>
      <c r="K2055" s="122">
        <v>45442</v>
      </c>
      <c r="L2055" t="s">
        <v>738</v>
      </c>
    </row>
    <row r="2056" spans="1:13" hidden="1" x14ac:dyDescent="0.35">
      <c r="A2056" t="s">
        <v>34</v>
      </c>
      <c r="D2056" t="s">
        <v>39</v>
      </c>
      <c r="F2056">
        <v>8</v>
      </c>
      <c r="G2056">
        <v>2</v>
      </c>
      <c r="H2056">
        <v>1</v>
      </c>
      <c r="I2056">
        <v>16</v>
      </c>
      <c r="K2056" s="122">
        <v>45442</v>
      </c>
      <c r="L2056" t="s">
        <v>739</v>
      </c>
    </row>
    <row r="2057" spans="1:13" hidden="1" x14ac:dyDescent="0.35">
      <c r="A2057" t="s">
        <v>34</v>
      </c>
      <c r="D2057" t="s">
        <v>39</v>
      </c>
      <c r="F2057">
        <v>8</v>
      </c>
      <c r="G2057">
        <v>2</v>
      </c>
      <c r="H2057">
        <v>1</v>
      </c>
      <c r="I2057">
        <v>16</v>
      </c>
      <c r="K2057" s="122">
        <v>45447</v>
      </c>
      <c r="L2057" t="s">
        <v>737</v>
      </c>
      <c r="M2057">
        <v>1.8</v>
      </c>
    </row>
    <row r="2058" spans="1:13" hidden="1" x14ac:dyDescent="0.35">
      <c r="A2058" t="s">
        <v>34</v>
      </c>
      <c r="D2058" t="s">
        <v>39</v>
      </c>
      <c r="F2058">
        <v>8</v>
      </c>
      <c r="G2058">
        <v>2</v>
      </c>
      <c r="H2058">
        <v>1</v>
      </c>
      <c r="I2058">
        <v>16</v>
      </c>
      <c r="K2058" s="122">
        <v>45447</v>
      </c>
      <c r="L2058" t="s">
        <v>738</v>
      </c>
      <c r="M2058">
        <v>1.8</v>
      </c>
    </row>
    <row r="2059" spans="1:13" hidden="1" x14ac:dyDescent="0.35">
      <c r="A2059" t="s">
        <v>34</v>
      </c>
      <c r="D2059" t="s">
        <v>39</v>
      </c>
      <c r="F2059">
        <v>8</v>
      </c>
      <c r="G2059">
        <v>2</v>
      </c>
      <c r="H2059">
        <v>1</v>
      </c>
      <c r="I2059">
        <v>16</v>
      </c>
      <c r="K2059" s="122">
        <v>45447</v>
      </c>
      <c r="L2059" t="s">
        <v>739</v>
      </c>
      <c r="M2059">
        <v>1.7</v>
      </c>
    </row>
    <row r="2060" spans="1:13" hidden="1" x14ac:dyDescent="0.35">
      <c r="A2060" t="s">
        <v>34</v>
      </c>
      <c r="D2060" t="s">
        <v>39</v>
      </c>
      <c r="F2060">
        <v>8</v>
      </c>
      <c r="G2060">
        <v>2</v>
      </c>
      <c r="H2060">
        <v>1</v>
      </c>
      <c r="I2060">
        <v>16</v>
      </c>
      <c r="K2060" s="122">
        <v>45462</v>
      </c>
      <c r="L2060" t="s">
        <v>737</v>
      </c>
      <c r="M2060">
        <v>3.2</v>
      </c>
    </row>
    <row r="2061" spans="1:13" hidden="1" x14ac:dyDescent="0.35">
      <c r="A2061" t="s">
        <v>34</v>
      </c>
      <c r="D2061" t="s">
        <v>39</v>
      </c>
      <c r="F2061">
        <v>8</v>
      </c>
      <c r="G2061">
        <v>2</v>
      </c>
      <c r="H2061">
        <v>1</v>
      </c>
      <c r="I2061">
        <v>16</v>
      </c>
      <c r="K2061" s="122">
        <v>45462</v>
      </c>
      <c r="L2061" t="s">
        <v>738</v>
      </c>
      <c r="M2061">
        <v>3.4</v>
      </c>
    </row>
    <row r="2062" spans="1:13" hidden="1" x14ac:dyDescent="0.35">
      <c r="A2062" t="s">
        <v>34</v>
      </c>
      <c r="D2062" t="s">
        <v>39</v>
      </c>
      <c r="F2062">
        <v>8</v>
      </c>
      <c r="G2062">
        <v>2</v>
      </c>
      <c r="H2062">
        <v>1</v>
      </c>
      <c r="I2062">
        <v>16</v>
      </c>
      <c r="K2062" s="122">
        <v>45462</v>
      </c>
      <c r="L2062" t="s">
        <v>739</v>
      </c>
      <c r="M2062">
        <v>3.3</v>
      </c>
    </row>
    <row r="2063" spans="1:13" hidden="1" x14ac:dyDescent="0.35">
      <c r="A2063" t="s">
        <v>34</v>
      </c>
      <c r="D2063" t="s">
        <v>39</v>
      </c>
      <c r="F2063">
        <v>8</v>
      </c>
      <c r="G2063">
        <v>2</v>
      </c>
      <c r="H2063">
        <v>1</v>
      </c>
      <c r="I2063">
        <v>16</v>
      </c>
      <c r="K2063" s="122">
        <v>45477</v>
      </c>
      <c r="L2063" t="s">
        <v>737</v>
      </c>
      <c r="M2063">
        <v>4.7</v>
      </c>
    </row>
    <row r="2064" spans="1:13" hidden="1" x14ac:dyDescent="0.35">
      <c r="A2064" t="s">
        <v>34</v>
      </c>
      <c r="D2064" t="s">
        <v>39</v>
      </c>
      <c r="F2064">
        <v>8</v>
      </c>
      <c r="G2064">
        <v>2</v>
      </c>
      <c r="H2064">
        <v>1</v>
      </c>
      <c r="I2064">
        <v>16</v>
      </c>
      <c r="K2064" s="122">
        <v>45477</v>
      </c>
      <c r="L2064" t="s">
        <v>738</v>
      </c>
      <c r="M2064">
        <v>4.7</v>
      </c>
    </row>
    <row r="2065" spans="1:13" hidden="1" x14ac:dyDescent="0.35">
      <c r="A2065" t="s">
        <v>34</v>
      </c>
      <c r="D2065" t="s">
        <v>39</v>
      </c>
      <c r="F2065">
        <v>8</v>
      </c>
      <c r="G2065">
        <v>2</v>
      </c>
      <c r="H2065">
        <v>1</v>
      </c>
      <c r="I2065">
        <v>16</v>
      </c>
      <c r="K2065" s="122">
        <v>45477</v>
      </c>
      <c r="L2065" t="s">
        <v>739</v>
      </c>
      <c r="M2065">
        <v>4.7</v>
      </c>
    </row>
    <row r="2066" spans="1:13" hidden="1" x14ac:dyDescent="0.35">
      <c r="A2066" t="s">
        <v>34</v>
      </c>
      <c r="D2066" t="s">
        <v>39</v>
      </c>
      <c r="F2066">
        <v>8</v>
      </c>
      <c r="G2066">
        <v>2</v>
      </c>
      <c r="H2066">
        <v>1</v>
      </c>
      <c r="I2066">
        <v>16</v>
      </c>
      <c r="K2066" s="122">
        <v>45485</v>
      </c>
      <c r="L2066" t="s">
        <v>737</v>
      </c>
    </row>
    <row r="2067" spans="1:13" hidden="1" x14ac:dyDescent="0.35">
      <c r="A2067" t="s">
        <v>34</v>
      </c>
      <c r="D2067" t="s">
        <v>39</v>
      </c>
      <c r="F2067">
        <v>8</v>
      </c>
      <c r="G2067">
        <v>2</v>
      </c>
      <c r="H2067">
        <v>1</v>
      </c>
      <c r="I2067">
        <v>16</v>
      </c>
      <c r="K2067" s="122">
        <v>45485</v>
      </c>
      <c r="L2067" t="s">
        <v>738</v>
      </c>
    </row>
    <row r="2068" spans="1:13" hidden="1" x14ac:dyDescent="0.35">
      <c r="A2068" t="s">
        <v>34</v>
      </c>
      <c r="D2068" t="s">
        <v>39</v>
      </c>
      <c r="F2068">
        <v>8</v>
      </c>
      <c r="G2068">
        <v>2</v>
      </c>
      <c r="H2068">
        <v>1</v>
      </c>
      <c r="I2068">
        <v>16</v>
      </c>
      <c r="K2068" s="122">
        <v>45485</v>
      </c>
      <c r="L2068" t="s">
        <v>739</v>
      </c>
    </row>
    <row r="2069" spans="1:13" hidden="1" x14ac:dyDescent="0.35">
      <c r="A2069" t="s">
        <v>34</v>
      </c>
      <c r="D2069" t="s">
        <v>39</v>
      </c>
      <c r="F2069">
        <v>8</v>
      </c>
      <c r="G2069">
        <v>2</v>
      </c>
      <c r="H2069">
        <v>1</v>
      </c>
      <c r="I2069">
        <v>16</v>
      </c>
      <c r="K2069" s="122">
        <v>45492</v>
      </c>
      <c r="L2069" t="s">
        <v>737</v>
      </c>
      <c r="M2069">
        <v>6.3</v>
      </c>
    </row>
    <row r="2070" spans="1:13" hidden="1" x14ac:dyDescent="0.35">
      <c r="A2070" t="s">
        <v>34</v>
      </c>
      <c r="D2070" t="s">
        <v>39</v>
      </c>
      <c r="F2070">
        <v>8</v>
      </c>
      <c r="G2070">
        <v>2</v>
      </c>
      <c r="H2070">
        <v>1</v>
      </c>
      <c r="I2070">
        <v>16</v>
      </c>
      <c r="K2070" s="122">
        <v>45492</v>
      </c>
      <c r="L2070" t="s">
        <v>738</v>
      </c>
      <c r="M2070">
        <v>6.3</v>
      </c>
    </row>
    <row r="2071" spans="1:13" hidden="1" x14ac:dyDescent="0.35">
      <c r="A2071" t="s">
        <v>34</v>
      </c>
      <c r="D2071" t="s">
        <v>39</v>
      </c>
      <c r="F2071">
        <v>8</v>
      </c>
      <c r="G2071">
        <v>2</v>
      </c>
      <c r="H2071">
        <v>1</v>
      </c>
      <c r="I2071">
        <v>16</v>
      </c>
      <c r="K2071" s="122">
        <v>45492</v>
      </c>
      <c r="L2071" t="s">
        <v>739</v>
      </c>
      <c r="M2071">
        <v>6.4</v>
      </c>
    </row>
    <row r="2072" spans="1:13" hidden="1" x14ac:dyDescent="0.35">
      <c r="A2072" t="s">
        <v>34</v>
      </c>
      <c r="D2072" t="s">
        <v>39</v>
      </c>
      <c r="F2072">
        <v>8</v>
      </c>
      <c r="G2072">
        <v>2</v>
      </c>
      <c r="H2072">
        <v>1</v>
      </c>
      <c r="I2072">
        <v>16</v>
      </c>
      <c r="K2072" s="122">
        <v>45509</v>
      </c>
      <c r="L2072" t="s">
        <v>737</v>
      </c>
      <c r="M2072">
        <v>7.5</v>
      </c>
    </row>
    <row r="2073" spans="1:13" hidden="1" x14ac:dyDescent="0.35">
      <c r="A2073" t="s">
        <v>34</v>
      </c>
      <c r="D2073" t="s">
        <v>39</v>
      </c>
      <c r="F2073">
        <v>8</v>
      </c>
      <c r="G2073">
        <v>2</v>
      </c>
      <c r="H2073">
        <v>1</v>
      </c>
      <c r="I2073">
        <v>16</v>
      </c>
      <c r="K2073" s="122">
        <v>45509</v>
      </c>
      <c r="L2073" t="s">
        <v>738</v>
      </c>
      <c r="M2073">
        <v>7.5</v>
      </c>
    </row>
    <row r="2074" spans="1:13" hidden="1" x14ac:dyDescent="0.35">
      <c r="A2074" t="s">
        <v>34</v>
      </c>
      <c r="D2074" t="s">
        <v>39</v>
      </c>
      <c r="F2074">
        <v>8</v>
      </c>
      <c r="G2074">
        <v>2</v>
      </c>
      <c r="H2074">
        <v>1</v>
      </c>
      <c r="I2074">
        <v>16</v>
      </c>
      <c r="K2074" s="122">
        <v>45509</v>
      </c>
      <c r="L2074" t="s">
        <v>739</v>
      </c>
      <c r="M2074">
        <v>7.6</v>
      </c>
    </row>
    <row r="2075" spans="1:13" hidden="1" x14ac:dyDescent="0.35">
      <c r="A2075" t="s">
        <v>34</v>
      </c>
      <c r="D2075" t="s">
        <v>39</v>
      </c>
      <c r="F2075">
        <v>8</v>
      </c>
      <c r="G2075">
        <v>2</v>
      </c>
      <c r="H2075">
        <v>1</v>
      </c>
      <c r="I2075">
        <v>16</v>
      </c>
      <c r="K2075" s="122">
        <v>45519</v>
      </c>
      <c r="L2075" t="s">
        <v>737</v>
      </c>
      <c r="M2075">
        <v>8.6</v>
      </c>
    </row>
    <row r="2076" spans="1:13" hidden="1" x14ac:dyDescent="0.35">
      <c r="A2076" t="s">
        <v>34</v>
      </c>
      <c r="D2076" t="s">
        <v>39</v>
      </c>
      <c r="F2076">
        <v>8</v>
      </c>
      <c r="G2076">
        <v>2</v>
      </c>
      <c r="H2076">
        <v>1</v>
      </c>
      <c r="I2076">
        <v>16</v>
      </c>
      <c r="K2076" s="122">
        <v>45519</v>
      </c>
      <c r="L2076" t="s">
        <v>738</v>
      </c>
      <c r="M2076">
        <v>8.6999999999999993</v>
      </c>
    </row>
    <row r="2077" spans="1:13" hidden="1" x14ac:dyDescent="0.35">
      <c r="A2077" t="s">
        <v>34</v>
      </c>
      <c r="D2077" t="s">
        <v>39</v>
      </c>
      <c r="F2077">
        <v>8</v>
      </c>
      <c r="G2077">
        <v>2</v>
      </c>
      <c r="H2077">
        <v>1</v>
      </c>
      <c r="I2077">
        <v>16</v>
      </c>
      <c r="K2077" s="122">
        <v>45519</v>
      </c>
      <c r="L2077" t="s">
        <v>739</v>
      </c>
      <c r="M2077">
        <v>8.6999999999999993</v>
      </c>
    </row>
    <row r="2078" spans="1:13" hidden="1" x14ac:dyDescent="0.35">
      <c r="A2078" t="s">
        <v>34</v>
      </c>
      <c r="D2078" t="s">
        <v>39</v>
      </c>
      <c r="F2078">
        <v>8</v>
      </c>
      <c r="G2078">
        <v>2</v>
      </c>
      <c r="H2078">
        <v>1</v>
      </c>
      <c r="I2078">
        <v>16</v>
      </c>
      <c r="K2078" s="122">
        <v>45530</v>
      </c>
      <c r="L2078" t="s">
        <v>737</v>
      </c>
      <c r="M2078">
        <v>9.9</v>
      </c>
    </row>
    <row r="2079" spans="1:13" hidden="1" x14ac:dyDescent="0.35">
      <c r="A2079" t="s">
        <v>34</v>
      </c>
      <c r="D2079" t="s">
        <v>39</v>
      </c>
      <c r="F2079">
        <v>8</v>
      </c>
      <c r="G2079">
        <v>2</v>
      </c>
      <c r="H2079">
        <v>1</v>
      </c>
      <c r="I2079">
        <v>16</v>
      </c>
      <c r="K2079" s="122">
        <v>45530</v>
      </c>
      <c r="L2079" t="s">
        <v>738</v>
      </c>
      <c r="M2079">
        <v>9.9</v>
      </c>
    </row>
    <row r="2080" spans="1:13" hidden="1" x14ac:dyDescent="0.35">
      <c r="A2080" t="s">
        <v>34</v>
      </c>
      <c r="D2080" t="s">
        <v>39</v>
      </c>
      <c r="F2080">
        <v>8</v>
      </c>
      <c r="G2080">
        <v>2</v>
      </c>
      <c r="H2080">
        <v>1</v>
      </c>
      <c r="I2080">
        <v>16</v>
      </c>
      <c r="K2080" s="122">
        <v>45530</v>
      </c>
      <c r="L2080" t="s">
        <v>739</v>
      </c>
      <c r="M2080">
        <v>9.9</v>
      </c>
    </row>
    <row r="2081" spans="1:13" hidden="1" x14ac:dyDescent="0.35">
      <c r="A2081" t="s">
        <v>34</v>
      </c>
      <c r="D2081" t="s">
        <v>39</v>
      </c>
      <c r="F2081">
        <v>8</v>
      </c>
      <c r="G2081">
        <v>2</v>
      </c>
      <c r="H2081">
        <v>1</v>
      </c>
      <c r="I2081">
        <v>16</v>
      </c>
      <c r="K2081" s="122">
        <v>45538</v>
      </c>
      <c r="L2081" t="s">
        <v>737</v>
      </c>
      <c r="M2081">
        <v>10.7</v>
      </c>
    </row>
    <row r="2082" spans="1:13" hidden="1" x14ac:dyDescent="0.35">
      <c r="A2082" t="s">
        <v>34</v>
      </c>
      <c r="D2082" t="s">
        <v>39</v>
      </c>
      <c r="F2082">
        <v>8</v>
      </c>
      <c r="G2082">
        <v>2</v>
      </c>
      <c r="H2082">
        <v>1</v>
      </c>
      <c r="I2082">
        <v>16</v>
      </c>
      <c r="K2082" s="122">
        <v>45538</v>
      </c>
      <c r="L2082" t="s">
        <v>738</v>
      </c>
      <c r="M2082">
        <v>10.6</v>
      </c>
    </row>
    <row r="2083" spans="1:13" hidden="1" x14ac:dyDescent="0.35">
      <c r="A2083" t="s">
        <v>34</v>
      </c>
      <c r="D2083" t="s">
        <v>39</v>
      </c>
      <c r="F2083">
        <v>8</v>
      </c>
      <c r="G2083">
        <v>2</v>
      </c>
      <c r="H2083">
        <v>1</v>
      </c>
      <c r="I2083">
        <v>16</v>
      </c>
      <c r="K2083" s="122">
        <v>45538</v>
      </c>
      <c r="L2083" t="s">
        <v>739</v>
      </c>
      <c r="M2083">
        <v>10.6</v>
      </c>
    </row>
    <row r="2084" spans="1:13" hidden="1" x14ac:dyDescent="0.35">
      <c r="A2084" t="s">
        <v>34</v>
      </c>
      <c r="D2084" t="s">
        <v>39</v>
      </c>
      <c r="F2084">
        <v>8</v>
      </c>
      <c r="G2084">
        <v>2</v>
      </c>
      <c r="H2084">
        <v>1</v>
      </c>
      <c r="I2084">
        <v>16</v>
      </c>
      <c r="K2084" s="122">
        <v>45547</v>
      </c>
      <c r="L2084" t="s">
        <v>737</v>
      </c>
      <c r="M2084">
        <v>11</v>
      </c>
    </row>
    <row r="2085" spans="1:13" hidden="1" x14ac:dyDescent="0.35">
      <c r="A2085" t="s">
        <v>34</v>
      </c>
      <c r="D2085" t="s">
        <v>39</v>
      </c>
      <c r="F2085">
        <v>8</v>
      </c>
      <c r="G2085">
        <v>2</v>
      </c>
      <c r="H2085">
        <v>1</v>
      </c>
      <c r="I2085">
        <v>16</v>
      </c>
      <c r="K2085" s="122">
        <v>45547</v>
      </c>
      <c r="L2085" t="s">
        <v>738</v>
      </c>
      <c r="M2085">
        <v>11</v>
      </c>
    </row>
    <row r="2086" spans="1:13" hidden="1" x14ac:dyDescent="0.35">
      <c r="A2086" t="s">
        <v>34</v>
      </c>
      <c r="D2086" t="s">
        <v>39</v>
      </c>
      <c r="F2086">
        <v>8</v>
      </c>
      <c r="G2086">
        <v>2</v>
      </c>
      <c r="H2086">
        <v>1</v>
      </c>
      <c r="I2086">
        <v>16</v>
      </c>
      <c r="K2086" s="122">
        <v>45547</v>
      </c>
      <c r="L2086" t="s">
        <v>739</v>
      </c>
      <c r="M2086">
        <v>11</v>
      </c>
    </row>
    <row r="2087" spans="1:13" hidden="1" x14ac:dyDescent="0.35">
      <c r="A2087" t="s">
        <v>34</v>
      </c>
      <c r="D2087" t="s">
        <v>39</v>
      </c>
      <c r="F2087">
        <v>8</v>
      </c>
      <c r="G2087">
        <v>2</v>
      </c>
      <c r="H2087">
        <v>1</v>
      </c>
      <c r="I2087">
        <v>16</v>
      </c>
      <c r="K2087" s="122">
        <v>45555</v>
      </c>
      <c r="L2087" t="s">
        <v>737</v>
      </c>
    </row>
    <row r="2088" spans="1:13" hidden="1" x14ac:dyDescent="0.35">
      <c r="A2088" t="s">
        <v>34</v>
      </c>
      <c r="D2088" t="s">
        <v>39</v>
      </c>
      <c r="F2088">
        <v>8</v>
      </c>
      <c r="G2088">
        <v>2</v>
      </c>
      <c r="H2088">
        <v>1</v>
      </c>
      <c r="I2088">
        <v>16</v>
      </c>
      <c r="K2088" s="122">
        <v>45555</v>
      </c>
      <c r="L2088" t="s">
        <v>738</v>
      </c>
    </row>
    <row r="2089" spans="1:13" hidden="1" x14ac:dyDescent="0.35">
      <c r="A2089" t="s">
        <v>34</v>
      </c>
      <c r="D2089" t="s">
        <v>39</v>
      </c>
      <c r="F2089">
        <v>8</v>
      </c>
      <c r="G2089">
        <v>2</v>
      </c>
      <c r="H2089">
        <v>1</v>
      </c>
      <c r="I2089">
        <v>16</v>
      </c>
      <c r="K2089" s="122">
        <v>45555</v>
      </c>
      <c r="L2089" t="s">
        <v>739</v>
      </c>
    </row>
    <row r="2090" spans="1:13" hidden="1" x14ac:dyDescent="0.35">
      <c r="A2090" t="s">
        <v>24</v>
      </c>
      <c r="D2090" t="s">
        <v>27</v>
      </c>
      <c r="F2090">
        <v>1</v>
      </c>
      <c r="G2090">
        <v>1</v>
      </c>
      <c r="H2090">
        <v>1</v>
      </c>
      <c r="I2090">
        <v>1</v>
      </c>
      <c r="K2090" s="122">
        <v>45538</v>
      </c>
      <c r="L2090" t="s">
        <v>737</v>
      </c>
      <c r="M2090">
        <v>11.2</v>
      </c>
    </row>
    <row r="2091" spans="1:13" hidden="1" x14ac:dyDescent="0.35">
      <c r="A2091" t="s">
        <v>24</v>
      </c>
      <c r="D2091" t="s">
        <v>27</v>
      </c>
      <c r="F2091">
        <v>1</v>
      </c>
      <c r="G2091">
        <v>1</v>
      </c>
      <c r="H2091">
        <v>1</v>
      </c>
      <c r="I2091">
        <v>1</v>
      </c>
      <c r="K2091" s="122">
        <v>45538</v>
      </c>
      <c r="L2091" t="s">
        <v>738</v>
      </c>
      <c r="M2091">
        <v>12.3</v>
      </c>
    </row>
    <row r="2092" spans="1:13" hidden="1" x14ac:dyDescent="0.35">
      <c r="A2092" t="s">
        <v>24</v>
      </c>
      <c r="D2092" t="s">
        <v>27</v>
      </c>
      <c r="F2092">
        <v>1</v>
      </c>
      <c r="G2092">
        <v>1</v>
      </c>
      <c r="H2092">
        <v>1</v>
      </c>
      <c r="I2092">
        <v>1</v>
      </c>
      <c r="K2092" s="122">
        <v>45538</v>
      </c>
      <c r="L2092" t="s">
        <v>739</v>
      </c>
    </row>
    <row r="2093" spans="1:13" hidden="1" x14ac:dyDescent="0.35">
      <c r="A2093" t="s">
        <v>24</v>
      </c>
      <c r="D2093" t="s">
        <v>27</v>
      </c>
      <c r="F2093">
        <v>4</v>
      </c>
      <c r="G2093">
        <v>7</v>
      </c>
      <c r="H2093">
        <v>4</v>
      </c>
      <c r="I2093">
        <v>52</v>
      </c>
      <c r="K2093" s="122">
        <v>45538</v>
      </c>
      <c r="L2093" t="s">
        <v>737</v>
      </c>
      <c r="M2093">
        <v>10.8</v>
      </c>
    </row>
    <row r="2094" spans="1:13" hidden="1" x14ac:dyDescent="0.35">
      <c r="A2094" t="s">
        <v>24</v>
      </c>
      <c r="D2094" t="s">
        <v>27</v>
      </c>
      <c r="F2094">
        <v>4</v>
      </c>
      <c r="G2094">
        <v>7</v>
      </c>
      <c r="H2094">
        <v>4</v>
      </c>
      <c r="I2094">
        <v>52</v>
      </c>
      <c r="K2094" s="122">
        <v>45538</v>
      </c>
      <c r="L2094" t="s">
        <v>738</v>
      </c>
      <c r="M2094">
        <v>10.9</v>
      </c>
    </row>
    <row r="2095" spans="1:13" hidden="1" x14ac:dyDescent="0.35">
      <c r="A2095" t="s">
        <v>24</v>
      </c>
      <c r="D2095" t="s">
        <v>27</v>
      </c>
      <c r="F2095">
        <v>4</v>
      </c>
      <c r="G2095">
        <v>7</v>
      </c>
      <c r="H2095">
        <v>4</v>
      </c>
      <c r="I2095">
        <v>52</v>
      </c>
      <c r="K2095" s="122">
        <v>45538</v>
      </c>
      <c r="L2095" t="s">
        <v>739</v>
      </c>
    </row>
    <row r="2096" spans="1:13" hidden="1" x14ac:dyDescent="0.35">
      <c r="A2096" t="s">
        <v>24</v>
      </c>
      <c r="D2096" t="s">
        <v>27</v>
      </c>
      <c r="F2096">
        <v>5</v>
      </c>
      <c r="G2096">
        <v>5</v>
      </c>
      <c r="H2096">
        <v>3</v>
      </c>
      <c r="I2096">
        <v>37</v>
      </c>
      <c r="K2096" s="122">
        <v>45538</v>
      </c>
      <c r="L2096" t="s">
        <v>737</v>
      </c>
      <c r="M2096">
        <v>12.3</v>
      </c>
    </row>
    <row r="2097" spans="1:13" hidden="1" x14ac:dyDescent="0.35">
      <c r="A2097" t="s">
        <v>24</v>
      </c>
      <c r="D2097" t="s">
        <v>27</v>
      </c>
      <c r="F2097">
        <v>5</v>
      </c>
      <c r="G2097">
        <v>5</v>
      </c>
      <c r="H2097">
        <v>3</v>
      </c>
      <c r="I2097">
        <v>37</v>
      </c>
      <c r="K2097" s="122">
        <v>45538</v>
      </c>
      <c r="L2097" t="s">
        <v>738</v>
      </c>
      <c r="M2097">
        <v>11.3</v>
      </c>
    </row>
    <row r="2098" spans="1:13" hidden="1" x14ac:dyDescent="0.35">
      <c r="A2098" t="s">
        <v>24</v>
      </c>
      <c r="D2098" t="s">
        <v>27</v>
      </c>
      <c r="F2098">
        <v>5</v>
      </c>
      <c r="G2098">
        <v>5</v>
      </c>
      <c r="H2098">
        <v>3</v>
      </c>
      <c r="I2098">
        <v>37</v>
      </c>
      <c r="K2098" s="122">
        <v>45538</v>
      </c>
      <c r="L2098" t="s">
        <v>739</v>
      </c>
      <c r="M2098">
        <v>11.2</v>
      </c>
    </row>
    <row r="2099" spans="1:13" hidden="1" x14ac:dyDescent="0.35">
      <c r="A2099" t="s">
        <v>24</v>
      </c>
      <c r="D2099" t="s">
        <v>27</v>
      </c>
      <c r="F2099">
        <v>8</v>
      </c>
      <c r="G2099">
        <v>3</v>
      </c>
      <c r="H2099">
        <v>2</v>
      </c>
      <c r="I2099">
        <v>24</v>
      </c>
      <c r="K2099" s="122">
        <v>45538</v>
      </c>
      <c r="L2099" t="s">
        <v>737</v>
      </c>
      <c r="M2099">
        <v>10.3</v>
      </c>
    </row>
    <row r="2100" spans="1:13" hidden="1" x14ac:dyDescent="0.35">
      <c r="A2100" t="s">
        <v>24</v>
      </c>
      <c r="D2100" t="s">
        <v>27</v>
      </c>
      <c r="F2100">
        <v>8</v>
      </c>
      <c r="G2100">
        <v>3</v>
      </c>
      <c r="H2100">
        <v>2</v>
      </c>
      <c r="I2100">
        <v>24</v>
      </c>
      <c r="K2100" s="122">
        <v>45538</v>
      </c>
      <c r="L2100" t="s">
        <v>738</v>
      </c>
      <c r="M2100">
        <v>10.6</v>
      </c>
    </row>
    <row r="2101" spans="1:13" hidden="1" x14ac:dyDescent="0.35">
      <c r="A2101" t="s">
        <v>24</v>
      </c>
      <c r="D2101" t="s">
        <v>27</v>
      </c>
      <c r="F2101">
        <v>8</v>
      </c>
      <c r="G2101">
        <v>3</v>
      </c>
      <c r="H2101">
        <v>2</v>
      </c>
      <c r="I2101">
        <v>24</v>
      </c>
      <c r="K2101" s="122">
        <v>45538</v>
      </c>
      <c r="L2101" t="s">
        <v>739</v>
      </c>
      <c r="M2101">
        <v>11.2</v>
      </c>
    </row>
    <row r="2102" spans="1:13" hidden="1" x14ac:dyDescent="0.35">
      <c r="A2102" t="s">
        <v>24</v>
      </c>
      <c r="D2102" t="s">
        <v>27</v>
      </c>
      <c r="F2102">
        <v>1</v>
      </c>
      <c r="G2102">
        <v>1</v>
      </c>
      <c r="H2102">
        <v>1</v>
      </c>
      <c r="I2102">
        <v>1</v>
      </c>
      <c r="K2102" s="122">
        <v>45547</v>
      </c>
      <c r="L2102" t="s">
        <v>737</v>
      </c>
      <c r="M2102">
        <v>12</v>
      </c>
    </row>
    <row r="2103" spans="1:13" hidden="1" x14ac:dyDescent="0.35">
      <c r="A2103" t="s">
        <v>24</v>
      </c>
      <c r="D2103" t="s">
        <v>27</v>
      </c>
      <c r="F2103">
        <v>1</v>
      </c>
      <c r="G2103">
        <v>1</v>
      </c>
      <c r="H2103">
        <v>1</v>
      </c>
      <c r="I2103">
        <v>1</v>
      </c>
      <c r="K2103" s="122">
        <v>45547</v>
      </c>
      <c r="L2103" t="s">
        <v>738</v>
      </c>
      <c r="M2103">
        <v>13</v>
      </c>
    </row>
    <row r="2104" spans="1:13" hidden="1" x14ac:dyDescent="0.35">
      <c r="A2104" t="s">
        <v>24</v>
      </c>
      <c r="D2104" t="s">
        <v>27</v>
      </c>
      <c r="F2104">
        <v>1</v>
      </c>
      <c r="G2104">
        <v>1</v>
      </c>
      <c r="H2104">
        <v>1</v>
      </c>
      <c r="I2104">
        <v>1</v>
      </c>
      <c r="K2104" s="122">
        <v>45547</v>
      </c>
      <c r="L2104" t="s">
        <v>739</v>
      </c>
    </row>
    <row r="2105" spans="1:13" hidden="1" x14ac:dyDescent="0.35">
      <c r="A2105" t="s">
        <v>24</v>
      </c>
      <c r="D2105" t="s">
        <v>27</v>
      </c>
      <c r="F2105">
        <v>4</v>
      </c>
      <c r="G2105">
        <v>7</v>
      </c>
      <c r="H2105">
        <v>4</v>
      </c>
      <c r="I2105">
        <v>52</v>
      </c>
      <c r="K2105" s="122">
        <v>45547</v>
      </c>
      <c r="L2105" t="s">
        <v>737</v>
      </c>
      <c r="M2105">
        <v>11</v>
      </c>
    </row>
    <row r="2106" spans="1:13" hidden="1" x14ac:dyDescent="0.35">
      <c r="A2106" t="s">
        <v>24</v>
      </c>
      <c r="D2106" t="s">
        <v>27</v>
      </c>
      <c r="F2106">
        <v>4</v>
      </c>
      <c r="G2106">
        <v>7</v>
      </c>
      <c r="H2106">
        <v>4</v>
      </c>
      <c r="I2106">
        <v>52</v>
      </c>
      <c r="K2106" s="122">
        <v>45547</v>
      </c>
      <c r="L2106" t="s">
        <v>738</v>
      </c>
      <c r="M2106">
        <v>12</v>
      </c>
    </row>
    <row r="2107" spans="1:13" hidden="1" x14ac:dyDescent="0.35">
      <c r="A2107" t="s">
        <v>24</v>
      </c>
      <c r="D2107" t="s">
        <v>27</v>
      </c>
      <c r="F2107">
        <v>4</v>
      </c>
      <c r="G2107">
        <v>7</v>
      </c>
      <c r="H2107">
        <v>4</v>
      </c>
      <c r="I2107">
        <v>52</v>
      </c>
      <c r="K2107" s="122">
        <v>45547</v>
      </c>
      <c r="L2107" t="s">
        <v>739</v>
      </c>
    </row>
    <row r="2108" spans="1:13" hidden="1" x14ac:dyDescent="0.35">
      <c r="A2108" t="s">
        <v>24</v>
      </c>
      <c r="D2108" t="s">
        <v>27</v>
      </c>
      <c r="F2108">
        <v>5</v>
      </c>
      <c r="G2108">
        <v>5</v>
      </c>
      <c r="H2108">
        <v>3</v>
      </c>
      <c r="I2108">
        <v>37</v>
      </c>
      <c r="K2108" s="122">
        <v>45547</v>
      </c>
      <c r="L2108" t="s">
        <v>737</v>
      </c>
      <c r="M2108">
        <v>12</v>
      </c>
    </row>
    <row r="2109" spans="1:13" hidden="1" x14ac:dyDescent="0.35">
      <c r="A2109" t="s">
        <v>24</v>
      </c>
      <c r="D2109" t="s">
        <v>27</v>
      </c>
      <c r="F2109">
        <v>5</v>
      </c>
      <c r="G2109">
        <v>5</v>
      </c>
      <c r="H2109">
        <v>3</v>
      </c>
      <c r="I2109">
        <v>37</v>
      </c>
      <c r="K2109" s="122">
        <v>45547</v>
      </c>
      <c r="L2109" t="s">
        <v>738</v>
      </c>
      <c r="M2109">
        <v>12</v>
      </c>
    </row>
    <row r="2110" spans="1:13" hidden="1" x14ac:dyDescent="0.35">
      <c r="A2110" t="s">
        <v>24</v>
      </c>
      <c r="D2110" t="s">
        <v>27</v>
      </c>
      <c r="F2110">
        <v>5</v>
      </c>
      <c r="G2110">
        <v>5</v>
      </c>
      <c r="H2110">
        <v>3</v>
      </c>
      <c r="I2110">
        <v>37</v>
      </c>
      <c r="K2110" s="122">
        <v>45547</v>
      </c>
      <c r="L2110" t="s">
        <v>739</v>
      </c>
      <c r="M2110">
        <v>13</v>
      </c>
    </row>
    <row r="2111" spans="1:13" hidden="1" x14ac:dyDescent="0.35">
      <c r="A2111" t="s">
        <v>24</v>
      </c>
      <c r="D2111" t="s">
        <v>27</v>
      </c>
      <c r="F2111">
        <v>8</v>
      </c>
      <c r="G2111">
        <v>3</v>
      </c>
      <c r="H2111">
        <v>2</v>
      </c>
      <c r="I2111">
        <v>24</v>
      </c>
      <c r="K2111" s="122">
        <v>45547</v>
      </c>
      <c r="L2111" t="s">
        <v>737</v>
      </c>
      <c r="M2111">
        <v>10.8</v>
      </c>
    </row>
    <row r="2112" spans="1:13" hidden="1" x14ac:dyDescent="0.35">
      <c r="A2112" t="s">
        <v>24</v>
      </c>
      <c r="D2112" t="s">
        <v>27</v>
      </c>
      <c r="F2112">
        <v>8</v>
      </c>
      <c r="G2112">
        <v>3</v>
      </c>
      <c r="H2112">
        <v>2</v>
      </c>
      <c r="I2112">
        <v>24</v>
      </c>
      <c r="K2112" s="122">
        <v>45547</v>
      </c>
      <c r="L2112" t="s">
        <v>738</v>
      </c>
      <c r="M2112">
        <v>11</v>
      </c>
    </row>
    <row r="2113" spans="1:13" hidden="1" x14ac:dyDescent="0.35">
      <c r="A2113" t="s">
        <v>24</v>
      </c>
      <c r="D2113" t="s">
        <v>27</v>
      </c>
      <c r="F2113">
        <v>8</v>
      </c>
      <c r="G2113">
        <v>3</v>
      </c>
      <c r="H2113">
        <v>2</v>
      </c>
      <c r="I2113">
        <v>24</v>
      </c>
      <c r="K2113" s="122">
        <v>45547</v>
      </c>
      <c r="L2113" t="s">
        <v>739</v>
      </c>
      <c r="M2113">
        <v>11.8</v>
      </c>
    </row>
    <row r="2114" spans="1:13" hidden="1" x14ac:dyDescent="0.35">
      <c r="A2114" t="s">
        <v>24</v>
      </c>
      <c r="D2114" t="s">
        <v>27</v>
      </c>
      <c r="F2114">
        <v>1</v>
      </c>
      <c r="G2114">
        <v>1</v>
      </c>
      <c r="H2114">
        <v>1</v>
      </c>
      <c r="I2114">
        <v>1</v>
      </c>
      <c r="K2114" s="122">
        <v>45555</v>
      </c>
      <c r="L2114" t="s">
        <v>737</v>
      </c>
    </row>
    <row r="2115" spans="1:13" hidden="1" x14ac:dyDescent="0.35">
      <c r="A2115" t="s">
        <v>24</v>
      </c>
      <c r="D2115" t="s">
        <v>27</v>
      </c>
      <c r="F2115">
        <v>1</v>
      </c>
      <c r="G2115">
        <v>1</v>
      </c>
      <c r="H2115">
        <v>1</v>
      </c>
      <c r="I2115">
        <v>1</v>
      </c>
      <c r="K2115" s="122">
        <v>45555</v>
      </c>
      <c r="L2115" t="s">
        <v>738</v>
      </c>
    </row>
    <row r="2116" spans="1:13" hidden="1" x14ac:dyDescent="0.35">
      <c r="A2116" t="s">
        <v>24</v>
      </c>
      <c r="D2116" t="s">
        <v>27</v>
      </c>
      <c r="F2116">
        <v>1</v>
      </c>
      <c r="G2116">
        <v>1</v>
      </c>
      <c r="H2116">
        <v>1</v>
      </c>
      <c r="I2116">
        <v>1</v>
      </c>
      <c r="K2116" s="122">
        <v>45555</v>
      </c>
      <c r="L2116" t="s">
        <v>739</v>
      </c>
    </row>
    <row r="2117" spans="1:13" hidden="1" x14ac:dyDescent="0.35">
      <c r="A2117" t="s">
        <v>24</v>
      </c>
      <c r="D2117" t="s">
        <v>27</v>
      </c>
      <c r="F2117">
        <v>4</v>
      </c>
      <c r="G2117">
        <v>7</v>
      </c>
      <c r="H2117">
        <v>4</v>
      </c>
      <c r="I2117">
        <v>52</v>
      </c>
      <c r="K2117" s="122">
        <v>45555</v>
      </c>
      <c r="L2117" t="s">
        <v>737</v>
      </c>
    </row>
    <row r="2118" spans="1:13" hidden="1" x14ac:dyDescent="0.35">
      <c r="A2118" t="s">
        <v>24</v>
      </c>
      <c r="D2118" t="s">
        <v>27</v>
      </c>
      <c r="F2118">
        <v>4</v>
      </c>
      <c r="G2118">
        <v>7</v>
      </c>
      <c r="H2118">
        <v>4</v>
      </c>
      <c r="I2118">
        <v>52</v>
      </c>
      <c r="K2118" s="122">
        <v>45555</v>
      </c>
      <c r="L2118" t="s">
        <v>738</v>
      </c>
    </row>
    <row r="2119" spans="1:13" hidden="1" x14ac:dyDescent="0.35">
      <c r="A2119" t="s">
        <v>24</v>
      </c>
      <c r="D2119" t="s">
        <v>27</v>
      </c>
      <c r="F2119">
        <v>4</v>
      </c>
      <c r="G2119">
        <v>7</v>
      </c>
      <c r="H2119">
        <v>4</v>
      </c>
      <c r="I2119">
        <v>52</v>
      </c>
      <c r="K2119" s="122">
        <v>45555</v>
      </c>
      <c r="L2119" t="s">
        <v>739</v>
      </c>
    </row>
    <row r="2120" spans="1:13" hidden="1" x14ac:dyDescent="0.35">
      <c r="A2120" t="s">
        <v>24</v>
      </c>
      <c r="D2120" t="s">
        <v>27</v>
      </c>
      <c r="F2120">
        <v>5</v>
      </c>
      <c r="G2120">
        <v>5</v>
      </c>
      <c r="H2120">
        <v>3</v>
      </c>
      <c r="I2120">
        <v>37</v>
      </c>
      <c r="K2120" s="122">
        <v>45555</v>
      </c>
      <c r="L2120" t="s">
        <v>737</v>
      </c>
    </row>
    <row r="2121" spans="1:13" hidden="1" x14ac:dyDescent="0.35">
      <c r="A2121" t="s">
        <v>24</v>
      </c>
      <c r="D2121" t="s">
        <v>27</v>
      </c>
      <c r="F2121">
        <v>5</v>
      </c>
      <c r="G2121">
        <v>5</v>
      </c>
      <c r="H2121">
        <v>3</v>
      </c>
      <c r="I2121">
        <v>37</v>
      </c>
      <c r="K2121" s="122">
        <v>45555</v>
      </c>
      <c r="L2121" t="s">
        <v>738</v>
      </c>
    </row>
    <row r="2122" spans="1:13" hidden="1" x14ac:dyDescent="0.35">
      <c r="A2122" t="s">
        <v>24</v>
      </c>
      <c r="D2122" t="s">
        <v>27</v>
      </c>
      <c r="F2122">
        <v>5</v>
      </c>
      <c r="G2122">
        <v>5</v>
      </c>
      <c r="H2122">
        <v>3</v>
      </c>
      <c r="I2122">
        <v>37</v>
      </c>
      <c r="K2122" s="122">
        <v>45555</v>
      </c>
      <c r="L2122" t="s">
        <v>739</v>
      </c>
    </row>
    <row r="2123" spans="1:13" hidden="1" x14ac:dyDescent="0.35">
      <c r="A2123" t="s">
        <v>24</v>
      </c>
      <c r="D2123" t="s">
        <v>27</v>
      </c>
      <c r="F2123">
        <v>8</v>
      </c>
      <c r="G2123">
        <v>3</v>
      </c>
      <c r="H2123">
        <v>2</v>
      </c>
      <c r="I2123">
        <v>24</v>
      </c>
      <c r="K2123" s="122">
        <v>45555</v>
      </c>
      <c r="L2123" t="s">
        <v>737</v>
      </c>
      <c r="M2123">
        <v>11</v>
      </c>
    </row>
    <row r="2124" spans="1:13" hidden="1" x14ac:dyDescent="0.35">
      <c r="A2124" t="s">
        <v>24</v>
      </c>
      <c r="D2124" t="s">
        <v>27</v>
      </c>
      <c r="F2124">
        <v>8</v>
      </c>
      <c r="G2124">
        <v>3</v>
      </c>
      <c r="H2124">
        <v>2</v>
      </c>
      <c r="I2124">
        <v>24</v>
      </c>
      <c r="K2124" s="122">
        <v>45555</v>
      </c>
      <c r="L2124" t="s">
        <v>738</v>
      </c>
      <c r="M2124">
        <v>11</v>
      </c>
    </row>
    <row r="2125" spans="1:13" hidden="1" x14ac:dyDescent="0.35">
      <c r="A2125" t="s">
        <v>24</v>
      </c>
      <c r="D2125" t="s">
        <v>27</v>
      </c>
      <c r="F2125">
        <v>8</v>
      </c>
      <c r="G2125">
        <v>3</v>
      </c>
      <c r="H2125">
        <v>2</v>
      </c>
      <c r="I2125">
        <v>24</v>
      </c>
      <c r="K2125" s="122">
        <v>45555</v>
      </c>
      <c r="L2125" t="s">
        <v>739</v>
      </c>
      <c r="M2125">
        <v>12</v>
      </c>
    </row>
    <row r="2126" spans="1:13" hidden="1" x14ac:dyDescent="0.35">
      <c r="A2126" t="s">
        <v>34</v>
      </c>
      <c r="D2126" t="s">
        <v>37</v>
      </c>
      <c r="F2126">
        <v>8</v>
      </c>
      <c r="G2126">
        <v>4</v>
      </c>
      <c r="H2126">
        <v>2</v>
      </c>
      <c r="I2126">
        <v>32</v>
      </c>
      <c r="K2126" s="122">
        <v>45442</v>
      </c>
      <c r="L2126" t="s">
        <v>737</v>
      </c>
    </row>
    <row r="2127" spans="1:13" hidden="1" x14ac:dyDescent="0.35">
      <c r="A2127" t="s">
        <v>34</v>
      </c>
      <c r="D2127" t="s">
        <v>37</v>
      </c>
      <c r="F2127">
        <v>8</v>
      </c>
      <c r="G2127">
        <v>4</v>
      </c>
      <c r="H2127">
        <v>2</v>
      </c>
      <c r="I2127">
        <v>32</v>
      </c>
      <c r="K2127" s="122">
        <v>45442</v>
      </c>
      <c r="L2127" t="s">
        <v>738</v>
      </c>
    </row>
    <row r="2128" spans="1:13" hidden="1" x14ac:dyDescent="0.35">
      <c r="A2128" t="s">
        <v>34</v>
      </c>
      <c r="D2128" t="s">
        <v>37</v>
      </c>
      <c r="F2128">
        <v>8</v>
      </c>
      <c r="G2128">
        <v>4</v>
      </c>
      <c r="H2128">
        <v>2</v>
      </c>
      <c r="I2128">
        <v>32</v>
      </c>
      <c r="K2128" s="122">
        <v>45442</v>
      </c>
      <c r="L2128" t="s">
        <v>739</v>
      </c>
    </row>
    <row r="2129" spans="1:13" hidden="1" x14ac:dyDescent="0.35">
      <c r="A2129" t="s">
        <v>34</v>
      </c>
      <c r="D2129" t="s">
        <v>37</v>
      </c>
      <c r="F2129">
        <v>8</v>
      </c>
      <c r="G2129">
        <v>4</v>
      </c>
      <c r="H2129">
        <v>2</v>
      </c>
      <c r="I2129">
        <v>32</v>
      </c>
      <c r="K2129" s="122">
        <v>45447</v>
      </c>
      <c r="L2129" t="s">
        <v>737</v>
      </c>
      <c r="M2129">
        <v>1.8</v>
      </c>
    </row>
    <row r="2130" spans="1:13" hidden="1" x14ac:dyDescent="0.35">
      <c r="A2130" t="s">
        <v>34</v>
      </c>
      <c r="D2130" t="s">
        <v>37</v>
      </c>
      <c r="F2130">
        <v>8</v>
      </c>
      <c r="G2130">
        <v>4</v>
      </c>
      <c r="H2130">
        <v>2</v>
      </c>
      <c r="I2130">
        <v>32</v>
      </c>
      <c r="K2130" s="122">
        <v>45447</v>
      </c>
      <c r="L2130" t="s">
        <v>738</v>
      </c>
      <c r="M2130">
        <v>1.8</v>
      </c>
    </row>
    <row r="2131" spans="1:13" hidden="1" x14ac:dyDescent="0.35">
      <c r="A2131" t="s">
        <v>34</v>
      </c>
      <c r="D2131" t="s">
        <v>37</v>
      </c>
      <c r="F2131">
        <v>8</v>
      </c>
      <c r="G2131">
        <v>4</v>
      </c>
      <c r="H2131">
        <v>2</v>
      </c>
      <c r="I2131">
        <v>32</v>
      </c>
      <c r="K2131" s="122">
        <v>45447</v>
      </c>
      <c r="L2131" t="s">
        <v>739</v>
      </c>
      <c r="M2131">
        <v>1.9</v>
      </c>
    </row>
    <row r="2132" spans="1:13" hidden="1" x14ac:dyDescent="0.35">
      <c r="A2132" t="s">
        <v>34</v>
      </c>
      <c r="D2132" t="s">
        <v>37</v>
      </c>
      <c r="F2132">
        <v>8</v>
      </c>
      <c r="G2132">
        <v>4</v>
      </c>
      <c r="H2132">
        <v>2</v>
      </c>
      <c r="I2132">
        <v>32</v>
      </c>
      <c r="K2132" s="122">
        <v>45462</v>
      </c>
      <c r="L2132" t="s">
        <v>737</v>
      </c>
      <c r="M2132">
        <v>3.3</v>
      </c>
    </row>
    <row r="2133" spans="1:13" hidden="1" x14ac:dyDescent="0.35">
      <c r="A2133" t="s">
        <v>34</v>
      </c>
      <c r="D2133" t="s">
        <v>37</v>
      </c>
      <c r="F2133">
        <v>8</v>
      </c>
      <c r="G2133">
        <v>4</v>
      </c>
      <c r="H2133">
        <v>2</v>
      </c>
      <c r="I2133">
        <v>32</v>
      </c>
      <c r="K2133" s="122">
        <v>45462</v>
      </c>
      <c r="L2133" t="s">
        <v>738</v>
      </c>
      <c r="M2133">
        <v>3.3</v>
      </c>
    </row>
    <row r="2134" spans="1:13" hidden="1" x14ac:dyDescent="0.35">
      <c r="A2134" t="s">
        <v>34</v>
      </c>
      <c r="D2134" t="s">
        <v>37</v>
      </c>
      <c r="F2134">
        <v>8</v>
      </c>
      <c r="G2134">
        <v>4</v>
      </c>
      <c r="H2134">
        <v>2</v>
      </c>
      <c r="I2134">
        <v>32</v>
      </c>
      <c r="K2134" s="122">
        <v>45462</v>
      </c>
      <c r="L2134" t="s">
        <v>739</v>
      </c>
      <c r="M2134">
        <v>3.4</v>
      </c>
    </row>
    <row r="2135" spans="1:13" hidden="1" x14ac:dyDescent="0.35">
      <c r="A2135" t="s">
        <v>34</v>
      </c>
      <c r="D2135" t="s">
        <v>37</v>
      </c>
      <c r="F2135">
        <v>8</v>
      </c>
      <c r="G2135">
        <v>4</v>
      </c>
      <c r="H2135">
        <v>2</v>
      </c>
      <c r="I2135">
        <v>32</v>
      </c>
      <c r="K2135" s="122">
        <v>45477</v>
      </c>
      <c r="L2135" t="s">
        <v>737</v>
      </c>
      <c r="M2135">
        <v>4.7</v>
      </c>
    </row>
    <row r="2136" spans="1:13" hidden="1" x14ac:dyDescent="0.35">
      <c r="A2136" t="s">
        <v>34</v>
      </c>
      <c r="D2136" t="s">
        <v>37</v>
      </c>
      <c r="F2136">
        <v>8</v>
      </c>
      <c r="G2136">
        <v>4</v>
      </c>
      <c r="H2136">
        <v>2</v>
      </c>
      <c r="I2136">
        <v>32</v>
      </c>
      <c r="K2136" s="122">
        <v>45477</v>
      </c>
      <c r="L2136" t="s">
        <v>738</v>
      </c>
      <c r="M2136">
        <v>4.7</v>
      </c>
    </row>
    <row r="2137" spans="1:13" hidden="1" x14ac:dyDescent="0.35">
      <c r="A2137" t="s">
        <v>34</v>
      </c>
      <c r="D2137" t="s">
        <v>37</v>
      </c>
      <c r="F2137">
        <v>8</v>
      </c>
      <c r="G2137">
        <v>4</v>
      </c>
      <c r="H2137">
        <v>2</v>
      </c>
      <c r="I2137">
        <v>32</v>
      </c>
      <c r="K2137" s="122">
        <v>45477</v>
      </c>
      <c r="L2137" t="s">
        <v>739</v>
      </c>
      <c r="M2137">
        <v>4.7</v>
      </c>
    </row>
    <row r="2138" spans="1:13" hidden="1" x14ac:dyDescent="0.35">
      <c r="A2138" t="s">
        <v>34</v>
      </c>
      <c r="D2138" t="s">
        <v>37</v>
      </c>
      <c r="F2138">
        <v>8</v>
      </c>
      <c r="G2138">
        <v>4</v>
      </c>
      <c r="H2138">
        <v>2</v>
      </c>
      <c r="I2138">
        <v>32</v>
      </c>
      <c r="K2138" s="122">
        <v>45485</v>
      </c>
      <c r="L2138" t="s">
        <v>737</v>
      </c>
    </row>
    <row r="2139" spans="1:13" hidden="1" x14ac:dyDescent="0.35">
      <c r="A2139" t="s">
        <v>34</v>
      </c>
      <c r="D2139" t="s">
        <v>37</v>
      </c>
      <c r="F2139">
        <v>8</v>
      </c>
      <c r="G2139">
        <v>4</v>
      </c>
      <c r="H2139">
        <v>2</v>
      </c>
      <c r="I2139">
        <v>32</v>
      </c>
      <c r="K2139" s="122">
        <v>45485</v>
      </c>
      <c r="L2139" t="s">
        <v>738</v>
      </c>
    </row>
    <row r="2140" spans="1:13" hidden="1" x14ac:dyDescent="0.35">
      <c r="A2140" t="s">
        <v>34</v>
      </c>
      <c r="D2140" t="s">
        <v>37</v>
      </c>
      <c r="F2140">
        <v>8</v>
      </c>
      <c r="G2140">
        <v>4</v>
      </c>
      <c r="H2140">
        <v>2</v>
      </c>
      <c r="I2140">
        <v>32</v>
      </c>
      <c r="K2140" s="122">
        <v>45485</v>
      </c>
      <c r="L2140" t="s">
        <v>739</v>
      </c>
    </row>
    <row r="2141" spans="1:13" hidden="1" x14ac:dyDescent="0.35">
      <c r="A2141" t="s">
        <v>34</v>
      </c>
      <c r="D2141" t="s">
        <v>37</v>
      </c>
      <c r="F2141">
        <v>8</v>
      </c>
      <c r="G2141">
        <v>4</v>
      </c>
      <c r="H2141">
        <v>2</v>
      </c>
      <c r="I2141">
        <v>32</v>
      </c>
      <c r="K2141" s="122">
        <v>45492</v>
      </c>
      <c r="L2141" t="s">
        <v>737</v>
      </c>
      <c r="M2141">
        <v>5.9</v>
      </c>
    </row>
    <row r="2142" spans="1:13" hidden="1" x14ac:dyDescent="0.35">
      <c r="A2142" t="s">
        <v>34</v>
      </c>
      <c r="D2142" t="s">
        <v>37</v>
      </c>
      <c r="F2142">
        <v>8</v>
      </c>
      <c r="G2142">
        <v>4</v>
      </c>
      <c r="H2142">
        <v>2</v>
      </c>
      <c r="I2142">
        <v>32</v>
      </c>
      <c r="K2142" s="122">
        <v>45492</v>
      </c>
      <c r="L2142" t="s">
        <v>738</v>
      </c>
      <c r="M2142">
        <v>5.9</v>
      </c>
    </row>
    <row r="2143" spans="1:13" hidden="1" x14ac:dyDescent="0.35">
      <c r="A2143" t="s">
        <v>34</v>
      </c>
      <c r="D2143" t="s">
        <v>37</v>
      </c>
      <c r="F2143">
        <v>8</v>
      </c>
      <c r="G2143">
        <v>4</v>
      </c>
      <c r="H2143">
        <v>2</v>
      </c>
      <c r="I2143">
        <v>32</v>
      </c>
      <c r="K2143" s="122">
        <v>45492</v>
      </c>
      <c r="L2143" t="s">
        <v>739</v>
      </c>
      <c r="M2143">
        <v>6.2</v>
      </c>
    </row>
    <row r="2144" spans="1:13" hidden="1" x14ac:dyDescent="0.35">
      <c r="A2144" t="s">
        <v>34</v>
      </c>
      <c r="D2144" t="s">
        <v>37</v>
      </c>
      <c r="F2144">
        <v>8</v>
      </c>
      <c r="G2144">
        <v>4</v>
      </c>
      <c r="H2144">
        <v>2</v>
      </c>
      <c r="I2144">
        <v>32</v>
      </c>
      <c r="K2144" s="122">
        <v>45509</v>
      </c>
      <c r="L2144" t="s">
        <v>737</v>
      </c>
      <c r="M2144">
        <v>7.5</v>
      </c>
    </row>
    <row r="2145" spans="1:13" hidden="1" x14ac:dyDescent="0.35">
      <c r="A2145" t="s">
        <v>34</v>
      </c>
      <c r="D2145" t="s">
        <v>37</v>
      </c>
      <c r="F2145">
        <v>8</v>
      </c>
      <c r="G2145">
        <v>4</v>
      </c>
      <c r="H2145">
        <v>2</v>
      </c>
      <c r="I2145">
        <v>32</v>
      </c>
      <c r="K2145" s="122">
        <v>45509</v>
      </c>
      <c r="L2145" t="s">
        <v>738</v>
      </c>
      <c r="M2145">
        <v>7.5</v>
      </c>
    </row>
    <row r="2146" spans="1:13" hidden="1" x14ac:dyDescent="0.35">
      <c r="A2146" t="s">
        <v>34</v>
      </c>
      <c r="D2146" t="s">
        <v>37</v>
      </c>
      <c r="F2146">
        <v>8</v>
      </c>
      <c r="G2146">
        <v>4</v>
      </c>
      <c r="H2146">
        <v>2</v>
      </c>
      <c r="I2146">
        <v>32</v>
      </c>
      <c r="K2146" s="122">
        <v>45509</v>
      </c>
      <c r="L2146" t="s">
        <v>739</v>
      </c>
      <c r="M2146">
        <v>7.5</v>
      </c>
    </row>
    <row r="2147" spans="1:13" hidden="1" x14ac:dyDescent="0.35">
      <c r="A2147" t="s">
        <v>34</v>
      </c>
      <c r="D2147" t="s">
        <v>37</v>
      </c>
      <c r="F2147">
        <v>8</v>
      </c>
      <c r="G2147">
        <v>4</v>
      </c>
      <c r="H2147">
        <v>2</v>
      </c>
      <c r="I2147">
        <v>32</v>
      </c>
      <c r="K2147" s="122">
        <v>45519</v>
      </c>
      <c r="L2147" t="s">
        <v>737</v>
      </c>
      <c r="M2147">
        <v>8.4</v>
      </c>
    </row>
    <row r="2148" spans="1:13" hidden="1" x14ac:dyDescent="0.35">
      <c r="A2148" t="s">
        <v>34</v>
      </c>
      <c r="D2148" t="s">
        <v>37</v>
      </c>
      <c r="F2148">
        <v>8</v>
      </c>
      <c r="G2148">
        <v>4</v>
      </c>
      <c r="H2148">
        <v>2</v>
      </c>
      <c r="I2148">
        <v>32</v>
      </c>
      <c r="K2148" s="122">
        <v>45519</v>
      </c>
      <c r="L2148" t="s">
        <v>738</v>
      </c>
      <c r="M2148">
        <v>8.3000000000000007</v>
      </c>
    </row>
    <row r="2149" spans="1:13" hidden="1" x14ac:dyDescent="0.35">
      <c r="A2149" t="s">
        <v>34</v>
      </c>
      <c r="D2149" t="s">
        <v>37</v>
      </c>
      <c r="F2149">
        <v>8</v>
      </c>
      <c r="G2149">
        <v>4</v>
      </c>
      <c r="H2149">
        <v>2</v>
      </c>
      <c r="I2149">
        <v>32</v>
      </c>
      <c r="K2149" s="122">
        <v>45519</v>
      </c>
      <c r="L2149" t="s">
        <v>739</v>
      </c>
      <c r="M2149">
        <v>8.6</v>
      </c>
    </row>
    <row r="2150" spans="1:13" hidden="1" x14ac:dyDescent="0.35">
      <c r="A2150" t="s">
        <v>34</v>
      </c>
      <c r="D2150" t="s">
        <v>37</v>
      </c>
      <c r="F2150">
        <v>8</v>
      </c>
      <c r="G2150">
        <v>4</v>
      </c>
      <c r="H2150">
        <v>2</v>
      </c>
      <c r="I2150">
        <v>32</v>
      </c>
      <c r="K2150" s="122">
        <v>45530</v>
      </c>
      <c r="L2150" t="s">
        <v>737</v>
      </c>
      <c r="M2150">
        <v>9.5</v>
      </c>
    </row>
    <row r="2151" spans="1:13" hidden="1" x14ac:dyDescent="0.35">
      <c r="A2151" t="s">
        <v>34</v>
      </c>
      <c r="D2151" t="s">
        <v>37</v>
      </c>
      <c r="F2151">
        <v>8</v>
      </c>
      <c r="G2151">
        <v>4</v>
      </c>
      <c r="H2151">
        <v>2</v>
      </c>
      <c r="I2151">
        <v>32</v>
      </c>
      <c r="K2151" s="122">
        <v>45530</v>
      </c>
      <c r="L2151" t="s">
        <v>738</v>
      </c>
      <c r="M2151">
        <v>9.9</v>
      </c>
    </row>
    <row r="2152" spans="1:13" hidden="1" x14ac:dyDescent="0.35">
      <c r="A2152" t="s">
        <v>34</v>
      </c>
      <c r="D2152" t="s">
        <v>37</v>
      </c>
      <c r="F2152">
        <v>8</v>
      </c>
      <c r="G2152">
        <v>4</v>
      </c>
      <c r="H2152">
        <v>2</v>
      </c>
      <c r="I2152">
        <v>32</v>
      </c>
      <c r="K2152" s="122">
        <v>45530</v>
      </c>
      <c r="L2152" t="s">
        <v>739</v>
      </c>
      <c r="M2152">
        <v>10.1</v>
      </c>
    </row>
    <row r="2153" spans="1:13" hidden="1" x14ac:dyDescent="0.35">
      <c r="A2153" t="s">
        <v>34</v>
      </c>
      <c r="D2153" t="s">
        <v>37</v>
      </c>
      <c r="F2153">
        <v>8</v>
      </c>
      <c r="G2153">
        <v>4</v>
      </c>
      <c r="H2153">
        <v>2</v>
      </c>
      <c r="I2153">
        <v>32</v>
      </c>
      <c r="K2153" s="122">
        <v>45538</v>
      </c>
      <c r="L2153" t="s">
        <v>737</v>
      </c>
      <c r="M2153">
        <v>10.7</v>
      </c>
    </row>
    <row r="2154" spans="1:13" hidden="1" x14ac:dyDescent="0.35">
      <c r="A2154" t="s">
        <v>34</v>
      </c>
      <c r="D2154" t="s">
        <v>37</v>
      </c>
      <c r="F2154">
        <v>8</v>
      </c>
      <c r="G2154">
        <v>4</v>
      </c>
      <c r="H2154">
        <v>2</v>
      </c>
      <c r="I2154">
        <v>32</v>
      </c>
      <c r="K2154" s="122">
        <v>45538</v>
      </c>
      <c r="L2154" t="s">
        <v>738</v>
      </c>
      <c r="M2154">
        <v>10</v>
      </c>
    </row>
    <row r="2155" spans="1:13" hidden="1" x14ac:dyDescent="0.35">
      <c r="A2155" t="s">
        <v>34</v>
      </c>
      <c r="D2155" t="s">
        <v>37</v>
      </c>
      <c r="F2155">
        <v>8</v>
      </c>
      <c r="G2155">
        <v>4</v>
      </c>
      <c r="H2155">
        <v>2</v>
      </c>
      <c r="I2155">
        <v>32</v>
      </c>
      <c r="K2155" s="122">
        <v>45538</v>
      </c>
      <c r="L2155" t="s">
        <v>739</v>
      </c>
      <c r="M2155">
        <v>10.9</v>
      </c>
    </row>
    <row r="2156" spans="1:13" hidden="1" x14ac:dyDescent="0.35">
      <c r="A2156" t="s">
        <v>34</v>
      </c>
      <c r="D2156" t="s">
        <v>37</v>
      </c>
      <c r="F2156">
        <v>8</v>
      </c>
      <c r="G2156">
        <v>4</v>
      </c>
      <c r="H2156">
        <v>2</v>
      </c>
      <c r="I2156">
        <v>32</v>
      </c>
      <c r="K2156" s="122">
        <v>45547</v>
      </c>
      <c r="L2156" t="s">
        <v>737</v>
      </c>
      <c r="M2156">
        <v>10</v>
      </c>
    </row>
    <row r="2157" spans="1:13" hidden="1" x14ac:dyDescent="0.35">
      <c r="A2157" t="s">
        <v>34</v>
      </c>
      <c r="D2157" t="s">
        <v>37</v>
      </c>
      <c r="F2157">
        <v>8</v>
      </c>
      <c r="G2157">
        <v>4</v>
      </c>
      <c r="H2157">
        <v>2</v>
      </c>
      <c r="I2157">
        <v>32</v>
      </c>
      <c r="K2157" s="122">
        <v>45547</v>
      </c>
      <c r="L2157" t="s">
        <v>738</v>
      </c>
      <c r="M2157">
        <v>11</v>
      </c>
    </row>
    <row r="2158" spans="1:13" hidden="1" x14ac:dyDescent="0.35">
      <c r="A2158" t="s">
        <v>34</v>
      </c>
      <c r="D2158" t="s">
        <v>37</v>
      </c>
      <c r="F2158">
        <v>8</v>
      </c>
      <c r="G2158">
        <v>4</v>
      </c>
      <c r="H2158">
        <v>2</v>
      </c>
      <c r="I2158">
        <v>32</v>
      </c>
      <c r="K2158" s="122">
        <v>45547</v>
      </c>
      <c r="L2158" t="s">
        <v>739</v>
      </c>
      <c r="M2158">
        <v>11</v>
      </c>
    </row>
    <row r="2159" spans="1:13" hidden="1" x14ac:dyDescent="0.35">
      <c r="A2159" t="s">
        <v>34</v>
      </c>
      <c r="D2159" t="s">
        <v>37</v>
      </c>
      <c r="F2159">
        <v>8</v>
      </c>
      <c r="G2159">
        <v>4</v>
      </c>
      <c r="H2159">
        <v>2</v>
      </c>
      <c r="I2159">
        <v>32</v>
      </c>
      <c r="K2159" s="122">
        <v>45555</v>
      </c>
      <c r="L2159" t="s">
        <v>737</v>
      </c>
    </row>
    <row r="2160" spans="1:13" hidden="1" x14ac:dyDescent="0.35">
      <c r="A2160" t="s">
        <v>34</v>
      </c>
      <c r="D2160" t="s">
        <v>37</v>
      </c>
      <c r="F2160">
        <v>8</v>
      </c>
      <c r="G2160">
        <v>4</v>
      </c>
      <c r="H2160">
        <v>2</v>
      </c>
      <c r="I2160">
        <v>32</v>
      </c>
      <c r="K2160" s="122">
        <v>45555</v>
      </c>
      <c r="L2160" t="s">
        <v>738</v>
      </c>
    </row>
    <row r="2161" spans="1:13" hidden="1" x14ac:dyDescent="0.35">
      <c r="A2161" t="s">
        <v>34</v>
      </c>
      <c r="D2161" t="s">
        <v>37</v>
      </c>
      <c r="F2161">
        <v>8</v>
      </c>
      <c r="G2161">
        <v>4</v>
      </c>
      <c r="H2161">
        <v>2</v>
      </c>
      <c r="I2161">
        <v>32</v>
      </c>
      <c r="K2161" s="122">
        <v>45555</v>
      </c>
      <c r="L2161" t="s">
        <v>739</v>
      </c>
    </row>
    <row r="2162" spans="1:13" hidden="1" x14ac:dyDescent="0.35">
      <c r="A2162" t="s">
        <v>24</v>
      </c>
      <c r="D2162" t="s">
        <v>26</v>
      </c>
      <c r="F2162">
        <v>8</v>
      </c>
      <c r="G2162">
        <v>5</v>
      </c>
      <c r="H2162">
        <v>3</v>
      </c>
      <c r="I2162">
        <v>40</v>
      </c>
      <c r="K2162" s="122">
        <v>45442</v>
      </c>
      <c r="L2162" t="s">
        <v>737</v>
      </c>
    </row>
    <row r="2163" spans="1:13" hidden="1" x14ac:dyDescent="0.35">
      <c r="A2163" t="s">
        <v>24</v>
      </c>
      <c r="D2163" t="s">
        <v>26</v>
      </c>
      <c r="F2163">
        <v>8</v>
      </c>
      <c r="G2163">
        <v>5</v>
      </c>
      <c r="H2163">
        <v>3</v>
      </c>
      <c r="I2163">
        <v>40</v>
      </c>
      <c r="K2163" s="122">
        <v>45442</v>
      </c>
      <c r="L2163" t="s">
        <v>738</v>
      </c>
    </row>
    <row r="2164" spans="1:13" hidden="1" x14ac:dyDescent="0.35">
      <c r="A2164" t="s">
        <v>24</v>
      </c>
      <c r="D2164" t="s">
        <v>26</v>
      </c>
      <c r="F2164">
        <v>8</v>
      </c>
      <c r="G2164">
        <v>5</v>
      </c>
      <c r="H2164">
        <v>3</v>
      </c>
      <c r="I2164">
        <v>40</v>
      </c>
      <c r="K2164" s="122">
        <v>45442</v>
      </c>
      <c r="L2164" t="s">
        <v>739</v>
      </c>
    </row>
    <row r="2165" spans="1:13" hidden="1" x14ac:dyDescent="0.35">
      <c r="A2165" t="s">
        <v>24</v>
      </c>
      <c r="D2165" t="s">
        <v>26</v>
      </c>
      <c r="F2165">
        <v>8</v>
      </c>
      <c r="G2165">
        <v>5</v>
      </c>
      <c r="H2165">
        <v>3</v>
      </c>
      <c r="I2165">
        <v>40</v>
      </c>
      <c r="K2165" s="122">
        <v>45447</v>
      </c>
      <c r="L2165" t="s">
        <v>737</v>
      </c>
      <c r="M2165">
        <v>5.3</v>
      </c>
    </row>
    <row r="2166" spans="1:13" hidden="1" x14ac:dyDescent="0.35">
      <c r="A2166" t="s">
        <v>24</v>
      </c>
      <c r="D2166" t="s">
        <v>26</v>
      </c>
      <c r="F2166">
        <v>8</v>
      </c>
      <c r="G2166">
        <v>5</v>
      </c>
      <c r="H2166">
        <v>3</v>
      </c>
      <c r="I2166">
        <v>40</v>
      </c>
      <c r="K2166" s="122">
        <v>45447</v>
      </c>
      <c r="L2166" t="s">
        <v>738</v>
      </c>
      <c r="M2166">
        <v>5.5</v>
      </c>
    </row>
    <row r="2167" spans="1:13" hidden="1" x14ac:dyDescent="0.35">
      <c r="A2167" t="s">
        <v>24</v>
      </c>
      <c r="D2167" t="s">
        <v>26</v>
      </c>
      <c r="F2167">
        <v>8</v>
      </c>
      <c r="G2167">
        <v>5</v>
      </c>
      <c r="H2167">
        <v>3</v>
      </c>
      <c r="I2167">
        <v>40</v>
      </c>
      <c r="K2167" s="122">
        <v>45447</v>
      </c>
      <c r="L2167" t="s">
        <v>739</v>
      </c>
      <c r="M2167">
        <v>5.7</v>
      </c>
    </row>
    <row r="2168" spans="1:13" hidden="1" x14ac:dyDescent="0.35">
      <c r="A2168" t="s">
        <v>24</v>
      </c>
      <c r="D2168" t="s">
        <v>26</v>
      </c>
      <c r="F2168">
        <v>8</v>
      </c>
      <c r="G2168">
        <v>5</v>
      </c>
      <c r="H2168">
        <v>3</v>
      </c>
      <c r="I2168">
        <v>40</v>
      </c>
      <c r="K2168" s="122">
        <v>45462</v>
      </c>
      <c r="L2168" t="s">
        <v>737</v>
      </c>
      <c r="M2168">
        <v>5.3</v>
      </c>
    </row>
    <row r="2169" spans="1:13" hidden="1" x14ac:dyDescent="0.35">
      <c r="A2169" t="s">
        <v>24</v>
      </c>
      <c r="D2169" t="s">
        <v>26</v>
      </c>
      <c r="F2169">
        <v>8</v>
      </c>
      <c r="G2169">
        <v>5</v>
      </c>
      <c r="H2169">
        <v>3</v>
      </c>
      <c r="I2169">
        <v>40</v>
      </c>
      <c r="K2169" s="122">
        <v>45462</v>
      </c>
      <c r="L2169" t="s">
        <v>738</v>
      </c>
      <c r="M2169">
        <v>5.5</v>
      </c>
    </row>
    <row r="2170" spans="1:13" hidden="1" x14ac:dyDescent="0.35">
      <c r="A2170" t="s">
        <v>24</v>
      </c>
      <c r="D2170" t="s">
        <v>26</v>
      </c>
      <c r="F2170">
        <v>8</v>
      </c>
      <c r="G2170">
        <v>5</v>
      </c>
      <c r="H2170">
        <v>3</v>
      </c>
      <c r="I2170">
        <v>40</v>
      </c>
      <c r="K2170" s="122">
        <v>45462</v>
      </c>
      <c r="L2170" t="s">
        <v>739</v>
      </c>
      <c r="M2170">
        <v>6.1</v>
      </c>
    </row>
    <row r="2171" spans="1:13" hidden="1" x14ac:dyDescent="0.35">
      <c r="A2171" t="s">
        <v>24</v>
      </c>
      <c r="D2171" t="s">
        <v>26</v>
      </c>
      <c r="F2171">
        <v>8</v>
      </c>
      <c r="G2171">
        <v>5</v>
      </c>
      <c r="H2171">
        <v>3</v>
      </c>
      <c r="I2171">
        <v>40</v>
      </c>
      <c r="K2171" s="122">
        <v>45477</v>
      </c>
      <c r="L2171" t="s">
        <v>737</v>
      </c>
    </row>
    <row r="2172" spans="1:13" hidden="1" x14ac:dyDescent="0.35">
      <c r="A2172" t="s">
        <v>24</v>
      </c>
      <c r="D2172" t="s">
        <v>26</v>
      </c>
      <c r="F2172">
        <v>8</v>
      </c>
      <c r="G2172">
        <v>5</v>
      </c>
      <c r="H2172">
        <v>3</v>
      </c>
      <c r="I2172">
        <v>40</v>
      </c>
      <c r="K2172" s="122">
        <v>45477</v>
      </c>
      <c r="L2172" t="s">
        <v>738</v>
      </c>
    </row>
    <row r="2173" spans="1:13" hidden="1" x14ac:dyDescent="0.35">
      <c r="A2173" t="s">
        <v>24</v>
      </c>
      <c r="D2173" t="s">
        <v>26</v>
      </c>
      <c r="F2173">
        <v>8</v>
      </c>
      <c r="G2173">
        <v>5</v>
      </c>
      <c r="H2173">
        <v>3</v>
      </c>
      <c r="I2173">
        <v>40</v>
      </c>
      <c r="K2173" s="122">
        <v>45477</v>
      </c>
      <c r="L2173" t="s">
        <v>739</v>
      </c>
    </row>
    <row r="2174" spans="1:13" hidden="1" x14ac:dyDescent="0.35">
      <c r="A2174" t="s">
        <v>24</v>
      </c>
      <c r="D2174" t="s">
        <v>26</v>
      </c>
      <c r="F2174">
        <v>8</v>
      </c>
      <c r="G2174">
        <v>5</v>
      </c>
      <c r="H2174">
        <v>3</v>
      </c>
      <c r="I2174">
        <v>40</v>
      </c>
      <c r="K2174" s="122">
        <v>45485</v>
      </c>
      <c r="L2174" t="s">
        <v>737</v>
      </c>
    </row>
    <row r="2175" spans="1:13" hidden="1" x14ac:dyDescent="0.35">
      <c r="A2175" t="s">
        <v>24</v>
      </c>
      <c r="D2175" t="s">
        <v>26</v>
      </c>
      <c r="F2175">
        <v>8</v>
      </c>
      <c r="G2175">
        <v>5</v>
      </c>
      <c r="H2175">
        <v>3</v>
      </c>
      <c r="I2175">
        <v>40</v>
      </c>
      <c r="K2175" s="122">
        <v>45485</v>
      </c>
      <c r="L2175" t="s">
        <v>738</v>
      </c>
    </row>
    <row r="2176" spans="1:13" hidden="1" x14ac:dyDescent="0.35">
      <c r="A2176" t="s">
        <v>24</v>
      </c>
      <c r="D2176" t="s">
        <v>26</v>
      </c>
      <c r="F2176">
        <v>8</v>
      </c>
      <c r="G2176">
        <v>5</v>
      </c>
      <c r="H2176">
        <v>3</v>
      </c>
      <c r="I2176">
        <v>40</v>
      </c>
      <c r="K2176" s="122">
        <v>45485</v>
      </c>
      <c r="L2176" t="s">
        <v>739</v>
      </c>
    </row>
    <row r="2177" spans="1:13" hidden="1" x14ac:dyDescent="0.35">
      <c r="A2177" t="s">
        <v>24</v>
      </c>
      <c r="D2177" t="s">
        <v>26</v>
      </c>
      <c r="F2177">
        <v>8</v>
      </c>
      <c r="G2177">
        <v>5</v>
      </c>
      <c r="H2177">
        <v>3</v>
      </c>
      <c r="I2177">
        <v>40</v>
      </c>
      <c r="K2177" s="122">
        <v>45492</v>
      </c>
      <c r="L2177" t="s">
        <v>737</v>
      </c>
      <c r="M2177">
        <v>7.3</v>
      </c>
    </row>
    <row r="2178" spans="1:13" hidden="1" x14ac:dyDescent="0.35">
      <c r="A2178" t="s">
        <v>24</v>
      </c>
      <c r="D2178" t="s">
        <v>26</v>
      </c>
      <c r="F2178">
        <v>8</v>
      </c>
      <c r="G2178">
        <v>5</v>
      </c>
      <c r="H2178">
        <v>3</v>
      </c>
      <c r="I2178">
        <v>40</v>
      </c>
      <c r="K2178" s="122">
        <v>45492</v>
      </c>
      <c r="L2178" t="s">
        <v>738</v>
      </c>
      <c r="M2178">
        <v>7.2</v>
      </c>
    </row>
    <row r="2179" spans="1:13" hidden="1" x14ac:dyDescent="0.35">
      <c r="A2179" t="s">
        <v>24</v>
      </c>
      <c r="D2179" t="s">
        <v>26</v>
      </c>
      <c r="F2179">
        <v>8</v>
      </c>
      <c r="G2179">
        <v>5</v>
      </c>
      <c r="H2179">
        <v>3</v>
      </c>
      <c r="I2179">
        <v>40</v>
      </c>
      <c r="K2179" s="122">
        <v>45492</v>
      </c>
      <c r="L2179" t="s">
        <v>739</v>
      </c>
      <c r="M2179">
        <v>6.9</v>
      </c>
    </row>
    <row r="2180" spans="1:13" hidden="1" x14ac:dyDescent="0.35">
      <c r="A2180" t="s">
        <v>24</v>
      </c>
      <c r="D2180" t="s">
        <v>26</v>
      </c>
      <c r="F2180">
        <v>8</v>
      </c>
      <c r="G2180">
        <v>5</v>
      </c>
      <c r="H2180">
        <v>3</v>
      </c>
      <c r="I2180">
        <v>40</v>
      </c>
      <c r="K2180" s="122">
        <v>45509</v>
      </c>
      <c r="L2180" t="s">
        <v>737</v>
      </c>
      <c r="M2180">
        <v>8.6</v>
      </c>
    </row>
    <row r="2181" spans="1:13" hidden="1" x14ac:dyDescent="0.35">
      <c r="A2181" t="s">
        <v>24</v>
      </c>
      <c r="D2181" t="s">
        <v>26</v>
      </c>
      <c r="F2181">
        <v>8</v>
      </c>
      <c r="G2181">
        <v>5</v>
      </c>
      <c r="H2181">
        <v>3</v>
      </c>
      <c r="I2181">
        <v>40</v>
      </c>
      <c r="K2181" s="122">
        <v>45509</v>
      </c>
      <c r="L2181" t="s">
        <v>738</v>
      </c>
      <c r="M2181">
        <v>8.6999999999999993</v>
      </c>
    </row>
    <row r="2182" spans="1:13" hidden="1" x14ac:dyDescent="0.35">
      <c r="A2182" t="s">
        <v>24</v>
      </c>
      <c r="D2182" t="s">
        <v>26</v>
      </c>
      <c r="F2182">
        <v>8</v>
      </c>
      <c r="G2182">
        <v>5</v>
      </c>
      <c r="H2182">
        <v>3</v>
      </c>
      <c r="I2182">
        <v>40</v>
      </c>
      <c r="K2182" s="122">
        <v>45509</v>
      </c>
      <c r="L2182" t="s">
        <v>739</v>
      </c>
      <c r="M2182">
        <v>8.1999999999999993</v>
      </c>
    </row>
    <row r="2183" spans="1:13" hidden="1" x14ac:dyDescent="0.35">
      <c r="A2183" t="s">
        <v>24</v>
      </c>
      <c r="D2183" t="s">
        <v>26</v>
      </c>
      <c r="F2183">
        <v>8</v>
      </c>
      <c r="G2183">
        <v>5</v>
      </c>
      <c r="H2183">
        <v>3</v>
      </c>
      <c r="I2183">
        <v>40</v>
      </c>
      <c r="K2183" s="122">
        <v>45519</v>
      </c>
      <c r="L2183" t="s">
        <v>737</v>
      </c>
      <c r="M2183">
        <v>9.5</v>
      </c>
    </row>
    <row r="2184" spans="1:13" hidden="1" x14ac:dyDescent="0.35">
      <c r="A2184" t="s">
        <v>24</v>
      </c>
      <c r="D2184" t="s">
        <v>26</v>
      </c>
      <c r="F2184">
        <v>8</v>
      </c>
      <c r="G2184">
        <v>5</v>
      </c>
      <c r="H2184">
        <v>3</v>
      </c>
      <c r="I2184">
        <v>40</v>
      </c>
      <c r="K2184" s="122">
        <v>45519</v>
      </c>
      <c r="L2184" t="s">
        <v>738</v>
      </c>
      <c r="M2184">
        <v>9.4</v>
      </c>
    </row>
    <row r="2185" spans="1:13" hidden="1" x14ac:dyDescent="0.35">
      <c r="A2185" t="s">
        <v>24</v>
      </c>
      <c r="D2185" t="s">
        <v>26</v>
      </c>
      <c r="F2185">
        <v>8</v>
      </c>
      <c r="G2185">
        <v>5</v>
      </c>
      <c r="H2185">
        <v>3</v>
      </c>
      <c r="I2185">
        <v>40</v>
      </c>
      <c r="K2185" s="122">
        <v>45519</v>
      </c>
      <c r="L2185" t="s">
        <v>739</v>
      </c>
      <c r="M2185">
        <v>9.3000000000000007</v>
      </c>
    </row>
    <row r="2186" spans="1:13" hidden="1" x14ac:dyDescent="0.35">
      <c r="A2186" t="s">
        <v>24</v>
      </c>
      <c r="D2186" t="s">
        <v>26</v>
      </c>
      <c r="F2186">
        <v>8</v>
      </c>
      <c r="G2186">
        <v>5</v>
      </c>
      <c r="H2186">
        <v>3</v>
      </c>
      <c r="I2186">
        <v>40</v>
      </c>
      <c r="K2186" s="122">
        <v>45530</v>
      </c>
      <c r="L2186" t="s">
        <v>737</v>
      </c>
      <c r="M2186">
        <v>10.7</v>
      </c>
    </row>
    <row r="2187" spans="1:13" hidden="1" x14ac:dyDescent="0.35">
      <c r="A2187" t="s">
        <v>24</v>
      </c>
      <c r="D2187" t="s">
        <v>26</v>
      </c>
      <c r="F2187">
        <v>8</v>
      </c>
      <c r="G2187">
        <v>5</v>
      </c>
      <c r="H2187">
        <v>3</v>
      </c>
      <c r="I2187">
        <v>40</v>
      </c>
      <c r="K2187" s="122">
        <v>45530</v>
      </c>
      <c r="L2187" t="s">
        <v>738</v>
      </c>
      <c r="M2187">
        <v>10.7</v>
      </c>
    </row>
    <row r="2188" spans="1:13" hidden="1" x14ac:dyDescent="0.35">
      <c r="A2188" t="s">
        <v>24</v>
      </c>
      <c r="D2188" t="s">
        <v>26</v>
      </c>
      <c r="F2188">
        <v>8</v>
      </c>
      <c r="G2188">
        <v>5</v>
      </c>
      <c r="H2188">
        <v>3</v>
      </c>
      <c r="I2188">
        <v>40</v>
      </c>
      <c r="K2188" s="122">
        <v>45530</v>
      </c>
      <c r="L2188" t="s">
        <v>739</v>
      </c>
      <c r="M2188">
        <v>10.8</v>
      </c>
    </row>
    <row r="2189" spans="1:13" hidden="1" x14ac:dyDescent="0.35">
      <c r="A2189" t="s">
        <v>24</v>
      </c>
      <c r="D2189" t="s">
        <v>26</v>
      </c>
      <c r="F2189">
        <v>8</v>
      </c>
      <c r="G2189">
        <v>5</v>
      </c>
      <c r="H2189">
        <v>3</v>
      </c>
      <c r="I2189">
        <v>40</v>
      </c>
      <c r="K2189" s="122">
        <v>45538</v>
      </c>
      <c r="L2189" t="s">
        <v>737</v>
      </c>
      <c r="M2189">
        <v>11.7</v>
      </c>
    </row>
    <row r="2190" spans="1:13" hidden="1" x14ac:dyDescent="0.35">
      <c r="A2190" t="s">
        <v>24</v>
      </c>
      <c r="D2190" t="s">
        <v>26</v>
      </c>
      <c r="F2190">
        <v>8</v>
      </c>
      <c r="G2190">
        <v>5</v>
      </c>
      <c r="H2190">
        <v>3</v>
      </c>
      <c r="I2190">
        <v>40</v>
      </c>
      <c r="K2190" s="122">
        <v>45538</v>
      </c>
      <c r="L2190" t="s">
        <v>738</v>
      </c>
      <c r="M2190">
        <v>11.7</v>
      </c>
    </row>
    <row r="2191" spans="1:13" hidden="1" x14ac:dyDescent="0.35">
      <c r="A2191" t="s">
        <v>24</v>
      </c>
      <c r="D2191" t="s">
        <v>26</v>
      </c>
      <c r="F2191">
        <v>8</v>
      </c>
      <c r="G2191">
        <v>5</v>
      </c>
      <c r="H2191">
        <v>3</v>
      </c>
      <c r="I2191">
        <v>40</v>
      </c>
      <c r="K2191" s="122">
        <v>45538</v>
      </c>
      <c r="L2191" t="s">
        <v>739</v>
      </c>
      <c r="M2191">
        <v>11.5</v>
      </c>
    </row>
    <row r="2192" spans="1:13" hidden="1" x14ac:dyDescent="0.35">
      <c r="A2192" t="s">
        <v>24</v>
      </c>
      <c r="D2192" t="s">
        <v>26</v>
      </c>
      <c r="F2192">
        <v>8</v>
      </c>
      <c r="G2192">
        <v>5</v>
      </c>
      <c r="H2192">
        <v>3</v>
      </c>
      <c r="I2192">
        <v>40</v>
      </c>
      <c r="K2192" s="122">
        <v>45547</v>
      </c>
      <c r="L2192" t="s">
        <v>737</v>
      </c>
      <c r="M2192">
        <v>12</v>
      </c>
    </row>
    <row r="2193" spans="1:13" hidden="1" x14ac:dyDescent="0.35">
      <c r="A2193" t="s">
        <v>24</v>
      </c>
      <c r="D2193" t="s">
        <v>26</v>
      </c>
      <c r="F2193">
        <v>8</v>
      </c>
      <c r="G2193">
        <v>5</v>
      </c>
      <c r="H2193">
        <v>3</v>
      </c>
      <c r="I2193">
        <v>40</v>
      </c>
      <c r="K2193" s="122">
        <v>45547</v>
      </c>
      <c r="L2193" t="s">
        <v>738</v>
      </c>
      <c r="M2193">
        <v>12</v>
      </c>
    </row>
    <row r="2194" spans="1:13" hidden="1" x14ac:dyDescent="0.35">
      <c r="A2194" t="s">
        <v>24</v>
      </c>
      <c r="D2194" t="s">
        <v>26</v>
      </c>
      <c r="F2194">
        <v>8</v>
      </c>
      <c r="G2194">
        <v>5</v>
      </c>
      <c r="H2194">
        <v>3</v>
      </c>
      <c r="I2194">
        <v>40</v>
      </c>
      <c r="K2194" s="122">
        <v>45547</v>
      </c>
      <c r="L2194" t="s">
        <v>739</v>
      </c>
      <c r="M2194">
        <v>12</v>
      </c>
    </row>
    <row r="2195" spans="1:13" hidden="1" x14ac:dyDescent="0.35">
      <c r="A2195" t="s">
        <v>24</v>
      </c>
      <c r="D2195" t="s">
        <v>26</v>
      </c>
      <c r="F2195">
        <v>8</v>
      </c>
      <c r="G2195">
        <v>5</v>
      </c>
      <c r="H2195">
        <v>3</v>
      </c>
      <c r="I2195">
        <v>40</v>
      </c>
      <c r="K2195" s="122">
        <v>45555</v>
      </c>
      <c r="L2195" t="s">
        <v>737</v>
      </c>
    </row>
    <row r="2196" spans="1:13" hidden="1" x14ac:dyDescent="0.35">
      <c r="A2196" t="s">
        <v>24</v>
      </c>
      <c r="D2196" t="s">
        <v>26</v>
      </c>
      <c r="F2196">
        <v>8</v>
      </c>
      <c r="G2196">
        <v>5</v>
      </c>
      <c r="H2196">
        <v>3</v>
      </c>
      <c r="I2196">
        <v>40</v>
      </c>
      <c r="K2196" s="122">
        <v>45555</v>
      </c>
      <c r="L2196" t="s">
        <v>738</v>
      </c>
    </row>
    <row r="2197" spans="1:13" hidden="1" x14ac:dyDescent="0.35">
      <c r="A2197" t="s">
        <v>24</v>
      </c>
      <c r="D2197" t="s">
        <v>26</v>
      </c>
      <c r="F2197">
        <v>8</v>
      </c>
      <c r="G2197">
        <v>5</v>
      </c>
      <c r="H2197">
        <v>3</v>
      </c>
      <c r="I2197">
        <v>40</v>
      </c>
      <c r="K2197" s="122">
        <v>45555</v>
      </c>
      <c r="L2197" t="s">
        <v>739</v>
      </c>
    </row>
    <row r="2198" spans="1:13" hidden="1" x14ac:dyDescent="0.35">
      <c r="A2198" t="s">
        <v>34</v>
      </c>
      <c r="D2198" t="s">
        <v>343</v>
      </c>
      <c r="F2198">
        <v>8</v>
      </c>
      <c r="G2198">
        <v>6</v>
      </c>
      <c r="H2198">
        <v>3</v>
      </c>
      <c r="I2198">
        <v>48</v>
      </c>
      <c r="K2198" s="122">
        <v>45442</v>
      </c>
      <c r="L2198" t="s">
        <v>737</v>
      </c>
    </row>
    <row r="2199" spans="1:13" hidden="1" x14ac:dyDescent="0.35">
      <c r="A2199" t="s">
        <v>34</v>
      </c>
      <c r="D2199" t="s">
        <v>343</v>
      </c>
      <c r="F2199">
        <v>8</v>
      </c>
      <c r="G2199">
        <v>6</v>
      </c>
      <c r="H2199">
        <v>3</v>
      </c>
      <c r="I2199">
        <v>48</v>
      </c>
      <c r="K2199" s="122">
        <v>45442</v>
      </c>
      <c r="L2199" t="s">
        <v>738</v>
      </c>
    </row>
    <row r="2200" spans="1:13" hidden="1" x14ac:dyDescent="0.35">
      <c r="A2200" t="s">
        <v>34</v>
      </c>
      <c r="D2200" t="s">
        <v>343</v>
      </c>
      <c r="F2200">
        <v>8</v>
      </c>
      <c r="G2200">
        <v>6</v>
      </c>
      <c r="H2200">
        <v>3</v>
      </c>
      <c r="I2200">
        <v>48</v>
      </c>
      <c r="K2200" s="122">
        <v>45442</v>
      </c>
      <c r="L2200" t="s">
        <v>739</v>
      </c>
    </row>
    <row r="2201" spans="1:13" hidden="1" x14ac:dyDescent="0.35">
      <c r="A2201" t="s">
        <v>34</v>
      </c>
      <c r="D2201" t="s">
        <v>343</v>
      </c>
      <c r="F2201">
        <v>8</v>
      </c>
      <c r="G2201">
        <v>6</v>
      </c>
      <c r="H2201">
        <v>3</v>
      </c>
      <c r="I2201">
        <v>48</v>
      </c>
      <c r="K2201" s="122">
        <v>45447</v>
      </c>
      <c r="L2201" t="s">
        <v>737</v>
      </c>
      <c r="M2201">
        <v>1.8</v>
      </c>
    </row>
    <row r="2202" spans="1:13" hidden="1" x14ac:dyDescent="0.35">
      <c r="A2202" t="s">
        <v>34</v>
      </c>
      <c r="D2202" t="s">
        <v>343</v>
      </c>
      <c r="F2202">
        <v>8</v>
      </c>
      <c r="G2202">
        <v>6</v>
      </c>
      <c r="H2202">
        <v>3</v>
      </c>
      <c r="I2202">
        <v>48</v>
      </c>
      <c r="K2202" s="122">
        <v>45447</v>
      </c>
      <c r="L2202" t="s">
        <v>738</v>
      </c>
      <c r="M2202">
        <v>1.7</v>
      </c>
    </row>
    <row r="2203" spans="1:13" hidden="1" x14ac:dyDescent="0.35">
      <c r="A2203" t="s">
        <v>34</v>
      </c>
      <c r="D2203" t="s">
        <v>343</v>
      </c>
      <c r="F2203">
        <v>8</v>
      </c>
      <c r="G2203">
        <v>6</v>
      </c>
      <c r="H2203">
        <v>3</v>
      </c>
      <c r="I2203">
        <v>48</v>
      </c>
      <c r="K2203" s="122">
        <v>45447</v>
      </c>
      <c r="L2203" t="s">
        <v>739</v>
      </c>
      <c r="M2203">
        <v>1.7</v>
      </c>
    </row>
    <row r="2204" spans="1:13" hidden="1" x14ac:dyDescent="0.35">
      <c r="A2204" t="s">
        <v>34</v>
      </c>
      <c r="D2204" t="s">
        <v>343</v>
      </c>
      <c r="F2204">
        <v>8</v>
      </c>
      <c r="G2204">
        <v>6</v>
      </c>
      <c r="H2204">
        <v>3</v>
      </c>
      <c r="I2204">
        <v>48</v>
      </c>
      <c r="K2204" s="122">
        <v>45462</v>
      </c>
      <c r="L2204" t="s">
        <v>737</v>
      </c>
      <c r="M2204">
        <v>3.4</v>
      </c>
    </row>
    <row r="2205" spans="1:13" hidden="1" x14ac:dyDescent="0.35">
      <c r="A2205" t="s">
        <v>34</v>
      </c>
      <c r="D2205" t="s">
        <v>343</v>
      </c>
      <c r="F2205">
        <v>8</v>
      </c>
      <c r="G2205">
        <v>6</v>
      </c>
      <c r="H2205">
        <v>3</v>
      </c>
      <c r="I2205">
        <v>48</v>
      </c>
      <c r="K2205" s="122">
        <v>45462</v>
      </c>
      <c r="L2205" t="s">
        <v>738</v>
      </c>
      <c r="M2205">
        <v>3.4</v>
      </c>
    </row>
    <row r="2206" spans="1:13" hidden="1" x14ac:dyDescent="0.35">
      <c r="A2206" t="s">
        <v>34</v>
      </c>
      <c r="D2206" t="s">
        <v>343</v>
      </c>
      <c r="F2206">
        <v>8</v>
      </c>
      <c r="G2206">
        <v>6</v>
      </c>
      <c r="H2206">
        <v>3</v>
      </c>
      <c r="I2206">
        <v>48</v>
      </c>
      <c r="K2206" s="122">
        <v>45462</v>
      </c>
      <c r="L2206" t="s">
        <v>739</v>
      </c>
      <c r="M2206">
        <v>3.4</v>
      </c>
    </row>
    <row r="2207" spans="1:13" hidden="1" x14ac:dyDescent="0.35">
      <c r="A2207" t="s">
        <v>34</v>
      </c>
      <c r="D2207" t="s">
        <v>343</v>
      </c>
      <c r="F2207">
        <v>8</v>
      </c>
      <c r="G2207">
        <v>6</v>
      </c>
      <c r="H2207">
        <v>3</v>
      </c>
      <c r="I2207">
        <v>48</v>
      </c>
      <c r="K2207" s="122">
        <v>45477</v>
      </c>
      <c r="L2207" t="s">
        <v>737</v>
      </c>
      <c r="M2207">
        <v>4.5999999999999996</v>
      </c>
    </row>
    <row r="2208" spans="1:13" hidden="1" x14ac:dyDescent="0.35">
      <c r="A2208" t="s">
        <v>34</v>
      </c>
      <c r="D2208" t="s">
        <v>343</v>
      </c>
      <c r="F2208">
        <v>8</v>
      </c>
      <c r="G2208">
        <v>6</v>
      </c>
      <c r="H2208">
        <v>3</v>
      </c>
      <c r="I2208">
        <v>48</v>
      </c>
      <c r="K2208" s="122">
        <v>45477</v>
      </c>
      <c r="L2208" t="s">
        <v>738</v>
      </c>
      <c r="M2208">
        <v>4.8</v>
      </c>
    </row>
    <row r="2209" spans="1:13" hidden="1" x14ac:dyDescent="0.35">
      <c r="A2209" t="s">
        <v>34</v>
      </c>
      <c r="D2209" t="s">
        <v>343</v>
      </c>
      <c r="F2209">
        <v>8</v>
      </c>
      <c r="G2209">
        <v>6</v>
      </c>
      <c r="H2209">
        <v>3</v>
      </c>
      <c r="I2209">
        <v>48</v>
      </c>
      <c r="K2209" s="122">
        <v>45477</v>
      </c>
      <c r="L2209" t="s">
        <v>739</v>
      </c>
      <c r="M2209">
        <v>4.8</v>
      </c>
    </row>
    <row r="2210" spans="1:13" hidden="1" x14ac:dyDescent="0.35">
      <c r="A2210" t="s">
        <v>34</v>
      </c>
      <c r="D2210" t="s">
        <v>343</v>
      </c>
      <c r="F2210">
        <v>8</v>
      </c>
      <c r="G2210">
        <v>6</v>
      </c>
      <c r="H2210">
        <v>3</v>
      </c>
      <c r="I2210">
        <v>48</v>
      </c>
      <c r="K2210" s="122">
        <v>45485</v>
      </c>
      <c r="L2210" t="s">
        <v>737</v>
      </c>
    </row>
    <row r="2211" spans="1:13" hidden="1" x14ac:dyDescent="0.35">
      <c r="A2211" t="s">
        <v>34</v>
      </c>
      <c r="D2211" t="s">
        <v>343</v>
      </c>
      <c r="F2211">
        <v>8</v>
      </c>
      <c r="G2211">
        <v>6</v>
      </c>
      <c r="H2211">
        <v>3</v>
      </c>
      <c r="I2211">
        <v>48</v>
      </c>
      <c r="K2211" s="122">
        <v>45485</v>
      </c>
      <c r="L2211" t="s">
        <v>738</v>
      </c>
    </row>
    <row r="2212" spans="1:13" hidden="1" x14ac:dyDescent="0.35">
      <c r="A2212" t="s">
        <v>34</v>
      </c>
      <c r="D2212" t="s">
        <v>343</v>
      </c>
      <c r="F2212">
        <v>8</v>
      </c>
      <c r="G2212">
        <v>6</v>
      </c>
      <c r="H2212">
        <v>3</v>
      </c>
      <c r="I2212">
        <v>48</v>
      </c>
      <c r="K2212" s="122">
        <v>45485</v>
      </c>
      <c r="L2212" t="s">
        <v>739</v>
      </c>
    </row>
    <row r="2213" spans="1:13" hidden="1" x14ac:dyDescent="0.35">
      <c r="A2213" t="s">
        <v>34</v>
      </c>
      <c r="D2213" t="s">
        <v>343</v>
      </c>
      <c r="F2213">
        <v>8</v>
      </c>
      <c r="G2213">
        <v>6</v>
      </c>
      <c r="H2213">
        <v>3</v>
      </c>
      <c r="I2213">
        <v>48</v>
      </c>
      <c r="K2213" s="122">
        <v>45492</v>
      </c>
      <c r="L2213" t="s">
        <v>737</v>
      </c>
      <c r="M2213">
        <v>5.4</v>
      </c>
    </row>
    <row r="2214" spans="1:13" hidden="1" x14ac:dyDescent="0.35">
      <c r="A2214" t="s">
        <v>34</v>
      </c>
      <c r="D2214" t="s">
        <v>343</v>
      </c>
      <c r="F2214">
        <v>8</v>
      </c>
      <c r="G2214">
        <v>6</v>
      </c>
      <c r="H2214">
        <v>3</v>
      </c>
      <c r="I2214">
        <v>48</v>
      </c>
      <c r="K2214" s="122">
        <v>45492</v>
      </c>
      <c r="L2214" t="s">
        <v>738</v>
      </c>
      <c r="M2214">
        <v>6.1</v>
      </c>
    </row>
    <row r="2215" spans="1:13" hidden="1" x14ac:dyDescent="0.35">
      <c r="A2215" t="s">
        <v>34</v>
      </c>
      <c r="D2215" t="s">
        <v>343</v>
      </c>
      <c r="F2215">
        <v>8</v>
      </c>
      <c r="G2215">
        <v>6</v>
      </c>
      <c r="H2215">
        <v>3</v>
      </c>
      <c r="I2215">
        <v>48</v>
      </c>
      <c r="K2215" s="122">
        <v>45492</v>
      </c>
      <c r="L2215" t="s">
        <v>739</v>
      </c>
      <c r="M2215">
        <v>6.2</v>
      </c>
    </row>
    <row r="2216" spans="1:13" hidden="1" x14ac:dyDescent="0.35">
      <c r="A2216" t="s">
        <v>34</v>
      </c>
      <c r="D2216" t="s">
        <v>343</v>
      </c>
      <c r="F2216">
        <v>8</v>
      </c>
      <c r="G2216">
        <v>6</v>
      </c>
      <c r="H2216">
        <v>3</v>
      </c>
      <c r="I2216">
        <v>48</v>
      </c>
      <c r="K2216" s="122">
        <v>45509</v>
      </c>
      <c r="L2216" t="s">
        <v>737</v>
      </c>
      <c r="M2216">
        <v>7.1</v>
      </c>
    </row>
    <row r="2217" spans="1:13" hidden="1" x14ac:dyDescent="0.35">
      <c r="A2217" t="s">
        <v>34</v>
      </c>
      <c r="D2217" t="s">
        <v>343</v>
      </c>
      <c r="F2217">
        <v>8</v>
      </c>
      <c r="G2217">
        <v>6</v>
      </c>
      <c r="H2217">
        <v>3</v>
      </c>
      <c r="I2217">
        <v>48</v>
      </c>
      <c r="K2217" s="122">
        <v>45509</v>
      </c>
      <c r="L2217" t="s">
        <v>738</v>
      </c>
      <c r="M2217">
        <v>7.6</v>
      </c>
    </row>
    <row r="2218" spans="1:13" hidden="1" x14ac:dyDescent="0.35">
      <c r="A2218" t="s">
        <v>34</v>
      </c>
      <c r="D2218" t="s">
        <v>343</v>
      </c>
      <c r="F2218">
        <v>8</v>
      </c>
      <c r="G2218">
        <v>6</v>
      </c>
      <c r="H2218">
        <v>3</v>
      </c>
      <c r="I2218">
        <v>48</v>
      </c>
      <c r="K2218" s="122">
        <v>45509</v>
      </c>
      <c r="L2218" t="s">
        <v>739</v>
      </c>
      <c r="M2218">
        <v>7.8</v>
      </c>
    </row>
    <row r="2219" spans="1:13" hidden="1" x14ac:dyDescent="0.35">
      <c r="A2219" t="s">
        <v>34</v>
      </c>
      <c r="D2219" t="s">
        <v>343</v>
      </c>
      <c r="F2219">
        <v>8</v>
      </c>
      <c r="G2219">
        <v>6</v>
      </c>
      <c r="H2219">
        <v>3</v>
      </c>
      <c r="I2219">
        <v>48</v>
      </c>
      <c r="K2219" s="122">
        <v>45519</v>
      </c>
      <c r="L2219" t="s">
        <v>737</v>
      </c>
      <c r="M2219">
        <v>8.1999999999999993</v>
      </c>
    </row>
    <row r="2220" spans="1:13" hidden="1" x14ac:dyDescent="0.35">
      <c r="A2220" t="s">
        <v>34</v>
      </c>
      <c r="D2220" t="s">
        <v>343</v>
      </c>
      <c r="F2220">
        <v>8</v>
      </c>
      <c r="G2220">
        <v>6</v>
      </c>
      <c r="H2220">
        <v>3</v>
      </c>
      <c r="I2220">
        <v>48</v>
      </c>
      <c r="K2220" s="122">
        <v>45519</v>
      </c>
      <c r="L2220" t="s">
        <v>738</v>
      </c>
      <c r="M2220">
        <v>8.6</v>
      </c>
    </row>
    <row r="2221" spans="1:13" hidden="1" x14ac:dyDescent="0.35">
      <c r="A2221" t="s">
        <v>34</v>
      </c>
      <c r="D2221" t="s">
        <v>343</v>
      </c>
      <c r="F2221">
        <v>8</v>
      </c>
      <c r="G2221">
        <v>6</v>
      </c>
      <c r="H2221">
        <v>3</v>
      </c>
      <c r="I2221">
        <v>48</v>
      </c>
      <c r="K2221" s="122">
        <v>45519</v>
      </c>
      <c r="L2221" t="s">
        <v>739</v>
      </c>
      <c r="M2221">
        <v>8.6</v>
      </c>
    </row>
    <row r="2222" spans="1:13" hidden="1" x14ac:dyDescent="0.35">
      <c r="A2222" t="s">
        <v>34</v>
      </c>
      <c r="D2222" t="s">
        <v>343</v>
      </c>
      <c r="F2222">
        <v>8</v>
      </c>
      <c r="G2222">
        <v>6</v>
      </c>
      <c r="H2222">
        <v>3</v>
      </c>
      <c r="I2222">
        <v>48</v>
      </c>
      <c r="K2222" s="122">
        <v>45530</v>
      </c>
      <c r="L2222" t="s">
        <v>737</v>
      </c>
      <c r="M2222">
        <v>10</v>
      </c>
    </row>
    <row r="2223" spans="1:13" hidden="1" x14ac:dyDescent="0.35">
      <c r="A2223" t="s">
        <v>34</v>
      </c>
      <c r="D2223" t="s">
        <v>343</v>
      </c>
      <c r="F2223">
        <v>8</v>
      </c>
      <c r="G2223">
        <v>6</v>
      </c>
      <c r="H2223">
        <v>3</v>
      </c>
      <c r="I2223">
        <v>48</v>
      </c>
      <c r="K2223" s="122">
        <v>45530</v>
      </c>
      <c r="L2223" t="s">
        <v>738</v>
      </c>
      <c r="M2223">
        <v>10.1</v>
      </c>
    </row>
    <row r="2224" spans="1:13" hidden="1" x14ac:dyDescent="0.35">
      <c r="A2224" t="s">
        <v>34</v>
      </c>
      <c r="D2224" t="s">
        <v>343</v>
      </c>
      <c r="F2224">
        <v>8</v>
      </c>
      <c r="G2224">
        <v>6</v>
      </c>
      <c r="H2224">
        <v>3</v>
      </c>
      <c r="I2224">
        <v>48</v>
      </c>
      <c r="K2224" s="122">
        <v>45530</v>
      </c>
      <c r="L2224" t="s">
        <v>739</v>
      </c>
      <c r="M2224">
        <v>9.5</v>
      </c>
    </row>
    <row r="2225" spans="1:13" hidden="1" x14ac:dyDescent="0.35">
      <c r="A2225" t="s">
        <v>34</v>
      </c>
      <c r="D2225" t="s">
        <v>343</v>
      </c>
      <c r="F2225">
        <v>8</v>
      </c>
      <c r="G2225">
        <v>6</v>
      </c>
      <c r="H2225">
        <v>3</v>
      </c>
      <c r="I2225">
        <v>48</v>
      </c>
      <c r="K2225" s="122">
        <v>45538</v>
      </c>
      <c r="L2225" t="s">
        <v>737</v>
      </c>
      <c r="M2225">
        <v>10.9</v>
      </c>
    </row>
    <row r="2226" spans="1:13" hidden="1" x14ac:dyDescent="0.35">
      <c r="A2226" t="s">
        <v>34</v>
      </c>
      <c r="D2226" t="s">
        <v>343</v>
      </c>
      <c r="F2226">
        <v>8</v>
      </c>
      <c r="G2226">
        <v>6</v>
      </c>
      <c r="H2226">
        <v>3</v>
      </c>
      <c r="I2226">
        <v>48</v>
      </c>
      <c r="K2226" s="122">
        <v>45538</v>
      </c>
      <c r="L2226" t="s">
        <v>738</v>
      </c>
      <c r="M2226">
        <v>10.8</v>
      </c>
    </row>
    <row r="2227" spans="1:13" hidden="1" x14ac:dyDescent="0.35">
      <c r="A2227" t="s">
        <v>34</v>
      </c>
      <c r="D2227" t="s">
        <v>343</v>
      </c>
      <c r="F2227">
        <v>8</v>
      </c>
      <c r="G2227">
        <v>6</v>
      </c>
      <c r="H2227">
        <v>3</v>
      </c>
      <c r="I2227">
        <v>48</v>
      </c>
      <c r="K2227" s="122">
        <v>45538</v>
      </c>
      <c r="L2227" t="s">
        <v>739</v>
      </c>
    </row>
    <row r="2228" spans="1:13" hidden="1" x14ac:dyDescent="0.35">
      <c r="A2228" t="s">
        <v>34</v>
      </c>
      <c r="D2228" t="s">
        <v>343</v>
      </c>
      <c r="F2228">
        <v>8</v>
      </c>
      <c r="G2228">
        <v>6</v>
      </c>
      <c r="H2228">
        <v>3</v>
      </c>
      <c r="I2228">
        <v>48</v>
      </c>
      <c r="K2228" s="122">
        <v>45547</v>
      </c>
      <c r="L2228" t="s">
        <v>737</v>
      </c>
      <c r="M2228">
        <v>11</v>
      </c>
    </row>
    <row r="2229" spans="1:13" hidden="1" x14ac:dyDescent="0.35">
      <c r="A2229" t="s">
        <v>34</v>
      </c>
      <c r="D2229" t="s">
        <v>343</v>
      </c>
      <c r="F2229">
        <v>8</v>
      </c>
      <c r="G2229">
        <v>6</v>
      </c>
      <c r="H2229">
        <v>3</v>
      </c>
      <c r="I2229">
        <v>48</v>
      </c>
      <c r="K2229" s="122">
        <v>45547</v>
      </c>
      <c r="L2229" t="s">
        <v>738</v>
      </c>
      <c r="M2229">
        <v>11</v>
      </c>
    </row>
    <row r="2230" spans="1:13" hidden="1" x14ac:dyDescent="0.35">
      <c r="A2230" t="s">
        <v>34</v>
      </c>
      <c r="D2230" t="s">
        <v>343</v>
      </c>
      <c r="F2230">
        <v>8</v>
      </c>
      <c r="G2230">
        <v>6</v>
      </c>
      <c r="H2230">
        <v>3</v>
      </c>
      <c r="I2230">
        <v>48</v>
      </c>
      <c r="K2230" s="122">
        <v>45547</v>
      </c>
      <c r="L2230" t="s">
        <v>739</v>
      </c>
    </row>
    <row r="2231" spans="1:13" hidden="1" x14ac:dyDescent="0.35">
      <c r="A2231" t="s">
        <v>34</v>
      </c>
      <c r="D2231" t="s">
        <v>343</v>
      </c>
      <c r="F2231">
        <v>8</v>
      </c>
      <c r="G2231">
        <v>6</v>
      </c>
      <c r="H2231">
        <v>3</v>
      </c>
      <c r="I2231">
        <v>48</v>
      </c>
      <c r="K2231" s="122">
        <v>45555</v>
      </c>
      <c r="L2231" t="s">
        <v>737</v>
      </c>
    </row>
    <row r="2232" spans="1:13" hidden="1" x14ac:dyDescent="0.35">
      <c r="A2232" t="s">
        <v>34</v>
      </c>
      <c r="D2232" t="s">
        <v>343</v>
      </c>
      <c r="F2232">
        <v>8</v>
      </c>
      <c r="G2232">
        <v>6</v>
      </c>
      <c r="H2232">
        <v>3</v>
      </c>
      <c r="I2232">
        <v>48</v>
      </c>
      <c r="K2232" s="122">
        <v>45555</v>
      </c>
      <c r="L2232" t="s">
        <v>738</v>
      </c>
    </row>
    <row r="2233" spans="1:13" hidden="1" x14ac:dyDescent="0.35">
      <c r="A2233" t="s">
        <v>34</v>
      </c>
      <c r="D2233" t="s">
        <v>343</v>
      </c>
      <c r="F2233">
        <v>8</v>
      </c>
      <c r="G2233">
        <v>6</v>
      </c>
      <c r="H2233">
        <v>3</v>
      </c>
      <c r="I2233">
        <v>48</v>
      </c>
      <c r="K2233" s="122">
        <v>45555</v>
      </c>
      <c r="L2233" t="s">
        <v>739</v>
      </c>
    </row>
    <row r="2234" spans="1:13" hidden="1" x14ac:dyDescent="0.35">
      <c r="A2234" t="s">
        <v>24</v>
      </c>
      <c r="D2234" t="s">
        <v>336</v>
      </c>
      <c r="F2234">
        <v>8</v>
      </c>
      <c r="G2234">
        <v>7</v>
      </c>
      <c r="H2234">
        <v>4</v>
      </c>
      <c r="I2234">
        <v>56</v>
      </c>
      <c r="K2234" s="122">
        <v>45442</v>
      </c>
      <c r="L2234" t="s">
        <v>737</v>
      </c>
    </row>
    <row r="2235" spans="1:13" hidden="1" x14ac:dyDescent="0.35">
      <c r="A2235" t="s">
        <v>24</v>
      </c>
      <c r="D2235" t="s">
        <v>336</v>
      </c>
      <c r="F2235">
        <v>8</v>
      </c>
      <c r="G2235">
        <v>7</v>
      </c>
      <c r="H2235">
        <v>4</v>
      </c>
      <c r="I2235">
        <v>56</v>
      </c>
      <c r="K2235" s="122">
        <v>45442</v>
      </c>
      <c r="L2235" t="s">
        <v>738</v>
      </c>
    </row>
    <row r="2236" spans="1:13" hidden="1" x14ac:dyDescent="0.35">
      <c r="A2236" t="s">
        <v>24</v>
      </c>
      <c r="D2236" t="s">
        <v>336</v>
      </c>
      <c r="F2236">
        <v>8</v>
      </c>
      <c r="G2236">
        <v>7</v>
      </c>
      <c r="H2236">
        <v>4</v>
      </c>
      <c r="I2236">
        <v>56</v>
      </c>
      <c r="K2236" s="122">
        <v>45442</v>
      </c>
      <c r="L2236" t="s">
        <v>739</v>
      </c>
    </row>
    <row r="2237" spans="1:13" hidden="1" x14ac:dyDescent="0.35">
      <c r="A2237" t="s">
        <v>24</v>
      </c>
      <c r="D2237" t="s">
        <v>336</v>
      </c>
      <c r="F2237">
        <v>8</v>
      </c>
      <c r="G2237">
        <v>7</v>
      </c>
      <c r="H2237">
        <v>4</v>
      </c>
      <c r="I2237">
        <v>56</v>
      </c>
      <c r="K2237" s="122">
        <v>45447</v>
      </c>
      <c r="L2237" t="s">
        <v>737</v>
      </c>
      <c r="M2237">
        <v>5.2</v>
      </c>
    </row>
    <row r="2238" spans="1:13" hidden="1" x14ac:dyDescent="0.35">
      <c r="A2238" t="s">
        <v>24</v>
      </c>
      <c r="D2238" t="s">
        <v>336</v>
      </c>
      <c r="F2238">
        <v>8</v>
      </c>
      <c r="G2238">
        <v>7</v>
      </c>
      <c r="H2238">
        <v>4</v>
      </c>
      <c r="I2238">
        <v>56</v>
      </c>
      <c r="K2238" s="122">
        <v>45447</v>
      </c>
      <c r="L2238" t="s">
        <v>738</v>
      </c>
      <c r="M2238">
        <v>5.0999999999999996</v>
      </c>
    </row>
    <row r="2239" spans="1:13" hidden="1" x14ac:dyDescent="0.35">
      <c r="A2239" t="s">
        <v>24</v>
      </c>
      <c r="D2239" t="s">
        <v>336</v>
      </c>
      <c r="F2239">
        <v>8</v>
      </c>
      <c r="G2239">
        <v>7</v>
      </c>
      <c r="H2239">
        <v>4</v>
      </c>
      <c r="I2239">
        <v>56</v>
      </c>
      <c r="K2239" s="122">
        <v>45447</v>
      </c>
      <c r="L2239" t="s">
        <v>739</v>
      </c>
      <c r="M2239">
        <v>5.0999999999999996</v>
      </c>
    </row>
    <row r="2240" spans="1:13" hidden="1" x14ac:dyDescent="0.35">
      <c r="A2240" t="s">
        <v>24</v>
      </c>
      <c r="D2240" t="s">
        <v>336</v>
      </c>
      <c r="F2240">
        <v>8</v>
      </c>
      <c r="G2240">
        <v>7</v>
      </c>
      <c r="H2240">
        <v>4</v>
      </c>
      <c r="I2240">
        <v>56</v>
      </c>
      <c r="K2240" s="122">
        <v>45462</v>
      </c>
      <c r="L2240" t="s">
        <v>737</v>
      </c>
      <c r="M2240">
        <v>6.3</v>
      </c>
    </row>
    <row r="2241" spans="1:13" hidden="1" x14ac:dyDescent="0.35">
      <c r="A2241" t="s">
        <v>24</v>
      </c>
      <c r="D2241" t="s">
        <v>336</v>
      </c>
      <c r="F2241">
        <v>8</v>
      </c>
      <c r="G2241">
        <v>7</v>
      </c>
      <c r="H2241">
        <v>4</v>
      </c>
      <c r="I2241">
        <v>56</v>
      </c>
      <c r="K2241" s="122">
        <v>45462</v>
      </c>
      <c r="L2241" t="s">
        <v>738</v>
      </c>
      <c r="M2241">
        <v>6.5</v>
      </c>
    </row>
    <row r="2242" spans="1:13" hidden="1" x14ac:dyDescent="0.35">
      <c r="A2242" t="s">
        <v>24</v>
      </c>
      <c r="D2242" t="s">
        <v>336</v>
      </c>
      <c r="F2242">
        <v>8</v>
      </c>
      <c r="G2242">
        <v>7</v>
      </c>
      <c r="H2242">
        <v>4</v>
      </c>
      <c r="I2242">
        <v>56</v>
      </c>
      <c r="K2242" s="122">
        <v>45462</v>
      </c>
      <c r="L2242" t="s">
        <v>739</v>
      </c>
      <c r="M2242">
        <v>6.1</v>
      </c>
    </row>
    <row r="2243" spans="1:13" hidden="1" x14ac:dyDescent="0.35">
      <c r="A2243" t="s">
        <v>24</v>
      </c>
      <c r="D2243" t="s">
        <v>336</v>
      </c>
      <c r="F2243">
        <v>8</v>
      </c>
      <c r="G2243">
        <v>7</v>
      </c>
      <c r="H2243">
        <v>4</v>
      </c>
      <c r="I2243">
        <v>56</v>
      </c>
      <c r="K2243" s="122">
        <v>45477</v>
      </c>
      <c r="L2243" t="s">
        <v>737</v>
      </c>
    </row>
    <row r="2244" spans="1:13" hidden="1" x14ac:dyDescent="0.35">
      <c r="A2244" t="s">
        <v>24</v>
      </c>
      <c r="D2244" t="s">
        <v>336</v>
      </c>
      <c r="F2244">
        <v>8</v>
      </c>
      <c r="G2244">
        <v>7</v>
      </c>
      <c r="H2244">
        <v>4</v>
      </c>
      <c r="I2244">
        <v>56</v>
      </c>
      <c r="K2244" s="122">
        <v>45477</v>
      </c>
      <c r="L2244" t="s">
        <v>738</v>
      </c>
    </row>
    <row r="2245" spans="1:13" hidden="1" x14ac:dyDescent="0.35">
      <c r="A2245" t="s">
        <v>24</v>
      </c>
      <c r="D2245" t="s">
        <v>336</v>
      </c>
      <c r="F2245">
        <v>8</v>
      </c>
      <c r="G2245">
        <v>7</v>
      </c>
      <c r="H2245">
        <v>4</v>
      </c>
      <c r="I2245">
        <v>56</v>
      </c>
      <c r="K2245" s="122">
        <v>45477</v>
      </c>
      <c r="L2245" t="s">
        <v>739</v>
      </c>
    </row>
    <row r="2246" spans="1:13" hidden="1" x14ac:dyDescent="0.35">
      <c r="A2246" t="s">
        <v>24</v>
      </c>
      <c r="D2246" t="s">
        <v>336</v>
      </c>
      <c r="F2246">
        <v>8</v>
      </c>
      <c r="G2246">
        <v>7</v>
      </c>
      <c r="H2246">
        <v>4</v>
      </c>
      <c r="I2246">
        <v>56</v>
      </c>
      <c r="K2246" s="122">
        <v>45485</v>
      </c>
      <c r="L2246" t="s">
        <v>737</v>
      </c>
    </row>
    <row r="2247" spans="1:13" hidden="1" x14ac:dyDescent="0.35">
      <c r="A2247" t="s">
        <v>24</v>
      </c>
      <c r="D2247" t="s">
        <v>336</v>
      </c>
      <c r="F2247">
        <v>8</v>
      </c>
      <c r="G2247">
        <v>7</v>
      </c>
      <c r="H2247">
        <v>4</v>
      </c>
      <c r="I2247">
        <v>56</v>
      </c>
      <c r="K2247" s="122">
        <v>45485</v>
      </c>
      <c r="L2247" t="s">
        <v>738</v>
      </c>
    </row>
    <row r="2248" spans="1:13" hidden="1" x14ac:dyDescent="0.35">
      <c r="A2248" t="s">
        <v>24</v>
      </c>
      <c r="D2248" t="s">
        <v>336</v>
      </c>
      <c r="F2248">
        <v>8</v>
      </c>
      <c r="G2248">
        <v>7</v>
      </c>
      <c r="H2248">
        <v>4</v>
      </c>
      <c r="I2248">
        <v>56</v>
      </c>
      <c r="K2248" s="122">
        <v>45485</v>
      </c>
      <c r="L2248" t="s">
        <v>739</v>
      </c>
    </row>
    <row r="2249" spans="1:13" hidden="1" x14ac:dyDescent="0.35">
      <c r="A2249" t="s">
        <v>24</v>
      </c>
      <c r="D2249" t="s">
        <v>336</v>
      </c>
      <c r="F2249">
        <v>8</v>
      </c>
      <c r="G2249">
        <v>7</v>
      </c>
      <c r="H2249">
        <v>4</v>
      </c>
      <c r="I2249">
        <v>56</v>
      </c>
      <c r="K2249" s="122">
        <v>45492</v>
      </c>
      <c r="L2249" t="s">
        <v>737</v>
      </c>
      <c r="M2249">
        <v>7.6</v>
      </c>
    </row>
    <row r="2250" spans="1:13" hidden="1" x14ac:dyDescent="0.35">
      <c r="A2250" t="s">
        <v>24</v>
      </c>
      <c r="D2250" t="s">
        <v>336</v>
      </c>
      <c r="F2250">
        <v>8</v>
      </c>
      <c r="G2250">
        <v>7</v>
      </c>
      <c r="H2250">
        <v>4</v>
      </c>
      <c r="I2250">
        <v>56</v>
      </c>
      <c r="K2250" s="122">
        <v>45492</v>
      </c>
      <c r="L2250" t="s">
        <v>738</v>
      </c>
      <c r="M2250">
        <v>7.4</v>
      </c>
    </row>
    <row r="2251" spans="1:13" hidden="1" x14ac:dyDescent="0.35">
      <c r="A2251" t="s">
        <v>24</v>
      </c>
      <c r="D2251" t="s">
        <v>336</v>
      </c>
      <c r="F2251">
        <v>8</v>
      </c>
      <c r="G2251">
        <v>7</v>
      </c>
      <c r="H2251">
        <v>4</v>
      </c>
      <c r="I2251">
        <v>56</v>
      </c>
      <c r="K2251" s="122">
        <v>45492</v>
      </c>
      <c r="L2251" t="s">
        <v>739</v>
      </c>
      <c r="M2251">
        <v>7.5</v>
      </c>
    </row>
    <row r="2252" spans="1:13" hidden="1" x14ac:dyDescent="0.35">
      <c r="A2252" t="s">
        <v>24</v>
      </c>
      <c r="D2252" t="s">
        <v>336</v>
      </c>
      <c r="F2252">
        <v>8</v>
      </c>
      <c r="G2252">
        <v>7</v>
      </c>
      <c r="H2252">
        <v>4</v>
      </c>
      <c r="I2252">
        <v>56</v>
      </c>
      <c r="K2252" s="122">
        <v>45509</v>
      </c>
      <c r="L2252" t="s">
        <v>737</v>
      </c>
      <c r="M2252">
        <v>8.6</v>
      </c>
    </row>
    <row r="2253" spans="1:13" hidden="1" x14ac:dyDescent="0.35">
      <c r="A2253" t="s">
        <v>24</v>
      </c>
      <c r="D2253" t="s">
        <v>336</v>
      </c>
      <c r="F2253">
        <v>8</v>
      </c>
      <c r="G2253">
        <v>7</v>
      </c>
      <c r="H2253">
        <v>4</v>
      </c>
      <c r="I2253">
        <v>56</v>
      </c>
      <c r="K2253" s="122">
        <v>45509</v>
      </c>
      <c r="L2253" t="s">
        <v>738</v>
      </c>
      <c r="M2253">
        <v>8.4</v>
      </c>
    </row>
    <row r="2254" spans="1:13" hidden="1" x14ac:dyDescent="0.35">
      <c r="A2254" t="s">
        <v>24</v>
      </c>
      <c r="D2254" t="s">
        <v>336</v>
      </c>
      <c r="F2254">
        <v>8</v>
      </c>
      <c r="G2254">
        <v>7</v>
      </c>
      <c r="H2254">
        <v>4</v>
      </c>
      <c r="I2254">
        <v>56</v>
      </c>
      <c r="K2254" s="122">
        <v>45509</v>
      </c>
      <c r="L2254" t="s">
        <v>739</v>
      </c>
      <c r="M2254">
        <v>8.4</v>
      </c>
    </row>
    <row r="2255" spans="1:13" hidden="1" x14ac:dyDescent="0.35">
      <c r="A2255" t="s">
        <v>24</v>
      </c>
      <c r="D2255" t="s">
        <v>336</v>
      </c>
      <c r="F2255">
        <v>8</v>
      </c>
      <c r="G2255">
        <v>7</v>
      </c>
      <c r="H2255">
        <v>4</v>
      </c>
      <c r="I2255">
        <v>56</v>
      </c>
      <c r="K2255" s="122">
        <v>45519</v>
      </c>
      <c r="L2255" t="s">
        <v>737</v>
      </c>
      <c r="M2255">
        <v>9.4</v>
      </c>
    </row>
    <row r="2256" spans="1:13" hidden="1" x14ac:dyDescent="0.35">
      <c r="A2256" t="s">
        <v>24</v>
      </c>
      <c r="D2256" t="s">
        <v>336</v>
      </c>
      <c r="F2256">
        <v>8</v>
      </c>
      <c r="G2256">
        <v>7</v>
      </c>
      <c r="H2256">
        <v>4</v>
      </c>
      <c r="I2256">
        <v>56</v>
      </c>
      <c r="K2256" s="122">
        <v>45519</v>
      </c>
      <c r="L2256" t="s">
        <v>738</v>
      </c>
      <c r="M2256">
        <v>9.1</v>
      </c>
    </row>
    <row r="2257" spans="1:13" hidden="1" x14ac:dyDescent="0.35">
      <c r="A2257" t="s">
        <v>24</v>
      </c>
      <c r="D2257" t="s">
        <v>336</v>
      </c>
      <c r="F2257">
        <v>8</v>
      </c>
      <c r="G2257">
        <v>7</v>
      </c>
      <c r="H2257">
        <v>4</v>
      </c>
      <c r="I2257">
        <v>56</v>
      </c>
      <c r="K2257" s="122">
        <v>45519</v>
      </c>
      <c r="L2257" t="s">
        <v>739</v>
      </c>
      <c r="M2257">
        <v>9.3000000000000007</v>
      </c>
    </row>
    <row r="2258" spans="1:13" hidden="1" x14ac:dyDescent="0.35">
      <c r="A2258" t="s">
        <v>24</v>
      </c>
      <c r="D2258" t="s">
        <v>336</v>
      </c>
      <c r="F2258">
        <v>8</v>
      </c>
      <c r="G2258">
        <v>7</v>
      </c>
      <c r="H2258">
        <v>4</v>
      </c>
      <c r="I2258">
        <v>56</v>
      </c>
      <c r="K2258" s="122">
        <v>45530</v>
      </c>
      <c r="L2258" t="s">
        <v>737</v>
      </c>
      <c r="M2258">
        <v>10.7</v>
      </c>
    </row>
    <row r="2259" spans="1:13" hidden="1" x14ac:dyDescent="0.35">
      <c r="A2259" t="s">
        <v>24</v>
      </c>
      <c r="D2259" t="s">
        <v>336</v>
      </c>
      <c r="F2259">
        <v>8</v>
      </c>
      <c r="G2259">
        <v>7</v>
      </c>
      <c r="H2259">
        <v>4</v>
      </c>
      <c r="I2259">
        <v>56</v>
      </c>
      <c r="K2259" s="122">
        <v>45530</v>
      </c>
      <c r="L2259" t="s">
        <v>738</v>
      </c>
      <c r="M2259">
        <v>10.5</v>
      </c>
    </row>
    <row r="2260" spans="1:13" hidden="1" x14ac:dyDescent="0.35">
      <c r="A2260" t="s">
        <v>24</v>
      </c>
      <c r="D2260" t="s">
        <v>336</v>
      </c>
      <c r="F2260">
        <v>8</v>
      </c>
      <c r="G2260">
        <v>7</v>
      </c>
      <c r="H2260">
        <v>4</v>
      </c>
      <c r="I2260">
        <v>56</v>
      </c>
      <c r="K2260" s="122">
        <v>45530</v>
      </c>
      <c r="L2260" t="s">
        <v>739</v>
      </c>
      <c r="M2260">
        <v>10.7</v>
      </c>
    </row>
    <row r="2261" spans="1:13" hidden="1" x14ac:dyDescent="0.35">
      <c r="A2261" t="s">
        <v>24</v>
      </c>
      <c r="D2261" t="s">
        <v>336</v>
      </c>
      <c r="F2261">
        <v>8</v>
      </c>
      <c r="G2261">
        <v>7</v>
      </c>
      <c r="H2261">
        <v>4</v>
      </c>
      <c r="I2261">
        <v>56</v>
      </c>
      <c r="K2261" s="122">
        <v>45538</v>
      </c>
      <c r="L2261" t="s">
        <v>737</v>
      </c>
      <c r="M2261">
        <v>11.4</v>
      </c>
    </row>
    <row r="2262" spans="1:13" hidden="1" x14ac:dyDescent="0.35">
      <c r="A2262" t="s">
        <v>24</v>
      </c>
      <c r="D2262" t="s">
        <v>336</v>
      </c>
      <c r="F2262">
        <v>8</v>
      </c>
      <c r="G2262">
        <v>7</v>
      </c>
      <c r="H2262">
        <v>4</v>
      </c>
      <c r="I2262">
        <v>56</v>
      </c>
      <c r="K2262" s="122">
        <v>45538</v>
      </c>
      <c r="L2262" t="s">
        <v>738</v>
      </c>
      <c r="M2262">
        <v>11.1</v>
      </c>
    </row>
    <row r="2263" spans="1:13" hidden="1" x14ac:dyDescent="0.35">
      <c r="A2263" t="s">
        <v>24</v>
      </c>
      <c r="D2263" t="s">
        <v>336</v>
      </c>
      <c r="F2263">
        <v>8</v>
      </c>
      <c r="G2263">
        <v>7</v>
      </c>
      <c r="H2263">
        <v>4</v>
      </c>
      <c r="I2263">
        <v>56</v>
      </c>
      <c r="K2263" s="122">
        <v>45538</v>
      </c>
      <c r="L2263" t="s">
        <v>739</v>
      </c>
      <c r="M2263">
        <v>11.3</v>
      </c>
    </row>
    <row r="2264" spans="1:13" hidden="1" x14ac:dyDescent="0.35">
      <c r="A2264" t="s">
        <v>24</v>
      </c>
      <c r="D2264" t="s">
        <v>336</v>
      </c>
      <c r="F2264">
        <v>8</v>
      </c>
      <c r="G2264">
        <v>7</v>
      </c>
      <c r="H2264">
        <v>4</v>
      </c>
      <c r="I2264">
        <v>56</v>
      </c>
      <c r="K2264" s="122">
        <v>45547</v>
      </c>
      <c r="L2264" t="s">
        <v>737</v>
      </c>
      <c r="M2264">
        <v>12</v>
      </c>
    </row>
    <row r="2265" spans="1:13" hidden="1" x14ac:dyDescent="0.35">
      <c r="A2265" t="s">
        <v>24</v>
      </c>
      <c r="D2265" t="s">
        <v>336</v>
      </c>
      <c r="F2265">
        <v>8</v>
      </c>
      <c r="G2265">
        <v>7</v>
      </c>
      <c r="H2265">
        <v>4</v>
      </c>
      <c r="I2265">
        <v>56</v>
      </c>
      <c r="K2265" s="122">
        <v>45547</v>
      </c>
      <c r="L2265" t="s">
        <v>738</v>
      </c>
      <c r="M2265">
        <v>11.8</v>
      </c>
    </row>
    <row r="2266" spans="1:13" hidden="1" x14ac:dyDescent="0.35">
      <c r="A2266" t="s">
        <v>24</v>
      </c>
      <c r="D2266" t="s">
        <v>336</v>
      </c>
      <c r="F2266">
        <v>8</v>
      </c>
      <c r="G2266">
        <v>7</v>
      </c>
      <c r="H2266">
        <v>4</v>
      </c>
      <c r="I2266">
        <v>56</v>
      </c>
      <c r="K2266" s="122">
        <v>45547</v>
      </c>
      <c r="L2266" t="s">
        <v>739</v>
      </c>
      <c r="M2266">
        <v>11.7</v>
      </c>
    </row>
    <row r="2267" spans="1:13" hidden="1" x14ac:dyDescent="0.35">
      <c r="A2267" t="s">
        <v>24</v>
      </c>
      <c r="D2267" t="s">
        <v>336</v>
      </c>
      <c r="F2267">
        <v>8</v>
      </c>
      <c r="G2267">
        <v>7</v>
      </c>
      <c r="H2267">
        <v>4</v>
      </c>
      <c r="I2267">
        <v>56</v>
      </c>
      <c r="K2267" s="122">
        <v>45555</v>
      </c>
      <c r="L2267" t="s">
        <v>737</v>
      </c>
      <c r="M2267">
        <v>12</v>
      </c>
    </row>
    <row r="2268" spans="1:13" hidden="1" x14ac:dyDescent="0.35">
      <c r="A2268" t="s">
        <v>24</v>
      </c>
      <c r="D2268" t="s">
        <v>336</v>
      </c>
      <c r="F2268">
        <v>8</v>
      </c>
      <c r="G2268">
        <v>7</v>
      </c>
      <c r="H2268">
        <v>4</v>
      </c>
      <c r="I2268">
        <v>56</v>
      </c>
      <c r="K2268" s="122">
        <v>45555</v>
      </c>
      <c r="L2268" t="s">
        <v>738</v>
      </c>
      <c r="M2268">
        <v>12</v>
      </c>
    </row>
    <row r="2269" spans="1:13" hidden="1" x14ac:dyDescent="0.35">
      <c r="A2269" t="s">
        <v>24</v>
      </c>
      <c r="D2269" t="s">
        <v>336</v>
      </c>
      <c r="F2269">
        <v>8</v>
      </c>
      <c r="G2269">
        <v>7</v>
      </c>
      <c r="H2269">
        <v>4</v>
      </c>
      <c r="I2269">
        <v>56</v>
      </c>
      <c r="K2269" s="122">
        <v>45555</v>
      </c>
      <c r="L2269" t="s">
        <v>739</v>
      </c>
      <c r="M2269">
        <v>12</v>
      </c>
    </row>
    <row r="2270" spans="1:13" hidden="1" x14ac:dyDescent="0.35">
      <c r="A2270" t="s">
        <v>34</v>
      </c>
      <c r="D2270" t="s">
        <v>43</v>
      </c>
      <c r="F2270">
        <v>8</v>
      </c>
      <c r="G2270">
        <v>8</v>
      </c>
      <c r="H2270">
        <v>4</v>
      </c>
      <c r="I2270">
        <v>64</v>
      </c>
      <c r="K2270" s="122">
        <v>45442</v>
      </c>
      <c r="L2270" t="s">
        <v>737</v>
      </c>
    </row>
    <row r="2271" spans="1:13" hidden="1" x14ac:dyDescent="0.35">
      <c r="A2271" t="s">
        <v>34</v>
      </c>
      <c r="D2271" t="s">
        <v>43</v>
      </c>
      <c r="F2271">
        <v>8</v>
      </c>
      <c r="G2271">
        <v>8</v>
      </c>
      <c r="H2271">
        <v>4</v>
      </c>
      <c r="I2271">
        <v>64</v>
      </c>
      <c r="K2271" s="122">
        <v>45442</v>
      </c>
      <c r="L2271" t="s">
        <v>738</v>
      </c>
    </row>
    <row r="2272" spans="1:13" hidden="1" x14ac:dyDescent="0.35">
      <c r="A2272" t="s">
        <v>34</v>
      </c>
      <c r="D2272" t="s">
        <v>43</v>
      </c>
      <c r="F2272">
        <v>8</v>
      </c>
      <c r="G2272">
        <v>8</v>
      </c>
      <c r="H2272">
        <v>4</v>
      </c>
      <c r="I2272">
        <v>64</v>
      </c>
      <c r="K2272" s="122">
        <v>45442</v>
      </c>
      <c r="L2272" t="s">
        <v>739</v>
      </c>
    </row>
    <row r="2273" spans="1:13" hidden="1" x14ac:dyDescent="0.35">
      <c r="A2273" t="s">
        <v>34</v>
      </c>
      <c r="D2273" t="s">
        <v>43</v>
      </c>
      <c r="F2273">
        <v>8</v>
      </c>
      <c r="G2273">
        <v>8</v>
      </c>
      <c r="H2273">
        <v>4</v>
      </c>
      <c r="I2273">
        <v>64</v>
      </c>
      <c r="K2273" s="122">
        <v>45447</v>
      </c>
      <c r="L2273" t="s">
        <v>737</v>
      </c>
      <c r="M2273">
        <v>1.7</v>
      </c>
    </row>
    <row r="2274" spans="1:13" hidden="1" x14ac:dyDescent="0.35">
      <c r="A2274" t="s">
        <v>34</v>
      </c>
      <c r="D2274" t="s">
        <v>43</v>
      </c>
      <c r="F2274">
        <v>8</v>
      </c>
      <c r="G2274">
        <v>8</v>
      </c>
      <c r="H2274">
        <v>4</v>
      </c>
      <c r="I2274">
        <v>64</v>
      </c>
      <c r="K2274" s="122">
        <v>45447</v>
      </c>
      <c r="L2274" t="s">
        <v>738</v>
      </c>
      <c r="M2274">
        <v>1.7</v>
      </c>
    </row>
    <row r="2275" spans="1:13" hidden="1" x14ac:dyDescent="0.35">
      <c r="A2275" t="s">
        <v>34</v>
      </c>
      <c r="D2275" t="s">
        <v>43</v>
      </c>
      <c r="F2275">
        <v>8</v>
      </c>
      <c r="G2275">
        <v>8</v>
      </c>
      <c r="H2275">
        <v>4</v>
      </c>
      <c r="I2275">
        <v>64</v>
      </c>
      <c r="K2275" s="122">
        <v>45447</v>
      </c>
      <c r="L2275" t="s">
        <v>739</v>
      </c>
      <c r="M2275">
        <v>1.7</v>
      </c>
    </row>
    <row r="2276" spans="1:13" hidden="1" x14ac:dyDescent="0.35">
      <c r="A2276" t="s">
        <v>34</v>
      </c>
      <c r="D2276" t="s">
        <v>43</v>
      </c>
      <c r="F2276">
        <v>8</v>
      </c>
      <c r="G2276">
        <v>8</v>
      </c>
      <c r="H2276">
        <v>4</v>
      </c>
      <c r="I2276">
        <v>64</v>
      </c>
      <c r="K2276" s="122">
        <v>45462</v>
      </c>
      <c r="L2276" t="s">
        <v>737</v>
      </c>
      <c r="M2276">
        <v>3.4</v>
      </c>
    </row>
    <row r="2277" spans="1:13" hidden="1" x14ac:dyDescent="0.35">
      <c r="A2277" t="s">
        <v>34</v>
      </c>
      <c r="D2277" t="s">
        <v>43</v>
      </c>
      <c r="F2277">
        <v>8</v>
      </c>
      <c r="G2277">
        <v>8</v>
      </c>
      <c r="H2277">
        <v>4</v>
      </c>
      <c r="I2277">
        <v>64</v>
      </c>
      <c r="K2277" s="122">
        <v>45462</v>
      </c>
      <c r="L2277" t="s">
        <v>738</v>
      </c>
      <c r="M2277">
        <v>3.4</v>
      </c>
    </row>
    <row r="2278" spans="1:13" hidden="1" x14ac:dyDescent="0.35">
      <c r="A2278" t="s">
        <v>34</v>
      </c>
      <c r="D2278" t="s">
        <v>43</v>
      </c>
      <c r="F2278">
        <v>8</v>
      </c>
      <c r="G2278">
        <v>8</v>
      </c>
      <c r="H2278">
        <v>4</v>
      </c>
      <c r="I2278">
        <v>64</v>
      </c>
      <c r="K2278" s="122">
        <v>45462</v>
      </c>
      <c r="L2278" t="s">
        <v>739</v>
      </c>
      <c r="M2278">
        <v>3.3</v>
      </c>
    </row>
    <row r="2279" spans="1:13" hidden="1" x14ac:dyDescent="0.35">
      <c r="A2279" t="s">
        <v>34</v>
      </c>
      <c r="D2279" t="s">
        <v>43</v>
      </c>
      <c r="F2279">
        <v>8</v>
      </c>
      <c r="G2279">
        <v>8</v>
      </c>
      <c r="H2279">
        <v>4</v>
      </c>
      <c r="I2279">
        <v>64</v>
      </c>
      <c r="K2279" s="122">
        <v>45477</v>
      </c>
      <c r="L2279" t="s">
        <v>737</v>
      </c>
      <c r="M2279">
        <v>4.5999999999999996</v>
      </c>
    </row>
    <row r="2280" spans="1:13" hidden="1" x14ac:dyDescent="0.35">
      <c r="A2280" t="s">
        <v>34</v>
      </c>
      <c r="D2280" t="s">
        <v>43</v>
      </c>
      <c r="F2280">
        <v>8</v>
      </c>
      <c r="G2280">
        <v>8</v>
      </c>
      <c r="H2280">
        <v>4</v>
      </c>
      <c r="I2280">
        <v>64</v>
      </c>
      <c r="K2280" s="122">
        <v>45477</v>
      </c>
      <c r="L2280" t="s">
        <v>738</v>
      </c>
      <c r="M2280">
        <v>4.7</v>
      </c>
    </row>
    <row r="2281" spans="1:13" hidden="1" x14ac:dyDescent="0.35">
      <c r="A2281" t="s">
        <v>34</v>
      </c>
      <c r="D2281" t="s">
        <v>43</v>
      </c>
      <c r="F2281">
        <v>8</v>
      </c>
      <c r="G2281">
        <v>8</v>
      </c>
      <c r="H2281">
        <v>4</v>
      </c>
      <c r="I2281">
        <v>64</v>
      </c>
      <c r="K2281" s="122">
        <v>45477</v>
      </c>
      <c r="L2281" t="s">
        <v>739</v>
      </c>
      <c r="M2281">
        <v>4.5999999999999996</v>
      </c>
    </row>
    <row r="2282" spans="1:13" hidden="1" x14ac:dyDescent="0.35">
      <c r="A2282" t="s">
        <v>34</v>
      </c>
      <c r="D2282" t="s">
        <v>43</v>
      </c>
      <c r="F2282">
        <v>8</v>
      </c>
      <c r="G2282">
        <v>8</v>
      </c>
      <c r="H2282">
        <v>4</v>
      </c>
      <c r="I2282">
        <v>64</v>
      </c>
      <c r="K2282" s="122">
        <v>45485</v>
      </c>
      <c r="L2282" t="s">
        <v>737</v>
      </c>
    </row>
    <row r="2283" spans="1:13" hidden="1" x14ac:dyDescent="0.35">
      <c r="A2283" t="s">
        <v>34</v>
      </c>
      <c r="D2283" t="s">
        <v>43</v>
      </c>
      <c r="F2283">
        <v>8</v>
      </c>
      <c r="G2283">
        <v>8</v>
      </c>
      <c r="H2283">
        <v>4</v>
      </c>
      <c r="I2283">
        <v>64</v>
      </c>
      <c r="K2283" s="122">
        <v>45485</v>
      </c>
      <c r="L2283" t="s">
        <v>738</v>
      </c>
    </row>
    <row r="2284" spans="1:13" hidden="1" x14ac:dyDescent="0.35">
      <c r="A2284" t="s">
        <v>34</v>
      </c>
      <c r="D2284" t="s">
        <v>43</v>
      </c>
      <c r="F2284">
        <v>8</v>
      </c>
      <c r="G2284">
        <v>8</v>
      </c>
      <c r="H2284">
        <v>4</v>
      </c>
      <c r="I2284">
        <v>64</v>
      </c>
      <c r="K2284" s="122">
        <v>45485</v>
      </c>
      <c r="L2284" t="s">
        <v>739</v>
      </c>
    </row>
    <row r="2285" spans="1:13" hidden="1" x14ac:dyDescent="0.35">
      <c r="A2285" t="s">
        <v>34</v>
      </c>
      <c r="D2285" t="s">
        <v>43</v>
      </c>
      <c r="F2285">
        <v>8</v>
      </c>
      <c r="G2285">
        <v>8</v>
      </c>
      <c r="H2285">
        <v>4</v>
      </c>
      <c r="I2285">
        <v>64</v>
      </c>
      <c r="K2285" s="122">
        <v>45492</v>
      </c>
      <c r="L2285" t="s">
        <v>737</v>
      </c>
      <c r="M2285">
        <v>5.7</v>
      </c>
    </row>
    <row r="2286" spans="1:13" hidden="1" x14ac:dyDescent="0.35">
      <c r="A2286" t="s">
        <v>34</v>
      </c>
      <c r="D2286" t="s">
        <v>43</v>
      </c>
      <c r="F2286">
        <v>8</v>
      </c>
      <c r="G2286">
        <v>8</v>
      </c>
      <c r="H2286">
        <v>4</v>
      </c>
      <c r="I2286">
        <v>64</v>
      </c>
      <c r="K2286" s="122">
        <v>45492</v>
      </c>
      <c r="L2286" t="s">
        <v>738</v>
      </c>
      <c r="M2286">
        <v>5.7</v>
      </c>
    </row>
    <row r="2287" spans="1:13" hidden="1" x14ac:dyDescent="0.35">
      <c r="A2287" t="s">
        <v>34</v>
      </c>
      <c r="D2287" t="s">
        <v>43</v>
      </c>
      <c r="F2287">
        <v>8</v>
      </c>
      <c r="G2287">
        <v>8</v>
      </c>
      <c r="H2287">
        <v>4</v>
      </c>
      <c r="I2287">
        <v>64</v>
      </c>
      <c r="K2287" s="122">
        <v>45492</v>
      </c>
      <c r="L2287" t="s">
        <v>739</v>
      </c>
      <c r="M2287">
        <v>5.6</v>
      </c>
    </row>
    <row r="2288" spans="1:13" hidden="1" x14ac:dyDescent="0.35">
      <c r="A2288" t="s">
        <v>34</v>
      </c>
      <c r="D2288" t="s">
        <v>43</v>
      </c>
      <c r="F2288">
        <v>8</v>
      </c>
      <c r="G2288">
        <v>8</v>
      </c>
      <c r="H2288">
        <v>4</v>
      </c>
      <c r="I2288">
        <v>64</v>
      </c>
      <c r="K2288" s="122">
        <v>45509</v>
      </c>
      <c r="L2288" t="s">
        <v>737</v>
      </c>
      <c r="M2288">
        <v>6.9</v>
      </c>
    </row>
    <row r="2289" spans="1:13" hidden="1" x14ac:dyDescent="0.35">
      <c r="A2289" t="s">
        <v>34</v>
      </c>
      <c r="D2289" t="s">
        <v>43</v>
      </c>
      <c r="F2289">
        <v>8</v>
      </c>
      <c r="G2289">
        <v>8</v>
      </c>
      <c r="H2289">
        <v>4</v>
      </c>
      <c r="I2289">
        <v>64</v>
      </c>
      <c r="K2289" s="122">
        <v>45509</v>
      </c>
      <c r="L2289" t="s">
        <v>738</v>
      </c>
      <c r="M2289">
        <v>6.8</v>
      </c>
    </row>
    <row r="2290" spans="1:13" hidden="1" x14ac:dyDescent="0.35">
      <c r="A2290" t="s">
        <v>34</v>
      </c>
      <c r="D2290" t="s">
        <v>43</v>
      </c>
      <c r="F2290">
        <v>8</v>
      </c>
      <c r="G2290">
        <v>8</v>
      </c>
      <c r="H2290">
        <v>4</v>
      </c>
      <c r="I2290">
        <v>64</v>
      </c>
      <c r="K2290" s="122">
        <v>45509</v>
      </c>
      <c r="L2290" t="s">
        <v>739</v>
      </c>
      <c r="M2290">
        <v>6.9</v>
      </c>
    </row>
    <row r="2291" spans="1:13" hidden="1" x14ac:dyDescent="0.35">
      <c r="A2291" t="s">
        <v>34</v>
      </c>
      <c r="D2291" t="s">
        <v>43</v>
      </c>
      <c r="F2291">
        <v>8</v>
      </c>
      <c r="G2291">
        <v>8</v>
      </c>
      <c r="H2291">
        <v>4</v>
      </c>
      <c r="I2291">
        <v>64</v>
      </c>
      <c r="K2291" s="122">
        <v>45519</v>
      </c>
      <c r="L2291" t="s">
        <v>737</v>
      </c>
      <c r="M2291">
        <v>7.9</v>
      </c>
    </row>
    <row r="2292" spans="1:13" hidden="1" x14ac:dyDescent="0.35">
      <c r="A2292" t="s">
        <v>34</v>
      </c>
      <c r="D2292" t="s">
        <v>43</v>
      </c>
      <c r="F2292">
        <v>8</v>
      </c>
      <c r="G2292">
        <v>8</v>
      </c>
      <c r="H2292">
        <v>4</v>
      </c>
      <c r="I2292">
        <v>64</v>
      </c>
      <c r="K2292" s="122">
        <v>45519</v>
      </c>
      <c r="L2292" t="s">
        <v>738</v>
      </c>
      <c r="M2292">
        <v>7.9</v>
      </c>
    </row>
    <row r="2293" spans="1:13" hidden="1" x14ac:dyDescent="0.35">
      <c r="A2293" t="s">
        <v>34</v>
      </c>
      <c r="D2293" t="s">
        <v>43</v>
      </c>
      <c r="F2293">
        <v>8</v>
      </c>
      <c r="G2293">
        <v>8</v>
      </c>
      <c r="H2293">
        <v>4</v>
      </c>
      <c r="I2293">
        <v>64</v>
      </c>
      <c r="K2293" s="122">
        <v>45519</v>
      </c>
      <c r="L2293" t="s">
        <v>739</v>
      </c>
      <c r="M2293">
        <v>7.8</v>
      </c>
    </row>
    <row r="2294" spans="1:13" hidden="1" x14ac:dyDescent="0.35">
      <c r="A2294" t="s">
        <v>34</v>
      </c>
      <c r="D2294" t="s">
        <v>43</v>
      </c>
      <c r="F2294">
        <v>8</v>
      </c>
      <c r="G2294">
        <v>8</v>
      </c>
      <c r="H2294">
        <v>4</v>
      </c>
      <c r="I2294">
        <v>64</v>
      </c>
      <c r="K2294" s="122">
        <v>45530</v>
      </c>
      <c r="L2294" t="s">
        <v>737</v>
      </c>
      <c r="M2294">
        <v>9.1</v>
      </c>
    </row>
    <row r="2295" spans="1:13" hidden="1" x14ac:dyDescent="0.35">
      <c r="A2295" t="s">
        <v>34</v>
      </c>
      <c r="D2295" t="s">
        <v>43</v>
      </c>
      <c r="F2295">
        <v>8</v>
      </c>
      <c r="G2295">
        <v>8</v>
      </c>
      <c r="H2295">
        <v>4</v>
      </c>
      <c r="I2295">
        <v>64</v>
      </c>
      <c r="K2295" s="122">
        <v>45530</v>
      </c>
      <c r="L2295" t="s">
        <v>738</v>
      </c>
      <c r="M2295">
        <v>9</v>
      </c>
    </row>
    <row r="2296" spans="1:13" hidden="1" x14ac:dyDescent="0.35">
      <c r="A2296" t="s">
        <v>34</v>
      </c>
      <c r="D2296" t="s">
        <v>43</v>
      </c>
      <c r="F2296">
        <v>8</v>
      </c>
      <c r="G2296">
        <v>8</v>
      </c>
      <c r="H2296">
        <v>4</v>
      </c>
      <c r="I2296">
        <v>64</v>
      </c>
      <c r="K2296" s="122">
        <v>45530</v>
      </c>
      <c r="L2296" t="s">
        <v>739</v>
      </c>
      <c r="M2296">
        <v>9.1999999999999993</v>
      </c>
    </row>
    <row r="2297" spans="1:13" hidden="1" x14ac:dyDescent="0.35">
      <c r="A2297" t="s">
        <v>34</v>
      </c>
      <c r="D2297" t="s">
        <v>43</v>
      </c>
      <c r="F2297">
        <v>8</v>
      </c>
      <c r="G2297">
        <v>8</v>
      </c>
      <c r="H2297">
        <v>4</v>
      </c>
      <c r="I2297">
        <v>64</v>
      </c>
      <c r="K2297" s="122">
        <v>45538</v>
      </c>
      <c r="L2297" t="s">
        <v>737</v>
      </c>
      <c r="M2297">
        <v>9.6999999999999993</v>
      </c>
    </row>
    <row r="2298" spans="1:13" hidden="1" x14ac:dyDescent="0.35">
      <c r="A2298" t="s">
        <v>34</v>
      </c>
      <c r="D2298" t="s">
        <v>43</v>
      </c>
      <c r="F2298">
        <v>8</v>
      </c>
      <c r="G2298">
        <v>8</v>
      </c>
      <c r="H2298">
        <v>4</v>
      </c>
      <c r="I2298">
        <v>64</v>
      </c>
      <c r="K2298" s="122">
        <v>45538</v>
      </c>
      <c r="L2298" t="s">
        <v>738</v>
      </c>
      <c r="M2298">
        <v>9.8000000000000007</v>
      </c>
    </row>
    <row r="2299" spans="1:13" hidden="1" x14ac:dyDescent="0.35">
      <c r="A2299" t="s">
        <v>34</v>
      </c>
      <c r="D2299" t="s">
        <v>43</v>
      </c>
      <c r="F2299">
        <v>8</v>
      </c>
      <c r="G2299">
        <v>8</v>
      </c>
      <c r="H2299">
        <v>4</v>
      </c>
      <c r="I2299">
        <v>64</v>
      </c>
      <c r="K2299" s="122">
        <v>45538</v>
      </c>
      <c r="L2299" t="s">
        <v>739</v>
      </c>
      <c r="M2299">
        <v>10</v>
      </c>
    </row>
    <row r="2300" spans="1:13" hidden="1" x14ac:dyDescent="0.35">
      <c r="A2300" t="s">
        <v>34</v>
      </c>
      <c r="D2300" t="s">
        <v>43</v>
      </c>
      <c r="F2300">
        <v>8</v>
      </c>
      <c r="G2300">
        <v>8</v>
      </c>
      <c r="H2300">
        <v>4</v>
      </c>
      <c r="I2300">
        <v>64</v>
      </c>
      <c r="K2300" s="122">
        <v>45547</v>
      </c>
      <c r="L2300" t="s">
        <v>737</v>
      </c>
      <c r="M2300">
        <v>10</v>
      </c>
    </row>
    <row r="2301" spans="1:13" hidden="1" x14ac:dyDescent="0.35">
      <c r="A2301" t="s">
        <v>34</v>
      </c>
      <c r="D2301" t="s">
        <v>43</v>
      </c>
      <c r="F2301">
        <v>8</v>
      </c>
      <c r="G2301">
        <v>8</v>
      </c>
      <c r="H2301">
        <v>4</v>
      </c>
      <c r="I2301">
        <v>64</v>
      </c>
      <c r="K2301" s="122">
        <v>45547</v>
      </c>
      <c r="L2301" t="s">
        <v>738</v>
      </c>
      <c r="M2301">
        <v>10</v>
      </c>
    </row>
    <row r="2302" spans="1:13" hidden="1" x14ac:dyDescent="0.35">
      <c r="A2302" t="s">
        <v>34</v>
      </c>
      <c r="D2302" t="s">
        <v>43</v>
      </c>
      <c r="F2302">
        <v>8</v>
      </c>
      <c r="G2302">
        <v>8</v>
      </c>
      <c r="H2302">
        <v>4</v>
      </c>
      <c r="I2302">
        <v>64</v>
      </c>
      <c r="K2302" s="122">
        <v>45547</v>
      </c>
      <c r="L2302" t="s">
        <v>739</v>
      </c>
      <c r="M2302">
        <v>10</v>
      </c>
    </row>
    <row r="2303" spans="1:13" hidden="1" x14ac:dyDescent="0.35">
      <c r="A2303" t="s">
        <v>34</v>
      </c>
      <c r="D2303" t="s">
        <v>43</v>
      </c>
      <c r="F2303">
        <v>8</v>
      </c>
      <c r="G2303">
        <v>8</v>
      </c>
      <c r="H2303">
        <v>4</v>
      </c>
      <c r="I2303">
        <v>64</v>
      </c>
      <c r="K2303" s="122">
        <v>45555</v>
      </c>
      <c r="L2303" t="s">
        <v>737</v>
      </c>
    </row>
    <row r="2304" spans="1:13" hidden="1" x14ac:dyDescent="0.35">
      <c r="A2304" t="s">
        <v>34</v>
      </c>
      <c r="D2304" t="s">
        <v>43</v>
      </c>
      <c r="F2304">
        <v>8</v>
      </c>
      <c r="G2304">
        <v>8</v>
      </c>
      <c r="H2304">
        <v>4</v>
      </c>
      <c r="I2304">
        <v>64</v>
      </c>
      <c r="K2304" s="122">
        <v>45555</v>
      </c>
      <c r="L2304" t="s">
        <v>738</v>
      </c>
    </row>
    <row r="2305" spans="1:12" hidden="1" x14ac:dyDescent="0.35">
      <c r="A2305" t="s">
        <v>34</v>
      </c>
      <c r="D2305" t="s">
        <v>43</v>
      </c>
      <c r="F2305">
        <v>8</v>
      </c>
      <c r="G2305">
        <v>8</v>
      </c>
      <c r="H2305">
        <v>4</v>
      </c>
      <c r="I2305">
        <v>64</v>
      </c>
      <c r="K2305" s="122">
        <v>45555</v>
      </c>
      <c r="L2305" t="s">
        <v>739</v>
      </c>
    </row>
  </sheetData>
  <autoFilter ref="A1:L2305" xr:uid="{9C0592AF-EAD7-4218-A8DF-F4F8B8B6E220}">
    <filterColumn colId="3">
      <filters>
        <filter val="Mace"/>
      </filters>
    </filterColumn>
    <filterColumn colId="11">
      <filters>
        <filter val="Plant1"/>
      </filters>
    </filterColumn>
  </autoFilter>
  <sortState xmlns:xlrd2="http://schemas.microsoft.com/office/spreadsheetml/2017/richdata2" ref="A2:S581">
    <sortCondition ref="J2:J581"/>
  </sortState>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BBD74-F987-4D5C-91AE-C93F458D594A}">
  <dimension ref="A1:W65"/>
  <sheetViews>
    <sheetView workbookViewId="0">
      <selection activeCell="Y16" sqref="Y16"/>
    </sheetView>
  </sheetViews>
  <sheetFormatPr defaultRowHeight="14.5" x14ac:dyDescent="0.35"/>
  <sheetData>
    <row r="1" spans="1:23" ht="43.5" x14ac:dyDescent="0.35">
      <c r="A1" s="4" t="s">
        <v>44</v>
      </c>
      <c r="B1" s="4" t="s">
        <v>45</v>
      </c>
      <c r="C1" s="4" t="s">
        <v>46</v>
      </c>
      <c r="D1" s="4" t="s">
        <v>47</v>
      </c>
      <c r="E1" s="4" t="s">
        <v>48</v>
      </c>
      <c r="F1" s="4" t="s">
        <v>50</v>
      </c>
      <c r="G1" s="4" t="s">
        <v>51</v>
      </c>
      <c r="H1" s="4" t="s">
        <v>53</v>
      </c>
      <c r="I1" s="4" t="s">
        <v>52</v>
      </c>
      <c r="J1" s="4" t="s">
        <v>54</v>
      </c>
      <c r="K1" s="4" t="s">
        <v>758</v>
      </c>
      <c r="L1" s="4" t="s">
        <v>759</v>
      </c>
      <c r="M1" s="4" t="s">
        <v>760</v>
      </c>
      <c r="N1" s="4" t="s">
        <v>761</v>
      </c>
      <c r="O1" s="4" t="s">
        <v>762</v>
      </c>
      <c r="P1" s="4" t="s">
        <v>763</v>
      </c>
      <c r="Q1" s="4" t="s">
        <v>764</v>
      </c>
      <c r="R1" s="4" t="s">
        <v>765</v>
      </c>
      <c r="S1" s="4" t="s">
        <v>766</v>
      </c>
      <c r="T1" s="4" t="s">
        <v>767</v>
      </c>
      <c r="U1" s="4" t="s">
        <v>768</v>
      </c>
      <c r="V1" s="4" t="s">
        <v>769</v>
      </c>
      <c r="W1" s="4" t="s">
        <v>770</v>
      </c>
    </row>
    <row r="2" spans="1:23" x14ac:dyDescent="0.35">
      <c r="A2" t="s">
        <v>24</v>
      </c>
      <c r="D2" t="s">
        <v>27</v>
      </c>
      <c r="F2">
        <v>1</v>
      </c>
      <c r="G2">
        <v>1</v>
      </c>
      <c r="J2">
        <v>1</v>
      </c>
      <c r="L2">
        <v>30</v>
      </c>
      <c r="M2">
        <v>10</v>
      </c>
      <c r="N2">
        <v>30</v>
      </c>
      <c r="O2">
        <v>10</v>
      </c>
      <c r="P2">
        <v>10</v>
      </c>
      <c r="Q2">
        <v>20</v>
      </c>
      <c r="R2">
        <v>30</v>
      </c>
      <c r="S2">
        <v>10</v>
      </c>
      <c r="T2">
        <v>30</v>
      </c>
      <c r="U2">
        <f>AVERAGE(R2+O2+L2)</f>
        <v>70</v>
      </c>
      <c r="V2">
        <f>AVERAGE(M2+P2+S2)</f>
        <v>30</v>
      </c>
      <c r="W2">
        <f>AVERAGE(N2+Q2+T2)</f>
        <v>80</v>
      </c>
    </row>
    <row r="3" spans="1:23" x14ac:dyDescent="0.35">
      <c r="A3" t="s">
        <v>24</v>
      </c>
      <c r="D3" t="s">
        <v>26</v>
      </c>
      <c r="F3">
        <v>2</v>
      </c>
      <c r="G3">
        <v>1</v>
      </c>
      <c r="J3">
        <v>2</v>
      </c>
      <c r="L3">
        <v>10</v>
      </c>
      <c r="M3">
        <v>20</v>
      </c>
      <c r="N3">
        <v>20</v>
      </c>
      <c r="O3">
        <v>30</v>
      </c>
      <c r="P3">
        <v>20</v>
      </c>
      <c r="Q3">
        <v>30</v>
      </c>
      <c r="R3">
        <v>40</v>
      </c>
      <c r="S3">
        <v>25</v>
      </c>
      <c r="T3">
        <v>15</v>
      </c>
      <c r="U3">
        <f t="shared" ref="U3:U65" si="0">AVERAGE(R3+O3+L3)</f>
        <v>80</v>
      </c>
      <c r="V3">
        <f t="shared" ref="V3:V65" si="1">AVERAGE(M3+P3+S3)</f>
        <v>65</v>
      </c>
      <c r="W3">
        <f t="shared" ref="W3:W65" si="2">AVERAGE(N3+Q3+T3)</f>
        <v>65</v>
      </c>
    </row>
    <row r="4" spans="1:23" x14ac:dyDescent="0.35">
      <c r="A4" t="s">
        <v>24</v>
      </c>
      <c r="D4" t="s">
        <v>335</v>
      </c>
      <c r="F4">
        <v>3</v>
      </c>
      <c r="G4">
        <v>1</v>
      </c>
      <c r="J4">
        <v>3</v>
      </c>
      <c r="L4">
        <v>20</v>
      </c>
      <c r="M4">
        <v>20</v>
      </c>
      <c r="N4">
        <v>50</v>
      </c>
      <c r="O4">
        <v>20</v>
      </c>
      <c r="P4">
        <v>25</v>
      </c>
      <c r="Q4">
        <v>20</v>
      </c>
      <c r="R4">
        <v>25</v>
      </c>
      <c r="S4">
        <v>30</v>
      </c>
      <c r="T4">
        <v>20</v>
      </c>
      <c r="U4">
        <f t="shared" si="0"/>
        <v>65</v>
      </c>
      <c r="V4">
        <f t="shared" si="1"/>
        <v>75</v>
      </c>
      <c r="W4">
        <f t="shared" si="2"/>
        <v>90</v>
      </c>
    </row>
    <row r="5" spans="1:23" x14ac:dyDescent="0.35">
      <c r="A5" t="s">
        <v>24</v>
      </c>
      <c r="D5" t="s">
        <v>29</v>
      </c>
      <c r="F5">
        <v>4</v>
      </c>
      <c r="G5">
        <v>1</v>
      </c>
      <c r="J5">
        <v>4</v>
      </c>
      <c r="L5">
        <v>10</v>
      </c>
      <c r="M5">
        <v>20</v>
      </c>
      <c r="N5">
        <v>25</v>
      </c>
      <c r="O5">
        <v>10</v>
      </c>
      <c r="P5">
        <v>10</v>
      </c>
      <c r="Q5">
        <v>20</v>
      </c>
      <c r="R5">
        <v>10</v>
      </c>
      <c r="S5">
        <v>15</v>
      </c>
      <c r="T5">
        <v>20</v>
      </c>
      <c r="U5">
        <f t="shared" si="0"/>
        <v>30</v>
      </c>
      <c r="V5">
        <f t="shared" si="1"/>
        <v>45</v>
      </c>
      <c r="W5">
        <f t="shared" si="2"/>
        <v>65</v>
      </c>
    </row>
    <row r="6" spans="1:23" x14ac:dyDescent="0.35">
      <c r="A6" t="s">
        <v>24</v>
      </c>
      <c r="D6" t="s">
        <v>336</v>
      </c>
      <c r="F6">
        <v>5</v>
      </c>
      <c r="G6">
        <v>1</v>
      </c>
      <c r="J6">
        <v>5</v>
      </c>
      <c r="L6">
        <v>20</v>
      </c>
      <c r="M6">
        <v>15</v>
      </c>
      <c r="N6">
        <v>25</v>
      </c>
      <c r="O6">
        <v>20</v>
      </c>
      <c r="P6">
        <v>10</v>
      </c>
      <c r="Q6">
        <v>20</v>
      </c>
      <c r="R6">
        <v>5</v>
      </c>
      <c r="S6">
        <v>20</v>
      </c>
      <c r="T6">
        <v>15</v>
      </c>
      <c r="U6">
        <f t="shared" si="0"/>
        <v>45</v>
      </c>
      <c r="V6">
        <f t="shared" si="1"/>
        <v>45</v>
      </c>
      <c r="W6">
        <f t="shared" si="2"/>
        <v>60</v>
      </c>
    </row>
    <row r="7" spans="1:23" x14ac:dyDescent="0.35">
      <c r="A7" t="s">
        <v>24</v>
      </c>
      <c r="D7" t="s">
        <v>32</v>
      </c>
      <c r="F7">
        <v>6</v>
      </c>
      <c r="G7">
        <v>1</v>
      </c>
      <c r="J7">
        <v>6</v>
      </c>
      <c r="L7">
        <v>20</v>
      </c>
      <c r="M7">
        <v>20</v>
      </c>
      <c r="N7">
        <v>20</v>
      </c>
      <c r="O7">
        <v>30</v>
      </c>
      <c r="P7">
        <v>30</v>
      </c>
      <c r="Q7">
        <v>20</v>
      </c>
      <c r="R7">
        <v>30</v>
      </c>
      <c r="S7">
        <v>10</v>
      </c>
      <c r="T7">
        <v>15</v>
      </c>
      <c r="U7">
        <f t="shared" si="0"/>
        <v>80</v>
      </c>
      <c r="V7">
        <f t="shared" si="1"/>
        <v>60</v>
      </c>
      <c r="W7">
        <f t="shared" si="2"/>
        <v>55</v>
      </c>
    </row>
    <row r="8" spans="1:23" x14ac:dyDescent="0.35">
      <c r="A8" t="s">
        <v>24</v>
      </c>
      <c r="D8" t="s">
        <v>28</v>
      </c>
      <c r="F8">
        <v>7</v>
      </c>
      <c r="G8">
        <v>1</v>
      </c>
      <c r="J8">
        <v>7</v>
      </c>
      <c r="L8">
        <v>30</v>
      </c>
      <c r="M8">
        <v>20</v>
      </c>
      <c r="N8">
        <v>20</v>
      </c>
      <c r="O8">
        <v>20</v>
      </c>
      <c r="P8">
        <v>20</v>
      </c>
      <c r="Q8">
        <v>30</v>
      </c>
      <c r="R8">
        <v>25</v>
      </c>
      <c r="S8">
        <v>20</v>
      </c>
      <c r="T8">
        <v>30</v>
      </c>
      <c r="U8">
        <f t="shared" si="0"/>
        <v>75</v>
      </c>
      <c r="V8">
        <f t="shared" si="1"/>
        <v>60</v>
      </c>
      <c r="W8">
        <f t="shared" si="2"/>
        <v>80</v>
      </c>
    </row>
    <row r="9" spans="1:23" x14ac:dyDescent="0.35">
      <c r="A9" t="s">
        <v>24</v>
      </c>
      <c r="D9" t="s">
        <v>337</v>
      </c>
      <c r="F9">
        <v>8</v>
      </c>
      <c r="G9">
        <v>1</v>
      </c>
      <c r="J9">
        <v>8</v>
      </c>
      <c r="L9">
        <v>20</v>
      </c>
      <c r="M9">
        <v>10</v>
      </c>
      <c r="N9">
        <v>10</v>
      </c>
      <c r="O9">
        <v>15</v>
      </c>
      <c r="P9">
        <v>15</v>
      </c>
      <c r="Q9">
        <v>20</v>
      </c>
      <c r="R9">
        <v>10</v>
      </c>
      <c r="S9">
        <v>15</v>
      </c>
      <c r="T9">
        <v>20</v>
      </c>
      <c r="U9">
        <f t="shared" si="0"/>
        <v>45</v>
      </c>
      <c r="V9">
        <f t="shared" si="1"/>
        <v>40</v>
      </c>
      <c r="W9">
        <f t="shared" si="2"/>
        <v>50</v>
      </c>
    </row>
    <row r="10" spans="1:23" x14ac:dyDescent="0.35">
      <c r="A10" t="s">
        <v>34</v>
      </c>
      <c r="D10" t="s">
        <v>42</v>
      </c>
      <c r="F10">
        <v>1</v>
      </c>
      <c r="G10">
        <v>2</v>
      </c>
      <c r="J10">
        <v>9</v>
      </c>
      <c r="L10">
        <v>40</v>
      </c>
      <c r="M10">
        <v>25</v>
      </c>
      <c r="N10">
        <v>40</v>
      </c>
      <c r="O10">
        <v>40</v>
      </c>
      <c r="P10">
        <v>20</v>
      </c>
      <c r="Q10">
        <v>40</v>
      </c>
      <c r="R10">
        <v>30</v>
      </c>
      <c r="S10">
        <v>20</v>
      </c>
      <c r="T10">
        <v>15</v>
      </c>
      <c r="U10">
        <f t="shared" si="0"/>
        <v>110</v>
      </c>
      <c r="V10">
        <f t="shared" si="1"/>
        <v>65</v>
      </c>
      <c r="W10">
        <f t="shared" si="2"/>
        <v>95</v>
      </c>
    </row>
    <row r="11" spans="1:23" x14ac:dyDescent="0.35">
      <c r="A11" t="s">
        <v>34</v>
      </c>
      <c r="D11" t="s">
        <v>38</v>
      </c>
      <c r="F11">
        <v>2</v>
      </c>
      <c r="G11">
        <v>2</v>
      </c>
      <c r="J11">
        <v>10</v>
      </c>
      <c r="L11">
        <v>30</v>
      </c>
      <c r="M11">
        <v>10</v>
      </c>
      <c r="N11">
        <v>20</v>
      </c>
      <c r="O11">
        <v>30</v>
      </c>
      <c r="P11">
        <v>20</v>
      </c>
      <c r="Q11">
        <v>10</v>
      </c>
      <c r="R11">
        <v>30</v>
      </c>
      <c r="S11">
        <v>20</v>
      </c>
      <c r="T11">
        <v>20</v>
      </c>
      <c r="U11">
        <f t="shared" si="0"/>
        <v>90</v>
      </c>
      <c r="V11">
        <f t="shared" si="1"/>
        <v>50</v>
      </c>
      <c r="W11">
        <f t="shared" si="2"/>
        <v>50</v>
      </c>
    </row>
    <row r="12" spans="1:23" x14ac:dyDescent="0.35">
      <c r="A12" t="s">
        <v>34</v>
      </c>
      <c r="D12" t="s">
        <v>43</v>
      </c>
      <c r="F12">
        <v>3</v>
      </c>
      <c r="G12">
        <v>2</v>
      </c>
      <c r="J12">
        <v>11</v>
      </c>
      <c r="L12">
        <v>20</v>
      </c>
      <c r="M12">
        <v>20</v>
      </c>
      <c r="N12">
        <v>20</v>
      </c>
      <c r="O12">
        <v>30</v>
      </c>
      <c r="P12">
        <v>25</v>
      </c>
      <c r="Q12">
        <v>25</v>
      </c>
      <c r="R12">
        <v>30</v>
      </c>
      <c r="S12">
        <v>25</v>
      </c>
      <c r="T12">
        <v>30</v>
      </c>
      <c r="U12">
        <f t="shared" si="0"/>
        <v>80</v>
      </c>
      <c r="V12">
        <f t="shared" si="1"/>
        <v>70</v>
      </c>
      <c r="W12">
        <f t="shared" si="2"/>
        <v>75</v>
      </c>
    </row>
    <row r="13" spans="1:23" x14ac:dyDescent="0.35">
      <c r="A13" t="s">
        <v>34</v>
      </c>
      <c r="D13" t="s">
        <v>41</v>
      </c>
      <c r="F13">
        <v>4</v>
      </c>
      <c r="G13">
        <v>2</v>
      </c>
      <c r="J13">
        <v>12</v>
      </c>
      <c r="L13">
        <v>30</v>
      </c>
      <c r="M13">
        <v>10</v>
      </c>
      <c r="N13">
        <v>25</v>
      </c>
      <c r="O13">
        <v>20</v>
      </c>
      <c r="P13">
        <v>30</v>
      </c>
      <c r="Q13">
        <v>20</v>
      </c>
      <c r="R13">
        <v>20</v>
      </c>
      <c r="S13">
        <v>15</v>
      </c>
      <c r="T13">
        <v>20</v>
      </c>
      <c r="U13">
        <f t="shared" si="0"/>
        <v>70</v>
      </c>
      <c r="V13">
        <f t="shared" si="1"/>
        <v>55</v>
      </c>
      <c r="W13">
        <f t="shared" si="2"/>
        <v>65</v>
      </c>
    </row>
    <row r="14" spans="1:23" x14ac:dyDescent="0.35">
      <c r="A14" t="s">
        <v>34</v>
      </c>
      <c r="D14" t="s">
        <v>37</v>
      </c>
      <c r="F14">
        <v>5</v>
      </c>
      <c r="G14">
        <v>2</v>
      </c>
      <c r="J14">
        <v>13</v>
      </c>
      <c r="L14">
        <v>25</v>
      </c>
      <c r="M14">
        <v>15</v>
      </c>
      <c r="N14">
        <v>25</v>
      </c>
      <c r="O14">
        <v>25</v>
      </c>
      <c r="P14">
        <v>30</v>
      </c>
      <c r="Q14">
        <v>50</v>
      </c>
      <c r="R14">
        <v>20</v>
      </c>
      <c r="S14">
        <v>15</v>
      </c>
      <c r="T14">
        <v>20</v>
      </c>
      <c r="U14">
        <f t="shared" si="0"/>
        <v>70</v>
      </c>
      <c r="V14">
        <f t="shared" si="1"/>
        <v>60</v>
      </c>
      <c r="W14">
        <f t="shared" si="2"/>
        <v>95</v>
      </c>
    </row>
    <row r="15" spans="1:23" x14ac:dyDescent="0.35">
      <c r="A15" t="s">
        <v>34</v>
      </c>
      <c r="D15" t="s">
        <v>343</v>
      </c>
      <c r="F15">
        <v>6</v>
      </c>
      <c r="G15">
        <v>2</v>
      </c>
      <c r="J15">
        <v>14</v>
      </c>
      <c r="L15">
        <v>20</v>
      </c>
      <c r="M15">
        <v>20</v>
      </c>
      <c r="N15">
        <v>15</v>
      </c>
      <c r="O15">
        <v>20</v>
      </c>
      <c r="P15">
        <v>10</v>
      </c>
      <c r="Q15">
        <v>15</v>
      </c>
      <c r="R15">
        <v>20</v>
      </c>
      <c r="S15">
        <v>15</v>
      </c>
      <c r="T15">
        <v>20</v>
      </c>
      <c r="U15">
        <f t="shared" si="0"/>
        <v>60</v>
      </c>
      <c r="V15">
        <f t="shared" si="1"/>
        <v>45</v>
      </c>
      <c r="W15">
        <f t="shared" si="2"/>
        <v>50</v>
      </c>
    </row>
    <row r="16" spans="1:23" x14ac:dyDescent="0.35">
      <c r="A16" t="s">
        <v>34</v>
      </c>
      <c r="D16" t="s">
        <v>36</v>
      </c>
      <c r="F16">
        <v>7</v>
      </c>
      <c r="G16">
        <v>2</v>
      </c>
      <c r="J16">
        <v>15</v>
      </c>
      <c r="L16">
        <v>25</v>
      </c>
      <c r="M16">
        <v>20</v>
      </c>
      <c r="N16">
        <v>20</v>
      </c>
      <c r="O16">
        <v>40</v>
      </c>
      <c r="P16">
        <v>15</v>
      </c>
      <c r="Q16">
        <v>20</v>
      </c>
      <c r="R16">
        <v>20</v>
      </c>
      <c r="S16">
        <v>10</v>
      </c>
      <c r="T16">
        <v>15</v>
      </c>
      <c r="U16">
        <f t="shared" si="0"/>
        <v>85</v>
      </c>
      <c r="V16">
        <f t="shared" si="1"/>
        <v>45</v>
      </c>
      <c r="W16">
        <f t="shared" si="2"/>
        <v>55</v>
      </c>
    </row>
    <row r="17" spans="1:23" x14ac:dyDescent="0.35">
      <c r="A17" t="s">
        <v>34</v>
      </c>
      <c r="D17" t="s">
        <v>39</v>
      </c>
      <c r="F17">
        <v>8</v>
      </c>
      <c r="G17">
        <v>2</v>
      </c>
      <c r="J17">
        <v>16</v>
      </c>
      <c r="L17">
        <v>30</v>
      </c>
      <c r="M17">
        <v>20</v>
      </c>
      <c r="N17">
        <v>25</v>
      </c>
      <c r="O17">
        <v>35</v>
      </c>
      <c r="P17">
        <v>20</v>
      </c>
      <c r="Q17">
        <v>15</v>
      </c>
      <c r="R17">
        <v>40</v>
      </c>
      <c r="S17">
        <v>10</v>
      </c>
      <c r="T17">
        <v>25</v>
      </c>
      <c r="U17">
        <f t="shared" si="0"/>
        <v>105</v>
      </c>
      <c r="V17">
        <f t="shared" si="1"/>
        <v>50</v>
      </c>
      <c r="W17">
        <f t="shared" si="2"/>
        <v>65</v>
      </c>
    </row>
    <row r="18" spans="1:23" x14ac:dyDescent="0.35">
      <c r="A18" t="s">
        <v>24</v>
      </c>
      <c r="D18" t="s">
        <v>335</v>
      </c>
      <c r="F18">
        <v>1</v>
      </c>
      <c r="G18">
        <v>3</v>
      </c>
      <c r="J18">
        <v>17</v>
      </c>
      <c r="L18">
        <v>40</v>
      </c>
      <c r="M18">
        <v>20</v>
      </c>
      <c r="N18">
        <v>25</v>
      </c>
      <c r="O18">
        <v>30</v>
      </c>
      <c r="P18">
        <v>10</v>
      </c>
      <c r="Q18">
        <v>20</v>
      </c>
      <c r="R18">
        <v>40</v>
      </c>
      <c r="S18">
        <v>30</v>
      </c>
      <c r="T18">
        <v>20</v>
      </c>
      <c r="U18">
        <f t="shared" si="0"/>
        <v>110</v>
      </c>
      <c r="V18">
        <f t="shared" si="1"/>
        <v>60</v>
      </c>
      <c r="W18">
        <f t="shared" si="2"/>
        <v>65</v>
      </c>
    </row>
    <row r="19" spans="1:23" x14ac:dyDescent="0.35">
      <c r="A19" t="s">
        <v>24</v>
      </c>
      <c r="D19" t="s">
        <v>28</v>
      </c>
      <c r="F19">
        <v>2</v>
      </c>
      <c r="G19">
        <v>3</v>
      </c>
      <c r="J19">
        <v>18</v>
      </c>
      <c r="L19">
        <v>15</v>
      </c>
      <c r="M19">
        <v>15</v>
      </c>
      <c r="N19">
        <v>40</v>
      </c>
      <c r="O19">
        <v>20</v>
      </c>
      <c r="P19">
        <v>10</v>
      </c>
      <c r="Q19">
        <v>40</v>
      </c>
      <c r="R19">
        <v>15</v>
      </c>
      <c r="S19">
        <v>20</v>
      </c>
      <c r="T19">
        <v>30</v>
      </c>
      <c r="U19">
        <f t="shared" si="0"/>
        <v>50</v>
      </c>
      <c r="V19">
        <f t="shared" si="1"/>
        <v>45</v>
      </c>
      <c r="W19">
        <f t="shared" si="2"/>
        <v>110</v>
      </c>
    </row>
    <row r="20" spans="1:23" x14ac:dyDescent="0.35">
      <c r="A20" t="s">
        <v>24</v>
      </c>
      <c r="D20" t="s">
        <v>26</v>
      </c>
      <c r="F20">
        <v>3</v>
      </c>
      <c r="G20">
        <v>3</v>
      </c>
      <c r="J20">
        <v>19</v>
      </c>
      <c r="L20">
        <v>20</v>
      </c>
      <c r="M20">
        <v>10</v>
      </c>
      <c r="N20">
        <v>30</v>
      </c>
      <c r="O20">
        <v>15</v>
      </c>
      <c r="P20">
        <v>20</v>
      </c>
      <c r="Q20">
        <v>20</v>
      </c>
      <c r="R20">
        <v>15</v>
      </c>
      <c r="S20">
        <v>20</v>
      </c>
      <c r="T20">
        <v>15</v>
      </c>
      <c r="U20">
        <f t="shared" si="0"/>
        <v>50</v>
      </c>
      <c r="V20">
        <f t="shared" si="1"/>
        <v>50</v>
      </c>
      <c r="W20">
        <f t="shared" si="2"/>
        <v>65</v>
      </c>
    </row>
    <row r="21" spans="1:23" x14ac:dyDescent="0.35">
      <c r="A21" t="s">
        <v>24</v>
      </c>
      <c r="D21" t="s">
        <v>336</v>
      </c>
      <c r="F21">
        <v>4</v>
      </c>
      <c r="G21">
        <v>3</v>
      </c>
      <c r="J21">
        <v>20</v>
      </c>
      <c r="L21">
        <v>30</v>
      </c>
      <c r="M21">
        <v>20</v>
      </c>
      <c r="N21">
        <v>20</v>
      </c>
      <c r="O21">
        <v>30</v>
      </c>
      <c r="P21">
        <v>15</v>
      </c>
      <c r="Q21">
        <v>40</v>
      </c>
      <c r="R21">
        <v>30</v>
      </c>
      <c r="S21">
        <v>15</v>
      </c>
      <c r="T21">
        <v>20</v>
      </c>
      <c r="U21">
        <f t="shared" si="0"/>
        <v>90</v>
      </c>
      <c r="V21">
        <f t="shared" si="1"/>
        <v>50</v>
      </c>
      <c r="W21">
        <f t="shared" si="2"/>
        <v>80</v>
      </c>
    </row>
    <row r="22" spans="1:23" x14ac:dyDescent="0.35">
      <c r="A22" t="s">
        <v>24</v>
      </c>
      <c r="D22" t="s">
        <v>29</v>
      </c>
      <c r="F22">
        <v>5</v>
      </c>
      <c r="G22">
        <v>3</v>
      </c>
      <c r="J22">
        <v>21</v>
      </c>
      <c r="L22">
        <v>20</v>
      </c>
      <c r="M22">
        <v>40</v>
      </c>
      <c r="N22">
        <v>25</v>
      </c>
      <c r="O22">
        <v>20</v>
      </c>
      <c r="P22">
        <v>25</v>
      </c>
      <c r="Q22">
        <v>20</v>
      </c>
      <c r="R22">
        <v>20</v>
      </c>
      <c r="S22">
        <v>15</v>
      </c>
      <c r="T22">
        <v>15</v>
      </c>
      <c r="U22">
        <f t="shared" si="0"/>
        <v>60</v>
      </c>
      <c r="V22">
        <f t="shared" si="1"/>
        <v>80</v>
      </c>
      <c r="W22">
        <f t="shared" si="2"/>
        <v>60</v>
      </c>
    </row>
    <row r="23" spans="1:23" x14ac:dyDescent="0.35">
      <c r="A23" t="s">
        <v>24</v>
      </c>
      <c r="D23" t="s">
        <v>337</v>
      </c>
      <c r="F23">
        <v>6</v>
      </c>
      <c r="G23">
        <v>3</v>
      </c>
      <c r="J23">
        <v>22</v>
      </c>
      <c r="L23">
        <v>20</v>
      </c>
      <c r="M23">
        <v>20</v>
      </c>
      <c r="N23">
        <v>20</v>
      </c>
      <c r="O23">
        <v>20</v>
      </c>
      <c r="P23">
        <v>20</v>
      </c>
      <c r="Q23">
        <v>10</v>
      </c>
      <c r="R23">
        <v>15</v>
      </c>
      <c r="S23">
        <v>20</v>
      </c>
      <c r="T23">
        <v>20</v>
      </c>
      <c r="U23">
        <f t="shared" si="0"/>
        <v>55</v>
      </c>
      <c r="V23">
        <f t="shared" si="1"/>
        <v>60</v>
      </c>
      <c r="W23">
        <f t="shared" si="2"/>
        <v>50</v>
      </c>
    </row>
    <row r="24" spans="1:23" x14ac:dyDescent="0.35">
      <c r="A24" t="s">
        <v>24</v>
      </c>
      <c r="D24" t="s">
        <v>32</v>
      </c>
      <c r="F24">
        <v>7</v>
      </c>
      <c r="G24">
        <v>3</v>
      </c>
      <c r="J24">
        <v>23</v>
      </c>
      <c r="L24">
        <v>25</v>
      </c>
      <c r="M24">
        <v>15</v>
      </c>
      <c r="N24">
        <v>40</v>
      </c>
      <c r="O24">
        <v>20</v>
      </c>
      <c r="P24">
        <v>15</v>
      </c>
      <c r="Q24">
        <v>20</v>
      </c>
      <c r="R24">
        <v>20</v>
      </c>
      <c r="S24">
        <v>15</v>
      </c>
      <c r="T24">
        <v>20</v>
      </c>
      <c r="U24">
        <f t="shared" si="0"/>
        <v>65</v>
      </c>
      <c r="V24">
        <f t="shared" si="1"/>
        <v>45</v>
      </c>
      <c r="W24">
        <f t="shared" si="2"/>
        <v>80</v>
      </c>
    </row>
    <row r="25" spans="1:23" x14ac:dyDescent="0.35">
      <c r="A25" t="s">
        <v>24</v>
      </c>
      <c r="D25" t="s">
        <v>27</v>
      </c>
      <c r="F25">
        <v>8</v>
      </c>
      <c r="G25">
        <v>3</v>
      </c>
      <c r="J25">
        <v>24</v>
      </c>
      <c r="L25">
        <v>15</v>
      </c>
      <c r="M25">
        <v>30</v>
      </c>
      <c r="N25">
        <v>25</v>
      </c>
      <c r="O25">
        <v>30</v>
      </c>
      <c r="P25">
        <v>35</v>
      </c>
      <c r="Q25">
        <v>30</v>
      </c>
      <c r="R25">
        <v>40</v>
      </c>
      <c r="S25">
        <v>20</v>
      </c>
      <c r="T25">
        <v>30</v>
      </c>
      <c r="U25">
        <f t="shared" si="0"/>
        <v>85</v>
      </c>
      <c r="V25">
        <f t="shared" si="1"/>
        <v>85</v>
      </c>
      <c r="W25">
        <f t="shared" si="2"/>
        <v>85</v>
      </c>
    </row>
    <row r="26" spans="1:23" x14ac:dyDescent="0.35">
      <c r="A26" t="s">
        <v>34</v>
      </c>
      <c r="D26" t="s">
        <v>343</v>
      </c>
      <c r="F26">
        <v>1</v>
      </c>
      <c r="G26">
        <v>4</v>
      </c>
      <c r="J26">
        <v>25</v>
      </c>
      <c r="L26">
        <v>30</v>
      </c>
      <c r="M26">
        <v>30</v>
      </c>
      <c r="N26">
        <v>30</v>
      </c>
      <c r="O26">
        <v>40</v>
      </c>
      <c r="P26">
        <v>30</v>
      </c>
      <c r="Q26">
        <v>20</v>
      </c>
      <c r="R26">
        <v>20</v>
      </c>
      <c r="S26">
        <v>50</v>
      </c>
      <c r="T26">
        <v>30</v>
      </c>
      <c r="U26">
        <f t="shared" si="0"/>
        <v>90</v>
      </c>
      <c r="V26">
        <f t="shared" si="1"/>
        <v>110</v>
      </c>
      <c r="W26">
        <f t="shared" si="2"/>
        <v>80</v>
      </c>
    </row>
    <row r="27" spans="1:23" x14ac:dyDescent="0.35">
      <c r="A27" t="s">
        <v>34</v>
      </c>
      <c r="D27" t="s">
        <v>43</v>
      </c>
      <c r="F27">
        <v>2</v>
      </c>
      <c r="G27">
        <v>4</v>
      </c>
      <c r="J27">
        <v>26</v>
      </c>
      <c r="L27">
        <v>20</v>
      </c>
      <c r="M27">
        <v>20</v>
      </c>
      <c r="N27">
        <v>40</v>
      </c>
      <c r="O27">
        <v>20</v>
      </c>
      <c r="P27">
        <v>25</v>
      </c>
      <c r="Q27">
        <v>30</v>
      </c>
      <c r="R27">
        <v>30</v>
      </c>
      <c r="S27">
        <v>30</v>
      </c>
      <c r="T27">
        <v>20</v>
      </c>
      <c r="U27">
        <f t="shared" si="0"/>
        <v>70</v>
      </c>
      <c r="V27">
        <f t="shared" si="1"/>
        <v>75</v>
      </c>
      <c r="W27">
        <f t="shared" si="2"/>
        <v>90</v>
      </c>
    </row>
    <row r="28" spans="1:23" x14ac:dyDescent="0.35">
      <c r="A28" t="s">
        <v>34</v>
      </c>
      <c r="D28" t="s">
        <v>38</v>
      </c>
      <c r="F28">
        <v>3</v>
      </c>
      <c r="G28">
        <v>4</v>
      </c>
      <c r="J28">
        <v>27</v>
      </c>
      <c r="L28">
        <v>20</v>
      </c>
      <c r="M28">
        <v>10</v>
      </c>
      <c r="N28">
        <v>30</v>
      </c>
      <c r="O28">
        <v>25</v>
      </c>
      <c r="P28">
        <v>15</v>
      </c>
      <c r="Q28">
        <v>25</v>
      </c>
      <c r="R28">
        <v>10</v>
      </c>
      <c r="S28">
        <v>25</v>
      </c>
      <c r="T28">
        <v>20</v>
      </c>
      <c r="U28">
        <f t="shared" si="0"/>
        <v>55</v>
      </c>
      <c r="V28">
        <f t="shared" si="1"/>
        <v>50</v>
      </c>
      <c r="W28">
        <f t="shared" si="2"/>
        <v>75</v>
      </c>
    </row>
    <row r="29" spans="1:23" x14ac:dyDescent="0.35">
      <c r="A29" t="s">
        <v>34</v>
      </c>
      <c r="D29" t="s">
        <v>39</v>
      </c>
      <c r="F29">
        <v>4</v>
      </c>
      <c r="G29">
        <v>4</v>
      </c>
      <c r="J29">
        <v>28</v>
      </c>
      <c r="L29">
        <v>15</v>
      </c>
      <c r="M29">
        <v>20</v>
      </c>
      <c r="N29">
        <v>25</v>
      </c>
      <c r="O29">
        <v>20</v>
      </c>
      <c r="P29">
        <v>20</v>
      </c>
      <c r="Q29">
        <v>50</v>
      </c>
      <c r="R29">
        <v>30</v>
      </c>
      <c r="S29">
        <v>30</v>
      </c>
      <c r="T29">
        <v>35</v>
      </c>
      <c r="U29">
        <f t="shared" si="0"/>
        <v>65</v>
      </c>
      <c r="V29">
        <f t="shared" si="1"/>
        <v>70</v>
      </c>
      <c r="W29">
        <f t="shared" si="2"/>
        <v>110</v>
      </c>
    </row>
    <row r="30" spans="1:23" x14ac:dyDescent="0.35">
      <c r="A30" t="s">
        <v>34</v>
      </c>
      <c r="D30" t="s">
        <v>42</v>
      </c>
      <c r="F30">
        <v>5</v>
      </c>
      <c r="G30">
        <v>4</v>
      </c>
      <c r="J30">
        <v>29</v>
      </c>
      <c r="L30">
        <v>30</v>
      </c>
      <c r="M30">
        <v>25</v>
      </c>
      <c r="N30">
        <v>20</v>
      </c>
      <c r="O30">
        <v>20</v>
      </c>
      <c r="P30">
        <v>25</v>
      </c>
      <c r="Q30">
        <v>20</v>
      </c>
      <c r="R30">
        <v>20</v>
      </c>
      <c r="S30">
        <v>30</v>
      </c>
      <c r="T30">
        <v>25</v>
      </c>
      <c r="U30">
        <f t="shared" si="0"/>
        <v>70</v>
      </c>
      <c r="V30">
        <f t="shared" si="1"/>
        <v>80</v>
      </c>
      <c r="W30">
        <f t="shared" si="2"/>
        <v>65</v>
      </c>
    </row>
    <row r="31" spans="1:23" x14ac:dyDescent="0.35">
      <c r="A31" t="s">
        <v>34</v>
      </c>
      <c r="D31" t="s">
        <v>36</v>
      </c>
      <c r="F31">
        <v>6</v>
      </c>
      <c r="G31">
        <v>4</v>
      </c>
      <c r="J31">
        <v>30</v>
      </c>
      <c r="L31">
        <v>10</v>
      </c>
      <c r="M31">
        <v>20</v>
      </c>
      <c r="N31">
        <v>20</v>
      </c>
      <c r="O31">
        <v>10</v>
      </c>
      <c r="P31">
        <v>15</v>
      </c>
      <c r="Q31">
        <v>25</v>
      </c>
      <c r="R31">
        <v>30</v>
      </c>
      <c r="S31">
        <v>30</v>
      </c>
      <c r="T31">
        <v>30</v>
      </c>
      <c r="U31">
        <f t="shared" si="0"/>
        <v>50</v>
      </c>
      <c r="V31">
        <f t="shared" si="1"/>
        <v>65</v>
      </c>
      <c r="W31">
        <f t="shared" si="2"/>
        <v>75</v>
      </c>
    </row>
    <row r="32" spans="1:23" x14ac:dyDescent="0.35">
      <c r="A32" t="s">
        <v>34</v>
      </c>
      <c r="D32" t="s">
        <v>41</v>
      </c>
      <c r="F32">
        <v>7</v>
      </c>
      <c r="G32">
        <v>4</v>
      </c>
      <c r="J32">
        <v>31</v>
      </c>
      <c r="L32">
        <v>30</v>
      </c>
      <c r="M32">
        <v>25</v>
      </c>
      <c r="N32">
        <v>20</v>
      </c>
      <c r="O32">
        <v>25</v>
      </c>
      <c r="P32">
        <v>25</v>
      </c>
      <c r="Q32">
        <v>20</v>
      </c>
      <c r="R32">
        <v>30</v>
      </c>
      <c r="S32">
        <v>20</v>
      </c>
      <c r="T32">
        <v>30</v>
      </c>
      <c r="U32">
        <f t="shared" si="0"/>
        <v>85</v>
      </c>
      <c r="V32">
        <f t="shared" si="1"/>
        <v>70</v>
      </c>
      <c r="W32">
        <f t="shared" si="2"/>
        <v>70</v>
      </c>
    </row>
    <row r="33" spans="1:23" x14ac:dyDescent="0.35">
      <c r="A33" t="s">
        <v>34</v>
      </c>
      <c r="D33" t="s">
        <v>37</v>
      </c>
      <c r="F33">
        <v>8</v>
      </c>
      <c r="G33">
        <v>4</v>
      </c>
      <c r="J33">
        <v>32</v>
      </c>
      <c r="L33">
        <v>20</v>
      </c>
      <c r="M33">
        <v>30</v>
      </c>
      <c r="N33">
        <v>50</v>
      </c>
      <c r="O33">
        <v>20</v>
      </c>
      <c r="P33">
        <v>30</v>
      </c>
      <c r="Q33">
        <v>40</v>
      </c>
      <c r="R33">
        <v>25</v>
      </c>
      <c r="S33">
        <v>35</v>
      </c>
      <c r="T33">
        <v>30</v>
      </c>
      <c r="U33">
        <f t="shared" si="0"/>
        <v>65</v>
      </c>
      <c r="V33">
        <f t="shared" si="1"/>
        <v>95</v>
      </c>
      <c r="W33">
        <f t="shared" si="2"/>
        <v>120</v>
      </c>
    </row>
    <row r="34" spans="1:23" x14ac:dyDescent="0.35">
      <c r="A34" t="s">
        <v>24</v>
      </c>
      <c r="D34" t="s">
        <v>336</v>
      </c>
      <c r="F34">
        <v>1</v>
      </c>
      <c r="G34">
        <v>5</v>
      </c>
      <c r="J34">
        <v>33</v>
      </c>
      <c r="L34">
        <v>20</v>
      </c>
      <c r="M34">
        <v>40</v>
      </c>
      <c r="N34">
        <v>30</v>
      </c>
      <c r="O34">
        <v>25</v>
      </c>
      <c r="P34">
        <v>20</v>
      </c>
      <c r="Q34">
        <v>20</v>
      </c>
      <c r="R34">
        <v>30</v>
      </c>
      <c r="S34">
        <v>25</v>
      </c>
      <c r="T34">
        <v>50</v>
      </c>
      <c r="U34">
        <f t="shared" si="0"/>
        <v>75</v>
      </c>
      <c r="V34">
        <f t="shared" si="1"/>
        <v>85</v>
      </c>
      <c r="W34">
        <f t="shared" si="2"/>
        <v>100</v>
      </c>
    </row>
    <row r="35" spans="1:23" x14ac:dyDescent="0.35">
      <c r="A35" t="s">
        <v>24</v>
      </c>
      <c r="D35" t="s">
        <v>337</v>
      </c>
      <c r="F35">
        <v>2</v>
      </c>
      <c r="G35">
        <v>5</v>
      </c>
      <c r="J35">
        <v>34</v>
      </c>
      <c r="L35">
        <v>15</v>
      </c>
      <c r="M35">
        <v>20</v>
      </c>
      <c r="N35">
        <v>40</v>
      </c>
      <c r="O35">
        <v>15</v>
      </c>
      <c r="P35">
        <v>10</v>
      </c>
      <c r="Q35">
        <v>40</v>
      </c>
      <c r="R35">
        <v>15</v>
      </c>
      <c r="S35">
        <v>15</v>
      </c>
      <c r="T35">
        <v>20</v>
      </c>
      <c r="U35">
        <f t="shared" si="0"/>
        <v>45</v>
      </c>
      <c r="V35">
        <f t="shared" si="1"/>
        <v>45</v>
      </c>
      <c r="W35">
        <f t="shared" si="2"/>
        <v>100</v>
      </c>
    </row>
    <row r="36" spans="1:23" x14ac:dyDescent="0.35">
      <c r="A36" t="s">
        <v>24</v>
      </c>
      <c r="D36" t="s">
        <v>32</v>
      </c>
      <c r="F36">
        <v>3</v>
      </c>
      <c r="G36">
        <v>5</v>
      </c>
      <c r="J36">
        <v>35</v>
      </c>
      <c r="L36">
        <v>30</v>
      </c>
      <c r="M36">
        <v>30</v>
      </c>
      <c r="N36">
        <v>20</v>
      </c>
      <c r="O36">
        <v>20</v>
      </c>
      <c r="P36">
        <v>30</v>
      </c>
      <c r="Q36">
        <v>25</v>
      </c>
      <c r="R36">
        <v>20</v>
      </c>
      <c r="S36">
        <v>20</v>
      </c>
      <c r="T36">
        <v>15</v>
      </c>
      <c r="U36">
        <f t="shared" si="0"/>
        <v>70</v>
      </c>
      <c r="V36">
        <f t="shared" si="1"/>
        <v>80</v>
      </c>
      <c r="W36">
        <f t="shared" si="2"/>
        <v>60</v>
      </c>
    </row>
    <row r="37" spans="1:23" x14ac:dyDescent="0.35">
      <c r="A37" t="s">
        <v>24</v>
      </c>
      <c r="D37" t="s">
        <v>28</v>
      </c>
      <c r="F37">
        <v>4</v>
      </c>
      <c r="G37">
        <v>5</v>
      </c>
      <c r="J37">
        <v>36</v>
      </c>
      <c r="L37">
        <v>10</v>
      </c>
      <c r="M37">
        <v>30</v>
      </c>
      <c r="N37">
        <v>20</v>
      </c>
      <c r="O37">
        <v>15</v>
      </c>
      <c r="P37">
        <v>30</v>
      </c>
      <c r="Q37">
        <v>40</v>
      </c>
      <c r="R37">
        <v>20</v>
      </c>
      <c r="S37">
        <v>25</v>
      </c>
      <c r="T37">
        <v>40</v>
      </c>
      <c r="U37">
        <f t="shared" si="0"/>
        <v>45</v>
      </c>
      <c r="V37">
        <f t="shared" si="1"/>
        <v>85</v>
      </c>
      <c r="W37">
        <f t="shared" si="2"/>
        <v>100</v>
      </c>
    </row>
    <row r="38" spans="1:23" x14ac:dyDescent="0.35">
      <c r="A38" t="s">
        <v>24</v>
      </c>
      <c r="D38" t="s">
        <v>27</v>
      </c>
      <c r="F38">
        <v>5</v>
      </c>
      <c r="G38">
        <v>5</v>
      </c>
      <c r="J38">
        <v>37</v>
      </c>
      <c r="L38">
        <v>20</v>
      </c>
      <c r="M38">
        <v>30</v>
      </c>
      <c r="N38">
        <v>15</v>
      </c>
      <c r="O38">
        <v>25</v>
      </c>
      <c r="P38">
        <v>20</v>
      </c>
      <c r="Q38">
        <v>25</v>
      </c>
      <c r="R38">
        <v>25</v>
      </c>
      <c r="S38">
        <v>30</v>
      </c>
      <c r="T38">
        <v>20</v>
      </c>
      <c r="U38">
        <f t="shared" si="0"/>
        <v>70</v>
      </c>
      <c r="V38">
        <f t="shared" si="1"/>
        <v>80</v>
      </c>
      <c r="W38">
        <f t="shared" si="2"/>
        <v>60</v>
      </c>
    </row>
    <row r="39" spans="1:23" x14ac:dyDescent="0.35">
      <c r="A39" t="s">
        <v>24</v>
      </c>
      <c r="D39" t="s">
        <v>335</v>
      </c>
      <c r="F39">
        <v>6</v>
      </c>
      <c r="G39">
        <v>5</v>
      </c>
      <c r="J39">
        <v>38</v>
      </c>
      <c r="L39">
        <v>30</v>
      </c>
      <c r="M39">
        <v>25</v>
      </c>
      <c r="N39">
        <v>30</v>
      </c>
      <c r="O39">
        <v>30</v>
      </c>
      <c r="P39">
        <v>30</v>
      </c>
      <c r="Q39">
        <v>40</v>
      </c>
      <c r="R39">
        <v>30</v>
      </c>
      <c r="S39">
        <v>35</v>
      </c>
      <c r="T39">
        <v>40</v>
      </c>
      <c r="U39">
        <f t="shared" si="0"/>
        <v>90</v>
      </c>
      <c r="V39">
        <f t="shared" si="1"/>
        <v>90</v>
      </c>
      <c r="W39">
        <f t="shared" si="2"/>
        <v>110</v>
      </c>
    </row>
    <row r="40" spans="1:23" x14ac:dyDescent="0.35">
      <c r="A40" t="s">
        <v>24</v>
      </c>
      <c r="D40" t="s">
        <v>29</v>
      </c>
      <c r="F40">
        <v>7</v>
      </c>
      <c r="G40">
        <v>5</v>
      </c>
      <c r="J40">
        <v>39</v>
      </c>
      <c r="L40">
        <v>20</v>
      </c>
      <c r="M40">
        <v>20</v>
      </c>
      <c r="N40">
        <v>25</v>
      </c>
      <c r="O40">
        <v>10</v>
      </c>
      <c r="P40">
        <v>20</v>
      </c>
      <c r="Q40">
        <v>30</v>
      </c>
      <c r="R40">
        <v>15</v>
      </c>
      <c r="S40">
        <v>15</v>
      </c>
      <c r="T40">
        <v>30</v>
      </c>
      <c r="U40">
        <f t="shared" si="0"/>
        <v>45</v>
      </c>
      <c r="V40">
        <f t="shared" si="1"/>
        <v>55</v>
      </c>
      <c r="W40">
        <f t="shared" si="2"/>
        <v>85</v>
      </c>
    </row>
    <row r="41" spans="1:23" x14ac:dyDescent="0.35">
      <c r="A41" t="s">
        <v>24</v>
      </c>
      <c r="D41" t="s">
        <v>26</v>
      </c>
      <c r="F41">
        <v>8</v>
      </c>
      <c r="G41">
        <v>5</v>
      </c>
      <c r="J41">
        <v>40</v>
      </c>
      <c r="L41">
        <v>30</v>
      </c>
      <c r="M41">
        <v>30</v>
      </c>
      <c r="N41">
        <v>30</v>
      </c>
      <c r="O41">
        <v>20</v>
      </c>
      <c r="P41">
        <v>30</v>
      </c>
      <c r="Q41">
        <v>20</v>
      </c>
      <c r="R41">
        <v>40</v>
      </c>
      <c r="S41">
        <v>30</v>
      </c>
      <c r="T41">
        <v>25</v>
      </c>
      <c r="U41">
        <f t="shared" si="0"/>
        <v>90</v>
      </c>
      <c r="V41">
        <f t="shared" si="1"/>
        <v>90</v>
      </c>
      <c r="W41">
        <f t="shared" si="2"/>
        <v>75</v>
      </c>
    </row>
    <row r="42" spans="1:23" x14ac:dyDescent="0.35">
      <c r="A42" t="s">
        <v>34</v>
      </c>
      <c r="D42" t="s">
        <v>41</v>
      </c>
      <c r="F42">
        <v>1</v>
      </c>
      <c r="G42">
        <v>6</v>
      </c>
      <c r="J42">
        <v>41</v>
      </c>
      <c r="L42">
        <v>30</v>
      </c>
      <c r="M42">
        <v>40</v>
      </c>
      <c r="N42">
        <v>30</v>
      </c>
      <c r="O42">
        <v>25</v>
      </c>
      <c r="P42">
        <v>40</v>
      </c>
      <c r="Q42">
        <v>25</v>
      </c>
      <c r="R42">
        <v>30</v>
      </c>
      <c r="S42">
        <v>30</v>
      </c>
      <c r="T42">
        <v>40</v>
      </c>
      <c r="U42">
        <f t="shared" si="0"/>
        <v>85</v>
      </c>
      <c r="V42">
        <f t="shared" si="1"/>
        <v>110</v>
      </c>
      <c r="W42">
        <f t="shared" si="2"/>
        <v>95</v>
      </c>
    </row>
    <row r="43" spans="1:23" x14ac:dyDescent="0.35">
      <c r="A43" t="s">
        <v>34</v>
      </c>
      <c r="D43" t="s">
        <v>36</v>
      </c>
      <c r="F43">
        <v>2</v>
      </c>
      <c r="G43">
        <v>6</v>
      </c>
      <c r="J43">
        <v>42</v>
      </c>
      <c r="L43">
        <v>15</v>
      </c>
      <c r="M43">
        <v>20</v>
      </c>
      <c r="N43">
        <v>25</v>
      </c>
      <c r="O43">
        <v>15</v>
      </c>
      <c r="P43">
        <v>15</v>
      </c>
      <c r="Q43">
        <v>20</v>
      </c>
      <c r="R43">
        <v>15</v>
      </c>
      <c r="S43">
        <v>30</v>
      </c>
      <c r="T43">
        <v>30</v>
      </c>
      <c r="U43">
        <f t="shared" si="0"/>
        <v>45</v>
      </c>
      <c r="V43">
        <f t="shared" si="1"/>
        <v>65</v>
      </c>
      <c r="W43">
        <f t="shared" si="2"/>
        <v>75</v>
      </c>
    </row>
    <row r="44" spans="1:23" x14ac:dyDescent="0.35">
      <c r="A44" t="s">
        <v>34</v>
      </c>
      <c r="D44" t="s">
        <v>37</v>
      </c>
      <c r="F44">
        <v>3</v>
      </c>
      <c r="G44">
        <v>6</v>
      </c>
      <c r="J44">
        <v>43</v>
      </c>
      <c r="L44">
        <v>20</v>
      </c>
      <c r="M44">
        <v>20</v>
      </c>
      <c r="N44">
        <v>25</v>
      </c>
      <c r="O44">
        <v>20</v>
      </c>
      <c r="P44">
        <v>25</v>
      </c>
      <c r="Q44">
        <v>25</v>
      </c>
      <c r="R44">
        <v>20</v>
      </c>
      <c r="S44">
        <v>20</v>
      </c>
      <c r="T44">
        <v>35</v>
      </c>
      <c r="U44">
        <f t="shared" si="0"/>
        <v>60</v>
      </c>
      <c r="V44">
        <f t="shared" si="1"/>
        <v>65</v>
      </c>
      <c r="W44">
        <f t="shared" si="2"/>
        <v>85</v>
      </c>
    </row>
    <row r="45" spans="1:23" x14ac:dyDescent="0.35">
      <c r="A45" t="s">
        <v>34</v>
      </c>
      <c r="D45" t="s">
        <v>42</v>
      </c>
      <c r="F45">
        <v>4</v>
      </c>
      <c r="G45">
        <v>6</v>
      </c>
      <c r="J45">
        <v>44</v>
      </c>
      <c r="L45">
        <v>20</v>
      </c>
      <c r="M45">
        <v>20</v>
      </c>
      <c r="N45">
        <v>30</v>
      </c>
      <c r="O45">
        <v>20</v>
      </c>
      <c r="P45">
        <v>25</v>
      </c>
      <c r="Q45">
        <v>30</v>
      </c>
      <c r="R45">
        <v>15</v>
      </c>
      <c r="S45">
        <v>30</v>
      </c>
      <c r="T45">
        <v>30</v>
      </c>
      <c r="U45">
        <f t="shared" si="0"/>
        <v>55</v>
      </c>
      <c r="V45">
        <f t="shared" si="1"/>
        <v>75</v>
      </c>
      <c r="W45">
        <f t="shared" si="2"/>
        <v>90</v>
      </c>
    </row>
    <row r="46" spans="1:23" x14ac:dyDescent="0.35">
      <c r="A46" t="s">
        <v>34</v>
      </c>
      <c r="D46" t="s">
        <v>43</v>
      </c>
      <c r="F46">
        <v>5</v>
      </c>
      <c r="G46">
        <v>6</v>
      </c>
      <c r="J46">
        <v>45</v>
      </c>
      <c r="L46">
        <v>20</v>
      </c>
      <c r="M46">
        <v>20</v>
      </c>
      <c r="N46">
        <v>30</v>
      </c>
      <c r="O46">
        <v>20</v>
      </c>
      <c r="P46">
        <v>25</v>
      </c>
      <c r="Q46">
        <v>30</v>
      </c>
      <c r="R46">
        <v>30</v>
      </c>
      <c r="S46">
        <v>25</v>
      </c>
      <c r="T46">
        <v>40</v>
      </c>
      <c r="U46">
        <f t="shared" si="0"/>
        <v>70</v>
      </c>
      <c r="V46">
        <f t="shared" si="1"/>
        <v>70</v>
      </c>
      <c r="W46">
        <f t="shared" si="2"/>
        <v>100</v>
      </c>
    </row>
    <row r="47" spans="1:23" x14ac:dyDescent="0.35">
      <c r="A47" t="s">
        <v>34</v>
      </c>
      <c r="D47" t="s">
        <v>39</v>
      </c>
      <c r="F47">
        <v>6</v>
      </c>
      <c r="G47">
        <v>6</v>
      </c>
      <c r="J47">
        <v>46</v>
      </c>
      <c r="L47">
        <v>15</v>
      </c>
      <c r="M47">
        <v>15</v>
      </c>
      <c r="N47">
        <v>40</v>
      </c>
      <c r="O47">
        <v>20</v>
      </c>
      <c r="P47">
        <v>20</v>
      </c>
      <c r="Q47">
        <v>30</v>
      </c>
      <c r="R47">
        <v>25</v>
      </c>
      <c r="S47">
        <v>25</v>
      </c>
      <c r="T47">
        <v>30</v>
      </c>
      <c r="U47">
        <f t="shared" si="0"/>
        <v>60</v>
      </c>
      <c r="V47">
        <f t="shared" si="1"/>
        <v>60</v>
      </c>
      <c r="W47">
        <f t="shared" si="2"/>
        <v>100</v>
      </c>
    </row>
    <row r="48" spans="1:23" x14ac:dyDescent="0.35">
      <c r="A48" t="s">
        <v>34</v>
      </c>
      <c r="D48" t="s">
        <v>38</v>
      </c>
      <c r="F48">
        <v>7</v>
      </c>
      <c r="G48">
        <v>6</v>
      </c>
      <c r="J48">
        <v>47</v>
      </c>
      <c r="L48">
        <v>20</v>
      </c>
      <c r="M48">
        <v>25</v>
      </c>
      <c r="N48">
        <v>30</v>
      </c>
      <c r="O48">
        <v>25</v>
      </c>
      <c r="P48">
        <v>10</v>
      </c>
      <c r="Q48">
        <v>20</v>
      </c>
      <c r="R48">
        <v>30</v>
      </c>
      <c r="S48">
        <v>20</v>
      </c>
      <c r="T48">
        <v>30</v>
      </c>
      <c r="U48">
        <f t="shared" si="0"/>
        <v>75</v>
      </c>
      <c r="V48">
        <f t="shared" si="1"/>
        <v>55</v>
      </c>
      <c r="W48">
        <f t="shared" si="2"/>
        <v>80</v>
      </c>
    </row>
    <row r="49" spans="1:23" x14ac:dyDescent="0.35">
      <c r="A49" t="s">
        <v>34</v>
      </c>
      <c r="D49" t="s">
        <v>343</v>
      </c>
      <c r="F49">
        <v>8</v>
      </c>
      <c r="G49">
        <v>6</v>
      </c>
      <c r="J49">
        <v>48</v>
      </c>
      <c r="L49">
        <v>20</v>
      </c>
      <c r="M49">
        <v>25</v>
      </c>
      <c r="N49">
        <v>20</v>
      </c>
      <c r="O49">
        <v>15</v>
      </c>
      <c r="P49">
        <v>20</v>
      </c>
      <c r="Q49">
        <v>25</v>
      </c>
      <c r="R49">
        <v>20</v>
      </c>
      <c r="S49">
        <v>10</v>
      </c>
      <c r="T49">
        <v>20</v>
      </c>
      <c r="U49">
        <f t="shared" si="0"/>
        <v>55</v>
      </c>
      <c r="V49">
        <f t="shared" si="1"/>
        <v>55</v>
      </c>
      <c r="W49">
        <f t="shared" si="2"/>
        <v>65</v>
      </c>
    </row>
    <row r="50" spans="1:23" x14ac:dyDescent="0.35">
      <c r="A50" t="s">
        <v>24</v>
      </c>
      <c r="D50" t="s">
        <v>32</v>
      </c>
      <c r="F50">
        <v>1</v>
      </c>
      <c r="G50">
        <v>7</v>
      </c>
      <c r="J50">
        <v>49</v>
      </c>
      <c r="L50">
        <v>20</v>
      </c>
      <c r="M50">
        <v>40</v>
      </c>
      <c r="N50">
        <v>30</v>
      </c>
      <c r="O50">
        <v>30</v>
      </c>
      <c r="P50">
        <v>40</v>
      </c>
      <c r="Q50">
        <v>20</v>
      </c>
      <c r="R50">
        <v>20</v>
      </c>
      <c r="S50">
        <v>30</v>
      </c>
      <c r="T50">
        <v>15</v>
      </c>
      <c r="U50">
        <f t="shared" si="0"/>
        <v>70</v>
      </c>
      <c r="V50">
        <f t="shared" si="1"/>
        <v>110</v>
      </c>
      <c r="W50">
        <f t="shared" si="2"/>
        <v>65</v>
      </c>
    </row>
    <row r="51" spans="1:23" x14ac:dyDescent="0.35">
      <c r="A51" t="s">
        <v>24</v>
      </c>
      <c r="D51" t="s">
        <v>29</v>
      </c>
      <c r="F51">
        <v>2</v>
      </c>
      <c r="G51">
        <v>7</v>
      </c>
      <c r="J51">
        <v>50</v>
      </c>
      <c r="L51">
        <v>20</v>
      </c>
      <c r="M51">
        <v>20</v>
      </c>
      <c r="N51">
        <v>25</v>
      </c>
      <c r="O51">
        <v>25</v>
      </c>
      <c r="P51">
        <v>30</v>
      </c>
      <c r="Q51">
        <v>30</v>
      </c>
      <c r="R51">
        <v>10</v>
      </c>
      <c r="S51">
        <v>30</v>
      </c>
      <c r="T51">
        <v>20</v>
      </c>
      <c r="U51">
        <f t="shared" si="0"/>
        <v>55</v>
      </c>
      <c r="V51">
        <f t="shared" si="1"/>
        <v>80</v>
      </c>
      <c r="W51">
        <f t="shared" si="2"/>
        <v>75</v>
      </c>
    </row>
    <row r="52" spans="1:23" x14ac:dyDescent="0.35">
      <c r="A52" t="s">
        <v>24</v>
      </c>
      <c r="D52" t="s">
        <v>337</v>
      </c>
      <c r="F52">
        <v>3</v>
      </c>
      <c r="G52">
        <v>7</v>
      </c>
      <c r="J52">
        <v>51</v>
      </c>
      <c r="L52">
        <v>15</v>
      </c>
      <c r="M52">
        <v>10</v>
      </c>
      <c r="N52">
        <v>40</v>
      </c>
      <c r="O52">
        <v>10</v>
      </c>
      <c r="P52">
        <v>10</v>
      </c>
      <c r="Q52">
        <v>20</v>
      </c>
      <c r="R52">
        <v>10</v>
      </c>
      <c r="S52">
        <v>20</v>
      </c>
      <c r="T52">
        <v>20</v>
      </c>
      <c r="U52">
        <f t="shared" si="0"/>
        <v>35</v>
      </c>
      <c r="V52">
        <f t="shared" si="1"/>
        <v>40</v>
      </c>
      <c r="W52">
        <f t="shared" si="2"/>
        <v>80</v>
      </c>
    </row>
    <row r="53" spans="1:23" x14ac:dyDescent="0.35">
      <c r="A53" t="s">
        <v>24</v>
      </c>
      <c r="D53" t="s">
        <v>27</v>
      </c>
      <c r="F53">
        <v>4</v>
      </c>
      <c r="G53">
        <v>7</v>
      </c>
      <c r="J53">
        <v>52</v>
      </c>
      <c r="L53">
        <v>30</v>
      </c>
      <c r="M53">
        <v>20</v>
      </c>
      <c r="N53">
        <v>30</v>
      </c>
      <c r="O53">
        <v>30</v>
      </c>
      <c r="P53">
        <v>25</v>
      </c>
      <c r="Q53">
        <v>25</v>
      </c>
      <c r="R53">
        <v>20</v>
      </c>
      <c r="S53">
        <v>3</v>
      </c>
      <c r="T53">
        <v>25</v>
      </c>
      <c r="U53">
        <f t="shared" si="0"/>
        <v>80</v>
      </c>
      <c r="V53">
        <f t="shared" si="1"/>
        <v>48</v>
      </c>
      <c r="W53">
        <f t="shared" si="2"/>
        <v>80</v>
      </c>
    </row>
    <row r="54" spans="1:23" x14ac:dyDescent="0.35">
      <c r="A54" t="s">
        <v>24</v>
      </c>
      <c r="D54" t="s">
        <v>28</v>
      </c>
      <c r="F54">
        <v>5</v>
      </c>
      <c r="G54">
        <v>7</v>
      </c>
      <c r="J54">
        <v>53</v>
      </c>
      <c r="L54">
        <v>30</v>
      </c>
      <c r="M54">
        <v>20</v>
      </c>
      <c r="N54">
        <v>50</v>
      </c>
      <c r="O54">
        <v>25</v>
      </c>
      <c r="P54">
        <v>20</v>
      </c>
      <c r="Q54">
        <v>20</v>
      </c>
      <c r="R54">
        <v>10</v>
      </c>
      <c r="S54">
        <v>20</v>
      </c>
      <c r="T54">
        <v>30</v>
      </c>
      <c r="U54">
        <f t="shared" si="0"/>
        <v>65</v>
      </c>
      <c r="V54">
        <f t="shared" si="1"/>
        <v>60</v>
      </c>
      <c r="W54">
        <f t="shared" si="2"/>
        <v>100</v>
      </c>
    </row>
    <row r="55" spans="1:23" x14ac:dyDescent="0.35">
      <c r="A55" t="s">
        <v>24</v>
      </c>
      <c r="D55" t="s">
        <v>26</v>
      </c>
      <c r="F55">
        <v>6</v>
      </c>
      <c r="G55">
        <v>7</v>
      </c>
      <c r="J55">
        <v>54</v>
      </c>
      <c r="L55">
        <v>20</v>
      </c>
      <c r="M55">
        <v>30</v>
      </c>
      <c r="N55">
        <v>50</v>
      </c>
      <c r="O55">
        <v>20</v>
      </c>
      <c r="P55">
        <v>30</v>
      </c>
      <c r="Q55">
        <v>20</v>
      </c>
      <c r="R55">
        <v>15</v>
      </c>
      <c r="S55">
        <v>20</v>
      </c>
      <c r="T55">
        <v>20</v>
      </c>
      <c r="U55">
        <f t="shared" si="0"/>
        <v>55</v>
      </c>
      <c r="V55">
        <f t="shared" si="1"/>
        <v>80</v>
      </c>
      <c r="W55">
        <f t="shared" si="2"/>
        <v>90</v>
      </c>
    </row>
    <row r="56" spans="1:23" x14ac:dyDescent="0.35">
      <c r="A56" t="s">
        <v>24</v>
      </c>
      <c r="D56" t="s">
        <v>335</v>
      </c>
      <c r="F56">
        <v>7</v>
      </c>
      <c r="G56">
        <v>7</v>
      </c>
      <c r="J56">
        <v>55</v>
      </c>
      <c r="L56">
        <v>35</v>
      </c>
      <c r="M56">
        <v>20</v>
      </c>
      <c r="N56">
        <v>30</v>
      </c>
      <c r="O56">
        <v>30</v>
      </c>
      <c r="P56">
        <v>20</v>
      </c>
      <c r="Q56">
        <v>40</v>
      </c>
      <c r="R56">
        <v>30</v>
      </c>
      <c r="S56">
        <v>30</v>
      </c>
      <c r="T56">
        <v>30</v>
      </c>
      <c r="U56">
        <f t="shared" si="0"/>
        <v>95</v>
      </c>
      <c r="V56">
        <f t="shared" si="1"/>
        <v>70</v>
      </c>
      <c r="W56">
        <f t="shared" si="2"/>
        <v>100</v>
      </c>
    </row>
    <row r="57" spans="1:23" x14ac:dyDescent="0.35">
      <c r="A57" t="s">
        <v>24</v>
      </c>
      <c r="D57" t="s">
        <v>336</v>
      </c>
      <c r="F57">
        <v>8</v>
      </c>
      <c r="G57">
        <v>7</v>
      </c>
      <c r="J57">
        <v>56</v>
      </c>
      <c r="L57">
        <v>25</v>
      </c>
      <c r="M57">
        <v>20</v>
      </c>
      <c r="N57">
        <v>25</v>
      </c>
      <c r="O57">
        <v>25</v>
      </c>
      <c r="P57">
        <v>25</v>
      </c>
      <c r="Q57">
        <v>30</v>
      </c>
      <c r="R57">
        <v>10</v>
      </c>
      <c r="S57">
        <v>20</v>
      </c>
      <c r="T57">
        <v>20</v>
      </c>
      <c r="U57">
        <f t="shared" si="0"/>
        <v>60</v>
      </c>
      <c r="V57">
        <f t="shared" si="1"/>
        <v>65</v>
      </c>
      <c r="W57">
        <f t="shared" si="2"/>
        <v>75</v>
      </c>
    </row>
    <row r="58" spans="1:23" x14ac:dyDescent="0.35">
      <c r="A58" t="s">
        <v>34</v>
      </c>
      <c r="D58" t="s">
        <v>39</v>
      </c>
      <c r="F58">
        <v>1</v>
      </c>
      <c r="G58">
        <v>8</v>
      </c>
      <c r="J58">
        <v>57</v>
      </c>
      <c r="L58">
        <v>10</v>
      </c>
      <c r="M58">
        <v>20</v>
      </c>
      <c r="N58">
        <v>35</v>
      </c>
      <c r="O58">
        <v>20</v>
      </c>
      <c r="P58">
        <v>30</v>
      </c>
      <c r="Q58">
        <v>50</v>
      </c>
      <c r="R58">
        <v>15</v>
      </c>
      <c r="S58">
        <v>20</v>
      </c>
      <c r="T58">
        <v>35</v>
      </c>
      <c r="U58">
        <f t="shared" si="0"/>
        <v>45</v>
      </c>
      <c r="V58">
        <f t="shared" si="1"/>
        <v>70</v>
      </c>
      <c r="W58">
        <f t="shared" si="2"/>
        <v>120</v>
      </c>
    </row>
    <row r="59" spans="1:23" x14ac:dyDescent="0.35">
      <c r="A59" t="s">
        <v>34</v>
      </c>
      <c r="D59" t="s">
        <v>37</v>
      </c>
      <c r="F59">
        <v>2</v>
      </c>
      <c r="G59">
        <v>8</v>
      </c>
      <c r="J59">
        <v>58</v>
      </c>
      <c r="L59">
        <v>10</v>
      </c>
      <c r="M59">
        <v>15</v>
      </c>
      <c r="N59">
        <v>40</v>
      </c>
      <c r="O59">
        <v>10</v>
      </c>
      <c r="P59">
        <v>30</v>
      </c>
      <c r="Q59">
        <v>50</v>
      </c>
      <c r="R59">
        <v>15</v>
      </c>
      <c r="S59">
        <v>20</v>
      </c>
      <c r="T59">
        <v>40</v>
      </c>
      <c r="U59">
        <f t="shared" si="0"/>
        <v>35</v>
      </c>
      <c r="V59">
        <f t="shared" si="1"/>
        <v>65</v>
      </c>
      <c r="W59">
        <f t="shared" si="2"/>
        <v>130</v>
      </c>
    </row>
    <row r="60" spans="1:23" x14ac:dyDescent="0.35">
      <c r="A60" t="s">
        <v>34</v>
      </c>
      <c r="D60" t="s">
        <v>36</v>
      </c>
      <c r="F60">
        <v>3</v>
      </c>
      <c r="G60">
        <v>8</v>
      </c>
      <c r="J60">
        <v>59</v>
      </c>
      <c r="L60">
        <v>15</v>
      </c>
      <c r="M60">
        <v>15</v>
      </c>
      <c r="N60">
        <v>30</v>
      </c>
      <c r="O60">
        <v>20</v>
      </c>
      <c r="P60">
        <v>10</v>
      </c>
      <c r="Q60">
        <v>15</v>
      </c>
      <c r="R60">
        <v>3</v>
      </c>
      <c r="S60">
        <v>20</v>
      </c>
      <c r="T60">
        <v>10</v>
      </c>
      <c r="U60">
        <f t="shared" si="0"/>
        <v>38</v>
      </c>
      <c r="V60">
        <f t="shared" si="1"/>
        <v>45</v>
      </c>
      <c r="W60">
        <f t="shared" si="2"/>
        <v>55</v>
      </c>
    </row>
    <row r="61" spans="1:23" x14ac:dyDescent="0.35">
      <c r="A61" t="s">
        <v>34</v>
      </c>
      <c r="D61" t="s">
        <v>343</v>
      </c>
      <c r="F61">
        <v>4</v>
      </c>
      <c r="G61">
        <v>8</v>
      </c>
      <c r="J61">
        <v>60</v>
      </c>
      <c r="L61">
        <v>10</v>
      </c>
      <c r="M61">
        <v>15</v>
      </c>
      <c r="N61">
        <v>10</v>
      </c>
      <c r="O61">
        <v>20</v>
      </c>
      <c r="P61">
        <v>15</v>
      </c>
      <c r="Q61">
        <v>20</v>
      </c>
      <c r="R61">
        <v>10</v>
      </c>
      <c r="S61">
        <v>30</v>
      </c>
      <c r="T61">
        <v>60</v>
      </c>
      <c r="U61">
        <f t="shared" si="0"/>
        <v>40</v>
      </c>
      <c r="V61">
        <f t="shared" si="1"/>
        <v>60</v>
      </c>
      <c r="W61">
        <f t="shared" si="2"/>
        <v>90</v>
      </c>
    </row>
    <row r="62" spans="1:23" x14ac:dyDescent="0.35">
      <c r="A62" t="s">
        <v>34</v>
      </c>
      <c r="D62" t="s">
        <v>41</v>
      </c>
      <c r="F62">
        <v>5</v>
      </c>
      <c r="G62">
        <v>8</v>
      </c>
      <c r="J62">
        <v>61</v>
      </c>
      <c r="L62">
        <v>20</v>
      </c>
      <c r="M62">
        <v>20</v>
      </c>
      <c r="N62">
        <v>30</v>
      </c>
      <c r="O62">
        <v>20</v>
      </c>
      <c r="P62">
        <v>20</v>
      </c>
      <c r="Q62">
        <v>30</v>
      </c>
      <c r="R62">
        <v>20</v>
      </c>
      <c r="S62">
        <v>10</v>
      </c>
      <c r="T62">
        <v>40</v>
      </c>
      <c r="U62">
        <f t="shared" si="0"/>
        <v>60</v>
      </c>
      <c r="V62">
        <f t="shared" si="1"/>
        <v>50</v>
      </c>
      <c r="W62">
        <f t="shared" si="2"/>
        <v>100</v>
      </c>
    </row>
    <row r="63" spans="1:23" x14ac:dyDescent="0.35">
      <c r="A63" t="s">
        <v>34</v>
      </c>
      <c r="D63" t="s">
        <v>38</v>
      </c>
      <c r="F63">
        <v>6</v>
      </c>
      <c r="G63">
        <v>8</v>
      </c>
      <c r="J63">
        <v>62</v>
      </c>
      <c r="L63">
        <v>30</v>
      </c>
      <c r="M63">
        <v>20</v>
      </c>
      <c r="N63">
        <v>20</v>
      </c>
      <c r="O63">
        <v>20</v>
      </c>
      <c r="P63">
        <v>40</v>
      </c>
      <c r="Q63">
        <v>25</v>
      </c>
      <c r="R63">
        <v>20</v>
      </c>
      <c r="S63">
        <v>30</v>
      </c>
      <c r="T63">
        <v>10</v>
      </c>
      <c r="U63">
        <f t="shared" si="0"/>
        <v>70</v>
      </c>
      <c r="V63">
        <f t="shared" si="1"/>
        <v>90</v>
      </c>
      <c r="W63">
        <f t="shared" si="2"/>
        <v>55</v>
      </c>
    </row>
    <row r="64" spans="1:23" x14ac:dyDescent="0.35">
      <c r="A64" t="s">
        <v>34</v>
      </c>
      <c r="D64" t="s">
        <v>42</v>
      </c>
      <c r="F64">
        <v>7</v>
      </c>
      <c r="G64">
        <v>8</v>
      </c>
      <c r="J64">
        <v>63</v>
      </c>
      <c r="L64">
        <v>20</v>
      </c>
      <c r="M64">
        <v>30</v>
      </c>
      <c r="N64">
        <v>40</v>
      </c>
      <c r="O64">
        <v>20</v>
      </c>
      <c r="P64">
        <v>20</v>
      </c>
      <c r="Q64">
        <v>30</v>
      </c>
      <c r="R64">
        <v>20</v>
      </c>
      <c r="S64">
        <v>20</v>
      </c>
      <c r="T64">
        <v>40</v>
      </c>
      <c r="U64">
        <f t="shared" si="0"/>
        <v>60</v>
      </c>
      <c r="V64">
        <f t="shared" si="1"/>
        <v>70</v>
      </c>
      <c r="W64">
        <f t="shared" si="2"/>
        <v>110</v>
      </c>
    </row>
    <row r="65" spans="1:23" x14ac:dyDescent="0.35">
      <c r="A65" t="s">
        <v>34</v>
      </c>
      <c r="D65" t="s">
        <v>43</v>
      </c>
      <c r="F65">
        <v>8</v>
      </c>
      <c r="G65">
        <v>8</v>
      </c>
      <c r="J65">
        <v>64</v>
      </c>
      <c r="L65">
        <v>20</v>
      </c>
      <c r="M65">
        <v>20</v>
      </c>
      <c r="N65">
        <v>30</v>
      </c>
      <c r="O65">
        <v>25</v>
      </c>
      <c r="P65">
        <v>20</v>
      </c>
      <c r="Q65">
        <v>30</v>
      </c>
      <c r="R65">
        <v>30</v>
      </c>
      <c r="S65">
        <v>20</v>
      </c>
      <c r="T65">
        <v>30</v>
      </c>
      <c r="U65">
        <f t="shared" si="0"/>
        <v>75</v>
      </c>
      <c r="V65">
        <f t="shared" si="1"/>
        <v>60</v>
      </c>
      <c r="W65">
        <f t="shared" si="2"/>
        <v>90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29E4-70D1-498C-B202-A35BDD3937C6}">
  <sheetPr>
    <tabColor theme="9" tint="0.59999389629810485"/>
  </sheetPr>
  <dimension ref="A1:K538"/>
  <sheetViews>
    <sheetView workbookViewId="0">
      <selection activeCell="F20" sqref="F20"/>
    </sheetView>
  </sheetViews>
  <sheetFormatPr defaultRowHeight="14.5" x14ac:dyDescent="0.35"/>
  <cols>
    <col min="1" max="8" width="8.81640625" style="6"/>
    <col min="9" max="9" width="8.81640625"/>
    <col min="10" max="10" width="13.54296875" customWidth="1"/>
  </cols>
  <sheetData>
    <row r="1" spans="1:11" ht="43.5" x14ac:dyDescent="0.35">
      <c r="A1" s="70" t="s">
        <v>44</v>
      </c>
      <c r="B1" s="70" t="s">
        <v>45</v>
      </c>
      <c r="C1" s="70" t="s">
        <v>46</v>
      </c>
      <c r="D1" s="70" t="s">
        <v>47</v>
      </c>
      <c r="E1" s="70" t="s">
        <v>48</v>
      </c>
      <c r="F1" s="70" t="s">
        <v>50</v>
      </c>
      <c r="G1" s="70" t="s">
        <v>51</v>
      </c>
      <c r="H1" s="70" t="s">
        <v>49</v>
      </c>
      <c r="I1" s="70" t="s">
        <v>54</v>
      </c>
      <c r="J1" s="4" t="s">
        <v>156</v>
      </c>
      <c r="K1" s="4" t="s">
        <v>771</v>
      </c>
    </row>
    <row r="2" spans="1:11" x14ac:dyDescent="0.35">
      <c r="A2" s="79" t="s">
        <v>24</v>
      </c>
      <c r="B2" s="79"/>
      <c r="C2" s="79"/>
      <c r="D2" s="79" t="s">
        <v>27</v>
      </c>
      <c r="E2" s="79">
        <v>1985</v>
      </c>
      <c r="F2" s="79">
        <v>1</v>
      </c>
      <c r="G2" s="79">
        <v>1</v>
      </c>
      <c r="H2" s="79">
        <v>1</v>
      </c>
      <c r="I2">
        <v>1</v>
      </c>
      <c r="J2" s="108">
        <v>45532</v>
      </c>
      <c r="K2">
        <v>725.58139534883719</v>
      </c>
    </row>
    <row r="3" spans="1:11" x14ac:dyDescent="0.35">
      <c r="A3" s="79" t="s">
        <v>24</v>
      </c>
      <c r="B3" s="79"/>
      <c r="C3" s="79"/>
      <c r="D3" s="79" t="s">
        <v>26</v>
      </c>
      <c r="E3" s="79">
        <v>1983</v>
      </c>
      <c r="F3" s="79">
        <v>2</v>
      </c>
      <c r="G3" s="79">
        <v>1</v>
      </c>
      <c r="H3" s="79">
        <v>1</v>
      </c>
      <c r="I3">
        <v>2</v>
      </c>
      <c r="J3" s="108">
        <v>45532</v>
      </c>
      <c r="K3">
        <v>681.08108108108104</v>
      </c>
    </row>
    <row r="4" spans="1:11" x14ac:dyDescent="0.35">
      <c r="A4" s="79" t="s">
        <v>24</v>
      </c>
      <c r="B4" s="79"/>
      <c r="C4" s="79"/>
      <c r="D4" s="79" t="s">
        <v>335</v>
      </c>
      <c r="E4" s="79">
        <v>2023</v>
      </c>
      <c r="F4" s="79">
        <v>3</v>
      </c>
      <c r="G4" s="79">
        <v>1</v>
      </c>
      <c r="H4" s="79">
        <v>1</v>
      </c>
      <c r="I4">
        <v>3</v>
      </c>
      <c r="J4" s="108">
        <v>45532</v>
      </c>
      <c r="K4">
        <v>631.57894736842104</v>
      </c>
    </row>
    <row r="5" spans="1:11" x14ac:dyDescent="0.35">
      <c r="A5" s="79" t="s">
        <v>24</v>
      </c>
      <c r="B5" s="79"/>
      <c r="C5" s="79"/>
      <c r="D5" s="79" t="s">
        <v>29</v>
      </c>
      <c r="E5" s="79">
        <v>1999</v>
      </c>
      <c r="F5" s="79">
        <v>4</v>
      </c>
      <c r="G5" s="79">
        <v>1</v>
      </c>
      <c r="H5" s="79">
        <v>1</v>
      </c>
      <c r="I5">
        <v>4</v>
      </c>
      <c r="J5" s="108">
        <v>45532</v>
      </c>
      <c r="K5">
        <v>900</v>
      </c>
    </row>
    <row r="6" spans="1:11" x14ac:dyDescent="0.35">
      <c r="A6" s="79" t="s">
        <v>24</v>
      </c>
      <c r="B6" s="79"/>
      <c r="C6" s="79"/>
      <c r="D6" s="79" t="s">
        <v>336</v>
      </c>
      <c r="E6" s="79">
        <v>2002</v>
      </c>
      <c r="F6" s="79">
        <v>5</v>
      </c>
      <c r="G6" s="79">
        <v>1</v>
      </c>
      <c r="H6" s="79">
        <v>1</v>
      </c>
      <c r="I6">
        <v>5</v>
      </c>
      <c r="J6" s="108">
        <v>45532</v>
      </c>
      <c r="K6">
        <v>709.09090909090912</v>
      </c>
    </row>
    <row r="7" spans="1:11" x14ac:dyDescent="0.35">
      <c r="A7" s="79" t="s">
        <v>24</v>
      </c>
      <c r="B7" s="79"/>
      <c r="C7" s="79"/>
      <c r="D7" s="79" t="s">
        <v>32</v>
      </c>
      <c r="E7" s="79">
        <v>2018</v>
      </c>
      <c r="F7" s="79">
        <v>6</v>
      </c>
      <c r="G7" s="79">
        <v>1</v>
      </c>
      <c r="H7" s="79">
        <v>1</v>
      </c>
      <c r="I7">
        <v>6</v>
      </c>
      <c r="J7" s="108">
        <v>45532</v>
      </c>
      <c r="K7">
        <v>580.39215686274508</v>
      </c>
    </row>
    <row r="8" spans="1:11" x14ac:dyDescent="0.35">
      <c r="A8" s="79" t="s">
        <v>24</v>
      </c>
      <c r="B8" s="79"/>
      <c r="C8" s="79"/>
      <c r="D8" s="79" t="s">
        <v>28</v>
      </c>
      <c r="E8" s="79">
        <v>1998</v>
      </c>
      <c r="F8" s="79">
        <v>7</v>
      </c>
      <c r="G8" s="79">
        <v>1</v>
      </c>
      <c r="H8" s="79">
        <v>1</v>
      </c>
      <c r="I8">
        <v>7</v>
      </c>
      <c r="J8" s="108">
        <v>45532</v>
      </c>
      <c r="K8">
        <v>600</v>
      </c>
    </row>
    <row r="9" spans="1:11" x14ac:dyDescent="0.35">
      <c r="A9" s="79" t="s">
        <v>24</v>
      </c>
      <c r="B9" s="79"/>
      <c r="C9" s="79"/>
      <c r="D9" s="79" t="s">
        <v>337</v>
      </c>
      <c r="E9" s="79">
        <v>2016</v>
      </c>
      <c r="F9" s="79">
        <v>8</v>
      </c>
      <c r="G9" s="79">
        <v>1</v>
      </c>
      <c r="H9" s="79">
        <v>1</v>
      </c>
      <c r="I9">
        <v>8</v>
      </c>
      <c r="J9" s="108">
        <v>45532</v>
      </c>
      <c r="K9">
        <v>555.55555555555554</v>
      </c>
    </row>
    <row r="10" spans="1:11" x14ac:dyDescent="0.35">
      <c r="A10" s="6" t="s">
        <v>34</v>
      </c>
      <c r="D10" s="6" t="s">
        <v>42</v>
      </c>
      <c r="E10" s="6">
        <v>2016</v>
      </c>
      <c r="F10" s="6">
        <v>1</v>
      </c>
      <c r="G10" s="6">
        <v>2</v>
      </c>
      <c r="H10" s="6">
        <v>1</v>
      </c>
      <c r="I10">
        <v>9</v>
      </c>
      <c r="J10" s="108">
        <v>45532</v>
      </c>
      <c r="K10">
        <v>409.52380952380952</v>
      </c>
    </row>
    <row r="11" spans="1:11" x14ac:dyDescent="0.35">
      <c r="A11" s="6" t="s">
        <v>34</v>
      </c>
      <c r="D11" s="6" t="s">
        <v>38</v>
      </c>
      <c r="E11" s="6">
        <v>1999</v>
      </c>
      <c r="F11" s="6">
        <v>2</v>
      </c>
      <c r="G11" s="6">
        <v>2</v>
      </c>
      <c r="H11" s="6">
        <v>1</v>
      </c>
      <c r="I11">
        <v>10</v>
      </c>
      <c r="J11" s="108">
        <v>45532</v>
      </c>
      <c r="K11">
        <v>590</v>
      </c>
    </row>
    <row r="12" spans="1:11" x14ac:dyDescent="0.35">
      <c r="A12" s="6" t="s">
        <v>34</v>
      </c>
      <c r="D12" s="6" t="s">
        <v>43</v>
      </c>
      <c r="E12" s="6">
        <v>2020</v>
      </c>
      <c r="F12" s="6">
        <v>3</v>
      </c>
      <c r="G12" s="6">
        <v>2</v>
      </c>
      <c r="H12" s="6">
        <v>1</v>
      </c>
      <c r="I12">
        <v>11</v>
      </c>
      <c r="J12" s="108">
        <v>45532</v>
      </c>
      <c r="K12">
        <v>390.69767441860461</v>
      </c>
    </row>
    <row r="13" spans="1:11" x14ac:dyDescent="0.35">
      <c r="A13" s="6" t="s">
        <v>34</v>
      </c>
      <c r="D13" s="6" t="s">
        <v>41</v>
      </c>
      <c r="E13" s="6">
        <v>2008</v>
      </c>
      <c r="F13" s="6">
        <v>4</v>
      </c>
      <c r="G13" s="6">
        <v>2</v>
      </c>
      <c r="H13" s="6">
        <v>1</v>
      </c>
      <c r="I13">
        <v>12</v>
      </c>
      <c r="J13" s="108">
        <v>45532</v>
      </c>
      <c r="K13">
        <v>472.72727272727275</v>
      </c>
    </row>
    <row r="14" spans="1:11" x14ac:dyDescent="0.35">
      <c r="A14" s="6" t="s">
        <v>34</v>
      </c>
      <c r="D14" s="6" t="s">
        <v>37</v>
      </c>
      <c r="E14" s="6">
        <v>1989</v>
      </c>
      <c r="F14" s="6">
        <v>5</v>
      </c>
      <c r="G14" s="6">
        <v>2</v>
      </c>
      <c r="H14" s="6">
        <v>1</v>
      </c>
      <c r="I14">
        <v>13</v>
      </c>
      <c r="J14" s="108">
        <v>45532</v>
      </c>
      <c r="K14">
        <v>518.91891891891896</v>
      </c>
    </row>
    <row r="15" spans="1:11" x14ac:dyDescent="0.35">
      <c r="A15" s="6" t="s">
        <v>34</v>
      </c>
      <c r="D15" s="6" t="s">
        <v>343</v>
      </c>
      <c r="E15" s="6">
        <v>2004</v>
      </c>
      <c r="F15" s="6">
        <v>6</v>
      </c>
      <c r="G15" s="6">
        <v>2</v>
      </c>
      <c r="H15" s="6">
        <v>1</v>
      </c>
      <c r="I15">
        <v>14</v>
      </c>
      <c r="J15" s="108">
        <v>45532</v>
      </c>
      <c r="K15">
        <v>502.85714285714283</v>
      </c>
    </row>
    <row r="16" spans="1:11" x14ac:dyDescent="0.35">
      <c r="A16" s="6" t="s">
        <v>34</v>
      </c>
      <c r="D16" s="6" t="s">
        <v>36</v>
      </c>
      <c r="E16" s="6">
        <v>1984</v>
      </c>
      <c r="F16" s="6">
        <v>7</v>
      </c>
      <c r="G16" s="6">
        <v>2</v>
      </c>
      <c r="H16" s="6">
        <v>1</v>
      </c>
      <c r="I16">
        <v>15</v>
      </c>
      <c r="J16" s="108">
        <v>45532</v>
      </c>
      <c r="K16">
        <v>440.00000000000006</v>
      </c>
    </row>
    <row r="17" spans="1:11" x14ac:dyDescent="0.35">
      <c r="A17" s="6" t="s">
        <v>34</v>
      </c>
      <c r="D17" s="6" t="s">
        <v>39</v>
      </c>
      <c r="E17" s="6">
        <v>2001</v>
      </c>
      <c r="F17" s="6">
        <v>8</v>
      </c>
      <c r="G17" s="6">
        <v>2</v>
      </c>
      <c r="H17" s="6">
        <v>1</v>
      </c>
      <c r="I17">
        <v>16</v>
      </c>
      <c r="J17" s="108">
        <v>45532</v>
      </c>
      <c r="K17">
        <v>574.35897435897436</v>
      </c>
    </row>
    <row r="18" spans="1:11" x14ac:dyDescent="0.35">
      <c r="A18" s="79" t="s">
        <v>24</v>
      </c>
      <c r="B18" s="79"/>
      <c r="C18" s="79"/>
      <c r="D18" s="79" t="s">
        <v>335</v>
      </c>
      <c r="E18" s="79">
        <v>2023</v>
      </c>
      <c r="F18" s="79">
        <v>1</v>
      </c>
      <c r="G18" s="79">
        <v>3</v>
      </c>
      <c r="H18" s="79">
        <v>2</v>
      </c>
      <c r="I18">
        <v>17</v>
      </c>
      <c r="J18" s="108">
        <v>45532</v>
      </c>
      <c r="K18">
        <v>578.9473684210526</v>
      </c>
    </row>
    <row r="19" spans="1:11" x14ac:dyDescent="0.35">
      <c r="A19" s="79" t="s">
        <v>24</v>
      </c>
      <c r="B19" s="79"/>
      <c r="C19" s="79"/>
      <c r="D19" s="79" t="s">
        <v>28</v>
      </c>
      <c r="E19" s="79">
        <v>1998</v>
      </c>
      <c r="F19" s="79">
        <v>2</v>
      </c>
      <c r="G19" s="79">
        <v>3</v>
      </c>
      <c r="H19" s="79">
        <v>2</v>
      </c>
      <c r="I19">
        <v>18</v>
      </c>
      <c r="J19" s="108">
        <v>45532</v>
      </c>
      <c r="K19">
        <v>744.44444444444446</v>
      </c>
    </row>
    <row r="20" spans="1:11" x14ac:dyDescent="0.35">
      <c r="A20" s="79" t="s">
        <v>24</v>
      </c>
      <c r="B20" s="79"/>
      <c r="C20" s="79"/>
      <c r="D20" s="79" t="s">
        <v>26</v>
      </c>
      <c r="E20" s="79">
        <v>1983</v>
      </c>
      <c r="F20" s="79">
        <v>3</v>
      </c>
      <c r="G20" s="79">
        <v>3</v>
      </c>
      <c r="H20" s="79">
        <v>2</v>
      </c>
      <c r="I20">
        <v>19</v>
      </c>
      <c r="J20" s="108">
        <v>45532</v>
      </c>
      <c r="K20">
        <v>788.23529411764707</v>
      </c>
    </row>
    <row r="21" spans="1:11" x14ac:dyDescent="0.35">
      <c r="A21" s="79" t="s">
        <v>24</v>
      </c>
      <c r="B21" s="79"/>
      <c r="C21" s="79"/>
      <c r="D21" s="79" t="s">
        <v>336</v>
      </c>
      <c r="E21" s="79">
        <v>2002</v>
      </c>
      <c r="F21" s="79">
        <v>4</v>
      </c>
      <c r="G21" s="79">
        <v>3</v>
      </c>
      <c r="H21" s="79">
        <v>2</v>
      </c>
      <c r="I21">
        <v>20</v>
      </c>
      <c r="J21" s="108">
        <v>45532</v>
      </c>
      <c r="K21">
        <v>481.81818181818181</v>
      </c>
    </row>
    <row r="22" spans="1:11" x14ac:dyDescent="0.35">
      <c r="A22" s="79" t="s">
        <v>24</v>
      </c>
      <c r="B22" s="79"/>
      <c r="C22" s="79"/>
      <c r="D22" s="79" t="s">
        <v>29</v>
      </c>
      <c r="E22" s="79">
        <v>1999</v>
      </c>
      <c r="F22" s="79">
        <v>5</v>
      </c>
      <c r="G22" s="79">
        <v>3</v>
      </c>
      <c r="H22" s="79">
        <v>2</v>
      </c>
      <c r="I22">
        <v>21</v>
      </c>
      <c r="J22" s="108">
        <v>45532</v>
      </c>
      <c r="K22">
        <v>700</v>
      </c>
    </row>
    <row r="23" spans="1:11" x14ac:dyDescent="0.35">
      <c r="A23" s="79" t="s">
        <v>24</v>
      </c>
      <c r="B23" s="79"/>
      <c r="C23" s="79"/>
      <c r="D23" s="79" t="s">
        <v>337</v>
      </c>
      <c r="E23" s="79">
        <v>2016</v>
      </c>
      <c r="F23" s="79">
        <v>6</v>
      </c>
      <c r="G23" s="79">
        <v>3</v>
      </c>
      <c r="H23" s="79">
        <v>2</v>
      </c>
      <c r="I23">
        <v>22</v>
      </c>
      <c r="J23" s="108">
        <v>45532</v>
      </c>
      <c r="K23">
        <v>681.08108108108104</v>
      </c>
    </row>
    <row r="24" spans="1:11" x14ac:dyDescent="0.35">
      <c r="A24" s="79" t="s">
        <v>24</v>
      </c>
      <c r="B24" s="79"/>
      <c r="C24" s="79"/>
      <c r="D24" s="79" t="s">
        <v>32</v>
      </c>
      <c r="E24" s="79">
        <v>2018</v>
      </c>
      <c r="F24" s="79">
        <v>7</v>
      </c>
      <c r="G24" s="79">
        <v>3</v>
      </c>
      <c r="H24" s="79">
        <v>2</v>
      </c>
      <c r="I24">
        <v>23</v>
      </c>
      <c r="J24" s="108">
        <v>45532</v>
      </c>
      <c r="K24">
        <v>481.81818181818181</v>
      </c>
    </row>
    <row r="25" spans="1:11" x14ac:dyDescent="0.35">
      <c r="A25" s="79" t="s">
        <v>24</v>
      </c>
      <c r="B25" s="79"/>
      <c r="C25" s="79"/>
      <c r="D25" s="79" t="s">
        <v>27</v>
      </c>
      <c r="E25" s="79">
        <v>1985</v>
      </c>
      <c r="F25" s="79">
        <v>8</v>
      </c>
      <c r="G25" s="79">
        <v>3</v>
      </c>
      <c r="H25" s="79">
        <v>2</v>
      </c>
      <c r="I25">
        <v>24</v>
      </c>
      <c r="J25" s="108">
        <v>45532</v>
      </c>
      <c r="K25">
        <v>742.85714285714289</v>
      </c>
    </row>
    <row r="26" spans="1:11" x14ac:dyDescent="0.35">
      <c r="A26" s="71" t="s">
        <v>34</v>
      </c>
      <c r="B26" s="71"/>
      <c r="C26" s="72"/>
      <c r="D26" s="71" t="s">
        <v>343</v>
      </c>
      <c r="E26" s="71">
        <v>2004</v>
      </c>
      <c r="F26" s="72">
        <v>1</v>
      </c>
      <c r="G26" s="72">
        <v>4</v>
      </c>
      <c r="H26" s="72">
        <v>2</v>
      </c>
      <c r="I26">
        <v>25</v>
      </c>
      <c r="J26" s="108">
        <v>45532</v>
      </c>
      <c r="K26">
        <v>440.00000000000006</v>
      </c>
    </row>
    <row r="27" spans="1:11" x14ac:dyDescent="0.35">
      <c r="A27" s="6" t="s">
        <v>34</v>
      </c>
      <c r="D27" s="6" t="s">
        <v>43</v>
      </c>
      <c r="E27" s="6">
        <v>2020</v>
      </c>
      <c r="F27" s="6">
        <v>2</v>
      </c>
      <c r="G27" s="6">
        <v>4</v>
      </c>
      <c r="H27" s="6">
        <v>2</v>
      </c>
      <c r="I27">
        <v>26</v>
      </c>
      <c r="J27" s="108">
        <v>45532</v>
      </c>
      <c r="K27">
        <v>478.04878048780483</v>
      </c>
    </row>
    <row r="28" spans="1:11" x14ac:dyDescent="0.35">
      <c r="A28" s="6" t="s">
        <v>34</v>
      </c>
      <c r="D28" s="6" t="s">
        <v>38</v>
      </c>
      <c r="E28" s="6">
        <v>1999</v>
      </c>
      <c r="F28" s="6">
        <v>3</v>
      </c>
      <c r="G28" s="6">
        <v>4</v>
      </c>
      <c r="H28" s="6">
        <v>2</v>
      </c>
      <c r="I28">
        <v>27</v>
      </c>
      <c r="J28" s="108">
        <v>45532</v>
      </c>
      <c r="K28">
        <v>564.70588235294122</v>
      </c>
    </row>
    <row r="29" spans="1:11" x14ac:dyDescent="0.35">
      <c r="A29" s="6" t="s">
        <v>34</v>
      </c>
      <c r="D29" s="6" t="s">
        <v>39</v>
      </c>
      <c r="E29" s="6">
        <v>2001</v>
      </c>
      <c r="F29" s="6">
        <v>4</v>
      </c>
      <c r="G29" s="6">
        <v>4</v>
      </c>
      <c r="H29" s="6">
        <v>2</v>
      </c>
      <c r="I29">
        <v>28</v>
      </c>
      <c r="J29" s="108">
        <v>45532</v>
      </c>
      <c r="K29">
        <v>423.52941176470591</v>
      </c>
    </row>
    <row r="30" spans="1:11" x14ac:dyDescent="0.35">
      <c r="A30" s="6" t="s">
        <v>34</v>
      </c>
      <c r="D30" s="6" t="s">
        <v>42</v>
      </c>
      <c r="E30" s="6">
        <v>2016</v>
      </c>
      <c r="F30" s="6">
        <v>5</v>
      </c>
      <c r="G30" s="6">
        <v>4</v>
      </c>
      <c r="H30" s="6">
        <v>2</v>
      </c>
      <c r="I30">
        <v>29</v>
      </c>
      <c r="J30" s="108">
        <v>45532</v>
      </c>
      <c r="K30">
        <v>529.41176470588232</v>
      </c>
    </row>
    <row r="31" spans="1:11" x14ac:dyDescent="0.35">
      <c r="A31" s="6" t="s">
        <v>34</v>
      </c>
      <c r="D31" s="6" t="s">
        <v>36</v>
      </c>
      <c r="E31" s="6">
        <v>1984</v>
      </c>
      <c r="F31" s="6">
        <v>6</v>
      </c>
      <c r="G31" s="6">
        <v>4</v>
      </c>
      <c r="H31" s="6">
        <v>2</v>
      </c>
      <c r="I31">
        <v>30</v>
      </c>
      <c r="J31" s="108">
        <v>45532</v>
      </c>
      <c r="K31">
        <v>518.91891891891896</v>
      </c>
    </row>
    <row r="32" spans="1:11" x14ac:dyDescent="0.35">
      <c r="A32" s="6" t="s">
        <v>34</v>
      </c>
      <c r="D32" s="6" t="s">
        <v>41</v>
      </c>
      <c r="E32" s="6">
        <v>2008</v>
      </c>
      <c r="F32" s="6">
        <v>7</v>
      </c>
      <c r="G32" s="6">
        <v>4</v>
      </c>
      <c r="H32" s="6">
        <v>2</v>
      </c>
      <c r="I32">
        <v>31</v>
      </c>
      <c r="J32" s="108">
        <v>45532</v>
      </c>
      <c r="K32">
        <v>642.1052631578948</v>
      </c>
    </row>
    <row r="33" spans="1:11" x14ac:dyDescent="0.35">
      <c r="A33" s="6" t="s">
        <v>34</v>
      </c>
      <c r="D33" s="6" t="s">
        <v>37</v>
      </c>
      <c r="E33" s="6">
        <v>1989</v>
      </c>
      <c r="F33" s="6">
        <v>8</v>
      </c>
      <c r="G33" s="6">
        <v>4</v>
      </c>
      <c r="H33" s="6">
        <v>2</v>
      </c>
      <c r="I33">
        <v>32</v>
      </c>
      <c r="J33" s="108">
        <v>45532</v>
      </c>
      <c r="K33">
        <v>426.66666666666669</v>
      </c>
    </row>
    <row r="34" spans="1:11" x14ac:dyDescent="0.35">
      <c r="A34" s="79" t="s">
        <v>24</v>
      </c>
      <c r="B34" s="79"/>
      <c r="C34" s="79"/>
      <c r="D34" s="79" t="s">
        <v>336</v>
      </c>
      <c r="E34" s="79">
        <v>2002</v>
      </c>
      <c r="F34" s="79">
        <v>1</v>
      </c>
      <c r="G34" s="79">
        <v>5</v>
      </c>
      <c r="H34" s="79">
        <v>3</v>
      </c>
      <c r="I34">
        <v>33</v>
      </c>
      <c r="J34" s="108">
        <v>45532</v>
      </c>
      <c r="K34">
        <v>388.57142857142856</v>
      </c>
    </row>
    <row r="35" spans="1:11" x14ac:dyDescent="0.35">
      <c r="A35" s="79" t="s">
        <v>24</v>
      </c>
      <c r="B35" s="79"/>
      <c r="C35" s="79"/>
      <c r="D35" s="79" t="s">
        <v>337</v>
      </c>
      <c r="E35" s="79">
        <v>2016</v>
      </c>
      <c r="F35" s="79">
        <v>2</v>
      </c>
      <c r="G35" s="79">
        <v>5</v>
      </c>
      <c r="H35" s="79">
        <v>3</v>
      </c>
      <c r="I35">
        <v>34</v>
      </c>
      <c r="J35" s="108">
        <v>45532</v>
      </c>
      <c r="K35">
        <v>642.1052631578948</v>
      </c>
    </row>
    <row r="36" spans="1:11" x14ac:dyDescent="0.35">
      <c r="A36" s="79" t="s">
        <v>24</v>
      </c>
      <c r="B36" s="79"/>
      <c r="C36" s="79"/>
      <c r="D36" s="79" t="s">
        <v>32</v>
      </c>
      <c r="E36" s="79">
        <v>2018</v>
      </c>
      <c r="F36" s="79">
        <v>3</v>
      </c>
      <c r="G36" s="79">
        <v>5</v>
      </c>
      <c r="H36" s="79">
        <v>3</v>
      </c>
      <c r="I36">
        <v>35</v>
      </c>
      <c r="J36" s="108">
        <v>45532</v>
      </c>
      <c r="K36">
        <v>411.42857142857139</v>
      </c>
    </row>
    <row r="37" spans="1:11" x14ac:dyDescent="0.35">
      <c r="A37" s="79" t="s">
        <v>24</v>
      </c>
      <c r="B37" s="79"/>
      <c r="C37" s="79"/>
      <c r="D37" s="79" t="s">
        <v>28</v>
      </c>
      <c r="E37" s="79">
        <v>1998</v>
      </c>
      <c r="F37" s="79">
        <v>4</v>
      </c>
      <c r="G37" s="79">
        <v>5</v>
      </c>
      <c r="H37" s="79">
        <v>3</v>
      </c>
      <c r="I37">
        <v>36</v>
      </c>
      <c r="J37" s="108">
        <v>45532</v>
      </c>
      <c r="K37">
        <v>567.74193548387098</v>
      </c>
    </row>
    <row r="38" spans="1:11" x14ac:dyDescent="0.35">
      <c r="A38" s="79" t="s">
        <v>24</v>
      </c>
      <c r="B38" s="79"/>
      <c r="C38" s="79"/>
      <c r="D38" s="79" t="s">
        <v>27</v>
      </c>
      <c r="E38" s="79">
        <v>1985</v>
      </c>
      <c r="F38" s="79">
        <v>5</v>
      </c>
      <c r="G38" s="79">
        <v>5</v>
      </c>
      <c r="H38" s="79">
        <v>3</v>
      </c>
      <c r="I38">
        <v>37</v>
      </c>
      <c r="J38" s="108">
        <v>45532</v>
      </c>
      <c r="K38">
        <v>800</v>
      </c>
    </row>
    <row r="39" spans="1:11" x14ac:dyDescent="0.35">
      <c r="A39" s="79" t="s">
        <v>24</v>
      </c>
      <c r="B39" s="79"/>
      <c r="C39" s="79"/>
      <c r="D39" s="79" t="s">
        <v>335</v>
      </c>
      <c r="E39" s="79">
        <v>2023</v>
      </c>
      <c r="F39" s="79">
        <v>6</v>
      </c>
      <c r="G39" s="79">
        <v>5</v>
      </c>
      <c r="H39" s="79">
        <v>3</v>
      </c>
      <c r="I39">
        <v>38</v>
      </c>
      <c r="J39" s="108">
        <v>45532</v>
      </c>
      <c r="K39">
        <v>490.32258064516128</v>
      </c>
    </row>
    <row r="40" spans="1:11" x14ac:dyDescent="0.35">
      <c r="A40" s="79" t="s">
        <v>24</v>
      </c>
      <c r="B40" s="79"/>
      <c r="C40" s="79"/>
      <c r="D40" s="79" t="s">
        <v>29</v>
      </c>
      <c r="E40" s="79">
        <v>1999</v>
      </c>
      <c r="F40" s="79">
        <v>7</v>
      </c>
      <c r="G40" s="79">
        <v>5</v>
      </c>
      <c r="H40" s="79">
        <v>3</v>
      </c>
      <c r="I40">
        <v>39</v>
      </c>
      <c r="J40" s="108">
        <v>45532</v>
      </c>
      <c r="K40">
        <v>645.16129032258061</v>
      </c>
    </row>
    <row r="41" spans="1:11" x14ac:dyDescent="0.35">
      <c r="A41" s="79" t="s">
        <v>24</v>
      </c>
      <c r="B41" s="79"/>
      <c r="C41" s="79"/>
      <c r="D41" s="79" t="s">
        <v>26</v>
      </c>
      <c r="E41" s="79">
        <v>1983</v>
      </c>
      <c r="F41" s="79">
        <v>8</v>
      </c>
      <c r="G41" s="79">
        <v>5</v>
      </c>
      <c r="H41" s="79">
        <v>3</v>
      </c>
      <c r="I41">
        <v>40</v>
      </c>
      <c r="J41" s="108">
        <v>45532</v>
      </c>
      <c r="K41">
        <v>941.17647058823536</v>
      </c>
    </row>
    <row r="42" spans="1:11" x14ac:dyDescent="0.35">
      <c r="A42" s="6" t="s">
        <v>34</v>
      </c>
      <c r="D42" s="6" t="s">
        <v>41</v>
      </c>
      <c r="E42" s="6">
        <v>2008</v>
      </c>
      <c r="F42" s="6">
        <v>1</v>
      </c>
      <c r="G42" s="6">
        <v>6</v>
      </c>
      <c r="H42" s="6">
        <v>3</v>
      </c>
      <c r="I42">
        <v>41</v>
      </c>
      <c r="J42" s="108">
        <v>45532</v>
      </c>
      <c r="K42">
        <v>787.87878787878788</v>
      </c>
    </row>
    <row r="43" spans="1:11" x14ac:dyDescent="0.35">
      <c r="A43" s="6" t="s">
        <v>34</v>
      </c>
      <c r="D43" s="6" t="s">
        <v>36</v>
      </c>
      <c r="E43" s="6">
        <v>1984</v>
      </c>
      <c r="F43" s="6">
        <v>2</v>
      </c>
      <c r="G43" s="6">
        <v>6</v>
      </c>
      <c r="H43" s="6">
        <v>3</v>
      </c>
      <c r="I43">
        <v>42</v>
      </c>
      <c r="J43" s="108">
        <v>45532</v>
      </c>
      <c r="K43">
        <v>370</v>
      </c>
    </row>
    <row r="44" spans="1:11" x14ac:dyDescent="0.35">
      <c r="A44" s="6" t="s">
        <v>34</v>
      </c>
      <c r="D44" s="6" t="s">
        <v>37</v>
      </c>
      <c r="E44" s="6">
        <v>1989</v>
      </c>
      <c r="F44" s="6">
        <v>3</v>
      </c>
      <c r="G44" s="6">
        <v>6</v>
      </c>
      <c r="H44" s="6">
        <v>3</v>
      </c>
      <c r="I44">
        <v>43</v>
      </c>
      <c r="J44" s="108">
        <v>45532</v>
      </c>
      <c r="K44">
        <v>557.57575757575762</v>
      </c>
    </row>
    <row r="45" spans="1:11" x14ac:dyDescent="0.35">
      <c r="A45" s="6" t="s">
        <v>34</v>
      </c>
      <c r="D45" s="6" t="s">
        <v>42</v>
      </c>
      <c r="E45" s="6">
        <v>2016</v>
      </c>
      <c r="F45" s="6">
        <v>4</v>
      </c>
      <c r="G45" s="6">
        <v>6</v>
      </c>
      <c r="H45" s="6">
        <v>3</v>
      </c>
      <c r="I45">
        <v>44</v>
      </c>
      <c r="J45" s="108">
        <v>45532</v>
      </c>
      <c r="K45">
        <v>419.04761904761909</v>
      </c>
    </row>
    <row r="46" spans="1:11" x14ac:dyDescent="0.35">
      <c r="A46" s="6" t="s">
        <v>34</v>
      </c>
      <c r="D46" s="6" t="s">
        <v>43</v>
      </c>
      <c r="E46" s="6">
        <v>2020</v>
      </c>
      <c r="F46" s="6">
        <v>5</v>
      </c>
      <c r="G46" s="6">
        <v>6</v>
      </c>
      <c r="H46" s="6">
        <v>3</v>
      </c>
      <c r="I46">
        <v>45</v>
      </c>
      <c r="J46" s="108">
        <v>45532</v>
      </c>
      <c r="K46">
        <v>436.36363636363632</v>
      </c>
    </row>
    <row r="47" spans="1:11" x14ac:dyDescent="0.35">
      <c r="A47" s="6" t="s">
        <v>34</v>
      </c>
      <c r="D47" s="6" t="s">
        <v>39</v>
      </c>
      <c r="E47" s="6">
        <v>2001</v>
      </c>
      <c r="F47" s="6">
        <v>6</v>
      </c>
      <c r="G47" s="6">
        <v>6</v>
      </c>
      <c r="H47" s="6">
        <v>3</v>
      </c>
      <c r="I47">
        <v>46</v>
      </c>
      <c r="J47" s="108">
        <v>45532</v>
      </c>
      <c r="K47">
        <v>725</v>
      </c>
    </row>
    <row r="48" spans="1:11" x14ac:dyDescent="0.35">
      <c r="A48" s="6" t="s">
        <v>34</v>
      </c>
      <c r="D48" s="6" t="s">
        <v>38</v>
      </c>
      <c r="E48" s="6">
        <v>1999</v>
      </c>
      <c r="F48" s="6">
        <v>7</v>
      </c>
      <c r="G48" s="6">
        <v>6</v>
      </c>
      <c r="H48" s="6">
        <v>3</v>
      </c>
      <c r="I48">
        <v>47</v>
      </c>
      <c r="J48" s="108">
        <v>45532</v>
      </c>
      <c r="K48">
        <v>407.14285714285711</v>
      </c>
    </row>
    <row r="49" spans="1:11" x14ac:dyDescent="0.35">
      <c r="A49" s="6" t="s">
        <v>34</v>
      </c>
      <c r="D49" s="6" t="s">
        <v>343</v>
      </c>
      <c r="E49" s="6">
        <v>2004</v>
      </c>
      <c r="F49" s="6">
        <v>8</v>
      </c>
      <c r="G49" s="6">
        <v>6</v>
      </c>
      <c r="H49" s="6">
        <v>3</v>
      </c>
      <c r="I49">
        <v>48</v>
      </c>
      <c r="J49" s="108">
        <v>45532</v>
      </c>
      <c r="K49">
        <v>362.96296296296299</v>
      </c>
    </row>
    <row r="50" spans="1:11" x14ac:dyDescent="0.35">
      <c r="A50" s="79" t="s">
        <v>24</v>
      </c>
      <c r="B50" s="79"/>
      <c r="C50" s="79"/>
      <c r="D50" s="79" t="s">
        <v>32</v>
      </c>
      <c r="E50" s="79">
        <v>2018</v>
      </c>
      <c r="F50" s="79">
        <v>1</v>
      </c>
      <c r="G50" s="79">
        <v>7</v>
      </c>
      <c r="H50" s="79">
        <v>4</v>
      </c>
      <c r="I50">
        <v>49</v>
      </c>
      <c r="J50" s="108">
        <v>45532</v>
      </c>
      <c r="K50">
        <v>588.23529411764707</v>
      </c>
    </row>
    <row r="51" spans="1:11" x14ac:dyDescent="0.35">
      <c r="A51" s="79" t="s">
        <v>24</v>
      </c>
      <c r="B51" s="79"/>
      <c r="C51" s="79"/>
      <c r="D51" s="79" t="s">
        <v>29</v>
      </c>
      <c r="E51" s="79">
        <v>1999</v>
      </c>
      <c r="F51" s="79">
        <v>2</v>
      </c>
      <c r="G51" s="79">
        <v>7</v>
      </c>
      <c r="H51" s="79">
        <v>4</v>
      </c>
      <c r="I51">
        <v>50</v>
      </c>
      <c r="J51" s="108">
        <v>45532</v>
      </c>
      <c r="K51">
        <v>754.28571428571422</v>
      </c>
    </row>
    <row r="52" spans="1:11" x14ac:dyDescent="0.35">
      <c r="A52" s="79" t="s">
        <v>24</v>
      </c>
      <c r="B52" s="79"/>
      <c r="C52" s="79"/>
      <c r="D52" s="79" t="s">
        <v>337</v>
      </c>
      <c r="E52" s="79">
        <v>2016</v>
      </c>
      <c r="F52" s="79">
        <v>3</v>
      </c>
      <c r="G52" s="79">
        <v>7</v>
      </c>
      <c r="H52" s="79">
        <v>4</v>
      </c>
      <c r="I52">
        <v>51</v>
      </c>
      <c r="J52" s="108">
        <v>45532</v>
      </c>
      <c r="K52">
        <v>631.57894736842104</v>
      </c>
    </row>
    <row r="53" spans="1:11" x14ac:dyDescent="0.35">
      <c r="A53" s="79" t="s">
        <v>24</v>
      </c>
      <c r="B53" s="79"/>
      <c r="C53" s="79"/>
      <c r="D53" s="79" t="s">
        <v>27</v>
      </c>
      <c r="E53" s="79">
        <v>1985</v>
      </c>
      <c r="F53" s="79">
        <v>4</v>
      </c>
      <c r="G53" s="79">
        <v>7</v>
      </c>
      <c r="H53" s="79">
        <v>4</v>
      </c>
      <c r="I53">
        <v>52</v>
      </c>
      <c r="J53" s="108">
        <v>45532</v>
      </c>
      <c r="K53">
        <v>669.56521739130437</v>
      </c>
    </row>
    <row r="54" spans="1:11" x14ac:dyDescent="0.35">
      <c r="A54" s="79" t="s">
        <v>24</v>
      </c>
      <c r="B54" s="79"/>
      <c r="C54" s="79"/>
      <c r="D54" s="79" t="s">
        <v>28</v>
      </c>
      <c r="E54" s="79">
        <v>1998</v>
      </c>
      <c r="F54" s="79">
        <v>5</v>
      </c>
      <c r="G54" s="79">
        <v>7</v>
      </c>
      <c r="H54" s="79">
        <v>4</v>
      </c>
      <c r="I54">
        <v>53</v>
      </c>
      <c r="J54" s="108">
        <v>45532</v>
      </c>
      <c r="K54">
        <v>711.11111111111109</v>
      </c>
    </row>
    <row r="55" spans="1:11" x14ac:dyDescent="0.35">
      <c r="A55" s="79" t="s">
        <v>24</v>
      </c>
      <c r="B55" s="79"/>
      <c r="C55" s="79"/>
      <c r="D55" s="79" t="s">
        <v>26</v>
      </c>
      <c r="E55" s="79">
        <v>1983</v>
      </c>
      <c r="F55" s="79">
        <v>6</v>
      </c>
      <c r="G55" s="79">
        <v>7</v>
      </c>
      <c r="H55" s="79">
        <v>4</v>
      </c>
      <c r="I55">
        <v>54</v>
      </c>
      <c r="J55" s="108">
        <v>45532</v>
      </c>
      <c r="K55">
        <v>740</v>
      </c>
    </row>
    <row r="56" spans="1:11" x14ac:dyDescent="0.35">
      <c r="A56" s="79" t="s">
        <v>24</v>
      </c>
      <c r="B56" s="79"/>
      <c r="C56" s="79"/>
      <c r="D56" s="79" t="s">
        <v>335</v>
      </c>
      <c r="E56" s="79">
        <v>2023</v>
      </c>
      <c r="F56" s="79">
        <v>7</v>
      </c>
      <c r="G56" s="79">
        <v>7</v>
      </c>
      <c r="H56" s="79">
        <v>4</v>
      </c>
      <c r="I56">
        <v>55</v>
      </c>
      <c r="J56" s="108">
        <v>45532</v>
      </c>
      <c r="K56">
        <v>590</v>
      </c>
    </row>
    <row r="57" spans="1:11" x14ac:dyDescent="0.35">
      <c r="A57" s="79" t="s">
        <v>24</v>
      </c>
      <c r="B57" s="79"/>
      <c r="C57" s="79"/>
      <c r="D57" s="79" t="s">
        <v>336</v>
      </c>
      <c r="E57" s="79">
        <v>2002</v>
      </c>
      <c r="F57" s="79">
        <v>8</v>
      </c>
      <c r="G57" s="79">
        <v>7</v>
      </c>
      <c r="H57" s="79">
        <v>4</v>
      </c>
      <c r="I57">
        <v>56</v>
      </c>
      <c r="J57" s="108">
        <v>45532</v>
      </c>
      <c r="K57">
        <v>685.71428571428567</v>
      </c>
    </row>
    <row r="58" spans="1:11" x14ac:dyDescent="0.35">
      <c r="A58" s="6" t="s">
        <v>34</v>
      </c>
      <c r="D58" s="6" t="s">
        <v>39</v>
      </c>
      <c r="E58" s="6">
        <v>2001</v>
      </c>
      <c r="F58" s="6">
        <v>1</v>
      </c>
      <c r="G58" s="6">
        <v>8</v>
      </c>
      <c r="H58" s="6">
        <v>4</v>
      </c>
      <c r="I58">
        <v>57</v>
      </c>
      <c r="J58" s="108">
        <v>45532</v>
      </c>
      <c r="K58">
        <v>408.51063829787233</v>
      </c>
    </row>
    <row r="59" spans="1:11" x14ac:dyDescent="0.35">
      <c r="A59" s="6" t="s">
        <v>34</v>
      </c>
      <c r="D59" s="6" t="s">
        <v>37</v>
      </c>
      <c r="E59" s="6">
        <v>1989</v>
      </c>
      <c r="F59" s="6">
        <v>2</v>
      </c>
      <c r="G59" s="6">
        <v>8</v>
      </c>
      <c r="H59" s="6">
        <v>4</v>
      </c>
      <c r="I59">
        <v>58</v>
      </c>
      <c r="J59" s="108">
        <v>45532</v>
      </c>
      <c r="K59">
        <v>687.17948717948718</v>
      </c>
    </row>
    <row r="60" spans="1:11" x14ac:dyDescent="0.35">
      <c r="A60" s="6" t="s">
        <v>34</v>
      </c>
      <c r="D60" s="6" t="s">
        <v>36</v>
      </c>
      <c r="E60" s="6">
        <v>1984</v>
      </c>
      <c r="F60" s="6">
        <v>3</v>
      </c>
      <c r="G60" s="6">
        <v>8</v>
      </c>
      <c r="H60" s="6">
        <v>4</v>
      </c>
      <c r="I60">
        <v>59</v>
      </c>
      <c r="J60" s="108">
        <v>45532</v>
      </c>
      <c r="K60">
        <v>495.23809523809524</v>
      </c>
    </row>
    <row r="61" spans="1:11" x14ac:dyDescent="0.35">
      <c r="A61" s="6" t="s">
        <v>34</v>
      </c>
      <c r="D61" s="6" t="s">
        <v>343</v>
      </c>
      <c r="E61" s="6">
        <v>2004</v>
      </c>
      <c r="F61" s="6">
        <v>4</v>
      </c>
      <c r="G61" s="6">
        <v>8</v>
      </c>
      <c r="H61" s="6">
        <v>4</v>
      </c>
      <c r="I61">
        <v>60</v>
      </c>
      <c r="J61" s="108">
        <v>45532</v>
      </c>
      <c r="K61">
        <v>594.59459459459458</v>
      </c>
    </row>
    <row r="62" spans="1:11" x14ac:dyDescent="0.35">
      <c r="A62" s="6" t="s">
        <v>34</v>
      </c>
      <c r="D62" s="6" t="s">
        <v>41</v>
      </c>
      <c r="E62" s="6">
        <v>2008</v>
      </c>
      <c r="F62" s="6">
        <v>5</v>
      </c>
      <c r="G62" s="6">
        <v>8</v>
      </c>
      <c r="H62" s="6">
        <v>4</v>
      </c>
      <c r="I62">
        <v>61</v>
      </c>
      <c r="J62" s="108">
        <v>45532</v>
      </c>
      <c r="K62">
        <v>444.44444444444446</v>
      </c>
    </row>
    <row r="63" spans="1:11" x14ac:dyDescent="0.35">
      <c r="A63" s="6" t="s">
        <v>34</v>
      </c>
      <c r="D63" s="6" t="s">
        <v>38</v>
      </c>
      <c r="E63" s="6">
        <v>1999</v>
      </c>
      <c r="F63" s="6">
        <v>6</v>
      </c>
      <c r="G63" s="6">
        <v>8</v>
      </c>
      <c r="H63" s="6">
        <v>4</v>
      </c>
      <c r="I63">
        <v>62</v>
      </c>
      <c r="J63" s="108">
        <v>45532</v>
      </c>
      <c r="K63">
        <v>568.42105263157896</v>
      </c>
    </row>
    <row r="64" spans="1:11" x14ac:dyDescent="0.35">
      <c r="A64" s="6" t="s">
        <v>34</v>
      </c>
      <c r="D64" s="6" t="s">
        <v>42</v>
      </c>
      <c r="E64" s="6">
        <v>2016</v>
      </c>
      <c r="F64" s="6">
        <v>7</v>
      </c>
      <c r="G64" s="6">
        <v>8</v>
      </c>
      <c r="H64" s="6">
        <v>4</v>
      </c>
      <c r="I64">
        <v>63</v>
      </c>
      <c r="J64" s="108">
        <v>45532</v>
      </c>
      <c r="K64">
        <v>541.93548387096769</v>
      </c>
    </row>
    <row r="65" spans="1:11" x14ac:dyDescent="0.35">
      <c r="A65" s="6" t="s">
        <v>34</v>
      </c>
      <c r="D65" s="6" t="s">
        <v>43</v>
      </c>
      <c r="E65" s="6">
        <v>2020</v>
      </c>
      <c r="F65" s="6">
        <v>8</v>
      </c>
      <c r="G65" s="6">
        <v>8</v>
      </c>
      <c r="H65" s="6">
        <v>4</v>
      </c>
      <c r="I65">
        <v>64</v>
      </c>
      <c r="J65" s="108">
        <v>45532</v>
      </c>
      <c r="K65">
        <v>475</v>
      </c>
    </row>
    <row r="66" spans="1:11" x14ac:dyDescent="0.35">
      <c r="A66" s="79"/>
      <c r="B66" s="79"/>
      <c r="C66" s="79"/>
      <c r="D66" s="79"/>
      <c r="E66" s="79"/>
      <c r="F66" s="79"/>
      <c r="G66" s="79"/>
      <c r="H66" s="79"/>
      <c r="J66" s="28"/>
    </row>
    <row r="67" spans="1:11" x14ac:dyDescent="0.35">
      <c r="A67" s="79"/>
      <c r="B67" s="79"/>
      <c r="C67" s="79"/>
      <c r="D67" s="79"/>
      <c r="E67" s="79"/>
      <c r="F67" s="79"/>
      <c r="G67" s="79"/>
      <c r="H67" s="79"/>
      <c r="J67" s="28"/>
    </row>
    <row r="68" spans="1:11" x14ac:dyDescent="0.35">
      <c r="A68" s="79"/>
      <c r="B68" s="79"/>
      <c r="C68" s="79"/>
      <c r="D68" s="79"/>
      <c r="E68" s="79"/>
      <c r="F68" s="79"/>
      <c r="G68" s="79"/>
      <c r="H68" s="79"/>
      <c r="J68" s="28"/>
    </row>
    <row r="69" spans="1:11" x14ac:dyDescent="0.35">
      <c r="A69" s="79"/>
      <c r="B69" s="79"/>
      <c r="C69" s="79"/>
      <c r="D69" s="79"/>
      <c r="E69" s="79"/>
      <c r="F69" s="79"/>
      <c r="G69" s="79"/>
      <c r="H69" s="79"/>
      <c r="J69" s="28"/>
    </row>
    <row r="70" spans="1:11" x14ac:dyDescent="0.35">
      <c r="A70" s="79"/>
      <c r="B70" s="79"/>
      <c r="C70" s="79"/>
      <c r="D70" s="79"/>
      <c r="E70" s="79"/>
      <c r="F70" s="79"/>
      <c r="G70" s="79"/>
      <c r="H70" s="79"/>
      <c r="J70" s="28"/>
    </row>
    <row r="71" spans="1:11" x14ac:dyDescent="0.35">
      <c r="A71" s="79"/>
      <c r="B71" s="79"/>
      <c r="C71" s="79"/>
      <c r="D71" s="79"/>
      <c r="E71" s="79"/>
      <c r="F71" s="79"/>
      <c r="G71" s="79"/>
      <c r="H71" s="79"/>
      <c r="J71" s="28"/>
    </row>
    <row r="72" spans="1:11" x14ac:dyDescent="0.35">
      <c r="A72" s="79"/>
      <c r="B72" s="79"/>
      <c r="C72" s="79"/>
      <c r="D72" s="79"/>
      <c r="E72" s="79"/>
      <c r="F72" s="79"/>
      <c r="G72" s="79"/>
      <c r="H72" s="79"/>
      <c r="J72" s="28"/>
    </row>
    <row r="73" spans="1:11" x14ac:dyDescent="0.35">
      <c r="A73" s="79"/>
      <c r="B73" s="79"/>
      <c r="C73" s="79"/>
      <c r="D73" s="79"/>
      <c r="E73" s="79"/>
      <c r="F73" s="79"/>
      <c r="G73" s="79"/>
      <c r="H73" s="79"/>
      <c r="J73" s="28"/>
    </row>
    <row r="82" spans="1:10" x14ac:dyDescent="0.35">
      <c r="A82" s="79"/>
      <c r="B82" s="79"/>
      <c r="C82" s="79"/>
      <c r="D82" s="79"/>
      <c r="E82" s="79"/>
      <c r="F82" s="79"/>
      <c r="G82" s="79"/>
      <c r="H82" s="79"/>
      <c r="J82" s="28"/>
    </row>
    <row r="83" spans="1:10" x14ac:dyDescent="0.35">
      <c r="A83" s="79"/>
      <c r="B83" s="79"/>
      <c r="C83" s="79"/>
      <c r="D83" s="79"/>
      <c r="E83" s="79"/>
      <c r="F83" s="79"/>
      <c r="G83" s="79"/>
      <c r="H83" s="79"/>
      <c r="J83" s="28"/>
    </row>
    <row r="84" spans="1:10" x14ac:dyDescent="0.35">
      <c r="A84" s="79"/>
      <c r="B84" s="79"/>
      <c r="C84" s="79"/>
      <c r="D84" s="79"/>
      <c r="E84" s="79"/>
      <c r="F84" s="79"/>
      <c r="G84" s="79"/>
      <c r="H84" s="79"/>
      <c r="J84" s="28"/>
    </row>
    <row r="85" spans="1:10" x14ac:dyDescent="0.35">
      <c r="A85" s="79"/>
      <c r="B85" s="79"/>
      <c r="C85" s="79"/>
      <c r="D85" s="79"/>
      <c r="E85" s="79"/>
      <c r="F85" s="79"/>
      <c r="G85" s="79"/>
      <c r="H85" s="79"/>
      <c r="J85" s="28"/>
    </row>
    <row r="86" spans="1:10" x14ac:dyDescent="0.35">
      <c r="A86" s="79"/>
      <c r="B86" s="79"/>
      <c r="C86" s="79"/>
      <c r="D86" s="79"/>
      <c r="E86" s="79"/>
      <c r="F86" s="79"/>
      <c r="G86" s="79"/>
      <c r="H86" s="79"/>
      <c r="J86" s="28"/>
    </row>
    <row r="87" spans="1:10" x14ac:dyDescent="0.35">
      <c r="A87" s="79"/>
      <c r="B87" s="79"/>
      <c r="C87" s="79"/>
      <c r="D87" s="79"/>
      <c r="E87" s="79"/>
      <c r="F87" s="79"/>
      <c r="G87" s="79"/>
      <c r="H87" s="79"/>
      <c r="J87" s="28"/>
    </row>
    <row r="88" spans="1:10" x14ac:dyDescent="0.35">
      <c r="A88" s="79"/>
      <c r="B88" s="79"/>
      <c r="C88" s="79"/>
      <c r="D88" s="79"/>
      <c r="E88" s="79"/>
      <c r="F88" s="79"/>
      <c r="G88" s="79"/>
      <c r="H88" s="79"/>
      <c r="J88" s="28"/>
    </row>
    <row r="89" spans="1:10" x14ac:dyDescent="0.35">
      <c r="A89" s="79"/>
      <c r="B89" s="79"/>
      <c r="C89" s="79"/>
      <c r="D89" s="79"/>
      <c r="E89" s="79"/>
      <c r="F89" s="79"/>
      <c r="G89" s="79"/>
      <c r="H89" s="79"/>
      <c r="J89" s="28"/>
    </row>
    <row r="90" spans="1:10" x14ac:dyDescent="0.35">
      <c r="A90" s="71"/>
      <c r="B90" s="71"/>
      <c r="C90" s="72"/>
      <c r="D90" s="71"/>
      <c r="E90" s="71"/>
      <c r="F90" s="72"/>
      <c r="G90" s="72"/>
      <c r="H90" s="72"/>
    </row>
    <row r="98" spans="1:10" x14ac:dyDescent="0.35">
      <c r="A98" s="79"/>
      <c r="B98" s="79"/>
      <c r="C98" s="79"/>
      <c r="D98" s="79"/>
      <c r="E98" s="79"/>
      <c r="F98" s="79"/>
      <c r="G98" s="79"/>
      <c r="H98" s="79"/>
      <c r="J98" s="28"/>
    </row>
    <row r="99" spans="1:10" x14ac:dyDescent="0.35">
      <c r="A99" s="79"/>
      <c r="B99" s="79"/>
      <c r="C99" s="79"/>
      <c r="D99" s="79"/>
      <c r="E99" s="79"/>
      <c r="F99" s="79"/>
      <c r="G99" s="79"/>
      <c r="H99" s="79"/>
      <c r="J99" s="28"/>
    </row>
    <row r="100" spans="1:10" x14ac:dyDescent="0.35">
      <c r="A100" s="79"/>
      <c r="B100" s="79"/>
      <c r="C100" s="79"/>
      <c r="D100" s="79"/>
      <c r="E100" s="79"/>
      <c r="F100" s="79"/>
      <c r="G100" s="79"/>
      <c r="H100" s="79"/>
      <c r="J100" s="28"/>
    </row>
    <row r="101" spans="1:10" x14ac:dyDescent="0.35">
      <c r="A101" s="79"/>
      <c r="B101" s="79"/>
      <c r="C101" s="79"/>
      <c r="D101" s="79"/>
      <c r="E101" s="79"/>
      <c r="F101" s="79"/>
      <c r="G101" s="79"/>
      <c r="H101" s="79"/>
      <c r="J101" s="28"/>
    </row>
    <row r="102" spans="1:10" x14ac:dyDescent="0.35">
      <c r="A102" s="79"/>
      <c r="B102" s="79"/>
      <c r="C102" s="79"/>
      <c r="D102" s="79"/>
      <c r="E102" s="79"/>
      <c r="F102" s="79"/>
      <c r="G102" s="79"/>
      <c r="H102" s="79"/>
      <c r="J102" s="28"/>
    </row>
    <row r="103" spans="1:10" x14ac:dyDescent="0.35">
      <c r="A103" s="79"/>
      <c r="B103" s="79"/>
      <c r="C103" s="79"/>
      <c r="D103" s="79"/>
      <c r="E103" s="79"/>
      <c r="F103" s="79"/>
      <c r="G103" s="79"/>
      <c r="H103" s="79"/>
      <c r="J103" s="28"/>
    </row>
    <row r="104" spans="1:10" x14ac:dyDescent="0.35">
      <c r="A104" s="79"/>
      <c r="B104" s="79"/>
      <c r="C104" s="79"/>
      <c r="D104" s="79"/>
      <c r="E104" s="79"/>
      <c r="F104" s="79"/>
      <c r="G104" s="79"/>
      <c r="H104" s="79"/>
      <c r="J104" s="28"/>
    </row>
    <row r="105" spans="1:10" x14ac:dyDescent="0.35">
      <c r="A105" s="79"/>
      <c r="B105" s="79"/>
      <c r="C105" s="79"/>
      <c r="D105" s="79"/>
      <c r="E105" s="79"/>
      <c r="F105" s="79"/>
      <c r="G105" s="79"/>
      <c r="H105" s="79"/>
      <c r="J105" s="28"/>
    </row>
    <row r="114" spans="1:10" x14ac:dyDescent="0.35">
      <c r="A114" s="79"/>
      <c r="B114" s="79"/>
      <c r="C114" s="79"/>
      <c r="D114" s="79"/>
      <c r="E114" s="79"/>
      <c r="F114" s="79"/>
      <c r="G114" s="79"/>
      <c r="H114" s="79"/>
      <c r="J114" s="28"/>
    </row>
    <row r="115" spans="1:10" x14ac:dyDescent="0.35">
      <c r="A115" s="79"/>
      <c r="B115" s="79"/>
      <c r="C115" s="79"/>
      <c r="D115" s="79"/>
      <c r="E115" s="79"/>
      <c r="F115" s="79"/>
      <c r="G115" s="79"/>
      <c r="H115" s="79"/>
      <c r="J115" s="28"/>
    </row>
    <row r="116" spans="1:10" x14ac:dyDescent="0.35">
      <c r="A116" s="79"/>
      <c r="B116" s="79"/>
      <c r="C116" s="79"/>
      <c r="D116" s="79"/>
      <c r="E116" s="79"/>
      <c r="F116" s="79"/>
      <c r="G116" s="79"/>
      <c r="H116" s="79"/>
      <c r="J116" s="28"/>
    </row>
    <row r="117" spans="1:10" x14ac:dyDescent="0.35">
      <c r="A117" s="79"/>
      <c r="B117" s="79"/>
      <c r="C117" s="79"/>
      <c r="D117" s="79"/>
      <c r="E117" s="79"/>
      <c r="F117" s="79"/>
      <c r="G117" s="79"/>
      <c r="H117" s="79"/>
      <c r="J117" s="28"/>
    </row>
    <row r="118" spans="1:10" x14ac:dyDescent="0.35">
      <c r="A118" s="79"/>
      <c r="B118" s="79"/>
      <c r="C118" s="79"/>
      <c r="D118" s="79"/>
      <c r="E118" s="79"/>
      <c r="F118" s="79"/>
      <c r="G118" s="79"/>
      <c r="H118" s="79"/>
      <c r="J118" s="28"/>
    </row>
    <row r="119" spans="1:10" x14ac:dyDescent="0.35">
      <c r="A119" s="79"/>
      <c r="B119" s="79"/>
      <c r="C119" s="79"/>
      <c r="D119" s="79"/>
      <c r="E119" s="79"/>
      <c r="F119" s="79"/>
      <c r="G119" s="79"/>
      <c r="H119" s="79"/>
      <c r="J119" s="28"/>
    </row>
    <row r="120" spans="1:10" x14ac:dyDescent="0.35">
      <c r="A120" s="79"/>
      <c r="B120" s="79"/>
      <c r="C120" s="79"/>
      <c r="D120" s="79"/>
      <c r="E120" s="79"/>
      <c r="F120" s="79"/>
      <c r="G120" s="79"/>
      <c r="H120" s="79"/>
      <c r="J120" s="28"/>
    </row>
    <row r="121" spans="1:10" x14ac:dyDescent="0.35">
      <c r="A121" s="79"/>
      <c r="B121" s="79"/>
      <c r="C121" s="79"/>
      <c r="D121" s="79"/>
      <c r="E121" s="79"/>
      <c r="F121" s="79"/>
      <c r="G121" s="79"/>
      <c r="H121" s="79"/>
      <c r="J121" s="28"/>
    </row>
    <row r="154" spans="1:8" x14ac:dyDescent="0.35">
      <c r="A154" s="71"/>
      <c r="B154" s="71"/>
      <c r="C154" s="72"/>
      <c r="D154" s="71"/>
      <c r="E154" s="71"/>
      <c r="F154" s="72"/>
      <c r="G154" s="72"/>
      <c r="H154" s="72"/>
    </row>
    <row r="218" spans="1:8" x14ac:dyDescent="0.35">
      <c r="A218" s="71"/>
      <c r="B218" s="71"/>
      <c r="C218" s="72"/>
      <c r="D218" s="71"/>
      <c r="E218" s="71"/>
      <c r="F218" s="72"/>
      <c r="G218" s="72"/>
      <c r="H218" s="72"/>
    </row>
    <row r="282" spans="1:8" x14ac:dyDescent="0.35">
      <c r="A282" s="71"/>
      <c r="B282" s="71"/>
      <c r="C282" s="72"/>
      <c r="D282" s="71"/>
      <c r="E282" s="71"/>
      <c r="F282" s="72"/>
      <c r="G282" s="72"/>
      <c r="H282" s="72"/>
    </row>
    <row r="346" spans="1:8" x14ac:dyDescent="0.35">
      <c r="A346" s="71"/>
      <c r="B346" s="71"/>
      <c r="C346" s="72"/>
      <c r="D346" s="71"/>
      <c r="E346" s="71"/>
      <c r="F346" s="72"/>
      <c r="G346" s="72"/>
      <c r="H346" s="72"/>
    </row>
    <row r="410" spans="1:8" x14ac:dyDescent="0.35">
      <c r="A410" s="71"/>
      <c r="B410" s="71"/>
      <c r="C410" s="72"/>
      <c r="D410" s="71"/>
      <c r="E410" s="71"/>
      <c r="F410" s="72"/>
      <c r="G410" s="72"/>
      <c r="H410" s="72"/>
    </row>
    <row r="474" spans="1:8" x14ac:dyDescent="0.35">
      <c r="A474" s="71"/>
      <c r="B474" s="71"/>
      <c r="C474" s="72"/>
      <c r="D474" s="71"/>
      <c r="E474" s="71"/>
      <c r="F474" s="72"/>
      <c r="G474" s="72"/>
      <c r="H474" s="72"/>
    </row>
    <row r="538" spans="1:8" x14ac:dyDescent="0.35">
      <c r="A538" s="71"/>
      <c r="B538" s="71"/>
      <c r="C538" s="72"/>
      <c r="D538" s="71"/>
      <c r="E538" s="71"/>
      <c r="F538" s="72"/>
      <c r="G538" s="72"/>
      <c r="H538" s="72"/>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80FD-91D8-4871-8050-00A210C20D18}">
  <sheetPr>
    <tabColor theme="9" tint="0.39997558519241921"/>
  </sheetPr>
  <dimension ref="A1:AB269"/>
  <sheetViews>
    <sheetView topLeftCell="D1" zoomScaleNormal="100" workbookViewId="0">
      <pane ySplit="1" topLeftCell="A225" activePane="bottomLeft" state="frozen"/>
      <selection pane="bottomLeft" activeCell="A239" sqref="A239"/>
    </sheetView>
  </sheetViews>
  <sheetFormatPr defaultRowHeight="14.5" x14ac:dyDescent="0.35"/>
  <cols>
    <col min="9" max="9" width="8.81640625"/>
    <col min="10" max="11" width="13.54296875" customWidth="1"/>
    <col min="21" max="21" width="29.54296875" style="30" bestFit="1" customWidth="1"/>
    <col min="22" max="22" width="13.54296875" style="30" bestFit="1" customWidth="1"/>
    <col min="23" max="24" width="8.453125" style="30" customWidth="1"/>
    <col min="25" max="25" width="10.54296875" style="30" bestFit="1" customWidth="1"/>
    <col min="26" max="26" width="33" style="30" bestFit="1" customWidth="1"/>
    <col min="27" max="27" width="32.54296875" style="30" bestFit="1" customWidth="1"/>
    <col min="28" max="28" width="9.453125" style="30"/>
  </cols>
  <sheetData>
    <row r="1" spans="1:28" ht="72" customHeight="1" x14ac:dyDescent="0.35">
      <c r="A1" s="70" t="s">
        <v>44</v>
      </c>
      <c r="B1" s="70" t="s">
        <v>45</v>
      </c>
      <c r="C1" s="70" t="s">
        <v>46</v>
      </c>
      <c r="D1" s="70" t="s">
        <v>47</v>
      </c>
      <c r="E1" s="70" t="s">
        <v>48</v>
      </c>
      <c r="F1" s="70" t="s">
        <v>49</v>
      </c>
      <c r="G1" s="70" t="s">
        <v>50</v>
      </c>
      <c r="H1" s="70" t="s">
        <v>51</v>
      </c>
      <c r="I1" s="70" t="s">
        <v>54</v>
      </c>
      <c r="J1" s="70" t="s">
        <v>155</v>
      </c>
      <c r="K1" s="70" t="s">
        <v>156</v>
      </c>
      <c r="L1" s="70" t="s">
        <v>169</v>
      </c>
      <c r="M1" s="70" t="s">
        <v>170</v>
      </c>
      <c r="N1" s="70" t="s">
        <v>171</v>
      </c>
      <c r="O1" s="70" t="s">
        <v>172</v>
      </c>
      <c r="P1" s="70" t="s">
        <v>173</v>
      </c>
      <c r="Q1" s="70" t="s">
        <v>174</v>
      </c>
      <c r="R1" s="70" t="s">
        <v>175</v>
      </c>
      <c r="S1" s="70" t="s">
        <v>176</v>
      </c>
      <c r="T1" s="70" t="s">
        <v>177</v>
      </c>
    </row>
    <row r="2" spans="1:28" x14ac:dyDescent="0.35">
      <c r="A2" t="s">
        <v>24</v>
      </c>
      <c r="D2" t="s">
        <v>27</v>
      </c>
      <c r="E2">
        <v>1985</v>
      </c>
      <c r="F2">
        <v>1</v>
      </c>
      <c r="G2">
        <v>1</v>
      </c>
      <c r="H2">
        <v>1</v>
      </c>
      <c r="I2">
        <v>1</v>
      </c>
      <c r="L2">
        <v>3</v>
      </c>
      <c r="M2">
        <v>6</v>
      </c>
      <c r="N2">
        <v>7</v>
      </c>
      <c r="O2">
        <v>7</v>
      </c>
      <c r="P2">
        <f>AVERAGE(M2:O2)</f>
        <v>6.666666666666667</v>
      </c>
      <c r="Q2">
        <v>210</v>
      </c>
      <c r="R2">
        <v>210</v>
      </c>
      <c r="S2">
        <v>185</v>
      </c>
      <c r="T2">
        <f>AVERAGE(Q2:S2)</f>
        <v>201.66666666666666</v>
      </c>
      <c r="U2"/>
      <c r="V2"/>
      <c r="W2"/>
      <c r="X2"/>
      <c r="Y2"/>
      <c r="Z2"/>
      <c r="AA2"/>
      <c r="AB2"/>
    </row>
    <row r="3" spans="1:28" x14ac:dyDescent="0.35">
      <c r="A3" t="s">
        <v>24</v>
      </c>
      <c r="D3" t="s">
        <v>26</v>
      </c>
      <c r="E3">
        <v>1983</v>
      </c>
      <c r="F3">
        <v>1</v>
      </c>
      <c r="G3">
        <v>2</v>
      </c>
      <c r="H3">
        <v>1</v>
      </c>
      <c r="I3">
        <v>2</v>
      </c>
      <c r="L3">
        <v>3</v>
      </c>
      <c r="M3">
        <v>7</v>
      </c>
      <c r="N3">
        <v>8</v>
      </c>
      <c r="O3">
        <v>6</v>
      </c>
      <c r="P3">
        <f t="shared" ref="P3:P66" si="0">AVERAGE(M3:O3)</f>
        <v>7</v>
      </c>
      <c r="Q3">
        <v>205</v>
      </c>
      <c r="R3">
        <v>220</v>
      </c>
      <c r="S3">
        <v>188</v>
      </c>
      <c r="T3">
        <f t="shared" ref="T3:T66" si="1">AVERAGE(Q3:S3)</f>
        <v>204.33333333333334</v>
      </c>
      <c r="U3"/>
      <c r="V3"/>
      <c r="W3"/>
      <c r="X3"/>
      <c r="Y3"/>
      <c r="Z3"/>
      <c r="AA3"/>
      <c r="AB3"/>
    </row>
    <row r="4" spans="1:28" x14ac:dyDescent="0.35">
      <c r="A4" t="s">
        <v>24</v>
      </c>
      <c r="D4" t="s">
        <v>335</v>
      </c>
      <c r="E4">
        <v>2023</v>
      </c>
      <c r="F4">
        <v>1</v>
      </c>
      <c r="G4">
        <v>3</v>
      </c>
      <c r="H4">
        <v>1</v>
      </c>
      <c r="I4">
        <v>3</v>
      </c>
      <c r="L4">
        <v>3</v>
      </c>
      <c r="M4">
        <v>6</v>
      </c>
      <c r="N4">
        <v>5</v>
      </c>
      <c r="O4">
        <v>6</v>
      </c>
      <c r="P4">
        <f t="shared" si="0"/>
        <v>5.666666666666667</v>
      </c>
      <c r="Q4">
        <v>197</v>
      </c>
      <c r="R4">
        <v>190</v>
      </c>
      <c r="S4">
        <v>197</v>
      </c>
      <c r="T4">
        <f t="shared" si="1"/>
        <v>194.66666666666666</v>
      </c>
      <c r="U4"/>
      <c r="V4"/>
      <c r="W4"/>
      <c r="X4"/>
      <c r="Y4"/>
      <c r="Z4"/>
      <c r="AA4"/>
      <c r="AB4"/>
    </row>
    <row r="5" spans="1:28" x14ac:dyDescent="0.35">
      <c r="A5" t="s">
        <v>24</v>
      </c>
      <c r="D5" t="s">
        <v>29</v>
      </c>
      <c r="E5">
        <v>1999</v>
      </c>
      <c r="F5">
        <v>1</v>
      </c>
      <c r="G5">
        <v>4</v>
      </c>
      <c r="H5">
        <v>1</v>
      </c>
      <c r="I5">
        <v>4</v>
      </c>
      <c r="L5">
        <v>3</v>
      </c>
      <c r="M5">
        <v>5</v>
      </c>
      <c r="N5">
        <v>7</v>
      </c>
      <c r="O5">
        <v>4</v>
      </c>
      <c r="P5">
        <f t="shared" si="0"/>
        <v>5.333333333333333</v>
      </c>
      <c r="Q5">
        <v>170</v>
      </c>
      <c r="R5">
        <v>183</v>
      </c>
      <c r="S5">
        <v>175</v>
      </c>
      <c r="T5">
        <f t="shared" si="1"/>
        <v>176</v>
      </c>
      <c r="U5"/>
      <c r="V5"/>
      <c r="W5"/>
      <c r="X5"/>
      <c r="Y5"/>
      <c r="Z5"/>
      <c r="AA5"/>
      <c r="AB5"/>
    </row>
    <row r="6" spans="1:28" x14ac:dyDescent="0.35">
      <c r="A6" t="s">
        <v>24</v>
      </c>
      <c r="D6" t="s">
        <v>336</v>
      </c>
      <c r="E6">
        <v>2002</v>
      </c>
      <c r="F6">
        <v>1</v>
      </c>
      <c r="G6">
        <v>5</v>
      </c>
      <c r="H6">
        <v>1</v>
      </c>
      <c r="I6">
        <v>5</v>
      </c>
      <c r="L6">
        <v>3</v>
      </c>
      <c r="M6">
        <v>6</v>
      </c>
      <c r="N6">
        <v>7</v>
      </c>
      <c r="O6">
        <v>6</v>
      </c>
      <c r="P6">
        <f t="shared" si="0"/>
        <v>6.333333333333333</v>
      </c>
      <c r="Q6">
        <v>203</v>
      </c>
      <c r="R6">
        <v>195</v>
      </c>
      <c r="S6">
        <v>210</v>
      </c>
      <c r="T6">
        <f t="shared" si="1"/>
        <v>202.66666666666666</v>
      </c>
      <c r="U6"/>
      <c r="V6"/>
      <c r="W6"/>
      <c r="X6"/>
      <c r="Y6"/>
      <c r="Z6"/>
      <c r="AA6"/>
      <c r="AB6"/>
    </row>
    <row r="7" spans="1:28" x14ac:dyDescent="0.35">
      <c r="A7" t="s">
        <v>24</v>
      </c>
      <c r="D7" t="s">
        <v>32</v>
      </c>
      <c r="E7">
        <v>2018</v>
      </c>
      <c r="F7">
        <v>1</v>
      </c>
      <c r="G7">
        <v>6</v>
      </c>
      <c r="H7">
        <v>1</v>
      </c>
      <c r="I7">
        <v>6</v>
      </c>
      <c r="L7">
        <v>3</v>
      </c>
      <c r="M7">
        <v>8</v>
      </c>
      <c r="N7">
        <v>6</v>
      </c>
      <c r="O7">
        <v>8</v>
      </c>
      <c r="P7">
        <f t="shared" si="0"/>
        <v>7.333333333333333</v>
      </c>
      <c r="Q7">
        <v>230</v>
      </c>
      <c r="R7">
        <v>195</v>
      </c>
      <c r="S7" t="s">
        <v>741</v>
      </c>
      <c r="T7">
        <f t="shared" si="1"/>
        <v>212.5</v>
      </c>
      <c r="U7"/>
      <c r="V7"/>
      <c r="W7"/>
      <c r="X7"/>
      <c r="Y7"/>
      <c r="Z7"/>
      <c r="AA7"/>
      <c r="AB7"/>
    </row>
    <row r="8" spans="1:28" x14ac:dyDescent="0.35">
      <c r="A8" t="s">
        <v>24</v>
      </c>
      <c r="D8" t="s">
        <v>28</v>
      </c>
      <c r="E8">
        <v>1998</v>
      </c>
      <c r="F8">
        <v>1</v>
      </c>
      <c r="G8">
        <v>7</v>
      </c>
      <c r="H8">
        <v>1</v>
      </c>
      <c r="I8">
        <v>7</v>
      </c>
      <c r="L8">
        <v>3</v>
      </c>
      <c r="M8">
        <v>5</v>
      </c>
      <c r="N8">
        <v>5</v>
      </c>
      <c r="O8">
        <v>5</v>
      </c>
      <c r="P8">
        <f t="shared" si="0"/>
        <v>5</v>
      </c>
      <c r="Q8">
        <v>155</v>
      </c>
      <c r="R8">
        <v>200</v>
      </c>
      <c r="S8">
        <v>193</v>
      </c>
      <c r="T8">
        <f t="shared" si="1"/>
        <v>182.66666666666666</v>
      </c>
      <c r="U8"/>
      <c r="V8"/>
      <c r="W8"/>
      <c r="X8"/>
      <c r="Y8"/>
      <c r="Z8"/>
      <c r="AA8"/>
      <c r="AB8"/>
    </row>
    <row r="9" spans="1:28" x14ac:dyDescent="0.35">
      <c r="A9" t="s">
        <v>24</v>
      </c>
      <c r="D9" t="s">
        <v>337</v>
      </c>
      <c r="E9">
        <v>2016</v>
      </c>
      <c r="F9">
        <v>1</v>
      </c>
      <c r="G9">
        <v>8</v>
      </c>
      <c r="H9">
        <v>1</v>
      </c>
      <c r="I9">
        <v>8</v>
      </c>
      <c r="L9">
        <v>3</v>
      </c>
      <c r="M9">
        <v>5</v>
      </c>
      <c r="N9">
        <v>6</v>
      </c>
      <c r="O9">
        <v>4</v>
      </c>
      <c r="P9">
        <f t="shared" si="0"/>
        <v>5</v>
      </c>
      <c r="Q9">
        <v>150</v>
      </c>
      <c r="R9">
        <v>195</v>
      </c>
      <c r="S9">
        <v>165</v>
      </c>
      <c r="T9">
        <f t="shared" si="1"/>
        <v>170</v>
      </c>
      <c r="U9"/>
      <c r="V9"/>
      <c r="W9"/>
      <c r="X9"/>
      <c r="Y9"/>
      <c r="Z9"/>
      <c r="AA9"/>
      <c r="AB9"/>
    </row>
    <row r="10" spans="1:28" x14ac:dyDescent="0.35">
      <c r="A10" t="s">
        <v>34</v>
      </c>
      <c r="D10" t="s">
        <v>42</v>
      </c>
      <c r="E10">
        <v>2016</v>
      </c>
      <c r="F10">
        <v>1</v>
      </c>
      <c r="G10">
        <v>1</v>
      </c>
      <c r="H10">
        <v>2</v>
      </c>
      <c r="I10">
        <v>9</v>
      </c>
      <c r="L10">
        <v>3</v>
      </c>
      <c r="M10">
        <v>7</v>
      </c>
      <c r="N10">
        <v>7</v>
      </c>
      <c r="O10">
        <v>7</v>
      </c>
      <c r="P10">
        <f t="shared" si="0"/>
        <v>7</v>
      </c>
      <c r="Q10">
        <v>190</v>
      </c>
      <c r="R10">
        <v>150</v>
      </c>
      <c r="S10">
        <v>160</v>
      </c>
      <c r="T10">
        <f t="shared" si="1"/>
        <v>166.66666666666666</v>
      </c>
      <c r="U10"/>
      <c r="V10"/>
      <c r="W10"/>
      <c r="X10"/>
      <c r="Y10"/>
      <c r="Z10"/>
      <c r="AA10"/>
      <c r="AB10"/>
    </row>
    <row r="11" spans="1:28" x14ac:dyDescent="0.35">
      <c r="A11" t="s">
        <v>34</v>
      </c>
      <c r="D11" t="s">
        <v>38</v>
      </c>
      <c r="E11">
        <v>1999</v>
      </c>
      <c r="F11">
        <v>1</v>
      </c>
      <c r="G11">
        <v>2</v>
      </c>
      <c r="H11">
        <v>2</v>
      </c>
      <c r="I11">
        <v>10</v>
      </c>
      <c r="L11">
        <v>3</v>
      </c>
      <c r="M11">
        <v>6</v>
      </c>
      <c r="N11">
        <v>6</v>
      </c>
      <c r="O11">
        <v>6</v>
      </c>
      <c r="P11">
        <f t="shared" si="0"/>
        <v>6</v>
      </c>
      <c r="Q11">
        <v>150</v>
      </c>
      <c r="R11">
        <v>150</v>
      </c>
      <c r="S11">
        <v>175</v>
      </c>
      <c r="T11">
        <f t="shared" si="1"/>
        <v>158.33333333333334</v>
      </c>
      <c r="U11"/>
      <c r="V11"/>
      <c r="W11"/>
      <c r="X11"/>
      <c r="Y11"/>
      <c r="Z11"/>
      <c r="AA11"/>
      <c r="AB11"/>
    </row>
    <row r="12" spans="1:28" x14ac:dyDescent="0.35">
      <c r="A12" t="s">
        <v>34</v>
      </c>
      <c r="D12" t="s">
        <v>43</v>
      </c>
      <c r="E12">
        <v>2020</v>
      </c>
      <c r="F12">
        <v>1</v>
      </c>
      <c r="G12">
        <v>3</v>
      </c>
      <c r="H12">
        <v>2</v>
      </c>
      <c r="I12">
        <v>11</v>
      </c>
      <c r="L12">
        <v>3</v>
      </c>
      <c r="M12">
        <v>4</v>
      </c>
      <c r="N12">
        <v>6</v>
      </c>
      <c r="O12">
        <v>4</v>
      </c>
      <c r="P12">
        <f t="shared" si="0"/>
        <v>4.666666666666667</v>
      </c>
      <c r="Q12">
        <v>155</v>
      </c>
      <c r="R12">
        <v>190</v>
      </c>
      <c r="S12">
        <v>180</v>
      </c>
      <c r="T12">
        <f t="shared" si="1"/>
        <v>175</v>
      </c>
      <c r="U12"/>
      <c r="V12"/>
      <c r="W12"/>
      <c r="X12"/>
      <c r="Y12"/>
      <c r="Z12"/>
      <c r="AA12"/>
      <c r="AB12"/>
    </row>
    <row r="13" spans="1:28" x14ac:dyDescent="0.35">
      <c r="A13" t="s">
        <v>34</v>
      </c>
      <c r="D13" t="s">
        <v>41</v>
      </c>
      <c r="E13">
        <v>2008</v>
      </c>
      <c r="F13">
        <v>1</v>
      </c>
      <c r="G13">
        <v>4</v>
      </c>
      <c r="H13">
        <v>2</v>
      </c>
      <c r="I13">
        <v>12</v>
      </c>
      <c r="L13">
        <v>3</v>
      </c>
      <c r="M13">
        <v>5</v>
      </c>
      <c r="N13">
        <v>6</v>
      </c>
      <c r="O13">
        <v>5</v>
      </c>
      <c r="P13">
        <f t="shared" si="0"/>
        <v>5.333333333333333</v>
      </c>
      <c r="Q13">
        <v>170</v>
      </c>
      <c r="R13">
        <v>160</v>
      </c>
      <c r="S13">
        <v>140</v>
      </c>
      <c r="T13">
        <f t="shared" si="1"/>
        <v>156.66666666666666</v>
      </c>
      <c r="U13"/>
      <c r="V13"/>
      <c r="W13"/>
      <c r="X13"/>
      <c r="Y13"/>
      <c r="Z13"/>
      <c r="AA13"/>
      <c r="AB13"/>
    </row>
    <row r="14" spans="1:28" x14ac:dyDescent="0.35">
      <c r="A14" t="s">
        <v>34</v>
      </c>
      <c r="D14" t="s">
        <v>37</v>
      </c>
      <c r="E14">
        <v>1989</v>
      </c>
      <c r="F14">
        <v>1</v>
      </c>
      <c r="G14">
        <v>5</v>
      </c>
      <c r="H14">
        <v>2</v>
      </c>
      <c r="I14">
        <v>13</v>
      </c>
      <c r="L14">
        <v>3</v>
      </c>
      <c r="M14">
        <v>5</v>
      </c>
      <c r="N14">
        <v>4</v>
      </c>
      <c r="O14">
        <v>4</v>
      </c>
      <c r="P14">
        <f t="shared" si="0"/>
        <v>4.333333333333333</v>
      </c>
      <c r="Q14">
        <v>190</v>
      </c>
      <c r="R14">
        <v>180</v>
      </c>
      <c r="S14">
        <v>150</v>
      </c>
      <c r="T14">
        <f t="shared" si="1"/>
        <v>173.33333333333334</v>
      </c>
      <c r="U14"/>
      <c r="V14"/>
      <c r="W14"/>
      <c r="X14"/>
      <c r="Y14"/>
      <c r="Z14"/>
      <c r="AA14"/>
      <c r="AB14"/>
    </row>
    <row r="15" spans="1:28" x14ac:dyDescent="0.35">
      <c r="A15" t="s">
        <v>34</v>
      </c>
      <c r="D15" t="s">
        <v>343</v>
      </c>
      <c r="E15">
        <v>2004</v>
      </c>
      <c r="F15">
        <v>1</v>
      </c>
      <c r="G15">
        <v>6</v>
      </c>
      <c r="H15">
        <v>2</v>
      </c>
      <c r="I15">
        <v>14</v>
      </c>
      <c r="L15">
        <v>3</v>
      </c>
      <c r="M15">
        <v>4</v>
      </c>
      <c r="N15">
        <v>5</v>
      </c>
      <c r="O15">
        <v>6</v>
      </c>
      <c r="P15">
        <f t="shared" si="0"/>
        <v>5</v>
      </c>
      <c r="Q15">
        <v>155</v>
      </c>
      <c r="R15">
        <v>165</v>
      </c>
      <c r="S15">
        <v>180</v>
      </c>
      <c r="T15">
        <f t="shared" si="1"/>
        <v>166.66666666666666</v>
      </c>
      <c r="U15"/>
      <c r="V15"/>
      <c r="W15"/>
      <c r="X15"/>
      <c r="Y15"/>
      <c r="Z15"/>
      <c r="AA15"/>
      <c r="AB15"/>
    </row>
    <row r="16" spans="1:28" x14ac:dyDescent="0.35">
      <c r="A16" t="s">
        <v>34</v>
      </c>
      <c r="D16" t="s">
        <v>36</v>
      </c>
      <c r="E16">
        <v>1984</v>
      </c>
      <c r="F16">
        <v>1</v>
      </c>
      <c r="G16">
        <v>7</v>
      </c>
      <c r="H16">
        <v>2</v>
      </c>
      <c r="I16">
        <v>15</v>
      </c>
      <c r="L16">
        <v>3</v>
      </c>
      <c r="M16">
        <v>4</v>
      </c>
      <c r="N16">
        <v>6</v>
      </c>
      <c r="O16">
        <v>5</v>
      </c>
      <c r="P16">
        <f t="shared" si="0"/>
        <v>5</v>
      </c>
      <c r="Q16">
        <v>145</v>
      </c>
      <c r="R16">
        <v>160</v>
      </c>
      <c r="S16">
        <v>155</v>
      </c>
      <c r="T16">
        <f t="shared" si="1"/>
        <v>153.33333333333334</v>
      </c>
      <c r="U16"/>
      <c r="V16"/>
      <c r="W16"/>
      <c r="X16"/>
      <c r="Y16"/>
      <c r="Z16"/>
      <c r="AA16"/>
      <c r="AB16"/>
    </row>
    <row r="17" spans="1:28" x14ac:dyDescent="0.35">
      <c r="A17" t="s">
        <v>34</v>
      </c>
      <c r="D17" t="s">
        <v>39</v>
      </c>
      <c r="E17">
        <v>2001</v>
      </c>
      <c r="F17">
        <v>1</v>
      </c>
      <c r="G17">
        <v>8</v>
      </c>
      <c r="H17">
        <v>2</v>
      </c>
      <c r="I17">
        <v>16</v>
      </c>
      <c r="L17">
        <v>3</v>
      </c>
      <c r="M17">
        <v>5</v>
      </c>
      <c r="N17">
        <v>5</v>
      </c>
      <c r="O17">
        <v>5</v>
      </c>
      <c r="P17">
        <f t="shared" si="0"/>
        <v>5</v>
      </c>
      <c r="Q17">
        <v>160</v>
      </c>
      <c r="R17">
        <v>140</v>
      </c>
      <c r="S17">
        <v>170</v>
      </c>
      <c r="T17">
        <f t="shared" si="1"/>
        <v>156.66666666666666</v>
      </c>
      <c r="U17"/>
      <c r="V17"/>
      <c r="W17"/>
      <c r="X17"/>
      <c r="Y17"/>
      <c r="Z17"/>
      <c r="AA17"/>
      <c r="AB17"/>
    </row>
    <row r="18" spans="1:28" x14ac:dyDescent="0.35">
      <c r="A18" t="s">
        <v>24</v>
      </c>
      <c r="D18" t="s">
        <v>335</v>
      </c>
      <c r="E18">
        <v>2023</v>
      </c>
      <c r="F18">
        <v>2</v>
      </c>
      <c r="G18">
        <v>1</v>
      </c>
      <c r="H18">
        <v>3</v>
      </c>
      <c r="I18">
        <v>17</v>
      </c>
      <c r="L18">
        <v>3</v>
      </c>
      <c r="M18">
        <v>5</v>
      </c>
      <c r="N18">
        <v>6</v>
      </c>
      <c r="O18">
        <v>6</v>
      </c>
      <c r="P18">
        <f t="shared" si="0"/>
        <v>5.666666666666667</v>
      </c>
      <c r="Q18">
        <v>215</v>
      </c>
      <c r="R18">
        <v>180</v>
      </c>
      <c r="S18">
        <v>177</v>
      </c>
      <c r="T18">
        <f t="shared" si="1"/>
        <v>190.66666666666666</v>
      </c>
      <c r="U18"/>
      <c r="V18"/>
      <c r="W18"/>
      <c r="X18"/>
      <c r="Y18"/>
      <c r="Z18"/>
      <c r="AA18"/>
      <c r="AB18"/>
    </row>
    <row r="19" spans="1:28" x14ac:dyDescent="0.35">
      <c r="A19" t="s">
        <v>24</v>
      </c>
      <c r="D19" t="s">
        <v>28</v>
      </c>
      <c r="E19">
        <v>1998</v>
      </c>
      <c r="F19">
        <v>2</v>
      </c>
      <c r="G19">
        <v>2</v>
      </c>
      <c r="H19">
        <v>3</v>
      </c>
      <c r="I19">
        <v>18</v>
      </c>
      <c r="L19">
        <v>3</v>
      </c>
      <c r="M19">
        <v>4</v>
      </c>
      <c r="N19">
        <v>5</v>
      </c>
      <c r="O19">
        <v>5</v>
      </c>
      <c r="P19">
        <f t="shared" si="0"/>
        <v>4.666666666666667</v>
      </c>
      <c r="Q19">
        <v>115</v>
      </c>
      <c r="R19">
        <v>183</v>
      </c>
      <c r="S19">
        <v>193</v>
      </c>
      <c r="T19">
        <f t="shared" si="1"/>
        <v>163.66666666666666</v>
      </c>
      <c r="U19"/>
      <c r="V19"/>
      <c r="W19"/>
      <c r="X19"/>
      <c r="Y19"/>
      <c r="Z19"/>
      <c r="AA19"/>
      <c r="AB19"/>
    </row>
    <row r="20" spans="1:28" x14ac:dyDescent="0.35">
      <c r="A20" t="s">
        <v>24</v>
      </c>
      <c r="D20" t="s">
        <v>26</v>
      </c>
      <c r="E20">
        <v>1983</v>
      </c>
      <c r="F20">
        <v>2</v>
      </c>
      <c r="G20">
        <v>3</v>
      </c>
      <c r="H20">
        <v>3</v>
      </c>
      <c r="I20">
        <v>19</v>
      </c>
      <c r="L20">
        <v>3</v>
      </c>
      <c r="M20">
        <v>6</v>
      </c>
      <c r="N20">
        <v>4</v>
      </c>
      <c r="O20">
        <v>6</v>
      </c>
      <c r="P20">
        <f t="shared" si="0"/>
        <v>5.333333333333333</v>
      </c>
      <c r="Q20">
        <v>176</v>
      </c>
      <c r="R20">
        <v>190</v>
      </c>
      <c r="S20">
        <v>203</v>
      </c>
      <c r="T20">
        <f t="shared" si="1"/>
        <v>189.66666666666666</v>
      </c>
      <c r="U20"/>
      <c r="V20"/>
      <c r="W20"/>
      <c r="X20"/>
      <c r="Y20"/>
      <c r="Z20"/>
      <c r="AA20"/>
      <c r="AB20"/>
    </row>
    <row r="21" spans="1:28" x14ac:dyDescent="0.35">
      <c r="A21" t="s">
        <v>24</v>
      </c>
      <c r="D21" t="s">
        <v>336</v>
      </c>
      <c r="E21">
        <v>2002</v>
      </c>
      <c r="F21">
        <v>2</v>
      </c>
      <c r="G21">
        <v>4</v>
      </c>
      <c r="H21">
        <v>3</v>
      </c>
      <c r="I21">
        <v>20</v>
      </c>
      <c r="L21">
        <v>3</v>
      </c>
      <c r="M21">
        <v>8</v>
      </c>
      <c r="N21">
        <v>7</v>
      </c>
      <c r="O21">
        <v>7</v>
      </c>
      <c r="P21">
        <f t="shared" si="0"/>
        <v>7.333333333333333</v>
      </c>
      <c r="Q21">
        <v>212</v>
      </c>
      <c r="R21">
        <v>205</v>
      </c>
      <c r="S21">
        <v>235</v>
      </c>
      <c r="T21">
        <f t="shared" si="1"/>
        <v>217.33333333333334</v>
      </c>
      <c r="U21"/>
      <c r="V21"/>
      <c r="W21"/>
      <c r="X21"/>
      <c r="Y21"/>
      <c r="Z21"/>
      <c r="AA21"/>
      <c r="AB21"/>
    </row>
    <row r="22" spans="1:28" x14ac:dyDescent="0.35">
      <c r="A22" t="s">
        <v>24</v>
      </c>
      <c r="D22" t="s">
        <v>29</v>
      </c>
      <c r="E22">
        <v>1999</v>
      </c>
      <c r="F22">
        <v>2</v>
      </c>
      <c r="G22">
        <v>5</v>
      </c>
      <c r="H22">
        <v>3</v>
      </c>
      <c r="I22">
        <v>21</v>
      </c>
      <c r="L22">
        <v>3</v>
      </c>
      <c r="M22">
        <v>4</v>
      </c>
      <c r="N22">
        <v>5</v>
      </c>
      <c r="O22">
        <v>4</v>
      </c>
      <c r="P22">
        <f t="shared" si="0"/>
        <v>4.333333333333333</v>
      </c>
      <c r="Q22">
        <v>180</v>
      </c>
      <c r="R22">
        <v>180</v>
      </c>
      <c r="S22">
        <v>173</v>
      </c>
      <c r="T22">
        <f t="shared" si="1"/>
        <v>177.66666666666666</v>
      </c>
      <c r="U22"/>
      <c r="V22"/>
      <c r="W22"/>
      <c r="X22"/>
      <c r="Y22"/>
      <c r="Z22"/>
      <c r="AA22"/>
      <c r="AB22"/>
    </row>
    <row r="23" spans="1:28" x14ac:dyDescent="0.35">
      <c r="A23" t="s">
        <v>24</v>
      </c>
      <c r="D23" t="s">
        <v>337</v>
      </c>
      <c r="E23">
        <v>2016</v>
      </c>
      <c r="F23">
        <v>2</v>
      </c>
      <c r="G23">
        <v>6</v>
      </c>
      <c r="H23">
        <v>3</v>
      </c>
      <c r="I23">
        <v>22</v>
      </c>
      <c r="L23">
        <v>3</v>
      </c>
      <c r="M23">
        <v>6</v>
      </c>
      <c r="N23">
        <v>7</v>
      </c>
      <c r="O23">
        <v>5</v>
      </c>
      <c r="P23">
        <f t="shared" si="0"/>
        <v>6</v>
      </c>
      <c r="Q23">
        <v>180</v>
      </c>
      <c r="R23">
        <v>210</v>
      </c>
      <c r="S23">
        <v>150</v>
      </c>
      <c r="T23">
        <f t="shared" si="1"/>
        <v>180</v>
      </c>
      <c r="U23"/>
      <c r="V23"/>
      <c r="W23"/>
      <c r="X23"/>
      <c r="Y23"/>
      <c r="Z23"/>
      <c r="AA23"/>
      <c r="AB23"/>
    </row>
    <row r="24" spans="1:28" x14ac:dyDescent="0.35">
      <c r="A24" t="s">
        <v>24</v>
      </c>
      <c r="D24" t="s">
        <v>32</v>
      </c>
      <c r="E24">
        <v>2018</v>
      </c>
      <c r="F24">
        <v>2</v>
      </c>
      <c r="G24">
        <v>7</v>
      </c>
      <c r="H24">
        <v>3</v>
      </c>
      <c r="I24">
        <v>23</v>
      </c>
      <c r="L24">
        <v>3</v>
      </c>
      <c r="M24">
        <v>7</v>
      </c>
      <c r="N24">
        <v>6</v>
      </c>
      <c r="O24">
        <v>6</v>
      </c>
      <c r="P24">
        <f t="shared" si="0"/>
        <v>6.333333333333333</v>
      </c>
      <c r="Q24">
        <v>205</v>
      </c>
      <c r="R24">
        <v>175</v>
      </c>
      <c r="S24">
        <v>175</v>
      </c>
      <c r="T24">
        <f t="shared" si="1"/>
        <v>185</v>
      </c>
      <c r="U24"/>
      <c r="V24"/>
      <c r="W24"/>
      <c r="X24"/>
      <c r="Y24"/>
      <c r="Z24"/>
      <c r="AA24"/>
      <c r="AB24"/>
    </row>
    <row r="25" spans="1:28" x14ac:dyDescent="0.35">
      <c r="A25" t="s">
        <v>24</v>
      </c>
      <c r="D25" t="s">
        <v>27</v>
      </c>
      <c r="E25">
        <v>1985</v>
      </c>
      <c r="F25">
        <v>2</v>
      </c>
      <c r="G25">
        <v>8</v>
      </c>
      <c r="H25">
        <v>3</v>
      </c>
      <c r="I25">
        <v>24</v>
      </c>
      <c r="L25">
        <v>3</v>
      </c>
      <c r="M25">
        <v>6</v>
      </c>
      <c r="N25">
        <v>6</v>
      </c>
      <c r="O25">
        <v>6</v>
      </c>
      <c r="P25">
        <f t="shared" si="0"/>
        <v>6</v>
      </c>
      <c r="Q25">
        <v>200</v>
      </c>
      <c r="R25">
        <v>205</v>
      </c>
      <c r="S25">
        <v>180</v>
      </c>
      <c r="T25">
        <f t="shared" si="1"/>
        <v>195</v>
      </c>
      <c r="U25"/>
      <c r="V25"/>
      <c r="W25"/>
      <c r="X25"/>
      <c r="Y25"/>
      <c r="Z25"/>
      <c r="AA25"/>
      <c r="AB25"/>
    </row>
    <row r="26" spans="1:28" x14ac:dyDescent="0.35">
      <c r="A26" t="s">
        <v>34</v>
      </c>
      <c r="D26" t="s">
        <v>343</v>
      </c>
      <c r="E26">
        <v>2004</v>
      </c>
      <c r="F26">
        <v>2</v>
      </c>
      <c r="G26">
        <v>1</v>
      </c>
      <c r="H26">
        <v>4</v>
      </c>
      <c r="I26">
        <v>25</v>
      </c>
      <c r="L26">
        <v>3</v>
      </c>
      <c r="M26">
        <v>6</v>
      </c>
      <c r="N26">
        <v>4</v>
      </c>
      <c r="O26">
        <v>4</v>
      </c>
      <c r="P26">
        <f t="shared" si="0"/>
        <v>4.666666666666667</v>
      </c>
      <c r="Q26">
        <v>165</v>
      </c>
      <c r="R26">
        <v>190</v>
      </c>
      <c r="S26">
        <v>170</v>
      </c>
      <c r="T26">
        <f t="shared" si="1"/>
        <v>175</v>
      </c>
      <c r="U26"/>
      <c r="V26"/>
      <c r="W26"/>
      <c r="X26"/>
      <c r="Y26"/>
      <c r="Z26"/>
      <c r="AA26"/>
      <c r="AB26"/>
    </row>
    <row r="27" spans="1:28" x14ac:dyDescent="0.35">
      <c r="A27" t="s">
        <v>34</v>
      </c>
      <c r="D27" t="s">
        <v>43</v>
      </c>
      <c r="E27">
        <v>2020</v>
      </c>
      <c r="F27">
        <v>2</v>
      </c>
      <c r="G27">
        <v>2</v>
      </c>
      <c r="H27">
        <v>4</v>
      </c>
      <c r="I27">
        <v>26</v>
      </c>
      <c r="L27">
        <v>3</v>
      </c>
      <c r="M27">
        <v>6</v>
      </c>
      <c r="N27">
        <v>5</v>
      </c>
      <c r="O27">
        <v>5</v>
      </c>
      <c r="P27">
        <f t="shared" si="0"/>
        <v>5.333333333333333</v>
      </c>
      <c r="Q27">
        <v>150</v>
      </c>
      <c r="R27">
        <v>180</v>
      </c>
      <c r="S27">
        <v>160</v>
      </c>
      <c r="T27">
        <f t="shared" si="1"/>
        <v>163.33333333333334</v>
      </c>
      <c r="U27"/>
      <c r="V27"/>
      <c r="W27"/>
      <c r="X27"/>
      <c r="Y27"/>
      <c r="Z27"/>
      <c r="AA27"/>
      <c r="AB27"/>
    </row>
    <row r="28" spans="1:28" x14ac:dyDescent="0.35">
      <c r="A28" t="s">
        <v>34</v>
      </c>
      <c r="D28" t="s">
        <v>38</v>
      </c>
      <c r="E28">
        <v>1999</v>
      </c>
      <c r="F28">
        <v>2</v>
      </c>
      <c r="G28">
        <v>3</v>
      </c>
      <c r="H28">
        <v>4</v>
      </c>
      <c r="I28">
        <v>27</v>
      </c>
      <c r="L28">
        <v>3</v>
      </c>
      <c r="M28">
        <v>6</v>
      </c>
      <c r="N28">
        <v>6</v>
      </c>
      <c r="O28">
        <v>6</v>
      </c>
      <c r="P28">
        <f t="shared" si="0"/>
        <v>6</v>
      </c>
      <c r="Q28">
        <v>160</v>
      </c>
      <c r="R28">
        <v>170</v>
      </c>
      <c r="S28">
        <v>150</v>
      </c>
      <c r="T28">
        <f t="shared" si="1"/>
        <v>160</v>
      </c>
      <c r="U28"/>
      <c r="V28"/>
      <c r="W28"/>
      <c r="X28"/>
      <c r="Y28"/>
      <c r="Z28"/>
      <c r="AA28"/>
      <c r="AB28"/>
    </row>
    <row r="29" spans="1:28" x14ac:dyDescent="0.35">
      <c r="A29" t="s">
        <v>34</v>
      </c>
      <c r="D29" t="s">
        <v>39</v>
      </c>
      <c r="E29">
        <v>2001</v>
      </c>
      <c r="F29">
        <v>2</v>
      </c>
      <c r="G29">
        <v>4</v>
      </c>
      <c r="H29">
        <v>4</v>
      </c>
      <c r="I29">
        <v>28</v>
      </c>
      <c r="L29">
        <v>3</v>
      </c>
      <c r="M29">
        <v>6</v>
      </c>
      <c r="N29">
        <v>4</v>
      </c>
      <c r="O29">
        <v>5</v>
      </c>
      <c r="P29">
        <f t="shared" si="0"/>
        <v>5</v>
      </c>
      <c r="Q29">
        <v>190</v>
      </c>
      <c r="R29">
        <v>175</v>
      </c>
      <c r="S29">
        <v>155</v>
      </c>
      <c r="T29">
        <f t="shared" si="1"/>
        <v>173.33333333333334</v>
      </c>
      <c r="U29"/>
      <c r="V29"/>
      <c r="W29"/>
      <c r="X29"/>
      <c r="Y29"/>
      <c r="Z29"/>
      <c r="AA29"/>
      <c r="AB29"/>
    </row>
    <row r="30" spans="1:28" x14ac:dyDescent="0.35">
      <c r="A30" t="s">
        <v>34</v>
      </c>
      <c r="D30" t="s">
        <v>42</v>
      </c>
      <c r="E30">
        <v>2016</v>
      </c>
      <c r="F30">
        <v>2</v>
      </c>
      <c r="G30">
        <v>5</v>
      </c>
      <c r="H30">
        <v>4</v>
      </c>
      <c r="I30">
        <v>29</v>
      </c>
      <c r="L30">
        <v>3</v>
      </c>
      <c r="M30">
        <v>6</v>
      </c>
      <c r="O30">
        <v>7</v>
      </c>
      <c r="P30">
        <f t="shared" si="0"/>
        <v>6.5</v>
      </c>
      <c r="Q30">
        <v>185</v>
      </c>
      <c r="S30">
        <v>140</v>
      </c>
      <c r="T30">
        <f t="shared" si="1"/>
        <v>162.5</v>
      </c>
      <c r="U30"/>
      <c r="V30"/>
      <c r="W30"/>
      <c r="X30"/>
      <c r="Y30"/>
      <c r="Z30"/>
      <c r="AA30"/>
      <c r="AB30"/>
    </row>
    <row r="31" spans="1:28" x14ac:dyDescent="0.35">
      <c r="A31" t="s">
        <v>34</v>
      </c>
      <c r="D31" t="s">
        <v>36</v>
      </c>
      <c r="E31">
        <v>1984</v>
      </c>
      <c r="F31">
        <v>2</v>
      </c>
      <c r="G31">
        <v>6</v>
      </c>
      <c r="H31">
        <v>4</v>
      </c>
      <c r="I31">
        <v>30</v>
      </c>
      <c r="L31">
        <v>3</v>
      </c>
      <c r="N31">
        <v>5</v>
      </c>
      <c r="O31">
        <v>5</v>
      </c>
      <c r="P31">
        <f t="shared" si="0"/>
        <v>5</v>
      </c>
      <c r="R31">
        <v>200</v>
      </c>
      <c r="S31">
        <v>180</v>
      </c>
      <c r="T31">
        <f t="shared" si="1"/>
        <v>190</v>
      </c>
      <c r="U31"/>
      <c r="V31"/>
      <c r="W31"/>
      <c r="X31"/>
      <c r="Y31"/>
      <c r="Z31"/>
      <c r="AA31"/>
      <c r="AB31"/>
    </row>
    <row r="32" spans="1:28" x14ac:dyDescent="0.35">
      <c r="A32" t="s">
        <v>34</v>
      </c>
      <c r="D32" t="s">
        <v>41</v>
      </c>
      <c r="E32">
        <v>2008</v>
      </c>
      <c r="F32">
        <v>2</v>
      </c>
      <c r="G32">
        <v>7</v>
      </c>
      <c r="H32">
        <v>4</v>
      </c>
      <c r="I32">
        <v>31</v>
      </c>
      <c r="L32">
        <v>3</v>
      </c>
      <c r="M32">
        <v>4</v>
      </c>
      <c r="N32">
        <v>4</v>
      </c>
      <c r="O32">
        <v>7</v>
      </c>
      <c r="P32">
        <f t="shared" si="0"/>
        <v>5</v>
      </c>
      <c r="Q32">
        <v>145</v>
      </c>
      <c r="R32">
        <v>165</v>
      </c>
      <c r="S32">
        <v>180</v>
      </c>
      <c r="T32">
        <f t="shared" si="1"/>
        <v>163.33333333333334</v>
      </c>
      <c r="U32"/>
      <c r="V32"/>
      <c r="W32"/>
      <c r="X32"/>
      <c r="Y32"/>
      <c r="Z32"/>
      <c r="AA32"/>
      <c r="AB32"/>
    </row>
    <row r="33" spans="1:28" x14ac:dyDescent="0.35">
      <c r="A33" t="s">
        <v>34</v>
      </c>
      <c r="D33" t="s">
        <v>37</v>
      </c>
      <c r="E33">
        <v>1989</v>
      </c>
      <c r="F33">
        <v>2</v>
      </c>
      <c r="G33">
        <v>8</v>
      </c>
      <c r="H33">
        <v>4</v>
      </c>
      <c r="I33">
        <v>32</v>
      </c>
      <c r="L33">
        <v>3</v>
      </c>
      <c r="M33">
        <v>6</v>
      </c>
      <c r="N33">
        <v>5</v>
      </c>
      <c r="O33">
        <v>7</v>
      </c>
      <c r="P33">
        <f t="shared" si="0"/>
        <v>6</v>
      </c>
      <c r="Q33">
        <v>190</v>
      </c>
      <c r="R33">
        <v>170</v>
      </c>
      <c r="S33">
        <v>185</v>
      </c>
      <c r="T33">
        <f t="shared" si="1"/>
        <v>181.66666666666666</v>
      </c>
      <c r="U33"/>
      <c r="V33"/>
      <c r="W33"/>
      <c r="X33"/>
      <c r="Y33"/>
      <c r="Z33"/>
      <c r="AA33"/>
      <c r="AB33"/>
    </row>
    <row r="34" spans="1:28" x14ac:dyDescent="0.35">
      <c r="A34" t="s">
        <v>24</v>
      </c>
      <c r="D34" t="s">
        <v>336</v>
      </c>
      <c r="E34">
        <v>2002</v>
      </c>
      <c r="F34">
        <v>3</v>
      </c>
      <c r="G34">
        <v>1</v>
      </c>
      <c r="H34">
        <v>5</v>
      </c>
      <c r="I34">
        <v>33</v>
      </c>
      <c r="L34">
        <v>3</v>
      </c>
      <c r="M34">
        <v>7</v>
      </c>
      <c r="N34">
        <v>6</v>
      </c>
      <c r="O34">
        <v>7</v>
      </c>
      <c r="P34">
        <f t="shared" si="0"/>
        <v>6.666666666666667</v>
      </c>
      <c r="Q34">
        <v>220</v>
      </c>
      <c r="R34">
        <v>230</v>
      </c>
      <c r="S34">
        <v>240</v>
      </c>
      <c r="T34">
        <f t="shared" si="1"/>
        <v>230</v>
      </c>
      <c r="U34"/>
      <c r="V34"/>
      <c r="W34"/>
      <c r="X34"/>
      <c r="Y34"/>
      <c r="Z34"/>
      <c r="AA34"/>
      <c r="AB34"/>
    </row>
    <row r="35" spans="1:28" x14ac:dyDescent="0.35">
      <c r="A35" t="s">
        <v>24</v>
      </c>
      <c r="D35" t="s">
        <v>337</v>
      </c>
      <c r="E35">
        <v>2016</v>
      </c>
      <c r="F35">
        <v>3</v>
      </c>
      <c r="G35">
        <v>2</v>
      </c>
      <c r="H35">
        <v>5</v>
      </c>
      <c r="I35">
        <v>34</v>
      </c>
      <c r="L35">
        <v>3</v>
      </c>
      <c r="M35">
        <v>6</v>
      </c>
      <c r="N35">
        <v>7</v>
      </c>
      <c r="O35">
        <v>7</v>
      </c>
      <c r="P35">
        <f t="shared" si="0"/>
        <v>6.666666666666667</v>
      </c>
      <c r="Q35">
        <v>170</v>
      </c>
      <c r="R35">
        <v>185</v>
      </c>
      <c r="S35">
        <v>170</v>
      </c>
      <c r="T35">
        <f t="shared" si="1"/>
        <v>175</v>
      </c>
      <c r="U35"/>
      <c r="V35"/>
      <c r="W35"/>
      <c r="X35"/>
      <c r="Y35"/>
      <c r="Z35"/>
      <c r="AA35"/>
      <c r="AB35"/>
    </row>
    <row r="36" spans="1:28" x14ac:dyDescent="0.35">
      <c r="A36" t="s">
        <v>24</v>
      </c>
      <c r="D36" t="s">
        <v>32</v>
      </c>
      <c r="E36">
        <v>2018</v>
      </c>
      <c r="F36">
        <v>3</v>
      </c>
      <c r="G36">
        <v>3</v>
      </c>
      <c r="H36">
        <v>5</v>
      </c>
      <c r="I36">
        <v>35</v>
      </c>
      <c r="L36">
        <v>3</v>
      </c>
      <c r="M36">
        <v>7</v>
      </c>
      <c r="N36">
        <v>5</v>
      </c>
      <c r="O36">
        <v>5</v>
      </c>
      <c r="P36">
        <f t="shared" si="0"/>
        <v>5.666666666666667</v>
      </c>
      <c r="Q36">
        <v>215</v>
      </c>
      <c r="R36">
        <v>155</v>
      </c>
      <c r="S36">
        <v>195</v>
      </c>
      <c r="T36">
        <f t="shared" si="1"/>
        <v>188.33333333333334</v>
      </c>
      <c r="U36"/>
      <c r="V36"/>
      <c r="W36"/>
      <c r="X36"/>
      <c r="Y36"/>
      <c r="Z36"/>
      <c r="AA36"/>
      <c r="AB36"/>
    </row>
    <row r="37" spans="1:28" x14ac:dyDescent="0.35">
      <c r="A37" t="s">
        <v>24</v>
      </c>
      <c r="D37" t="s">
        <v>28</v>
      </c>
      <c r="E37">
        <v>1998</v>
      </c>
      <c r="F37">
        <v>3</v>
      </c>
      <c r="G37">
        <v>4</v>
      </c>
      <c r="H37">
        <v>5</v>
      </c>
      <c r="I37">
        <v>36</v>
      </c>
      <c r="L37">
        <v>3</v>
      </c>
      <c r="M37">
        <v>6</v>
      </c>
      <c r="N37">
        <v>6</v>
      </c>
      <c r="O37">
        <v>6</v>
      </c>
      <c r="P37">
        <f t="shared" si="0"/>
        <v>6</v>
      </c>
      <c r="Q37">
        <v>185</v>
      </c>
      <c r="S37">
        <v>190</v>
      </c>
      <c r="T37">
        <f t="shared" si="1"/>
        <v>187.5</v>
      </c>
      <c r="U37"/>
      <c r="V37"/>
      <c r="W37"/>
      <c r="X37"/>
      <c r="Y37"/>
      <c r="Z37"/>
      <c r="AA37"/>
      <c r="AB37"/>
    </row>
    <row r="38" spans="1:28" x14ac:dyDescent="0.35">
      <c r="A38" t="s">
        <v>24</v>
      </c>
      <c r="D38" t="s">
        <v>27</v>
      </c>
      <c r="E38">
        <v>1985</v>
      </c>
      <c r="F38">
        <v>3</v>
      </c>
      <c r="G38">
        <v>5</v>
      </c>
      <c r="H38">
        <v>5</v>
      </c>
      <c r="I38">
        <v>37</v>
      </c>
      <c r="L38">
        <v>3</v>
      </c>
      <c r="M38">
        <v>3</v>
      </c>
      <c r="N38">
        <v>6</v>
      </c>
      <c r="O38">
        <v>4</v>
      </c>
      <c r="P38">
        <f t="shared" si="0"/>
        <v>4.333333333333333</v>
      </c>
      <c r="Q38">
        <v>155</v>
      </c>
      <c r="R38">
        <v>180</v>
      </c>
      <c r="S38">
        <v>135</v>
      </c>
      <c r="T38">
        <f t="shared" si="1"/>
        <v>156.66666666666666</v>
      </c>
      <c r="U38"/>
      <c r="V38"/>
      <c r="W38"/>
      <c r="X38"/>
      <c r="Y38"/>
      <c r="Z38"/>
      <c r="AA38"/>
      <c r="AB38"/>
    </row>
    <row r="39" spans="1:28" x14ac:dyDescent="0.35">
      <c r="A39" t="s">
        <v>24</v>
      </c>
      <c r="D39" t="s">
        <v>335</v>
      </c>
      <c r="E39">
        <v>2023</v>
      </c>
      <c r="F39">
        <v>3</v>
      </c>
      <c r="G39">
        <v>6</v>
      </c>
      <c r="H39">
        <v>5</v>
      </c>
      <c r="I39">
        <v>38</v>
      </c>
      <c r="L39">
        <v>3</v>
      </c>
      <c r="M39">
        <v>5</v>
      </c>
      <c r="N39">
        <v>6</v>
      </c>
      <c r="O39">
        <v>6</v>
      </c>
      <c r="P39">
        <f t="shared" si="0"/>
        <v>5.666666666666667</v>
      </c>
      <c r="Q39">
        <v>180</v>
      </c>
      <c r="R39">
        <v>195</v>
      </c>
      <c r="S39">
        <v>170</v>
      </c>
      <c r="T39">
        <f t="shared" si="1"/>
        <v>181.66666666666666</v>
      </c>
      <c r="U39"/>
      <c r="V39"/>
      <c r="W39"/>
      <c r="X39"/>
      <c r="Y39"/>
      <c r="Z39"/>
      <c r="AA39"/>
      <c r="AB39"/>
    </row>
    <row r="40" spans="1:28" x14ac:dyDescent="0.35">
      <c r="A40" t="s">
        <v>24</v>
      </c>
      <c r="D40" t="s">
        <v>29</v>
      </c>
      <c r="E40">
        <v>1999</v>
      </c>
      <c r="F40">
        <v>3</v>
      </c>
      <c r="G40">
        <v>7</v>
      </c>
      <c r="H40">
        <v>5</v>
      </c>
      <c r="I40">
        <v>39</v>
      </c>
      <c r="L40">
        <v>3</v>
      </c>
      <c r="M40">
        <v>4</v>
      </c>
      <c r="N40">
        <v>5</v>
      </c>
      <c r="O40">
        <v>5</v>
      </c>
      <c r="P40">
        <f t="shared" si="0"/>
        <v>4.666666666666667</v>
      </c>
      <c r="Q40">
        <v>205</v>
      </c>
      <c r="R40">
        <v>205</v>
      </c>
      <c r="S40">
        <v>200</v>
      </c>
      <c r="T40">
        <f t="shared" si="1"/>
        <v>203.33333333333334</v>
      </c>
      <c r="U40"/>
      <c r="V40"/>
      <c r="W40"/>
      <c r="X40"/>
      <c r="Y40"/>
      <c r="Z40"/>
      <c r="AA40"/>
      <c r="AB40"/>
    </row>
    <row r="41" spans="1:28" x14ac:dyDescent="0.35">
      <c r="A41" t="s">
        <v>24</v>
      </c>
      <c r="D41" t="s">
        <v>26</v>
      </c>
      <c r="E41">
        <v>1983</v>
      </c>
      <c r="F41">
        <v>3</v>
      </c>
      <c r="G41">
        <v>8</v>
      </c>
      <c r="H41">
        <v>5</v>
      </c>
      <c r="I41">
        <v>40</v>
      </c>
      <c r="L41">
        <v>3</v>
      </c>
      <c r="M41">
        <v>6</v>
      </c>
      <c r="N41">
        <v>6</v>
      </c>
      <c r="O41">
        <v>4</v>
      </c>
      <c r="P41">
        <f t="shared" si="0"/>
        <v>5.333333333333333</v>
      </c>
      <c r="Q41">
        <v>200</v>
      </c>
      <c r="R41">
        <v>120</v>
      </c>
      <c r="S41">
        <v>170</v>
      </c>
      <c r="T41">
        <f t="shared" si="1"/>
        <v>163.33333333333334</v>
      </c>
      <c r="U41"/>
      <c r="V41"/>
      <c r="W41"/>
      <c r="X41"/>
      <c r="Y41"/>
      <c r="Z41"/>
      <c r="AA41"/>
      <c r="AB41"/>
    </row>
    <row r="42" spans="1:28" x14ac:dyDescent="0.35">
      <c r="A42" t="s">
        <v>34</v>
      </c>
      <c r="D42" t="s">
        <v>41</v>
      </c>
      <c r="E42">
        <v>2008</v>
      </c>
      <c r="F42">
        <v>3</v>
      </c>
      <c r="G42">
        <v>1</v>
      </c>
      <c r="H42">
        <v>6</v>
      </c>
      <c r="I42">
        <v>41</v>
      </c>
      <c r="L42">
        <v>3</v>
      </c>
      <c r="M42">
        <v>6</v>
      </c>
      <c r="N42">
        <v>7</v>
      </c>
      <c r="P42">
        <f t="shared" si="0"/>
        <v>6.5</v>
      </c>
      <c r="Q42">
        <v>175</v>
      </c>
      <c r="R42">
        <v>170</v>
      </c>
      <c r="T42">
        <f t="shared" si="1"/>
        <v>172.5</v>
      </c>
      <c r="U42"/>
      <c r="V42"/>
      <c r="W42"/>
      <c r="X42"/>
      <c r="Y42"/>
      <c r="Z42"/>
      <c r="AA42"/>
      <c r="AB42"/>
    </row>
    <row r="43" spans="1:28" x14ac:dyDescent="0.35">
      <c r="A43" t="s">
        <v>34</v>
      </c>
      <c r="D43" t="s">
        <v>36</v>
      </c>
      <c r="E43">
        <v>1984</v>
      </c>
      <c r="F43">
        <v>3</v>
      </c>
      <c r="G43">
        <v>2</v>
      </c>
      <c r="H43">
        <v>6</v>
      </c>
      <c r="I43">
        <v>42</v>
      </c>
      <c r="L43">
        <v>3</v>
      </c>
      <c r="M43">
        <v>5</v>
      </c>
      <c r="N43">
        <v>6</v>
      </c>
      <c r="O43">
        <v>5</v>
      </c>
      <c r="P43">
        <f t="shared" si="0"/>
        <v>5.333333333333333</v>
      </c>
      <c r="Q43">
        <v>135</v>
      </c>
      <c r="R43">
        <v>140</v>
      </c>
      <c r="S43">
        <v>150</v>
      </c>
      <c r="T43">
        <f t="shared" si="1"/>
        <v>141.66666666666666</v>
      </c>
      <c r="U43"/>
      <c r="V43"/>
      <c r="W43"/>
      <c r="X43"/>
      <c r="Y43"/>
      <c r="Z43"/>
      <c r="AA43"/>
      <c r="AB43"/>
    </row>
    <row r="44" spans="1:28" x14ac:dyDescent="0.35">
      <c r="A44" t="s">
        <v>34</v>
      </c>
      <c r="D44" t="s">
        <v>37</v>
      </c>
      <c r="E44">
        <v>1989</v>
      </c>
      <c r="F44">
        <v>3</v>
      </c>
      <c r="G44">
        <v>3</v>
      </c>
      <c r="H44">
        <v>6</v>
      </c>
      <c r="I44">
        <v>43</v>
      </c>
      <c r="L44">
        <v>3</v>
      </c>
      <c r="M44">
        <v>5</v>
      </c>
      <c r="N44">
        <v>4</v>
      </c>
      <c r="O44">
        <v>4</v>
      </c>
      <c r="P44">
        <f t="shared" si="0"/>
        <v>4.333333333333333</v>
      </c>
      <c r="Q44">
        <v>190</v>
      </c>
      <c r="R44">
        <v>140</v>
      </c>
      <c r="S44">
        <v>155</v>
      </c>
      <c r="T44">
        <f t="shared" si="1"/>
        <v>161.66666666666666</v>
      </c>
      <c r="U44"/>
      <c r="V44"/>
      <c r="W44"/>
      <c r="X44"/>
      <c r="Y44"/>
      <c r="Z44"/>
      <c r="AA44"/>
      <c r="AB44"/>
    </row>
    <row r="45" spans="1:28" x14ac:dyDescent="0.35">
      <c r="A45" t="s">
        <v>34</v>
      </c>
      <c r="D45" t="s">
        <v>42</v>
      </c>
      <c r="E45">
        <v>2016</v>
      </c>
      <c r="F45">
        <v>3</v>
      </c>
      <c r="G45">
        <v>4</v>
      </c>
      <c r="H45">
        <v>6</v>
      </c>
      <c r="I45">
        <v>44</v>
      </c>
      <c r="L45">
        <v>3</v>
      </c>
      <c r="N45">
        <v>5</v>
      </c>
      <c r="P45">
        <f t="shared" si="0"/>
        <v>5</v>
      </c>
      <c r="R45">
        <v>140</v>
      </c>
      <c r="T45">
        <f t="shared" si="1"/>
        <v>140</v>
      </c>
      <c r="U45"/>
      <c r="V45"/>
      <c r="W45"/>
      <c r="X45"/>
      <c r="Y45"/>
      <c r="Z45"/>
      <c r="AA45"/>
      <c r="AB45"/>
    </row>
    <row r="46" spans="1:28" x14ac:dyDescent="0.35">
      <c r="A46" t="s">
        <v>34</v>
      </c>
      <c r="D46" t="s">
        <v>43</v>
      </c>
      <c r="E46">
        <v>2020</v>
      </c>
      <c r="F46">
        <v>3</v>
      </c>
      <c r="G46">
        <v>5</v>
      </c>
      <c r="H46">
        <v>6</v>
      </c>
      <c r="I46">
        <v>45</v>
      </c>
      <c r="L46">
        <v>3</v>
      </c>
      <c r="M46">
        <v>7</v>
      </c>
      <c r="N46">
        <v>6</v>
      </c>
      <c r="O46">
        <v>4</v>
      </c>
      <c r="P46">
        <f t="shared" si="0"/>
        <v>5.666666666666667</v>
      </c>
      <c r="Q46">
        <v>170</v>
      </c>
      <c r="R46">
        <v>180</v>
      </c>
      <c r="S46">
        <v>155</v>
      </c>
      <c r="T46">
        <f t="shared" si="1"/>
        <v>168.33333333333334</v>
      </c>
      <c r="U46"/>
      <c r="V46"/>
      <c r="W46"/>
      <c r="X46"/>
      <c r="Y46"/>
      <c r="Z46"/>
      <c r="AA46"/>
      <c r="AB46"/>
    </row>
    <row r="47" spans="1:28" x14ac:dyDescent="0.35">
      <c r="A47" t="s">
        <v>34</v>
      </c>
      <c r="D47" t="s">
        <v>39</v>
      </c>
      <c r="E47">
        <v>2001</v>
      </c>
      <c r="F47">
        <v>3</v>
      </c>
      <c r="G47">
        <v>6</v>
      </c>
      <c r="H47">
        <v>6</v>
      </c>
      <c r="I47">
        <v>46</v>
      </c>
      <c r="L47">
        <v>3</v>
      </c>
      <c r="M47">
        <v>6</v>
      </c>
      <c r="N47">
        <v>5</v>
      </c>
      <c r="O47">
        <v>6</v>
      </c>
      <c r="P47">
        <f t="shared" si="0"/>
        <v>5.666666666666667</v>
      </c>
      <c r="Q47">
        <v>165</v>
      </c>
      <c r="R47">
        <v>145</v>
      </c>
      <c r="S47">
        <v>155</v>
      </c>
      <c r="T47">
        <f t="shared" si="1"/>
        <v>155</v>
      </c>
      <c r="U47"/>
      <c r="V47"/>
      <c r="W47"/>
      <c r="X47"/>
      <c r="Y47"/>
      <c r="Z47"/>
      <c r="AA47"/>
      <c r="AB47"/>
    </row>
    <row r="48" spans="1:28" x14ac:dyDescent="0.35">
      <c r="A48" t="s">
        <v>34</v>
      </c>
      <c r="D48" t="s">
        <v>38</v>
      </c>
      <c r="E48">
        <v>1999</v>
      </c>
      <c r="F48">
        <v>3</v>
      </c>
      <c r="G48">
        <v>7</v>
      </c>
      <c r="H48">
        <v>6</v>
      </c>
      <c r="I48">
        <v>47</v>
      </c>
      <c r="L48">
        <v>3</v>
      </c>
      <c r="M48">
        <v>6</v>
      </c>
      <c r="N48">
        <v>5</v>
      </c>
      <c r="O48">
        <v>5</v>
      </c>
      <c r="P48">
        <f t="shared" si="0"/>
        <v>5.333333333333333</v>
      </c>
      <c r="Q48">
        <v>180</v>
      </c>
      <c r="R48">
        <v>160</v>
      </c>
      <c r="S48">
        <v>150</v>
      </c>
      <c r="T48">
        <f t="shared" si="1"/>
        <v>163.33333333333334</v>
      </c>
      <c r="U48"/>
      <c r="V48"/>
      <c r="W48"/>
      <c r="X48"/>
      <c r="Y48"/>
      <c r="Z48"/>
      <c r="AA48"/>
      <c r="AB48"/>
    </row>
    <row r="49" spans="1:28" x14ac:dyDescent="0.35">
      <c r="A49" t="s">
        <v>34</v>
      </c>
      <c r="D49" t="s">
        <v>343</v>
      </c>
      <c r="E49">
        <v>2004</v>
      </c>
      <c r="F49">
        <v>3</v>
      </c>
      <c r="G49">
        <v>8</v>
      </c>
      <c r="H49">
        <v>6</v>
      </c>
      <c r="I49">
        <v>48</v>
      </c>
      <c r="L49">
        <v>3</v>
      </c>
      <c r="M49">
        <v>6</v>
      </c>
      <c r="N49">
        <v>5</v>
      </c>
      <c r="O49">
        <v>4</v>
      </c>
      <c r="P49">
        <f t="shared" si="0"/>
        <v>5</v>
      </c>
      <c r="Q49">
        <v>170</v>
      </c>
      <c r="R49">
        <v>170</v>
      </c>
      <c r="S49">
        <v>165</v>
      </c>
      <c r="T49">
        <f t="shared" si="1"/>
        <v>168.33333333333334</v>
      </c>
      <c r="U49"/>
      <c r="V49"/>
      <c r="W49"/>
      <c r="X49"/>
      <c r="Y49"/>
      <c r="Z49"/>
      <c r="AA49"/>
      <c r="AB49"/>
    </row>
    <row r="50" spans="1:28" x14ac:dyDescent="0.35">
      <c r="A50" t="s">
        <v>24</v>
      </c>
      <c r="D50" t="s">
        <v>32</v>
      </c>
      <c r="E50">
        <v>2018</v>
      </c>
      <c r="F50">
        <v>4</v>
      </c>
      <c r="G50">
        <v>1</v>
      </c>
      <c r="H50">
        <v>7</v>
      </c>
      <c r="I50">
        <v>49</v>
      </c>
      <c r="L50">
        <v>3</v>
      </c>
      <c r="M50">
        <v>7</v>
      </c>
      <c r="N50">
        <v>4</v>
      </c>
      <c r="O50">
        <v>7</v>
      </c>
      <c r="P50">
        <f t="shared" si="0"/>
        <v>6</v>
      </c>
      <c r="Q50">
        <v>225</v>
      </c>
      <c r="S50">
        <v>220</v>
      </c>
      <c r="T50">
        <f t="shared" si="1"/>
        <v>222.5</v>
      </c>
      <c r="U50"/>
      <c r="V50"/>
      <c r="W50"/>
      <c r="X50"/>
      <c r="Y50"/>
      <c r="Z50"/>
      <c r="AA50"/>
      <c r="AB50"/>
    </row>
    <row r="51" spans="1:28" x14ac:dyDescent="0.35">
      <c r="A51" t="s">
        <v>24</v>
      </c>
      <c r="D51" t="s">
        <v>29</v>
      </c>
      <c r="E51">
        <v>1999</v>
      </c>
      <c r="F51">
        <v>4</v>
      </c>
      <c r="G51">
        <v>2</v>
      </c>
      <c r="H51">
        <v>7</v>
      </c>
      <c r="I51">
        <v>50</v>
      </c>
      <c r="L51">
        <v>3</v>
      </c>
      <c r="M51">
        <v>5</v>
      </c>
      <c r="N51">
        <v>4</v>
      </c>
      <c r="O51">
        <v>5</v>
      </c>
      <c r="P51">
        <f t="shared" si="0"/>
        <v>4.666666666666667</v>
      </c>
      <c r="Q51">
        <v>145</v>
      </c>
      <c r="R51">
        <v>140</v>
      </c>
      <c r="S51">
        <v>150</v>
      </c>
      <c r="T51">
        <f t="shared" si="1"/>
        <v>145</v>
      </c>
      <c r="U51"/>
      <c r="V51"/>
      <c r="W51"/>
      <c r="X51"/>
      <c r="Y51"/>
      <c r="Z51"/>
      <c r="AA51"/>
      <c r="AB51"/>
    </row>
    <row r="52" spans="1:28" x14ac:dyDescent="0.35">
      <c r="A52" t="s">
        <v>24</v>
      </c>
      <c r="D52" t="s">
        <v>337</v>
      </c>
      <c r="E52">
        <v>2016</v>
      </c>
      <c r="F52">
        <v>4</v>
      </c>
      <c r="G52">
        <v>3</v>
      </c>
      <c r="H52">
        <v>7</v>
      </c>
      <c r="I52">
        <v>51</v>
      </c>
      <c r="L52">
        <v>3</v>
      </c>
      <c r="M52">
        <v>6</v>
      </c>
      <c r="N52">
        <v>5</v>
      </c>
      <c r="O52">
        <v>6</v>
      </c>
      <c r="P52">
        <f t="shared" si="0"/>
        <v>5.666666666666667</v>
      </c>
      <c r="Q52">
        <v>185</v>
      </c>
      <c r="R52">
        <v>190</v>
      </c>
      <c r="S52">
        <v>210</v>
      </c>
      <c r="T52">
        <f t="shared" si="1"/>
        <v>195</v>
      </c>
      <c r="U52"/>
      <c r="V52"/>
      <c r="W52"/>
      <c r="X52"/>
      <c r="Y52"/>
      <c r="Z52"/>
      <c r="AA52"/>
      <c r="AB52"/>
    </row>
    <row r="53" spans="1:28" x14ac:dyDescent="0.35">
      <c r="A53" t="s">
        <v>24</v>
      </c>
      <c r="D53" t="s">
        <v>27</v>
      </c>
      <c r="E53">
        <v>1985</v>
      </c>
      <c r="F53">
        <v>4</v>
      </c>
      <c r="G53">
        <v>4</v>
      </c>
      <c r="H53">
        <v>7</v>
      </c>
      <c r="I53">
        <v>52</v>
      </c>
      <c r="L53">
        <v>3</v>
      </c>
      <c r="M53">
        <v>6</v>
      </c>
      <c r="N53">
        <v>7</v>
      </c>
      <c r="O53">
        <v>5</v>
      </c>
      <c r="P53">
        <f t="shared" si="0"/>
        <v>6</v>
      </c>
      <c r="Q53">
        <v>160</v>
      </c>
      <c r="R53">
        <v>200</v>
      </c>
      <c r="S53">
        <v>220</v>
      </c>
      <c r="T53">
        <f t="shared" si="1"/>
        <v>193.33333333333334</v>
      </c>
      <c r="U53"/>
      <c r="V53"/>
      <c r="W53"/>
      <c r="X53"/>
      <c r="Y53"/>
      <c r="Z53"/>
      <c r="AA53"/>
      <c r="AB53"/>
    </row>
    <row r="54" spans="1:28" x14ac:dyDescent="0.35">
      <c r="A54" t="s">
        <v>24</v>
      </c>
      <c r="D54" t="s">
        <v>28</v>
      </c>
      <c r="E54">
        <v>1998</v>
      </c>
      <c r="F54">
        <v>4</v>
      </c>
      <c r="G54">
        <v>5</v>
      </c>
      <c r="H54">
        <v>7</v>
      </c>
      <c r="I54">
        <v>53</v>
      </c>
      <c r="L54">
        <v>3</v>
      </c>
      <c r="M54">
        <v>6</v>
      </c>
      <c r="N54">
        <v>5</v>
      </c>
      <c r="O54">
        <v>5</v>
      </c>
      <c r="P54">
        <f t="shared" si="0"/>
        <v>5.333333333333333</v>
      </c>
      <c r="Q54">
        <v>195</v>
      </c>
      <c r="R54">
        <v>185</v>
      </c>
      <c r="S54">
        <v>205</v>
      </c>
      <c r="T54">
        <f t="shared" si="1"/>
        <v>195</v>
      </c>
      <c r="U54"/>
      <c r="V54"/>
      <c r="W54"/>
      <c r="X54"/>
      <c r="Y54"/>
      <c r="Z54"/>
      <c r="AA54"/>
      <c r="AB54"/>
    </row>
    <row r="55" spans="1:28" x14ac:dyDescent="0.35">
      <c r="A55" t="s">
        <v>24</v>
      </c>
      <c r="D55" t="s">
        <v>26</v>
      </c>
      <c r="E55">
        <v>1983</v>
      </c>
      <c r="F55">
        <v>4</v>
      </c>
      <c r="G55">
        <v>6</v>
      </c>
      <c r="H55">
        <v>7</v>
      </c>
      <c r="I55">
        <v>54</v>
      </c>
      <c r="L55">
        <v>3</v>
      </c>
      <c r="M55">
        <v>6</v>
      </c>
      <c r="N55">
        <v>6</v>
      </c>
      <c r="O55">
        <v>5</v>
      </c>
      <c r="P55">
        <f t="shared" si="0"/>
        <v>5.666666666666667</v>
      </c>
      <c r="Q55">
        <v>210</v>
      </c>
      <c r="R55">
        <v>195</v>
      </c>
      <c r="S55">
        <v>150</v>
      </c>
      <c r="T55">
        <f t="shared" si="1"/>
        <v>185</v>
      </c>
      <c r="U55"/>
      <c r="V55"/>
      <c r="W55"/>
      <c r="X55"/>
      <c r="Y55"/>
      <c r="Z55"/>
      <c r="AA55"/>
      <c r="AB55"/>
    </row>
    <row r="56" spans="1:28" x14ac:dyDescent="0.35">
      <c r="A56" t="s">
        <v>24</v>
      </c>
      <c r="D56" t="s">
        <v>335</v>
      </c>
      <c r="E56">
        <v>2023</v>
      </c>
      <c r="F56">
        <v>4</v>
      </c>
      <c r="G56">
        <v>7</v>
      </c>
      <c r="H56">
        <v>7</v>
      </c>
      <c r="I56">
        <v>55</v>
      </c>
      <c r="L56">
        <v>3</v>
      </c>
      <c r="M56">
        <v>5</v>
      </c>
      <c r="N56">
        <v>6</v>
      </c>
      <c r="O56">
        <v>5</v>
      </c>
      <c r="P56">
        <f t="shared" si="0"/>
        <v>5.333333333333333</v>
      </c>
      <c r="Q56">
        <v>195</v>
      </c>
      <c r="R56">
        <v>180</v>
      </c>
      <c r="S56">
        <v>160</v>
      </c>
      <c r="T56">
        <f t="shared" si="1"/>
        <v>178.33333333333334</v>
      </c>
      <c r="U56"/>
      <c r="V56"/>
      <c r="W56"/>
      <c r="X56"/>
      <c r="Y56"/>
      <c r="Z56"/>
      <c r="AA56"/>
      <c r="AB56"/>
    </row>
    <row r="57" spans="1:28" x14ac:dyDescent="0.35">
      <c r="A57" t="s">
        <v>24</v>
      </c>
      <c r="D57" t="s">
        <v>336</v>
      </c>
      <c r="E57">
        <v>2002</v>
      </c>
      <c r="F57">
        <v>4</v>
      </c>
      <c r="G57">
        <v>8</v>
      </c>
      <c r="H57">
        <v>7</v>
      </c>
      <c r="I57">
        <v>56</v>
      </c>
      <c r="L57">
        <v>3</v>
      </c>
      <c r="M57">
        <v>8</v>
      </c>
      <c r="N57">
        <v>4</v>
      </c>
      <c r="O57">
        <v>7</v>
      </c>
      <c r="P57">
        <f t="shared" si="0"/>
        <v>6.333333333333333</v>
      </c>
      <c r="Q57">
        <v>230</v>
      </c>
      <c r="R57">
        <v>135</v>
      </c>
      <c r="S57">
        <v>190</v>
      </c>
      <c r="T57">
        <f t="shared" si="1"/>
        <v>185</v>
      </c>
      <c r="U57"/>
      <c r="V57"/>
      <c r="W57"/>
      <c r="X57"/>
      <c r="Y57"/>
      <c r="Z57"/>
      <c r="AA57"/>
      <c r="AB57"/>
    </row>
    <row r="58" spans="1:28" x14ac:dyDescent="0.35">
      <c r="A58" t="s">
        <v>34</v>
      </c>
      <c r="D58" t="s">
        <v>39</v>
      </c>
      <c r="E58">
        <v>2001</v>
      </c>
      <c r="F58">
        <v>4</v>
      </c>
      <c r="G58">
        <v>1</v>
      </c>
      <c r="H58">
        <v>8</v>
      </c>
      <c r="I58">
        <v>57</v>
      </c>
      <c r="L58">
        <v>3</v>
      </c>
      <c r="M58">
        <v>6</v>
      </c>
      <c r="N58">
        <v>6</v>
      </c>
      <c r="O58">
        <v>6</v>
      </c>
      <c r="P58">
        <f t="shared" si="0"/>
        <v>6</v>
      </c>
      <c r="Q58">
        <v>185</v>
      </c>
      <c r="R58">
        <v>175</v>
      </c>
      <c r="S58">
        <v>195</v>
      </c>
      <c r="T58">
        <f t="shared" si="1"/>
        <v>185</v>
      </c>
      <c r="U58"/>
      <c r="V58"/>
      <c r="W58"/>
      <c r="X58"/>
      <c r="Y58"/>
      <c r="Z58"/>
      <c r="AA58"/>
      <c r="AB58"/>
    </row>
    <row r="59" spans="1:28" x14ac:dyDescent="0.35">
      <c r="A59" t="s">
        <v>34</v>
      </c>
      <c r="D59" t="s">
        <v>37</v>
      </c>
      <c r="E59">
        <v>1989</v>
      </c>
      <c r="F59">
        <v>4</v>
      </c>
      <c r="G59">
        <v>2</v>
      </c>
      <c r="H59">
        <v>8</v>
      </c>
      <c r="I59">
        <v>58</v>
      </c>
      <c r="L59">
        <v>3</v>
      </c>
      <c r="M59">
        <v>5</v>
      </c>
      <c r="O59">
        <v>5</v>
      </c>
      <c r="P59">
        <f t="shared" si="0"/>
        <v>5</v>
      </c>
      <c r="Q59">
        <v>160</v>
      </c>
      <c r="S59">
        <v>180</v>
      </c>
      <c r="T59">
        <f t="shared" si="1"/>
        <v>170</v>
      </c>
      <c r="U59"/>
      <c r="V59"/>
      <c r="W59"/>
      <c r="X59"/>
      <c r="Y59"/>
      <c r="Z59"/>
      <c r="AA59"/>
      <c r="AB59"/>
    </row>
    <row r="60" spans="1:28" x14ac:dyDescent="0.35">
      <c r="A60" t="s">
        <v>34</v>
      </c>
      <c r="D60" t="s">
        <v>36</v>
      </c>
      <c r="E60">
        <v>1984</v>
      </c>
      <c r="F60">
        <v>4</v>
      </c>
      <c r="G60">
        <v>3</v>
      </c>
      <c r="H60">
        <v>8</v>
      </c>
      <c r="I60">
        <v>59</v>
      </c>
      <c r="L60">
        <v>3</v>
      </c>
      <c r="M60">
        <v>4</v>
      </c>
      <c r="N60">
        <v>4</v>
      </c>
      <c r="O60">
        <v>5</v>
      </c>
      <c r="P60">
        <f t="shared" si="0"/>
        <v>4.333333333333333</v>
      </c>
      <c r="Q60">
        <v>140</v>
      </c>
      <c r="R60">
        <v>155</v>
      </c>
      <c r="S60">
        <v>175</v>
      </c>
      <c r="T60">
        <f t="shared" si="1"/>
        <v>156.66666666666666</v>
      </c>
      <c r="U60"/>
      <c r="V60"/>
      <c r="W60"/>
      <c r="X60"/>
      <c r="Y60"/>
      <c r="Z60"/>
      <c r="AA60"/>
      <c r="AB60"/>
    </row>
    <row r="61" spans="1:28" x14ac:dyDescent="0.35">
      <c r="A61" t="s">
        <v>34</v>
      </c>
      <c r="D61" t="s">
        <v>343</v>
      </c>
      <c r="E61">
        <v>2004</v>
      </c>
      <c r="F61">
        <v>4</v>
      </c>
      <c r="G61">
        <v>4</v>
      </c>
      <c r="H61">
        <v>8</v>
      </c>
      <c r="I61">
        <v>60</v>
      </c>
      <c r="L61">
        <v>3</v>
      </c>
      <c r="M61">
        <v>5</v>
      </c>
      <c r="N61">
        <v>5</v>
      </c>
      <c r="O61">
        <v>6</v>
      </c>
      <c r="P61">
        <f t="shared" si="0"/>
        <v>5.333333333333333</v>
      </c>
      <c r="Q61">
        <v>185</v>
      </c>
      <c r="R61">
        <v>180</v>
      </c>
      <c r="S61">
        <v>180</v>
      </c>
      <c r="T61">
        <f t="shared" si="1"/>
        <v>181.66666666666666</v>
      </c>
      <c r="U61"/>
      <c r="V61"/>
      <c r="W61"/>
      <c r="X61"/>
      <c r="Y61"/>
      <c r="Z61"/>
      <c r="AA61"/>
      <c r="AB61"/>
    </row>
    <row r="62" spans="1:28" x14ac:dyDescent="0.35">
      <c r="A62" t="s">
        <v>34</v>
      </c>
      <c r="D62" t="s">
        <v>41</v>
      </c>
      <c r="E62">
        <v>2008</v>
      </c>
      <c r="F62">
        <v>4</v>
      </c>
      <c r="G62">
        <v>5</v>
      </c>
      <c r="H62">
        <v>8</v>
      </c>
      <c r="I62">
        <v>61</v>
      </c>
      <c r="L62">
        <v>3</v>
      </c>
      <c r="M62">
        <v>6</v>
      </c>
      <c r="N62">
        <v>6</v>
      </c>
      <c r="O62">
        <v>5</v>
      </c>
      <c r="P62">
        <f t="shared" si="0"/>
        <v>5.666666666666667</v>
      </c>
      <c r="Q62">
        <v>170</v>
      </c>
      <c r="R62">
        <v>155</v>
      </c>
      <c r="S62">
        <v>180</v>
      </c>
      <c r="T62">
        <f t="shared" si="1"/>
        <v>168.33333333333334</v>
      </c>
      <c r="U62"/>
      <c r="V62"/>
      <c r="W62"/>
      <c r="X62"/>
      <c r="Y62"/>
      <c r="Z62"/>
      <c r="AA62"/>
      <c r="AB62"/>
    </row>
    <row r="63" spans="1:28" x14ac:dyDescent="0.35">
      <c r="A63" t="s">
        <v>34</v>
      </c>
      <c r="D63" t="s">
        <v>38</v>
      </c>
      <c r="E63">
        <v>1999</v>
      </c>
      <c r="F63">
        <v>4</v>
      </c>
      <c r="G63">
        <v>6</v>
      </c>
      <c r="H63">
        <v>8</v>
      </c>
      <c r="I63">
        <v>62</v>
      </c>
      <c r="L63">
        <v>3</v>
      </c>
      <c r="M63">
        <v>6</v>
      </c>
      <c r="N63">
        <v>6</v>
      </c>
      <c r="O63">
        <v>4</v>
      </c>
      <c r="P63">
        <f t="shared" si="0"/>
        <v>5.333333333333333</v>
      </c>
      <c r="Q63">
        <v>145</v>
      </c>
      <c r="R63">
        <v>160</v>
      </c>
      <c r="S63">
        <v>180</v>
      </c>
      <c r="T63">
        <f t="shared" si="1"/>
        <v>161.66666666666666</v>
      </c>
      <c r="U63"/>
      <c r="V63"/>
      <c r="W63"/>
      <c r="X63"/>
      <c r="Y63"/>
      <c r="Z63"/>
      <c r="AA63"/>
      <c r="AB63"/>
    </row>
    <row r="64" spans="1:28" x14ac:dyDescent="0.35">
      <c r="A64" t="s">
        <v>34</v>
      </c>
      <c r="D64" t="s">
        <v>42</v>
      </c>
      <c r="E64">
        <v>2016</v>
      </c>
      <c r="F64">
        <v>4</v>
      </c>
      <c r="G64">
        <v>7</v>
      </c>
      <c r="H64">
        <v>8</v>
      </c>
      <c r="I64">
        <v>63</v>
      </c>
      <c r="L64">
        <v>3</v>
      </c>
      <c r="M64">
        <v>6</v>
      </c>
      <c r="N64">
        <v>6</v>
      </c>
      <c r="O64">
        <v>6</v>
      </c>
      <c r="P64">
        <f t="shared" si="0"/>
        <v>6</v>
      </c>
      <c r="Q64">
        <v>160</v>
      </c>
      <c r="R64">
        <v>165</v>
      </c>
      <c r="S64">
        <v>175</v>
      </c>
      <c r="T64">
        <f t="shared" si="1"/>
        <v>166.66666666666666</v>
      </c>
      <c r="U64"/>
      <c r="V64"/>
      <c r="W64"/>
      <c r="X64"/>
      <c r="Y64"/>
      <c r="Z64"/>
      <c r="AA64"/>
      <c r="AB64"/>
    </row>
    <row r="65" spans="1:28" x14ac:dyDescent="0.35">
      <c r="A65" t="s">
        <v>34</v>
      </c>
      <c r="D65" t="s">
        <v>43</v>
      </c>
      <c r="E65">
        <v>2020</v>
      </c>
      <c r="F65">
        <v>4</v>
      </c>
      <c r="G65">
        <v>8</v>
      </c>
      <c r="H65">
        <v>8</v>
      </c>
      <c r="I65">
        <v>64</v>
      </c>
      <c r="L65">
        <v>3</v>
      </c>
      <c r="M65">
        <v>6</v>
      </c>
      <c r="N65">
        <v>6</v>
      </c>
      <c r="O65">
        <v>6</v>
      </c>
      <c r="P65">
        <f t="shared" si="0"/>
        <v>6</v>
      </c>
      <c r="Q65">
        <v>200</v>
      </c>
      <c r="R65">
        <v>190</v>
      </c>
      <c r="S65">
        <v>210</v>
      </c>
      <c r="T65">
        <f t="shared" si="1"/>
        <v>200</v>
      </c>
      <c r="U65"/>
      <c r="V65"/>
      <c r="W65"/>
      <c r="X65"/>
      <c r="Y65"/>
      <c r="Z65"/>
      <c r="AA65"/>
      <c r="AB65"/>
    </row>
    <row r="66" spans="1:28" x14ac:dyDescent="0.35">
      <c r="A66" t="s">
        <v>24</v>
      </c>
      <c r="D66" t="s">
        <v>27</v>
      </c>
      <c r="E66">
        <v>1985</v>
      </c>
      <c r="F66">
        <v>1</v>
      </c>
      <c r="G66">
        <v>1</v>
      </c>
      <c r="H66">
        <v>1</v>
      </c>
      <c r="I66">
        <v>1</v>
      </c>
      <c r="L66">
        <v>6</v>
      </c>
      <c r="M66">
        <v>11</v>
      </c>
      <c r="N66">
        <v>10</v>
      </c>
      <c r="P66">
        <f t="shared" si="0"/>
        <v>10.5</v>
      </c>
      <c r="Q66">
        <v>250</v>
      </c>
      <c r="R66">
        <v>230</v>
      </c>
      <c r="T66">
        <f t="shared" si="1"/>
        <v>240</v>
      </c>
      <c r="U66"/>
      <c r="V66"/>
      <c r="W66"/>
      <c r="X66"/>
      <c r="Y66"/>
      <c r="Z66"/>
      <c r="AA66"/>
      <c r="AB66"/>
    </row>
    <row r="67" spans="1:28" x14ac:dyDescent="0.35">
      <c r="A67" t="s">
        <v>24</v>
      </c>
      <c r="D67" t="s">
        <v>26</v>
      </c>
      <c r="E67">
        <v>1983</v>
      </c>
      <c r="F67">
        <v>1</v>
      </c>
      <c r="G67">
        <v>2</v>
      </c>
      <c r="H67">
        <v>1</v>
      </c>
      <c r="I67">
        <v>2</v>
      </c>
      <c r="L67">
        <v>6</v>
      </c>
      <c r="M67">
        <v>11</v>
      </c>
      <c r="N67">
        <v>8</v>
      </c>
      <c r="P67">
        <f t="shared" ref="P67:P130" si="2">AVERAGE(M67:O67)</f>
        <v>9.5</v>
      </c>
      <c r="Q67">
        <v>265</v>
      </c>
      <c r="R67">
        <v>250</v>
      </c>
      <c r="T67">
        <f t="shared" ref="T67:T130" si="3">AVERAGE(Q67:S67)</f>
        <v>257.5</v>
      </c>
      <c r="U67"/>
      <c r="V67"/>
      <c r="W67"/>
      <c r="X67"/>
      <c r="Y67"/>
      <c r="Z67"/>
      <c r="AA67"/>
      <c r="AB67"/>
    </row>
    <row r="68" spans="1:28" x14ac:dyDescent="0.35">
      <c r="A68" t="s">
        <v>24</v>
      </c>
      <c r="D68" t="s">
        <v>335</v>
      </c>
      <c r="E68">
        <v>2023</v>
      </c>
      <c r="F68">
        <v>1</v>
      </c>
      <c r="G68">
        <v>3</v>
      </c>
      <c r="H68">
        <v>1</v>
      </c>
      <c r="I68">
        <v>3</v>
      </c>
      <c r="L68">
        <v>6</v>
      </c>
      <c r="M68">
        <v>10</v>
      </c>
      <c r="N68">
        <v>8</v>
      </c>
      <c r="O68">
        <v>8</v>
      </c>
      <c r="P68">
        <f t="shared" si="2"/>
        <v>8.6666666666666661</v>
      </c>
      <c r="Q68">
        <v>270</v>
      </c>
      <c r="R68">
        <v>250</v>
      </c>
      <c r="S68">
        <v>255</v>
      </c>
      <c r="T68">
        <f t="shared" si="3"/>
        <v>258.33333333333331</v>
      </c>
      <c r="U68"/>
      <c r="V68"/>
      <c r="W68"/>
      <c r="X68"/>
      <c r="Y68"/>
      <c r="Z68"/>
      <c r="AA68"/>
      <c r="AB68"/>
    </row>
    <row r="69" spans="1:28" x14ac:dyDescent="0.35">
      <c r="A69" t="s">
        <v>24</v>
      </c>
      <c r="D69" t="s">
        <v>29</v>
      </c>
      <c r="E69">
        <v>1999</v>
      </c>
      <c r="F69">
        <v>1</v>
      </c>
      <c r="G69">
        <v>4</v>
      </c>
      <c r="H69">
        <v>1</v>
      </c>
      <c r="I69">
        <v>4</v>
      </c>
      <c r="L69">
        <v>6</v>
      </c>
      <c r="M69">
        <v>11</v>
      </c>
      <c r="N69">
        <v>9</v>
      </c>
      <c r="O69">
        <v>8</v>
      </c>
      <c r="P69">
        <f t="shared" si="2"/>
        <v>9.3333333333333339</v>
      </c>
      <c r="Q69">
        <v>250</v>
      </c>
      <c r="R69">
        <v>210</v>
      </c>
      <c r="S69">
        <v>230</v>
      </c>
      <c r="T69">
        <f t="shared" si="3"/>
        <v>230</v>
      </c>
      <c r="U69"/>
      <c r="V69"/>
      <c r="W69"/>
      <c r="X69"/>
      <c r="Y69"/>
      <c r="Z69"/>
      <c r="AA69"/>
      <c r="AB69"/>
    </row>
    <row r="70" spans="1:28" x14ac:dyDescent="0.35">
      <c r="A70" t="s">
        <v>24</v>
      </c>
      <c r="D70" t="s">
        <v>336</v>
      </c>
      <c r="E70">
        <v>2002</v>
      </c>
      <c r="F70">
        <v>1</v>
      </c>
      <c r="G70">
        <v>5</v>
      </c>
      <c r="H70">
        <v>1</v>
      </c>
      <c r="I70">
        <v>5</v>
      </c>
      <c r="L70">
        <v>6</v>
      </c>
      <c r="M70">
        <v>9</v>
      </c>
      <c r="N70">
        <v>10</v>
      </c>
      <c r="O70">
        <v>9</v>
      </c>
      <c r="P70">
        <f t="shared" si="2"/>
        <v>9.3333333333333339</v>
      </c>
      <c r="Q70">
        <v>310</v>
      </c>
      <c r="R70">
        <v>305</v>
      </c>
      <c r="S70">
        <v>280</v>
      </c>
      <c r="T70">
        <f t="shared" si="3"/>
        <v>298.33333333333331</v>
      </c>
      <c r="U70"/>
      <c r="V70"/>
      <c r="W70"/>
      <c r="X70"/>
      <c r="Y70"/>
      <c r="Z70"/>
      <c r="AA70"/>
      <c r="AB70"/>
    </row>
    <row r="71" spans="1:28" x14ac:dyDescent="0.35">
      <c r="A71" t="s">
        <v>24</v>
      </c>
      <c r="D71" t="s">
        <v>32</v>
      </c>
      <c r="E71">
        <v>2018</v>
      </c>
      <c r="F71">
        <v>1</v>
      </c>
      <c r="G71">
        <v>6</v>
      </c>
      <c r="H71">
        <v>1</v>
      </c>
      <c r="I71">
        <v>6</v>
      </c>
      <c r="L71">
        <v>6</v>
      </c>
      <c r="M71">
        <v>10</v>
      </c>
      <c r="N71">
        <v>8</v>
      </c>
      <c r="O71">
        <v>10</v>
      </c>
      <c r="P71">
        <f t="shared" si="2"/>
        <v>9.3333333333333339</v>
      </c>
      <c r="Q71">
        <v>280</v>
      </c>
      <c r="R71">
        <v>245</v>
      </c>
      <c r="S71">
        <v>240</v>
      </c>
      <c r="T71">
        <f t="shared" si="3"/>
        <v>255</v>
      </c>
      <c r="U71"/>
      <c r="V71"/>
      <c r="W71"/>
      <c r="X71"/>
      <c r="Y71"/>
      <c r="Z71"/>
      <c r="AA71"/>
      <c r="AB71"/>
    </row>
    <row r="72" spans="1:28" x14ac:dyDescent="0.35">
      <c r="A72" t="s">
        <v>24</v>
      </c>
      <c r="D72" t="s">
        <v>28</v>
      </c>
      <c r="E72">
        <v>1998</v>
      </c>
      <c r="F72">
        <v>1</v>
      </c>
      <c r="G72">
        <v>7</v>
      </c>
      <c r="H72">
        <v>1</v>
      </c>
      <c r="I72">
        <v>7</v>
      </c>
      <c r="L72">
        <v>6</v>
      </c>
      <c r="M72">
        <v>8</v>
      </c>
      <c r="N72">
        <v>9</v>
      </c>
      <c r="O72">
        <v>7</v>
      </c>
      <c r="P72">
        <f t="shared" si="2"/>
        <v>8</v>
      </c>
      <c r="Q72">
        <v>215</v>
      </c>
      <c r="R72">
        <v>220</v>
      </c>
      <c r="S72">
        <v>210</v>
      </c>
      <c r="T72">
        <f t="shared" si="3"/>
        <v>215</v>
      </c>
      <c r="U72"/>
      <c r="V72"/>
      <c r="W72"/>
      <c r="X72"/>
      <c r="Y72"/>
      <c r="Z72"/>
      <c r="AA72"/>
      <c r="AB72"/>
    </row>
    <row r="73" spans="1:28" x14ac:dyDescent="0.35">
      <c r="A73" t="s">
        <v>24</v>
      </c>
      <c r="D73" t="s">
        <v>337</v>
      </c>
      <c r="E73">
        <v>2016</v>
      </c>
      <c r="F73">
        <v>1</v>
      </c>
      <c r="G73">
        <v>8</v>
      </c>
      <c r="H73">
        <v>1</v>
      </c>
      <c r="I73">
        <v>8</v>
      </c>
      <c r="L73">
        <v>6</v>
      </c>
      <c r="M73">
        <v>8</v>
      </c>
      <c r="N73">
        <v>8</v>
      </c>
      <c r="O73">
        <v>8</v>
      </c>
      <c r="P73">
        <f t="shared" si="2"/>
        <v>8</v>
      </c>
      <c r="Q73">
        <v>190</v>
      </c>
      <c r="R73">
        <v>200</v>
      </c>
      <c r="S73">
        <v>225</v>
      </c>
      <c r="T73">
        <f t="shared" si="3"/>
        <v>205</v>
      </c>
      <c r="U73"/>
      <c r="V73"/>
      <c r="W73"/>
      <c r="X73"/>
      <c r="Y73"/>
      <c r="Z73"/>
      <c r="AA73"/>
      <c r="AB73"/>
    </row>
    <row r="74" spans="1:28" x14ac:dyDescent="0.35">
      <c r="A74" t="s">
        <v>34</v>
      </c>
      <c r="D74" t="s">
        <v>42</v>
      </c>
      <c r="E74">
        <v>2016</v>
      </c>
      <c r="F74">
        <v>1</v>
      </c>
      <c r="G74">
        <v>1</v>
      </c>
      <c r="H74">
        <v>2</v>
      </c>
      <c r="I74">
        <v>9</v>
      </c>
      <c r="L74">
        <v>6</v>
      </c>
      <c r="M74">
        <v>16</v>
      </c>
      <c r="N74">
        <v>14</v>
      </c>
      <c r="O74">
        <v>13</v>
      </c>
      <c r="P74">
        <f t="shared" si="2"/>
        <v>14.333333333333334</v>
      </c>
      <c r="Q74">
        <v>260</v>
      </c>
      <c r="R74">
        <v>225</v>
      </c>
      <c r="S74">
        <v>220</v>
      </c>
      <c r="T74">
        <f t="shared" si="3"/>
        <v>235</v>
      </c>
      <c r="U74"/>
      <c r="V74"/>
      <c r="W74"/>
      <c r="X74"/>
      <c r="Y74"/>
      <c r="Z74"/>
      <c r="AA74"/>
      <c r="AB74"/>
    </row>
    <row r="75" spans="1:28" x14ac:dyDescent="0.35">
      <c r="A75" t="s">
        <v>34</v>
      </c>
      <c r="D75" t="s">
        <v>38</v>
      </c>
      <c r="E75">
        <v>1999</v>
      </c>
      <c r="F75">
        <v>1</v>
      </c>
      <c r="G75">
        <v>2</v>
      </c>
      <c r="H75">
        <v>2</v>
      </c>
      <c r="I75">
        <v>10</v>
      </c>
      <c r="L75">
        <v>6</v>
      </c>
      <c r="M75">
        <v>13</v>
      </c>
      <c r="N75">
        <v>11</v>
      </c>
      <c r="O75">
        <v>11</v>
      </c>
      <c r="P75">
        <f t="shared" si="2"/>
        <v>11.666666666666666</v>
      </c>
      <c r="Q75">
        <v>285</v>
      </c>
      <c r="R75">
        <v>235</v>
      </c>
      <c r="S75">
        <v>260</v>
      </c>
      <c r="T75">
        <f t="shared" si="3"/>
        <v>260</v>
      </c>
      <c r="U75"/>
      <c r="V75"/>
      <c r="W75"/>
      <c r="X75"/>
      <c r="Y75"/>
      <c r="Z75"/>
      <c r="AA75"/>
      <c r="AB75"/>
    </row>
    <row r="76" spans="1:28" x14ac:dyDescent="0.35">
      <c r="A76" t="s">
        <v>34</v>
      </c>
      <c r="D76" t="s">
        <v>43</v>
      </c>
      <c r="E76">
        <v>2020</v>
      </c>
      <c r="F76">
        <v>1</v>
      </c>
      <c r="G76">
        <v>3</v>
      </c>
      <c r="H76">
        <v>2</v>
      </c>
      <c r="I76">
        <v>11</v>
      </c>
      <c r="L76">
        <v>6</v>
      </c>
      <c r="M76">
        <v>12</v>
      </c>
      <c r="N76">
        <v>12</v>
      </c>
      <c r="O76">
        <v>12</v>
      </c>
      <c r="P76">
        <f t="shared" si="2"/>
        <v>12</v>
      </c>
      <c r="Q76">
        <v>235</v>
      </c>
      <c r="R76">
        <v>270</v>
      </c>
      <c r="S76">
        <v>262</v>
      </c>
      <c r="T76">
        <f t="shared" si="3"/>
        <v>255.66666666666666</v>
      </c>
      <c r="U76"/>
      <c r="V76"/>
      <c r="W76"/>
      <c r="X76"/>
      <c r="Y76"/>
      <c r="Z76"/>
      <c r="AA76"/>
      <c r="AB76"/>
    </row>
    <row r="77" spans="1:28" x14ac:dyDescent="0.35">
      <c r="A77" t="s">
        <v>34</v>
      </c>
      <c r="D77" t="s">
        <v>41</v>
      </c>
      <c r="E77">
        <v>2008</v>
      </c>
      <c r="F77">
        <v>1</v>
      </c>
      <c r="G77">
        <v>4</v>
      </c>
      <c r="H77">
        <v>2</v>
      </c>
      <c r="I77">
        <v>12</v>
      </c>
      <c r="L77">
        <v>6</v>
      </c>
      <c r="M77">
        <v>13</v>
      </c>
      <c r="N77">
        <v>13</v>
      </c>
      <c r="O77">
        <v>11</v>
      </c>
      <c r="P77">
        <f t="shared" si="2"/>
        <v>12.333333333333334</v>
      </c>
      <c r="Q77">
        <v>240</v>
      </c>
      <c r="R77">
        <v>230</v>
      </c>
      <c r="S77">
        <v>210</v>
      </c>
      <c r="T77">
        <f t="shared" si="3"/>
        <v>226.66666666666666</v>
      </c>
      <c r="U77"/>
      <c r="V77"/>
      <c r="W77"/>
      <c r="X77"/>
      <c r="Y77"/>
      <c r="Z77"/>
      <c r="AA77"/>
      <c r="AB77"/>
    </row>
    <row r="78" spans="1:28" x14ac:dyDescent="0.35">
      <c r="A78" t="s">
        <v>34</v>
      </c>
      <c r="D78" t="s">
        <v>37</v>
      </c>
      <c r="E78">
        <v>1989</v>
      </c>
      <c r="F78">
        <v>1</v>
      </c>
      <c r="G78">
        <v>5</v>
      </c>
      <c r="H78">
        <v>2</v>
      </c>
      <c r="I78">
        <v>13</v>
      </c>
      <c r="L78">
        <v>6</v>
      </c>
      <c r="M78">
        <v>13</v>
      </c>
      <c r="N78">
        <v>10</v>
      </c>
      <c r="O78">
        <v>11</v>
      </c>
      <c r="P78">
        <f t="shared" si="2"/>
        <v>11.333333333333334</v>
      </c>
      <c r="Q78">
        <v>270</v>
      </c>
      <c r="R78">
        <v>230</v>
      </c>
      <c r="S78">
        <v>210</v>
      </c>
      <c r="T78">
        <f t="shared" si="3"/>
        <v>236.66666666666666</v>
      </c>
      <c r="U78"/>
      <c r="V78"/>
      <c r="W78"/>
      <c r="X78"/>
      <c r="Y78"/>
      <c r="Z78"/>
      <c r="AA78"/>
      <c r="AB78"/>
    </row>
    <row r="79" spans="1:28" x14ac:dyDescent="0.35">
      <c r="A79" t="s">
        <v>34</v>
      </c>
      <c r="D79" t="s">
        <v>343</v>
      </c>
      <c r="E79">
        <v>2004</v>
      </c>
      <c r="F79">
        <v>1</v>
      </c>
      <c r="G79">
        <v>6</v>
      </c>
      <c r="H79">
        <v>2</v>
      </c>
      <c r="I79">
        <v>14</v>
      </c>
      <c r="L79">
        <v>6</v>
      </c>
      <c r="M79">
        <v>11</v>
      </c>
      <c r="N79">
        <v>11</v>
      </c>
      <c r="O79">
        <v>11</v>
      </c>
      <c r="P79">
        <f t="shared" si="2"/>
        <v>11</v>
      </c>
      <c r="Q79">
        <v>265</v>
      </c>
      <c r="R79">
        <v>245</v>
      </c>
      <c r="S79">
        <v>260</v>
      </c>
      <c r="T79">
        <f t="shared" si="3"/>
        <v>256.66666666666669</v>
      </c>
      <c r="U79"/>
      <c r="V79"/>
      <c r="W79"/>
      <c r="X79"/>
      <c r="Y79"/>
      <c r="Z79"/>
      <c r="AA79"/>
      <c r="AB79"/>
    </row>
    <row r="80" spans="1:28" x14ac:dyDescent="0.35">
      <c r="A80" t="s">
        <v>34</v>
      </c>
      <c r="D80" t="s">
        <v>36</v>
      </c>
      <c r="E80">
        <v>1984</v>
      </c>
      <c r="F80">
        <v>1</v>
      </c>
      <c r="G80">
        <v>7</v>
      </c>
      <c r="H80">
        <v>2</v>
      </c>
      <c r="I80">
        <v>15</v>
      </c>
      <c r="L80">
        <v>6</v>
      </c>
      <c r="M80">
        <v>11</v>
      </c>
      <c r="N80">
        <v>10</v>
      </c>
      <c r="O80">
        <v>10</v>
      </c>
      <c r="P80">
        <f t="shared" si="2"/>
        <v>10.333333333333334</v>
      </c>
      <c r="Q80">
        <v>240</v>
      </c>
      <c r="R80">
        <v>245</v>
      </c>
      <c r="S80">
        <v>210</v>
      </c>
      <c r="T80">
        <f t="shared" si="3"/>
        <v>231.66666666666666</v>
      </c>
      <c r="U80"/>
      <c r="V80"/>
      <c r="W80"/>
      <c r="X80"/>
      <c r="Y80"/>
      <c r="Z80"/>
      <c r="AA80"/>
      <c r="AB80"/>
    </row>
    <row r="81" spans="1:28" x14ac:dyDescent="0.35">
      <c r="A81" t="s">
        <v>34</v>
      </c>
      <c r="D81" t="s">
        <v>39</v>
      </c>
      <c r="E81">
        <v>2001</v>
      </c>
      <c r="F81">
        <v>1</v>
      </c>
      <c r="G81">
        <v>8</v>
      </c>
      <c r="H81">
        <v>2</v>
      </c>
      <c r="I81">
        <v>16</v>
      </c>
      <c r="L81">
        <v>6</v>
      </c>
      <c r="M81">
        <v>11</v>
      </c>
      <c r="N81">
        <v>13</v>
      </c>
      <c r="O81">
        <v>11</v>
      </c>
      <c r="P81">
        <f t="shared" si="2"/>
        <v>11.666666666666666</v>
      </c>
      <c r="Q81">
        <v>205</v>
      </c>
      <c r="R81">
        <v>220</v>
      </c>
      <c r="S81">
        <v>215</v>
      </c>
      <c r="T81">
        <f t="shared" si="3"/>
        <v>213.33333333333334</v>
      </c>
      <c r="U81"/>
      <c r="V81"/>
      <c r="W81"/>
      <c r="X81"/>
      <c r="Y81"/>
      <c r="Z81"/>
      <c r="AA81"/>
      <c r="AB81"/>
    </row>
    <row r="82" spans="1:28" x14ac:dyDescent="0.35">
      <c r="A82" t="s">
        <v>24</v>
      </c>
      <c r="D82" t="s">
        <v>335</v>
      </c>
      <c r="E82">
        <v>2023</v>
      </c>
      <c r="F82">
        <v>2</v>
      </c>
      <c r="G82">
        <v>1</v>
      </c>
      <c r="H82">
        <v>3</v>
      </c>
      <c r="I82">
        <v>17</v>
      </c>
      <c r="L82">
        <v>6</v>
      </c>
      <c r="M82">
        <v>9</v>
      </c>
      <c r="N82">
        <v>9</v>
      </c>
      <c r="O82">
        <v>8</v>
      </c>
      <c r="P82">
        <f t="shared" si="2"/>
        <v>8.6666666666666661</v>
      </c>
      <c r="Q82">
        <v>260</v>
      </c>
      <c r="R82">
        <v>250</v>
      </c>
      <c r="S82">
        <v>230</v>
      </c>
      <c r="T82">
        <f t="shared" si="3"/>
        <v>246.66666666666666</v>
      </c>
      <c r="U82"/>
      <c r="V82"/>
      <c r="W82"/>
      <c r="X82"/>
      <c r="Y82"/>
      <c r="Z82"/>
      <c r="AA82"/>
      <c r="AB82"/>
    </row>
    <row r="83" spans="1:28" x14ac:dyDescent="0.35">
      <c r="A83" t="s">
        <v>24</v>
      </c>
      <c r="D83" t="s">
        <v>28</v>
      </c>
      <c r="E83">
        <v>1998</v>
      </c>
      <c r="F83">
        <v>2</v>
      </c>
      <c r="G83">
        <v>2</v>
      </c>
      <c r="H83">
        <v>3</v>
      </c>
      <c r="I83">
        <v>18</v>
      </c>
      <c r="L83">
        <v>6</v>
      </c>
      <c r="M83">
        <v>10</v>
      </c>
      <c r="N83">
        <v>11</v>
      </c>
      <c r="O83">
        <v>9</v>
      </c>
      <c r="P83">
        <f t="shared" si="2"/>
        <v>10</v>
      </c>
      <c r="Q83">
        <v>250</v>
      </c>
      <c r="R83">
        <v>235</v>
      </c>
      <c r="S83">
        <v>235</v>
      </c>
      <c r="T83">
        <f t="shared" si="3"/>
        <v>240</v>
      </c>
      <c r="U83"/>
      <c r="V83"/>
      <c r="W83"/>
      <c r="X83"/>
      <c r="Y83"/>
      <c r="Z83"/>
      <c r="AA83"/>
      <c r="AB83"/>
    </row>
    <row r="84" spans="1:28" x14ac:dyDescent="0.35">
      <c r="A84" t="s">
        <v>24</v>
      </c>
      <c r="D84" t="s">
        <v>26</v>
      </c>
      <c r="E84">
        <v>1983</v>
      </c>
      <c r="F84">
        <v>2</v>
      </c>
      <c r="G84">
        <v>3</v>
      </c>
      <c r="H84">
        <v>3</v>
      </c>
      <c r="I84">
        <v>19</v>
      </c>
      <c r="L84">
        <v>6</v>
      </c>
      <c r="M84">
        <v>8</v>
      </c>
      <c r="N84">
        <v>7</v>
      </c>
      <c r="P84">
        <f t="shared" si="2"/>
        <v>7.5</v>
      </c>
      <c r="Q84">
        <v>270</v>
      </c>
      <c r="R84">
        <v>230</v>
      </c>
      <c r="T84">
        <f t="shared" si="3"/>
        <v>250</v>
      </c>
      <c r="U84"/>
      <c r="V84"/>
      <c r="W84"/>
      <c r="X84"/>
      <c r="Y84"/>
      <c r="Z84"/>
      <c r="AA84"/>
      <c r="AB84"/>
    </row>
    <row r="85" spans="1:28" x14ac:dyDescent="0.35">
      <c r="A85" t="s">
        <v>24</v>
      </c>
      <c r="D85" t="s">
        <v>336</v>
      </c>
      <c r="E85">
        <v>2002</v>
      </c>
      <c r="F85">
        <v>2</v>
      </c>
      <c r="G85">
        <v>4</v>
      </c>
      <c r="H85">
        <v>3</v>
      </c>
      <c r="I85">
        <v>20</v>
      </c>
      <c r="L85">
        <v>6</v>
      </c>
      <c r="M85">
        <v>12</v>
      </c>
      <c r="N85">
        <v>12</v>
      </c>
      <c r="O85">
        <v>12</v>
      </c>
      <c r="P85">
        <f t="shared" si="2"/>
        <v>12</v>
      </c>
      <c r="Q85">
        <v>320</v>
      </c>
      <c r="R85">
        <v>330</v>
      </c>
      <c r="S85">
        <v>340</v>
      </c>
      <c r="T85">
        <f t="shared" si="3"/>
        <v>330</v>
      </c>
      <c r="U85"/>
      <c r="V85"/>
      <c r="W85"/>
      <c r="X85"/>
      <c r="Y85"/>
      <c r="Z85"/>
      <c r="AA85"/>
      <c r="AB85"/>
    </row>
    <row r="86" spans="1:28" x14ac:dyDescent="0.35">
      <c r="A86" t="s">
        <v>24</v>
      </c>
      <c r="D86" t="s">
        <v>29</v>
      </c>
      <c r="E86">
        <v>1999</v>
      </c>
      <c r="F86">
        <v>2</v>
      </c>
      <c r="G86">
        <v>5</v>
      </c>
      <c r="H86">
        <v>3</v>
      </c>
      <c r="I86">
        <v>21</v>
      </c>
      <c r="L86">
        <v>6</v>
      </c>
      <c r="M86">
        <v>8</v>
      </c>
      <c r="N86">
        <v>8</v>
      </c>
      <c r="O86">
        <v>7</v>
      </c>
      <c r="P86">
        <f t="shared" si="2"/>
        <v>7.666666666666667</v>
      </c>
      <c r="Q86">
        <v>220</v>
      </c>
      <c r="R86">
        <v>255</v>
      </c>
      <c r="S86">
        <v>255</v>
      </c>
      <c r="T86">
        <f t="shared" si="3"/>
        <v>243.33333333333334</v>
      </c>
      <c r="U86"/>
      <c r="V86"/>
      <c r="W86"/>
      <c r="X86"/>
      <c r="Y86"/>
      <c r="Z86"/>
      <c r="AA86"/>
      <c r="AB86"/>
    </row>
    <row r="87" spans="1:28" x14ac:dyDescent="0.35">
      <c r="A87" t="s">
        <v>24</v>
      </c>
      <c r="D87" t="s">
        <v>337</v>
      </c>
      <c r="E87">
        <v>2016</v>
      </c>
      <c r="F87">
        <v>2</v>
      </c>
      <c r="G87">
        <v>6</v>
      </c>
      <c r="H87">
        <v>3</v>
      </c>
      <c r="I87">
        <v>22</v>
      </c>
      <c r="L87">
        <v>6</v>
      </c>
      <c r="M87">
        <v>6</v>
      </c>
      <c r="N87">
        <v>10</v>
      </c>
      <c r="O87">
        <v>8</v>
      </c>
      <c r="P87">
        <f t="shared" si="2"/>
        <v>8</v>
      </c>
      <c r="Q87">
        <v>220</v>
      </c>
      <c r="R87">
        <v>220</v>
      </c>
      <c r="S87">
        <v>200</v>
      </c>
      <c r="T87">
        <f t="shared" si="3"/>
        <v>213.33333333333334</v>
      </c>
      <c r="U87"/>
      <c r="V87"/>
      <c r="W87"/>
      <c r="X87"/>
      <c r="Y87"/>
      <c r="Z87"/>
      <c r="AA87"/>
      <c r="AB87"/>
    </row>
    <row r="88" spans="1:28" x14ac:dyDescent="0.35">
      <c r="A88" t="s">
        <v>24</v>
      </c>
      <c r="D88" t="s">
        <v>32</v>
      </c>
      <c r="E88">
        <v>2018</v>
      </c>
      <c r="F88">
        <v>2</v>
      </c>
      <c r="G88">
        <v>7</v>
      </c>
      <c r="H88">
        <v>3</v>
      </c>
      <c r="I88">
        <v>23</v>
      </c>
      <c r="L88">
        <v>6</v>
      </c>
      <c r="M88">
        <v>10</v>
      </c>
      <c r="N88">
        <v>9</v>
      </c>
      <c r="O88">
        <v>10</v>
      </c>
      <c r="P88">
        <f t="shared" si="2"/>
        <v>9.6666666666666661</v>
      </c>
      <c r="Q88">
        <v>250</v>
      </c>
      <c r="R88">
        <v>230</v>
      </c>
      <c r="S88">
        <v>250</v>
      </c>
      <c r="T88">
        <f t="shared" si="3"/>
        <v>243.33333333333334</v>
      </c>
      <c r="U88"/>
      <c r="V88"/>
      <c r="W88"/>
      <c r="X88"/>
      <c r="Y88"/>
      <c r="Z88"/>
      <c r="AA88"/>
      <c r="AB88"/>
    </row>
    <row r="89" spans="1:28" x14ac:dyDescent="0.35">
      <c r="A89" t="s">
        <v>24</v>
      </c>
      <c r="D89" t="s">
        <v>27</v>
      </c>
      <c r="E89">
        <v>1985</v>
      </c>
      <c r="F89">
        <v>2</v>
      </c>
      <c r="G89">
        <v>8</v>
      </c>
      <c r="H89">
        <v>3</v>
      </c>
      <c r="I89">
        <v>24</v>
      </c>
      <c r="L89">
        <v>6</v>
      </c>
      <c r="M89">
        <v>8</v>
      </c>
      <c r="N89">
        <v>7</v>
      </c>
      <c r="O89">
        <v>8</v>
      </c>
      <c r="P89">
        <f t="shared" si="2"/>
        <v>7.666666666666667</v>
      </c>
      <c r="Q89">
        <v>245</v>
      </c>
      <c r="R89">
        <v>245</v>
      </c>
      <c r="S89">
        <v>225</v>
      </c>
      <c r="T89">
        <f t="shared" si="3"/>
        <v>238.33333333333334</v>
      </c>
      <c r="U89"/>
      <c r="V89"/>
      <c r="W89"/>
      <c r="X89"/>
      <c r="Y89"/>
      <c r="Z89"/>
      <c r="AA89"/>
      <c r="AB89"/>
    </row>
    <row r="90" spans="1:28" x14ac:dyDescent="0.35">
      <c r="A90" t="s">
        <v>34</v>
      </c>
      <c r="D90" t="s">
        <v>343</v>
      </c>
      <c r="E90">
        <v>2004</v>
      </c>
      <c r="F90">
        <v>2</v>
      </c>
      <c r="G90">
        <v>1</v>
      </c>
      <c r="H90">
        <v>4</v>
      </c>
      <c r="I90">
        <v>25</v>
      </c>
      <c r="L90">
        <v>6</v>
      </c>
      <c r="M90">
        <v>11</v>
      </c>
      <c r="N90">
        <v>13</v>
      </c>
      <c r="O90">
        <v>12</v>
      </c>
      <c r="P90">
        <f t="shared" si="2"/>
        <v>12</v>
      </c>
      <c r="Q90">
        <v>260</v>
      </c>
      <c r="R90">
        <v>250</v>
      </c>
      <c r="S90">
        <v>280</v>
      </c>
      <c r="T90">
        <f t="shared" si="3"/>
        <v>263.33333333333331</v>
      </c>
      <c r="U90"/>
      <c r="V90"/>
      <c r="W90"/>
      <c r="X90"/>
      <c r="Y90"/>
      <c r="Z90"/>
      <c r="AA90"/>
      <c r="AB90"/>
    </row>
    <row r="91" spans="1:28" x14ac:dyDescent="0.35">
      <c r="A91" t="s">
        <v>34</v>
      </c>
      <c r="D91" t="s">
        <v>43</v>
      </c>
      <c r="E91">
        <v>2020</v>
      </c>
      <c r="F91">
        <v>2</v>
      </c>
      <c r="G91">
        <v>2</v>
      </c>
      <c r="H91">
        <v>4</v>
      </c>
      <c r="I91">
        <v>26</v>
      </c>
      <c r="L91">
        <v>6</v>
      </c>
      <c r="M91">
        <v>13</v>
      </c>
      <c r="N91">
        <v>14</v>
      </c>
      <c r="O91">
        <v>13</v>
      </c>
      <c r="P91">
        <f t="shared" si="2"/>
        <v>13.333333333333334</v>
      </c>
      <c r="Q91">
        <v>305</v>
      </c>
      <c r="R91">
        <v>280</v>
      </c>
      <c r="S91">
        <v>310</v>
      </c>
      <c r="T91">
        <f t="shared" si="3"/>
        <v>298.33333333333331</v>
      </c>
      <c r="U91"/>
      <c r="V91"/>
      <c r="W91"/>
      <c r="X91"/>
      <c r="Y91"/>
      <c r="Z91"/>
      <c r="AA91"/>
      <c r="AB91"/>
    </row>
    <row r="92" spans="1:28" x14ac:dyDescent="0.35">
      <c r="A92" t="s">
        <v>34</v>
      </c>
      <c r="D92" t="s">
        <v>38</v>
      </c>
      <c r="E92">
        <v>1999</v>
      </c>
      <c r="F92">
        <v>2</v>
      </c>
      <c r="G92">
        <v>3</v>
      </c>
      <c r="H92">
        <v>4</v>
      </c>
      <c r="I92">
        <v>27</v>
      </c>
      <c r="L92">
        <v>6</v>
      </c>
      <c r="M92">
        <v>13</v>
      </c>
      <c r="N92">
        <v>13</v>
      </c>
      <c r="O92">
        <v>12</v>
      </c>
      <c r="P92">
        <f t="shared" si="2"/>
        <v>12.666666666666666</v>
      </c>
      <c r="Q92">
        <v>285</v>
      </c>
      <c r="R92">
        <v>255</v>
      </c>
      <c r="S92">
        <v>235</v>
      </c>
      <c r="T92">
        <f t="shared" si="3"/>
        <v>258.33333333333331</v>
      </c>
      <c r="U92"/>
      <c r="V92"/>
      <c r="W92"/>
      <c r="X92"/>
      <c r="Y92"/>
      <c r="Z92"/>
      <c r="AA92"/>
      <c r="AB92"/>
    </row>
    <row r="93" spans="1:28" x14ac:dyDescent="0.35">
      <c r="A93" t="s">
        <v>34</v>
      </c>
      <c r="D93" t="s">
        <v>39</v>
      </c>
      <c r="E93">
        <v>2001</v>
      </c>
      <c r="F93">
        <v>2</v>
      </c>
      <c r="G93">
        <v>4</v>
      </c>
      <c r="H93">
        <v>4</v>
      </c>
      <c r="I93">
        <v>28</v>
      </c>
      <c r="L93">
        <v>6</v>
      </c>
      <c r="M93">
        <v>13</v>
      </c>
      <c r="N93">
        <v>11</v>
      </c>
      <c r="O93">
        <v>11</v>
      </c>
      <c r="P93">
        <f t="shared" si="2"/>
        <v>11.666666666666666</v>
      </c>
      <c r="Q93">
        <v>270</v>
      </c>
      <c r="R93">
        <v>200</v>
      </c>
      <c r="S93">
        <v>210</v>
      </c>
      <c r="T93">
        <f t="shared" si="3"/>
        <v>226.66666666666666</v>
      </c>
      <c r="U93"/>
      <c r="V93"/>
      <c r="W93"/>
      <c r="X93"/>
      <c r="Y93"/>
      <c r="Z93"/>
      <c r="AA93"/>
      <c r="AB93"/>
    </row>
    <row r="94" spans="1:28" x14ac:dyDescent="0.35">
      <c r="A94" t="s">
        <v>34</v>
      </c>
      <c r="D94" t="s">
        <v>42</v>
      </c>
      <c r="E94">
        <v>2016</v>
      </c>
      <c r="F94">
        <v>2</v>
      </c>
      <c r="G94">
        <v>5</v>
      </c>
      <c r="H94">
        <v>4</v>
      </c>
      <c r="I94">
        <v>29</v>
      </c>
      <c r="L94">
        <v>6</v>
      </c>
      <c r="M94">
        <v>13</v>
      </c>
      <c r="N94">
        <v>13</v>
      </c>
      <c r="O94">
        <v>13</v>
      </c>
      <c r="P94">
        <f t="shared" si="2"/>
        <v>13</v>
      </c>
      <c r="Q94">
        <v>250</v>
      </c>
      <c r="R94">
        <v>265</v>
      </c>
      <c r="S94">
        <v>230</v>
      </c>
      <c r="T94">
        <f t="shared" si="3"/>
        <v>248.33333333333334</v>
      </c>
      <c r="U94"/>
      <c r="V94"/>
      <c r="W94"/>
      <c r="X94"/>
      <c r="Y94"/>
      <c r="Z94"/>
      <c r="AA94"/>
      <c r="AB94"/>
    </row>
    <row r="95" spans="1:28" x14ac:dyDescent="0.35">
      <c r="A95" t="s">
        <v>34</v>
      </c>
      <c r="D95" t="s">
        <v>36</v>
      </c>
      <c r="E95">
        <v>1984</v>
      </c>
      <c r="F95">
        <v>2</v>
      </c>
      <c r="G95">
        <v>6</v>
      </c>
      <c r="H95">
        <v>4</v>
      </c>
      <c r="I95">
        <v>30</v>
      </c>
      <c r="L95">
        <v>6</v>
      </c>
      <c r="M95">
        <v>11</v>
      </c>
      <c r="N95">
        <v>11</v>
      </c>
      <c r="O95">
        <v>12</v>
      </c>
      <c r="P95">
        <f t="shared" si="2"/>
        <v>11.333333333333334</v>
      </c>
      <c r="Q95">
        <v>250</v>
      </c>
      <c r="R95">
        <v>250</v>
      </c>
      <c r="S95">
        <v>275</v>
      </c>
      <c r="T95">
        <f t="shared" si="3"/>
        <v>258.33333333333331</v>
      </c>
      <c r="U95"/>
      <c r="V95"/>
      <c r="W95"/>
      <c r="X95"/>
      <c r="Y95"/>
      <c r="Z95"/>
      <c r="AA95"/>
      <c r="AB95"/>
    </row>
    <row r="96" spans="1:28" x14ac:dyDescent="0.35">
      <c r="A96" t="s">
        <v>34</v>
      </c>
      <c r="D96" t="s">
        <v>41</v>
      </c>
      <c r="E96">
        <v>2008</v>
      </c>
      <c r="F96">
        <v>2</v>
      </c>
      <c r="G96">
        <v>7</v>
      </c>
      <c r="H96">
        <v>4</v>
      </c>
      <c r="I96">
        <v>31</v>
      </c>
      <c r="L96">
        <v>6</v>
      </c>
      <c r="M96">
        <v>10</v>
      </c>
      <c r="N96">
        <v>12</v>
      </c>
      <c r="O96">
        <v>13</v>
      </c>
      <c r="P96">
        <f t="shared" si="2"/>
        <v>11.666666666666666</v>
      </c>
      <c r="Q96">
        <v>220</v>
      </c>
      <c r="R96">
        <v>265</v>
      </c>
      <c r="S96">
        <v>240</v>
      </c>
      <c r="T96">
        <f t="shared" si="3"/>
        <v>241.66666666666666</v>
      </c>
      <c r="U96"/>
      <c r="V96"/>
      <c r="W96"/>
      <c r="X96"/>
      <c r="Y96"/>
      <c r="Z96"/>
      <c r="AA96"/>
      <c r="AB96"/>
    </row>
    <row r="97" spans="1:28" x14ac:dyDescent="0.35">
      <c r="A97" t="s">
        <v>34</v>
      </c>
      <c r="D97" t="s">
        <v>37</v>
      </c>
      <c r="E97">
        <v>1989</v>
      </c>
      <c r="F97">
        <v>2</v>
      </c>
      <c r="G97">
        <v>8</v>
      </c>
      <c r="H97">
        <v>4</v>
      </c>
      <c r="I97">
        <v>32</v>
      </c>
      <c r="L97">
        <v>6</v>
      </c>
      <c r="M97">
        <v>10</v>
      </c>
      <c r="N97">
        <v>11</v>
      </c>
      <c r="O97">
        <v>10</v>
      </c>
      <c r="P97">
        <f t="shared" si="2"/>
        <v>10.333333333333334</v>
      </c>
      <c r="Q97">
        <v>230</v>
      </c>
      <c r="R97">
        <v>245</v>
      </c>
      <c r="S97">
        <v>230</v>
      </c>
      <c r="T97">
        <f t="shared" si="3"/>
        <v>235</v>
      </c>
      <c r="U97"/>
      <c r="V97"/>
      <c r="W97"/>
      <c r="X97"/>
      <c r="Y97"/>
      <c r="Z97"/>
      <c r="AA97"/>
      <c r="AB97"/>
    </row>
    <row r="98" spans="1:28" x14ac:dyDescent="0.35">
      <c r="A98" t="s">
        <v>24</v>
      </c>
      <c r="D98" t="s">
        <v>336</v>
      </c>
      <c r="E98">
        <v>2002</v>
      </c>
      <c r="F98">
        <v>3</v>
      </c>
      <c r="G98">
        <v>1</v>
      </c>
      <c r="H98">
        <v>5</v>
      </c>
      <c r="I98">
        <v>33</v>
      </c>
      <c r="L98">
        <v>6</v>
      </c>
      <c r="M98">
        <v>12</v>
      </c>
      <c r="N98">
        <v>8</v>
      </c>
      <c r="O98">
        <v>8</v>
      </c>
      <c r="P98">
        <f t="shared" si="2"/>
        <v>9.3333333333333339</v>
      </c>
      <c r="Q98">
        <v>310</v>
      </c>
      <c r="R98">
        <v>320</v>
      </c>
      <c r="S98">
        <v>300</v>
      </c>
      <c r="T98">
        <f t="shared" si="3"/>
        <v>310</v>
      </c>
      <c r="U98"/>
      <c r="V98"/>
      <c r="W98"/>
      <c r="X98"/>
      <c r="Y98"/>
      <c r="Z98"/>
      <c r="AA98"/>
      <c r="AB98"/>
    </row>
    <row r="99" spans="1:28" x14ac:dyDescent="0.35">
      <c r="A99" t="s">
        <v>24</v>
      </c>
      <c r="D99" t="s">
        <v>337</v>
      </c>
      <c r="E99">
        <v>2016</v>
      </c>
      <c r="F99">
        <v>3</v>
      </c>
      <c r="G99">
        <v>2</v>
      </c>
      <c r="H99">
        <v>5</v>
      </c>
      <c r="I99">
        <v>34</v>
      </c>
      <c r="L99">
        <v>6</v>
      </c>
      <c r="M99">
        <v>8</v>
      </c>
      <c r="N99">
        <v>8</v>
      </c>
      <c r="O99">
        <v>9</v>
      </c>
      <c r="P99">
        <f t="shared" si="2"/>
        <v>8.3333333333333339</v>
      </c>
      <c r="Q99">
        <v>230</v>
      </c>
      <c r="R99">
        <v>230</v>
      </c>
      <c r="T99">
        <f t="shared" si="3"/>
        <v>230</v>
      </c>
      <c r="U99"/>
      <c r="V99"/>
      <c r="W99"/>
      <c r="X99"/>
      <c r="Y99"/>
      <c r="Z99"/>
      <c r="AA99"/>
      <c r="AB99"/>
    </row>
    <row r="100" spans="1:28" x14ac:dyDescent="0.35">
      <c r="A100" t="s">
        <v>24</v>
      </c>
      <c r="D100" t="s">
        <v>32</v>
      </c>
      <c r="E100">
        <v>2018</v>
      </c>
      <c r="F100">
        <v>3</v>
      </c>
      <c r="G100">
        <v>3</v>
      </c>
      <c r="H100">
        <v>5</v>
      </c>
      <c r="I100">
        <v>35</v>
      </c>
      <c r="L100">
        <v>6</v>
      </c>
      <c r="M100">
        <v>9</v>
      </c>
      <c r="N100">
        <v>9</v>
      </c>
      <c r="O100">
        <v>8</v>
      </c>
      <c r="P100">
        <f t="shared" si="2"/>
        <v>8.6666666666666661</v>
      </c>
      <c r="Q100">
        <v>290</v>
      </c>
      <c r="R100">
        <v>260</v>
      </c>
      <c r="S100">
        <v>240</v>
      </c>
      <c r="T100">
        <f t="shared" si="3"/>
        <v>263.33333333333331</v>
      </c>
      <c r="U100"/>
      <c r="V100"/>
      <c r="W100"/>
      <c r="X100"/>
      <c r="Y100"/>
      <c r="Z100"/>
      <c r="AA100"/>
      <c r="AB100"/>
    </row>
    <row r="101" spans="1:28" x14ac:dyDescent="0.35">
      <c r="A101" t="s">
        <v>24</v>
      </c>
      <c r="D101" t="s">
        <v>28</v>
      </c>
      <c r="E101">
        <v>1998</v>
      </c>
      <c r="F101">
        <v>3</v>
      </c>
      <c r="G101">
        <v>4</v>
      </c>
      <c r="H101">
        <v>5</v>
      </c>
      <c r="I101">
        <v>36</v>
      </c>
      <c r="L101">
        <v>6</v>
      </c>
      <c r="M101">
        <v>11</v>
      </c>
      <c r="N101">
        <v>9</v>
      </c>
      <c r="O101">
        <v>10</v>
      </c>
      <c r="P101">
        <f t="shared" si="2"/>
        <v>10</v>
      </c>
      <c r="Q101">
        <v>270</v>
      </c>
      <c r="R101">
        <v>270</v>
      </c>
      <c r="S101">
        <v>255</v>
      </c>
      <c r="T101">
        <f t="shared" si="3"/>
        <v>265</v>
      </c>
      <c r="U101"/>
      <c r="V101"/>
      <c r="W101"/>
      <c r="X101"/>
      <c r="Y101"/>
      <c r="Z101"/>
      <c r="AA101"/>
      <c r="AB101"/>
    </row>
    <row r="102" spans="1:28" x14ac:dyDescent="0.35">
      <c r="A102" t="s">
        <v>24</v>
      </c>
      <c r="D102" t="s">
        <v>27</v>
      </c>
      <c r="E102">
        <v>1985</v>
      </c>
      <c r="F102">
        <v>3</v>
      </c>
      <c r="G102">
        <v>5</v>
      </c>
      <c r="H102">
        <v>5</v>
      </c>
      <c r="I102">
        <v>37</v>
      </c>
      <c r="L102">
        <v>6</v>
      </c>
      <c r="M102">
        <v>8</v>
      </c>
      <c r="N102">
        <v>9</v>
      </c>
      <c r="O102">
        <v>8</v>
      </c>
      <c r="P102">
        <f t="shared" si="2"/>
        <v>8.3333333333333339</v>
      </c>
      <c r="Q102">
        <v>240</v>
      </c>
      <c r="R102">
        <v>250</v>
      </c>
      <c r="S102">
        <v>230</v>
      </c>
      <c r="T102">
        <f t="shared" si="3"/>
        <v>240</v>
      </c>
      <c r="U102"/>
      <c r="V102"/>
      <c r="W102"/>
      <c r="X102"/>
      <c r="Y102"/>
      <c r="Z102"/>
      <c r="AA102"/>
      <c r="AB102"/>
    </row>
    <row r="103" spans="1:28" x14ac:dyDescent="0.35">
      <c r="A103" t="s">
        <v>24</v>
      </c>
      <c r="D103" t="s">
        <v>335</v>
      </c>
      <c r="E103">
        <v>2023</v>
      </c>
      <c r="F103">
        <v>3</v>
      </c>
      <c r="G103">
        <v>6</v>
      </c>
      <c r="H103">
        <v>5</v>
      </c>
      <c r="I103">
        <v>38</v>
      </c>
      <c r="L103">
        <v>6</v>
      </c>
      <c r="M103">
        <v>9</v>
      </c>
      <c r="N103">
        <v>9</v>
      </c>
      <c r="O103">
        <v>11</v>
      </c>
      <c r="P103">
        <f t="shared" si="2"/>
        <v>9.6666666666666661</v>
      </c>
      <c r="Q103">
        <v>220</v>
      </c>
      <c r="R103">
        <v>225</v>
      </c>
      <c r="S103">
        <v>200</v>
      </c>
      <c r="T103">
        <f t="shared" si="3"/>
        <v>215</v>
      </c>
      <c r="U103"/>
      <c r="V103"/>
      <c r="W103"/>
      <c r="X103"/>
      <c r="Y103"/>
      <c r="Z103"/>
      <c r="AA103"/>
      <c r="AB103"/>
    </row>
    <row r="104" spans="1:28" x14ac:dyDescent="0.35">
      <c r="A104" t="s">
        <v>24</v>
      </c>
      <c r="D104" t="s">
        <v>29</v>
      </c>
      <c r="E104">
        <v>1999</v>
      </c>
      <c r="F104">
        <v>3</v>
      </c>
      <c r="G104">
        <v>7</v>
      </c>
      <c r="H104">
        <v>5</v>
      </c>
      <c r="I104">
        <v>39</v>
      </c>
      <c r="L104">
        <v>6</v>
      </c>
      <c r="M104">
        <v>7</v>
      </c>
      <c r="N104">
        <v>11</v>
      </c>
      <c r="O104">
        <v>9</v>
      </c>
      <c r="P104">
        <f t="shared" si="2"/>
        <v>9</v>
      </c>
      <c r="Q104">
        <v>210</v>
      </c>
      <c r="R104">
        <v>265</v>
      </c>
      <c r="S104">
        <v>230</v>
      </c>
      <c r="T104">
        <f t="shared" si="3"/>
        <v>235</v>
      </c>
      <c r="U104"/>
      <c r="V104"/>
      <c r="W104"/>
      <c r="X104"/>
      <c r="Y104"/>
      <c r="Z104"/>
      <c r="AA104"/>
      <c r="AB104"/>
    </row>
    <row r="105" spans="1:28" x14ac:dyDescent="0.35">
      <c r="A105" t="s">
        <v>24</v>
      </c>
      <c r="D105" t="s">
        <v>26</v>
      </c>
      <c r="E105">
        <v>1983</v>
      </c>
      <c r="F105">
        <v>3</v>
      </c>
      <c r="G105">
        <v>8</v>
      </c>
      <c r="H105">
        <v>5</v>
      </c>
      <c r="I105">
        <v>40</v>
      </c>
      <c r="L105">
        <v>6</v>
      </c>
      <c r="M105">
        <v>10</v>
      </c>
      <c r="N105">
        <v>8</v>
      </c>
      <c r="O105">
        <v>11</v>
      </c>
      <c r="P105">
        <f t="shared" si="2"/>
        <v>9.6666666666666661</v>
      </c>
      <c r="Q105">
        <v>270</v>
      </c>
      <c r="R105">
        <v>240</v>
      </c>
      <c r="S105">
        <v>245</v>
      </c>
      <c r="T105">
        <f t="shared" si="3"/>
        <v>251.66666666666666</v>
      </c>
      <c r="U105"/>
      <c r="V105"/>
      <c r="W105"/>
      <c r="X105"/>
      <c r="Y105"/>
      <c r="Z105"/>
      <c r="AA105"/>
      <c r="AB105"/>
    </row>
    <row r="106" spans="1:28" x14ac:dyDescent="0.35">
      <c r="A106" t="s">
        <v>34</v>
      </c>
      <c r="D106" t="s">
        <v>41</v>
      </c>
      <c r="E106">
        <v>2008</v>
      </c>
      <c r="F106">
        <v>3</v>
      </c>
      <c r="G106">
        <v>1</v>
      </c>
      <c r="H106">
        <v>6</v>
      </c>
      <c r="I106">
        <v>41</v>
      </c>
      <c r="L106">
        <v>6</v>
      </c>
      <c r="M106">
        <v>12</v>
      </c>
      <c r="N106">
        <v>11</v>
      </c>
      <c r="O106">
        <v>13</v>
      </c>
      <c r="P106">
        <f t="shared" si="2"/>
        <v>12</v>
      </c>
      <c r="Q106">
        <v>285</v>
      </c>
      <c r="R106">
        <v>255</v>
      </c>
      <c r="S106">
        <v>240</v>
      </c>
      <c r="T106">
        <f t="shared" si="3"/>
        <v>260</v>
      </c>
      <c r="U106"/>
      <c r="V106"/>
      <c r="W106"/>
      <c r="X106"/>
      <c r="Y106"/>
      <c r="Z106"/>
      <c r="AA106"/>
      <c r="AB106"/>
    </row>
    <row r="107" spans="1:28" x14ac:dyDescent="0.35">
      <c r="A107" t="s">
        <v>34</v>
      </c>
      <c r="D107" t="s">
        <v>36</v>
      </c>
      <c r="E107">
        <v>1984</v>
      </c>
      <c r="F107">
        <v>3</v>
      </c>
      <c r="G107">
        <v>2</v>
      </c>
      <c r="H107">
        <v>6</v>
      </c>
      <c r="I107">
        <v>42</v>
      </c>
      <c r="L107">
        <v>6</v>
      </c>
      <c r="M107">
        <v>11</v>
      </c>
      <c r="N107">
        <v>11</v>
      </c>
      <c r="O107">
        <v>11</v>
      </c>
      <c r="P107">
        <f t="shared" si="2"/>
        <v>11</v>
      </c>
      <c r="Q107">
        <v>235</v>
      </c>
      <c r="R107">
        <v>215</v>
      </c>
      <c r="S107">
        <v>235</v>
      </c>
      <c r="T107">
        <f t="shared" si="3"/>
        <v>228.33333333333334</v>
      </c>
      <c r="U107"/>
      <c r="V107"/>
      <c r="W107"/>
      <c r="X107"/>
      <c r="Y107"/>
      <c r="Z107"/>
      <c r="AA107"/>
      <c r="AB107"/>
    </row>
    <row r="108" spans="1:28" x14ac:dyDescent="0.35">
      <c r="A108" t="s">
        <v>34</v>
      </c>
      <c r="D108" t="s">
        <v>37</v>
      </c>
      <c r="E108">
        <v>1989</v>
      </c>
      <c r="F108">
        <v>3</v>
      </c>
      <c r="G108">
        <v>3</v>
      </c>
      <c r="H108">
        <v>6</v>
      </c>
      <c r="I108">
        <v>43</v>
      </c>
      <c r="L108">
        <v>6</v>
      </c>
      <c r="M108">
        <v>11</v>
      </c>
      <c r="N108">
        <v>10</v>
      </c>
      <c r="O108">
        <v>10</v>
      </c>
      <c r="P108">
        <f t="shared" si="2"/>
        <v>10.333333333333334</v>
      </c>
      <c r="Q108">
        <v>270</v>
      </c>
      <c r="R108">
        <v>210</v>
      </c>
      <c r="S108">
        <v>235</v>
      </c>
      <c r="T108">
        <f t="shared" si="3"/>
        <v>238.33333333333334</v>
      </c>
      <c r="U108"/>
      <c r="V108"/>
      <c r="W108"/>
      <c r="X108"/>
      <c r="Y108"/>
      <c r="Z108"/>
      <c r="AA108"/>
      <c r="AB108"/>
    </row>
    <row r="109" spans="1:28" x14ac:dyDescent="0.35">
      <c r="A109" t="s">
        <v>34</v>
      </c>
      <c r="D109" t="s">
        <v>42</v>
      </c>
      <c r="E109">
        <v>2016</v>
      </c>
      <c r="F109">
        <v>3</v>
      </c>
      <c r="G109">
        <v>4</v>
      </c>
      <c r="H109">
        <v>6</v>
      </c>
      <c r="I109">
        <v>44</v>
      </c>
      <c r="L109">
        <v>6</v>
      </c>
      <c r="M109">
        <v>13</v>
      </c>
      <c r="N109">
        <v>13</v>
      </c>
      <c r="O109">
        <v>13</v>
      </c>
      <c r="P109">
        <f t="shared" si="2"/>
        <v>13</v>
      </c>
      <c r="Q109">
        <v>225</v>
      </c>
      <c r="R109">
        <v>240</v>
      </c>
      <c r="S109">
        <v>240</v>
      </c>
      <c r="T109">
        <f t="shared" si="3"/>
        <v>235</v>
      </c>
      <c r="U109"/>
      <c r="V109"/>
      <c r="W109"/>
      <c r="X109"/>
      <c r="Y109"/>
      <c r="Z109"/>
      <c r="AA109"/>
      <c r="AB109"/>
    </row>
    <row r="110" spans="1:28" x14ac:dyDescent="0.35">
      <c r="A110" t="s">
        <v>34</v>
      </c>
      <c r="D110" t="s">
        <v>43</v>
      </c>
      <c r="E110">
        <v>2020</v>
      </c>
      <c r="F110">
        <v>3</v>
      </c>
      <c r="G110">
        <v>5</v>
      </c>
      <c r="H110">
        <v>6</v>
      </c>
      <c r="I110">
        <v>45</v>
      </c>
      <c r="L110">
        <v>6</v>
      </c>
      <c r="M110">
        <v>15</v>
      </c>
      <c r="N110">
        <v>14</v>
      </c>
      <c r="O110">
        <v>13</v>
      </c>
      <c r="P110">
        <f t="shared" si="2"/>
        <v>14</v>
      </c>
      <c r="Q110">
        <v>225</v>
      </c>
      <c r="R110">
        <v>280</v>
      </c>
      <c r="S110">
        <v>240</v>
      </c>
      <c r="T110">
        <f t="shared" si="3"/>
        <v>248.33333333333334</v>
      </c>
      <c r="U110"/>
      <c r="V110"/>
      <c r="W110"/>
      <c r="X110"/>
      <c r="Y110"/>
      <c r="Z110"/>
      <c r="AA110"/>
      <c r="AB110"/>
    </row>
    <row r="111" spans="1:28" x14ac:dyDescent="0.35">
      <c r="A111" t="s">
        <v>34</v>
      </c>
      <c r="D111" t="s">
        <v>39</v>
      </c>
      <c r="E111">
        <v>2001</v>
      </c>
      <c r="F111">
        <v>3</v>
      </c>
      <c r="G111">
        <v>6</v>
      </c>
      <c r="H111">
        <v>6</v>
      </c>
      <c r="I111">
        <v>46</v>
      </c>
      <c r="L111">
        <v>6</v>
      </c>
      <c r="M111">
        <v>11</v>
      </c>
      <c r="N111">
        <v>12</v>
      </c>
      <c r="O111">
        <v>13</v>
      </c>
      <c r="P111">
        <f t="shared" si="2"/>
        <v>12</v>
      </c>
      <c r="Q111">
        <v>230</v>
      </c>
      <c r="R111">
        <v>225</v>
      </c>
      <c r="S111">
        <v>250</v>
      </c>
      <c r="T111">
        <f t="shared" si="3"/>
        <v>235</v>
      </c>
      <c r="U111"/>
      <c r="V111"/>
      <c r="W111"/>
      <c r="X111"/>
      <c r="Y111"/>
      <c r="Z111"/>
      <c r="AA111"/>
      <c r="AB111"/>
    </row>
    <row r="112" spans="1:28" x14ac:dyDescent="0.35">
      <c r="A112" t="s">
        <v>34</v>
      </c>
      <c r="D112" t="s">
        <v>38</v>
      </c>
      <c r="E112">
        <v>1999</v>
      </c>
      <c r="F112">
        <v>3</v>
      </c>
      <c r="G112">
        <v>7</v>
      </c>
      <c r="H112">
        <v>6</v>
      </c>
      <c r="I112">
        <v>47</v>
      </c>
      <c r="L112">
        <v>6</v>
      </c>
      <c r="M112">
        <v>14</v>
      </c>
      <c r="N112">
        <v>13</v>
      </c>
      <c r="P112">
        <f t="shared" si="2"/>
        <v>13.5</v>
      </c>
      <c r="Q112">
        <v>295</v>
      </c>
      <c r="R112">
        <v>265</v>
      </c>
      <c r="T112">
        <f t="shared" si="3"/>
        <v>280</v>
      </c>
      <c r="U112"/>
      <c r="V112"/>
      <c r="W112"/>
      <c r="X112"/>
      <c r="Y112"/>
      <c r="Z112"/>
      <c r="AA112"/>
      <c r="AB112"/>
    </row>
    <row r="113" spans="1:28" x14ac:dyDescent="0.35">
      <c r="A113" t="s">
        <v>34</v>
      </c>
      <c r="D113" t="s">
        <v>343</v>
      </c>
      <c r="E113">
        <v>2004</v>
      </c>
      <c r="F113">
        <v>3</v>
      </c>
      <c r="G113">
        <v>8</v>
      </c>
      <c r="H113">
        <v>6</v>
      </c>
      <c r="I113">
        <v>48</v>
      </c>
      <c r="L113">
        <v>6</v>
      </c>
      <c r="M113">
        <v>9</v>
      </c>
      <c r="N113">
        <v>12</v>
      </c>
      <c r="O113">
        <v>12</v>
      </c>
      <c r="P113">
        <f t="shared" si="2"/>
        <v>11</v>
      </c>
      <c r="Q113">
        <v>240</v>
      </c>
      <c r="R113">
        <v>240</v>
      </c>
      <c r="S113">
        <v>240</v>
      </c>
      <c r="T113">
        <f t="shared" si="3"/>
        <v>240</v>
      </c>
      <c r="U113"/>
      <c r="V113"/>
      <c r="W113"/>
      <c r="X113"/>
      <c r="Y113"/>
      <c r="Z113"/>
      <c r="AA113"/>
      <c r="AB113"/>
    </row>
    <row r="114" spans="1:28" x14ac:dyDescent="0.35">
      <c r="A114" t="s">
        <v>24</v>
      </c>
      <c r="D114" t="s">
        <v>32</v>
      </c>
      <c r="E114">
        <v>2018</v>
      </c>
      <c r="F114">
        <v>4</v>
      </c>
      <c r="G114">
        <v>1</v>
      </c>
      <c r="H114">
        <v>7</v>
      </c>
      <c r="I114">
        <v>49</v>
      </c>
      <c r="L114">
        <v>6</v>
      </c>
      <c r="M114">
        <v>10</v>
      </c>
      <c r="N114">
        <v>11</v>
      </c>
      <c r="O114">
        <v>10</v>
      </c>
      <c r="P114">
        <f t="shared" si="2"/>
        <v>10.333333333333334</v>
      </c>
      <c r="Q114">
        <v>310</v>
      </c>
      <c r="R114">
        <v>280</v>
      </c>
      <c r="S114">
        <v>270</v>
      </c>
      <c r="T114">
        <f t="shared" si="3"/>
        <v>286.66666666666669</v>
      </c>
      <c r="U114"/>
      <c r="V114"/>
      <c r="W114"/>
      <c r="X114"/>
      <c r="Y114"/>
      <c r="Z114"/>
      <c r="AA114"/>
      <c r="AB114"/>
    </row>
    <row r="115" spans="1:28" x14ac:dyDescent="0.35">
      <c r="A115" t="s">
        <v>24</v>
      </c>
      <c r="D115" t="s">
        <v>29</v>
      </c>
      <c r="E115">
        <v>1999</v>
      </c>
      <c r="F115">
        <v>4</v>
      </c>
      <c r="G115">
        <v>2</v>
      </c>
      <c r="H115">
        <v>7</v>
      </c>
      <c r="I115">
        <v>50</v>
      </c>
      <c r="L115">
        <v>6</v>
      </c>
      <c r="M115">
        <v>10</v>
      </c>
      <c r="N115">
        <v>7</v>
      </c>
      <c r="O115">
        <v>7</v>
      </c>
      <c r="P115">
        <f t="shared" si="2"/>
        <v>8</v>
      </c>
      <c r="Q115">
        <v>245</v>
      </c>
      <c r="R115">
        <v>230</v>
      </c>
      <c r="S115">
        <v>250</v>
      </c>
      <c r="T115">
        <f t="shared" si="3"/>
        <v>241.66666666666666</v>
      </c>
      <c r="U115"/>
      <c r="V115"/>
      <c r="W115"/>
      <c r="X115"/>
      <c r="Y115"/>
      <c r="Z115"/>
      <c r="AA115"/>
      <c r="AB115"/>
    </row>
    <row r="116" spans="1:28" x14ac:dyDescent="0.35">
      <c r="A116" t="s">
        <v>24</v>
      </c>
      <c r="D116" t="s">
        <v>337</v>
      </c>
      <c r="E116">
        <v>2016</v>
      </c>
      <c r="F116">
        <v>4</v>
      </c>
      <c r="G116">
        <v>3</v>
      </c>
      <c r="H116">
        <v>7</v>
      </c>
      <c r="I116">
        <v>51</v>
      </c>
      <c r="L116">
        <v>6</v>
      </c>
      <c r="M116">
        <v>9</v>
      </c>
      <c r="N116">
        <v>9</v>
      </c>
      <c r="O116">
        <v>11</v>
      </c>
      <c r="P116">
        <f t="shared" si="2"/>
        <v>9.6666666666666661</v>
      </c>
      <c r="Q116">
        <v>245</v>
      </c>
      <c r="R116">
        <v>260</v>
      </c>
      <c r="S116">
        <v>235</v>
      </c>
      <c r="T116">
        <f t="shared" si="3"/>
        <v>246.66666666666666</v>
      </c>
      <c r="U116"/>
      <c r="V116"/>
      <c r="W116"/>
      <c r="X116"/>
      <c r="Y116"/>
      <c r="Z116"/>
      <c r="AA116"/>
      <c r="AB116"/>
    </row>
    <row r="117" spans="1:28" x14ac:dyDescent="0.35">
      <c r="A117" t="s">
        <v>24</v>
      </c>
      <c r="D117" t="s">
        <v>27</v>
      </c>
      <c r="E117">
        <v>1985</v>
      </c>
      <c r="F117">
        <v>4</v>
      </c>
      <c r="G117">
        <v>4</v>
      </c>
      <c r="H117">
        <v>7</v>
      </c>
      <c r="I117">
        <v>52</v>
      </c>
      <c r="L117">
        <v>6</v>
      </c>
      <c r="M117">
        <v>9</v>
      </c>
      <c r="N117">
        <v>11</v>
      </c>
      <c r="O117">
        <v>10</v>
      </c>
      <c r="P117">
        <f t="shared" si="2"/>
        <v>10</v>
      </c>
      <c r="Q117">
        <v>255</v>
      </c>
      <c r="R117">
        <v>275</v>
      </c>
      <c r="S117">
        <v>280</v>
      </c>
      <c r="T117">
        <f t="shared" si="3"/>
        <v>270</v>
      </c>
      <c r="U117"/>
      <c r="V117"/>
      <c r="W117"/>
      <c r="X117"/>
      <c r="Y117"/>
      <c r="Z117"/>
      <c r="AA117"/>
      <c r="AB117"/>
    </row>
    <row r="118" spans="1:28" x14ac:dyDescent="0.35">
      <c r="A118" t="s">
        <v>24</v>
      </c>
      <c r="D118" t="s">
        <v>28</v>
      </c>
      <c r="E118">
        <v>1998</v>
      </c>
      <c r="F118">
        <v>4</v>
      </c>
      <c r="G118">
        <v>5</v>
      </c>
      <c r="H118">
        <v>7</v>
      </c>
      <c r="I118">
        <v>53</v>
      </c>
      <c r="L118">
        <v>6</v>
      </c>
      <c r="M118">
        <v>12</v>
      </c>
      <c r="N118">
        <v>12</v>
      </c>
      <c r="O118">
        <v>12</v>
      </c>
      <c r="P118">
        <f t="shared" si="2"/>
        <v>12</v>
      </c>
      <c r="Q118">
        <v>305</v>
      </c>
      <c r="R118">
        <v>275</v>
      </c>
      <c r="S118">
        <v>285</v>
      </c>
      <c r="T118">
        <f t="shared" si="3"/>
        <v>288.33333333333331</v>
      </c>
      <c r="U118"/>
      <c r="V118"/>
      <c r="W118"/>
      <c r="X118"/>
      <c r="Y118"/>
      <c r="Z118"/>
      <c r="AA118"/>
      <c r="AB118"/>
    </row>
    <row r="119" spans="1:28" x14ac:dyDescent="0.35">
      <c r="A119" t="s">
        <v>24</v>
      </c>
      <c r="D119" t="s">
        <v>26</v>
      </c>
      <c r="E119">
        <v>1983</v>
      </c>
      <c r="F119">
        <v>4</v>
      </c>
      <c r="G119">
        <v>6</v>
      </c>
      <c r="H119">
        <v>7</v>
      </c>
      <c r="I119">
        <v>54</v>
      </c>
      <c r="L119">
        <v>6</v>
      </c>
      <c r="M119">
        <v>7</v>
      </c>
      <c r="N119">
        <v>9</v>
      </c>
      <c r="O119">
        <v>7</v>
      </c>
      <c r="P119">
        <f t="shared" si="2"/>
        <v>7.666666666666667</v>
      </c>
      <c r="Q119">
        <v>310</v>
      </c>
      <c r="R119">
        <v>285</v>
      </c>
      <c r="S119">
        <v>250</v>
      </c>
      <c r="T119">
        <f t="shared" si="3"/>
        <v>281.66666666666669</v>
      </c>
      <c r="U119"/>
      <c r="V119"/>
      <c r="W119"/>
      <c r="X119"/>
      <c r="Y119"/>
      <c r="Z119"/>
      <c r="AA119"/>
      <c r="AB119"/>
    </row>
    <row r="120" spans="1:28" x14ac:dyDescent="0.35">
      <c r="A120" t="s">
        <v>24</v>
      </c>
      <c r="D120" t="s">
        <v>335</v>
      </c>
      <c r="E120">
        <v>2023</v>
      </c>
      <c r="F120">
        <v>4</v>
      </c>
      <c r="G120">
        <v>7</v>
      </c>
      <c r="H120">
        <v>7</v>
      </c>
      <c r="I120">
        <v>55</v>
      </c>
      <c r="L120">
        <v>6</v>
      </c>
      <c r="M120">
        <v>9</v>
      </c>
      <c r="N120">
        <v>10</v>
      </c>
      <c r="O120">
        <v>8</v>
      </c>
      <c r="P120">
        <f t="shared" si="2"/>
        <v>9</v>
      </c>
      <c r="Q120">
        <v>250</v>
      </c>
      <c r="R120">
        <v>240</v>
      </c>
      <c r="S120">
        <v>235</v>
      </c>
      <c r="T120">
        <f t="shared" si="3"/>
        <v>241.66666666666666</v>
      </c>
      <c r="U120"/>
      <c r="V120"/>
      <c r="W120"/>
      <c r="X120"/>
      <c r="Y120"/>
      <c r="Z120"/>
      <c r="AA120"/>
      <c r="AB120"/>
    </row>
    <row r="121" spans="1:28" x14ac:dyDescent="0.35">
      <c r="A121" t="s">
        <v>24</v>
      </c>
      <c r="D121" t="s">
        <v>336</v>
      </c>
      <c r="E121">
        <v>2002</v>
      </c>
      <c r="F121">
        <v>4</v>
      </c>
      <c r="G121">
        <v>8</v>
      </c>
      <c r="H121">
        <v>7</v>
      </c>
      <c r="I121">
        <v>56</v>
      </c>
      <c r="L121">
        <v>6</v>
      </c>
      <c r="M121">
        <v>11</v>
      </c>
      <c r="N121">
        <v>8</v>
      </c>
      <c r="O121">
        <v>12</v>
      </c>
      <c r="P121">
        <f t="shared" si="2"/>
        <v>10.333333333333334</v>
      </c>
      <c r="Q121">
        <v>275</v>
      </c>
      <c r="R121">
        <v>260</v>
      </c>
      <c r="S121">
        <v>310</v>
      </c>
      <c r="T121">
        <f t="shared" si="3"/>
        <v>281.66666666666669</v>
      </c>
      <c r="U121"/>
      <c r="V121"/>
      <c r="W121"/>
      <c r="X121"/>
      <c r="Y121"/>
      <c r="Z121"/>
      <c r="AA121"/>
      <c r="AB121"/>
    </row>
    <row r="122" spans="1:28" x14ac:dyDescent="0.35">
      <c r="A122" t="s">
        <v>34</v>
      </c>
      <c r="D122" t="s">
        <v>39</v>
      </c>
      <c r="E122">
        <v>2001</v>
      </c>
      <c r="F122">
        <v>4</v>
      </c>
      <c r="G122">
        <v>1</v>
      </c>
      <c r="H122">
        <v>8</v>
      </c>
      <c r="I122">
        <v>57</v>
      </c>
      <c r="L122">
        <v>6</v>
      </c>
      <c r="M122">
        <v>12</v>
      </c>
      <c r="P122">
        <f t="shared" si="2"/>
        <v>12</v>
      </c>
      <c r="Q122">
        <v>250</v>
      </c>
      <c r="T122">
        <f t="shared" si="3"/>
        <v>250</v>
      </c>
      <c r="U122"/>
      <c r="V122"/>
      <c r="W122"/>
      <c r="X122"/>
      <c r="Y122"/>
      <c r="Z122"/>
      <c r="AA122"/>
      <c r="AB122"/>
    </row>
    <row r="123" spans="1:28" x14ac:dyDescent="0.35">
      <c r="A123" t="s">
        <v>34</v>
      </c>
      <c r="D123" t="s">
        <v>37</v>
      </c>
      <c r="E123">
        <v>1989</v>
      </c>
      <c r="F123">
        <v>4</v>
      </c>
      <c r="G123">
        <v>2</v>
      </c>
      <c r="H123">
        <v>8</v>
      </c>
      <c r="I123">
        <v>58</v>
      </c>
      <c r="L123">
        <v>6</v>
      </c>
      <c r="M123">
        <v>9</v>
      </c>
      <c r="N123">
        <v>10</v>
      </c>
      <c r="O123">
        <v>12</v>
      </c>
      <c r="P123">
        <f t="shared" si="2"/>
        <v>10.333333333333334</v>
      </c>
      <c r="Q123">
        <v>220</v>
      </c>
      <c r="R123">
        <v>215</v>
      </c>
      <c r="S123">
        <v>225</v>
      </c>
      <c r="T123">
        <f t="shared" si="3"/>
        <v>220</v>
      </c>
      <c r="U123"/>
      <c r="V123"/>
      <c r="W123"/>
      <c r="X123"/>
      <c r="Y123"/>
      <c r="Z123"/>
      <c r="AA123"/>
      <c r="AB123"/>
    </row>
    <row r="124" spans="1:28" x14ac:dyDescent="0.35">
      <c r="A124" t="s">
        <v>34</v>
      </c>
      <c r="D124" t="s">
        <v>36</v>
      </c>
      <c r="E124">
        <v>1984</v>
      </c>
      <c r="F124">
        <v>4</v>
      </c>
      <c r="G124">
        <v>3</v>
      </c>
      <c r="H124">
        <v>8</v>
      </c>
      <c r="I124">
        <v>59</v>
      </c>
      <c r="L124">
        <v>6</v>
      </c>
      <c r="M124">
        <v>11</v>
      </c>
      <c r="N124">
        <v>12</v>
      </c>
      <c r="O124">
        <v>11</v>
      </c>
      <c r="P124">
        <f t="shared" si="2"/>
        <v>11.333333333333334</v>
      </c>
      <c r="Q124">
        <v>200</v>
      </c>
      <c r="R124">
        <v>210</v>
      </c>
      <c r="S124">
        <v>200</v>
      </c>
      <c r="T124">
        <f t="shared" si="3"/>
        <v>203.33333333333334</v>
      </c>
      <c r="U124"/>
      <c r="V124"/>
      <c r="W124"/>
      <c r="X124"/>
      <c r="Y124"/>
      <c r="Z124"/>
      <c r="AA124"/>
      <c r="AB124"/>
    </row>
    <row r="125" spans="1:28" x14ac:dyDescent="0.35">
      <c r="A125" t="s">
        <v>34</v>
      </c>
      <c r="D125" t="s">
        <v>343</v>
      </c>
      <c r="E125">
        <v>2004</v>
      </c>
      <c r="F125">
        <v>4</v>
      </c>
      <c r="G125">
        <v>4</v>
      </c>
      <c r="H125">
        <v>8</v>
      </c>
      <c r="I125">
        <v>60</v>
      </c>
      <c r="L125">
        <v>6</v>
      </c>
      <c r="M125">
        <v>12</v>
      </c>
      <c r="N125">
        <v>11</v>
      </c>
      <c r="O125">
        <v>12</v>
      </c>
      <c r="P125">
        <f t="shared" si="2"/>
        <v>11.666666666666666</v>
      </c>
      <c r="Q125">
        <v>255</v>
      </c>
      <c r="R125">
        <v>275</v>
      </c>
      <c r="S125">
        <v>255</v>
      </c>
      <c r="T125">
        <f t="shared" si="3"/>
        <v>261.66666666666669</v>
      </c>
      <c r="U125"/>
      <c r="V125"/>
      <c r="W125"/>
      <c r="X125"/>
      <c r="Y125"/>
      <c r="Z125"/>
      <c r="AA125"/>
      <c r="AB125"/>
    </row>
    <row r="126" spans="1:28" x14ac:dyDescent="0.35">
      <c r="A126" t="s">
        <v>34</v>
      </c>
      <c r="D126" t="s">
        <v>41</v>
      </c>
      <c r="E126">
        <v>2008</v>
      </c>
      <c r="F126">
        <v>4</v>
      </c>
      <c r="G126">
        <v>5</v>
      </c>
      <c r="H126">
        <v>8</v>
      </c>
      <c r="I126">
        <v>61</v>
      </c>
      <c r="L126">
        <v>6</v>
      </c>
      <c r="M126">
        <v>13</v>
      </c>
      <c r="N126">
        <v>10</v>
      </c>
      <c r="O126">
        <v>11</v>
      </c>
      <c r="P126">
        <f t="shared" si="2"/>
        <v>11.333333333333334</v>
      </c>
      <c r="Q126">
        <v>245</v>
      </c>
      <c r="R126">
        <v>230</v>
      </c>
      <c r="S126">
        <v>245</v>
      </c>
      <c r="T126">
        <f t="shared" si="3"/>
        <v>240</v>
      </c>
      <c r="U126"/>
      <c r="V126"/>
      <c r="W126"/>
      <c r="X126"/>
      <c r="Y126"/>
      <c r="Z126"/>
      <c r="AA126"/>
      <c r="AB126"/>
    </row>
    <row r="127" spans="1:28" x14ac:dyDescent="0.35">
      <c r="A127" t="s">
        <v>34</v>
      </c>
      <c r="D127" t="s">
        <v>38</v>
      </c>
      <c r="E127">
        <v>1999</v>
      </c>
      <c r="F127">
        <v>4</v>
      </c>
      <c r="G127">
        <v>6</v>
      </c>
      <c r="H127">
        <v>8</v>
      </c>
      <c r="I127">
        <v>62</v>
      </c>
      <c r="L127">
        <v>6</v>
      </c>
      <c r="M127">
        <v>13</v>
      </c>
      <c r="N127">
        <v>12</v>
      </c>
      <c r="O127">
        <v>13</v>
      </c>
      <c r="P127">
        <f t="shared" si="2"/>
        <v>12.666666666666666</v>
      </c>
      <c r="Q127">
        <v>290</v>
      </c>
      <c r="R127">
        <v>260</v>
      </c>
      <c r="S127">
        <v>260</v>
      </c>
      <c r="T127">
        <f t="shared" si="3"/>
        <v>270</v>
      </c>
      <c r="U127"/>
      <c r="V127"/>
      <c r="W127"/>
      <c r="X127"/>
      <c r="Y127"/>
      <c r="Z127"/>
      <c r="AA127"/>
      <c r="AB127"/>
    </row>
    <row r="128" spans="1:28" x14ac:dyDescent="0.35">
      <c r="A128" t="s">
        <v>34</v>
      </c>
      <c r="D128" t="s">
        <v>42</v>
      </c>
      <c r="E128">
        <v>2016</v>
      </c>
      <c r="F128">
        <v>4</v>
      </c>
      <c r="G128">
        <v>7</v>
      </c>
      <c r="H128">
        <v>8</v>
      </c>
      <c r="I128">
        <v>63</v>
      </c>
      <c r="L128">
        <v>6</v>
      </c>
      <c r="M128">
        <v>13</v>
      </c>
      <c r="N128">
        <v>13</v>
      </c>
      <c r="O128">
        <v>14</v>
      </c>
      <c r="P128">
        <f t="shared" si="2"/>
        <v>13.333333333333334</v>
      </c>
      <c r="Q128">
        <v>235</v>
      </c>
      <c r="R128">
        <v>240</v>
      </c>
      <c r="S128">
        <v>250</v>
      </c>
      <c r="T128">
        <f t="shared" si="3"/>
        <v>241.66666666666666</v>
      </c>
      <c r="U128"/>
      <c r="V128"/>
      <c r="W128"/>
      <c r="X128"/>
      <c r="Y128"/>
      <c r="Z128"/>
      <c r="AA128"/>
      <c r="AB128"/>
    </row>
    <row r="129" spans="1:28" x14ac:dyDescent="0.35">
      <c r="A129" t="s">
        <v>34</v>
      </c>
      <c r="D129" t="s">
        <v>43</v>
      </c>
      <c r="E129">
        <v>2020</v>
      </c>
      <c r="F129">
        <v>4</v>
      </c>
      <c r="G129">
        <v>8</v>
      </c>
      <c r="H129">
        <v>8</v>
      </c>
      <c r="I129">
        <v>64</v>
      </c>
      <c r="L129">
        <v>6</v>
      </c>
      <c r="M129">
        <v>13</v>
      </c>
      <c r="N129">
        <v>14</v>
      </c>
      <c r="O129">
        <v>14</v>
      </c>
      <c r="P129">
        <f t="shared" si="2"/>
        <v>13.666666666666666</v>
      </c>
      <c r="Q129">
        <v>295</v>
      </c>
      <c r="R129">
        <v>300</v>
      </c>
      <c r="S129">
        <v>285</v>
      </c>
      <c r="T129">
        <f t="shared" si="3"/>
        <v>293.33333333333331</v>
      </c>
      <c r="U129"/>
      <c r="V129"/>
      <c r="W129"/>
      <c r="X129"/>
      <c r="Y129"/>
      <c r="Z129"/>
      <c r="AA129"/>
      <c r="AB129"/>
    </row>
    <row r="130" spans="1:28" x14ac:dyDescent="0.35">
      <c r="A130" t="s">
        <v>24</v>
      </c>
      <c r="D130" t="s">
        <v>27</v>
      </c>
      <c r="E130">
        <v>1985</v>
      </c>
      <c r="F130">
        <v>1</v>
      </c>
      <c r="G130">
        <v>1</v>
      </c>
      <c r="H130">
        <v>1</v>
      </c>
      <c r="I130">
        <v>1</v>
      </c>
      <c r="L130">
        <v>9</v>
      </c>
      <c r="M130">
        <v>15</v>
      </c>
      <c r="N130">
        <v>14</v>
      </c>
      <c r="P130">
        <f t="shared" si="2"/>
        <v>14.5</v>
      </c>
      <c r="Q130">
        <v>310</v>
      </c>
      <c r="R130">
        <v>280</v>
      </c>
      <c r="T130">
        <f t="shared" si="3"/>
        <v>295</v>
      </c>
      <c r="U130"/>
      <c r="V130"/>
      <c r="W130"/>
      <c r="X130"/>
      <c r="Y130"/>
      <c r="Z130"/>
      <c r="AA130"/>
      <c r="AB130"/>
    </row>
    <row r="131" spans="1:28" x14ac:dyDescent="0.35">
      <c r="A131" t="s">
        <v>24</v>
      </c>
      <c r="D131" t="s">
        <v>26</v>
      </c>
      <c r="E131">
        <v>1983</v>
      </c>
      <c r="F131">
        <v>1</v>
      </c>
      <c r="G131">
        <v>2</v>
      </c>
      <c r="H131">
        <v>1</v>
      </c>
      <c r="I131">
        <v>2</v>
      </c>
      <c r="L131">
        <v>9</v>
      </c>
      <c r="M131">
        <v>13</v>
      </c>
      <c r="N131">
        <v>14</v>
      </c>
      <c r="O131">
        <v>12</v>
      </c>
      <c r="P131">
        <f t="shared" ref="P131:P194" si="4">AVERAGE(M131:O131)</f>
        <v>13</v>
      </c>
      <c r="Q131">
        <v>240</v>
      </c>
      <c r="R131">
        <v>250</v>
      </c>
      <c r="T131">
        <f t="shared" ref="T131:T194" si="5">AVERAGE(Q131:S131)</f>
        <v>245</v>
      </c>
      <c r="U131"/>
      <c r="V131"/>
      <c r="W131"/>
      <c r="X131"/>
      <c r="Y131"/>
      <c r="Z131"/>
      <c r="AA131"/>
      <c r="AB131"/>
    </row>
    <row r="132" spans="1:28" x14ac:dyDescent="0.35">
      <c r="A132" t="s">
        <v>24</v>
      </c>
      <c r="D132" t="s">
        <v>335</v>
      </c>
      <c r="E132">
        <v>2023</v>
      </c>
      <c r="F132">
        <v>1</v>
      </c>
      <c r="G132">
        <v>3</v>
      </c>
      <c r="H132">
        <v>1</v>
      </c>
      <c r="I132">
        <v>3</v>
      </c>
      <c r="L132">
        <v>9</v>
      </c>
      <c r="M132">
        <v>13</v>
      </c>
      <c r="N132">
        <v>14</v>
      </c>
      <c r="O132">
        <v>14</v>
      </c>
      <c r="P132">
        <f t="shared" si="4"/>
        <v>13.666666666666666</v>
      </c>
      <c r="Q132">
        <v>270</v>
      </c>
      <c r="R132">
        <v>285</v>
      </c>
      <c r="S132">
        <v>275</v>
      </c>
      <c r="T132">
        <f t="shared" si="5"/>
        <v>276.66666666666669</v>
      </c>
      <c r="U132"/>
      <c r="V132"/>
      <c r="W132"/>
      <c r="X132"/>
      <c r="Y132"/>
      <c r="Z132"/>
      <c r="AA132"/>
      <c r="AB132"/>
    </row>
    <row r="133" spans="1:28" x14ac:dyDescent="0.35">
      <c r="A133" t="s">
        <v>24</v>
      </c>
      <c r="D133" t="s">
        <v>29</v>
      </c>
      <c r="E133">
        <v>1999</v>
      </c>
      <c r="F133">
        <v>1</v>
      </c>
      <c r="G133">
        <v>4</v>
      </c>
      <c r="H133">
        <v>1</v>
      </c>
      <c r="I133">
        <v>4</v>
      </c>
      <c r="L133">
        <v>9</v>
      </c>
      <c r="M133">
        <v>14</v>
      </c>
      <c r="N133">
        <v>12</v>
      </c>
      <c r="O133">
        <v>13</v>
      </c>
      <c r="P133">
        <f t="shared" si="4"/>
        <v>13</v>
      </c>
      <c r="Q133">
        <v>310</v>
      </c>
      <c r="R133">
        <v>340</v>
      </c>
      <c r="S133">
        <v>330</v>
      </c>
      <c r="T133">
        <f t="shared" si="5"/>
        <v>326.66666666666669</v>
      </c>
      <c r="U133"/>
      <c r="V133"/>
      <c r="W133"/>
      <c r="X133"/>
      <c r="Y133"/>
      <c r="Z133"/>
      <c r="AA133"/>
      <c r="AB133"/>
    </row>
    <row r="134" spans="1:28" x14ac:dyDescent="0.35">
      <c r="A134" t="s">
        <v>24</v>
      </c>
      <c r="D134" t="s">
        <v>336</v>
      </c>
      <c r="E134">
        <v>2002</v>
      </c>
      <c r="F134">
        <v>1</v>
      </c>
      <c r="G134">
        <v>5</v>
      </c>
      <c r="H134">
        <v>1</v>
      </c>
      <c r="I134">
        <v>5</v>
      </c>
      <c r="L134">
        <v>9</v>
      </c>
      <c r="M134">
        <v>15</v>
      </c>
      <c r="N134">
        <v>15</v>
      </c>
      <c r="O134">
        <v>16</v>
      </c>
      <c r="P134">
        <f t="shared" si="4"/>
        <v>15.333333333333334</v>
      </c>
      <c r="Q134">
        <v>270</v>
      </c>
      <c r="R134">
        <v>290</v>
      </c>
      <c r="S134">
        <v>295</v>
      </c>
      <c r="T134">
        <f t="shared" si="5"/>
        <v>285</v>
      </c>
      <c r="U134"/>
      <c r="V134"/>
      <c r="W134"/>
      <c r="X134"/>
      <c r="Y134"/>
      <c r="Z134"/>
      <c r="AA134"/>
      <c r="AB134"/>
    </row>
    <row r="135" spans="1:28" x14ac:dyDescent="0.35">
      <c r="A135" t="s">
        <v>24</v>
      </c>
      <c r="D135" t="s">
        <v>32</v>
      </c>
      <c r="E135">
        <v>2018</v>
      </c>
      <c r="F135">
        <v>1</v>
      </c>
      <c r="G135">
        <v>6</v>
      </c>
      <c r="H135">
        <v>1</v>
      </c>
      <c r="I135">
        <v>6</v>
      </c>
      <c r="L135">
        <v>9</v>
      </c>
      <c r="M135">
        <v>14</v>
      </c>
      <c r="N135">
        <v>14</v>
      </c>
      <c r="O135">
        <v>13</v>
      </c>
      <c r="P135">
        <f t="shared" si="4"/>
        <v>13.666666666666666</v>
      </c>
      <c r="Q135">
        <v>275</v>
      </c>
      <c r="R135">
        <v>320</v>
      </c>
      <c r="S135">
        <v>290</v>
      </c>
      <c r="T135">
        <f t="shared" si="5"/>
        <v>295</v>
      </c>
      <c r="U135"/>
      <c r="V135"/>
      <c r="W135"/>
      <c r="X135"/>
      <c r="Y135"/>
      <c r="Z135"/>
      <c r="AA135"/>
      <c r="AB135"/>
    </row>
    <row r="136" spans="1:28" x14ac:dyDescent="0.35">
      <c r="A136" t="s">
        <v>24</v>
      </c>
      <c r="D136" t="s">
        <v>28</v>
      </c>
      <c r="E136">
        <v>1998</v>
      </c>
      <c r="F136">
        <v>1</v>
      </c>
      <c r="G136">
        <v>7</v>
      </c>
      <c r="H136">
        <v>1</v>
      </c>
      <c r="I136">
        <v>7</v>
      </c>
      <c r="L136">
        <v>9</v>
      </c>
      <c r="M136">
        <v>11</v>
      </c>
      <c r="N136">
        <v>11</v>
      </c>
      <c r="O136">
        <v>12</v>
      </c>
      <c r="P136">
        <f t="shared" si="4"/>
        <v>11.333333333333334</v>
      </c>
      <c r="Q136">
        <v>280</v>
      </c>
      <c r="R136">
        <v>270</v>
      </c>
      <c r="S136">
        <v>260</v>
      </c>
      <c r="T136">
        <f t="shared" si="5"/>
        <v>270</v>
      </c>
      <c r="U136"/>
      <c r="V136"/>
      <c r="W136"/>
      <c r="X136"/>
      <c r="Y136"/>
      <c r="Z136"/>
      <c r="AA136"/>
      <c r="AB136"/>
    </row>
    <row r="137" spans="1:28" x14ac:dyDescent="0.35">
      <c r="A137" t="s">
        <v>24</v>
      </c>
      <c r="D137" t="s">
        <v>337</v>
      </c>
      <c r="E137">
        <v>2016</v>
      </c>
      <c r="F137">
        <v>1</v>
      </c>
      <c r="G137">
        <v>8</v>
      </c>
      <c r="H137">
        <v>1</v>
      </c>
      <c r="I137">
        <v>8</v>
      </c>
      <c r="L137">
        <v>9</v>
      </c>
      <c r="M137">
        <v>12</v>
      </c>
      <c r="N137">
        <v>13</v>
      </c>
      <c r="O137">
        <v>14</v>
      </c>
      <c r="P137">
        <f t="shared" si="4"/>
        <v>13</v>
      </c>
      <c r="Q137">
        <v>270</v>
      </c>
      <c r="R137">
        <v>270</v>
      </c>
      <c r="S137">
        <v>260</v>
      </c>
      <c r="T137">
        <f t="shared" si="5"/>
        <v>266.66666666666669</v>
      </c>
      <c r="U137"/>
      <c r="V137"/>
      <c r="W137"/>
      <c r="X137"/>
      <c r="Y137"/>
      <c r="Z137"/>
      <c r="AA137"/>
      <c r="AB137"/>
    </row>
    <row r="138" spans="1:28" x14ac:dyDescent="0.35">
      <c r="A138" t="s">
        <v>34</v>
      </c>
      <c r="D138" t="s">
        <v>42</v>
      </c>
      <c r="E138">
        <v>2016</v>
      </c>
      <c r="F138">
        <v>1</v>
      </c>
      <c r="G138">
        <v>1</v>
      </c>
      <c r="H138">
        <v>2</v>
      </c>
      <c r="I138">
        <v>9</v>
      </c>
      <c r="L138">
        <v>9</v>
      </c>
      <c r="M138">
        <v>19</v>
      </c>
      <c r="N138">
        <v>17</v>
      </c>
      <c r="O138">
        <v>19</v>
      </c>
      <c r="P138">
        <f t="shared" si="4"/>
        <v>18.333333333333332</v>
      </c>
      <c r="Q138">
        <v>230</v>
      </c>
      <c r="R138">
        <v>300</v>
      </c>
      <c r="S138">
        <v>280</v>
      </c>
      <c r="T138">
        <f t="shared" si="5"/>
        <v>270</v>
      </c>
      <c r="U138"/>
      <c r="V138"/>
      <c r="W138"/>
      <c r="X138"/>
      <c r="Y138"/>
      <c r="Z138"/>
      <c r="AA138"/>
      <c r="AB138"/>
    </row>
    <row r="139" spans="1:28" x14ac:dyDescent="0.35">
      <c r="A139" t="s">
        <v>34</v>
      </c>
      <c r="D139" t="s">
        <v>38</v>
      </c>
      <c r="E139">
        <v>1999</v>
      </c>
      <c r="F139">
        <v>1</v>
      </c>
      <c r="G139">
        <v>2</v>
      </c>
      <c r="H139">
        <v>2</v>
      </c>
      <c r="I139">
        <v>10</v>
      </c>
      <c r="L139">
        <v>9</v>
      </c>
      <c r="M139">
        <v>19</v>
      </c>
      <c r="N139">
        <v>16</v>
      </c>
      <c r="O139">
        <v>19</v>
      </c>
      <c r="P139">
        <f t="shared" si="4"/>
        <v>18</v>
      </c>
      <c r="Q139">
        <v>350</v>
      </c>
      <c r="R139">
        <v>320</v>
      </c>
      <c r="S139">
        <v>370</v>
      </c>
      <c r="T139">
        <f t="shared" si="5"/>
        <v>346.66666666666669</v>
      </c>
      <c r="U139"/>
      <c r="V139"/>
      <c r="W139"/>
      <c r="X139"/>
      <c r="Y139"/>
      <c r="Z139"/>
      <c r="AA139"/>
      <c r="AB139"/>
    </row>
    <row r="140" spans="1:28" x14ac:dyDescent="0.35">
      <c r="A140" t="s">
        <v>34</v>
      </c>
      <c r="D140" t="s">
        <v>43</v>
      </c>
      <c r="E140">
        <v>2020</v>
      </c>
      <c r="F140">
        <v>1</v>
      </c>
      <c r="G140">
        <v>3</v>
      </c>
      <c r="H140">
        <v>2</v>
      </c>
      <c r="I140">
        <v>11</v>
      </c>
      <c r="L140">
        <v>9</v>
      </c>
      <c r="M140">
        <v>16</v>
      </c>
      <c r="N140">
        <v>16</v>
      </c>
      <c r="O140">
        <v>16</v>
      </c>
      <c r="P140">
        <f t="shared" si="4"/>
        <v>16</v>
      </c>
      <c r="Q140">
        <v>330</v>
      </c>
      <c r="R140">
        <v>305</v>
      </c>
      <c r="T140">
        <f t="shared" si="5"/>
        <v>317.5</v>
      </c>
      <c r="U140"/>
      <c r="V140"/>
      <c r="W140"/>
      <c r="X140"/>
      <c r="Y140"/>
      <c r="Z140"/>
      <c r="AA140"/>
      <c r="AB140"/>
    </row>
    <row r="141" spans="1:28" x14ac:dyDescent="0.35">
      <c r="A141" t="s">
        <v>34</v>
      </c>
      <c r="D141" t="s">
        <v>41</v>
      </c>
      <c r="E141">
        <v>2008</v>
      </c>
      <c r="F141">
        <v>1</v>
      </c>
      <c r="G141">
        <v>4</v>
      </c>
      <c r="H141">
        <v>2</v>
      </c>
      <c r="I141">
        <v>12</v>
      </c>
      <c r="L141">
        <v>9</v>
      </c>
      <c r="M141">
        <v>16</v>
      </c>
      <c r="N141">
        <v>17</v>
      </c>
      <c r="O141">
        <v>16</v>
      </c>
      <c r="P141">
        <f t="shared" si="4"/>
        <v>16.333333333333332</v>
      </c>
      <c r="Q141">
        <v>300</v>
      </c>
      <c r="R141">
        <v>310</v>
      </c>
      <c r="S141">
        <v>250</v>
      </c>
      <c r="T141">
        <f t="shared" si="5"/>
        <v>286.66666666666669</v>
      </c>
      <c r="U141"/>
      <c r="V141"/>
      <c r="W141"/>
      <c r="X141"/>
      <c r="Y141"/>
      <c r="Z141"/>
      <c r="AA141"/>
      <c r="AB141"/>
    </row>
    <row r="142" spans="1:28" x14ac:dyDescent="0.35">
      <c r="A142" t="s">
        <v>34</v>
      </c>
      <c r="D142" t="s">
        <v>37</v>
      </c>
      <c r="E142">
        <v>1989</v>
      </c>
      <c r="F142">
        <v>1</v>
      </c>
      <c r="G142">
        <v>5</v>
      </c>
      <c r="H142">
        <v>2</v>
      </c>
      <c r="I142">
        <v>13</v>
      </c>
      <c r="L142">
        <v>9</v>
      </c>
      <c r="M142">
        <v>16</v>
      </c>
      <c r="N142">
        <v>14</v>
      </c>
      <c r="P142">
        <f t="shared" si="4"/>
        <v>15</v>
      </c>
      <c r="Q142">
        <v>340</v>
      </c>
      <c r="R142">
        <v>340</v>
      </c>
      <c r="T142">
        <f t="shared" si="5"/>
        <v>340</v>
      </c>
      <c r="U142"/>
      <c r="V142"/>
      <c r="W142"/>
      <c r="X142"/>
      <c r="Y142"/>
      <c r="Z142"/>
      <c r="AA142"/>
      <c r="AB142"/>
    </row>
    <row r="143" spans="1:28" x14ac:dyDescent="0.35">
      <c r="A143" t="s">
        <v>34</v>
      </c>
      <c r="D143" t="s">
        <v>343</v>
      </c>
      <c r="E143">
        <v>2004</v>
      </c>
      <c r="F143">
        <v>1</v>
      </c>
      <c r="G143">
        <v>6</v>
      </c>
      <c r="H143">
        <v>2</v>
      </c>
      <c r="I143">
        <v>14</v>
      </c>
      <c r="L143">
        <v>9</v>
      </c>
      <c r="M143">
        <v>16</v>
      </c>
      <c r="N143">
        <v>17</v>
      </c>
      <c r="O143">
        <v>16</v>
      </c>
      <c r="P143">
        <f t="shared" si="4"/>
        <v>16.333333333333332</v>
      </c>
      <c r="Q143">
        <v>320</v>
      </c>
      <c r="R143">
        <v>310</v>
      </c>
      <c r="T143">
        <f t="shared" si="5"/>
        <v>315</v>
      </c>
      <c r="U143"/>
      <c r="V143"/>
      <c r="W143"/>
      <c r="X143"/>
      <c r="Y143"/>
      <c r="Z143"/>
      <c r="AA143"/>
      <c r="AB143"/>
    </row>
    <row r="144" spans="1:28" x14ac:dyDescent="0.35">
      <c r="A144" t="s">
        <v>34</v>
      </c>
      <c r="D144" t="s">
        <v>36</v>
      </c>
      <c r="E144">
        <v>1984</v>
      </c>
      <c r="F144">
        <v>1</v>
      </c>
      <c r="G144">
        <v>7</v>
      </c>
      <c r="H144">
        <v>2</v>
      </c>
      <c r="I144">
        <v>15</v>
      </c>
      <c r="L144">
        <v>9</v>
      </c>
      <c r="M144">
        <v>16</v>
      </c>
      <c r="N144">
        <v>15</v>
      </c>
      <c r="O144">
        <v>15</v>
      </c>
      <c r="P144">
        <f t="shared" si="4"/>
        <v>15.333333333333334</v>
      </c>
      <c r="Q144">
        <v>320</v>
      </c>
      <c r="R144">
        <v>290</v>
      </c>
      <c r="S144">
        <v>280</v>
      </c>
      <c r="T144">
        <f t="shared" si="5"/>
        <v>296.66666666666669</v>
      </c>
      <c r="U144"/>
      <c r="V144"/>
      <c r="W144"/>
      <c r="X144"/>
      <c r="Y144"/>
      <c r="Z144"/>
      <c r="AA144"/>
      <c r="AB144"/>
    </row>
    <row r="145" spans="1:28" x14ac:dyDescent="0.35">
      <c r="A145" t="s">
        <v>34</v>
      </c>
      <c r="D145" t="s">
        <v>39</v>
      </c>
      <c r="E145">
        <v>2001</v>
      </c>
      <c r="F145">
        <v>1</v>
      </c>
      <c r="G145">
        <v>8</v>
      </c>
      <c r="H145">
        <v>2</v>
      </c>
      <c r="I145">
        <v>16</v>
      </c>
      <c r="L145">
        <v>9</v>
      </c>
      <c r="M145">
        <v>18</v>
      </c>
      <c r="N145">
        <v>16</v>
      </c>
      <c r="O145">
        <v>16</v>
      </c>
      <c r="P145">
        <f t="shared" si="4"/>
        <v>16.666666666666668</v>
      </c>
      <c r="Q145">
        <v>250</v>
      </c>
      <c r="R145">
        <v>300</v>
      </c>
      <c r="S145">
        <v>280</v>
      </c>
      <c r="T145">
        <f t="shared" si="5"/>
        <v>276.66666666666669</v>
      </c>
      <c r="U145"/>
      <c r="V145"/>
      <c r="W145"/>
      <c r="X145"/>
      <c r="Y145"/>
      <c r="Z145"/>
      <c r="AA145"/>
      <c r="AB145"/>
    </row>
    <row r="146" spans="1:28" x14ac:dyDescent="0.35">
      <c r="A146" t="s">
        <v>24</v>
      </c>
      <c r="D146" t="s">
        <v>335</v>
      </c>
      <c r="E146">
        <v>2023</v>
      </c>
      <c r="F146">
        <v>2</v>
      </c>
      <c r="G146">
        <v>1</v>
      </c>
      <c r="H146">
        <v>3</v>
      </c>
      <c r="I146">
        <v>17</v>
      </c>
      <c r="L146">
        <v>9</v>
      </c>
      <c r="M146">
        <v>11</v>
      </c>
      <c r="N146">
        <v>12</v>
      </c>
      <c r="O146">
        <v>12</v>
      </c>
      <c r="P146">
        <f t="shared" si="4"/>
        <v>11.666666666666666</v>
      </c>
      <c r="Q146">
        <v>270</v>
      </c>
      <c r="R146">
        <v>255</v>
      </c>
      <c r="S146">
        <v>275</v>
      </c>
      <c r="T146">
        <f t="shared" si="5"/>
        <v>266.66666666666669</v>
      </c>
      <c r="U146"/>
      <c r="V146"/>
      <c r="W146"/>
      <c r="X146"/>
      <c r="Y146"/>
      <c r="Z146"/>
      <c r="AA146"/>
      <c r="AB146"/>
    </row>
    <row r="147" spans="1:28" x14ac:dyDescent="0.35">
      <c r="A147" t="s">
        <v>24</v>
      </c>
      <c r="D147" t="s">
        <v>28</v>
      </c>
      <c r="E147">
        <v>1998</v>
      </c>
      <c r="F147">
        <v>2</v>
      </c>
      <c r="G147">
        <v>2</v>
      </c>
      <c r="H147">
        <v>3</v>
      </c>
      <c r="I147">
        <v>18</v>
      </c>
      <c r="L147">
        <v>9</v>
      </c>
      <c r="M147">
        <v>12</v>
      </c>
      <c r="N147">
        <v>13</v>
      </c>
      <c r="O147">
        <v>12</v>
      </c>
      <c r="P147">
        <f t="shared" si="4"/>
        <v>12.333333333333334</v>
      </c>
      <c r="Q147">
        <v>240</v>
      </c>
      <c r="R147">
        <v>270</v>
      </c>
      <c r="S147">
        <v>235</v>
      </c>
      <c r="T147">
        <f t="shared" si="5"/>
        <v>248.33333333333334</v>
      </c>
      <c r="U147"/>
      <c r="V147"/>
      <c r="W147"/>
      <c r="X147"/>
      <c r="Y147"/>
      <c r="Z147"/>
      <c r="AA147"/>
      <c r="AB147"/>
    </row>
    <row r="148" spans="1:28" x14ac:dyDescent="0.35">
      <c r="A148" t="s">
        <v>24</v>
      </c>
      <c r="D148" t="s">
        <v>26</v>
      </c>
      <c r="E148">
        <v>1983</v>
      </c>
      <c r="F148">
        <v>2</v>
      </c>
      <c r="G148">
        <v>3</v>
      </c>
      <c r="H148">
        <v>3</v>
      </c>
      <c r="I148">
        <v>19</v>
      </c>
      <c r="L148">
        <v>9</v>
      </c>
      <c r="M148">
        <v>14</v>
      </c>
      <c r="N148">
        <v>10</v>
      </c>
      <c r="P148">
        <f t="shared" si="4"/>
        <v>12</v>
      </c>
      <c r="Q148">
        <v>255</v>
      </c>
      <c r="R148">
        <v>295</v>
      </c>
      <c r="T148">
        <f t="shared" si="5"/>
        <v>275</v>
      </c>
      <c r="U148"/>
      <c r="V148"/>
      <c r="W148"/>
      <c r="X148"/>
      <c r="Y148"/>
      <c r="Z148"/>
      <c r="AA148"/>
      <c r="AB148"/>
    </row>
    <row r="149" spans="1:28" x14ac:dyDescent="0.35">
      <c r="A149" t="s">
        <v>24</v>
      </c>
      <c r="D149" t="s">
        <v>336</v>
      </c>
      <c r="E149">
        <v>2002</v>
      </c>
      <c r="F149">
        <v>2</v>
      </c>
      <c r="G149">
        <v>4</v>
      </c>
      <c r="H149">
        <v>3</v>
      </c>
      <c r="I149">
        <v>20</v>
      </c>
      <c r="L149">
        <v>9</v>
      </c>
      <c r="M149">
        <v>11</v>
      </c>
      <c r="N149">
        <v>15</v>
      </c>
      <c r="O149">
        <v>13</v>
      </c>
      <c r="P149">
        <f t="shared" si="4"/>
        <v>13</v>
      </c>
      <c r="Q149">
        <v>275</v>
      </c>
      <c r="R149">
        <v>265</v>
      </c>
      <c r="S149">
        <v>250</v>
      </c>
      <c r="T149">
        <f t="shared" si="5"/>
        <v>263.33333333333331</v>
      </c>
      <c r="U149"/>
      <c r="V149"/>
      <c r="W149"/>
      <c r="X149"/>
      <c r="Y149"/>
      <c r="Z149"/>
      <c r="AA149"/>
      <c r="AB149"/>
    </row>
    <row r="150" spans="1:28" x14ac:dyDescent="0.35">
      <c r="A150" t="s">
        <v>24</v>
      </c>
      <c r="D150" t="s">
        <v>29</v>
      </c>
      <c r="E150">
        <v>1999</v>
      </c>
      <c r="F150">
        <v>2</v>
      </c>
      <c r="G150">
        <v>5</v>
      </c>
      <c r="H150">
        <v>3</v>
      </c>
      <c r="I150">
        <v>21</v>
      </c>
      <c r="L150">
        <v>9</v>
      </c>
      <c r="M150">
        <v>10</v>
      </c>
      <c r="N150">
        <v>10</v>
      </c>
      <c r="P150">
        <f t="shared" si="4"/>
        <v>10</v>
      </c>
      <c r="Q150">
        <v>300</v>
      </c>
      <c r="R150">
        <v>255</v>
      </c>
      <c r="T150">
        <f t="shared" si="5"/>
        <v>277.5</v>
      </c>
      <c r="U150"/>
      <c r="V150"/>
      <c r="W150"/>
      <c r="X150"/>
      <c r="Y150"/>
      <c r="Z150"/>
      <c r="AA150"/>
      <c r="AB150"/>
    </row>
    <row r="151" spans="1:28" x14ac:dyDescent="0.35">
      <c r="A151" t="s">
        <v>24</v>
      </c>
      <c r="D151" t="s">
        <v>337</v>
      </c>
      <c r="E151">
        <v>2016</v>
      </c>
      <c r="F151">
        <v>2</v>
      </c>
      <c r="G151">
        <v>6</v>
      </c>
      <c r="H151">
        <v>3</v>
      </c>
      <c r="I151">
        <v>22</v>
      </c>
      <c r="L151">
        <v>9</v>
      </c>
      <c r="M151">
        <v>12</v>
      </c>
      <c r="N151">
        <v>12</v>
      </c>
      <c r="P151">
        <f t="shared" si="4"/>
        <v>12</v>
      </c>
      <c r="Q151">
        <v>310</v>
      </c>
      <c r="R151">
        <v>230</v>
      </c>
      <c r="T151">
        <f t="shared" si="5"/>
        <v>270</v>
      </c>
      <c r="U151"/>
      <c r="V151"/>
      <c r="W151"/>
      <c r="X151"/>
      <c r="Y151"/>
      <c r="Z151"/>
      <c r="AA151"/>
      <c r="AB151"/>
    </row>
    <row r="152" spans="1:28" x14ac:dyDescent="0.35">
      <c r="A152" t="s">
        <v>24</v>
      </c>
      <c r="D152" t="s">
        <v>32</v>
      </c>
      <c r="E152">
        <v>2018</v>
      </c>
      <c r="F152">
        <v>2</v>
      </c>
      <c r="G152">
        <v>7</v>
      </c>
      <c r="H152">
        <v>3</v>
      </c>
      <c r="I152">
        <v>23</v>
      </c>
      <c r="L152">
        <v>9</v>
      </c>
      <c r="M152">
        <v>12</v>
      </c>
      <c r="N152">
        <v>13</v>
      </c>
      <c r="O152">
        <v>13</v>
      </c>
      <c r="P152">
        <f t="shared" si="4"/>
        <v>12.666666666666666</v>
      </c>
      <c r="Q152">
        <v>270</v>
      </c>
      <c r="R152">
        <v>300</v>
      </c>
      <c r="S152">
        <v>300</v>
      </c>
      <c r="T152">
        <f t="shared" si="5"/>
        <v>290</v>
      </c>
      <c r="U152"/>
      <c r="V152"/>
      <c r="W152"/>
      <c r="X152"/>
      <c r="Y152"/>
      <c r="Z152"/>
      <c r="AA152"/>
      <c r="AB152"/>
    </row>
    <row r="153" spans="1:28" x14ac:dyDescent="0.35">
      <c r="A153" t="s">
        <v>24</v>
      </c>
      <c r="D153" t="s">
        <v>27</v>
      </c>
      <c r="E153">
        <v>1985</v>
      </c>
      <c r="F153">
        <v>2</v>
      </c>
      <c r="G153">
        <v>8</v>
      </c>
      <c r="H153">
        <v>3</v>
      </c>
      <c r="I153">
        <v>24</v>
      </c>
      <c r="L153">
        <v>9</v>
      </c>
      <c r="M153">
        <v>11</v>
      </c>
      <c r="N153">
        <v>12</v>
      </c>
      <c r="P153">
        <f t="shared" si="4"/>
        <v>11.5</v>
      </c>
      <c r="Q153">
        <v>240</v>
      </c>
      <c r="R153">
        <v>230</v>
      </c>
      <c r="T153">
        <f t="shared" si="5"/>
        <v>235</v>
      </c>
      <c r="U153"/>
      <c r="V153"/>
      <c r="W153"/>
      <c r="X153"/>
      <c r="Y153"/>
      <c r="Z153"/>
      <c r="AA153"/>
      <c r="AB153"/>
    </row>
    <row r="154" spans="1:28" x14ac:dyDescent="0.35">
      <c r="A154" t="s">
        <v>34</v>
      </c>
      <c r="D154" t="s">
        <v>343</v>
      </c>
      <c r="E154">
        <v>2004</v>
      </c>
      <c r="F154">
        <v>2</v>
      </c>
      <c r="G154">
        <v>1</v>
      </c>
      <c r="H154">
        <v>4</v>
      </c>
      <c r="I154">
        <v>25</v>
      </c>
      <c r="L154">
        <v>9</v>
      </c>
      <c r="M154">
        <v>17</v>
      </c>
      <c r="N154">
        <v>14</v>
      </c>
      <c r="O154">
        <v>16</v>
      </c>
      <c r="P154">
        <f t="shared" si="4"/>
        <v>15.666666666666666</v>
      </c>
      <c r="Q154">
        <v>320</v>
      </c>
      <c r="R154">
        <v>280</v>
      </c>
      <c r="S154">
        <v>305</v>
      </c>
      <c r="T154">
        <f t="shared" si="5"/>
        <v>301.66666666666669</v>
      </c>
      <c r="U154"/>
      <c r="V154"/>
      <c r="W154"/>
      <c r="X154"/>
      <c r="Y154"/>
      <c r="Z154"/>
      <c r="AA154"/>
      <c r="AB154"/>
    </row>
    <row r="155" spans="1:28" x14ac:dyDescent="0.35">
      <c r="A155" t="s">
        <v>34</v>
      </c>
      <c r="D155" t="s">
        <v>43</v>
      </c>
      <c r="E155">
        <v>2020</v>
      </c>
      <c r="F155">
        <v>2</v>
      </c>
      <c r="G155">
        <v>2</v>
      </c>
      <c r="H155">
        <v>4</v>
      </c>
      <c r="I155">
        <v>26</v>
      </c>
      <c r="L155">
        <v>9</v>
      </c>
      <c r="M155">
        <v>17</v>
      </c>
      <c r="N155">
        <v>17</v>
      </c>
      <c r="O155">
        <v>17</v>
      </c>
      <c r="P155">
        <f t="shared" si="4"/>
        <v>17</v>
      </c>
      <c r="Q155">
        <v>310</v>
      </c>
      <c r="R155">
        <v>290</v>
      </c>
      <c r="S155">
        <v>275</v>
      </c>
      <c r="T155">
        <f t="shared" si="5"/>
        <v>291.66666666666669</v>
      </c>
      <c r="U155"/>
      <c r="V155"/>
      <c r="W155"/>
      <c r="X155"/>
      <c r="Y155"/>
      <c r="Z155"/>
      <c r="AA155"/>
      <c r="AB155"/>
    </row>
    <row r="156" spans="1:28" x14ac:dyDescent="0.35">
      <c r="A156" t="s">
        <v>34</v>
      </c>
      <c r="D156" t="s">
        <v>38</v>
      </c>
      <c r="E156">
        <v>1999</v>
      </c>
      <c r="F156">
        <v>2</v>
      </c>
      <c r="G156">
        <v>3</v>
      </c>
      <c r="H156">
        <v>4</v>
      </c>
      <c r="I156">
        <v>27</v>
      </c>
      <c r="L156">
        <v>9</v>
      </c>
      <c r="M156">
        <v>16</v>
      </c>
      <c r="N156">
        <v>16</v>
      </c>
      <c r="O156">
        <v>17</v>
      </c>
      <c r="P156">
        <f t="shared" si="4"/>
        <v>16.333333333333332</v>
      </c>
      <c r="Q156">
        <v>310</v>
      </c>
      <c r="R156">
        <v>310</v>
      </c>
      <c r="S156">
        <v>320</v>
      </c>
      <c r="T156">
        <f t="shared" si="5"/>
        <v>313.33333333333331</v>
      </c>
      <c r="U156"/>
      <c r="V156"/>
      <c r="W156"/>
      <c r="X156"/>
      <c r="Y156"/>
      <c r="Z156"/>
      <c r="AA156"/>
      <c r="AB156"/>
    </row>
    <row r="157" spans="1:28" x14ac:dyDescent="0.35">
      <c r="A157" t="s">
        <v>34</v>
      </c>
      <c r="D157" t="s">
        <v>39</v>
      </c>
      <c r="E157">
        <v>2001</v>
      </c>
      <c r="F157">
        <v>2</v>
      </c>
      <c r="G157">
        <v>4</v>
      </c>
      <c r="H157">
        <v>4</v>
      </c>
      <c r="I157">
        <v>28</v>
      </c>
      <c r="L157">
        <v>9</v>
      </c>
      <c r="M157">
        <v>19</v>
      </c>
      <c r="N157">
        <v>13</v>
      </c>
      <c r="O157">
        <v>13</v>
      </c>
      <c r="P157">
        <f t="shared" si="4"/>
        <v>15</v>
      </c>
      <c r="Q157">
        <v>225</v>
      </c>
      <c r="R157">
        <v>255</v>
      </c>
      <c r="S157">
        <v>270</v>
      </c>
      <c r="T157">
        <f t="shared" si="5"/>
        <v>250</v>
      </c>
      <c r="U157"/>
      <c r="V157"/>
      <c r="W157"/>
      <c r="X157"/>
      <c r="Y157"/>
      <c r="Z157"/>
      <c r="AA157"/>
      <c r="AB157"/>
    </row>
    <row r="158" spans="1:28" x14ac:dyDescent="0.35">
      <c r="A158" t="s">
        <v>34</v>
      </c>
      <c r="D158" t="s">
        <v>42</v>
      </c>
      <c r="E158">
        <v>2016</v>
      </c>
      <c r="F158">
        <v>2</v>
      </c>
      <c r="G158">
        <v>5</v>
      </c>
      <c r="H158">
        <v>4</v>
      </c>
      <c r="I158">
        <v>29</v>
      </c>
      <c r="L158">
        <v>9</v>
      </c>
      <c r="M158">
        <v>18</v>
      </c>
      <c r="N158">
        <v>17</v>
      </c>
      <c r="O158">
        <v>17</v>
      </c>
      <c r="P158">
        <f t="shared" si="4"/>
        <v>17.333333333333332</v>
      </c>
      <c r="Q158">
        <v>270</v>
      </c>
      <c r="R158">
        <v>290</v>
      </c>
      <c r="S158">
        <v>300</v>
      </c>
      <c r="T158">
        <f t="shared" si="5"/>
        <v>286.66666666666669</v>
      </c>
      <c r="U158"/>
      <c r="V158"/>
      <c r="W158"/>
      <c r="X158"/>
      <c r="Y158"/>
      <c r="Z158"/>
      <c r="AA158"/>
      <c r="AB158"/>
    </row>
    <row r="159" spans="1:28" x14ac:dyDescent="0.35">
      <c r="A159" t="s">
        <v>34</v>
      </c>
      <c r="D159" t="s">
        <v>36</v>
      </c>
      <c r="E159">
        <v>1984</v>
      </c>
      <c r="F159">
        <v>2</v>
      </c>
      <c r="G159">
        <v>6</v>
      </c>
      <c r="H159">
        <v>4</v>
      </c>
      <c r="I159">
        <v>30</v>
      </c>
      <c r="L159">
        <v>9</v>
      </c>
      <c r="M159">
        <v>13</v>
      </c>
      <c r="N159">
        <v>14</v>
      </c>
      <c r="O159">
        <v>16</v>
      </c>
      <c r="P159">
        <f t="shared" si="4"/>
        <v>14.333333333333334</v>
      </c>
      <c r="Q159">
        <v>275</v>
      </c>
      <c r="R159">
        <v>250</v>
      </c>
      <c r="S159">
        <v>295</v>
      </c>
      <c r="T159">
        <f t="shared" si="5"/>
        <v>273.33333333333331</v>
      </c>
      <c r="U159"/>
      <c r="V159"/>
      <c r="W159"/>
      <c r="X159"/>
      <c r="Y159"/>
      <c r="Z159"/>
      <c r="AA159"/>
      <c r="AB159"/>
    </row>
    <row r="160" spans="1:28" x14ac:dyDescent="0.35">
      <c r="A160" t="s">
        <v>34</v>
      </c>
      <c r="D160" t="s">
        <v>41</v>
      </c>
      <c r="E160">
        <v>2008</v>
      </c>
      <c r="F160">
        <v>2</v>
      </c>
      <c r="G160">
        <v>7</v>
      </c>
      <c r="H160">
        <v>4</v>
      </c>
      <c r="I160">
        <v>31</v>
      </c>
      <c r="L160">
        <v>9</v>
      </c>
      <c r="M160">
        <v>15</v>
      </c>
      <c r="N160">
        <v>14</v>
      </c>
      <c r="P160">
        <f t="shared" si="4"/>
        <v>14.5</v>
      </c>
      <c r="Q160">
        <v>280</v>
      </c>
      <c r="R160">
        <v>275</v>
      </c>
      <c r="T160">
        <f t="shared" si="5"/>
        <v>277.5</v>
      </c>
      <c r="U160"/>
      <c r="V160"/>
      <c r="W160"/>
      <c r="X160"/>
      <c r="Y160"/>
      <c r="Z160"/>
      <c r="AA160"/>
      <c r="AB160"/>
    </row>
    <row r="161" spans="1:28" x14ac:dyDescent="0.35">
      <c r="A161" t="s">
        <v>34</v>
      </c>
      <c r="D161" t="s">
        <v>37</v>
      </c>
      <c r="E161">
        <v>1989</v>
      </c>
      <c r="F161">
        <v>2</v>
      </c>
      <c r="G161">
        <v>8</v>
      </c>
      <c r="H161">
        <v>4</v>
      </c>
      <c r="I161">
        <v>32</v>
      </c>
      <c r="L161">
        <v>9</v>
      </c>
      <c r="M161">
        <v>14</v>
      </c>
      <c r="N161">
        <v>14</v>
      </c>
      <c r="O161">
        <v>12</v>
      </c>
      <c r="P161">
        <f t="shared" si="4"/>
        <v>13.333333333333334</v>
      </c>
      <c r="Q161">
        <v>285</v>
      </c>
      <c r="R161">
        <v>295</v>
      </c>
      <c r="S161">
        <v>250</v>
      </c>
      <c r="T161">
        <f t="shared" si="5"/>
        <v>276.66666666666669</v>
      </c>
      <c r="U161"/>
      <c r="V161"/>
      <c r="W161"/>
      <c r="X161"/>
      <c r="Y161"/>
      <c r="Z161"/>
      <c r="AA161"/>
      <c r="AB161"/>
    </row>
    <row r="162" spans="1:28" x14ac:dyDescent="0.35">
      <c r="A162" t="s">
        <v>24</v>
      </c>
      <c r="D162" t="s">
        <v>336</v>
      </c>
      <c r="E162">
        <v>2002</v>
      </c>
      <c r="F162">
        <v>3</v>
      </c>
      <c r="G162">
        <v>1</v>
      </c>
      <c r="H162">
        <v>5</v>
      </c>
      <c r="I162">
        <v>33</v>
      </c>
      <c r="L162">
        <v>9</v>
      </c>
      <c r="M162">
        <v>13</v>
      </c>
      <c r="N162">
        <v>14</v>
      </c>
      <c r="O162">
        <v>14</v>
      </c>
      <c r="P162">
        <f t="shared" si="4"/>
        <v>13.666666666666666</v>
      </c>
      <c r="Q162">
        <v>270</v>
      </c>
      <c r="R162">
        <v>310</v>
      </c>
      <c r="S162">
        <v>300</v>
      </c>
      <c r="T162">
        <f t="shared" si="5"/>
        <v>293.33333333333331</v>
      </c>
      <c r="U162"/>
      <c r="V162"/>
      <c r="W162"/>
      <c r="X162"/>
      <c r="Y162"/>
      <c r="Z162"/>
      <c r="AA162"/>
      <c r="AB162"/>
    </row>
    <row r="163" spans="1:28" x14ac:dyDescent="0.35">
      <c r="A163" t="s">
        <v>24</v>
      </c>
      <c r="D163" t="s">
        <v>337</v>
      </c>
      <c r="E163">
        <v>2016</v>
      </c>
      <c r="F163">
        <v>3</v>
      </c>
      <c r="G163">
        <v>2</v>
      </c>
      <c r="H163">
        <v>5</v>
      </c>
      <c r="I163">
        <v>34</v>
      </c>
      <c r="L163">
        <v>9</v>
      </c>
      <c r="M163">
        <v>13</v>
      </c>
      <c r="N163">
        <v>10</v>
      </c>
      <c r="O163">
        <v>11</v>
      </c>
      <c r="P163">
        <f t="shared" si="4"/>
        <v>11.333333333333334</v>
      </c>
      <c r="Q163">
        <v>270</v>
      </c>
      <c r="R163">
        <v>280</v>
      </c>
      <c r="S163">
        <v>270</v>
      </c>
      <c r="T163">
        <f t="shared" si="5"/>
        <v>273.33333333333331</v>
      </c>
      <c r="U163"/>
      <c r="V163"/>
      <c r="W163"/>
      <c r="X163"/>
      <c r="Y163"/>
      <c r="Z163"/>
      <c r="AA163"/>
      <c r="AB163"/>
    </row>
    <row r="164" spans="1:28" x14ac:dyDescent="0.35">
      <c r="A164" t="s">
        <v>24</v>
      </c>
      <c r="D164" t="s">
        <v>32</v>
      </c>
      <c r="E164">
        <v>2018</v>
      </c>
      <c r="F164">
        <v>3</v>
      </c>
      <c r="G164">
        <v>3</v>
      </c>
      <c r="H164">
        <v>5</v>
      </c>
      <c r="I164">
        <v>35</v>
      </c>
      <c r="L164">
        <v>9</v>
      </c>
      <c r="M164">
        <v>12</v>
      </c>
      <c r="N164">
        <v>13</v>
      </c>
      <c r="P164">
        <f t="shared" si="4"/>
        <v>12.5</v>
      </c>
      <c r="Q164">
        <v>285</v>
      </c>
      <c r="R164">
        <v>250</v>
      </c>
      <c r="T164">
        <f t="shared" si="5"/>
        <v>267.5</v>
      </c>
      <c r="U164"/>
      <c r="V164"/>
      <c r="W164"/>
      <c r="X164"/>
      <c r="Y164"/>
      <c r="Z164"/>
      <c r="AA164"/>
      <c r="AB164"/>
    </row>
    <row r="165" spans="1:28" x14ac:dyDescent="0.35">
      <c r="A165" t="s">
        <v>24</v>
      </c>
      <c r="D165" t="s">
        <v>28</v>
      </c>
      <c r="E165">
        <v>1998</v>
      </c>
      <c r="F165">
        <v>3</v>
      </c>
      <c r="G165">
        <v>4</v>
      </c>
      <c r="H165">
        <v>5</v>
      </c>
      <c r="I165">
        <v>36</v>
      </c>
      <c r="L165">
        <v>9</v>
      </c>
      <c r="M165">
        <v>12</v>
      </c>
      <c r="N165">
        <v>12</v>
      </c>
      <c r="O165">
        <v>10</v>
      </c>
      <c r="P165">
        <f t="shared" si="4"/>
        <v>11.333333333333334</v>
      </c>
      <c r="Q165">
        <v>240</v>
      </c>
      <c r="R165">
        <v>255</v>
      </c>
      <c r="S165">
        <v>240</v>
      </c>
      <c r="T165">
        <f t="shared" si="5"/>
        <v>245</v>
      </c>
      <c r="U165"/>
      <c r="V165"/>
      <c r="W165"/>
      <c r="X165"/>
      <c r="Y165"/>
      <c r="Z165"/>
      <c r="AA165"/>
      <c r="AB165"/>
    </row>
    <row r="166" spans="1:28" x14ac:dyDescent="0.35">
      <c r="A166" t="s">
        <v>24</v>
      </c>
      <c r="D166" t="s">
        <v>27</v>
      </c>
      <c r="E166">
        <v>1985</v>
      </c>
      <c r="F166">
        <v>3</v>
      </c>
      <c r="G166">
        <v>5</v>
      </c>
      <c r="H166">
        <v>5</v>
      </c>
      <c r="I166">
        <v>37</v>
      </c>
      <c r="L166">
        <v>9</v>
      </c>
      <c r="M166">
        <v>11</v>
      </c>
      <c r="N166">
        <v>11</v>
      </c>
      <c r="O166">
        <v>12</v>
      </c>
      <c r="P166">
        <f t="shared" si="4"/>
        <v>11.333333333333334</v>
      </c>
      <c r="Q166">
        <v>300</v>
      </c>
      <c r="R166">
        <v>270</v>
      </c>
      <c r="S166">
        <v>270</v>
      </c>
      <c r="T166">
        <f t="shared" si="5"/>
        <v>280</v>
      </c>
      <c r="U166"/>
      <c r="V166"/>
      <c r="W166"/>
      <c r="X166"/>
      <c r="Y166"/>
      <c r="Z166"/>
      <c r="AA166"/>
      <c r="AB166"/>
    </row>
    <row r="167" spans="1:28" x14ac:dyDescent="0.35">
      <c r="A167" t="s">
        <v>24</v>
      </c>
      <c r="D167" t="s">
        <v>335</v>
      </c>
      <c r="E167">
        <v>2023</v>
      </c>
      <c r="F167">
        <v>3</v>
      </c>
      <c r="G167">
        <v>6</v>
      </c>
      <c r="H167">
        <v>5</v>
      </c>
      <c r="I167">
        <v>38</v>
      </c>
      <c r="L167">
        <v>9</v>
      </c>
      <c r="M167">
        <v>11</v>
      </c>
      <c r="O167">
        <v>11</v>
      </c>
      <c r="P167">
        <f t="shared" si="4"/>
        <v>11</v>
      </c>
      <c r="Q167">
        <v>280</v>
      </c>
      <c r="R167">
        <v>310</v>
      </c>
      <c r="S167">
        <v>270</v>
      </c>
      <c r="T167">
        <f t="shared" si="5"/>
        <v>286.66666666666669</v>
      </c>
      <c r="U167"/>
      <c r="V167"/>
      <c r="W167"/>
      <c r="X167"/>
      <c r="Y167"/>
      <c r="Z167"/>
      <c r="AA167"/>
      <c r="AB167"/>
    </row>
    <row r="168" spans="1:28" x14ac:dyDescent="0.35">
      <c r="A168" t="s">
        <v>24</v>
      </c>
      <c r="D168" t="s">
        <v>29</v>
      </c>
      <c r="E168">
        <v>1999</v>
      </c>
      <c r="F168">
        <v>3</v>
      </c>
      <c r="G168">
        <v>7</v>
      </c>
      <c r="H168">
        <v>5</v>
      </c>
      <c r="I168">
        <v>39</v>
      </c>
      <c r="L168">
        <v>9</v>
      </c>
      <c r="M168">
        <v>14</v>
      </c>
      <c r="N168">
        <v>11</v>
      </c>
      <c r="P168">
        <f t="shared" si="4"/>
        <v>12.5</v>
      </c>
      <c r="Q168">
        <v>310</v>
      </c>
      <c r="R168">
        <v>300</v>
      </c>
      <c r="T168">
        <f t="shared" si="5"/>
        <v>305</v>
      </c>
      <c r="U168"/>
      <c r="V168"/>
      <c r="W168"/>
      <c r="X168"/>
      <c r="Y168"/>
      <c r="Z168"/>
      <c r="AA168"/>
      <c r="AB168"/>
    </row>
    <row r="169" spans="1:28" x14ac:dyDescent="0.35">
      <c r="A169" t="s">
        <v>24</v>
      </c>
      <c r="D169" t="s">
        <v>26</v>
      </c>
      <c r="E169">
        <v>1983</v>
      </c>
      <c r="F169">
        <v>3</v>
      </c>
      <c r="G169">
        <v>8</v>
      </c>
      <c r="H169">
        <v>5</v>
      </c>
      <c r="I169">
        <v>40</v>
      </c>
      <c r="L169">
        <v>9</v>
      </c>
      <c r="N169">
        <v>10</v>
      </c>
      <c r="P169">
        <f t="shared" si="4"/>
        <v>10</v>
      </c>
      <c r="Q169">
        <v>250</v>
      </c>
      <c r="R169">
        <v>210</v>
      </c>
      <c r="T169">
        <f t="shared" si="5"/>
        <v>230</v>
      </c>
      <c r="U169"/>
      <c r="V169"/>
      <c r="W169"/>
      <c r="X169"/>
      <c r="Y169"/>
      <c r="Z169"/>
      <c r="AA169"/>
      <c r="AB169"/>
    </row>
    <row r="170" spans="1:28" x14ac:dyDescent="0.35">
      <c r="A170" t="s">
        <v>34</v>
      </c>
      <c r="D170" t="s">
        <v>41</v>
      </c>
      <c r="E170">
        <v>2008</v>
      </c>
      <c r="F170">
        <v>3</v>
      </c>
      <c r="G170">
        <v>1</v>
      </c>
      <c r="H170">
        <v>6</v>
      </c>
      <c r="I170">
        <v>41</v>
      </c>
      <c r="L170">
        <v>9</v>
      </c>
      <c r="M170">
        <v>16</v>
      </c>
      <c r="N170">
        <v>16</v>
      </c>
      <c r="P170">
        <f t="shared" si="4"/>
        <v>16</v>
      </c>
      <c r="Q170">
        <v>300</v>
      </c>
      <c r="R170">
        <v>300</v>
      </c>
      <c r="T170">
        <f t="shared" si="5"/>
        <v>300</v>
      </c>
      <c r="U170"/>
      <c r="V170"/>
      <c r="W170"/>
      <c r="X170"/>
      <c r="Y170"/>
      <c r="Z170"/>
      <c r="AA170"/>
      <c r="AB170"/>
    </row>
    <row r="171" spans="1:28" x14ac:dyDescent="0.35">
      <c r="A171" t="s">
        <v>34</v>
      </c>
      <c r="D171" t="s">
        <v>36</v>
      </c>
      <c r="E171">
        <v>1984</v>
      </c>
      <c r="F171">
        <v>3</v>
      </c>
      <c r="G171">
        <v>2</v>
      </c>
      <c r="H171">
        <v>6</v>
      </c>
      <c r="I171">
        <v>42</v>
      </c>
      <c r="L171">
        <v>9</v>
      </c>
      <c r="M171">
        <v>15</v>
      </c>
      <c r="N171">
        <v>15</v>
      </c>
      <c r="O171">
        <v>16</v>
      </c>
      <c r="P171">
        <f t="shared" si="4"/>
        <v>15.333333333333334</v>
      </c>
      <c r="Q171">
        <v>290</v>
      </c>
      <c r="R171">
        <v>305</v>
      </c>
      <c r="S171">
        <v>295</v>
      </c>
      <c r="T171">
        <f t="shared" si="5"/>
        <v>296.66666666666669</v>
      </c>
      <c r="U171"/>
      <c r="V171"/>
      <c r="W171"/>
      <c r="X171"/>
      <c r="Y171"/>
      <c r="Z171"/>
      <c r="AA171"/>
      <c r="AB171"/>
    </row>
    <row r="172" spans="1:28" x14ac:dyDescent="0.35">
      <c r="A172" t="s">
        <v>34</v>
      </c>
      <c r="D172" t="s">
        <v>37</v>
      </c>
      <c r="E172">
        <v>1989</v>
      </c>
      <c r="F172">
        <v>3</v>
      </c>
      <c r="G172">
        <v>3</v>
      </c>
      <c r="H172">
        <v>6</v>
      </c>
      <c r="I172">
        <v>43</v>
      </c>
      <c r="L172">
        <v>9</v>
      </c>
      <c r="M172">
        <v>15</v>
      </c>
      <c r="N172">
        <v>15</v>
      </c>
      <c r="O172">
        <v>17</v>
      </c>
      <c r="P172">
        <f t="shared" si="4"/>
        <v>15.666666666666666</v>
      </c>
      <c r="Q172">
        <v>310</v>
      </c>
      <c r="R172">
        <v>320</v>
      </c>
      <c r="S172">
        <v>340</v>
      </c>
      <c r="T172">
        <f t="shared" si="5"/>
        <v>323.33333333333331</v>
      </c>
      <c r="U172"/>
      <c r="V172"/>
      <c r="W172"/>
      <c r="X172"/>
      <c r="Y172"/>
      <c r="Z172"/>
      <c r="AA172"/>
      <c r="AB172"/>
    </row>
    <row r="173" spans="1:28" x14ac:dyDescent="0.35">
      <c r="A173" t="s">
        <v>34</v>
      </c>
      <c r="D173" t="s">
        <v>42</v>
      </c>
      <c r="E173">
        <v>2016</v>
      </c>
      <c r="F173">
        <v>3</v>
      </c>
      <c r="G173">
        <v>4</v>
      </c>
      <c r="H173">
        <v>6</v>
      </c>
      <c r="I173">
        <v>44</v>
      </c>
      <c r="L173">
        <v>9</v>
      </c>
      <c r="M173">
        <v>18</v>
      </c>
      <c r="N173">
        <v>16</v>
      </c>
      <c r="O173">
        <v>17</v>
      </c>
      <c r="P173">
        <f t="shared" si="4"/>
        <v>17</v>
      </c>
      <c r="Q173">
        <v>305</v>
      </c>
      <c r="R173">
        <v>295</v>
      </c>
      <c r="S173">
        <v>310</v>
      </c>
      <c r="T173">
        <f t="shared" si="5"/>
        <v>303.33333333333331</v>
      </c>
      <c r="U173"/>
      <c r="V173"/>
      <c r="W173"/>
      <c r="X173"/>
      <c r="Y173"/>
      <c r="Z173"/>
      <c r="AA173"/>
      <c r="AB173"/>
    </row>
    <row r="174" spans="1:28" x14ac:dyDescent="0.35">
      <c r="A174" t="s">
        <v>34</v>
      </c>
      <c r="D174" t="s">
        <v>43</v>
      </c>
      <c r="E174">
        <v>2020</v>
      </c>
      <c r="F174">
        <v>3</v>
      </c>
      <c r="G174">
        <v>5</v>
      </c>
      <c r="H174">
        <v>6</v>
      </c>
      <c r="I174">
        <v>45</v>
      </c>
      <c r="L174">
        <v>9</v>
      </c>
      <c r="M174">
        <v>19</v>
      </c>
      <c r="N174">
        <v>17</v>
      </c>
      <c r="P174">
        <f t="shared" si="4"/>
        <v>18</v>
      </c>
      <c r="Q174">
        <v>305</v>
      </c>
      <c r="R174">
        <v>320</v>
      </c>
      <c r="T174">
        <f t="shared" si="5"/>
        <v>312.5</v>
      </c>
      <c r="U174"/>
      <c r="V174"/>
      <c r="W174"/>
      <c r="X174"/>
      <c r="Y174"/>
      <c r="Z174"/>
      <c r="AA174"/>
      <c r="AB174"/>
    </row>
    <row r="175" spans="1:28" x14ac:dyDescent="0.35">
      <c r="A175" t="s">
        <v>34</v>
      </c>
      <c r="D175" t="s">
        <v>39</v>
      </c>
      <c r="E175">
        <v>2001</v>
      </c>
      <c r="F175">
        <v>3</v>
      </c>
      <c r="G175">
        <v>6</v>
      </c>
      <c r="H175">
        <v>6</v>
      </c>
      <c r="I175">
        <v>46</v>
      </c>
      <c r="L175">
        <v>9</v>
      </c>
      <c r="M175">
        <v>14</v>
      </c>
      <c r="N175">
        <v>16</v>
      </c>
      <c r="O175">
        <v>15</v>
      </c>
      <c r="P175">
        <f t="shared" si="4"/>
        <v>15</v>
      </c>
      <c r="Q175">
        <v>280</v>
      </c>
      <c r="R175">
        <v>270</v>
      </c>
      <c r="S175">
        <v>270</v>
      </c>
      <c r="T175">
        <f t="shared" si="5"/>
        <v>273.33333333333331</v>
      </c>
      <c r="U175"/>
      <c r="V175"/>
      <c r="W175"/>
      <c r="X175"/>
      <c r="Y175"/>
      <c r="Z175"/>
      <c r="AA175"/>
      <c r="AB175"/>
    </row>
    <row r="176" spans="1:28" x14ac:dyDescent="0.35">
      <c r="A176" t="s">
        <v>34</v>
      </c>
      <c r="D176" t="s">
        <v>38</v>
      </c>
      <c r="E176">
        <v>1999</v>
      </c>
      <c r="F176">
        <v>3</v>
      </c>
      <c r="G176">
        <v>7</v>
      </c>
      <c r="H176">
        <v>6</v>
      </c>
      <c r="I176">
        <v>47</v>
      </c>
      <c r="L176">
        <v>9</v>
      </c>
      <c r="M176">
        <v>20</v>
      </c>
      <c r="N176">
        <v>19</v>
      </c>
      <c r="P176">
        <f t="shared" si="4"/>
        <v>19.5</v>
      </c>
      <c r="Q176">
        <v>330</v>
      </c>
      <c r="R176">
        <v>330</v>
      </c>
      <c r="T176">
        <f t="shared" si="5"/>
        <v>330</v>
      </c>
      <c r="U176"/>
      <c r="V176"/>
      <c r="W176"/>
      <c r="X176"/>
      <c r="Y176"/>
      <c r="Z176"/>
      <c r="AA176"/>
      <c r="AB176"/>
    </row>
    <row r="177" spans="1:28" x14ac:dyDescent="0.35">
      <c r="A177" t="s">
        <v>34</v>
      </c>
      <c r="D177" t="s">
        <v>343</v>
      </c>
      <c r="E177">
        <v>2004</v>
      </c>
      <c r="F177">
        <v>3</v>
      </c>
      <c r="G177">
        <v>8</v>
      </c>
      <c r="H177">
        <v>6</v>
      </c>
      <c r="I177">
        <v>48</v>
      </c>
      <c r="L177">
        <v>9</v>
      </c>
      <c r="M177">
        <v>14</v>
      </c>
      <c r="N177">
        <v>14</v>
      </c>
      <c r="O177">
        <v>14</v>
      </c>
      <c r="P177">
        <f t="shared" si="4"/>
        <v>14</v>
      </c>
      <c r="Q177">
        <v>270</v>
      </c>
      <c r="R177">
        <v>270</v>
      </c>
      <c r="S177">
        <v>280</v>
      </c>
      <c r="T177">
        <f t="shared" si="5"/>
        <v>273.33333333333331</v>
      </c>
      <c r="U177"/>
      <c r="V177"/>
      <c r="W177"/>
      <c r="X177"/>
      <c r="Y177"/>
      <c r="Z177"/>
      <c r="AA177"/>
      <c r="AB177"/>
    </row>
    <row r="178" spans="1:28" x14ac:dyDescent="0.35">
      <c r="A178" t="s">
        <v>24</v>
      </c>
      <c r="D178" t="s">
        <v>32</v>
      </c>
      <c r="E178">
        <v>2018</v>
      </c>
      <c r="F178">
        <v>4</v>
      </c>
      <c r="G178">
        <v>1</v>
      </c>
      <c r="H178">
        <v>7</v>
      </c>
      <c r="I178">
        <v>49</v>
      </c>
      <c r="L178">
        <v>9</v>
      </c>
      <c r="M178">
        <v>14</v>
      </c>
      <c r="N178">
        <v>13</v>
      </c>
      <c r="O178">
        <v>13</v>
      </c>
      <c r="P178">
        <f t="shared" si="4"/>
        <v>13.333333333333334</v>
      </c>
      <c r="Q178">
        <v>320</v>
      </c>
      <c r="R178">
        <v>340</v>
      </c>
      <c r="S178">
        <v>290</v>
      </c>
      <c r="T178">
        <f t="shared" si="5"/>
        <v>316.66666666666669</v>
      </c>
      <c r="U178"/>
      <c r="V178"/>
      <c r="W178"/>
      <c r="X178"/>
      <c r="Y178"/>
      <c r="Z178"/>
      <c r="AA178"/>
      <c r="AB178"/>
    </row>
    <row r="179" spans="1:28" x14ac:dyDescent="0.35">
      <c r="A179" t="s">
        <v>24</v>
      </c>
      <c r="D179" t="s">
        <v>29</v>
      </c>
      <c r="E179">
        <v>1999</v>
      </c>
      <c r="F179">
        <v>4</v>
      </c>
      <c r="G179">
        <v>2</v>
      </c>
      <c r="H179">
        <v>7</v>
      </c>
      <c r="I179">
        <v>50</v>
      </c>
      <c r="L179">
        <v>9</v>
      </c>
      <c r="M179">
        <v>13</v>
      </c>
      <c r="N179">
        <v>10</v>
      </c>
      <c r="O179">
        <v>11</v>
      </c>
      <c r="P179">
        <f t="shared" si="4"/>
        <v>11.333333333333334</v>
      </c>
      <c r="Q179">
        <v>280</v>
      </c>
      <c r="R179">
        <v>300</v>
      </c>
      <c r="S179">
        <v>290</v>
      </c>
      <c r="T179">
        <f t="shared" si="5"/>
        <v>290</v>
      </c>
      <c r="U179"/>
      <c r="V179"/>
      <c r="W179"/>
      <c r="X179"/>
      <c r="Y179"/>
      <c r="Z179"/>
      <c r="AA179"/>
      <c r="AB179"/>
    </row>
    <row r="180" spans="1:28" x14ac:dyDescent="0.35">
      <c r="A180" t="s">
        <v>24</v>
      </c>
      <c r="D180" t="s">
        <v>337</v>
      </c>
      <c r="E180">
        <v>2016</v>
      </c>
      <c r="F180">
        <v>4</v>
      </c>
      <c r="G180">
        <v>3</v>
      </c>
      <c r="H180">
        <v>7</v>
      </c>
      <c r="I180">
        <v>51</v>
      </c>
      <c r="L180">
        <v>9</v>
      </c>
      <c r="M180">
        <v>10</v>
      </c>
      <c r="N180">
        <v>13</v>
      </c>
      <c r="O180">
        <v>10</v>
      </c>
      <c r="P180">
        <f t="shared" si="4"/>
        <v>11</v>
      </c>
      <c r="Q180">
        <v>280</v>
      </c>
      <c r="R180">
        <v>300</v>
      </c>
      <c r="S180">
        <v>305</v>
      </c>
      <c r="T180">
        <f t="shared" si="5"/>
        <v>295</v>
      </c>
      <c r="U180"/>
      <c r="V180"/>
      <c r="W180"/>
      <c r="X180"/>
      <c r="Y180"/>
      <c r="Z180"/>
      <c r="AA180"/>
      <c r="AB180"/>
    </row>
    <row r="181" spans="1:28" x14ac:dyDescent="0.35">
      <c r="A181" t="s">
        <v>24</v>
      </c>
      <c r="D181" t="s">
        <v>27</v>
      </c>
      <c r="E181">
        <v>1985</v>
      </c>
      <c r="F181">
        <v>4</v>
      </c>
      <c r="G181">
        <v>4</v>
      </c>
      <c r="H181">
        <v>7</v>
      </c>
      <c r="I181">
        <v>52</v>
      </c>
      <c r="L181">
        <v>9</v>
      </c>
      <c r="M181">
        <v>14</v>
      </c>
      <c r="N181">
        <v>17</v>
      </c>
      <c r="P181">
        <f t="shared" si="4"/>
        <v>15.5</v>
      </c>
      <c r="Q181">
        <v>260</v>
      </c>
      <c r="R181">
        <v>280</v>
      </c>
      <c r="T181">
        <f t="shared" si="5"/>
        <v>270</v>
      </c>
      <c r="U181"/>
      <c r="V181"/>
      <c r="W181"/>
      <c r="X181"/>
      <c r="Y181"/>
      <c r="Z181"/>
      <c r="AA181"/>
      <c r="AB181"/>
    </row>
    <row r="182" spans="1:28" x14ac:dyDescent="0.35">
      <c r="A182" t="s">
        <v>24</v>
      </c>
      <c r="D182" t="s">
        <v>28</v>
      </c>
      <c r="E182">
        <v>1998</v>
      </c>
      <c r="F182">
        <v>4</v>
      </c>
      <c r="G182">
        <v>5</v>
      </c>
      <c r="H182">
        <v>7</v>
      </c>
      <c r="I182">
        <v>53</v>
      </c>
      <c r="L182">
        <v>9</v>
      </c>
      <c r="M182">
        <v>15</v>
      </c>
      <c r="P182">
        <f t="shared" si="4"/>
        <v>15</v>
      </c>
      <c r="Q182">
        <v>250</v>
      </c>
      <c r="T182">
        <f t="shared" si="5"/>
        <v>250</v>
      </c>
      <c r="U182"/>
      <c r="V182"/>
      <c r="W182"/>
      <c r="X182"/>
      <c r="Y182"/>
      <c r="Z182"/>
      <c r="AA182"/>
      <c r="AB182"/>
    </row>
    <row r="183" spans="1:28" x14ac:dyDescent="0.35">
      <c r="A183" t="s">
        <v>24</v>
      </c>
      <c r="D183" t="s">
        <v>26</v>
      </c>
      <c r="E183">
        <v>1983</v>
      </c>
      <c r="F183">
        <v>4</v>
      </c>
      <c r="G183">
        <v>6</v>
      </c>
      <c r="H183">
        <v>7</v>
      </c>
      <c r="I183">
        <v>54</v>
      </c>
      <c r="L183">
        <v>9</v>
      </c>
      <c r="M183">
        <v>13</v>
      </c>
      <c r="N183">
        <v>11</v>
      </c>
      <c r="O183">
        <v>12</v>
      </c>
      <c r="P183">
        <f t="shared" si="4"/>
        <v>12</v>
      </c>
      <c r="Q183">
        <v>260</v>
      </c>
      <c r="R183">
        <v>260</v>
      </c>
      <c r="S183">
        <v>260</v>
      </c>
      <c r="T183">
        <f t="shared" si="5"/>
        <v>260</v>
      </c>
      <c r="U183"/>
      <c r="V183"/>
      <c r="W183"/>
      <c r="X183"/>
      <c r="Y183"/>
      <c r="Z183"/>
      <c r="AA183"/>
      <c r="AB183"/>
    </row>
    <row r="184" spans="1:28" x14ac:dyDescent="0.35">
      <c r="A184" t="s">
        <v>24</v>
      </c>
      <c r="D184" t="s">
        <v>335</v>
      </c>
      <c r="E184">
        <v>2023</v>
      </c>
      <c r="F184">
        <v>4</v>
      </c>
      <c r="G184">
        <v>7</v>
      </c>
      <c r="H184">
        <v>7</v>
      </c>
      <c r="I184">
        <v>55</v>
      </c>
      <c r="L184">
        <v>9</v>
      </c>
      <c r="M184">
        <v>14</v>
      </c>
      <c r="N184">
        <v>10</v>
      </c>
      <c r="O184">
        <v>14</v>
      </c>
      <c r="P184">
        <f t="shared" si="4"/>
        <v>12.666666666666666</v>
      </c>
      <c r="Q184">
        <v>270</v>
      </c>
      <c r="R184">
        <v>280</v>
      </c>
      <c r="S184">
        <v>285</v>
      </c>
      <c r="T184">
        <f t="shared" si="5"/>
        <v>278.33333333333331</v>
      </c>
      <c r="U184"/>
      <c r="V184"/>
      <c r="W184"/>
      <c r="X184"/>
      <c r="Y184"/>
      <c r="Z184"/>
      <c r="AA184"/>
      <c r="AB184"/>
    </row>
    <row r="185" spans="1:28" x14ac:dyDescent="0.35">
      <c r="A185" t="s">
        <v>24</v>
      </c>
      <c r="D185" t="s">
        <v>336</v>
      </c>
      <c r="E185">
        <v>2002</v>
      </c>
      <c r="F185">
        <v>4</v>
      </c>
      <c r="G185">
        <v>8</v>
      </c>
      <c r="H185">
        <v>7</v>
      </c>
      <c r="I185">
        <v>56</v>
      </c>
      <c r="L185">
        <v>9</v>
      </c>
      <c r="M185">
        <v>15</v>
      </c>
      <c r="N185">
        <v>12</v>
      </c>
      <c r="O185">
        <v>14</v>
      </c>
      <c r="P185">
        <f t="shared" si="4"/>
        <v>13.666666666666666</v>
      </c>
      <c r="Q185">
        <v>290</v>
      </c>
      <c r="R185">
        <v>320</v>
      </c>
      <c r="S185">
        <v>330</v>
      </c>
      <c r="T185">
        <f t="shared" si="5"/>
        <v>313.33333333333331</v>
      </c>
      <c r="U185"/>
      <c r="V185"/>
      <c r="W185"/>
      <c r="X185"/>
      <c r="Y185"/>
      <c r="Z185"/>
      <c r="AA185"/>
      <c r="AB185"/>
    </row>
    <row r="186" spans="1:28" x14ac:dyDescent="0.35">
      <c r="A186" t="s">
        <v>34</v>
      </c>
      <c r="D186" t="s">
        <v>39</v>
      </c>
      <c r="E186">
        <v>2001</v>
      </c>
      <c r="F186">
        <v>4</v>
      </c>
      <c r="G186">
        <v>1</v>
      </c>
      <c r="H186">
        <v>8</v>
      </c>
      <c r="I186">
        <v>57</v>
      </c>
      <c r="L186">
        <v>9</v>
      </c>
      <c r="M186">
        <v>17</v>
      </c>
      <c r="N186">
        <v>16</v>
      </c>
      <c r="O186">
        <v>16</v>
      </c>
      <c r="P186">
        <f t="shared" si="4"/>
        <v>16.333333333333332</v>
      </c>
      <c r="Q186">
        <v>290</v>
      </c>
      <c r="R186">
        <v>260</v>
      </c>
      <c r="S186">
        <v>295</v>
      </c>
      <c r="T186">
        <f t="shared" si="5"/>
        <v>281.66666666666669</v>
      </c>
      <c r="U186"/>
      <c r="V186"/>
      <c r="W186"/>
      <c r="X186"/>
      <c r="Y186"/>
      <c r="Z186"/>
      <c r="AA186"/>
      <c r="AB186"/>
    </row>
    <row r="187" spans="1:28" x14ac:dyDescent="0.35">
      <c r="A187" t="s">
        <v>34</v>
      </c>
      <c r="D187" t="s">
        <v>37</v>
      </c>
      <c r="E187">
        <v>1989</v>
      </c>
      <c r="F187">
        <v>4</v>
      </c>
      <c r="G187">
        <v>2</v>
      </c>
      <c r="H187">
        <v>8</v>
      </c>
      <c r="I187">
        <v>58</v>
      </c>
      <c r="L187">
        <v>9</v>
      </c>
      <c r="M187">
        <v>14</v>
      </c>
      <c r="N187">
        <v>14</v>
      </c>
      <c r="O187">
        <v>16</v>
      </c>
      <c r="P187">
        <f t="shared" si="4"/>
        <v>14.666666666666666</v>
      </c>
      <c r="Q187">
        <v>290</v>
      </c>
      <c r="R187">
        <v>295</v>
      </c>
      <c r="S187">
        <v>280</v>
      </c>
      <c r="T187">
        <f t="shared" si="5"/>
        <v>288.33333333333331</v>
      </c>
      <c r="U187"/>
      <c r="V187"/>
      <c r="W187"/>
      <c r="X187"/>
      <c r="Y187"/>
      <c r="Z187"/>
      <c r="AA187"/>
      <c r="AB187"/>
    </row>
    <row r="188" spans="1:28" x14ac:dyDescent="0.35">
      <c r="A188" t="s">
        <v>34</v>
      </c>
      <c r="D188" t="s">
        <v>36</v>
      </c>
      <c r="E188">
        <v>1984</v>
      </c>
      <c r="F188">
        <v>4</v>
      </c>
      <c r="G188">
        <v>3</v>
      </c>
      <c r="H188">
        <v>8</v>
      </c>
      <c r="I188">
        <v>59</v>
      </c>
      <c r="L188">
        <v>9</v>
      </c>
      <c r="M188">
        <v>14</v>
      </c>
      <c r="N188">
        <v>14</v>
      </c>
      <c r="O188">
        <v>13</v>
      </c>
      <c r="P188">
        <f t="shared" si="4"/>
        <v>13.666666666666666</v>
      </c>
      <c r="Q188">
        <v>240</v>
      </c>
      <c r="R188">
        <v>250</v>
      </c>
      <c r="S188">
        <v>230</v>
      </c>
      <c r="T188">
        <f t="shared" si="5"/>
        <v>240</v>
      </c>
      <c r="U188"/>
      <c r="V188"/>
      <c r="W188"/>
      <c r="X188"/>
      <c r="Y188"/>
      <c r="Z188"/>
      <c r="AA188"/>
      <c r="AB188"/>
    </row>
    <row r="189" spans="1:28" x14ac:dyDescent="0.35">
      <c r="A189" t="s">
        <v>34</v>
      </c>
      <c r="D189" t="s">
        <v>343</v>
      </c>
      <c r="E189">
        <v>2004</v>
      </c>
      <c r="F189">
        <v>4</v>
      </c>
      <c r="G189">
        <v>4</v>
      </c>
      <c r="H189">
        <v>8</v>
      </c>
      <c r="I189">
        <v>60</v>
      </c>
      <c r="L189">
        <v>9</v>
      </c>
      <c r="M189">
        <v>13</v>
      </c>
      <c r="N189">
        <v>15</v>
      </c>
      <c r="P189">
        <f t="shared" si="4"/>
        <v>14</v>
      </c>
      <c r="Q189">
        <v>330</v>
      </c>
      <c r="R189">
        <v>280</v>
      </c>
      <c r="T189">
        <f t="shared" si="5"/>
        <v>305</v>
      </c>
      <c r="U189"/>
      <c r="V189"/>
      <c r="W189"/>
      <c r="X189"/>
      <c r="Y189"/>
      <c r="Z189"/>
      <c r="AA189"/>
      <c r="AB189"/>
    </row>
    <row r="190" spans="1:28" x14ac:dyDescent="0.35">
      <c r="A190" t="s">
        <v>34</v>
      </c>
      <c r="D190" t="s">
        <v>41</v>
      </c>
      <c r="E190">
        <v>2008</v>
      </c>
      <c r="F190">
        <v>4</v>
      </c>
      <c r="G190">
        <v>5</v>
      </c>
      <c r="H190">
        <v>8</v>
      </c>
      <c r="I190">
        <v>61</v>
      </c>
      <c r="L190">
        <v>9</v>
      </c>
      <c r="M190">
        <v>15</v>
      </c>
      <c r="N190">
        <v>16</v>
      </c>
      <c r="O190">
        <v>14</v>
      </c>
      <c r="P190">
        <f t="shared" si="4"/>
        <v>15</v>
      </c>
      <c r="Q190">
        <v>300</v>
      </c>
      <c r="R190">
        <v>295</v>
      </c>
      <c r="S190">
        <v>270</v>
      </c>
      <c r="T190">
        <f t="shared" si="5"/>
        <v>288.33333333333331</v>
      </c>
      <c r="U190"/>
      <c r="V190"/>
      <c r="W190"/>
      <c r="X190"/>
      <c r="Y190"/>
      <c r="Z190"/>
      <c r="AA190"/>
      <c r="AB190"/>
    </row>
    <row r="191" spans="1:28" x14ac:dyDescent="0.35">
      <c r="A191" t="s">
        <v>34</v>
      </c>
      <c r="D191" t="s">
        <v>38</v>
      </c>
      <c r="E191">
        <v>1999</v>
      </c>
      <c r="F191">
        <v>4</v>
      </c>
      <c r="G191">
        <v>6</v>
      </c>
      <c r="H191">
        <v>8</v>
      </c>
      <c r="I191">
        <v>62</v>
      </c>
      <c r="L191">
        <v>9</v>
      </c>
      <c r="M191">
        <v>17</v>
      </c>
      <c r="N191">
        <v>17</v>
      </c>
      <c r="P191">
        <f t="shared" si="4"/>
        <v>17</v>
      </c>
      <c r="Q191">
        <v>330</v>
      </c>
      <c r="R191">
        <v>330</v>
      </c>
      <c r="T191">
        <f t="shared" si="5"/>
        <v>330</v>
      </c>
      <c r="U191"/>
      <c r="V191"/>
      <c r="W191"/>
      <c r="X191"/>
      <c r="Y191"/>
      <c r="Z191"/>
      <c r="AA191"/>
      <c r="AB191"/>
    </row>
    <row r="192" spans="1:28" x14ac:dyDescent="0.35">
      <c r="A192" t="s">
        <v>34</v>
      </c>
      <c r="D192" t="s">
        <v>42</v>
      </c>
      <c r="E192">
        <v>2016</v>
      </c>
      <c r="F192">
        <v>4</v>
      </c>
      <c r="G192">
        <v>7</v>
      </c>
      <c r="H192">
        <v>8</v>
      </c>
      <c r="I192">
        <v>63</v>
      </c>
      <c r="L192">
        <v>9</v>
      </c>
      <c r="M192">
        <v>16</v>
      </c>
      <c r="N192">
        <v>17</v>
      </c>
      <c r="O192">
        <v>17</v>
      </c>
      <c r="P192">
        <f t="shared" si="4"/>
        <v>16.666666666666668</v>
      </c>
      <c r="Q192">
        <v>300</v>
      </c>
      <c r="R192">
        <v>300</v>
      </c>
      <c r="S192">
        <v>300</v>
      </c>
      <c r="T192">
        <f t="shared" si="5"/>
        <v>300</v>
      </c>
      <c r="U192"/>
      <c r="V192"/>
      <c r="W192"/>
      <c r="X192"/>
      <c r="Y192"/>
      <c r="Z192"/>
      <c r="AA192"/>
      <c r="AB192"/>
    </row>
    <row r="193" spans="1:28" x14ac:dyDescent="0.35">
      <c r="A193" t="s">
        <v>34</v>
      </c>
      <c r="D193" t="s">
        <v>43</v>
      </c>
      <c r="E193">
        <v>2020</v>
      </c>
      <c r="F193">
        <v>4</v>
      </c>
      <c r="G193">
        <v>8</v>
      </c>
      <c r="H193">
        <v>8</v>
      </c>
      <c r="I193">
        <v>64</v>
      </c>
      <c r="L193">
        <v>9</v>
      </c>
      <c r="M193">
        <v>17</v>
      </c>
      <c r="N193">
        <v>20</v>
      </c>
      <c r="O193">
        <v>18</v>
      </c>
      <c r="P193">
        <f t="shared" si="4"/>
        <v>18.333333333333332</v>
      </c>
      <c r="Q193">
        <v>295</v>
      </c>
      <c r="R193">
        <v>310</v>
      </c>
      <c r="S193">
        <v>285</v>
      </c>
      <c r="T193">
        <f t="shared" si="5"/>
        <v>296.66666666666669</v>
      </c>
      <c r="U193"/>
      <c r="V193"/>
      <c r="W193"/>
      <c r="X193"/>
      <c r="Y193"/>
      <c r="Z193"/>
      <c r="AA193"/>
      <c r="AB193"/>
    </row>
    <row r="194" spans="1:28" x14ac:dyDescent="0.35">
      <c r="A194" t="s">
        <v>24</v>
      </c>
      <c r="D194" t="s">
        <v>27</v>
      </c>
      <c r="E194">
        <v>1985</v>
      </c>
      <c r="F194">
        <v>1</v>
      </c>
      <c r="G194">
        <v>1</v>
      </c>
      <c r="H194">
        <v>1</v>
      </c>
      <c r="I194">
        <v>1</v>
      </c>
      <c r="L194" t="s">
        <v>742</v>
      </c>
      <c r="M194">
        <v>17</v>
      </c>
      <c r="N194">
        <v>19</v>
      </c>
      <c r="O194">
        <v>18</v>
      </c>
      <c r="P194">
        <f t="shared" si="4"/>
        <v>18</v>
      </c>
      <c r="Q194">
        <v>255</v>
      </c>
      <c r="R194">
        <v>275</v>
      </c>
      <c r="S194">
        <v>240</v>
      </c>
      <c r="T194">
        <f t="shared" si="5"/>
        <v>256.66666666666669</v>
      </c>
      <c r="U194"/>
      <c r="V194"/>
      <c r="W194"/>
      <c r="X194"/>
      <c r="Y194"/>
      <c r="Z194"/>
      <c r="AA194"/>
      <c r="AB194"/>
    </row>
    <row r="195" spans="1:28" x14ac:dyDescent="0.35">
      <c r="A195" t="s">
        <v>24</v>
      </c>
      <c r="D195" t="s">
        <v>26</v>
      </c>
      <c r="E195">
        <v>1983</v>
      </c>
      <c r="F195">
        <v>1</v>
      </c>
      <c r="G195">
        <v>2</v>
      </c>
      <c r="H195">
        <v>1</v>
      </c>
      <c r="I195">
        <v>2</v>
      </c>
      <c r="L195" t="s">
        <v>742</v>
      </c>
      <c r="M195">
        <v>17</v>
      </c>
      <c r="N195">
        <v>16</v>
      </c>
      <c r="O195">
        <v>16</v>
      </c>
      <c r="P195">
        <f t="shared" ref="P195:P257" si="6">AVERAGE(M195:O195)</f>
        <v>16.333333333333332</v>
      </c>
      <c r="Q195">
        <v>220</v>
      </c>
      <c r="R195">
        <v>245</v>
      </c>
      <c r="S195">
        <v>220</v>
      </c>
      <c r="T195">
        <f t="shared" ref="T195:T257" si="7">AVERAGE(Q195:S195)</f>
        <v>228.33333333333334</v>
      </c>
      <c r="U195"/>
      <c r="V195"/>
      <c r="W195"/>
      <c r="X195"/>
      <c r="Y195"/>
      <c r="Z195"/>
      <c r="AA195"/>
      <c r="AB195"/>
    </row>
    <row r="196" spans="1:28" x14ac:dyDescent="0.35">
      <c r="A196" t="s">
        <v>24</v>
      </c>
      <c r="D196" t="s">
        <v>335</v>
      </c>
      <c r="E196">
        <v>2023</v>
      </c>
      <c r="F196">
        <v>1</v>
      </c>
      <c r="G196">
        <v>3</v>
      </c>
      <c r="H196">
        <v>1</v>
      </c>
      <c r="I196">
        <v>3</v>
      </c>
      <c r="L196" t="s">
        <v>742</v>
      </c>
      <c r="M196">
        <v>17</v>
      </c>
      <c r="N196">
        <v>16</v>
      </c>
      <c r="O196">
        <v>16</v>
      </c>
      <c r="P196">
        <f t="shared" si="6"/>
        <v>16.333333333333332</v>
      </c>
      <c r="Q196">
        <v>220</v>
      </c>
      <c r="R196">
        <v>190</v>
      </c>
      <c r="S196">
        <v>260</v>
      </c>
      <c r="T196">
        <f t="shared" si="7"/>
        <v>223.33333333333334</v>
      </c>
      <c r="U196"/>
      <c r="V196"/>
      <c r="W196"/>
      <c r="X196"/>
      <c r="Y196"/>
      <c r="Z196"/>
      <c r="AA196"/>
      <c r="AB196"/>
    </row>
    <row r="197" spans="1:28" x14ac:dyDescent="0.35">
      <c r="A197" t="s">
        <v>24</v>
      </c>
      <c r="D197" t="s">
        <v>29</v>
      </c>
      <c r="E197">
        <v>1999</v>
      </c>
      <c r="F197">
        <v>1</v>
      </c>
      <c r="G197">
        <v>4</v>
      </c>
      <c r="H197">
        <v>1</v>
      </c>
      <c r="I197">
        <v>4</v>
      </c>
      <c r="L197" t="s">
        <v>742</v>
      </c>
      <c r="M197">
        <v>15</v>
      </c>
      <c r="N197">
        <v>15</v>
      </c>
      <c r="O197">
        <v>14</v>
      </c>
      <c r="P197">
        <f t="shared" si="6"/>
        <v>14.666666666666666</v>
      </c>
      <c r="Q197">
        <v>260</v>
      </c>
      <c r="R197">
        <v>235</v>
      </c>
      <c r="S197">
        <v>230</v>
      </c>
      <c r="T197">
        <f t="shared" si="7"/>
        <v>241.66666666666666</v>
      </c>
      <c r="U197"/>
      <c r="V197"/>
      <c r="W197"/>
      <c r="X197"/>
      <c r="Y197"/>
      <c r="Z197"/>
      <c r="AA197"/>
      <c r="AB197"/>
    </row>
    <row r="198" spans="1:28" x14ac:dyDescent="0.35">
      <c r="A198" t="s">
        <v>24</v>
      </c>
      <c r="D198" t="s">
        <v>336</v>
      </c>
      <c r="E198">
        <v>2002</v>
      </c>
      <c r="F198">
        <v>1</v>
      </c>
      <c r="G198">
        <v>5</v>
      </c>
      <c r="H198">
        <v>1</v>
      </c>
      <c r="I198">
        <v>5</v>
      </c>
      <c r="L198" t="s">
        <v>742</v>
      </c>
      <c r="M198">
        <v>17</v>
      </c>
      <c r="N198">
        <v>20</v>
      </c>
      <c r="O198">
        <v>18</v>
      </c>
      <c r="P198">
        <f t="shared" si="6"/>
        <v>18.333333333333332</v>
      </c>
      <c r="Q198">
        <v>280</v>
      </c>
      <c r="R198">
        <v>305</v>
      </c>
      <c r="S198">
        <v>290</v>
      </c>
      <c r="T198">
        <f t="shared" si="7"/>
        <v>291.66666666666669</v>
      </c>
      <c r="U198"/>
      <c r="V198"/>
      <c r="W198"/>
      <c r="X198"/>
      <c r="Y198"/>
      <c r="Z198"/>
      <c r="AA198"/>
      <c r="AB198"/>
    </row>
    <row r="199" spans="1:28" x14ac:dyDescent="0.35">
      <c r="A199" t="s">
        <v>24</v>
      </c>
      <c r="D199" t="s">
        <v>32</v>
      </c>
      <c r="E199">
        <v>2018</v>
      </c>
      <c r="F199">
        <v>1</v>
      </c>
      <c r="G199">
        <v>6</v>
      </c>
      <c r="H199">
        <v>1</v>
      </c>
      <c r="I199">
        <v>6</v>
      </c>
      <c r="L199" t="s">
        <v>742</v>
      </c>
      <c r="M199">
        <v>19</v>
      </c>
      <c r="N199">
        <v>21</v>
      </c>
      <c r="O199">
        <v>19</v>
      </c>
      <c r="P199">
        <f t="shared" si="6"/>
        <v>19.666666666666668</v>
      </c>
      <c r="Q199">
        <v>300</v>
      </c>
      <c r="R199">
        <v>275</v>
      </c>
      <c r="S199">
        <v>310</v>
      </c>
      <c r="T199">
        <f t="shared" si="7"/>
        <v>295</v>
      </c>
      <c r="U199"/>
      <c r="V199"/>
      <c r="W199"/>
      <c r="X199"/>
      <c r="Y199"/>
      <c r="Z199"/>
      <c r="AA199"/>
      <c r="AB199"/>
    </row>
    <row r="200" spans="1:28" x14ac:dyDescent="0.35">
      <c r="A200" t="s">
        <v>24</v>
      </c>
      <c r="D200" t="s">
        <v>28</v>
      </c>
      <c r="E200">
        <v>1998</v>
      </c>
      <c r="F200">
        <v>1</v>
      </c>
      <c r="G200">
        <v>7</v>
      </c>
      <c r="H200">
        <v>1</v>
      </c>
      <c r="I200">
        <v>7</v>
      </c>
      <c r="L200" t="s">
        <v>742</v>
      </c>
      <c r="M200">
        <v>17</v>
      </c>
      <c r="N200">
        <v>15</v>
      </c>
      <c r="O200">
        <v>17</v>
      </c>
      <c r="P200">
        <f t="shared" si="6"/>
        <v>16.333333333333332</v>
      </c>
      <c r="Q200">
        <v>240</v>
      </c>
      <c r="R200">
        <v>230</v>
      </c>
      <c r="S200">
        <v>230</v>
      </c>
      <c r="T200">
        <f t="shared" si="7"/>
        <v>233.33333333333334</v>
      </c>
      <c r="U200"/>
      <c r="V200"/>
      <c r="W200"/>
      <c r="X200"/>
      <c r="Y200"/>
      <c r="Z200"/>
      <c r="AA200"/>
      <c r="AB200"/>
    </row>
    <row r="201" spans="1:28" x14ac:dyDescent="0.35">
      <c r="A201" t="s">
        <v>24</v>
      </c>
      <c r="D201" t="s">
        <v>337</v>
      </c>
      <c r="E201">
        <v>2016</v>
      </c>
      <c r="F201">
        <v>1</v>
      </c>
      <c r="G201">
        <v>8</v>
      </c>
      <c r="H201">
        <v>1</v>
      </c>
      <c r="I201">
        <v>8</v>
      </c>
      <c r="L201" t="s">
        <v>742</v>
      </c>
      <c r="M201">
        <v>20</v>
      </c>
      <c r="N201">
        <v>20</v>
      </c>
      <c r="O201">
        <v>17</v>
      </c>
      <c r="P201">
        <f t="shared" si="6"/>
        <v>19</v>
      </c>
      <c r="Q201">
        <v>270</v>
      </c>
      <c r="R201">
        <v>250</v>
      </c>
      <c r="S201">
        <v>235</v>
      </c>
      <c r="T201">
        <f t="shared" si="7"/>
        <v>251.66666666666666</v>
      </c>
      <c r="U201"/>
      <c r="V201"/>
      <c r="W201"/>
      <c r="X201"/>
      <c r="Y201"/>
      <c r="Z201"/>
      <c r="AA201"/>
      <c r="AB201"/>
    </row>
    <row r="202" spans="1:28" x14ac:dyDescent="0.35">
      <c r="A202" t="s">
        <v>34</v>
      </c>
      <c r="D202" t="s">
        <v>42</v>
      </c>
      <c r="E202">
        <v>2016</v>
      </c>
      <c r="F202">
        <v>1</v>
      </c>
      <c r="G202">
        <v>1</v>
      </c>
      <c r="H202">
        <v>2</v>
      </c>
      <c r="I202">
        <v>9</v>
      </c>
      <c r="L202" t="s">
        <v>742</v>
      </c>
      <c r="M202">
        <v>21</v>
      </c>
      <c r="N202">
        <v>21</v>
      </c>
      <c r="O202">
        <v>18</v>
      </c>
      <c r="P202">
        <f t="shared" si="6"/>
        <v>20</v>
      </c>
      <c r="Q202">
        <v>270</v>
      </c>
      <c r="R202">
        <v>280</v>
      </c>
      <c r="S202">
        <v>230</v>
      </c>
      <c r="T202">
        <f t="shared" si="7"/>
        <v>260</v>
      </c>
      <c r="U202"/>
      <c r="V202"/>
      <c r="W202"/>
      <c r="X202"/>
      <c r="Y202"/>
      <c r="Z202"/>
      <c r="AA202"/>
      <c r="AB202"/>
    </row>
    <row r="203" spans="1:28" x14ac:dyDescent="0.35">
      <c r="A203" t="s">
        <v>34</v>
      </c>
      <c r="D203" t="s">
        <v>38</v>
      </c>
      <c r="E203">
        <v>1999</v>
      </c>
      <c r="F203">
        <v>1</v>
      </c>
      <c r="G203">
        <v>2</v>
      </c>
      <c r="H203">
        <v>2</v>
      </c>
      <c r="I203">
        <v>10</v>
      </c>
      <c r="L203" t="s">
        <v>742</v>
      </c>
      <c r="M203">
        <v>20</v>
      </c>
      <c r="N203">
        <v>20</v>
      </c>
      <c r="O203">
        <v>19</v>
      </c>
      <c r="P203">
        <f t="shared" si="6"/>
        <v>19.666666666666668</v>
      </c>
      <c r="Q203">
        <v>320</v>
      </c>
      <c r="R203">
        <v>300</v>
      </c>
      <c r="S203">
        <v>305</v>
      </c>
      <c r="T203">
        <f t="shared" si="7"/>
        <v>308.33333333333331</v>
      </c>
      <c r="U203"/>
      <c r="V203"/>
      <c r="W203"/>
      <c r="X203"/>
      <c r="Y203"/>
      <c r="Z203"/>
      <c r="AA203"/>
      <c r="AB203"/>
    </row>
    <row r="204" spans="1:28" x14ac:dyDescent="0.35">
      <c r="A204" t="s">
        <v>34</v>
      </c>
      <c r="D204" t="s">
        <v>43</v>
      </c>
      <c r="E204">
        <v>2020</v>
      </c>
      <c r="F204">
        <v>1</v>
      </c>
      <c r="G204">
        <v>3</v>
      </c>
      <c r="H204">
        <v>2</v>
      </c>
      <c r="I204">
        <v>11</v>
      </c>
      <c r="L204" t="s">
        <v>742</v>
      </c>
      <c r="M204">
        <v>20</v>
      </c>
      <c r="N204">
        <v>20</v>
      </c>
      <c r="O204">
        <v>19</v>
      </c>
      <c r="P204">
        <f t="shared" si="6"/>
        <v>19.666666666666668</v>
      </c>
      <c r="Q204">
        <v>210</v>
      </c>
      <c r="R204">
        <v>225</v>
      </c>
      <c r="S204">
        <v>280</v>
      </c>
      <c r="T204">
        <f t="shared" si="7"/>
        <v>238.33333333333334</v>
      </c>
      <c r="U204"/>
      <c r="V204"/>
      <c r="W204"/>
      <c r="X204"/>
      <c r="Y204"/>
      <c r="Z204"/>
      <c r="AA204"/>
      <c r="AB204"/>
    </row>
    <row r="205" spans="1:28" x14ac:dyDescent="0.35">
      <c r="A205" t="s">
        <v>34</v>
      </c>
      <c r="D205" t="s">
        <v>41</v>
      </c>
      <c r="E205">
        <v>2008</v>
      </c>
      <c r="F205">
        <v>1</v>
      </c>
      <c r="G205">
        <v>4</v>
      </c>
      <c r="H205">
        <v>2</v>
      </c>
      <c r="I205">
        <v>12</v>
      </c>
      <c r="L205" t="s">
        <v>742</v>
      </c>
      <c r="M205">
        <v>18</v>
      </c>
      <c r="N205">
        <v>18</v>
      </c>
      <c r="O205">
        <v>20</v>
      </c>
      <c r="P205">
        <f t="shared" si="6"/>
        <v>18.666666666666668</v>
      </c>
      <c r="Q205">
        <v>270</v>
      </c>
      <c r="R205">
        <v>275</v>
      </c>
      <c r="S205">
        <v>245</v>
      </c>
      <c r="T205">
        <f t="shared" si="7"/>
        <v>263.33333333333331</v>
      </c>
      <c r="U205"/>
      <c r="V205"/>
      <c r="W205"/>
      <c r="X205"/>
      <c r="Y205"/>
      <c r="Z205"/>
      <c r="AA205"/>
      <c r="AB205"/>
    </row>
    <row r="206" spans="1:28" x14ac:dyDescent="0.35">
      <c r="A206" t="s">
        <v>34</v>
      </c>
      <c r="D206" t="s">
        <v>37</v>
      </c>
      <c r="E206">
        <v>1989</v>
      </c>
      <c r="F206">
        <v>1</v>
      </c>
      <c r="G206">
        <v>5</v>
      </c>
      <c r="H206">
        <v>2</v>
      </c>
      <c r="I206">
        <v>13</v>
      </c>
      <c r="L206" t="s">
        <v>742</v>
      </c>
      <c r="M206">
        <v>18</v>
      </c>
      <c r="N206">
        <v>20</v>
      </c>
      <c r="O206">
        <v>19</v>
      </c>
      <c r="P206">
        <f t="shared" si="6"/>
        <v>19</v>
      </c>
      <c r="Q206">
        <v>250</v>
      </c>
      <c r="R206">
        <v>340</v>
      </c>
      <c r="S206">
        <v>305</v>
      </c>
      <c r="T206">
        <f t="shared" si="7"/>
        <v>298.33333333333331</v>
      </c>
      <c r="U206"/>
      <c r="V206"/>
      <c r="W206"/>
      <c r="X206"/>
      <c r="Y206"/>
      <c r="Z206"/>
      <c r="AA206"/>
      <c r="AB206"/>
    </row>
    <row r="207" spans="1:28" x14ac:dyDescent="0.35">
      <c r="A207" t="s">
        <v>34</v>
      </c>
      <c r="D207" t="s">
        <v>343</v>
      </c>
      <c r="E207">
        <v>2004</v>
      </c>
      <c r="F207">
        <v>1</v>
      </c>
      <c r="G207">
        <v>6</v>
      </c>
      <c r="H207">
        <v>2</v>
      </c>
      <c r="I207">
        <v>14</v>
      </c>
      <c r="L207" t="s">
        <v>742</v>
      </c>
      <c r="M207">
        <v>21</v>
      </c>
      <c r="N207">
        <v>20</v>
      </c>
      <c r="O207">
        <v>20</v>
      </c>
      <c r="P207">
        <f t="shared" si="6"/>
        <v>20.333333333333332</v>
      </c>
      <c r="Q207">
        <v>330</v>
      </c>
      <c r="R207">
        <v>320</v>
      </c>
      <c r="S207">
        <v>295</v>
      </c>
      <c r="T207">
        <f t="shared" si="7"/>
        <v>315</v>
      </c>
      <c r="U207"/>
      <c r="V207"/>
      <c r="W207"/>
      <c r="X207"/>
      <c r="Y207"/>
      <c r="Z207"/>
      <c r="AA207"/>
      <c r="AB207"/>
    </row>
    <row r="208" spans="1:28" x14ac:dyDescent="0.35">
      <c r="A208" t="s">
        <v>34</v>
      </c>
      <c r="D208" t="s">
        <v>36</v>
      </c>
      <c r="E208">
        <v>1984</v>
      </c>
      <c r="F208">
        <v>1</v>
      </c>
      <c r="G208">
        <v>7</v>
      </c>
      <c r="H208">
        <v>2</v>
      </c>
      <c r="I208">
        <v>15</v>
      </c>
      <c r="L208" t="s">
        <v>742</v>
      </c>
      <c r="M208">
        <v>20</v>
      </c>
      <c r="N208">
        <v>17</v>
      </c>
      <c r="O208">
        <v>18</v>
      </c>
      <c r="P208">
        <f t="shared" si="6"/>
        <v>18.333333333333332</v>
      </c>
      <c r="Q208">
        <v>330</v>
      </c>
      <c r="R208">
        <v>230</v>
      </c>
      <c r="S208">
        <v>250</v>
      </c>
      <c r="T208">
        <f t="shared" si="7"/>
        <v>270</v>
      </c>
      <c r="U208"/>
      <c r="V208"/>
      <c r="W208"/>
      <c r="X208"/>
      <c r="Y208"/>
      <c r="Z208"/>
      <c r="AA208"/>
      <c r="AB208"/>
    </row>
    <row r="209" spans="1:28" x14ac:dyDescent="0.35">
      <c r="A209" t="s">
        <v>34</v>
      </c>
      <c r="D209" t="s">
        <v>39</v>
      </c>
      <c r="E209">
        <v>2001</v>
      </c>
      <c r="F209">
        <v>1</v>
      </c>
      <c r="G209">
        <v>8</v>
      </c>
      <c r="H209">
        <v>2</v>
      </c>
      <c r="I209">
        <v>16</v>
      </c>
      <c r="L209" t="s">
        <v>742</v>
      </c>
      <c r="M209">
        <v>17</v>
      </c>
      <c r="N209">
        <v>19</v>
      </c>
      <c r="O209">
        <v>15</v>
      </c>
      <c r="P209">
        <f t="shared" si="6"/>
        <v>17</v>
      </c>
      <c r="Q209">
        <v>235</v>
      </c>
      <c r="R209">
        <v>295</v>
      </c>
      <c r="S209">
        <v>180</v>
      </c>
      <c r="T209">
        <f t="shared" si="7"/>
        <v>236.66666666666666</v>
      </c>
      <c r="U209"/>
      <c r="V209"/>
      <c r="W209"/>
      <c r="X209"/>
      <c r="Y209"/>
      <c r="Z209"/>
      <c r="AA209"/>
      <c r="AB209"/>
    </row>
    <row r="210" spans="1:28" x14ac:dyDescent="0.35">
      <c r="A210" t="s">
        <v>24</v>
      </c>
      <c r="D210" t="s">
        <v>335</v>
      </c>
      <c r="E210">
        <v>2023</v>
      </c>
      <c r="F210">
        <v>2</v>
      </c>
      <c r="G210">
        <v>1</v>
      </c>
      <c r="H210">
        <v>3</v>
      </c>
      <c r="I210">
        <v>17</v>
      </c>
      <c r="L210" t="s">
        <v>742</v>
      </c>
      <c r="M210">
        <v>15</v>
      </c>
      <c r="N210">
        <v>17</v>
      </c>
      <c r="O210">
        <v>15</v>
      </c>
      <c r="P210">
        <f t="shared" si="6"/>
        <v>15.666666666666666</v>
      </c>
      <c r="Q210">
        <v>245</v>
      </c>
      <c r="R210">
        <v>230</v>
      </c>
      <c r="S210">
        <v>210</v>
      </c>
      <c r="T210">
        <f t="shared" si="7"/>
        <v>228.33333333333334</v>
      </c>
      <c r="U210"/>
      <c r="V210"/>
      <c r="W210"/>
      <c r="X210"/>
      <c r="Y210"/>
      <c r="Z210"/>
      <c r="AA210"/>
      <c r="AB210"/>
    </row>
    <row r="211" spans="1:28" x14ac:dyDescent="0.35">
      <c r="A211" t="s">
        <v>24</v>
      </c>
      <c r="D211" t="s">
        <v>28</v>
      </c>
      <c r="E211">
        <v>1998</v>
      </c>
      <c r="F211">
        <v>2</v>
      </c>
      <c r="G211">
        <v>2</v>
      </c>
      <c r="H211">
        <v>3</v>
      </c>
      <c r="I211">
        <v>18</v>
      </c>
      <c r="L211" t="s">
        <v>742</v>
      </c>
      <c r="M211">
        <v>17</v>
      </c>
      <c r="N211">
        <v>19</v>
      </c>
      <c r="O211">
        <v>17</v>
      </c>
      <c r="P211">
        <f t="shared" si="6"/>
        <v>17.666666666666668</v>
      </c>
      <c r="Q211">
        <v>255</v>
      </c>
      <c r="R211">
        <v>265</v>
      </c>
      <c r="S211">
        <v>220</v>
      </c>
      <c r="T211">
        <f t="shared" si="7"/>
        <v>246.66666666666666</v>
      </c>
      <c r="U211"/>
      <c r="V211"/>
      <c r="W211"/>
      <c r="X211"/>
      <c r="Y211"/>
      <c r="Z211"/>
      <c r="AA211"/>
      <c r="AB211"/>
    </row>
    <row r="212" spans="1:28" x14ac:dyDescent="0.35">
      <c r="A212" t="s">
        <v>24</v>
      </c>
      <c r="D212" t="s">
        <v>26</v>
      </c>
      <c r="E212">
        <v>1983</v>
      </c>
      <c r="F212">
        <v>2</v>
      </c>
      <c r="G212">
        <v>3</v>
      </c>
      <c r="H212">
        <v>3</v>
      </c>
      <c r="I212">
        <v>19</v>
      </c>
      <c r="L212" t="s">
        <v>742</v>
      </c>
      <c r="M212">
        <v>15</v>
      </c>
      <c r="N212">
        <v>16</v>
      </c>
      <c r="O212">
        <v>16</v>
      </c>
      <c r="P212">
        <f t="shared" si="6"/>
        <v>15.666666666666666</v>
      </c>
      <c r="Q212">
        <v>205</v>
      </c>
      <c r="R212">
        <v>270</v>
      </c>
      <c r="S212">
        <v>265</v>
      </c>
      <c r="T212">
        <f t="shared" si="7"/>
        <v>246.66666666666666</v>
      </c>
      <c r="U212"/>
      <c r="V212"/>
      <c r="W212"/>
      <c r="X212"/>
      <c r="Y212"/>
      <c r="Z212"/>
      <c r="AA212"/>
      <c r="AB212"/>
    </row>
    <row r="213" spans="1:28" x14ac:dyDescent="0.35">
      <c r="A213" t="s">
        <v>24</v>
      </c>
      <c r="D213" t="s">
        <v>336</v>
      </c>
      <c r="E213">
        <v>2002</v>
      </c>
      <c r="F213">
        <v>2</v>
      </c>
      <c r="G213">
        <v>4</v>
      </c>
      <c r="H213">
        <v>3</v>
      </c>
      <c r="I213">
        <v>20</v>
      </c>
      <c r="L213" t="s">
        <v>742</v>
      </c>
      <c r="M213">
        <v>18</v>
      </c>
      <c r="N213">
        <v>18</v>
      </c>
      <c r="O213">
        <v>19</v>
      </c>
      <c r="P213">
        <f t="shared" si="6"/>
        <v>18.333333333333332</v>
      </c>
      <c r="Q213">
        <v>265</v>
      </c>
      <c r="R213">
        <v>245</v>
      </c>
      <c r="S213">
        <v>230</v>
      </c>
      <c r="T213">
        <f t="shared" si="7"/>
        <v>246.66666666666666</v>
      </c>
      <c r="U213"/>
      <c r="V213"/>
      <c r="W213"/>
      <c r="X213"/>
      <c r="Y213"/>
      <c r="Z213"/>
      <c r="AA213"/>
      <c r="AB213"/>
    </row>
    <row r="214" spans="1:28" x14ac:dyDescent="0.35">
      <c r="A214" t="s">
        <v>24</v>
      </c>
      <c r="D214" t="s">
        <v>29</v>
      </c>
      <c r="E214">
        <v>1999</v>
      </c>
      <c r="F214">
        <v>2</v>
      </c>
      <c r="G214">
        <v>5</v>
      </c>
      <c r="H214">
        <v>3</v>
      </c>
      <c r="I214">
        <v>21</v>
      </c>
      <c r="L214" t="s">
        <v>742</v>
      </c>
      <c r="M214">
        <v>15</v>
      </c>
      <c r="N214">
        <v>15</v>
      </c>
      <c r="O214">
        <v>14</v>
      </c>
      <c r="P214">
        <f t="shared" si="6"/>
        <v>14.666666666666666</v>
      </c>
      <c r="Q214">
        <v>220</v>
      </c>
      <c r="R214">
        <v>220</v>
      </c>
      <c r="S214">
        <v>260</v>
      </c>
      <c r="T214">
        <f t="shared" si="7"/>
        <v>233.33333333333334</v>
      </c>
      <c r="U214"/>
      <c r="V214"/>
      <c r="W214"/>
      <c r="X214"/>
      <c r="Y214"/>
      <c r="Z214"/>
      <c r="AA214"/>
      <c r="AB214"/>
    </row>
    <row r="215" spans="1:28" x14ac:dyDescent="0.35">
      <c r="A215" t="s">
        <v>24</v>
      </c>
      <c r="D215" t="s">
        <v>337</v>
      </c>
      <c r="E215">
        <v>2016</v>
      </c>
      <c r="F215">
        <v>2</v>
      </c>
      <c r="G215">
        <v>6</v>
      </c>
      <c r="H215">
        <v>3</v>
      </c>
      <c r="I215">
        <v>22</v>
      </c>
      <c r="L215" t="s">
        <v>742</v>
      </c>
      <c r="M215">
        <v>22</v>
      </c>
      <c r="N215">
        <v>19</v>
      </c>
      <c r="O215">
        <v>20</v>
      </c>
      <c r="P215">
        <f t="shared" si="6"/>
        <v>20.333333333333332</v>
      </c>
      <c r="Q215">
        <v>320</v>
      </c>
      <c r="R215">
        <v>250</v>
      </c>
      <c r="S215">
        <v>260</v>
      </c>
      <c r="T215">
        <f t="shared" si="7"/>
        <v>276.66666666666669</v>
      </c>
      <c r="U215"/>
      <c r="V215"/>
      <c r="W215"/>
      <c r="X215"/>
      <c r="Y215"/>
      <c r="Z215"/>
      <c r="AA215"/>
      <c r="AB215"/>
    </row>
    <row r="216" spans="1:28" x14ac:dyDescent="0.35">
      <c r="A216" t="s">
        <v>24</v>
      </c>
      <c r="D216" t="s">
        <v>32</v>
      </c>
      <c r="E216">
        <v>2018</v>
      </c>
      <c r="F216">
        <v>2</v>
      </c>
      <c r="G216">
        <v>7</v>
      </c>
      <c r="H216">
        <v>3</v>
      </c>
      <c r="I216">
        <v>23</v>
      </c>
      <c r="L216" t="s">
        <v>742</v>
      </c>
      <c r="M216">
        <v>20</v>
      </c>
      <c r="N216">
        <v>16</v>
      </c>
      <c r="O216">
        <v>20</v>
      </c>
      <c r="P216">
        <f t="shared" si="6"/>
        <v>18.666666666666668</v>
      </c>
      <c r="Q216">
        <v>285</v>
      </c>
      <c r="R216">
        <v>255</v>
      </c>
      <c r="S216">
        <v>230</v>
      </c>
      <c r="T216">
        <f t="shared" si="7"/>
        <v>256.66666666666669</v>
      </c>
      <c r="U216"/>
      <c r="V216"/>
      <c r="W216"/>
      <c r="X216"/>
      <c r="Y216"/>
      <c r="Z216"/>
      <c r="AA216"/>
      <c r="AB216"/>
    </row>
    <row r="217" spans="1:28" x14ac:dyDescent="0.35">
      <c r="A217" t="s">
        <v>24</v>
      </c>
      <c r="D217" t="s">
        <v>27</v>
      </c>
      <c r="E217">
        <v>1985</v>
      </c>
      <c r="F217">
        <v>2</v>
      </c>
      <c r="G217">
        <v>8</v>
      </c>
      <c r="H217">
        <v>3</v>
      </c>
      <c r="I217">
        <v>24</v>
      </c>
      <c r="L217" t="s">
        <v>742</v>
      </c>
      <c r="M217">
        <v>17</v>
      </c>
      <c r="N217">
        <v>16</v>
      </c>
      <c r="O217">
        <v>17</v>
      </c>
      <c r="P217">
        <f t="shared" si="6"/>
        <v>16.666666666666668</v>
      </c>
      <c r="Q217">
        <v>245</v>
      </c>
      <c r="R217">
        <v>260</v>
      </c>
      <c r="S217">
        <v>255</v>
      </c>
      <c r="T217">
        <f t="shared" si="7"/>
        <v>253.33333333333334</v>
      </c>
      <c r="U217"/>
      <c r="V217"/>
      <c r="W217"/>
      <c r="X217"/>
      <c r="Y217"/>
      <c r="Z217"/>
      <c r="AA217"/>
      <c r="AB217"/>
    </row>
    <row r="218" spans="1:28" x14ac:dyDescent="0.35">
      <c r="A218" t="s">
        <v>34</v>
      </c>
      <c r="D218" t="s">
        <v>343</v>
      </c>
      <c r="E218">
        <v>2004</v>
      </c>
      <c r="F218">
        <v>2</v>
      </c>
      <c r="G218">
        <v>1</v>
      </c>
      <c r="H218">
        <v>4</v>
      </c>
      <c r="I218">
        <v>25</v>
      </c>
      <c r="L218" t="s">
        <v>742</v>
      </c>
      <c r="M218">
        <v>18</v>
      </c>
      <c r="N218">
        <v>16</v>
      </c>
      <c r="O218">
        <v>18</v>
      </c>
      <c r="P218">
        <f t="shared" si="6"/>
        <v>17.333333333333332</v>
      </c>
      <c r="Q218">
        <v>340</v>
      </c>
      <c r="R218">
        <v>310</v>
      </c>
      <c r="S218">
        <v>330</v>
      </c>
      <c r="T218">
        <f t="shared" si="7"/>
        <v>326.66666666666669</v>
      </c>
      <c r="U218"/>
      <c r="V218"/>
      <c r="W218"/>
      <c r="X218"/>
      <c r="Y218"/>
      <c r="Z218"/>
      <c r="AA218"/>
      <c r="AB218"/>
    </row>
    <row r="219" spans="1:28" x14ac:dyDescent="0.35">
      <c r="A219" t="s">
        <v>34</v>
      </c>
      <c r="D219" t="s">
        <v>43</v>
      </c>
      <c r="E219">
        <v>2020</v>
      </c>
      <c r="F219">
        <v>2</v>
      </c>
      <c r="G219">
        <v>2</v>
      </c>
      <c r="H219">
        <v>4</v>
      </c>
      <c r="I219">
        <v>26</v>
      </c>
      <c r="L219" t="s">
        <v>742</v>
      </c>
      <c r="M219">
        <v>18</v>
      </c>
      <c r="N219">
        <v>18</v>
      </c>
      <c r="O219">
        <v>21</v>
      </c>
      <c r="P219">
        <f t="shared" si="6"/>
        <v>19</v>
      </c>
      <c r="Q219">
        <v>330</v>
      </c>
      <c r="R219">
        <v>205</v>
      </c>
      <c r="S219">
        <v>260</v>
      </c>
      <c r="T219">
        <f t="shared" si="7"/>
        <v>265</v>
      </c>
      <c r="U219"/>
      <c r="V219"/>
      <c r="W219"/>
      <c r="X219"/>
      <c r="Y219"/>
      <c r="Z219"/>
      <c r="AA219"/>
      <c r="AB219"/>
    </row>
    <row r="220" spans="1:28" x14ac:dyDescent="0.35">
      <c r="A220" t="s">
        <v>34</v>
      </c>
      <c r="D220" t="s">
        <v>38</v>
      </c>
      <c r="E220">
        <v>1999</v>
      </c>
      <c r="F220">
        <v>2</v>
      </c>
      <c r="G220">
        <v>3</v>
      </c>
      <c r="H220">
        <v>4</v>
      </c>
      <c r="I220">
        <v>27</v>
      </c>
      <c r="L220" t="s">
        <v>742</v>
      </c>
      <c r="M220">
        <v>18</v>
      </c>
      <c r="N220">
        <v>19</v>
      </c>
      <c r="O220">
        <v>18</v>
      </c>
      <c r="P220">
        <f t="shared" si="6"/>
        <v>18.333333333333332</v>
      </c>
      <c r="Q220">
        <v>310</v>
      </c>
      <c r="R220">
        <v>330</v>
      </c>
      <c r="S220">
        <v>285</v>
      </c>
      <c r="T220">
        <f t="shared" si="7"/>
        <v>308.33333333333331</v>
      </c>
      <c r="U220"/>
      <c r="V220"/>
      <c r="W220"/>
      <c r="X220"/>
      <c r="Y220"/>
      <c r="Z220"/>
      <c r="AA220"/>
      <c r="AB220"/>
    </row>
    <row r="221" spans="1:28" x14ac:dyDescent="0.35">
      <c r="A221" t="s">
        <v>34</v>
      </c>
      <c r="D221" t="s">
        <v>39</v>
      </c>
      <c r="E221">
        <v>2001</v>
      </c>
      <c r="F221">
        <v>2</v>
      </c>
      <c r="G221">
        <v>4</v>
      </c>
      <c r="H221">
        <v>4</v>
      </c>
      <c r="I221">
        <v>28</v>
      </c>
      <c r="L221" t="s">
        <v>742</v>
      </c>
      <c r="M221">
        <v>18</v>
      </c>
      <c r="N221">
        <v>17</v>
      </c>
      <c r="O221">
        <v>17</v>
      </c>
      <c r="P221">
        <f t="shared" si="6"/>
        <v>17.333333333333332</v>
      </c>
      <c r="Q221">
        <v>270</v>
      </c>
      <c r="R221">
        <v>250</v>
      </c>
      <c r="S221">
        <v>230</v>
      </c>
      <c r="T221">
        <f t="shared" si="7"/>
        <v>250</v>
      </c>
      <c r="U221"/>
      <c r="V221"/>
      <c r="W221"/>
      <c r="X221"/>
      <c r="Y221"/>
      <c r="Z221"/>
      <c r="AA221"/>
      <c r="AB221"/>
    </row>
    <row r="222" spans="1:28" x14ac:dyDescent="0.35">
      <c r="A222" t="s">
        <v>34</v>
      </c>
      <c r="D222" t="s">
        <v>42</v>
      </c>
      <c r="E222">
        <v>2016</v>
      </c>
      <c r="F222">
        <v>2</v>
      </c>
      <c r="G222">
        <v>5</v>
      </c>
      <c r="H222">
        <v>4</v>
      </c>
      <c r="I222">
        <v>29</v>
      </c>
      <c r="L222" t="s">
        <v>742</v>
      </c>
      <c r="M222">
        <v>21</v>
      </c>
      <c r="N222">
        <v>17</v>
      </c>
      <c r="O222">
        <v>20</v>
      </c>
      <c r="P222">
        <f t="shared" si="6"/>
        <v>19.333333333333332</v>
      </c>
      <c r="Q222">
        <v>320</v>
      </c>
      <c r="R222">
        <v>250</v>
      </c>
      <c r="S222">
        <v>245</v>
      </c>
      <c r="T222">
        <f t="shared" si="7"/>
        <v>271.66666666666669</v>
      </c>
      <c r="U222"/>
      <c r="V222"/>
      <c r="W222"/>
      <c r="X222"/>
      <c r="Y222"/>
      <c r="Z222"/>
      <c r="AA222"/>
      <c r="AB222"/>
    </row>
    <row r="223" spans="1:28" x14ac:dyDescent="0.35">
      <c r="A223" t="s">
        <v>34</v>
      </c>
      <c r="D223" t="s">
        <v>36</v>
      </c>
      <c r="E223">
        <v>1984</v>
      </c>
      <c r="F223">
        <v>2</v>
      </c>
      <c r="G223">
        <v>6</v>
      </c>
      <c r="H223">
        <v>4</v>
      </c>
      <c r="I223">
        <v>30</v>
      </c>
      <c r="L223" t="s">
        <v>742</v>
      </c>
      <c r="M223">
        <v>17</v>
      </c>
      <c r="N223">
        <v>18</v>
      </c>
      <c r="O223">
        <v>16</v>
      </c>
      <c r="P223">
        <f t="shared" si="6"/>
        <v>17</v>
      </c>
      <c r="Q223">
        <v>295</v>
      </c>
      <c r="R223">
        <v>290</v>
      </c>
      <c r="S223">
        <v>305</v>
      </c>
      <c r="T223">
        <f t="shared" si="7"/>
        <v>296.66666666666669</v>
      </c>
      <c r="U223"/>
      <c r="V223"/>
      <c r="W223"/>
      <c r="X223"/>
      <c r="Y223"/>
      <c r="Z223"/>
      <c r="AA223"/>
      <c r="AB223"/>
    </row>
    <row r="224" spans="1:28" x14ac:dyDescent="0.35">
      <c r="A224" t="s">
        <v>34</v>
      </c>
      <c r="D224" t="s">
        <v>41</v>
      </c>
      <c r="E224">
        <v>2008</v>
      </c>
      <c r="F224">
        <v>2</v>
      </c>
      <c r="G224">
        <v>7</v>
      </c>
      <c r="H224">
        <v>4</v>
      </c>
      <c r="I224">
        <v>31</v>
      </c>
      <c r="L224" t="s">
        <v>742</v>
      </c>
      <c r="M224">
        <v>16</v>
      </c>
      <c r="N224">
        <v>16</v>
      </c>
      <c r="O224">
        <v>17</v>
      </c>
      <c r="P224">
        <f t="shared" si="6"/>
        <v>16.333333333333332</v>
      </c>
      <c r="Q224">
        <v>240</v>
      </c>
      <c r="R224">
        <v>240</v>
      </c>
      <c r="S224">
        <v>235</v>
      </c>
      <c r="T224">
        <f t="shared" si="7"/>
        <v>238.33333333333334</v>
      </c>
      <c r="U224"/>
      <c r="V224"/>
      <c r="W224"/>
      <c r="X224"/>
      <c r="Y224"/>
      <c r="Z224"/>
      <c r="AA224"/>
      <c r="AB224"/>
    </row>
    <row r="225" spans="1:28" x14ac:dyDescent="0.35">
      <c r="A225" t="s">
        <v>34</v>
      </c>
      <c r="D225" t="s">
        <v>37</v>
      </c>
      <c r="E225">
        <v>1989</v>
      </c>
      <c r="F225">
        <v>2</v>
      </c>
      <c r="G225">
        <v>8</v>
      </c>
      <c r="H225">
        <v>4</v>
      </c>
      <c r="I225">
        <v>32</v>
      </c>
      <c r="L225" t="s">
        <v>742</v>
      </c>
      <c r="M225">
        <v>17</v>
      </c>
      <c r="N225">
        <v>17</v>
      </c>
      <c r="O225">
        <v>18</v>
      </c>
      <c r="P225">
        <f t="shared" si="6"/>
        <v>17.333333333333332</v>
      </c>
      <c r="Q225">
        <v>300</v>
      </c>
      <c r="R225">
        <v>290</v>
      </c>
      <c r="S225">
        <v>280</v>
      </c>
      <c r="T225">
        <f t="shared" si="7"/>
        <v>290</v>
      </c>
      <c r="U225"/>
      <c r="V225"/>
      <c r="W225"/>
      <c r="X225"/>
      <c r="Y225"/>
      <c r="Z225"/>
      <c r="AA225"/>
      <c r="AB225"/>
    </row>
    <row r="226" spans="1:28" x14ac:dyDescent="0.35">
      <c r="A226" t="s">
        <v>24</v>
      </c>
      <c r="D226" t="s">
        <v>336</v>
      </c>
      <c r="E226">
        <v>2002</v>
      </c>
      <c r="F226">
        <v>3</v>
      </c>
      <c r="G226">
        <v>1</v>
      </c>
      <c r="H226">
        <v>5</v>
      </c>
      <c r="I226">
        <v>33</v>
      </c>
      <c r="L226" t="s">
        <v>742</v>
      </c>
      <c r="M226">
        <v>19</v>
      </c>
      <c r="N226">
        <v>17</v>
      </c>
      <c r="O226">
        <v>16</v>
      </c>
      <c r="P226">
        <f t="shared" si="6"/>
        <v>17.333333333333332</v>
      </c>
      <c r="Q226">
        <v>280</v>
      </c>
      <c r="R226">
        <v>310</v>
      </c>
      <c r="S226">
        <v>255</v>
      </c>
      <c r="T226">
        <f t="shared" si="7"/>
        <v>281.66666666666669</v>
      </c>
      <c r="U226"/>
      <c r="V226"/>
      <c r="W226"/>
      <c r="X226"/>
      <c r="Y226"/>
      <c r="Z226"/>
      <c r="AA226"/>
      <c r="AB226"/>
    </row>
    <row r="227" spans="1:28" x14ac:dyDescent="0.35">
      <c r="A227" t="s">
        <v>24</v>
      </c>
      <c r="D227" t="s">
        <v>337</v>
      </c>
      <c r="E227">
        <v>2016</v>
      </c>
      <c r="F227">
        <v>3</v>
      </c>
      <c r="G227">
        <v>2</v>
      </c>
      <c r="H227">
        <v>5</v>
      </c>
      <c r="I227">
        <v>34</v>
      </c>
      <c r="L227" t="s">
        <v>742</v>
      </c>
      <c r="M227">
        <v>19</v>
      </c>
      <c r="N227">
        <v>18</v>
      </c>
      <c r="O227">
        <v>22</v>
      </c>
      <c r="P227">
        <f t="shared" si="6"/>
        <v>19.666666666666668</v>
      </c>
      <c r="Q227">
        <v>240</v>
      </c>
      <c r="R227">
        <v>245</v>
      </c>
      <c r="S227">
        <v>315</v>
      </c>
      <c r="T227">
        <f t="shared" si="7"/>
        <v>266.66666666666669</v>
      </c>
      <c r="U227"/>
      <c r="V227"/>
      <c r="W227"/>
      <c r="X227"/>
      <c r="Y227"/>
      <c r="Z227"/>
      <c r="AA227"/>
      <c r="AB227"/>
    </row>
    <row r="228" spans="1:28" x14ac:dyDescent="0.35">
      <c r="A228" t="s">
        <v>24</v>
      </c>
      <c r="D228" t="s">
        <v>32</v>
      </c>
      <c r="E228">
        <v>2018</v>
      </c>
      <c r="F228">
        <v>3</v>
      </c>
      <c r="G228">
        <v>3</v>
      </c>
      <c r="H228">
        <v>5</v>
      </c>
      <c r="I228">
        <v>35</v>
      </c>
      <c r="L228" t="s">
        <v>742</v>
      </c>
      <c r="M228">
        <v>20</v>
      </c>
      <c r="N228">
        <v>19</v>
      </c>
      <c r="O228">
        <v>17</v>
      </c>
      <c r="P228">
        <f t="shared" si="6"/>
        <v>18.666666666666668</v>
      </c>
      <c r="Q228">
        <v>285</v>
      </c>
      <c r="R228">
        <v>275</v>
      </c>
      <c r="S228">
        <v>295</v>
      </c>
      <c r="T228">
        <f t="shared" si="7"/>
        <v>285</v>
      </c>
      <c r="U228"/>
      <c r="V228"/>
      <c r="W228"/>
      <c r="X228"/>
      <c r="Y228"/>
      <c r="Z228"/>
      <c r="AA228"/>
      <c r="AB228"/>
    </row>
    <row r="229" spans="1:28" x14ac:dyDescent="0.35">
      <c r="A229" t="s">
        <v>24</v>
      </c>
      <c r="D229" t="s">
        <v>28</v>
      </c>
      <c r="E229">
        <v>1998</v>
      </c>
      <c r="F229">
        <v>3</v>
      </c>
      <c r="G229">
        <v>4</v>
      </c>
      <c r="H229">
        <v>5</v>
      </c>
      <c r="I229">
        <v>36</v>
      </c>
      <c r="L229" t="s">
        <v>742</v>
      </c>
      <c r="M229">
        <v>18</v>
      </c>
      <c r="N229">
        <v>15</v>
      </c>
      <c r="O229">
        <v>15</v>
      </c>
      <c r="P229">
        <f t="shared" si="6"/>
        <v>16</v>
      </c>
      <c r="Q229">
        <v>180</v>
      </c>
      <c r="R229">
        <v>240</v>
      </c>
      <c r="S229">
        <v>225</v>
      </c>
      <c r="T229">
        <f t="shared" si="7"/>
        <v>215</v>
      </c>
      <c r="U229"/>
      <c r="V229"/>
      <c r="W229"/>
      <c r="X229"/>
      <c r="Y229"/>
      <c r="Z229"/>
      <c r="AA229"/>
      <c r="AB229"/>
    </row>
    <row r="230" spans="1:28" x14ac:dyDescent="0.35">
      <c r="A230" t="s">
        <v>24</v>
      </c>
      <c r="D230" t="s">
        <v>27</v>
      </c>
      <c r="E230">
        <v>1985</v>
      </c>
      <c r="F230">
        <v>3</v>
      </c>
      <c r="G230">
        <v>5</v>
      </c>
      <c r="H230">
        <v>5</v>
      </c>
      <c r="I230">
        <v>37</v>
      </c>
      <c r="L230" t="s">
        <v>742</v>
      </c>
      <c r="M230">
        <v>18</v>
      </c>
      <c r="N230">
        <v>18</v>
      </c>
      <c r="O230">
        <v>18</v>
      </c>
      <c r="P230">
        <f t="shared" si="6"/>
        <v>18</v>
      </c>
      <c r="Q230">
        <v>230</v>
      </c>
      <c r="R230">
        <v>225</v>
      </c>
      <c r="S230">
        <v>215</v>
      </c>
      <c r="T230">
        <f t="shared" si="7"/>
        <v>223.33333333333334</v>
      </c>
      <c r="U230"/>
      <c r="V230"/>
      <c r="W230"/>
      <c r="X230"/>
      <c r="Y230"/>
      <c r="Z230"/>
      <c r="AA230"/>
      <c r="AB230"/>
    </row>
    <row r="231" spans="1:28" x14ac:dyDescent="0.35">
      <c r="A231" t="s">
        <v>24</v>
      </c>
      <c r="D231" t="s">
        <v>335</v>
      </c>
      <c r="E231">
        <v>2023</v>
      </c>
      <c r="F231">
        <v>3</v>
      </c>
      <c r="G231">
        <v>6</v>
      </c>
      <c r="H231">
        <v>5</v>
      </c>
      <c r="I231">
        <v>38</v>
      </c>
      <c r="L231" t="s">
        <v>742</v>
      </c>
      <c r="M231">
        <v>16</v>
      </c>
      <c r="N231">
        <v>16</v>
      </c>
      <c r="O231">
        <v>15</v>
      </c>
      <c r="P231">
        <f t="shared" si="6"/>
        <v>15.666666666666666</v>
      </c>
      <c r="Q231">
        <v>260</v>
      </c>
      <c r="R231">
        <v>210</v>
      </c>
      <c r="S231">
        <v>250</v>
      </c>
      <c r="T231">
        <f t="shared" si="7"/>
        <v>240</v>
      </c>
      <c r="U231"/>
      <c r="V231"/>
      <c r="W231"/>
      <c r="X231"/>
      <c r="Y231"/>
      <c r="Z231"/>
      <c r="AA231"/>
      <c r="AB231"/>
    </row>
    <row r="232" spans="1:28" x14ac:dyDescent="0.35">
      <c r="A232" t="s">
        <v>24</v>
      </c>
      <c r="D232" t="s">
        <v>29</v>
      </c>
      <c r="E232">
        <v>1999</v>
      </c>
      <c r="F232">
        <v>3</v>
      </c>
      <c r="G232">
        <v>7</v>
      </c>
      <c r="H232">
        <v>5</v>
      </c>
      <c r="I232">
        <v>39</v>
      </c>
      <c r="L232" t="s">
        <v>742</v>
      </c>
      <c r="M232">
        <v>14</v>
      </c>
      <c r="N232">
        <v>13</v>
      </c>
      <c r="O232">
        <v>15</v>
      </c>
      <c r="P232">
        <f t="shared" si="6"/>
        <v>14</v>
      </c>
      <c r="Q232">
        <v>230</v>
      </c>
      <c r="R232">
        <v>260</v>
      </c>
      <c r="S232">
        <v>285</v>
      </c>
      <c r="T232">
        <f t="shared" si="7"/>
        <v>258.33333333333331</v>
      </c>
      <c r="U232"/>
      <c r="V232"/>
      <c r="W232"/>
      <c r="X232"/>
      <c r="Y232"/>
      <c r="Z232"/>
      <c r="AA232"/>
      <c r="AB232"/>
    </row>
    <row r="233" spans="1:28" x14ac:dyDescent="0.35">
      <c r="A233" t="s">
        <v>24</v>
      </c>
      <c r="D233" t="s">
        <v>26</v>
      </c>
      <c r="E233">
        <v>1983</v>
      </c>
      <c r="F233">
        <v>3</v>
      </c>
      <c r="G233">
        <v>8</v>
      </c>
      <c r="H233">
        <v>5</v>
      </c>
      <c r="I233">
        <v>40</v>
      </c>
      <c r="L233" t="s">
        <v>742</v>
      </c>
      <c r="M233">
        <v>17</v>
      </c>
      <c r="N233">
        <v>17</v>
      </c>
      <c r="O233">
        <v>14</v>
      </c>
      <c r="P233">
        <f t="shared" si="6"/>
        <v>16</v>
      </c>
      <c r="Q233">
        <v>215</v>
      </c>
      <c r="R233">
        <v>225</v>
      </c>
      <c r="S233">
        <v>200</v>
      </c>
      <c r="T233">
        <f t="shared" si="7"/>
        <v>213.33333333333334</v>
      </c>
      <c r="U233"/>
      <c r="V233"/>
      <c r="W233"/>
      <c r="X233"/>
      <c r="Y233"/>
      <c r="Z233"/>
      <c r="AA233"/>
      <c r="AB233"/>
    </row>
    <row r="234" spans="1:28" x14ac:dyDescent="0.35">
      <c r="A234" t="s">
        <v>34</v>
      </c>
      <c r="D234" t="s">
        <v>41</v>
      </c>
      <c r="E234">
        <v>2008</v>
      </c>
      <c r="F234">
        <v>3</v>
      </c>
      <c r="G234">
        <v>1</v>
      </c>
      <c r="H234">
        <v>6</v>
      </c>
      <c r="I234">
        <v>41</v>
      </c>
      <c r="L234" t="s">
        <v>742</v>
      </c>
      <c r="M234">
        <v>18</v>
      </c>
      <c r="N234">
        <v>18</v>
      </c>
      <c r="O234">
        <v>18</v>
      </c>
      <c r="P234">
        <f t="shared" si="6"/>
        <v>18</v>
      </c>
      <c r="Q234">
        <v>255</v>
      </c>
      <c r="R234">
        <v>305</v>
      </c>
      <c r="S234">
        <v>180</v>
      </c>
      <c r="T234">
        <f t="shared" si="7"/>
        <v>246.66666666666666</v>
      </c>
      <c r="U234"/>
      <c r="V234"/>
      <c r="W234"/>
      <c r="X234"/>
      <c r="Y234"/>
      <c r="Z234"/>
      <c r="AA234"/>
      <c r="AB234"/>
    </row>
    <row r="235" spans="1:28" x14ac:dyDescent="0.35">
      <c r="A235" t="s">
        <v>34</v>
      </c>
      <c r="D235" t="s">
        <v>36</v>
      </c>
      <c r="E235">
        <v>1984</v>
      </c>
      <c r="F235">
        <v>3</v>
      </c>
      <c r="G235">
        <v>2</v>
      </c>
      <c r="H235">
        <v>6</v>
      </c>
      <c r="I235">
        <v>42</v>
      </c>
      <c r="L235" t="s">
        <v>742</v>
      </c>
      <c r="M235">
        <v>20</v>
      </c>
      <c r="N235">
        <v>18</v>
      </c>
      <c r="O235">
        <v>22</v>
      </c>
      <c r="P235">
        <f t="shared" si="6"/>
        <v>20</v>
      </c>
      <c r="Q235">
        <v>310</v>
      </c>
      <c r="R235">
        <v>310</v>
      </c>
      <c r="S235">
        <v>310</v>
      </c>
      <c r="T235">
        <f t="shared" si="7"/>
        <v>310</v>
      </c>
      <c r="U235"/>
      <c r="V235"/>
      <c r="W235"/>
      <c r="X235"/>
      <c r="Y235"/>
      <c r="Z235"/>
      <c r="AA235"/>
      <c r="AB235"/>
    </row>
    <row r="236" spans="1:28" x14ac:dyDescent="0.35">
      <c r="A236" t="s">
        <v>34</v>
      </c>
      <c r="D236" t="s">
        <v>37</v>
      </c>
      <c r="E236">
        <v>1989</v>
      </c>
      <c r="F236">
        <v>3</v>
      </c>
      <c r="G236">
        <v>3</v>
      </c>
      <c r="H236">
        <v>6</v>
      </c>
      <c r="I236">
        <v>43</v>
      </c>
      <c r="L236" t="s">
        <v>742</v>
      </c>
      <c r="M236">
        <v>20</v>
      </c>
      <c r="N236">
        <v>20</v>
      </c>
      <c r="O236">
        <v>20</v>
      </c>
      <c r="P236">
        <f t="shared" si="6"/>
        <v>20</v>
      </c>
      <c r="Q236">
        <v>310</v>
      </c>
      <c r="R236">
        <v>320</v>
      </c>
      <c r="S236">
        <v>310</v>
      </c>
      <c r="T236">
        <f t="shared" si="7"/>
        <v>313.33333333333331</v>
      </c>
      <c r="U236"/>
      <c r="V236"/>
      <c r="W236"/>
      <c r="X236"/>
      <c r="Y236"/>
      <c r="Z236"/>
      <c r="AA236"/>
      <c r="AB236"/>
    </row>
    <row r="237" spans="1:28" x14ac:dyDescent="0.35">
      <c r="A237" t="s">
        <v>34</v>
      </c>
      <c r="D237" t="s">
        <v>42</v>
      </c>
      <c r="E237">
        <v>2016</v>
      </c>
      <c r="F237">
        <v>3</v>
      </c>
      <c r="G237">
        <v>4</v>
      </c>
      <c r="H237">
        <v>6</v>
      </c>
      <c r="I237">
        <v>44</v>
      </c>
      <c r="L237" t="s">
        <v>742</v>
      </c>
      <c r="M237">
        <v>22</v>
      </c>
      <c r="N237">
        <v>19</v>
      </c>
      <c r="O237">
        <v>22</v>
      </c>
      <c r="P237">
        <f t="shared" si="6"/>
        <v>21</v>
      </c>
      <c r="Q237">
        <v>270</v>
      </c>
      <c r="R237">
        <v>290</v>
      </c>
      <c r="S237">
        <v>285</v>
      </c>
      <c r="T237">
        <f t="shared" si="7"/>
        <v>281.66666666666669</v>
      </c>
      <c r="U237"/>
      <c r="V237"/>
      <c r="W237"/>
      <c r="X237"/>
      <c r="Y237"/>
      <c r="Z237"/>
      <c r="AA237"/>
      <c r="AB237"/>
    </row>
    <row r="238" spans="1:28" x14ac:dyDescent="0.35">
      <c r="A238" t="s">
        <v>34</v>
      </c>
      <c r="D238" t="s">
        <v>43</v>
      </c>
      <c r="E238">
        <v>2020</v>
      </c>
      <c r="F238">
        <v>3</v>
      </c>
      <c r="G238">
        <v>5</v>
      </c>
      <c r="H238">
        <v>6</v>
      </c>
      <c r="I238">
        <v>45</v>
      </c>
      <c r="L238" t="s">
        <v>742</v>
      </c>
      <c r="M238">
        <v>20</v>
      </c>
      <c r="N238">
        <v>19</v>
      </c>
      <c r="O238">
        <v>19</v>
      </c>
      <c r="P238">
        <f t="shared" si="6"/>
        <v>19.333333333333332</v>
      </c>
      <c r="Q238">
        <v>260</v>
      </c>
      <c r="R238">
        <v>250</v>
      </c>
      <c r="S238">
        <v>230</v>
      </c>
      <c r="T238">
        <f t="shared" si="7"/>
        <v>246.66666666666666</v>
      </c>
      <c r="U238"/>
      <c r="V238"/>
      <c r="W238"/>
      <c r="X238"/>
      <c r="Y238"/>
      <c r="Z238"/>
      <c r="AA238"/>
      <c r="AB238"/>
    </row>
    <row r="239" spans="1:28" x14ac:dyDescent="0.35">
      <c r="A239" t="s">
        <v>34</v>
      </c>
      <c r="D239" t="s">
        <v>39</v>
      </c>
      <c r="E239">
        <v>2001</v>
      </c>
      <c r="F239">
        <v>3</v>
      </c>
      <c r="G239">
        <v>6</v>
      </c>
      <c r="H239">
        <v>6</v>
      </c>
      <c r="I239">
        <v>46</v>
      </c>
      <c r="L239" t="s">
        <v>742</v>
      </c>
      <c r="M239">
        <v>17</v>
      </c>
      <c r="N239">
        <v>17</v>
      </c>
      <c r="O239">
        <v>17</v>
      </c>
      <c r="P239">
        <f t="shared" si="6"/>
        <v>17</v>
      </c>
      <c r="Q239">
        <v>220</v>
      </c>
      <c r="R239">
        <v>210</v>
      </c>
      <c r="S239">
        <v>210</v>
      </c>
      <c r="T239">
        <f t="shared" si="7"/>
        <v>213.33333333333334</v>
      </c>
      <c r="U239"/>
      <c r="V239"/>
      <c r="W239"/>
      <c r="X239"/>
      <c r="Y239"/>
      <c r="Z239"/>
      <c r="AA239"/>
      <c r="AB239"/>
    </row>
    <row r="240" spans="1:28" x14ac:dyDescent="0.35">
      <c r="A240" t="s">
        <v>34</v>
      </c>
      <c r="D240" t="s">
        <v>38</v>
      </c>
      <c r="E240">
        <v>1999</v>
      </c>
      <c r="F240">
        <v>3</v>
      </c>
      <c r="G240">
        <v>7</v>
      </c>
      <c r="H240">
        <v>6</v>
      </c>
      <c r="I240">
        <v>47</v>
      </c>
      <c r="L240" t="s">
        <v>742</v>
      </c>
      <c r="M240">
        <v>20</v>
      </c>
      <c r="N240">
        <v>20</v>
      </c>
      <c r="O240">
        <v>18</v>
      </c>
      <c r="P240">
        <f t="shared" si="6"/>
        <v>19.333333333333332</v>
      </c>
      <c r="Q240">
        <v>330</v>
      </c>
      <c r="R240">
        <v>300</v>
      </c>
      <c r="S240">
        <v>305</v>
      </c>
      <c r="T240">
        <f t="shared" si="7"/>
        <v>311.66666666666669</v>
      </c>
      <c r="U240"/>
      <c r="V240"/>
      <c r="W240"/>
      <c r="X240"/>
      <c r="Y240"/>
      <c r="Z240"/>
      <c r="AA240"/>
      <c r="AB240"/>
    </row>
    <row r="241" spans="1:28" x14ac:dyDescent="0.35">
      <c r="A241" t="s">
        <v>34</v>
      </c>
      <c r="D241" t="s">
        <v>343</v>
      </c>
      <c r="E241">
        <v>2004</v>
      </c>
      <c r="F241">
        <v>3</v>
      </c>
      <c r="G241">
        <v>8</v>
      </c>
      <c r="H241">
        <v>6</v>
      </c>
      <c r="I241">
        <v>48</v>
      </c>
      <c r="L241" t="s">
        <v>742</v>
      </c>
      <c r="M241">
        <v>19</v>
      </c>
      <c r="N241">
        <v>18</v>
      </c>
      <c r="O241">
        <v>18</v>
      </c>
      <c r="P241">
        <f t="shared" si="6"/>
        <v>18.333333333333332</v>
      </c>
      <c r="Q241">
        <v>280</v>
      </c>
      <c r="R241">
        <v>275</v>
      </c>
      <c r="S241">
        <v>275</v>
      </c>
      <c r="T241">
        <f t="shared" si="7"/>
        <v>276.66666666666669</v>
      </c>
      <c r="U241"/>
      <c r="V241"/>
      <c r="W241"/>
      <c r="X241"/>
      <c r="Y241"/>
      <c r="Z241"/>
      <c r="AA241"/>
      <c r="AB241"/>
    </row>
    <row r="242" spans="1:28" x14ac:dyDescent="0.35">
      <c r="A242" t="s">
        <v>24</v>
      </c>
      <c r="D242" t="s">
        <v>32</v>
      </c>
      <c r="E242">
        <v>2018</v>
      </c>
      <c r="F242">
        <v>4</v>
      </c>
      <c r="G242">
        <v>1</v>
      </c>
      <c r="H242">
        <v>7</v>
      </c>
      <c r="I242">
        <v>49</v>
      </c>
      <c r="L242" t="s">
        <v>742</v>
      </c>
      <c r="M242">
        <v>19</v>
      </c>
      <c r="N242">
        <v>20</v>
      </c>
      <c r="O242">
        <v>21</v>
      </c>
      <c r="P242">
        <f t="shared" si="6"/>
        <v>20</v>
      </c>
      <c r="Q242">
        <v>330</v>
      </c>
      <c r="R242">
        <v>270</v>
      </c>
      <c r="S242">
        <v>230</v>
      </c>
      <c r="T242">
        <f t="shared" si="7"/>
        <v>276.66666666666669</v>
      </c>
      <c r="U242"/>
      <c r="V242"/>
      <c r="W242"/>
      <c r="X242"/>
      <c r="Y242"/>
      <c r="Z242"/>
      <c r="AA242"/>
      <c r="AB242"/>
    </row>
    <row r="243" spans="1:28" x14ac:dyDescent="0.35">
      <c r="A243" t="s">
        <v>24</v>
      </c>
      <c r="D243" t="s">
        <v>29</v>
      </c>
      <c r="E243">
        <v>1999</v>
      </c>
      <c r="F243">
        <v>4</v>
      </c>
      <c r="G243">
        <v>2</v>
      </c>
      <c r="H243">
        <v>7</v>
      </c>
      <c r="I243">
        <v>50</v>
      </c>
      <c r="L243" t="s">
        <v>742</v>
      </c>
      <c r="M243">
        <v>15</v>
      </c>
      <c r="N243">
        <v>16</v>
      </c>
      <c r="O243">
        <v>15</v>
      </c>
      <c r="P243">
        <f t="shared" si="6"/>
        <v>15.333333333333334</v>
      </c>
      <c r="Q243">
        <v>205</v>
      </c>
      <c r="R243">
        <v>260</v>
      </c>
      <c r="S243">
        <v>245</v>
      </c>
      <c r="T243">
        <f t="shared" si="7"/>
        <v>236.66666666666666</v>
      </c>
      <c r="U243"/>
      <c r="V243"/>
      <c r="W243"/>
      <c r="X243"/>
      <c r="Y243"/>
      <c r="Z243"/>
      <c r="AA243"/>
      <c r="AB243"/>
    </row>
    <row r="244" spans="1:28" x14ac:dyDescent="0.35">
      <c r="A244" t="s">
        <v>24</v>
      </c>
      <c r="D244" t="s">
        <v>337</v>
      </c>
      <c r="E244">
        <v>2016</v>
      </c>
      <c r="F244">
        <v>4</v>
      </c>
      <c r="G244">
        <v>3</v>
      </c>
      <c r="H244">
        <v>7</v>
      </c>
      <c r="I244">
        <v>51</v>
      </c>
      <c r="L244" t="s">
        <v>742</v>
      </c>
      <c r="M244">
        <v>20</v>
      </c>
      <c r="N244">
        <v>19</v>
      </c>
      <c r="O244">
        <v>17</v>
      </c>
      <c r="P244">
        <f t="shared" si="6"/>
        <v>18.666666666666668</v>
      </c>
      <c r="Q244">
        <v>290</v>
      </c>
      <c r="R244">
        <v>235</v>
      </c>
      <c r="S244">
        <v>240</v>
      </c>
      <c r="T244">
        <f t="shared" si="7"/>
        <v>255</v>
      </c>
      <c r="U244"/>
      <c r="V244"/>
      <c r="W244"/>
      <c r="X244"/>
      <c r="Y244"/>
      <c r="Z244"/>
      <c r="AA244"/>
      <c r="AB244"/>
    </row>
    <row r="245" spans="1:28" x14ac:dyDescent="0.35">
      <c r="A245" t="s">
        <v>24</v>
      </c>
      <c r="D245" t="s">
        <v>27</v>
      </c>
      <c r="E245">
        <v>1985</v>
      </c>
      <c r="F245">
        <v>4</v>
      </c>
      <c r="G245">
        <v>4</v>
      </c>
      <c r="H245">
        <v>7</v>
      </c>
      <c r="I245">
        <v>52</v>
      </c>
      <c r="L245" t="s">
        <v>742</v>
      </c>
      <c r="M245">
        <v>17</v>
      </c>
      <c r="N245">
        <v>18</v>
      </c>
      <c r="O245">
        <v>17</v>
      </c>
      <c r="P245">
        <f t="shared" si="6"/>
        <v>17.333333333333332</v>
      </c>
      <c r="Q245">
        <v>230</v>
      </c>
      <c r="R245">
        <v>240</v>
      </c>
      <c r="S245">
        <v>250</v>
      </c>
      <c r="T245">
        <f t="shared" si="7"/>
        <v>240</v>
      </c>
      <c r="U245"/>
      <c r="V245"/>
      <c r="W245"/>
      <c r="X245"/>
      <c r="Y245"/>
      <c r="Z245"/>
      <c r="AA245"/>
      <c r="AB245"/>
    </row>
    <row r="246" spans="1:28" x14ac:dyDescent="0.35">
      <c r="A246" t="s">
        <v>24</v>
      </c>
      <c r="D246" t="s">
        <v>28</v>
      </c>
      <c r="E246">
        <v>1998</v>
      </c>
      <c r="F246">
        <v>4</v>
      </c>
      <c r="G246">
        <v>5</v>
      </c>
      <c r="H246">
        <v>7</v>
      </c>
      <c r="I246">
        <v>53</v>
      </c>
      <c r="L246" t="s">
        <v>742</v>
      </c>
      <c r="M246">
        <v>18</v>
      </c>
      <c r="N246">
        <v>16</v>
      </c>
      <c r="O246">
        <v>17</v>
      </c>
      <c r="P246">
        <f t="shared" si="6"/>
        <v>17</v>
      </c>
      <c r="Q246">
        <v>250</v>
      </c>
      <c r="R246">
        <v>305</v>
      </c>
      <c r="S246">
        <v>285</v>
      </c>
      <c r="T246">
        <f t="shared" si="7"/>
        <v>280</v>
      </c>
      <c r="U246"/>
      <c r="V246"/>
      <c r="W246"/>
      <c r="X246"/>
      <c r="Y246"/>
      <c r="Z246"/>
      <c r="AA246"/>
      <c r="AB246"/>
    </row>
    <row r="247" spans="1:28" x14ac:dyDescent="0.35">
      <c r="A247" t="s">
        <v>24</v>
      </c>
      <c r="D247" t="s">
        <v>26</v>
      </c>
      <c r="E247">
        <v>1983</v>
      </c>
      <c r="F247">
        <v>4</v>
      </c>
      <c r="G247">
        <v>6</v>
      </c>
      <c r="H247">
        <v>7</v>
      </c>
      <c r="I247">
        <v>54</v>
      </c>
      <c r="L247" t="s">
        <v>742</v>
      </c>
      <c r="M247">
        <v>14</v>
      </c>
      <c r="N247">
        <v>15</v>
      </c>
      <c r="O247">
        <v>15</v>
      </c>
      <c r="P247">
        <f t="shared" si="6"/>
        <v>14.666666666666666</v>
      </c>
      <c r="Q247">
        <v>230</v>
      </c>
      <c r="R247">
        <v>210</v>
      </c>
      <c r="S247">
        <v>250</v>
      </c>
      <c r="T247">
        <f t="shared" si="7"/>
        <v>230</v>
      </c>
      <c r="U247"/>
      <c r="V247"/>
      <c r="W247"/>
      <c r="X247"/>
      <c r="Y247"/>
      <c r="Z247"/>
      <c r="AA247"/>
      <c r="AB247"/>
    </row>
    <row r="248" spans="1:28" x14ac:dyDescent="0.35">
      <c r="A248" t="s">
        <v>24</v>
      </c>
      <c r="D248" t="s">
        <v>335</v>
      </c>
      <c r="E248">
        <v>2023</v>
      </c>
      <c r="F248">
        <v>4</v>
      </c>
      <c r="G248">
        <v>7</v>
      </c>
      <c r="H248">
        <v>7</v>
      </c>
      <c r="I248">
        <v>55</v>
      </c>
      <c r="L248" t="s">
        <v>742</v>
      </c>
      <c r="M248">
        <v>17</v>
      </c>
      <c r="N248">
        <v>17</v>
      </c>
      <c r="O248">
        <v>17</v>
      </c>
      <c r="P248">
        <f t="shared" si="6"/>
        <v>17</v>
      </c>
      <c r="Q248">
        <v>235</v>
      </c>
      <c r="R248">
        <v>285</v>
      </c>
      <c r="S248">
        <v>240</v>
      </c>
      <c r="T248">
        <f t="shared" si="7"/>
        <v>253.33333333333334</v>
      </c>
      <c r="U248"/>
      <c r="V248"/>
      <c r="W248"/>
      <c r="X248"/>
      <c r="Y248"/>
      <c r="Z248"/>
      <c r="AA248"/>
      <c r="AB248"/>
    </row>
    <row r="249" spans="1:28" x14ac:dyDescent="0.35">
      <c r="A249" t="s">
        <v>24</v>
      </c>
      <c r="D249" t="s">
        <v>336</v>
      </c>
      <c r="E249">
        <v>2002</v>
      </c>
      <c r="F249">
        <v>4</v>
      </c>
      <c r="G249">
        <v>8</v>
      </c>
      <c r="H249">
        <v>7</v>
      </c>
      <c r="I249">
        <v>56</v>
      </c>
      <c r="L249" t="s">
        <v>742</v>
      </c>
      <c r="M249">
        <v>17</v>
      </c>
      <c r="N249">
        <v>17</v>
      </c>
      <c r="O249">
        <v>18</v>
      </c>
      <c r="P249">
        <f t="shared" si="6"/>
        <v>17.333333333333332</v>
      </c>
      <c r="Q249">
        <v>310</v>
      </c>
      <c r="R249">
        <v>305</v>
      </c>
      <c r="S249">
        <v>310</v>
      </c>
      <c r="T249">
        <f t="shared" si="7"/>
        <v>308.33333333333331</v>
      </c>
      <c r="U249"/>
      <c r="V249"/>
      <c r="W249"/>
      <c r="X249"/>
      <c r="Y249"/>
      <c r="Z249"/>
      <c r="AA249"/>
      <c r="AB249"/>
    </row>
    <row r="250" spans="1:28" x14ac:dyDescent="0.35">
      <c r="A250" t="s">
        <v>34</v>
      </c>
      <c r="D250" t="s">
        <v>39</v>
      </c>
      <c r="E250">
        <v>2001</v>
      </c>
      <c r="F250">
        <v>4</v>
      </c>
      <c r="G250">
        <v>1</v>
      </c>
      <c r="H250">
        <v>8</v>
      </c>
      <c r="I250">
        <v>57</v>
      </c>
      <c r="L250" t="s">
        <v>742</v>
      </c>
      <c r="M250">
        <v>19</v>
      </c>
      <c r="N250">
        <v>19</v>
      </c>
      <c r="O250">
        <v>19</v>
      </c>
      <c r="P250">
        <f t="shared" si="6"/>
        <v>19</v>
      </c>
      <c r="Q250">
        <v>270</v>
      </c>
      <c r="R250">
        <v>295</v>
      </c>
      <c r="S250">
        <v>305</v>
      </c>
      <c r="T250">
        <f t="shared" si="7"/>
        <v>290</v>
      </c>
      <c r="U250"/>
      <c r="V250"/>
      <c r="W250"/>
      <c r="X250"/>
      <c r="Y250"/>
      <c r="Z250"/>
      <c r="AA250"/>
      <c r="AB250"/>
    </row>
    <row r="251" spans="1:28" x14ac:dyDescent="0.35">
      <c r="A251" t="s">
        <v>34</v>
      </c>
      <c r="D251" t="s">
        <v>37</v>
      </c>
      <c r="E251">
        <v>1989</v>
      </c>
      <c r="F251">
        <v>4</v>
      </c>
      <c r="G251">
        <v>2</v>
      </c>
      <c r="H251">
        <v>8</v>
      </c>
      <c r="I251">
        <v>58</v>
      </c>
      <c r="L251" t="s">
        <v>742</v>
      </c>
      <c r="M251">
        <v>17</v>
      </c>
      <c r="N251">
        <v>19</v>
      </c>
      <c r="O251">
        <v>19</v>
      </c>
      <c r="P251">
        <f t="shared" si="6"/>
        <v>18.333333333333332</v>
      </c>
      <c r="Q251">
        <v>290</v>
      </c>
      <c r="R251">
        <v>280</v>
      </c>
      <c r="S251">
        <v>290</v>
      </c>
      <c r="T251">
        <f t="shared" si="7"/>
        <v>286.66666666666669</v>
      </c>
      <c r="U251"/>
      <c r="V251"/>
      <c r="W251"/>
      <c r="X251"/>
      <c r="Y251"/>
      <c r="Z251"/>
      <c r="AA251"/>
      <c r="AB251"/>
    </row>
    <row r="252" spans="1:28" x14ac:dyDescent="0.35">
      <c r="A252" t="s">
        <v>34</v>
      </c>
      <c r="D252" t="s">
        <v>36</v>
      </c>
      <c r="E252">
        <v>1984</v>
      </c>
      <c r="F252">
        <v>4</v>
      </c>
      <c r="G252">
        <v>3</v>
      </c>
      <c r="H252">
        <v>8</v>
      </c>
      <c r="I252">
        <v>59</v>
      </c>
      <c r="L252" t="s">
        <v>742</v>
      </c>
      <c r="M252">
        <v>18</v>
      </c>
      <c r="N252">
        <v>19</v>
      </c>
      <c r="O252">
        <v>20</v>
      </c>
      <c r="P252">
        <f t="shared" si="6"/>
        <v>19</v>
      </c>
      <c r="Q252">
        <v>330</v>
      </c>
      <c r="R252">
        <v>305</v>
      </c>
      <c r="S252">
        <v>300</v>
      </c>
      <c r="T252">
        <f t="shared" si="7"/>
        <v>311.66666666666669</v>
      </c>
      <c r="U252"/>
      <c r="V252"/>
      <c r="W252"/>
      <c r="X252"/>
      <c r="Y252"/>
      <c r="Z252"/>
      <c r="AA252"/>
      <c r="AB252"/>
    </row>
    <row r="253" spans="1:28" x14ac:dyDescent="0.35">
      <c r="A253" t="s">
        <v>34</v>
      </c>
      <c r="D253" t="s">
        <v>343</v>
      </c>
      <c r="E253">
        <v>2004</v>
      </c>
      <c r="F253">
        <v>4</v>
      </c>
      <c r="G253">
        <v>4</v>
      </c>
      <c r="H253">
        <v>8</v>
      </c>
      <c r="I253">
        <v>60</v>
      </c>
      <c r="L253" t="s">
        <v>742</v>
      </c>
      <c r="M253">
        <v>15</v>
      </c>
      <c r="N253">
        <v>18</v>
      </c>
      <c r="O253">
        <v>17</v>
      </c>
      <c r="P253">
        <f t="shared" si="6"/>
        <v>16.666666666666668</v>
      </c>
      <c r="Q253">
        <v>210</v>
      </c>
      <c r="R253">
        <v>230</v>
      </c>
      <c r="S253">
        <v>260</v>
      </c>
      <c r="T253">
        <f t="shared" si="7"/>
        <v>233.33333333333334</v>
      </c>
      <c r="U253"/>
      <c r="V253"/>
      <c r="W253"/>
      <c r="X253"/>
      <c r="Y253"/>
      <c r="Z253"/>
      <c r="AA253"/>
      <c r="AB253"/>
    </row>
    <row r="254" spans="1:28" x14ac:dyDescent="0.35">
      <c r="A254" t="s">
        <v>34</v>
      </c>
      <c r="D254" t="s">
        <v>41</v>
      </c>
      <c r="E254">
        <v>2008</v>
      </c>
      <c r="F254">
        <v>4</v>
      </c>
      <c r="G254">
        <v>5</v>
      </c>
      <c r="H254">
        <v>8</v>
      </c>
      <c r="I254">
        <v>61</v>
      </c>
      <c r="L254" t="s">
        <v>742</v>
      </c>
      <c r="M254">
        <v>20</v>
      </c>
      <c r="N254">
        <v>15</v>
      </c>
      <c r="O254">
        <v>19</v>
      </c>
      <c r="P254">
        <f t="shared" si="6"/>
        <v>18</v>
      </c>
      <c r="Q254">
        <v>290</v>
      </c>
      <c r="R254">
        <v>300</v>
      </c>
      <c r="S254">
        <v>290</v>
      </c>
      <c r="T254">
        <f t="shared" si="7"/>
        <v>293.33333333333331</v>
      </c>
      <c r="U254"/>
      <c r="V254"/>
      <c r="W254"/>
      <c r="X254"/>
      <c r="Y254"/>
      <c r="Z254"/>
      <c r="AA254"/>
      <c r="AB254"/>
    </row>
    <row r="255" spans="1:28" x14ac:dyDescent="0.35">
      <c r="A255" t="s">
        <v>34</v>
      </c>
      <c r="D255" t="s">
        <v>38</v>
      </c>
      <c r="E255">
        <v>1999</v>
      </c>
      <c r="F255">
        <v>4</v>
      </c>
      <c r="G255">
        <v>6</v>
      </c>
      <c r="H255">
        <v>8</v>
      </c>
      <c r="I255">
        <v>62</v>
      </c>
      <c r="L255" t="s">
        <v>742</v>
      </c>
      <c r="M255">
        <v>18</v>
      </c>
      <c r="N255">
        <v>17</v>
      </c>
      <c r="O255">
        <v>17</v>
      </c>
      <c r="P255">
        <f t="shared" si="6"/>
        <v>17.333333333333332</v>
      </c>
      <c r="Q255">
        <v>290</v>
      </c>
      <c r="R255">
        <v>290</v>
      </c>
      <c r="S255">
        <v>250</v>
      </c>
      <c r="T255">
        <f t="shared" si="7"/>
        <v>276.66666666666669</v>
      </c>
      <c r="U255"/>
      <c r="V255"/>
      <c r="W255"/>
      <c r="X255"/>
      <c r="Y255"/>
      <c r="Z255"/>
      <c r="AA255"/>
      <c r="AB255"/>
    </row>
    <row r="256" spans="1:28" x14ac:dyDescent="0.35">
      <c r="A256" t="s">
        <v>34</v>
      </c>
      <c r="D256" t="s">
        <v>42</v>
      </c>
      <c r="E256">
        <v>2016</v>
      </c>
      <c r="F256">
        <v>4</v>
      </c>
      <c r="G256">
        <v>7</v>
      </c>
      <c r="H256">
        <v>8</v>
      </c>
      <c r="I256">
        <v>63</v>
      </c>
      <c r="L256" t="s">
        <v>742</v>
      </c>
      <c r="M256">
        <v>19</v>
      </c>
      <c r="N256">
        <v>18</v>
      </c>
      <c r="O256">
        <v>20</v>
      </c>
      <c r="P256">
        <f t="shared" si="6"/>
        <v>19</v>
      </c>
      <c r="Q256">
        <v>240</v>
      </c>
      <c r="R256">
        <v>270</v>
      </c>
      <c r="S256">
        <v>225</v>
      </c>
      <c r="T256">
        <f t="shared" si="7"/>
        <v>245</v>
      </c>
      <c r="U256"/>
      <c r="V256"/>
      <c r="W256"/>
      <c r="X256"/>
      <c r="Y256"/>
      <c r="Z256"/>
      <c r="AA256"/>
      <c r="AB256"/>
    </row>
    <row r="257" spans="1:28" x14ac:dyDescent="0.35">
      <c r="A257" t="s">
        <v>34</v>
      </c>
      <c r="D257" t="s">
        <v>43</v>
      </c>
      <c r="E257">
        <v>2020</v>
      </c>
      <c r="F257">
        <v>4</v>
      </c>
      <c r="G257">
        <v>8</v>
      </c>
      <c r="H257">
        <v>8</v>
      </c>
      <c r="I257">
        <v>64</v>
      </c>
      <c r="L257" t="s">
        <v>742</v>
      </c>
      <c r="M257">
        <v>20</v>
      </c>
      <c r="N257">
        <v>19</v>
      </c>
      <c r="O257">
        <v>17</v>
      </c>
      <c r="P257">
        <f t="shared" si="6"/>
        <v>18.666666666666668</v>
      </c>
      <c r="Q257">
        <v>260</v>
      </c>
      <c r="R257">
        <v>230</v>
      </c>
      <c r="S257">
        <v>195</v>
      </c>
      <c r="T257">
        <f t="shared" si="7"/>
        <v>228.33333333333334</v>
      </c>
      <c r="U257"/>
      <c r="V257"/>
      <c r="W257"/>
      <c r="X257"/>
      <c r="Y257"/>
      <c r="Z257"/>
      <c r="AA257"/>
      <c r="AB257"/>
    </row>
    <row r="258" spans="1:28" x14ac:dyDescent="0.35">
      <c r="U258"/>
      <c r="V258"/>
      <c r="W258"/>
      <c r="X258"/>
      <c r="Y258"/>
      <c r="Z258"/>
      <c r="AA258"/>
      <c r="AB258"/>
    </row>
    <row r="259" spans="1:28" x14ac:dyDescent="0.35">
      <c r="U259"/>
      <c r="V259"/>
      <c r="W259"/>
      <c r="X259"/>
      <c r="Y259"/>
      <c r="Z259"/>
      <c r="AA259"/>
      <c r="AB259"/>
    </row>
    <row r="260" spans="1:28" x14ac:dyDescent="0.35">
      <c r="U260"/>
      <c r="V260"/>
      <c r="W260"/>
      <c r="X260"/>
      <c r="Y260"/>
      <c r="Z260"/>
      <c r="AA260"/>
      <c r="AB260"/>
    </row>
    <row r="261" spans="1:28" x14ac:dyDescent="0.35">
      <c r="U261"/>
      <c r="V261"/>
      <c r="W261"/>
      <c r="X261"/>
      <c r="Y261"/>
      <c r="Z261"/>
      <c r="AA261"/>
      <c r="AB261"/>
    </row>
    <row r="262" spans="1:28" x14ac:dyDescent="0.35">
      <c r="U262"/>
      <c r="V262"/>
      <c r="W262"/>
      <c r="X262"/>
      <c r="Y262"/>
      <c r="Z262"/>
      <c r="AA262"/>
      <c r="AB262"/>
    </row>
    <row r="263" spans="1:28" x14ac:dyDescent="0.35">
      <c r="U263"/>
      <c r="V263"/>
      <c r="W263"/>
      <c r="X263"/>
      <c r="Y263"/>
      <c r="Z263"/>
      <c r="AA263"/>
      <c r="AB263"/>
    </row>
    <row r="264" spans="1:28" x14ac:dyDescent="0.35">
      <c r="U264"/>
      <c r="V264"/>
      <c r="W264"/>
      <c r="X264"/>
      <c r="Y264"/>
      <c r="Z264"/>
      <c r="AA264"/>
      <c r="AB264"/>
    </row>
    <row r="265" spans="1:28" x14ac:dyDescent="0.35">
      <c r="U265"/>
      <c r="V265"/>
      <c r="W265"/>
      <c r="X265"/>
      <c r="Y265"/>
      <c r="Z265"/>
      <c r="AA265"/>
      <c r="AB265"/>
    </row>
    <row r="266" spans="1:28" x14ac:dyDescent="0.35">
      <c r="U266"/>
      <c r="V266"/>
      <c r="W266"/>
      <c r="X266"/>
      <c r="Y266"/>
      <c r="Z266"/>
      <c r="AA266"/>
      <c r="AB266"/>
    </row>
    <row r="267" spans="1:28" x14ac:dyDescent="0.35">
      <c r="U267"/>
      <c r="V267"/>
      <c r="W267"/>
      <c r="X267"/>
      <c r="Y267"/>
      <c r="Z267"/>
      <c r="AA267"/>
      <c r="AB267"/>
    </row>
    <row r="268" spans="1:28" x14ac:dyDescent="0.35">
      <c r="U268"/>
      <c r="V268"/>
      <c r="W268"/>
      <c r="X268"/>
      <c r="Y268"/>
      <c r="Z268"/>
      <c r="AA268"/>
      <c r="AB268"/>
    </row>
    <row r="269" spans="1:28" x14ac:dyDescent="0.35">
      <c r="U269"/>
      <c r="V269"/>
      <c r="W269"/>
      <c r="X269"/>
      <c r="Y269"/>
      <c r="Z269"/>
      <c r="AA269"/>
      <c r="AB269"/>
    </row>
  </sheetData>
  <pageMargins left="0.7" right="0.7" top="0.75" bottom="0.75" header="0.3" footer="0.3"/>
  <pageSetup paperSize="9" orientation="portrait" horizontalDpi="360" verticalDpi="36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AE4EE-8C49-490B-AD55-66952341A45B}">
  <sheetPr>
    <tabColor theme="9" tint="0.59999389629810485"/>
  </sheetPr>
  <dimension ref="A1:O577"/>
  <sheetViews>
    <sheetView topLeftCell="B1" workbookViewId="0">
      <pane ySplit="1" topLeftCell="A2" activePane="bottomLeft" state="frozen"/>
      <selection pane="bottomLeft" activeCell="Q18" sqref="Q18"/>
    </sheetView>
  </sheetViews>
  <sheetFormatPr defaultRowHeight="14.5" x14ac:dyDescent="0.35"/>
  <cols>
    <col min="1" max="8" width="9.1796875" style="6"/>
    <col min="9" max="9" width="8.81640625" style="6"/>
    <col min="10" max="11" width="13.54296875" customWidth="1"/>
    <col min="12" max="12" width="11" customWidth="1"/>
    <col min="13" max="13" width="12.1796875" customWidth="1"/>
    <col min="16" max="16" width="12.453125" bestFit="1" customWidth="1"/>
    <col min="17" max="17" width="15.54296875" bestFit="1" customWidth="1"/>
    <col min="18" max="18" width="13" bestFit="1" customWidth="1"/>
    <col min="19" max="20" width="9.54296875" bestFit="1" customWidth="1"/>
    <col min="21" max="22" width="10.54296875" bestFit="1" customWidth="1"/>
  </cols>
  <sheetData>
    <row r="1" spans="1:15" ht="76.5" customHeight="1" x14ac:dyDescent="0.35">
      <c r="A1" s="70" t="s">
        <v>44</v>
      </c>
      <c r="B1" s="70" t="s">
        <v>45</v>
      </c>
      <c r="C1" s="70" t="s">
        <v>46</v>
      </c>
      <c r="D1" s="70" t="s">
        <v>47</v>
      </c>
      <c r="E1" s="70" t="s">
        <v>48</v>
      </c>
      <c r="F1" s="70" t="s">
        <v>49</v>
      </c>
      <c r="G1" s="70" t="s">
        <v>50</v>
      </c>
      <c r="H1" s="70" t="s">
        <v>51</v>
      </c>
      <c r="I1" s="70" t="s">
        <v>54</v>
      </c>
      <c r="J1" s="70" t="s">
        <v>178</v>
      </c>
      <c r="K1" s="4" t="s">
        <v>179</v>
      </c>
      <c r="L1" s="10" t="s">
        <v>180</v>
      </c>
      <c r="M1" s="10" t="s">
        <v>181</v>
      </c>
      <c r="N1" s="10" t="s">
        <v>182</v>
      </c>
      <c r="O1" s="4"/>
    </row>
    <row r="2" spans="1:15" x14ac:dyDescent="0.35">
      <c r="A2" s="125" t="s">
        <v>24</v>
      </c>
      <c r="B2" s="79"/>
      <c r="C2" s="79"/>
      <c r="D2" s="126" t="s">
        <v>27</v>
      </c>
      <c r="E2">
        <v>1985</v>
      </c>
      <c r="F2" s="125">
        <v>1</v>
      </c>
      <c r="G2" s="128">
        <v>1</v>
      </c>
      <c r="H2" s="128">
        <v>1</v>
      </c>
      <c r="I2" s="125">
        <v>1</v>
      </c>
      <c r="J2" s="125">
        <v>1</v>
      </c>
      <c r="K2" s="13">
        <v>45532</v>
      </c>
      <c r="L2" s="125">
        <v>78</v>
      </c>
      <c r="M2" s="129">
        <v>0</v>
      </c>
      <c r="N2">
        <f>M2/L2</f>
        <v>0</v>
      </c>
    </row>
    <row r="3" spans="1:15" x14ac:dyDescent="0.35">
      <c r="A3" s="125" t="s">
        <v>24</v>
      </c>
      <c r="B3" s="79"/>
      <c r="C3" s="79"/>
      <c r="D3" s="126" t="s">
        <v>26</v>
      </c>
      <c r="E3">
        <v>1983</v>
      </c>
      <c r="F3" s="125">
        <v>1</v>
      </c>
      <c r="G3" s="128">
        <v>2</v>
      </c>
      <c r="H3" s="128">
        <v>1</v>
      </c>
      <c r="I3" s="125">
        <v>2</v>
      </c>
      <c r="J3" s="125">
        <v>1</v>
      </c>
      <c r="K3" s="13">
        <v>45532</v>
      </c>
      <c r="L3" s="125">
        <v>67</v>
      </c>
      <c r="M3" s="129">
        <v>0</v>
      </c>
      <c r="N3">
        <f t="shared" ref="N3:N65" si="0">M3/L3</f>
        <v>0</v>
      </c>
    </row>
    <row r="4" spans="1:15" x14ac:dyDescent="0.35">
      <c r="A4" s="125" t="s">
        <v>24</v>
      </c>
      <c r="B4" s="79"/>
      <c r="C4" s="79"/>
      <c r="D4" s="126" t="s">
        <v>335</v>
      </c>
      <c r="E4">
        <v>2023</v>
      </c>
      <c r="F4" s="125">
        <v>1</v>
      </c>
      <c r="G4" s="128">
        <v>3</v>
      </c>
      <c r="H4" s="128">
        <v>1</v>
      </c>
      <c r="I4" s="125">
        <v>3</v>
      </c>
      <c r="J4" s="125">
        <v>1</v>
      </c>
      <c r="K4" s="13">
        <v>45532</v>
      </c>
      <c r="L4" s="125">
        <v>60</v>
      </c>
      <c r="M4" s="129">
        <v>0</v>
      </c>
      <c r="N4">
        <f t="shared" si="0"/>
        <v>0</v>
      </c>
    </row>
    <row r="5" spans="1:15" x14ac:dyDescent="0.35">
      <c r="A5" s="125" t="s">
        <v>24</v>
      </c>
      <c r="B5" s="79"/>
      <c r="C5" s="79"/>
      <c r="D5" s="126" t="s">
        <v>29</v>
      </c>
      <c r="E5">
        <v>1999</v>
      </c>
      <c r="F5" s="125">
        <v>1</v>
      </c>
      <c r="G5" s="128">
        <v>4</v>
      </c>
      <c r="H5" s="128">
        <v>1</v>
      </c>
      <c r="I5" s="125">
        <v>4</v>
      </c>
      <c r="J5" s="125">
        <v>1</v>
      </c>
      <c r="K5" s="13">
        <v>45532</v>
      </c>
      <c r="L5" s="125">
        <v>108</v>
      </c>
      <c r="M5" s="129">
        <v>0</v>
      </c>
      <c r="N5">
        <f t="shared" si="0"/>
        <v>0</v>
      </c>
    </row>
    <row r="6" spans="1:15" x14ac:dyDescent="0.35">
      <c r="A6" s="125" t="s">
        <v>24</v>
      </c>
      <c r="B6" s="79"/>
      <c r="C6" s="79"/>
      <c r="D6" s="126" t="s">
        <v>336</v>
      </c>
      <c r="E6">
        <v>2002</v>
      </c>
      <c r="F6" s="125">
        <v>1</v>
      </c>
      <c r="G6" s="128">
        <v>5</v>
      </c>
      <c r="H6" s="128">
        <v>1</v>
      </c>
      <c r="I6" s="125">
        <v>5</v>
      </c>
      <c r="J6" s="125">
        <v>1</v>
      </c>
      <c r="K6" s="13">
        <v>45532</v>
      </c>
      <c r="L6" s="125">
        <v>78</v>
      </c>
      <c r="M6" s="129">
        <v>0</v>
      </c>
      <c r="N6">
        <f t="shared" si="0"/>
        <v>0</v>
      </c>
    </row>
    <row r="7" spans="1:15" x14ac:dyDescent="0.35">
      <c r="A7" s="125" t="s">
        <v>24</v>
      </c>
      <c r="B7" s="79"/>
      <c r="C7" s="79"/>
      <c r="D7" s="126" t="s">
        <v>32</v>
      </c>
      <c r="E7">
        <v>2018</v>
      </c>
      <c r="F7" s="125">
        <v>1</v>
      </c>
      <c r="G7" s="128">
        <v>6</v>
      </c>
      <c r="H7" s="128">
        <v>1</v>
      </c>
      <c r="I7" s="125">
        <v>6</v>
      </c>
      <c r="J7" s="125">
        <v>1</v>
      </c>
      <c r="K7" s="13">
        <v>45532</v>
      </c>
      <c r="L7" s="125">
        <v>74</v>
      </c>
      <c r="M7" s="129">
        <v>0</v>
      </c>
      <c r="N7">
        <f t="shared" si="0"/>
        <v>0</v>
      </c>
    </row>
    <row r="8" spans="1:15" x14ac:dyDescent="0.35">
      <c r="A8" s="125" t="s">
        <v>24</v>
      </c>
      <c r="B8" s="79"/>
      <c r="C8" s="79"/>
      <c r="D8" s="126" t="s">
        <v>28</v>
      </c>
      <c r="E8">
        <v>1998</v>
      </c>
      <c r="F8" s="125">
        <v>1</v>
      </c>
      <c r="G8" s="128">
        <v>7</v>
      </c>
      <c r="H8" s="128">
        <v>1</v>
      </c>
      <c r="I8" s="125">
        <v>7</v>
      </c>
      <c r="J8" s="125">
        <v>1</v>
      </c>
      <c r="K8" s="13">
        <v>45532</v>
      </c>
      <c r="L8" s="125">
        <v>90</v>
      </c>
      <c r="M8" s="129">
        <v>0</v>
      </c>
      <c r="N8">
        <f t="shared" si="0"/>
        <v>0</v>
      </c>
    </row>
    <row r="9" spans="1:15" x14ac:dyDescent="0.35">
      <c r="A9" s="125" t="s">
        <v>24</v>
      </c>
      <c r="B9" s="79"/>
      <c r="C9" s="79"/>
      <c r="D9" s="126" t="s">
        <v>337</v>
      </c>
      <c r="E9">
        <v>2016</v>
      </c>
      <c r="F9" s="125">
        <v>1</v>
      </c>
      <c r="G9" s="128">
        <v>8</v>
      </c>
      <c r="H9" s="128">
        <v>1</v>
      </c>
      <c r="I9" s="125">
        <v>8</v>
      </c>
      <c r="J9" s="125">
        <v>1</v>
      </c>
      <c r="K9" s="13">
        <v>45532</v>
      </c>
      <c r="L9" s="125">
        <v>50</v>
      </c>
      <c r="M9" s="129">
        <v>0</v>
      </c>
      <c r="N9">
        <f t="shared" si="0"/>
        <v>0</v>
      </c>
    </row>
    <row r="10" spans="1:15" x14ac:dyDescent="0.35">
      <c r="A10" s="125" t="s">
        <v>34</v>
      </c>
      <c r="D10" s="127" t="s">
        <v>42</v>
      </c>
      <c r="E10">
        <v>2016</v>
      </c>
      <c r="F10" s="125">
        <v>1</v>
      </c>
      <c r="G10" s="128">
        <v>1</v>
      </c>
      <c r="H10" s="128">
        <v>2</v>
      </c>
      <c r="I10" s="125">
        <v>9</v>
      </c>
      <c r="J10" s="125">
        <v>1</v>
      </c>
      <c r="K10" s="13">
        <v>45532</v>
      </c>
      <c r="L10" s="125">
        <v>43</v>
      </c>
      <c r="M10" s="129">
        <v>0</v>
      </c>
      <c r="N10">
        <f t="shared" si="0"/>
        <v>0</v>
      </c>
    </row>
    <row r="11" spans="1:15" x14ac:dyDescent="0.35">
      <c r="A11" s="125" t="s">
        <v>34</v>
      </c>
      <c r="D11" s="127" t="s">
        <v>38</v>
      </c>
      <c r="E11">
        <v>1999</v>
      </c>
      <c r="F11" s="125">
        <v>1</v>
      </c>
      <c r="G11" s="128">
        <v>2</v>
      </c>
      <c r="H11" s="128">
        <v>2</v>
      </c>
      <c r="I11" s="125">
        <v>10</v>
      </c>
      <c r="J11" s="125">
        <v>1</v>
      </c>
      <c r="K11" s="13">
        <v>45532</v>
      </c>
      <c r="L11" s="125">
        <v>59</v>
      </c>
      <c r="M11" s="129">
        <v>0</v>
      </c>
      <c r="N11">
        <f t="shared" si="0"/>
        <v>0</v>
      </c>
    </row>
    <row r="12" spans="1:15" x14ac:dyDescent="0.35">
      <c r="A12" s="125" t="s">
        <v>34</v>
      </c>
      <c r="D12" s="127" t="s">
        <v>43</v>
      </c>
      <c r="E12">
        <v>2020</v>
      </c>
      <c r="F12" s="125">
        <v>1</v>
      </c>
      <c r="G12" s="128">
        <v>3</v>
      </c>
      <c r="H12" s="128">
        <v>2</v>
      </c>
      <c r="I12" s="125">
        <v>11</v>
      </c>
      <c r="J12" s="125">
        <v>1</v>
      </c>
      <c r="K12" s="13">
        <v>45532</v>
      </c>
      <c r="L12" s="125">
        <v>42</v>
      </c>
      <c r="M12" s="129">
        <v>0</v>
      </c>
      <c r="N12">
        <f t="shared" si="0"/>
        <v>0</v>
      </c>
    </row>
    <row r="13" spans="1:15" x14ac:dyDescent="0.35">
      <c r="A13" s="125" t="s">
        <v>34</v>
      </c>
      <c r="D13" s="127" t="s">
        <v>41</v>
      </c>
      <c r="E13">
        <v>2008</v>
      </c>
      <c r="F13" s="125">
        <v>1</v>
      </c>
      <c r="G13" s="128">
        <v>4</v>
      </c>
      <c r="H13" s="128">
        <v>2</v>
      </c>
      <c r="I13" s="125">
        <v>12</v>
      </c>
      <c r="J13" s="125">
        <v>1</v>
      </c>
      <c r="K13" s="13">
        <v>45532</v>
      </c>
      <c r="L13" s="125">
        <v>39</v>
      </c>
      <c r="M13" s="129">
        <v>0</v>
      </c>
      <c r="N13">
        <f t="shared" si="0"/>
        <v>0</v>
      </c>
    </row>
    <row r="14" spans="1:15" x14ac:dyDescent="0.35">
      <c r="A14" s="125" t="s">
        <v>34</v>
      </c>
      <c r="D14" s="127" t="s">
        <v>37</v>
      </c>
      <c r="E14">
        <v>1989</v>
      </c>
      <c r="F14" s="125">
        <v>1</v>
      </c>
      <c r="G14" s="128">
        <v>5</v>
      </c>
      <c r="H14" s="128">
        <v>2</v>
      </c>
      <c r="I14" s="125">
        <v>13</v>
      </c>
      <c r="J14" s="125">
        <v>1</v>
      </c>
      <c r="K14" s="13">
        <v>45532</v>
      </c>
      <c r="L14" s="125">
        <v>48</v>
      </c>
      <c r="M14" s="129">
        <v>0</v>
      </c>
      <c r="N14">
        <f t="shared" si="0"/>
        <v>0</v>
      </c>
    </row>
    <row r="15" spans="1:15" x14ac:dyDescent="0.35">
      <c r="A15" s="125" t="s">
        <v>34</v>
      </c>
      <c r="D15" s="127" t="s">
        <v>343</v>
      </c>
      <c r="E15">
        <v>2004</v>
      </c>
      <c r="F15" s="125">
        <v>1</v>
      </c>
      <c r="G15" s="128">
        <v>6</v>
      </c>
      <c r="H15" s="128">
        <v>2</v>
      </c>
      <c r="I15" s="125">
        <v>14</v>
      </c>
      <c r="J15" s="125">
        <v>1</v>
      </c>
      <c r="K15" s="13">
        <v>45532</v>
      </c>
      <c r="L15" s="125">
        <v>44</v>
      </c>
      <c r="M15" s="129">
        <v>0</v>
      </c>
      <c r="N15">
        <f t="shared" si="0"/>
        <v>0</v>
      </c>
    </row>
    <row r="16" spans="1:15" x14ac:dyDescent="0.35">
      <c r="A16" s="125" t="s">
        <v>34</v>
      </c>
      <c r="D16" s="127" t="s">
        <v>36</v>
      </c>
      <c r="E16">
        <v>1984</v>
      </c>
      <c r="F16" s="125">
        <v>1</v>
      </c>
      <c r="G16" s="128">
        <v>7</v>
      </c>
      <c r="H16" s="128">
        <v>2</v>
      </c>
      <c r="I16" s="125">
        <v>15</v>
      </c>
      <c r="J16" s="125">
        <v>1</v>
      </c>
      <c r="K16" s="13">
        <v>45532</v>
      </c>
      <c r="L16" s="125">
        <v>44</v>
      </c>
      <c r="M16" s="129">
        <v>0</v>
      </c>
      <c r="N16">
        <f t="shared" si="0"/>
        <v>0</v>
      </c>
    </row>
    <row r="17" spans="1:14" x14ac:dyDescent="0.35">
      <c r="A17" s="125" t="s">
        <v>34</v>
      </c>
      <c r="D17" s="127" t="s">
        <v>39</v>
      </c>
      <c r="E17">
        <v>2001</v>
      </c>
      <c r="F17" s="125">
        <v>1</v>
      </c>
      <c r="G17" s="128">
        <v>8</v>
      </c>
      <c r="H17" s="128">
        <v>2</v>
      </c>
      <c r="I17" s="125">
        <v>16</v>
      </c>
      <c r="J17" s="125">
        <v>1</v>
      </c>
      <c r="K17" s="13">
        <v>45532</v>
      </c>
      <c r="L17" s="125">
        <v>56</v>
      </c>
      <c r="M17" s="129">
        <v>0</v>
      </c>
      <c r="N17">
        <f t="shared" si="0"/>
        <v>0</v>
      </c>
    </row>
    <row r="18" spans="1:14" x14ac:dyDescent="0.35">
      <c r="A18" s="125" t="s">
        <v>24</v>
      </c>
      <c r="B18" s="79"/>
      <c r="C18" s="79"/>
      <c r="D18" s="126" t="s">
        <v>335</v>
      </c>
      <c r="E18">
        <v>2023</v>
      </c>
      <c r="F18" s="125">
        <v>2</v>
      </c>
      <c r="G18" s="128">
        <v>1</v>
      </c>
      <c r="H18" s="128">
        <v>3</v>
      </c>
      <c r="I18" s="125">
        <v>17</v>
      </c>
      <c r="J18" s="125">
        <v>1</v>
      </c>
      <c r="K18" s="13">
        <v>45532</v>
      </c>
      <c r="L18" s="125">
        <v>55</v>
      </c>
      <c r="M18" s="129">
        <v>0</v>
      </c>
      <c r="N18">
        <f t="shared" si="0"/>
        <v>0</v>
      </c>
    </row>
    <row r="19" spans="1:14" x14ac:dyDescent="0.35">
      <c r="A19" s="125" t="s">
        <v>24</v>
      </c>
      <c r="B19" s="79"/>
      <c r="C19" s="79"/>
      <c r="D19" s="126" t="s">
        <v>28</v>
      </c>
      <c r="E19">
        <v>1998</v>
      </c>
      <c r="F19" s="125">
        <v>2</v>
      </c>
      <c r="G19" s="128">
        <v>2</v>
      </c>
      <c r="H19" s="128">
        <v>3</v>
      </c>
      <c r="I19" s="125">
        <v>18</v>
      </c>
      <c r="J19" s="125">
        <v>1</v>
      </c>
      <c r="K19" s="13">
        <v>45532</v>
      </c>
      <c r="L19" s="125">
        <v>67</v>
      </c>
      <c r="M19" s="129">
        <v>0</v>
      </c>
      <c r="N19">
        <f t="shared" si="0"/>
        <v>0</v>
      </c>
    </row>
    <row r="20" spans="1:14" x14ac:dyDescent="0.35">
      <c r="A20" s="125" t="s">
        <v>24</v>
      </c>
      <c r="B20" s="79"/>
      <c r="C20" s="79"/>
      <c r="D20" s="126" t="s">
        <v>26</v>
      </c>
      <c r="E20">
        <v>1983</v>
      </c>
      <c r="F20" s="125">
        <v>2</v>
      </c>
      <c r="G20" s="128">
        <v>3</v>
      </c>
      <c r="H20" s="128">
        <v>3</v>
      </c>
      <c r="I20" s="125">
        <v>19</v>
      </c>
      <c r="J20" s="125">
        <v>1</v>
      </c>
      <c r="K20" s="13">
        <v>45532</v>
      </c>
      <c r="L20" s="125">
        <v>67</v>
      </c>
      <c r="M20" s="129">
        <v>0</v>
      </c>
      <c r="N20">
        <f t="shared" si="0"/>
        <v>0</v>
      </c>
    </row>
    <row r="21" spans="1:14" x14ac:dyDescent="0.35">
      <c r="A21" s="125" t="s">
        <v>24</v>
      </c>
      <c r="B21" s="79"/>
      <c r="C21" s="79"/>
      <c r="D21" s="126" t="s">
        <v>336</v>
      </c>
      <c r="E21">
        <v>2002</v>
      </c>
      <c r="F21" s="125">
        <v>2</v>
      </c>
      <c r="G21" s="128">
        <v>4</v>
      </c>
      <c r="H21" s="128">
        <v>3</v>
      </c>
      <c r="I21" s="125">
        <v>20</v>
      </c>
      <c r="J21" s="125">
        <v>1</v>
      </c>
      <c r="K21" s="13">
        <v>45532</v>
      </c>
      <c r="L21" s="125">
        <v>53</v>
      </c>
      <c r="M21" s="129">
        <v>0</v>
      </c>
      <c r="N21">
        <f t="shared" si="0"/>
        <v>0</v>
      </c>
    </row>
    <row r="22" spans="1:14" x14ac:dyDescent="0.35">
      <c r="A22" s="125" t="s">
        <v>24</v>
      </c>
      <c r="B22" s="79"/>
      <c r="C22" s="79"/>
      <c r="D22" s="126" t="s">
        <v>29</v>
      </c>
      <c r="E22">
        <v>1999</v>
      </c>
      <c r="F22" s="125">
        <v>2</v>
      </c>
      <c r="G22" s="128">
        <v>5</v>
      </c>
      <c r="H22" s="128">
        <v>3</v>
      </c>
      <c r="I22" s="125">
        <v>21</v>
      </c>
      <c r="J22" s="125">
        <v>1</v>
      </c>
      <c r="K22" s="13">
        <v>45532</v>
      </c>
      <c r="L22" s="125">
        <v>63</v>
      </c>
      <c r="M22" s="129">
        <v>0</v>
      </c>
      <c r="N22">
        <f t="shared" si="0"/>
        <v>0</v>
      </c>
    </row>
    <row r="23" spans="1:14" x14ac:dyDescent="0.35">
      <c r="A23" s="125" t="s">
        <v>24</v>
      </c>
      <c r="B23" s="79"/>
      <c r="C23" s="79"/>
      <c r="D23" s="126" t="s">
        <v>337</v>
      </c>
      <c r="E23">
        <v>2016</v>
      </c>
      <c r="F23" s="125">
        <v>2</v>
      </c>
      <c r="G23" s="128">
        <v>6</v>
      </c>
      <c r="H23" s="128">
        <v>3</v>
      </c>
      <c r="I23" s="125">
        <v>22</v>
      </c>
      <c r="J23" s="125">
        <v>1</v>
      </c>
      <c r="K23" s="13">
        <v>45532</v>
      </c>
      <c r="L23" s="125">
        <v>63</v>
      </c>
      <c r="M23" s="129">
        <v>0</v>
      </c>
      <c r="N23">
        <f t="shared" si="0"/>
        <v>0</v>
      </c>
    </row>
    <row r="24" spans="1:14" x14ac:dyDescent="0.35">
      <c r="A24" s="125" t="s">
        <v>24</v>
      </c>
      <c r="B24" s="79"/>
      <c r="C24" s="79"/>
      <c r="D24" s="126" t="s">
        <v>32</v>
      </c>
      <c r="E24">
        <v>2018</v>
      </c>
      <c r="F24" s="125">
        <v>2</v>
      </c>
      <c r="G24" s="128">
        <v>7</v>
      </c>
      <c r="H24" s="128">
        <v>3</v>
      </c>
      <c r="I24" s="125">
        <v>23</v>
      </c>
      <c r="J24" s="125">
        <v>1</v>
      </c>
      <c r="K24" s="13">
        <v>45532</v>
      </c>
      <c r="L24" s="125">
        <v>53</v>
      </c>
      <c r="M24" s="129">
        <v>0</v>
      </c>
      <c r="N24">
        <f t="shared" si="0"/>
        <v>0</v>
      </c>
    </row>
    <row r="25" spans="1:14" x14ac:dyDescent="0.35">
      <c r="A25" s="125" t="s">
        <v>24</v>
      </c>
      <c r="B25" s="79"/>
      <c r="C25" s="79"/>
      <c r="D25" s="126" t="s">
        <v>27</v>
      </c>
      <c r="E25">
        <v>1985</v>
      </c>
      <c r="F25" s="125">
        <v>2</v>
      </c>
      <c r="G25" s="128">
        <v>8</v>
      </c>
      <c r="H25" s="128">
        <v>3</v>
      </c>
      <c r="I25" s="125">
        <v>24</v>
      </c>
      <c r="J25" s="125">
        <v>1</v>
      </c>
      <c r="K25" s="13">
        <v>45532</v>
      </c>
      <c r="L25" s="125">
        <v>65</v>
      </c>
      <c r="M25" s="129">
        <v>0</v>
      </c>
      <c r="N25">
        <f t="shared" si="0"/>
        <v>0</v>
      </c>
    </row>
    <row r="26" spans="1:14" x14ac:dyDescent="0.35">
      <c r="A26" s="125" t="s">
        <v>34</v>
      </c>
      <c r="B26" s="71"/>
      <c r="C26" s="72"/>
      <c r="D26" s="127" t="s">
        <v>343</v>
      </c>
      <c r="E26">
        <v>2004</v>
      </c>
      <c r="F26" s="125">
        <v>2</v>
      </c>
      <c r="G26" s="128">
        <v>1</v>
      </c>
      <c r="H26" s="128">
        <v>4</v>
      </c>
      <c r="I26" s="125">
        <v>25</v>
      </c>
      <c r="J26" s="125">
        <v>1</v>
      </c>
      <c r="K26" s="13">
        <v>45532</v>
      </c>
      <c r="L26" s="125">
        <v>55</v>
      </c>
      <c r="M26" s="129">
        <v>0</v>
      </c>
      <c r="N26">
        <f t="shared" si="0"/>
        <v>0</v>
      </c>
    </row>
    <row r="27" spans="1:14" x14ac:dyDescent="0.35">
      <c r="A27" s="125" t="s">
        <v>34</v>
      </c>
      <c r="D27" s="127" t="s">
        <v>43</v>
      </c>
      <c r="E27">
        <v>2020</v>
      </c>
      <c r="F27" s="125">
        <v>2</v>
      </c>
      <c r="G27" s="128">
        <v>2</v>
      </c>
      <c r="H27" s="128">
        <v>4</v>
      </c>
      <c r="I27" s="125">
        <v>26</v>
      </c>
      <c r="J27" s="125">
        <v>1</v>
      </c>
      <c r="K27" s="13">
        <v>45532</v>
      </c>
      <c r="L27" s="125">
        <v>49</v>
      </c>
      <c r="M27" s="129">
        <v>0</v>
      </c>
      <c r="N27">
        <f t="shared" si="0"/>
        <v>0</v>
      </c>
    </row>
    <row r="28" spans="1:14" x14ac:dyDescent="0.35">
      <c r="A28" s="125" t="s">
        <v>34</v>
      </c>
      <c r="D28" s="127" t="s">
        <v>38</v>
      </c>
      <c r="E28">
        <v>1999</v>
      </c>
      <c r="F28" s="125">
        <v>2</v>
      </c>
      <c r="G28" s="128">
        <v>3</v>
      </c>
      <c r="H28" s="128">
        <v>4</v>
      </c>
      <c r="I28" s="125">
        <v>27</v>
      </c>
      <c r="J28" s="125">
        <v>1</v>
      </c>
      <c r="K28" s="13">
        <v>45532</v>
      </c>
      <c r="L28" s="125">
        <v>48</v>
      </c>
      <c r="M28" s="129">
        <v>0</v>
      </c>
      <c r="N28">
        <f t="shared" si="0"/>
        <v>0</v>
      </c>
    </row>
    <row r="29" spans="1:14" x14ac:dyDescent="0.35">
      <c r="A29" s="125" t="s">
        <v>34</v>
      </c>
      <c r="D29" s="127" t="s">
        <v>39</v>
      </c>
      <c r="E29">
        <v>2001</v>
      </c>
      <c r="F29" s="125">
        <v>2</v>
      </c>
      <c r="G29" s="128">
        <v>4</v>
      </c>
      <c r="H29" s="128">
        <v>4</v>
      </c>
      <c r="I29" s="125">
        <v>28</v>
      </c>
      <c r="J29" s="125">
        <v>1</v>
      </c>
      <c r="K29" s="13">
        <v>45532</v>
      </c>
      <c r="L29" s="125">
        <v>36</v>
      </c>
      <c r="M29" s="129">
        <v>0</v>
      </c>
      <c r="N29">
        <f t="shared" si="0"/>
        <v>0</v>
      </c>
    </row>
    <row r="30" spans="1:14" x14ac:dyDescent="0.35">
      <c r="A30" s="125" t="s">
        <v>34</v>
      </c>
      <c r="D30" s="127" t="s">
        <v>42</v>
      </c>
      <c r="E30">
        <v>2016</v>
      </c>
      <c r="F30" s="125">
        <v>2</v>
      </c>
      <c r="G30" s="128">
        <v>5</v>
      </c>
      <c r="H30" s="128">
        <v>4</v>
      </c>
      <c r="I30" s="125">
        <v>29</v>
      </c>
      <c r="J30" s="125">
        <v>1</v>
      </c>
      <c r="K30" s="13">
        <v>45532</v>
      </c>
      <c r="L30" s="125">
        <v>45</v>
      </c>
      <c r="M30" s="129">
        <v>0</v>
      </c>
      <c r="N30">
        <f t="shared" si="0"/>
        <v>0</v>
      </c>
    </row>
    <row r="31" spans="1:14" x14ac:dyDescent="0.35">
      <c r="A31" s="125" t="s">
        <v>34</v>
      </c>
      <c r="D31" s="127" t="s">
        <v>36</v>
      </c>
      <c r="E31">
        <v>1984</v>
      </c>
      <c r="F31" s="125">
        <v>2</v>
      </c>
      <c r="G31" s="128">
        <v>6</v>
      </c>
      <c r="H31" s="128">
        <v>4</v>
      </c>
      <c r="I31" s="125">
        <v>30</v>
      </c>
      <c r="J31" s="125">
        <v>1</v>
      </c>
      <c r="K31" s="13">
        <v>45532</v>
      </c>
      <c r="L31" s="125">
        <v>48</v>
      </c>
      <c r="M31" s="129">
        <v>0</v>
      </c>
      <c r="N31">
        <f t="shared" si="0"/>
        <v>0</v>
      </c>
    </row>
    <row r="32" spans="1:14" x14ac:dyDescent="0.35">
      <c r="A32" s="125" t="s">
        <v>34</v>
      </c>
      <c r="D32" s="127" t="s">
        <v>41</v>
      </c>
      <c r="E32">
        <v>2008</v>
      </c>
      <c r="F32" s="125">
        <v>2</v>
      </c>
      <c r="G32" s="128">
        <v>7</v>
      </c>
      <c r="H32" s="128">
        <v>4</v>
      </c>
      <c r="I32" s="125">
        <v>31</v>
      </c>
      <c r="J32" s="125">
        <v>1</v>
      </c>
      <c r="K32" s="13">
        <v>45532</v>
      </c>
      <c r="L32" s="125">
        <v>61</v>
      </c>
      <c r="M32" s="129">
        <v>0</v>
      </c>
      <c r="N32">
        <f t="shared" si="0"/>
        <v>0</v>
      </c>
    </row>
    <row r="33" spans="1:14" x14ac:dyDescent="0.35">
      <c r="A33" s="125" t="s">
        <v>34</v>
      </c>
      <c r="D33" s="127" t="s">
        <v>37</v>
      </c>
      <c r="E33">
        <v>1989</v>
      </c>
      <c r="F33" s="125">
        <v>2</v>
      </c>
      <c r="G33" s="128">
        <v>8</v>
      </c>
      <c r="H33" s="128">
        <v>4</v>
      </c>
      <c r="I33" s="125">
        <v>32</v>
      </c>
      <c r="J33" s="125">
        <v>1</v>
      </c>
      <c r="K33" s="13">
        <v>45532</v>
      </c>
      <c r="L33" s="125">
        <v>64</v>
      </c>
      <c r="M33" s="129">
        <v>0</v>
      </c>
      <c r="N33">
        <f t="shared" si="0"/>
        <v>0</v>
      </c>
    </row>
    <row r="34" spans="1:14" x14ac:dyDescent="0.35">
      <c r="A34" s="125" t="s">
        <v>24</v>
      </c>
      <c r="B34" s="79"/>
      <c r="C34" s="79"/>
      <c r="D34" s="126" t="s">
        <v>336</v>
      </c>
      <c r="E34">
        <v>2002</v>
      </c>
      <c r="F34" s="125">
        <v>3</v>
      </c>
      <c r="G34" s="128">
        <v>1</v>
      </c>
      <c r="H34" s="128">
        <v>5</v>
      </c>
      <c r="I34" s="125">
        <v>33</v>
      </c>
      <c r="J34" s="125">
        <v>1</v>
      </c>
      <c r="K34" s="13">
        <v>45532</v>
      </c>
      <c r="L34" s="125">
        <v>34</v>
      </c>
      <c r="M34" s="129">
        <v>0</v>
      </c>
      <c r="N34">
        <f t="shared" si="0"/>
        <v>0</v>
      </c>
    </row>
    <row r="35" spans="1:14" x14ac:dyDescent="0.35">
      <c r="A35" s="125" t="s">
        <v>24</v>
      </c>
      <c r="B35" s="79"/>
      <c r="C35" s="79"/>
      <c r="D35" s="126" t="s">
        <v>337</v>
      </c>
      <c r="E35">
        <v>2016</v>
      </c>
      <c r="F35" s="125">
        <v>3</v>
      </c>
      <c r="G35" s="128">
        <v>2</v>
      </c>
      <c r="H35" s="128">
        <v>5</v>
      </c>
      <c r="I35" s="125">
        <v>34</v>
      </c>
      <c r="J35" s="125">
        <v>1</v>
      </c>
      <c r="K35" s="13">
        <v>45532</v>
      </c>
      <c r="L35" s="125">
        <v>61</v>
      </c>
      <c r="M35" s="129">
        <v>0</v>
      </c>
      <c r="N35">
        <f t="shared" si="0"/>
        <v>0</v>
      </c>
    </row>
    <row r="36" spans="1:14" x14ac:dyDescent="0.35">
      <c r="A36" s="125" t="s">
        <v>24</v>
      </c>
      <c r="B36" s="79"/>
      <c r="C36" s="79"/>
      <c r="D36" s="126" t="s">
        <v>32</v>
      </c>
      <c r="E36">
        <v>2018</v>
      </c>
      <c r="F36" s="125">
        <v>3</v>
      </c>
      <c r="G36" s="128">
        <v>3</v>
      </c>
      <c r="H36" s="128">
        <v>5</v>
      </c>
      <c r="I36" s="125">
        <v>35</v>
      </c>
      <c r="J36" s="125">
        <v>1</v>
      </c>
      <c r="K36" s="13">
        <v>45532</v>
      </c>
      <c r="L36" s="125">
        <v>36</v>
      </c>
      <c r="M36" s="129">
        <v>0</v>
      </c>
      <c r="N36">
        <f t="shared" si="0"/>
        <v>0</v>
      </c>
    </row>
    <row r="37" spans="1:14" x14ac:dyDescent="0.35">
      <c r="A37" s="125" t="s">
        <v>24</v>
      </c>
      <c r="B37" s="79"/>
      <c r="C37" s="79"/>
      <c r="D37" s="126" t="s">
        <v>28</v>
      </c>
      <c r="E37">
        <v>1998</v>
      </c>
      <c r="F37" s="125">
        <v>3</v>
      </c>
      <c r="G37" s="128">
        <v>4</v>
      </c>
      <c r="H37" s="128">
        <v>5</v>
      </c>
      <c r="I37" s="125">
        <v>36</v>
      </c>
      <c r="J37" s="125">
        <v>1</v>
      </c>
      <c r="K37" s="13">
        <v>45532</v>
      </c>
      <c r="L37" s="125">
        <v>44</v>
      </c>
      <c r="M37" s="129">
        <v>0</v>
      </c>
      <c r="N37">
        <f t="shared" si="0"/>
        <v>0</v>
      </c>
    </row>
    <row r="38" spans="1:14" x14ac:dyDescent="0.35">
      <c r="A38" s="125" t="s">
        <v>24</v>
      </c>
      <c r="B38" s="79"/>
      <c r="C38" s="79"/>
      <c r="D38" s="126" t="s">
        <v>27</v>
      </c>
      <c r="E38">
        <v>1985</v>
      </c>
      <c r="F38" s="125">
        <v>3</v>
      </c>
      <c r="G38" s="128">
        <v>5</v>
      </c>
      <c r="H38" s="128">
        <v>5</v>
      </c>
      <c r="I38" s="125">
        <v>37</v>
      </c>
      <c r="J38" s="125">
        <v>1</v>
      </c>
      <c r="K38" s="13">
        <v>45532</v>
      </c>
      <c r="L38" s="125">
        <v>62</v>
      </c>
      <c r="M38" s="129">
        <v>0</v>
      </c>
      <c r="N38">
        <f t="shared" si="0"/>
        <v>0</v>
      </c>
    </row>
    <row r="39" spans="1:14" x14ac:dyDescent="0.35">
      <c r="A39" s="125" t="s">
        <v>24</v>
      </c>
      <c r="B39" s="79"/>
      <c r="C39" s="79"/>
      <c r="D39" s="126" t="s">
        <v>335</v>
      </c>
      <c r="E39">
        <v>2023</v>
      </c>
      <c r="F39" s="125">
        <v>3</v>
      </c>
      <c r="G39" s="128">
        <v>6</v>
      </c>
      <c r="H39" s="128">
        <v>5</v>
      </c>
      <c r="I39" s="125">
        <v>38</v>
      </c>
      <c r="J39" s="125">
        <v>1</v>
      </c>
      <c r="K39" s="13">
        <v>45532</v>
      </c>
      <c r="L39" s="125">
        <v>38</v>
      </c>
      <c r="M39" s="129">
        <v>0</v>
      </c>
      <c r="N39">
        <f t="shared" si="0"/>
        <v>0</v>
      </c>
    </row>
    <row r="40" spans="1:14" x14ac:dyDescent="0.35">
      <c r="A40" s="125" t="s">
        <v>24</v>
      </c>
      <c r="B40" s="79"/>
      <c r="C40" s="79"/>
      <c r="D40" s="126" t="s">
        <v>29</v>
      </c>
      <c r="E40">
        <v>1999</v>
      </c>
      <c r="F40" s="125">
        <v>3</v>
      </c>
      <c r="G40" s="128">
        <v>7</v>
      </c>
      <c r="H40" s="128">
        <v>5</v>
      </c>
      <c r="I40" s="125">
        <v>39</v>
      </c>
      <c r="J40" s="125">
        <v>1</v>
      </c>
      <c r="K40" s="13">
        <v>45532</v>
      </c>
      <c r="L40" s="125">
        <v>50</v>
      </c>
      <c r="M40" s="129">
        <v>0</v>
      </c>
      <c r="N40">
        <f t="shared" si="0"/>
        <v>0</v>
      </c>
    </row>
    <row r="41" spans="1:14" x14ac:dyDescent="0.35">
      <c r="A41" s="125" t="s">
        <v>24</v>
      </c>
      <c r="B41" s="79"/>
      <c r="C41" s="79"/>
      <c r="D41" s="126" t="s">
        <v>26</v>
      </c>
      <c r="E41">
        <v>1983</v>
      </c>
      <c r="F41" s="125">
        <v>3</v>
      </c>
      <c r="G41" s="128">
        <v>8</v>
      </c>
      <c r="H41" s="128">
        <v>5</v>
      </c>
      <c r="I41" s="125">
        <v>40</v>
      </c>
      <c r="J41" s="125">
        <v>1</v>
      </c>
      <c r="K41" s="13">
        <v>45532</v>
      </c>
      <c r="L41" s="125">
        <v>80</v>
      </c>
      <c r="M41" s="129">
        <v>0</v>
      </c>
      <c r="N41">
        <f t="shared" si="0"/>
        <v>0</v>
      </c>
    </row>
    <row r="42" spans="1:14" x14ac:dyDescent="0.35">
      <c r="A42" s="125" t="s">
        <v>34</v>
      </c>
      <c r="D42" s="127" t="s">
        <v>41</v>
      </c>
      <c r="E42">
        <v>2008</v>
      </c>
      <c r="F42" s="125">
        <v>3</v>
      </c>
      <c r="G42" s="128">
        <v>1</v>
      </c>
      <c r="H42" s="128">
        <v>6</v>
      </c>
      <c r="I42" s="125">
        <v>41</v>
      </c>
      <c r="J42" s="125">
        <v>1</v>
      </c>
      <c r="K42" s="13">
        <v>45532</v>
      </c>
      <c r="L42" s="125">
        <v>47</v>
      </c>
      <c r="M42" s="129">
        <v>0</v>
      </c>
      <c r="N42">
        <f t="shared" si="0"/>
        <v>0</v>
      </c>
    </row>
    <row r="43" spans="1:14" x14ac:dyDescent="0.35">
      <c r="A43" s="125" t="s">
        <v>34</v>
      </c>
      <c r="D43" s="127" t="s">
        <v>36</v>
      </c>
      <c r="E43">
        <v>1984</v>
      </c>
      <c r="F43" s="125">
        <v>3</v>
      </c>
      <c r="G43" s="128">
        <v>2</v>
      </c>
      <c r="H43" s="128">
        <v>6</v>
      </c>
      <c r="I43" s="125">
        <v>42</v>
      </c>
      <c r="J43" s="125">
        <v>1</v>
      </c>
      <c r="K43" s="13">
        <v>45532</v>
      </c>
      <c r="L43" s="125">
        <v>37</v>
      </c>
      <c r="M43" s="129">
        <v>0</v>
      </c>
      <c r="N43">
        <f t="shared" si="0"/>
        <v>0</v>
      </c>
    </row>
    <row r="44" spans="1:14" x14ac:dyDescent="0.35">
      <c r="A44" s="125" t="s">
        <v>34</v>
      </c>
      <c r="D44" s="127" t="s">
        <v>37</v>
      </c>
      <c r="E44">
        <v>1989</v>
      </c>
      <c r="F44" s="125">
        <v>3</v>
      </c>
      <c r="G44" s="128">
        <v>3</v>
      </c>
      <c r="H44" s="128">
        <v>6</v>
      </c>
      <c r="I44" s="125">
        <v>43</v>
      </c>
      <c r="J44" s="125">
        <v>1</v>
      </c>
      <c r="K44" s="13">
        <v>45532</v>
      </c>
      <c r="L44" s="125">
        <v>46</v>
      </c>
      <c r="M44" s="129">
        <v>0</v>
      </c>
      <c r="N44">
        <f t="shared" si="0"/>
        <v>0</v>
      </c>
    </row>
    <row r="45" spans="1:14" x14ac:dyDescent="0.35">
      <c r="A45" s="125" t="s">
        <v>34</v>
      </c>
      <c r="D45" s="127" t="s">
        <v>42</v>
      </c>
      <c r="E45">
        <v>2016</v>
      </c>
      <c r="F45" s="125">
        <v>3</v>
      </c>
      <c r="G45" s="128">
        <v>4</v>
      </c>
      <c r="H45" s="128">
        <v>6</v>
      </c>
      <c r="I45" s="125">
        <v>44</v>
      </c>
      <c r="J45" s="125">
        <v>1</v>
      </c>
      <c r="K45" s="13">
        <v>45532</v>
      </c>
      <c r="L45" s="125">
        <v>44</v>
      </c>
      <c r="M45" s="129">
        <v>0</v>
      </c>
      <c r="N45">
        <f t="shared" si="0"/>
        <v>0</v>
      </c>
    </row>
    <row r="46" spans="1:14" x14ac:dyDescent="0.35">
      <c r="A46" s="125" t="s">
        <v>34</v>
      </c>
      <c r="D46" s="127" t="s">
        <v>43</v>
      </c>
      <c r="E46">
        <v>2020</v>
      </c>
      <c r="F46" s="125">
        <v>3</v>
      </c>
      <c r="G46" s="128">
        <v>5</v>
      </c>
      <c r="H46" s="128">
        <v>6</v>
      </c>
      <c r="I46" s="125">
        <v>45</v>
      </c>
      <c r="J46" s="125">
        <v>1</v>
      </c>
      <c r="K46" s="13">
        <v>45532</v>
      </c>
      <c r="L46" s="125">
        <v>48</v>
      </c>
      <c r="M46" s="129">
        <v>0</v>
      </c>
      <c r="N46">
        <f t="shared" si="0"/>
        <v>0</v>
      </c>
    </row>
    <row r="47" spans="1:14" x14ac:dyDescent="0.35">
      <c r="A47" s="125" t="s">
        <v>34</v>
      </c>
      <c r="D47" s="127" t="s">
        <v>39</v>
      </c>
      <c r="E47">
        <v>2001</v>
      </c>
      <c r="F47" s="125">
        <v>3</v>
      </c>
      <c r="G47" s="128">
        <v>6</v>
      </c>
      <c r="H47" s="128">
        <v>6</v>
      </c>
      <c r="I47" s="125">
        <v>46</v>
      </c>
      <c r="J47" s="125">
        <v>1</v>
      </c>
      <c r="K47" s="13">
        <v>45532</v>
      </c>
      <c r="L47" s="125">
        <v>58</v>
      </c>
      <c r="M47" s="129">
        <v>0</v>
      </c>
      <c r="N47">
        <f t="shared" si="0"/>
        <v>0</v>
      </c>
    </row>
    <row r="48" spans="1:14" x14ac:dyDescent="0.35">
      <c r="A48" s="125" t="s">
        <v>34</v>
      </c>
      <c r="D48" s="127" t="s">
        <v>38</v>
      </c>
      <c r="E48">
        <v>1999</v>
      </c>
      <c r="F48" s="125">
        <v>3</v>
      </c>
      <c r="G48" s="128">
        <v>7</v>
      </c>
      <c r="H48" s="128">
        <v>6</v>
      </c>
      <c r="I48" s="125">
        <v>47</v>
      </c>
      <c r="J48" s="125">
        <v>1</v>
      </c>
      <c r="K48" s="13">
        <v>45532</v>
      </c>
      <c r="L48" s="125">
        <v>57</v>
      </c>
      <c r="M48" s="129">
        <v>0</v>
      </c>
      <c r="N48">
        <f t="shared" si="0"/>
        <v>0</v>
      </c>
    </row>
    <row r="49" spans="1:14" x14ac:dyDescent="0.35">
      <c r="A49" s="125" t="s">
        <v>34</v>
      </c>
      <c r="D49" s="127" t="s">
        <v>343</v>
      </c>
      <c r="E49">
        <v>2004</v>
      </c>
      <c r="F49" s="125">
        <v>3</v>
      </c>
      <c r="G49" s="128">
        <v>8</v>
      </c>
      <c r="H49" s="128">
        <v>6</v>
      </c>
      <c r="I49" s="125">
        <v>48</v>
      </c>
      <c r="J49" s="125">
        <v>1</v>
      </c>
      <c r="K49" s="13">
        <v>45532</v>
      </c>
      <c r="L49" s="125">
        <v>49</v>
      </c>
      <c r="M49" s="129">
        <v>0</v>
      </c>
      <c r="N49">
        <f t="shared" si="0"/>
        <v>0</v>
      </c>
    </row>
    <row r="50" spans="1:14" x14ac:dyDescent="0.35">
      <c r="A50" s="125" t="s">
        <v>24</v>
      </c>
      <c r="B50" s="79"/>
      <c r="C50" s="79"/>
      <c r="D50" s="126" t="s">
        <v>32</v>
      </c>
      <c r="E50">
        <v>2018</v>
      </c>
      <c r="F50" s="125">
        <v>4</v>
      </c>
      <c r="G50" s="128">
        <v>1</v>
      </c>
      <c r="H50" s="128">
        <v>7</v>
      </c>
      <c r="I50" s="125">
        <v>49</v>
      </c>
      <c r="J50" s="125">
        <v>1</v>
      </c>
      <c r="K50" s="13">
        <v>45532</v>
      </c>
      <c r="L50" s="125">
        <v>50</v>
      </c>
      <c r="M50" s="129">
        <v>0</v>
      </c>
      <c r="N50">
        <f t="shared" si="0"/>
        <v>0</v>
      </c>
    </row>
    <row r="51" spans="1:14" x14ac:dyDescent="0.35">
      <c r="A51" s="125" t="s">
        <v>24</v>
      </c>
      <c r="B51" s="79"/>
      <c r="C51" s="79"/>
      <c r="D51" s="126" t="s">
        <v>29</v>
      </c>
      <c r="E51">
        <v>1999</v>
      </c>
      <c r="F51" s="125">
        <v>4</v>
      </c>
      <c r="G51" s="128">
        <v>2</v>
      </c>
      <c r="H51" s="128">
        <v>7</v>
      </c>
      <c r="I51" s="125">
        <v>50</v>
      </c>
      <c r="J51" s="125">
        <v>1</v>
      </c>
      <c r="K51" s="13">
        <v>45532</v>
      </c>
      <c r="L51" s="125">
        <v>66</v>
      </c>
      <c r="M51" s="129">
        <v>0</v>
      </c>
      <c r="N51">
        <f t="shared" si="0"/>
        <v>0</v>
      </c>
    </row>
    <row r="52" spans="1:14" x14ac:dyDescent="0.35">
      <c r="A52" s="125" t="s">
        <v>24</v>
      </c>
      <c r="B52" s="79"/>
      <c r="C52" s="79"/>
      <c r="D52" s="126" t="s">
        <v>337</v>
      </c>
      <c r="E52">
        <v>2016</v>
      </c>
      <c r="F52" s="125">
        <v>4</v>
      </c>
      <c r="G52" s="128">
        <v>3</v>
      </c>
      <c r="H52" s="128">
        <v>7</v>
      </c>
      <c r="I52" s="125">
        <v>51</v>
      </c>
      <c r="J52" s="125">
        <v>1</v>
      </c>
      <c r="K52" s="13">
        <v>45532</v>
      </c>
      <c r="L52" s="125">
        <v>60</v>
      </c>
      <c r="M52" s="129">
        <v>0</v>
      </c>
      <c r="N52">
        <f t="shared" si="0"/>
        <v>0</v>
      </c>
    </row>
    <row r="53" spans="1:14" x14ac:dyDescent="0.35">
      <c r="A53" s="125" t="s">
        <v>24</v>
      </c>
      <c r="B53" s="79"/>
      <c r="C53" s="79"/>
      <c r="D53" s="126" t="s">
        <v>27</v>
      </c>
      <c r="E53">
        <v>1985</v>
      </c>
      <c r="F53" s="125">
        <v>4</v>
      </c>
      <c r="G53" s="128">
        <v>4</v>
      </c>
      <c r="H53" s="128">
        <v>7</v>
      </c>
      <c r="I53" s="125">
        <v>52</v>
      </c>
      <c r="J53" s="125">
        <v>1</v>
      </c>
      <c r="K53" s="13">
        <v>45532</v>
      </c>
      <c r="L53" s="125">
        <v>77</v>
      </c>
      <c r="M53" s="129">
        <v>0</v>
      </c>
      <c r="N53">
        <f t="shared" si="0"/>
        <v>0</v>
      </c>
    </row>
    <row r="54" spans="1:14" x14ac:dyDescent="0.35">
      <c r="A54" s="125" t="s">
        <v>24</v>
      </c>
      <c r="B54" s="79"/>
      <c r="C54" s="79"/>
      <c r="D54" s="126" t="s">
        <v>28</v>
      </c>
      <c r="E54">
        <v>1998</v>
      </c>
      <c r="F54" s="125">
        <v>4</v>
      </c>
      <c r="G54" s="128">
        <v>5</v>
      </c>
      <c r="H54" s="128">
        <v>7</v>
      </c>
      <c r="I54" s="125">
        <v>53</v>
      </c>
      <c r="J54" s="125">
        <v>1</v>
      </c>
      <c r="K54" s="13">
        <v>45532</v>
      </c>
      <c r="L54" s="125">
        <v>64</v>
      </c>
      <c r="M54" s="129">
        <v>0</v>
      </c>
      <c r="N54">
        <f t="shared" si="0"/>
        <v>0</v>
      </c>
    </row>
    <row r="55" spans="1:14" x14ac:dyDescent="0.35">
      <c r="A55" s="125" t="s">
        <v>24</v>
      </c>
      <c r="B55" s="79"/>
      <c r="C55" s="79"/>
      <c r="D55" s="126" t="s">
        <v>26</v>
      </c>
      <c r="E55">
        <v>1983</v>
      </c>
      <c r="F55" s="125">
        <v>4</v>
      </c>
      <c r="G55" s="128">
        <v>6</v>
      </c>
      <c r="H55" s="128">
        <v>7</v>
      </c>
      <c r="I55" s="125">
        <v>54</v>
      </c>
      <c r="J55" s="125">
        <v>1</v>
      </c>
      <c r="K55" s="13">
        <v>45532</v>
      </c>
      <c r="L55" s="125">
        <v>74</v>
      </c>
      <c r="M55" s="129">
        <v>0</v>
      </c>
      <c r="N55">
        <f t="shared" si="0"/>
        <v>0</v>
      </c>
    </row>
    <row r="56" spans="1:14" x14ac:dyDescent="0.35">
      <c r="A56" s="125" t="s">
        <v>24</v>
      </c>
      <c r="B56" s="79"/>
      <c r="C56" s="79"/>
      <c r="D56" s="126" t="s">
        <v>335</v>
      </c>
      <c r="E56">
        <v>2023</v>
      </c>
      <c r="F56" s="125">
        <v>4</v>
      </c>
      <c r="G56" s="128">
        <v>7</v>
      </c>
      <c r="H56" s="128">
        <v>7</v>
      </c>
      <c r="I56" s="125">
        <v>55</v>
      </c>
      <c r="J56" s="125">
        <v>1</v>
      </c>
      <c r="K56" s="13">
        <v>45532</v>
      </c>
      <c r="L56" s="125">
        <v>59</v>
      </c>
      <c r="M56" s="129">
        <v>0</v>
      </c>
      <c r="N56">
        <f t="shared" si="0"/>
        <v>0</v>
      </c>
    </row>
    <row r="57" spans="1:14" x14ac:dyDescent="0.35">
      <c r="A57" s="125" t="s">
        <v>24</v>
      </c>
      <c r="B57" s="79"/>
      <c r="C57" s="79"/>
      <c r="D57" s="126" t="s">
        <v>336</v>
      </c>
      <c r="E57">
        <v>2002</v>
      </c>
      <c r="F57" s="125">
        <v>4</v>
      </c>
      <c r="G57" s="128">
        <v>8</v>
      </c>
      <c r="H57" s="128">
        <v>7</v>
      </c>
      <c r="I57" s="125">
        <v>56</v>
      </c>
      <c r="J57" s="125">
        <v>1</v>
      </c>
      <c r="K57" s="13">
        <v>45532</v>
      </c>
      <c r="L57" s="125">
        <v>60</v>
      </c>
      <c r="M57" s="129">
        <v>0</v>
      </c>
      <c r="N57">
        <f t="shared" si="0"/>
        <v>0</v>
      </c>
    </row>
    <row r="58" spans="1:14" x14ac:dyDescent="0.35">
      <c r="A58" s="125" t="s">
        <v>34</v>
      </c>
      <c r="D58" s="127" t="s">
        <v>39</v>
      </c>
      <c r="E58">
        <v>2001</v>
      </c>
      <c r="F58" s="125">
        <v>4</v>
      </c>
      <c r="G58" s="128">
        <v>1</v>
      </c>
      <c r="H58" s="128">
        <v>8</v>
      </c>
      <c r="I58" s="125">
        <v>57</v>
      </c>
      <c r="J58" s="125">
        <v>1</v>
      </c>
      <c r="K58" s="13">
        <v>45532</v>
      </c>
      <c r="L58" s="125">
        <v>48</v>
      </c>
      <c r="M58" s="129">
        <v>0</v>
      </c>
      <c r="N58">
        <f t="shared" si="0"/>
        <v>0</v>
      </c>
    </row>
    <row r="59" spans="1:14" x14ac:dyDescent="0.35">
      <c r="A59" s="125" t="s">
        <v>34</v>
      </c>
      <c r="D59" s="127" t="s">
        <v>37</v>
      </c>
      <c r="E59">
        <v>1989</v>
      </c>
      <c r="F59" s="125">
        <v>4</v>
      </c>
      <c r="G59" s="128">
        <v>2</v>
      </c>
      <c r="H59" s="128">
        <v>8</v>
      </c>
      <c r="I59" s="125">
        <v>58</v>
      </c>
      <c r="J59" s="125">
        <v>1</v>
      </c>
      <c r="K59" s="13">
        <v>45532</v>
      </c>
      <c r="L59" s="125">
        <v>67</v>
      </c>
      <c r="M59" s="129">
        <v>0</v>
      </c>
      <c r="N59">
        <f t="shared" si="0"/>
        <v>0</v>
      </c>
    </row>
    <row r="60" spans="1:14" x14ac:dyDescent="0.35">
      <c r="A60" s="125" t="s">
        <v>34</v>
      </c>
      <c r="D60" s="127" t="s">
        <v>36</v>
      </c>
      <c r="E60">
        <v>1984</v>
      </c>
      <c r="F60" s="125">
        <v>4</v>
      </c>
      <c r="G60" s="128">
        <v>3</v>
      </c>
      <c r="H60" s="128">
        <v>8</v>
      </c>
      <c r="I60" s="125">
        <v>59</v>
      </c>
      <c r="J60" s="125">
        <v>1</v>
      </c>
      <c r="K60" s="13">
        <v>45532</v>
      </c>
      <c r="L60" s="125">
        <v>52</v>
      </c>
      <c r="M60" s="129">
        <v>0</v>
      </c>
      <c r="N60">
        <f t="shared" si="0"/>
        <v>0</v>
      </c>
    </row>
    <row r="61" spans="1:14" x14ac:dyDescent="0.35">
      <c r="A61" s="125" t="s">
        <v>34</v>
      </c>
      <c r="D61" s="127" t="s">
        <v>343</v>
      </c>
      <c r="E61">
        <v>2004</v>
      </c>
      <c r="F61" s="125">
        <v>4</v>
      </c>
      <c r="G61" s="128">
        <v>4</v>
      </c>
      <c r="H61" s="128">
        <v>8</v>
      </c>
      <c r="I61" s="125">
        <v>60</v>
      </c>
      <c r="J61" s="125">
        <v>1</v>
      </c>
      <c r="K61" s="13">
        <v>45532</v>
      </c>
      <c r="L61" s="125">
        <v>55</v>
      </c>
      <c r="M61" s="129">
        <v>0</v>
      </c>
      <c r="N61">
        <f t="shared" si="0"/>
        <v>0</v>
      </c>
    </row>
    <row r="62" spans="1:14" x14ac:dyDescent="0.35">
      <c r="A62" s="125" t="s">
        <v>34</v>
      </c>
      <c r="D62" s="127" t="s">
        <v>41</v>
      </c>
      <c r="E62">
        <v>2008</v>
      </c>
      <c r="F62" s="125">
        <v>4</v>
      </c>
      <c r="G62" s="128">
        <v>5</v>
      </c>
      <c r="H62" s="128">
        <v>8</v>
      </c>
      <c r="I62" s="125">
        <v>61</v>
      </c>
      <c r="J62" s="125">
        <v>1</v>
      </c>
      <c r="K62" s="13">
        <v>45532</v>
      </c>
      <c r="L62" s="125">
        <v>40</v>
      </c>
      <c r="M62" s="129">
        <v>0</v>
      </c>
      <c r="N62">
        <f t="shared" si="0"/>
        <v>0</v>
      </c>
    </row>
    <row r="63" spans="1:14" x14ac:dyDescent="0.35">
      <c r="A63" s="125" t="s">
        <v>34</v>
      </c>
      <c r="D63" s="127" t="s">
        <v>38</v>
      </c>
      <c r="E63">
        <v>1999</v>
      </c>
      <c r="F63" s="125">
        <v>4</v>
      </c>
      <c r="G63" s="128">
        <v>6</v>
      </c>
      <c r="H63" s="128">
        <v>8</v>
      </c>
      <c r="I63" s="125">
        <v>62</v>
      </c>
      <c r="J63" s="125">
        <v>1</v>
      </c>
      <c r="K63" s="13">
        <v>45532</v>
      </c>
      <c r="L63" s="125">
        <v>54</v>
      </c>
      <c r="M63" s="129">
        <v>0</v>
      </c>
      <c r="N63">
        <f t="shared" si="0"/>
        <v>0</v>
      </c>
    </row>
    <row r="64" spans="1:14" x14ac:dyDescent="0.35">
      <c r="A64" s="125" t="s">
        <v>34</v>
      </c>
      <c r="D64" s="127" t="s">
        <v>42</v>
      </c>
      <c r="E64">
        <v>2016</v>
      </c>
      <c r="F64" s="125">
        <v>4</v>
      </c>
      <c r="G64" s="128">
        <v>7</v>
      </c>
      <c r="H64" s="128">
        <v>8</v>
      </c>
      <c r="I64" s="125">
        <v>63</v>
      </c>
      <c r="J64" s="125">
        <v>1</v>
      </c>
      <c r="K64" s="13">
        <v>45532</v>
      </c>
      <c r="L64" s="125">
        <v>42</v>
      </c>
      <c r="M64" s="129">
        <v>0</v>
      </c>
      <c r="N64">
        <f t="shared" si="0"/>
        <v>0</v>
      </c>
    </row>
    <row r="65" spans="1:14" x14ac:dyDescent="0.35">
      <c r="A65" s="125" t="s">
        <v>34</v>
      </c>
      <c r="D65" s="127" t="s">
        <v>43</v>
      </c>
      <c r="E65">
        <v>2020</v>
      </c>
      <c r="F65" s="125">
        <v>4</v>
      </c>
      <c r="G65" s="128">
        <v>8</v>
      </c>
      <c r="H65" s="128">
        <v>8</v>
      </c>
      <c r="I65" s="125">
        <v>64</v>
      </c>
      <c r="J65" s="125">
        <v>1</v>
      </c>
      <c r="K65" s="13">
        <v>45532</v>
      </c>
      <c r="L65" s="125">
        <v>38</v>
      </c>
      <c r="M65" s="129">
        <v>0</v>
      </c>
      <c r="N65">
        <f t="shared" si="0"/>
        <v>0</v>
      </c>
    </row>
    <row r="66" spans="1:14" x14ac:dyDescent="0.35">
      <c r="A66" s="125" t="s">
        <v>24</v>
      </c>
      <c r="B66" s="79"/>
      <c r="C66" s="79"/>
      <c r="D66" s="126" t="s">
        <v>27</v>
      </c>
      <c r="E66">
        <v>1985</v>
      </c>
      <c r="F66" s="125">
        <v>1</v>
      </c>
      <c r="G66" s="128">
        <v>1</v>
      </c>
      <c r="H66" s="128">
        <v>1</v>
      </c>
      <c r="I66" s="125">
        <v>1</v>
      </c>
      <c r="J66" s="125">
        <v>2</v>
      </c>
      <c r="K66" s="13">
        <v>45537</v>
      </c>
      <c r="L66" s="125">
        <v>78</v>
      </c>
      <c r="M66" s="130">
        <v>0</v>
      </c>
      <c r="N66">
        <f>M66/L66</f>
        <v>0</v>
      </c>
    </row>
    <row r="67" spans="1:14" x14ac:dyDescent="0.35">
      <c r="A67" s="125" t="s">
        <v>24</v>
      </c>
      <c r="B67" s="79"/>
      <c r="C67" s="79"/>
      <c r="D67" s="126" t="s">
        <v>26</v>
      </c>
      <c r="E67">
        <v>1983</v>
      </c>
      <c r="F67" s="125">
        <v>1</v>
      </c>
      <c r="G67" s="128">
        <v>2</v>
      </c>
      <c r="H67" s="128">
        <v>1</v>
      </c>
      <c r="I67" s="125">
        <v>2</v>
      </c>
      <c r="J67" s="125">
        <v>2</v>
      </c>
      <c r="K67" s="13">
        <v>45537</v>
      </c>
      <c r="L67" s="125">
        <v>67</v>
      </c>
      <c r="M67" s="130">
        <v>0</v>
      </c>
      <c r="N67">
        <f t="shared" ref="N67:N130" si="1">M67/L67</f>
        <v>0</v>
      </c>
    </row>
    <row r="68" spans="1:14" x14ac:dyDescent="0.35">
      <c r="A68" s="125" t="s">
        <v>24</v>
      </c>
      <c r="B68" s="79"/>
      <c r="C68" s="79"/>
      <c r="D68" s="126" t="s">
        <v>335</v>
      </c>
      <c r="E68">
        <v>2023</v>
      </c>
      <c r="F68" s="125">
        <v>1</v>
      </c>
      <c r="G68" s="128">
        <v>3</v>
      </c>
      <c r="H68" s="128">
        <v>1</v>
      </c>
      <c r="I68" s="125">
        <v>3</v>
      </c>
      <c r="J68" s="125">
        <v>2</v>
      </c>
      <c r="K68" s="13">
        <v>45537</v>
      </c>
      <c r="L68" s="125">
        <v>60</v>
      </c>
      <c r="M68" s="130">
        <v>27</v>
      </c>
      <c r="N68">
        <f t="shared" si="1"/>
        <v>0.45</v>
      </c>
    </row>
    <row r="69" spans="1:14" x14ac:dyDescent="0.35">
      <c r="A69" s="125" t="s">
        <v>24</v>
      </c>
      <c r="B69" s="79"/>
      <c r="C69" s="79"/>
      <c r="D69" s="126" t="s">
        <v>29</v>
      </c>
      <c r="E69">
        <v>1999</v>
      </c>
      <c r="F69" s="125">
        <v>1</v>
      </c>
      <c r="G69" s="128">
        <v>4</v>
      </c>
      <c r="H69" s="128">
        <v>1</v>
      </c>
      <c r="I69" s="125">
        <v>4</v>
      </c>
      <c r="J69" s="125">
        <v>2</v>
      </c>
      <c r="K69" s="13">
        <v>45537</v>
      </c>
      <c r="L69" s="125">
        <v>108</v>
      </c>
      <c r="M69" s="130">
        <v>0</v>
      </c>
      <c r="N69">
        <f t="shared" si="1"/>
        <v>0</v>
      </c>
    </row>
    <row r="70" spans="1:14" x14ac:dyDescent="0.35">
      <c r="A70" s="125" t="s">
        <v>24</v>
      </c>
      <c r="B70" s="79"/>
      <c r="C70" s="79"/>
      <c r="D70" s="126" t="s">
        <v>336</v>
      </c>
      <c r="E70">
        <v>2002</v>
      </c>
      <c r="F70" s="125">
        <v>1</v>
      </c>
      <c r="G70" s="128">
        <v>5</v>
      </c>
      <c r="H70" s="128">
        <v>1</v>
      </c>
      <c r="I70" s="125">
        <v>5</v>
      </c>
      <c r="J70" s="125">
        <v>2</v>
      </c>
      <c r="K70" s="13">
        <v>45537</v>
      </c>
      <c r="L70" s="125">
        <v>78</v>
      </c>
      <c r="M70" s="130">
        <v>0</v>
      </c>
      <c r="N70">
        <f t="shared" si="1"/>
        <v>0</v>
      </c>
    </row>
    <row r="71" spans="1:14" x14ac:dyDescent="0.35">
      <c r="A71" s="125" t="s">
        <v>24</v>
      </c>
      <c r="B71" s="79"/>
      <c r="C71" s="79"/>
      <c r="D71" s="126" t="s">
        <v>32</v>
      </c>
      <c r="E71">
        <v>2018</v>
      </c>
      <c r="F71" s="125">
        <v>1</v>
      </c>
      <c r="G71" s="128">
        <v>6</v>
      </c>
      <c r="H71" s="128">
        <v>1</v>
      </c>
      <c r="I71" s="125">
        <v>6</v>
      </c>
      <c r="J71" s="125">
        <v>2</v>
      </c>
      <c r="K71" s="13">
        <v>45537</v>
      </c>
      <c r="L71" s="125">
        <v>74</v>
      </c>
      <c r="M71" s="130">
        <v>0</v>
      </c>
      <c r="N71">
        <f t="shared" si="1"/>
        <v>0</v>
      </c>
    </row>
    <row r="72" spans="1:14" x14ac:dyDescent="0.35">
      <c r="A72" s="125" t="s">
        <v>24</v>
      </c>
      <c r="B72" s="79"/>
      <c r="C72" s="79"/>
      <c r="D72" s="126" t="s">
        <v>28</v>
      </c>
      <c r="E72">
        <v>1998</v>
      </c>
      <c r="F72" s="125">
        <v>1</v>
      </c>
      <c r="G72" s="128">
        <v>7</v>
      </c>
      <c r="H72" s="128">
        <v>1</v>
      </c>
      <c r="I72" s="125">
        <v>7</v>
      </c>
      <c r="J72" s="125">
        <v>2</v>
      </c>
      <c r="K72" s="13">
        <v>45537</v>
      </c>
      <c r="L72" s="125">
        <v>90</v>
      </c>
      <c r="M72" s="130">
        <v>1</v>
      </c>
      <c r="N72">
        <f t="shared" si="1"/>
        <v>1.1111111111111112E-2</v>
      </c>
    </row>
    <row r="73" spans="1:14" x14ac:dyDescent="0.35">
      <c r="A73" s="125" t="s">
        <v>24</v>
      </c>
      <c r="B73" s="79"/>
      <c r="C73" s="79"/>
      <c r="D73" s="126" t="s">
        <v>337</v>
      </c>
      <c r="E73">
        <v>2016</v>
      </c>
      <c r="F73" s="125">
        <v>1</v>
      </c>
      <c r="G73" s="128">
        <v>8</v>
      </c>
      <c r="H73" s="128">
        <v>1</v>
      </c>
      <c r="I73" s="125">
        <v>8</v>
      </c>
      <c r="J73" s="125">
        <v>2</v>
      </c>
      <c r="K73" s="13">
        <v>45537</v>
      </c>
      <c r="L73" s="125">
        <v>50</v>
      </c>
      <c r="M73" s="130">
        <v>0</v>
      </c>
      <c r="N73">
        <f t="shared" si="1"/>
        <v>0</v>
      </c>
    </row>
    <row r="74" spans="1:14" x14ac:dyDescent="0.35">
      <c r="A74" s="125" t="s">
        <v>34</v>
      </c>
      <c r="D74" s="127" t="s">
        <v>42</v>
      </c>
      <c r="E74">
        <v>2016</v>
      </c>
      <c r="F74" s="125">
        <v>1</v>
      </c>
      <c r="G74" s="128">
        <v>1</v>
      </c>
      <c r="H74" s="128">
        <v>2</v>
      </c>
      <c r="I74" s="125">
        <v>9</v>
      </c>
      <c r="J74" s="125">
        <v>2</v>
      </c>
      <c r="K74" s="13">
        <v>45537</v>
      </c>
      <c r="L74" s="125">
        <v>43</v>
      </c>
      <c r="M74" s="130">
        <v>9</v>
      </c>
      <c r="N74">
        <f t="shared" si="1"/>
        <v>0.20930232558139536</v>
      </c>
    </row>
    <row r="75" spans="1:14" x14ac:dyDescent="0.35">
      <c r="A75" s="125" t="s">
        <v>34</v>
      </c>
      <c r="D75" s="127" t="s">
        <v>38</v>
      </c>
      <c r="E75">
        <v>1999</v>
      </c>
      <c r="F75" s="125">
        <v>1</v>
      </c>
      <c r="G75" s="128">
        <v>2</v>
      </c>
      <c r="H75" s="128">
        <v>2</v>
      </c>
      <c r="I75" s="125">
        <v>10</v>
      </c>
      <c r="J75" s="125">
        <v>2</v>
      </c>
      <c r="K75" s="13">
        <v>45537</v>
      </c>
      <c r="L75" s="125">
        <v>59</v>
      </c>
      <c r="M75" s="130">
        <v>4</v>
      </c>
      <c r="N75">
        <f t="shared" si="1"/>
        <v>6.7796610169491525E-2</v>
      </c>
    </row>
    <row r="76" spans="1:14" x14ac:dyDescent="0.35">
      <c r="A76" s="125" t="s">
        <v>34</v>
      </c>
      <c r="D76" s="127" t="s">
        <v>43</v>
      </c>
      <c r="E76">
        <v>2020</v>
      </c>
      <c r="F76" s="125">
        <v>1</v>
      </c>
      <c r="G76" s="128">
        <v>3</v>
      </c>
      <c r="H76" s="128">
        <v>2</v>
      </c>
      <c r="I76" s="125">
        <v>11</v>
      </c>
      <c r="J76" s="125">
        <v>2</v>
      </c>
      <c r="K76" s="13">
        <v>45537</v>
      </c>
      <c r="L76" s="125">
        <v>42</v>
      </c>
      <c r="M76" s="130">
        <v>0</v>
      </c>
      <c r="N76">
        <f t="shared" si="1"/>
        <v>0</v>
      </c>
    </row>
    <row r="77" spans="1:14" x14ac:dyDescent="0.35">
      <c r="A77" s="125" t="s">
        <v>34</v>
      </c>
      <c r="D77" s="127" t="s">
        <v>41</v>
      </c>
      <c r="E77">
        <v>2008</v>
      </c>
      <c r="F77" s="125">
        <v>1</v>
      </c>
      <c r="G77" s="128">
        <v>4</v>
      </c>
      <c r="H77" s="128">
        <v>2</v>
      </c>
      <c r="I77" s="125">
        <v>12</v>
      </c>
      <c r="J77" s="125">
        <v>2</v>
      </c>
      <c r="K77" s="13">
        <v>45537</v>
      </c>
      <c r="L77" s="125">
        <v>39</v>
      </c>
      <c r="M77" s="130">
        <v>8</v>
      </c>
      <c r="N77">
        <f t="shared" si="1"/>
        <v>0.20512820512820512</v>
      </c>
    </row>
    <row r="78" spans="1:14" x14ac:dyDescent="0.35">
      <c r="A78" s="125" t="s">
        <v>34</v>
      </c>
      <c r="D78" s="127" t="s">
        <v>37</v>
      </c>
      <c r="E78">
        <v>1989</v>
      </c>
      <c r="F78" s="125">
        <v>1</v>
      </c>
      <c r="G78" s="128">
        <v>5</v>
      </c>
      <c r="H78" s="128">
        <v>2</v>
      </c>
      <c r="I78" s="125">
        <v>13</v>
      </c>
      <c r="J78" s="125">
        <v>2</v>
      </c>
      <c r="K78" s="13">
        <v>45537</v>
      </c>
      <c r="L78" s="125">
        <v>48</v>
      </c>
      <c r="M78" s="130">
        <v>0</v>
      </c>
      <c r="N78">
        <f t="shared" si="1"/>
        <v>0</v>
      </c>
    </row>
    <row r="79" spans="1:14" x14ac:dyDescent="0.35">
      <c r="A79" s="125" t="s">
        <v>34</v>
      </c>
      <c r="D79" s="127" t="s">
        <v>343</v>
      </c>
      <c r="E79">
        <v>2004</v>
      </c>
      <c r="F79" s="125">
        <v>1</v>
      </c>
      <c r="G79" s="128">
        <v>6</v>
      </c>
      <c r="H79" s="128">
        <v>2</v>
      </c>
      <c r="I79" s="125">
        <v>14</v>
      </c>
      <c r="J79" s="125">
        <v>2</v>
      </c>
      <c r="K79" s="13">
        <v>45537</v>
      </c>
      <c r="L79" s="125">
        <v>44</v>
      </c>
      <c r="M79" s="130">
        <v>1</v>
      </c>
      <c r="N79">
        <f t="shared" si="1"/>
        <v>2.2727272727272728E-2</v>
      </c>
    </row>
    <row r="80" spans="1:14" x14ac:dyDescent="0.35">
      <c r="A80" s="125" t="s">
        <v>34</v>
      </c>
      <c r="D80" s="127" t="s">
        <v>36</v>
      </c>
      <c r="E80">
        <v>1984</v>
      </c>
      <c r="F80" s="125">
        <v>1</v>
      </c>
      <c r="G80" s="128">
        <v>7</v>
      </c>
      <c r="H80" s="128">
        <v>2</v>
      </c>
      <c r="I80" s="125">
        <v>15</v>
      </c>
      <c r="J80" s="125">
        <v>2</v>
      </c>
      <c r="K80" s="13">
        <v>45537</v>
      </c>
      <c r="L80" s="125">
        <v>44</v>
      </c>
      <c r="M80" s="130">
        <v>0</v>
      </c>
      <c r="N80">
        <f t="shared" si="1"/>
        <v>0</v>
      </c>
    </row>
    <row r="81" spans="1:14" x14ac:dyDescent="0.35">
      <c r="A81" s="125" t="s">
        <v>34</v>
      </c>
      <c r="D81" s="127" t="s">
        <v>39</v>
      </c>
      <c r="E81">
        <v>2001</v>
      </c>
      <c r="F81" s="125">
        <v>1</v>
      </c>
      <c r="G81" s="128">
        <v>8</v>
      </c>
      <c r="H81" s="128">
        <v>2</v>
      </c>
      <c r="I81" s="125">
        <v>16</v>
      </c>
      <c r="J81" s="125">
        <v>2</v>
      </c>
      <c r="K81" s="13">
        <v>45537</v>
      </c>
      <c r="L81" s="125">
        <v>56</v>
      </c>
      <c r="M81" s="130">
        <v>9</v>
      </c>
      <c r="N81">
        <f t="shared" si="1"/>
        <v>0.16071428571428573</v>
      </c>
    </row>
    <row r="82" spans="1:14" x14ac:dyDescent="0.35">
      <c r="A82" s="125" t="s">
        <v>24</v>
      </c>
      <c r="B82" s="79"/>
      <c r="C82" s="79"/>
      <c r="D82" s="126" t="s">
        <v>335</v>
      </c>
      <c r="E82">
        <v>2023</v>
      </c>
      <c r="F82" s="125">
        <v>2</v>
      </c>
      <c r="G82" s="128">
        <v>1</v>
      </c>
      <c r="H82" s="128">
        <v>3</v>
      </c>
      <c r="I82" s="125">
        <v>17</v>
      </c>
      <c r="J82" s="125">
        <v>2</v>
      </c>
      <c r="K82" s="13">
        <v>45537</v>
      </c>
      <c r="L82" s="125">
        <v>55</v>
      </c>
      <c r="M82" s="131">
        <v>31</v>
      </c>
      <c r="N82">
        <f t="shared" si="1"/>
        <v>0.5636363636363636</v>
      </c>
    </row>
    <row r="83" spans="1:14" x14ac:dyDescent="0.35">
      <c r="A83" s="125" t="s">
        <v>24</v>
      </c>
      <c r="B83" s="79"/>
      <c r="C83" s="79"/>
      <c r="D83" s="126" t="s">
        <v>28</v>
      </c>
      <c r="E83">
        <v>1998</v>
      </c>
      <c r="F83" s="125">
        <v>2</v>
      </c>
      <c r="G83" s="128">
        <v>2</v>
      </c>
      <c r="H83" s="128">
        <v>3</v>
      </c>
      <c r="I83" s="125">
        <v>18</v>
      </c>
      <c r="J83" s="125">
        <v>2</v>
      </c>
      <c r="K83" s="13">
        <v>45537</v>
      </c>
      <c r="L83" s="125">
        <v>67</v>
      </c>
      <c r="M83" s="130">
        <v>10</v>
      </c>
      <c r="N83">
        <f t="shared" si="1"/>
        <v>0.14925373134328357</v>
      </c>
    </row>
    <row r="84" spans="1:14" x14ac:dyDescent="0.35">
      <c r="A84" s="125" t="s">
        <v>24</v>
      </c>
      <c r="B84" s="79"/>
      <c r="C84" s="79"/>
      <c r="D84" s="126" t="s">
        <v>26</v>
      </c>
      <c r="E84">
        <v>1983</v>
      </c>
      <c r="F84" s="125">
        <v>2</v>
      </c>
      <c r="G84" s="128">
        <v>3</v>
      </c>
      <c r="H84" s="128">
        <v>3</v>
      </c>
      <c r="I84" s="125">
        <v>19</v>
      </c>
      <c r="J84" s="125">
        <v>2</v>
      </c>
      <c r="K84" s="13">
        <v>45537</v>
      </c>
      <c r="L84" s="125">
        <v>67</v>
      </c>
      <c r="M84" s="130">
        <v>0</v>
      </c>
      <c r="N84">
        <f t="shared" si="1"/>
        <v>0</v>
      </c>
    </row>
    <row r="85" spans="1:14" x14ac:dyDescent="0.35">
      <c r="A85" s="125" t="s">
        <v>24</v>
      </c>
      <c r="B85" s="79"/>
      <c r="C85" s="79"/>
      <c r="D85" s="126" t="s">
        <v>336</v>
      </c>
      <c r="E85">
        <v>2002</v>
      </c>
      <c r="F85" s="125">
        <v>2</v>
      </c>
      <c r="G85" s="128">
        <v>4</v>
      </c>
      <c r="H85" s="128">
        <v>3</v>
      </c>
      <c r="I85" s="125">
        <v>20</v>
      </c>
      <c r="J85" s="125">
        <v>2</v>
      </c>
      <c r="K85" s="13">
        <v>45537</v>
      </c>
      <c r="L85" s="125">
        <v>53</v>
      </c>
      <c r="M85" s="130">
        <v>0</v>
      </c>
      <c r="N85">
        <f t="shared" si="1"/>
        <v>0</v>
      </c>
    </row>
    <row r="86" spans="1:14" x14ac:dyDescent="0.35">
      <c r="A86" s="125" t="s">
        <v>24</v>
      </c>
      <c r="B86" s="79"/>
      <c r="C86" s="79"/>
      <c r="D86" s="126" t="s">
        <v>29</v>
      </c>
      <c r="E86">
        <v>1999</v>
      </c>
      <c r="F86" s="125">
        <v>2</v>
      </c>
      <c r="G86" s="128">
        <v>5</v>
      </c>
      <c r="H86" s="128">
        <v>3</v>
      </c>
      <c r="I86" s="125">
        <v>21</v>
      </c>
      <c r="J86" s="125">
        <v>2</v>
      </c>
      <c r="K86" s="13">
        <v>45537</v>
      </c>
      <c r="L86" s="125">
        <v>63</v>
      </c>
      <c r="M86" s="130">
        <v>0</v>
      </c>
      <c r="N86">
        <f t="shared" si="1"/>
        <v>0</v>
      </c>
    </row>
    <row r="87" spans="1:14" x14ac:dyDescent="0.35">
      <c r="A87" s="125" t="s">
        <v>24</v>
      </c>
      <c r="B87" s="79"/>
      <c r="C87" s="79"/>
      <c r="D87" s="126" t="s">
        <v>337</v>
      </c>
      <c r="E87">
        <v>2016</v>
      </c>
      <c r="F87" s="125">
        <v>2</v>
      </c>
      <c r="G87" s="128">
        <v>6</v>
      </c>
      <c r="H87" s="128">
        <v>3</v>
      </c>
      <c r="I87" s="125">
        <v>22</v>
      </c>
      <c r="J87" s="125">
        <v>2</v>
      </c>
      <c r="K87" s="13">
        <v>45537</v>
      </c>
      <c r="L87" s="125">
        <v>63</v>
      </c>
      <c r="M87" s="130">
        <v>0</v>
      </c>
      <c r="N87">
        <f t="shared" si="1"/>
        <v>0</v>
      </c>
    </row>
    <row r="88" spans="1:14" x14ac:dyDescent="0.35">
      <c r="A88" s="125" t="s">
        <v>24</v>
      </c>
      <c r="B88" s="79"/>
      <c r="C88" s="79"/>
      <c r="D88" s="126" t="s">
        <v>32</v>
      </c>
      <c r="E88">
        <v>2018</v>
      </c>
      <c r="F88" s="125">
        <v>2</v>
      </c>
      <c r="G88" s="128">
        <v>7</v>
      </c>
      <c r="H88" s="128">
        <v>3</v>
      </c>
      <c r="I88" s="125">
        <v>23</v>
      </c>
      <c r="J88" s="125">
        <v>2</v>
      </c>
      <c r="K88" s="13">
        <v>45537</v>
      </c>
      <c r="L88" s="125">
        <v>53</v>
      </c>
      <c r="M88" s="130">
        <v>0</v>
      </c>
      <c r="N88">
        <f t="shared" si="1"/>
        <v>0</v>
      </c>
    </row>
    <row r="89" spans="1:14" x14ac:dyDescent="0.35">
      <c r="A89" s="125" t="s">
        <v>24</v>
      </c>
      <c r="B89" s="79"/>
      <c r="C89" s="79"/>
      <c r="D89" s="126" t="s">
        <v>27</v>
      </c>
      <c r="E89">
        <v>1985</v>
      </c>
      <c r="F89" s="125">
        <v>2</v>
      </c>
      <c r="G89" s="128">
        <v>8</v>
      </c>
      <c r="H89" s="128">
        <v>3</v>
      </c>
      <c r="I89" s="125">
        <v>24</v>
      </c>
      <c r="J89" s="125">
        <v>2</v>
      </c>
      <c r="K89" s="13">
        <v>45537</v>
      </c>
      <c r="L89" s="125">
        <v>65</v>
      </c>
      <c r="M89" s="130">
        <v>0</v>
      </c>
      <c r="N89">
        <f t="shared" si="1"/>
        <v>0</v>
      </c>
    </row>
    <row r="90" spans="1:14" x14ac:dyDescent="0.35">
      <c r="A90" s="125" t="s">
        <v>34</v>
      </c>
      <c r="B90" s="71"/>
      <c r="C90" s="72"/>
      <c r="D90" s="127" t="s">
        <v>343</v>
      </c>
      <c r="E90">
        <v>2004</v>
      </c>
      <c r="F90" s="125">
        <v>2</v>
      </c>
      <c r="G90" s="128">
        <v>1</v>
      </c>
      <c r="H90" s="128">
        <v>4</v>
      </c>
      <c r="I90" s="125">
        <v>25</v>
      </c>
      <c r="J90" s="125">
        <v>2</v>
      </c>
      <c r="K90" s="13">
        <v>45537</v>
      </c>
      <c r="L90" s="125">
        <v>55</v>
      </c>
      <c r="M90" s="130">
        <v>2</v>
      </c>
      <c r="N90">
        <f t="shared" si="1"/>
        <v>3.6363636363636362E-2</v>
      </c>
    </row>
    <row r="91" spans="1:14" x14ac:dyDescent="0.35">
      <c r="A91" s="125" t="s">
        <v>34</v>
      </c>
      <c r="D91" s="127" t="s">
        <v>43</v>
      </c>
      <c r="E91">
        <v>2020</v>
      </c>
      <c r="F91" s="125">
        <v>2</v>
      </c>
      <c r="G91" s="128">
        <v>2</v>
      </c>
      <c r="H91" s="128">
        <v>4</v>
      </c>
      <c r="I91" s="125">
        <v>26</v>
      </c>
      <c r="J91" s="125">
        <v>2</v>
      </c>
      <c r="K91" s="13">
        <v>45537</v>
      </c>
      <c r="L91" s="125">
        <v>49</v>
      </c>
      <c r="M91" s="130">
        <v>1</v>
      </c>
      <c r="N91">
        <f t="shared" si="1"/>
        <v>2.0408163265306121E-2</v>
      </c>
    </row>
    <row r="92" spans="1:14" x14ac:dyDescent="0.35">
      <c r="A92" s="125" t="s">
        <v>34</v>
      </c>
      <c r="D92" s="127" t="s">
        <v>38</v>
      </c>
      <c r="E92">
        <v>1999</v>
      </c>
      <c r="F92" s="125">
        <v>2</v>
      </c>
      <c r="G92" s="128">
        <v>3</v>
      </c>
      <c r="H92" s="128">
        <v>4</v>
      </c>
      <c r="I92" s="125">
        <v>27</v>
      </c>
      <c r="J92" s="125">
        <v>2</v>
      </c>
      <c r="K92" s="13">
        <v>45537</v>
      </c>
      <c r="L92" s="125">
        <v>48</v>
      </c>
      <c r="M92" s="130">
        <v>0</v>
      </c>
      <c r="N92">
        <f t="shared" si="1"/>
        <v>0</v>
      </c>
    </row>
    <row r="93" spans="1:14" x14ac:dyDescent="0.35">
      <c r="A93" s="125" t="s">
        <v>34</v>
      </c>
      <c r="D93" s="127" t="s">
        <v>39</v>
      </c>
      <c r="E93">
        <v>2001</v>
      </c>
      <c r="F93" s="125">
        <v>2</v>
      </c>
      <c r="G93" s="128">
        <v>4</v>
      </c>
      <c r="H93" s="128">
        <v>4</v>
      </c>
      <c r="I93" s="125">
        <v>28</v>
      </c>
      <c r="J93" s="125">
        <v>2</v>
      </c>
      <c r="K93" s="13">
        <v>45537</v>
      </c>
      <c r="L93" s="125">
        <v>36</v>
      </c>
      <c r="M93" s="130">
        <v>0</v>
      </c>
      <c r="N93">
        <f t="shared" si="1"/>
        <v>0</v>
      </c>
    </row>
    <row r="94" spans="1:14" x14ac:dyDescent="0.35">
      <c r="A94" s="125" t="s">
        <v>34</v>
      </c>
      <c r="D94" s="127" t="s">
        <v>42</v>
      </c>
      <c r="E94">
        <v>2016</v>
      </c>
      <c r="F94" s="125">
        <v>2</v>
      </c>
      <c r="G94" s="128">
        <v>5</v>
      </c>
      <c r="H94" s="128">
        <v>4</v>
      </c>
      <c r="I94" s="125">
        <v>29</v>
      </c>
      <c r="J94" s="125">
        <v>2</v>
      </c>
      <c r="K94" s="13">
        <v>45537</v>
      </c>
      <c r="L94" s="125">
        <v>45</v>
      </c>
      <c r="M94" s="130">
        <v>3</v>
      </c>
      <c r="N94">
        <f t="shared" si="1"/>
        <v>6.6666666666666666E-2</v>
      </c>
    </row>
    <row r="95" spans="1:14" x14ac:dyDescent="0.35">
      <c r="A95" s="125" t="s">
        <v>34</v>
      </c>
      <c r="D95" s="127" t="s">
        <v>36</v>
      </c>
      <c r="E95">
        <v>1984</v>
      </c>
      <c r="F95" s="125">
        <v>2</v>
      </c>
      <c r="G95" s="128">
        <v>6</v>
      </c>
      <c r="H95" s="128">
        <v>4</v>
      </c>
      <c r="I95" s="125">
        <v>30</v>
      </c>
      <c r="J95" s="125">
        <v>2</v>
      </c>
      <c r="K95" s="13">
        <v>45537</v>
      </c>
      <c r="L95" s="125">
        <v>48</v>
      </c>
      <c r="M95" s="130">
        <v>0</v>
      </c>
      <c r="N95">
        <f t="shared" si="1"/>
        <v>0</v>
      </c>
    </row>
    <row r="96" spans="1:14" x14ac:dyDescent="0.35">
      <c r="A96" s="125" t="s">
        <v>34</v>
      </c>
      <c r="D96" s="127" t="s">
        <v>41</v>
      </c>
      <c r="E96">
        <v>2008</v>
      </c>
      <c r="F96" s="125">
        <v>2</v>
      </c>
      <c r="G96" s="128">
        <v>7</v>
      </c>
      <c r="H96" s="128">
        <v>4</v>
      </c>
      <c r="I96" s="125">
        <v>31</v>
      </c>
      <c r="J96" s="125">
        <v>2</v>
      </c>
      <c r="K96" s="13">
        <v>45537</v>
      </c>
      <c r="L96" s="125">
        <v>61</v>
      </c>
      <c r="M96" s="131">
        <v>34</v>
      </c>
      <c r="N96">
        <f t="shared" si="1"/>
        <v>0.55737704918032782</v>
      </c>
    </row>
    <row r="97" spans="1:14" x14ac:dyDescent="0.35">
      <c r="A97" s="125" t="s">
        <v>34</v>
      </c>
      <c r="D97" s="127" t="s">
        <v>37</v>
      </c>
      <c r="E97">
        <v>1989</v>
      </c>
      <c r="F97" s="125">
        <v>2</v>
      </c>
      <c r="G97" s="128">
        <v>8</v>
      </c>
      <c r="H97" s="128">
        <v>4</v>
      </c>
      <c r="I97" s="125">
        <v>32</v>
      </c>
      <c r="J97" s="125">
        <v>2</v>
      </c>
      <c r="K97" s="13">
        <v>45537</v>
      </c>
      <c r="L97" s="125">
        <v>64</v>
      </c>
      <c r="M97" s="130">
        <v>2</v>
      </c>
      <c r="N97">
        <f t="shared" si="1"/>
        <v>3.125E-2</v>
      </c>
    </row>
    <row r="98" spans="1:14" x14ac:dyDescent="0.35">
      <c r="A98" s="125" t="s">
        <v>24</v>
      </c>
      <c r="B98" s="79"/>
      <c r="C98" s="79"/>
      <c r="D98" s="126" t="s">
        <v>336</v>
      </c>
      <c r="E98">
        <v>2002</v>
      </c>
      <c r="F98" s="125">
        <v>3</v>
      </c>
      <c r="G98" s="128">
        <v>1</v>
      </c>
      <c r="H98" s="128">
        <v>5</v>
      </c>
      <c r="I98" s="125">
        <v>33</v>
      </c>
      <c r="J98" s="125">
        <v>2</v>
      </c>
      <c r="K98" s="13">
        <v>45537</v>
      </c>
      <c r="L98" s="125">
        <v>34</v>
      </c>
      <c r="M98" s="130">
        <v>0</v>
      </c>
      <c r="N98">
        <f t="shared" si="1"/>
        <v>0</v>
      </c>
    </row>
    <row r="99" spans="1:14" x14ac:dyDescent="0.35">
      <c r="A99" s="125" t="s">
        <v>24</v>
      </c>
      <c r="B99" s="79"/>
      <c r="C99" s="79"/>
      <c r="D99" s="126" t="s">
        <v>337</v>
      </c>
      <c r="E99">
        <v>2016</v>
      </c>
      <c r="F99" s="125">
        <v>3</v>
      </c>
      <c r="G99" s="128">
        <v>2</v>
      </c>
      <c r="H99" s="128">
        <v>5</v>
      </c>
      <c r="I99" s="125">
        <v>34</v>
      </c>
      <c r="J99" s="125">
        <v>2</v>
      </c>
      <c r="K99" s="13">
        <v>45537</v>
      </c>
      <c r="L99" s="125">
        <v>61</v>
      </c>
      <c r="M99" s="130">
        <v>0</v>
      </c>
      <c r="N99">
        <f t="shared" si="1"/>
        <v>0</v>
      </c>
    </row>
    <row r="100" spans="1:14" x14ac:dyDescent="0.35">
      <c r="A100" s="125" t="s">
        <v>24</v>
      </c>
      <c r="B100" s="79"/>
      <c r="C100" s="79"/>
      <c r="D100" s="126" t="s">
        <v>32</v>
      </c>
      <c r="E100">
        <v>2018</v>
      </c>
      <c r="F100" s="125">
        <v>3</v>
      </c>
      <c r="G100" s="128">
        <v>3</v>
      </c>
      <c r="H100" s="128">
        <v>5</v>
      </c>
      <c r="I100" s="125">
        <v>35</v>
      </c>
      <c r="J100" s="125">
        <v>2</v>
      </c>
      <c r="K100" s="13">
        <v>45537</v>
      </c>
      <c r="L100" s="125">
        <v>36</v>
      </c>
      <c r="M100" s="130">
        <v>0</v>
      </c>
      <c r="N100">
        <f t="shared" si="1"/>
        <v>0</v>
      </c>
    </row>
    <row r="101" spans="1:14" x14ac:dyDescent="0.35">
      <c r="A101" s="125" t="s">
        <v>24</v>
      </c>
      <c r="B101" s="79"/>
      <c r="C101" s="79"/>
      <c r="D101" s="126" t="s">
        <v>28</v>
      </c>
      <c r="E101">
        <v>1998</v>
      </c>
      <c r="F101" s="125">
        <v>3</v>
      </c>
      <c r="G101" s="128">
        <v>4</v>
      </c>
      <c r="H101" s="128">
        <v>5</v>
      </c>
      <c r="I101" s="125">
        <v>36</v>
      </c>
      <c r="J101" s="125">
        <v>2</v>
      </c>
      <c r="K101" s="13">
        <v>45537</v>
      </c>
      <c r="L101" s="125">
        <v>44</v>
      </c>
      <c r="M101" s="130">
        <v>19</v>
      </c>
      <c r="N101">
        <f t="shared" si="1"/>
        <v>0.43181818181818182</v>
      </c>
    </row>
    <row r="102" spans="1:14" x14ac:dyDescent="0.35">
      <c r="A102" s="125" t="s">
        <v>24</v>
      </c>
      <c r="B102" s="79"/>
      <c r="C102" s="79"/>
      <c r="D102" s="126" t="s">
        <v>27</v>
      </c>
      <c r="E102">
        <v>1985</v>
      </c>
      <c r="F102" s="125">
        <v>3</v>
      </c>
      <c r="G102" s="128">
        <v>5</v>
      </c>
      <c r="H102" s="128">
        <v>5</v>
      </c>
      <c r="I102" s="125">
        <v>37</v>
      </c>
      <c r="J102" s="125">
        <v>2</v>
      </c>
      <c r="K102" s="13">
        <v>45537</v>
      </c>
      <c r="L102" s="125">
        <v>62</v>
      </c>
      <c r="M102" s="130">
        <v>0</v>
      </c>
      <c r="N102">
        <f t="shared" si="1"/>
        <v>0</v>
      </c>
    </row>
    <row r="103" spans="1:14" x14ac:dyDescent="0.35">
      <c r="A103" s="125" t="s">
        <v>24</v>
      </c>
      <c r="B103" s="79"/>
      <c r="C103" s="79"/>
      <c r="D103" s="126" t="s">
        <v>335</v>
      </c>
      <c r="E103">
        <v>2023</v>
      </c>
      <c r="F103" s="125">
        <v>3</v>
      </c>
      <c r="G103" s="128">
        <v>6</v>
      </c>
      <c r="H103" s="128">
        <v>5</v>
      </c>
      <c r="I103" s="125">
        <v>38</v>
      </c>
      <c r="J103" s="125">
        <v>2</v>
      </c>
      <c r="K103" s="13">
        <v>45537</v>
      </c>
      <c r="L103" s="125">
        <v>38</v>
      </c>
      <c r="M103" s="130">
        <v>16</v>
      </c>
      <c r="N103">
        <f t="shared" si="1"/>
        <v>0.42105263157894735</v>
      </c>
    </row>
    <row r="104" spans="1:14" x14ac:dyDescent="0.35">
      <c r="A104" s="125" t="s">
        <v>24</v>
      </c>
      <c r="B104" s="79"/>
      <c r="C104" s="79"/>
      <c r="D104" s="126" t="s">
        <v>29</v>
      </c>
      <c r="E104">
        <v>1999</v>
      </c>
      <c r="F104" s="125">
        <v>3</v>
      </c>
      <c r="G104" s="128">
        <v>7</v>
      </c>
      <c r="H104" s="128">
        <v>5</v>
      </c>
      <c r="I104" s="125">
        <v>39</v>
      </c>
      <c r="J104" s="125">
        <v>2</v>
      </c>
      <c r="K104" s="13">
        <v>45537</v>
      </c>
      <c r="L104" s="125">
        <v>50</v>
      </c>
      <c r="M104" s="130">
        <v>3</v>
      </c>
      <c r="N104">
        <f t="shared" si="1"/>
        <v>0.06</v>
      </c>
    </row>
    <row r="105" spans="1:14" x14ac:dyDescent="0.35">
      <c r="A105" s="125" t="s">
        <v>24</v>
      </c>
      <c r="B105" s="79"/>
      <c r="C105" s="79"/>
      <c r="D105" s="126" t="s">
        <v>26</v>
      </c>
      <c r="E105">
        <v>1983</v>
      </c>
      <c r="F105" s="125">
        <v>3</v>
      </c>
      <c r="G105" s="128">
        <v>8</v>
      </c>
      <c r="H105" s="128">
        <v>5</v>
      </c>
      <c r="I105" s="125">
        <v>40</v>
      </c>
      <c r="J105" s="125">
        <v>2</v>
      </c>
      <c r="K105" s="13">
        <v>45537</v>
      </c>
      <c r="L105" s="125">
        <v>80</v>
      </c>
      <c r="M105" s="130">
        <v>0</v>
      </c>
      <c r="N105">
        <f t="shared" si="1"/>
        <v>0</v>
      </c>
    </row>
    <row r="106" spans="1:14" x14ac:dyDescent="0.35">
      <c r="A106" s="125" t="s">
        <v>34</v>
      </c>
      <c r="D106" s="127" t="s">
        <v>41</v>
      </c>
      <c r="E106">
        <v>2008</v>
      </c>
      <c r="F106" s="125">
        <v>3</v>
      </c>
      <c r="G106" s="128">
        <v>1</v>
      </c>
      <c r="H106" s="128">
        <v>6</v>
      </c>
      <c r="I106" s="125">
        <v>41</v>
      </c>
      <c r="J106" s="125">
        <v>2</v>
      </c>
      <c r="K106" s="13">
        <v>45537</v>
      </c>
      <c r="L106" s="125">
        <v>47</v>
      </c>
      <c r="M106" s="132">
        <v>32</v>
      </c>
      <c r="N106">
        <f t="shared" si="1"/>
        <v>0.68085106382978722</v>
      </c>
    </row>
    <row r="107" spans="1:14" x14ac:dyDescent="0.35">
      <c r="A107" s="125" t="s">
        <v>34</v>
      </c>
      <c r="D107" s="127" t="s">
        <v>36</v>
      </c>
      <c r="E107">
        <v>1984</v>
      </c>
      <c r="F107" s="125">
        <v>3</v>
      </c>
      <c r="G107" s="128">
        <v>2</v>
      </c>
      <c r="H107" s="128">
        <v>6</v>
      </c>
      <c r="I107" s="125">
        <v>42</v>
      </c>
      <c r="J107" s="125">
        <v>2</v>
      </c>
      <c r="K107" s="13">
        <v>45537</v>
      </c>
      <c r="L107" s="125">
        <v>37</v>
      </c>
      <c r="M107" s="130">
        <v>0</v>
      </c>
      <c r="N107">
        <f t="shared" si="1"/>
        <v>0</v>
      </c>
    </row>
    <row r="108" spans="1:14" x14ac:dyDescent="0.35">
      <c r="A108" s="125" t="s">
        <v>34</v>
      </c>
      <c r="D108" s="127" t="s">
        <v>37</v>
      </c>
      <c r="E108">
        <v>1989</v>
      </c>
      <c r="F108" s="125">
        <v>3</v>
      </c>
      <c r="G108" s="128">
        <v>3</v>
      </c>
      <c r="H108" s="128">
        <v>6</v>
      </c>
      <c r="I108" s="125">
        <v>43</v>
      </c>
      <c r="J108" s="125">
        <v>2</v>
      </c>
      <c r="K108" s="13">
        <v>45537</v>
      </c>
      <c r="L108" s="125">
        <v>46</v>
      </c>
      <c r="M108" s="130">
        <v>1</v>
      </c>
      <c r="N108">
        <f t="shared" si="1"/>
        <v>2.1739130434782608E-2</v>
      </c>
    </row>
    <row r="109" spans="1:14" x14ac:dyDescent="0.35">
      <c r="A109" s="125" t="s">
        <v>34</v>
      </c>
      <c r="D109" s="127" t="s">
        <v>42</v>
      </c>
      <c r="E109">
        <v>2016</v>
      </c>
      <c r="F109" s="125">
        <v>3</v>
      </c>
      <c r="G109" s="128">
        <v>4</v>
      </c>
      <c r="H109" s="128">
        <v>6</v>
      </c>
      <c r="I109" s="125">
        <v>44</v>
      </c>
      <c r="J109" s="125">
        <v>2</v>
      </c>
      <c r="K109" s="13">
        <v>45537</v>
      </c>
      <c r="L109" s="125">
        <v>44</v>
      </c>
      <c r="M109" s="130">
        <v>2</v>
      </c>
      <c r="N109">
        <f t="shared" si="1"/>
        <v>4.5454545454545456E-2</v>
      </c>
    </row>
    <row r="110" spans="1:14" x14ac:dyDescent="0.35">
      <c r="A110" s="125" t="s">
        <v>34</v>
      </c>
      <c r="D110" s="127" t="s">
        <v>43</v>
      </c>
      <c r="E110">
        <v>2020</v>
      </c>
      <c r="F110" s="125">
        <v>3</v>
      </c>
      <c r="G110" s="128">
        <v>5</v>
      </c>
      <c r="H110" s="128">
        <v>6</v>
      </c>
      <c r="I110" s="125">
        <v>45</v>
      </c>
      <c r="J110" s="125">
        <v>2</v>
      </c>
      <c r="K110" s="13">
        <v>45537</v>
      </c>
      <c r="L110" s="125">
        <v>48</v>
      </c>
      <c r="M110" s="130">
        <v>0</v>
      </c>
      <c r="N110">
        <f t="shared" si="1"/>
        <v>0</v>
      </c>
    </row>
    <row r="111" spans="1:14" x14ac:dyDescent="0.35">
      <c r="A111" s="125" t="s">
        <v>34</v>
      </c>
      <c r="D111" s="127" t="s">
        <v>39</v>
      </c>
      <c r="E111">
        <v>2001</v>
      </c>
      <c r="F111" s="125">
        <v>3</v>
      </c>
      <c r="G111" s="128">
        <v>6</v>
      </c>
      <c r="H111" s="128">
        <v>6</v>
      </c>
      <c r="I111" s="125">
        <v>46</v>
      </c>
      <c r="J111" s="125">
        <v>2</v>
      </c>
      <c r="K111" s="13">
        <v>45537</v>
      </c>
      <c r="L111" s="125">
        <v>58</v>
      </c>
      <c r="M111" s="130">
        <v>7</v>
      </c>
      <c r="N111">
        <f t="shared" si="1"/>
        <v>0.1206896551724138</v>
      </c>
    </row>
    <row r="112" spans="1:14" x14ac:dyDescent="0.35">
      <c r="A112" s="125" t="s">
        <v>34</v>
      </c>
      <c r="D112" s="127" t="s">
        <v>38</v>
      </c>
      <c r="E112">
        <v>1999</v>
      </c>
      <c r="F112" s="125">
        <v>3</v>
      </c>
      <c r="G112" s="128">
        <v>7</v>
      </c>
      <c r="H112" s="128">
        <v>6</v>
      </c>
      <c r="I112" s="125">
        <v>47</v>
      </c>
      <c r="J112" s="125">
        <v>2</v>
      </c>
      <c r="K112" s="13">
        <v>45537</v>
      </c>
      <c r="L112" s="125">
        <v>57</v>
      </c>
      <c r="M112" s="130">
        <v>0</v>
      </c>
      <c r="N112">
        <f t="shared" si="1"/>
        <v>0</v>
      </c>
    </row>
    <row r="113" spans="1:14" x14ac:dyDescent="0.35">
      <c r="A113" s="125" t="s">
        <v>34</v>
      </c>
      <c r="D113" s="127" t="s">
        <v>343</v>
      </c>
      <c r="E113">
        <v>2004</v>
      </c>
      <c r="F113" s="125">
        <v>3</v>
      </c>
      <c r="G113" s="128">
        <v>8</v>
      </c>
      <c r="H113" s="128">
        <v>6</v>
      </c>
      <c r="I113" s="125">
        <v>48</v>
      </c>
      <c r="J113" s="125">
        <v>2</v>
      </c>
      <c r="K113" s="13">
        <v>45537</v>
      </c>
      <c r="L113" s="125">
        <v>49</v>
      </c>
      <c r="M113" s="130">
        <v>0</v>
      </c>
      <c r="N113">
        <f t="shared" si="1"/>
        <v>0</v>
      </c>
    </row>
    <row r="114" spans="1:14" x14ac:dyDescent="0.35">
      <c r="A114" s="125" t="s">
        <v>24</v>
      </c>
      <c r="B114" s="79"/>
      <c r="C114" s="79"/>
      <c r="D114" s="126" t="s">
        <v>32</v>
      </c>
      <c r="E114">
        <v>2018</v>
      </c>
      <c r="F114" s="125">
        <v>4</v>
      </c>
      <c r="G114" s="128">
        <v>1</v>
      </c>
      <c r="H114" s="128">
        <v>7</v>
      </c>
      <c r="I114" s="125">
        <v>49</v>
      </c>
      <c r="J114" s="125">
        <v>2</v>
      </c>
      <c r="K114" s="13">
        <v>45537</v>
      </c>
      <c r="L114" s="125">
        <v>50</v>
      </c>
      <c r="M114" s="130">
        <v>0</v>
      </c>
      <c r="N114">
        <f t="shared" si="1"/>
        <v>0</v>
      </c>
    </row>
    <row r="115" spans="1:14" x14ac:dyDescent="0.35">
      <c r="A115" s="125" t="s">
        <v>24</v>
      </c>
      <c r="B115" s="79"/>
      <c r="C115" s="79"/>
      <c r="D115" s="126" t="s">
        <v>29</v>
      </c>
      <c r="E115">
        <v>1999</v>
      </c>
      <c r="F115" s="125">
        <v>4</v>
      </c>
      <c r="G115" s="128">
        <v>2</v>
      </c>
      <c r="H115" s="128">
        <v>7</v>
      </c>
      <c r="I115" s="125">
        <v>50</v>
      </c>
      <c r="J115" s="125">
        <v>2</v>
      </c>
      <c r="K115" s="13">
        <v>45537</v>
      </c>
      <c r="L115" s="125">
        <v>66</v>
      </c>
      <c r="M115" s="130">
        <v>0</v>
      </c>
      <c r="N115">
        <f t="shared" si="1"/>
        <v>0</v>
      </c>
    </row>
    <row r="116" spans="1:14" x14ac:dyDescent="0.35">
      <c r="A116" s="125" t="s">
        <v>24</v>
      </c>
      <c r="B116" s="79"/>
      <c r="C116" s="79"/>
      <c r="D116" s="126" t="s">
        <v>337</v>
      </c>
      <c r="E116">
        <v>2016</v>
      </c>
      <c r="F116" s="125">
        <v>4</v>
      </c>
      <c r="G116" s="128">
        <v>3</v>
      </c>
      <c r="H116" s="128">
        <v>7</v>
      </c>
      <c r="I116" s="125">
        <v>51</v>
      </c>
      <c r="J116" s="125">
        <v>2</v>
      </c>
      <c r="K116" s="13">
        <v>45537</v>
      </c>
      <c r="L116" s="125">
        <v>60</v>
      </c>
      <c r="M116" s="130">
        <v>0</v>
      </c>
      <c r="N116">
        <f t="shared" si="1"/>
        <v>0</v>
      </c>
    </row>
    <row r="117" spans="1:14" x14ac:dyDescent="0.35">
      <c r="A117" s="125" t="s">
        <v>24</v>
      </c>
      <c r="B117" s="79"/>
      <c r="C117" s="79"/>
      <c r="D117" s="126" t="s">
        <v>27</v>
      </c>
      <c r="E117">
        <v>1985</v>
      </c>
      <c r="F117" s="125">
        <v>4</v>
      </c>
      <c r="G117" s="128">
        <v>4</v>
      </c>
      <c r="H117" s="128">
        <v>7</v>
      </c>
      <c r="I117" s="125">
        <v>52</v>
      </c>
      <c r="J117" s="125">
        <v>2</v>
      </c>
      <c r="K117" s="13">
        <v>45537</v>
      </c>
      <c r="L117" s="125">
        <v>77</v>
      </c>
      <c r="M117" s="130">
        <v>0</v>
      </c>
      <c r="N117">
        <f t="shared" si="1"/>
        <v>0</v>
      </c>
    </row>
    <row r="118" spans="1:14" x14ac:dyDescent="0.35">
      <c r="A118" s="125" t="s">
        <v>24</v>
      </c>
      <c r="B118" s="79"/>
      <c r="C118" s="79"/>
      <c r="D118" s="126" t="s">
        <v>28</v>
      </c>
      <c r="E118">
        <v>1998</v>
      </c>
      <c r="F118" s="125">
        <v>4</v>
      </c>
      <c r="G118" s="128">
        <v>5</v>
      </c>
      <c r="H118" s="128">
        <v>7</v>
      </c>
      <c r="I118" s="125">
        <v>53</v>
      </c>
      <c r="J118" s="125">
        <v>2</v>
      </c>
      <c r="K118" s="13">
        <v>45537</v>
      </c>
      <c r="L118" s="125">
        <v>64</v>
      </c>
      <c r="M118" s="130">
        <v>18</v>
      </c>
      <c r="N118">
        <f t="shared" si="1"/>
        <v>0.28125</v>
      </c>
    </row>
    <row r="119" spans="1:14" x14ac:dyDescent="0.35">
      <c r="A119" s="125" t="s">
        <v>24</v>
      </c>
      <c r="B119" s="79"/>
      <c r="C119" s="79"/>
      <c r="D119" s="126" t="s">
        <v>26</v>
      </c>
      <c r="E119">
        <v>1983</v>
      </c>
      <c r="F119" s="125">
        <v>4</v>
      </c>
      <c r="G119" s="128">
        <v>6</v>
      </c>
      <c r="H119" s="128">
        <v>7</v>
      </c>
      <c r="I119" s="125">
        <v>54</v>
      </c>
      <c r="J119" s="125">
        <v>2</v>
      </c>
      <c r="K119" s="13">
        <v>45537</v>
      </c>
      <c r="L119" s="125">
        <v>74</v>
      </c>
      <c r="M119" s="130">
        <v>4</v>
      </c>
      <c r="N119">
        <f t="shared" si="1"/>
        <v>5.4054054054054057E-2</v>
      </c>
    </row>
    <row r="120" spans="1:14" x14ac:dyDescent="0.35">
      <c r="A120" s="125" t="s">
        <v>24</v>
      </c>
      <c r="B120" s="79"/>
      <c r="C120" s="79"/>
      <c r="D120" s="126" t="s">
        <v>335</v>
      </c>
      <c r="E120">
        <v>2023</v>
      </c>
      <c r="F120" s="125">
        <v>4</v>
      </c>
      <c r="G120" s="128">
        <v>7</v>
      </c>
      <c r="H120" s="128">
        <v>7</v>
      </c>
      <c r="I120" s="125">
        <v>55</v>
      </c>
      <c r="J120" s="125">
        <v>2</v>
      </c>
      <c r="K120" s="13">
        <v>45537</v>
      </c>
      <c r="L120" s="125">
        <v>59</v>
      </c>
      <c r="M120" s="130">
        <v>6</v>
      </c>
      <c r="N120">
        <f t="shared" si="1"/>
        <v>0.10169491525423729</v>
      </c>
    </row>
    <row r="121" spans="1:14" x14ac:dyDescent="0.35">
      <c r="A121" s="125" t="s">
        <v>24</v>
      </c>
      <c r="B121" s="79"/>
      <c r="C121" s="79"/>
      <c r="D121" s="126" t="s">
        <v>336</v>
      </c>
      <c r="E121">
        <v>2002</v>
      </c>
      <c r="F121" s="125">
        <v>4</v>
      </c>
      <c r="G121" s="128">
        <v>8</v>
      </c>
      <c r="H121" s="128">
        <v>7</v>
      </c>
      <c r="I121" s="125">
        <v>56</v>
      </c>
      <c r="J121" s="125">
        <v>2</v>
      </c>
      <c r="K121" s="13">
        <v>45537</v>
      </c>
      <c r="L121" s="125">
        <v>60</v>
      </c>
      <c r="M121" s="130">
        <v>0</v>
      </c>
      <c r="N121">
        <f t="shared" si="1"/>
        <v>0</v>
      </c>
    </row>
    <row r="122" spans="1:14" x14ac:dyDescent="0.35">
      <c r="A122" s="125" t="s">
        <v>34</v>
      </c>
      <c r="D122" s="127" t="s">
        <v>39</v>
      </c>
      <c r="E122">
        <v>2001</v>
      </c>
      <c r="F122" s="125">
        <v>4</v>
      </c>
      <c r="G122" s="128">
        <v>1</v>
      </c>
      <c r="H122" s="128">
        <v>8</v>
      </c>
      <c r="I122" s="125">
        <v>57</v>
      </c>
      <c r="J122" s="125">
        <v>2</v>
      </c>
      <c r="K122" s="13">
        <v>45537</v>
      </c>
      <c r="L122" s="125">
        <v>48</v>
      </c>
      <c r="M122" s="130">
        <v>10</v>
      </c>
      <c r="N122">
        <f t="shared" si="1"/>
        <v>0.20833333333333334</v>
      </c>
    </row>
    <row r="123" spans="1:14" x14ac:dyDescent="0.35">
      <c r="A123" s="125" t="s">
        <v>34</v>
      </c>
      <c r="D123" s="127" t="s">
        <v>37</v>
      </c>
      <c r="E123">
        <v>1989</v>
      </c>
      <c r="F123" s="125">
        <v>4</v>
      </c>
      <c r="G123" s="128">
        <v>2</v>
      </c>
      <c r="H123" s="128">
        <v>8</v>
      </c>
      <c r="I123" s="125">
        <v>58</v>
      </c>
      <c r="J123" s="125">
        <v>2</v>
      </c>
      <c r="K123" s="13">
        <v>45537</v>
      </c>
      <c r="L123" s="125">
        <v>67</v>
      </c>
      <c r="M123" s="130">
        <v>0</v>
      </c>
      <c r="N123">
        <f t="shared" si="1"/>
        <v>0</v>
      </c>
    </row>
    <row r="124" spans="1:14" x14ac:dyDescent="0.35">
      <c r="A124" s="125" t="s">
        <v>34</v>
      </c>
      <c r="D124" s="127" t="s">
        <v>36</v>
      </c>
      <c r="E124">
        <v>1984</v>
      </c>
      <c r="F124" s="125">
        <v>4</v>
      </c>
      <c r="G124" s="128">
        <v>3</v>
      </c>
      <c r="H124" s="128">
        <v>8</v>
      </c>
      <c r="I124" s="125">
        <v>59</v>
      </c>
      <c r="J124" s="125">
        <v>2</v>
      </c>
      <c r="K124" s="13">
        <v>45537</v>
      </c>
      <c r="L124" s="125">
        <v>52</v>
      </c>
      <c r="M124" s="130">
        <v>0</v>
      </c>
      <c r="N124">
        <f t="shared" si="1"/>
        <v>0</v>
      </c>
    </row>
    <row r="125" spans="1:14" x14ac:dyDescent="0.35">
      <c r="A125" s="125" t="s">
        <v>34</v>
      </c>
      <c r="D125" s="127" t="s">
        <v>343</v>
      </c>
      <c r="E125">
        <v>2004</v>
      </c>
      <c r="F125" s="125">
        <v>4</v>
      </c>
      <c r="G125" s="128">
        <v>4</v>
      </c>
      <c r="H125" s="128">
        <v>8</v>
      </c>
      <c r="I125" s="125">
        <v>60</v>
      </c>
      <c r="J125" s="125">
        <v>2</v>
      </c>
      <c r="K125" s="13">
        <v>45537</v>
      </c>
      <c r="L125" s="125">
        <v>55</v>
      </c>
      <c r="M125" s="130">
        <v>1</v>
      </c>
      <c r="N125">
        <f t="shared" si="1"/>
        <v>1.8181818181818181E-2</v>
      </c>
    </row>
    <row r="126" spans="1:14" x14ac:dyDescent="0.35">
      <c r="A126" s="125" t="s">
        <v>34</v>
      </c>
      <c r="D126" s="127" t="s">
        <v>41</v>
      </c>
      <c r="E126">
        <v>2008</v>
      </c>
      <c r="F126" s="125">
        <v>4</v>
      </c>
      <c r="G126" s="128">
        <v>5</v>
      </c>
      <c r="H126" s="128">
        <v>8</v>
      </c>
      <c r="I126" s="125">
        <v>61</v>
      </c>
      <c r="J126" s="125">
        <v>2</v>
      </c>
      <c r="K126" s="13">
        <v>45537</v>
      </c>
      <c r="L126" s="125">
        <v>40</v>
      </c>
      <c r="M126" s="132">
        <v>22</v>
      </c>
      <c r="N126">
        <f t="shared" si="1"/>
        <v>0.55000000000000004</v>
      </c>
    </row>
    <row r="127" spans="1:14" x14ac:dyDescent="0.35">
      <c r="A127" s="125" t="s">
        <v>34</v>
      </c>
      <c r="D127" s="127" t="s">
        <v>38</v>
      </c>
      <c r="E127">
        <v>1999</v>
      </c>
      <c r="F127" s="125">
        <v>4</v>
      </c>
      <c r="G127" s="128">
        <v>6</v>
      </c>
      <c r="H127" s="128">
        <v>8</v>
      </c>
      <c r="I127" s="125">
        <v>62</v>
      </c>
      <c r="J127" s="125">
        <v>2</v>
      </c>
      <c r="K127" s="13">
        <v>45537</v>
      </c>
      <c r="L127" s="125">
        <v>54</v>
      </c>
      <c r="M127" s="130">
        <v>1</v>
      </c>
      <c r="N127">
        <f t="shared" si="1"/>
        <v>1.8518518518518517E-2</v>
      </c>
    </row>
    <row r="128" spans="1:14" x14ac:dyDescent="0.35">
      <c r="A128" s="125" t="s">
        <v>34</v>
      </c>
      <c r="D128" s="127" t="s">
        <v>42</v>
      </c>
      <c r="E128">
        <v>2016</v>
      </c>
      <c r="F128" s="125">
        <v>4</v>
      </c>
      <c r="G128" s="128">
        <v>7</v>
      </c>
      <c r="H128" s="128">
        <v>8</v>
      </c>
      <c r="I128" s="125">
        <v>63</v>
      </c>
      <c r="J128" s="125">
        <v>2</v>
      </c>
      <c r="K128" s="13">
        <v>45537</v>
      </c>
      <c r="L128" s="125">
        <v>42</v>
      </c>
      <c r="M128" s="130">
        <v>20</v>
      </c>
      <c r="N128">
        <f t="shared" si="1"/>
        <v>0.47619047619047616</v>
      </c>
    </row>
    <row r="129" spans="1:14" x14ac:dyDescent="0.35">
      <c r="A129" s="125" t="s">
        <v>34</v>
      </c>
      <c r="D129" s="127" t="s">
        <v>43</v>
      </c>
      <c r="E129">
        <v>2020</v>
      </c>
      <c r="F129" s="125">
        <v>4</v>
      </c>
      <c r="G129" s="128">
        <v>8</v>
      </c>
      <c r="H129" s="128">
        <v>8</v>
      </c>
      <c r="I129" s="125">
        <v>64</v>
      </c>
      <c r="J129" s="125">
        <v>2</v>
      </c>
      <c r="K129" s="13">
        <v>45537</v>
      </c>
      <c r="L129" s="125">
        <v>38</v>
      </c>
      <c r="M129" s="130">
        <v>0</v>
      </c>
      <c r="N129">
        <f t="shared" si="1"/>
        <v>0</v>
      </c>
    </row>
    <row r="130" spans="1:14" x14ac:dyDescent="0.35">
      <c r="A130" s="125" t="s">
        <v>24</v>
      </c>
      <c r="B130" s="79"/>
      <c r="C130" s="79"/>
      <c r="D130" s="126" t="s">
        <v>27</v>
      </c>
      <c r="E130">
        <v>1985</v>
      </c>
      <c r="F130" s="125">
        <v>1</v>
      </c>
      <c r="G130" s="128">
        <v>1</v>
      </c>
      <c r="H130" s="128">
        <v>1</v>
      </c>
      <c r="I130" s="125">
        <v>1</v>
      </c>
      <c r="J130" s="125">
        <v>3</v>
      </c>
      <c r="K130" s="13">
        <v>45541</v>
      </c>
      <c r="L130" s="125">
        <v>78</v>
      </c>
      <c r="M130" s="130">
        <v>0</v>
      </c>
      <c r="N130">
        <f t="shared" si="1"/>
        <v>0</v>
      </c>
    </row>
    <row r="131" spans="1:14" x14ac:dyDescent="0.35">
      <c r="A131" s="125" t="s">
        <v>24</v>
      </c>
      <c r="B131" s="79"/>
      <c r="C131" s="79"/>
      <c r="D131" s="126" t="s">
        <v>26</v>
      </c>
      <c r="E131">
        <v>1983</v>
      </c>
      <c r="F131" s="125">
        <v>1</v>
      </c>
      <c r="G131" s="128">
        <v>2</v>
      </c>
      <c r="H131" s="128">
        <v>1</v>
      </c>
      <c r="I131" s="125">
        <v>2</v>
      </c>
      <c r="J131" s="125">
        <v>3</v>
      </c>
      <c r="K131" s="13">
        <v>45541</v>
      </c>
      <c r="L131" s="125">
        <v>67</v>
      </c>
      <c r="M131" s="130">
        <v>2</v>
      </c>
      <c r="N131">
        <f t="shared" ref="N131:N194" si="2">M131/L131</f>
        <v>2.9850746268656716E-2</v>
      </c>
    </row>
    <row r="132" spans="1:14" x14ac:dyDescent="0.35">
      <c r="A132" s="125" t="s">
        <v>24</v>
      </c>
      <c r="B132" s="79"/>
      <c r="C132" s="79"/>
      <c r="D132" s="126" t="s">
        <v>335</v>
      </c>
      <c r="E132">
        <v>2023</v>
      </c>
      <c r="F132" s="125">
        <v>1</v>
      </c>
      <c r="G132" s="128">
        <v>3</v>
      </c>
      <c r="H132" s="128">
        <v>1</v>
      </c>
      <c r="I132" s="125">
        <v>3</v>
      </c>
      <c r="J132" s="125">
        <v>3</v>
      </c>
      <c r="K132" s="13">
        <v>45541</v>
      </c>
      <c r="L132" s="125">
        <v>60</v>
      </c>
      <c r="M132" s="132">
        <v>47</v>
      </c>
      <c r="N132">
        <f t="shared" si="2"/>
        <v>0.78333333333333333</v>
      </c>
    </row>
    <row r="133" spans="1:14" x14ac:dyDescent="0.35">
      <c r="A133" s="125" t="s">
        <v>24</v>
      </c>
      <c r="B133" s="79"/>
      <c r="C133" s="79"/>
      <c r="D133" s="126" t="s">
        <v>29</v>
      </c>
      <c r="E133">
        <v>1999</v>
      </c>
      <c r="F133" s="125">
        <v>1</v>
      </c>
      <c r="G133" s="128">
        <v>4</v>
      </c>
      <c r="H133" s="128">
        <v>1</v>
      </c>
      <c r="I133" s="125">
        <v>4</v>
      </c>
      <c r="J133" s="125">
        <v>3</v>
      </c>
      <c r="K133" s="13">
        <v>45541</v>
      </c>
      <c r="L133" s="125">
        <v>108</v>
      </c>
      <c r="M133" s="130">
        <v>2</v>
      </c>
      <c r="N133">
        <f t="shared" si="2"/>
        <v>1.8518518518518517E-2</v>
      </c>
    </row>
    <row r="134" spans="1:14" x14ac:dyDescent="0.35">
      <c r="A134" s="125" t="s">
        <v>24</v>
      </c>
      <c r="B134" s="79"/>
      <c r="C134" s="79"/>
      <c r="D134" s="126" t="s">
        <v>336</v>
      </c>
      <c r="E134">
        <v>2002</v>
      </c>
      <c r="F134" s="125">
        <v>1</v>
      </c>
      <c r="G134" s="128">
        <v>5</v>
      </c>
      <c r="H134" s="128">
        <v>1</v>
      </c>
      <c r="I134" s="125">
        <v>5</v>
      </c>
      <c r="J134" s="125">
        <v>3</v>
      </c>
      <c r="K134" s="13">
        <v>45541</v>
      </c>
      <c r="L134" s="125">
        <v>78</v>
      </c>
      <c r="M134" s="130">
        <v>0</v>
      </c>
      <c r="N134">
        <f t="shared" si="2"/>
        <v>0</v>
      </c>
    </row>
    <row r="135" spans="1:14" x14ac:dyDescent="0.35">
      <c r="A135" s="125" t="s">
        <v>24</v>
      </c>
      <c r="B135" s="79"/>
      <c r="C135" s="79"/>
      <c r="D135" s="126" t="s">
        <v>32</v>
      </c>
      <c r="E135">
        <v>2018</v>
      </c>
      <c r="F135" s="125">
        <v>1</v>
      </c>
      <c r="G135" s="128">
        <v>6</v>
      </c>
      <c r="H135" s="128">
        <v>1</v>
      </c>
      <c r="I135" s="125">
        <v>6</v>
      </c>
      <c r="J135" s="125">
        <v>3</v>
      </c>
      <c r="K135" s="13">
        <v>45541</v>
      </c>
      <c r="L135" s="125">
        <v>74</v>
      </c>
      <c r="M135" s="130">
        <v>2</v>
      </c>
      <c r="N135">
        <f t="shared" si="2"/>
        <v>2.7027027027027029E-2</v>
      </c>
    </row>
    <row r="136" spans="1:14" x14ac:dyDescent="0.35">
      <c r="A136" s="125" t="s">
        <v>24</v>
      </c>
      <c r="B136" s="79"/>
      <c r="C136" s="79"/>
      <c r="D136" s="126" t="s">
        <v>28</v>
      </c>
      <c r="E136">
        <v>1998</v>
      </c>
      <c r="F136" s="125">
        <v>1</v>
      </c>
      <c r="G136" s="128">
        <v>7</v>
      </c>
      <c r="H136" s="128">
        <v>1</v>
      </c>
      <c r="I136" s="125">
        <v>7</v>
      </c>
      <c r="J136" s="125">
        <v>3</v>
      </c>
      <c r="K136" s="13">
        <v>45541</v>
      </c>
      <c r="L136" s="125">
        <v>90</v>
      </c>
      <c r="M136" s="130">
        <v>17</v>
      </c>
      <c r="N136">
        <f t="shared" si="2"/>
        <v>0.18888888888888888</v>
      </c>
    </row>
    <row r="137" spans="1:14" x14ac:dyDescent="0.35">
      <c r="A137" s="125" t="s">
        <v>24</v>
      </c>
      <c r="B137" s="79"/>
      <c r="C137" s="79"/>
      <c r="D137" s="126" t="s">
        <v>337</v>
      </c>
      <c r="E137">
        <v>2016</v>
      </c>
      <c r="F137" s="125">
        <v>1</v>
      </c>
      <c r="G137" s="128">
        <v>8</v>
      </c>
      <c r="H137" s="128">
        <v>1</v>
      </c>
      <c r="I137" s="125">
        <v>8</v>
      </c>
      <c r="J137" s="125">
        <v>3</v>
      </c>
      <c r="K137" s="13">
        <v>45541</v>
      </c>
      <c r="L137" s="125">
        <v>50</v>
      </c>
      <c r="M137" s="130">
        <v>0</v>
      </c>
      <c r="N137">
        <f t="shared" si="2"/>
        <v>0</v>
      </c>
    </row>
    <row r="138" spans="1:14" x14ac:dyDescent="0.35">
      <c r="A138" s="125" t="s">
        <v>34</v>
      </c>
      <c r="D138" s="127" t="s">
        <v>42</v>
      </c>
      <c r="E138">
        <v>2016</v>
      </c>
      <c r="F138" s="125">
        <v>1</v>
      </c>
      <c r="G138" s="128">
        <v>1</v>
      </c>
      <c r="H138" s="128">
        <v>2</v>
      </c>
      <c r="I138" s="125">
        <v>9</v>
      </c>
      <c r="J138" s="125">
        <v>3</v>
      </c>
      <c r="K138" s="13">
        <v>45541</v>
      </c>
      <c r="L138" s="125">
        <v>43</v>
      </c>
      <c r="M138" s="132">
        <v>30</v>
      </c>
      <c r="N138">
        <f t="shared" si="2"/>
        <v>0.69767441860465118</v>
      </c>
    </row>
    <row r="139" spans="1:14" x14ac:dyDescent="0.35">
      <c r="A139" s="125" t="s">
        <v>34</v>
      </c>
      <c r="D139" s="127" t="s">
        <v>38</v>
      </c>
      <c r="E139">
        <v>1999</v>
      </c>
      <c r="F139" s="125">
        <v>1</v>
      </c>
      <c r="G139" s="128">
        <v>2</v>
      </c>
      <c r="H139" s="128">
        <v>2</v>
      </c>
      <c r="I139" s="125">
        <v>10</v>
      </c>
      <c r="J139" s="125">
        <v>3</v>
      </c>
      <c r="K139" s="13">
        <v>45541</v>
      </c>
      <c r="L139" s="125">
        <v>59</v>
      </c>
      <c r="M139" s="130">
        <v>4</v>
      </c>
      <c r="N139">
        <f t="shared" si="2"/>
        <v>6.7796610169491525E-2</v>
      </c>
    </row>
    <row r="140" spans="1:14" x14ac:dyDescent="0.35">
      <c r="A140" s="125" t="s">
        <v>34</v>
      </c>
      <c r="D140" s="127" t="s">
        <v>43</v>
      </c>
      <c r="E140">
        <v>2020</v>
      </c>
      <c r="F140" s="125">
        <v>1</v>
      </c>
      <c r="G140" s="128">
        <v>3</v>
      </c>
      <c r="H140" s="128">
        <v>2</v>
      </c>
      <c r="I140" s="125">
        <v>11</v>
      </c>
      <c r="J140" s="125">
        <v>3</v>
      </c>
      <c r="K140" s="13">
        <v>45541</v>
      </c>
      <c r="L140" s="125">
        <v>42</v>
      </c>
      <c r="M140" s="130">
        <v>0</v>
      </c>
      <c r="N140">
        <f t="shared" si="2"/>
        <v>0</v>
      </c>
    </row>
    <row r="141" spans="1:14" x14ac:dyDescent="0.35">
      <c r="A141" s="125" t="s">
        <v>34</v>
      </c>
      <c r="D141" s="127" t="s">
        <v>41</v>
      </c>
      <c r="E141">
        <v>2008</v>
      </c>
      <c r="F141" s="125">
        <v>1</v>
      </c>
      <c r="G141" s="128">
        <v>4</v>
      </c>
      <c r="H141" s="128">
        <v>2</v>
      </c>
      <c r="I141" s="125">
        <v>12</v>
      </c>
      <c r="J141" s="125">
        <v>3</v>
      </c>
      <c r="K141" s="13">
        <v>45541</v>
      </c>
      <c r="L141" s="125">
        <v>39</v>
      </c>
      <c r="M141" s="132">
        <v>21</v>
      </c>
      <c r="N141">
        <f t="shared" si="2"/>
        <v>0.53846153846153844</v>
      </c>
    </row>
    <row r="142" spans="1:14" x14ac:dyDescent="0.35">
      <c r="A142" s="125" t="s">
        <v>34</v>
      </c>
      <c r="D142" s="127" t="s">
        <v>37</v>
      </c>
      <c r="E142">
        <v>1989</v>
      </c>
      <c r="F142" s="125">
        <v>1</v>
      </c>
      <c r="G142" s="128">
        <v>5</v>
      </c>
      <c r="H142" s="128">
        <v>2</v>
      </c>
      <c r="I142" s="125">
        <v>13</v>
      </c>
      <c r="J142" s="125">
        <v>3</v>
      </c>
      <c r="K142" s="13">
        <v>45541</v>
      </c>
      <c r="L142" s="125">
        <v>48</v>
      </c>
      <c r="M142" s="130">
        <v>0</v>
      </c>
      <c r="N142">
        <f t="shared" si="2"/>
        <v>0</v>
      </c>
    </row>
    <row r="143" spans="1:14" x14ac:dyDescent="0.35">
      <c r="A143" s="125" t="s">
        <v>34</v>
      </c>
      <c r="D143" s="127" t="s">
        <v>343</v>
      </c>
      <c r="E143">
        <v>2004</v>
      </c>
      <c r="F143" s="125">
        <v>1</v>
      </c>
      <c r="G143" s="128">
        <v>6</v>
      </c>
      <c r="H143" s="128">
        <v>2</v>
      </c>
      <c r="I143" s="125">
        <v>14</v>
      </c>
      <c r="J143" s="125">
        <v>3</v>
      </c>
      <c r="K143" s="13">
        <v>45541</v>
      </c>
      <c r="L143" s="125">
        <v>44</v>
      </c>
      <c r="M143" s="130">
        <v>12</v>
      </c>
      <c r="N143">
        <f t="shared" si="2"/>
        <v>0.27272727272727271</v>
      </c>
    </row>
    <row r="144" spans="1:14" x14ac:dyDescent="0.35">
      <c r="A144" s="125" t="s">
        <v>34</v>
      </c>
      <c r="D144" s="127" t="s">
        <v>36</v>
      </c>
      <c r="E144">
        <v>1984</v>
      </c>
      <c r="F144" s="125">
        <v>1</v>
      </c>
      <c r="G144" s="128">
        <v>7</v>
      </c>
      <c r="H144" s="128">
        <v>2</v>
      </c>
      <c r="I144" s="125">
        <v>15</v>
      </c>
      <c r="J144" s="125">
        <v>3</v>
      </c>
      <c r="K144" s="13">
        <v>45541</v>
      </c>
      <c r="L144" s="125">
        <v>44</v>
      </c>
      <c r="M144" s="130">
        <v>0</v>
      </c>
      <c r="N144">
        <f t="shared" si="2"/>
        <v>0</v>
      </c>
    </row>
    <row r="145" spans="1:14" x14ac:dyDescent="0.35">
      <c r="A145" s="125" t="s">
        <v>34</v>
      </c>
      <c r="D145" s="127" t="s">
        <v>39</v>
      </c>
      <c r="E145">
        <v>2001</v>
      </c>
      <c r="F145" s="125">
        <v>1</v>
      </c>
      <c r="G145" s="128">
        <v>8</v>
      </c>
      <c r="H145" s="128">
        <v>2</v>
      </c>
      <c r="I145" s="125">
        <v>16</v>
      </c>
      <c r="J145" s="125">
        <v>3</v>
      </c>
      <c r="K145" s="13">
        <v>45541</v>
      </c>
      <c r="L145" s="125">
        <v>56</v>
      </c>
      <c r="M145" s="130">
        <v>26</v>
      </c>
      <c r="N145">
        <f t="shared" si="2"/>
        <v>0.4642857142857143</v>
      </c>
    </row>
    <row r="146" spans="1:14" x14ac:dyDescent="0.35">
      <c r="A146" s="125" t="s">
        <v>24</v>
      </c>
      <c r="B146" s="79"/>
      <c r="C146" s="79"/>
      <c r="D146" s="126" t="s">
        <v>335</v>
      </c>
      <c r="E146">
        <v>2023</v>
      </c>
      <c r="F146" s="125">
        <v>2</v>
      </c>
      <c r="G146" s="128">
        <v>1</v>
      </c>
      <c r="H146" s="128">
        <v>3</v>
      </c>
      <c r="I146" s="125">
        <v>17</v>
      </c>
      <c r="J146" s="125">
        <v>3</v>
      </c>
      <c r="K146" s="13">
        <v>45541</v>
      </c>
      <c r="L146" s="125">
        <v>55</v>
      </c>
      <c r="M146" s="130">
        <v>40</v>
      </c>
      <c r="N146">
        <f t="shared" si="2"/>
        <v>0.72727272727272729</v>
      </c>
    </row>
    <row r="147" spans="1:14" x14ac:dyDescent="0.35">
      <c r="A147" s="125" t="s">
        <v>24</v>
      </c>
      <c r="B147" s="79"/>
      <c r="C147" s="79"/>
      <c r="D147" s="126" t="s">
        <v>28</v>
      </c>
      <c r="E147">
        <v>1998</v>
      </c>
      <c r="F147" s="125">
        <v>2</v>
      </c>
      <c r="G147" s="128">
        <v>2</v>
      </c>
      <c r="H147" s="128">
        <v>3</v>
      </c>
      <c r="I147" s="125">
        <v>18</v>
      </c>
      <c r="J147" s="125">
        <v>3</v>
      </c>
      <c r="K147" s="13">
        <v>45541</v>
      </c>
      <c r="L147" s="125">
        <v>67</v>
      </c>
      <c r="M147" s="132">
        <v>34</v>
      </c>
      <c r="N147">
        <f t="shared" si="2"/>
        <v>0.5074626865671642</v>
      </c>
    </row>
    <row r="148" spans="1:14" x14ac:dyDescent="0.35">
      <c r="A148" s="125" t="s">
        <v>24</v>
      </c>
      <c r="B148" s="79"/>
      <c r="C148" s="79"/>
      <c r="D148" s="126" t="s">
        <v>26</v>
      </c>
      <c r="E148">
        <v>1983</v>
      </c>
      <c r="F148" s="125">
        <v>2</v>
      </c>
      <c r="G148" s="128">
        <v>3</v>
      </c>
      <c r="H148" s="128">
        <v>3</v>
      </c>
      <c r="I148" s="125">
        <v>19</v>
      </c>
      <c r="J148" s="125">
        <v>3</v>
      </c>
      <c r="K148" s="13">
        <v>45541</v>
      </c>
      <c r="L148" s="125">
        <v>67</v>
      </c>
      <c r="M148" s="130">
        <v>5</v>
      </c>
      <c r="N148">
        <f t="shared" si="2"/>
        <v>7.4626865671641784E-2</v>
      </c>
    </row>
    <row r="149" spans="1:14" x14ac:dyDescent="0.35">
      <c r="A149" s="125" t="s">
        <v>24</v>
      </c>
      <c r="B149" s="79"/>
      <c r="C149" s="79"/>
      <c r="D149" s="126" t="s">
        <v>336</v>
      </c>
      <c r="E149">
        <v>2002</v>
      </c>
      <c r="F149" s="125">
        <v>2</v>
      </c>
      <c r="G149" s="128">
        <v>4</v>
      </c>
      <c r="H149" s="128">
        <v>3</v>
      </c>
      <c r="I149" s="125">
        <v>20</v>
      </c>
      <c r="J149" s="125">
        <v>3</v>
      </c>
      <c r="K149" s="13">
        <v>45541</v>
      </c>
      <c r="L149" s="125">
        <v>53</v>
      </c>
      <c r="M149" s="130">
        <v>0</v>
      </c>
      <c r="N149">
        <f t="shared" si="2"/>
        <v>0</v>
      </c>
    </row>
    <row r="150" spans="1:14" x14ac:dyDescent="0.35">
      <c r="A150" s="125" t="s">
        <v>24</v>
      </c>
      <c r="B150" s="79"/>
      <c r="C150" s="79"/>
      <c r="D150" s="126" t="s">
        <v>29</v>
      </c>
      <c r="E150">
        <v>1999</v>
      </c>
      <c r="F150" s="125">
        <v>2</v>
      </c>
      <c r="G150" s="128">
        <v>5</v>
      </c>
      <c r="H150" s="128">
        <v>3</v>
      </c>
      <c r="I150" s="125">
        <v>21</v>
      </c>
      <c r="J150" s="125">
        <v>3</v>
      </c>
      <c r="K150" s="13">
        <v>45541</v>
      </c>
      <c r="L150" s="125">
        <v>63</v>
      </c>
      <c r="M150" s="130">
        <v>1</v>
      </c>
      <c r="N150">
        <f t="shared" si="2"/>
        <v>1.5873015873015872E-2</v>
      </c>
    </row>
    <row r="151" spans="1:14" x14ac:dyDescent="0.35">
      <c r="A151" s="125" t="s">
        <v>24</v>
      </c>
      <c r="B151" s="79"/>
      <c r="C151" s="79"/>
      <c r="D151" s="126" t="s">
        <v>337</v>
      </c>
      <c r="E151">
        <v>2016</v>
      </c>
      <c r="F151" s="125">
        <v>2</v>
      </c>
      <c r="G151" s="128">
        <v>6</v>
      </c>
      <c r="H151" s="128">
        <v>3</v>
      </c>
      <c r="I151" s="125">
        <v>22</v>
      </c>
      <c r="J151" s="125">
        <v>3</v>
      </c>
      <c r="K151" s="13">
        <v>45541</v>
      </c>
      <c r="L151" s="125">
        <v>63</v>
      </c>
      <c r="M151" s="130">
        <v>0</v>
      </c>
      <c r="N151">
        <f t="shared" si="2"/>
        <v>0</v>
      </c>
    </row>
    <row r="152" spans="1:14" x14ac:dyDescent="0.35">
      <c r="A152" s="125" t="s">
        <v>24</v>
      </c>
      <c r="B152" s="79"/>
      <c r="C152" s="79"/>
      <c r="D152" s="126" t="s">
        <v>32</v>
      </c>
      <c r="E152">
        <v>2018</v>
      </c>
      <c r="F152" s="125">
        <v>2</v>
      </c>
      <c r="G152" s="128">
        <v>7</v>
      </c>
      <c r="H152" s="128">
        <v>3</v>
      </c>
      <c r="I152" s="125">
        <v>23</v>
      </c>
      <c r="J152" s="125">
        <v>3</v>
      </c>
      <c r="K152" s="13">
        <v>45541</v>
      </c>
      <c r="L152" s="125">
        <v>53</v>
      </c>
      <c r="M152" s="130">
        <v>3</v>
      </c>
      <c r="N152">
        <f t="shared" si="2"/>
        <v>5.6603773584905662E-2</v>
      </c>
    </row>
    <row r="153" spans="1:14" x14ac:dyDescent="0.35">
      <c r="A153" s="125" t="s">
        <v>24</v>
      </c>
      <c r="B153" s="79"/>
      <c r="C153" s="79"/>
      <c r="D153" s="126" t="s">
        <v>27</v>
      </c>
      <c r="E153">
        <v>1985</v>
      </c>
      <c r="F153" s="125">
        <v>2</v>
      </c>
      <c r="G153" s="128">
        <v>8</v>
      </c>
      <c r="H153" s="128">
        <v>3</v>
      </c>
      <c r="I153" s="125">
        <v>24</v>
      </c>
      <c r="J153" s="125">
        <v>3</v>
      </c>
      <c r="K153" s="13">
        <v>45541</v>
      </c>
      <c r="L153" s="125">
        <v>65</v>
      </c>
      <c r="M153" s="130">
        <v>0</v>
      </c>
      <c r="N153">
        <f t="shared" si="2"/>
        <v>0</v>
      </c>
    </row>
    <row r="154" spans="1:14" x14ac:dyDescent="0.35">
      <c r="A154" s="125" t="s">
        <v>34</v>
      </c>
      <c r="B154" s="71"/>
      <c r="C154" s="72"/>
      <c r="D154" s="127" t="s">
        <v>343</v>
      </c>
      <c r="E154">
        <v>2004</v>
      </c>
      <c r="F154" s="125">
        <v>2</v>
      </c>
      <c r="G154" s="128">
        <v>1</v>
      </c>
      <c r="H154" s="128">
        <v>4</v>
      </c>
      <c r="I154" s="125">
        <v>25</v>
      </c>
      <c r="J154" s="125">
        <v>3</v>
      </c>
      <c r="K154" s="13">
        <v>45541</v>
      </c>
      <c r="L154" s="125">
        <v>55</v>
      </c>
      <c r="M154" s="130">
        <v>11</v>
      </c>
      <c r="N154">
        <f t="shared" si="2"/>
        <v>0.2</v>
      </c>
    </row>
    <row r="155" spans="1:14" x14ac:dyDescent="0.35">
      <c r="A155" s="125" t="s">
        <v>34</v>
      </c>
      <c r="D155" s="127" t="s">
        <v>43</v>
      </c>
      <c r="E155">
        <v>2020</v>
      </c>
      <c r="F155" s="125">
        <v>2</v>
      </c>
      <c r="G155" s="128">
        <v>2</v>
      </c>
      <c r="H155" s="128">
        <v>4</v>
      </c>
      <c r="I155" s="125">
        <v>26</v>
      </c>
      <c r="J155" s="125">
        <v>3</v>
      </c>
      <c r="K155" s="13">
        <v>45541</v>
      </c>
      <c r="L155" s="125">
        <v>49</v>
      </c>
      <c r="M155" s="130">
        <v>3</v>
      </c>
      <c r="N155">
        <f t="shared" si="2"/>
        <v>6.1224489795918366E-2</v>
      </c>
    </row>
    <row r="156" spans="1:14" x14ac:dyDescent="0.35">
      <c r="A156" s="125" t="s">
        <v>34</v>
      </c>
      <c r="D156" s="127" t="s">
        <v>38</v>
      </c>
      <c r="E156">
        <v>1999</v>
      </c>
      <c r="F156" s="125">
        <v>2</v>
      </c>
      <c r="G156" s="128">
        <v>3</v>
      </c>
      <c r="H156" s="128">
        <v>4</v>
      </c>
      <c r="I156" s="125">
        <v>27</v>
      </c>
      <c r="J156" s="125">
        <v>3</v>
      </c>
      <c r="K156" s="13">
        <v>45541</v>
      </c>
      <c r="L156" s="125">
        <v>48</v>
      </c>
      <c r="M156" s="130">
        <v>4</v>
      </c>
      <c r="N156">
        <f t="shared" si="2"/>
        <v>8.3333333333333329E-2</v>
      </c>
    </row>
    <row r="157" spans="1:14" x14ac:dyDescent="0.35">
      <c r="A157" s="125" t="s">
        <v>34</v>
      </c>
      <c r="D157" s="127" t="s">
        <v>39</v>
      </c>
      <c r="E157">
        <v>2001</v>
      </c>
      <c r="F157" s="125">
        <v>2</v>
      </c>
      <c r="G157" s="128">
        <v>4</v>
      </c>
      <c r="H157" s="128">
        <v>4</v>
      </c>
      <c r="I157" s="125">
        <v>28</v>
      </c>
      <c r="J157" s="125">
        <v>3</v>
      </c>
      <c r="K157" s="13">
        <v>45541</v>
      </c>
      <c r="L157" s="125">
        <v>36</v>
      </c>
      <c r="M157" s="130">
        <v>11</v>
      </c>
      <c r="N157">
        <f t="shared" si="2"/>
        <v>0.30555555555555558</v>
      </c>
    </row>
    <row r="158" spans="1:14" x14ac:dyDescent="0.35">
      <c r="A158" s="125" t="s">
        <v>34</v>
      </c>
      <c r="D158" s="127" t="s">
        <v>42</v>
      </c>
      <c r="E158">
        <v>2016</v>
      </c>
      <c r="F158" s="125">
        <v>2</v>
      </c>
      <c r="G158" s="128">
        <v>5</v>
      </c>
      <c r="H158" s="128">
        <v>4</v>
      </c>
      <c r="I158" s="125">
        <v>29</v>
      </c>
      <c r="J158" s="125">
        <v>3</v>
      </c>
      <c r="K158" s="13">
        <v>45541</v>
      </c>
      <c r="L158" s="125">
        <v>45</v>
      </c>
      <c r="M158" s="132">
        <v>25</v>
      </c>
      <c r="N158">
        <f t="shared" si="2"/>
        <v>0.55555555555555558</v>
      </c>
    </row>
    <row r="159" spans="1:14" x14ac:dyDescent="0.35">
      <c r="A159" s="125" t="s">
        <v>34</v>
      </c>
      <c r="D159" s="127" t="s">
        <v>36</v>
      </c>
      <c r="E159">
        <v>1984</v>
      </c>
      <c r="F159" s="125">
        <v>2</v>
      </c>
      <c r="G159" s="128">
        <v>6</v>
      </c>
      <c r="H159" s="128">
        <v>4</v>
      </c>
      <c r="I159" s="125">
        <v>30</v>
      </c>
      <c r="J159" s="125">
        <v>3</v>
      </c>
      <c r="K159" s="13">
        <v>45541</v>
      </c>
      <c r="L159" s="125">
        <v>48</v>
      </c>
      <c r="M159" s="130">
        <v>8</v>
      </c>
      <c r="N159">
        <f t="shared" si="2"/>
        <v>0.16666666666666666</v>
      </c>
    </row>
    <row r="160" spans="1:14" x14ac:dyDescent="0.35">
      <c r="A160" s="125" t="s">
        <v>34</v>
      </c>
      <c r="D160" s="127" t="s">
        <v>41</v>
      </c>
      <c r="E160">
        <v>2008</v>
      </c>
      <c r="F160" s="125">
        <v>2</v>
      </c>
      <c r="G160" s="128">
        <v>7</v>
      </c>
      <c r="H160" s="128">
        <v>4</v>
      </c>
      <c r="I160" s="125">
        <v>31</v>
      </c>
      <c r="J160" s="125">
        <v>3</v>
      </c>
      <c r="K160" s="13">
        <v>45541</v>
      </c>
      <c r="L160" s="125">
        <v>61</v>
      </c>
      <c r="M160" s="130">
        <v>51</v>
      </c>
      <c r="N160">
        <f t="shared" si="2"/>
        <v>0.83606557377049184</v>
      </c>
    </row>
    <row r="161" spans="1:14" x14ac:dyDescent="0.35">
      <c r="A161" s="125" t="s">
        <v>34</v>
      </c>
      <c r="D161" s="127" t="s">
        <v>37</v>
      </c>
      <c r="E161">
        <v>1989</v>
      </c>
      <c r="F161" s="125">
        <v>2</v>
      </c>
      <c r="G161" s="128">
        <v>8</v>
      </c>
      <c r="H161" s="128">
        <v>4</v>
      </c>
      <c r="I161" s="125">
        <v>32</v>
      </c>
      <c r="J161" s="125">
        <v>3</v>
      </c>
      <c r="K161" s="13">
        <v>45541</v>
      </c>
      <c r="L161" s="125">
        <v>64</v>
      </c>
      <c r="M161" s="130">
        <v>10</v>
      </c>
      <c r="N161">
        <f t="shared" si="2"/>
        <v>0.15625</v>
      </c>
    </row>
    <row r="162" spans="1:14" x14ac:dyDescent="0.35">
      <c r="A162" s="125" t="s">
        <v>24</v>
      </c>
      <c r="B162" s="79"/>
      <c r="C162" s="79"/>
      <c r="D162" s="126" t="s">
        <v>336</v>
      </c>
      <c r="E162">
        <v>2002</v>
      </c>
      <c r="F162" s="125">
        <v>3</v>
      </c>
      <c r="G162" s="128">
        <v>1</v>
      </c>
      <c r="H162" s="128">
        <v>5</v>
      </c>
      <c r="I162" s="125">
        <v>33</v>
      </c>
      <c r="J162" s="125">
        <v>3</v>
      </c>
      <c r="K162" s="13">
        <v>45541</v>
      </c>
      <c r="L162" s="125">
        <v>34</v>
      </c>
      <c r="M162" s="130">
        <v>0</v>
      </c>
      <c r="N162">
        <f t="shared" si="2"/>
        <v>0</v>
      </c>
    </row>
    <row r="163" spans="1:14" x14ac:dyDescent="0.35">
      <c r="A163" s="125" t="s">
        <v>24</v>
      </c>
      <c r="B163" s="79"/>
      <c r="C163" s="79"/>
      <c r="D163" s="126" t="s">
        <v>337</v>
      </c>
      <c r="E163">
        <v>2016</v>
      </c>
      <c r="F163" s="125">
        <v>3</v>
      </c>
      <c r="G163" s="128">
        <v>2</v>
      </c>
      <c r="H163" s="128">
        <v>5</v>
      </c>
      <c r="I163" s="125">
        <v>34</v>
      </c>
      <c r="J163" s="125">
        <v>3</v>
      </c>
      <c r="K163" s="13">
        <v>45541</v>
      </c>
      <c r="L163" s="125">
        <v>61</v>
      </c>
      <c r="M163" s="130">
        <v>4</v>
      </c>
      <c r="N163">
        <f t="shared" si="2"/>
        <v>6.5573770491803282E-2</v>
      </c>
    </row>
    <row r="164" spans="1:14" x14ac:dyDescent="0.35">
      <c r="A164" s="125" t="s">
        <v>24</v>
      </c>
      <c r="B164" s="79"/>
      <c r="C164" s="79"/>
      <c r="D164" s="126" t="s">
        <v>32</v>
      </c>
      <c r="E164">
        <v>2018</v>
      </c>
      <c r="F164" s="125">
        <v>3</v>
      </c>
      <c r="G164" s="128">
        <v>3</v>
      </c>
      <c r="H164" s="128">
        <v>5</v>
      </c>
      <c r="I164" s="125">
        <v>35</v>
      </c>
      <c r="J164" s="125">
        <v>3</v>
      </c>
      <c r="K164" s="13">
        <v>45541</v>
      </c>
      <c r="L164" s="125">
        <v>36</v>
      </c>
      <c r="M164" s="130">
        <v>4</v>
      </c>
      <c r="N164">
        <f t="shared" si="2"/>
        <v>0.1111111111111111</v>
      </c>
    </row>
    <row r="165" spans="1:14" x14ac:dyDescent="0.35">
      <c r="A165" s="125" t="s">
        <v>24</v>
      </c>
      <c r="B165" s="79"/>
      <c r="C165" s="79"/>
      <c r="D165" s="126" t="s">
        <v>28</v>
      </c>
      <c r="E165">
        <v>1998</v>
      </c>
      <c r="F165" s="125">
        <v>3</v>
      </c>
      <c r="G165" s="128">
        <v>4</v>
      </c>
      <c r="H165" s="128">
        <v>5</v>
      </c>
      <c r="I165" s="125">
        <v>36</v>
      </c>
      <c r="J165" s="125">
        <v>3</v>
      </c>
      <c r="K165" s="13">
        <v>45541</v>
      </c>
      <c r="L165" s="125">
        <v>44</v>
      </c>
      <c r="M165" s="132">
        <v>31</v>
      </c>
      <c r="N165">
        <f t="shared" si="2"/>
        <v>0.70454545454545459</v>
      </c>
    </row>
    <row r="166" spans="1:14" x14ac:dyDescent="0.35">
      <c r="A166" s="125" t="s">
        <v>24</v>
      </c>
      <c r="B166" s="79"/>
      <c r="C166" s="79"/>
      <c r="D166" s="126" t="s">
        <v>27</v>
      </c>
      <c r="E166">
        <v>1985</v>
      </c>
      <c r="F166" s="125">
        <v>3</v>
      </c>
      <c r="G166" s="128">
        <v>5</v>
      </c>
      <c r="H166" s="128">
        <v>5</v>
      </c>
      <c r="I166" s="125">
        <v>37</v>
      </c>
      <c r="J166" s="125">
        <v>3</v>
      </c>
      <c r="K166" s="13">
        <v>45541</v>
      </c>
      <c r="L166" s="125">
        <v>62</v>
      </c>
      <c r="M166" s="130">
        <v>5</v>
      </c>
      <c r="N166">
        <f t="shared" si="2"/>
        <v>8.0645161290322578E-2</v>
      </c>
    </row>
    <row r="167" spans="1:14" x14ac:dyDescent="0.35">
      <c r="A167" s="125" t="s">
        <v>24</v>
      </c>
      <c r="B167" s="79"/>
      <c r="C167" s="79"/>
      <c r="D167" s="126" t="s">
        <v>335</v>
      </c>
      <c r="E167">
        <v>2023</v>
      </c>
      <c r="F167" s="125">
        <v>3</v>
      </c>
      <c r="G167" s="128">
        <v>6</v>
      </c>
      <c r="H167" s="128">
        <v>5</v>
      </c>
      <c r="I167" s="125">
        <v>38</v>
      </c>
      <c r="J167" s="125">
        <v>3</v>
      </c>
      <c r="K167" s="13">
        <v>45541</v>
      </c>
      <c r="L167" s="125">
        <v>38</v>
      </c>
      <c r="M167" s="132">
        <v>26</v>
      </c>
      <c r="N167">
        <f t="shared" si="2"/>
        <v>0.68421052631578949</v>
      </c>
    </row>
    <row r="168" spans="1:14" x14ac:dyDescent="0.35">
      <c r="A168" s="125" t="s">
        <v>24</v>
      </c>
      <c r="B168" s="79"/>
      <c r="C168" s="79"/>
      <c r="D168" s="126" t="s">
        <v>29</v>
      </c>
      <c r="E168">
        <v>1999</v>
      </c>
      <c r="F168" s="125">
        <v>3</v>
      </c>
      <c r="G168" s="128">
        <v>7</v>
      </c>
      <c r="H168" s="128">
        <v>5</v>
      </c>
      <c r="I168" s="125">
        <v>39</v>
      </c>
      <c r="J168" s="125">
        <v>3</v>
      </c>
      <c r="K168" s="13">
        <v>45541</v>
      </c>
      <c r="L168" s="125">
        <v>50</v>
      </c>
      <c r="M168" s="130">
        <v>9</v>
      </c>
      <c r="N168">
        <f t="shared" si="2"/>
        <v>0.18</v>
      </c>
    </row>
    <row r="169" spans="1:14" x14ac:dyDescent="0.35">
      <c r="A169" s="125" t="s">
        <v>24</v>
      </c>
      <c r="B169" s="79"/>
      <c r="C169" s="79"/>
      <c r="D169" s="126" t="s">
        <v>26</v>
      </c>
      <c r="E169">
        <v>1983</v>
      </c>
      <c r="F169" s="125">
        <v>3</v>
      </c>
      <c r="G169" s="128">
        <v>8</v>
      </c>
      <c r="H169" s="128">
        <v>5</v>
      </c>
      <c r="I169" s="125">
        <v>40</v>
      </c>
      <c r="J169" s="125">
        <v>3</v>
      </c>
      <c r="K169" s="13">
        <v>45541</v>
      </c>
      <c r="L169" s="125">
        <v>80</v>
      </c>
      <c r="M169" s="130">
        <v>5</v>
      </c>
      <c r="N169">
        <f t="shared" si="2"/>
        <v>6.25E-2</v>
      </c>
    </row>
    <row r="170" spans="1:14" x14ac:dyDescent="0.35">
      <c r="A170" s="125" t="s">
        <v>34</v>
      </c>
      <c r="D170" s="127" t="s">
        <v>41</v>
      </c>
      <c r="E170">
        <v>2008</v>
      </c>
      <c r="F170" s="125">
        <v>3</v>
      </c>
      <c r="G170" s="128">
        <v>1</v>
      </c>
      <c r="H170" s="128">
        <v>6</v>
      </c>
      <c r="I170" s="125">
        <v>41</v>
      </c>
      <c r="J170" s="125">
        <v>3</v>
      </c>
      <c r="K170" s="13">
        <v>45541</v>
      </c>
      <c r="L170" s="125">
        <v>47</v>
      </c>
      <c r="M170" s="130">
        <v>42</v>
      </c>
      <c r="N170">
        <f t="shared" si="2"/>
        <v>0.8936170212765957</v>
      </c>
    </row>
    <row r="171" spans="1:14" x14ac:dyDescent="0.35">
      <c r="A171" s="125" t="s">
        <v>34</v>
      </c>
      <c r="D171" s="127" t="s">
        <v>36</v>
      </c>
      <c r="E171">
        <v>1984</v>
      </c>
      <c r="F171" s="125">
        <v>3</v>
      </c>
      <c r="G171" s="128">
        <v>2</v>
      </c>
      <c r="H171" s="128">
        <v>6</v>
      </c>
      <c r="I171" s="125">
        <v>42</v>
      </c>
      <c r="J171" s="125">
        <v>3</v>
      </c>
      <c r="K171" s="13">
        <v>45541</v>
      </c>
      <c r="L171" s="125">
        <v>37</v>
      </c>
      <c r="M171" s="130">
        <v>0</v>
      </c>
      <c r="N171">
        <f t="shared" si="2"/>
        <v>0</v>
      </c>
    </row>
    <row r="172" spans="1:14" x14ac:dyDescent="0.35">
      <c r="A172" s="125" t="s">
        <v>34</v>
      </c>
      <c r="D172" s="127" t="s">
        <v>37</v>
      </c>
      <c r="E172">
        <v>1989</v>
      </c>
      <c r="F172" s="125">
        <v>3</v>
      </c>
      <c r="G172" s="128">
        <v>3</v>
      </c>
      <c r="H172" s="128">
        <v>6</v>
      </c>
      <c r="I172" s="125">
        <v>43</v>
      </c>
      <c r="J172" s="125">
        <v>3</v>
      </c>
      <c r="K172" s="13">
        <v>45541</v>
      </c>
      <c r="L172" s="125">
        <v>46</v>
      </c>
      <c r="M172" s="130">
        <v>6</v>
      </c>
      <c r="N172">
        <f t="shared" si="2"/>
        <v>0.13043478260869565</v>
      </c>
    </row>
    <row r="173" spans="1:14" x14ac:dyDescent="0.35">
      <c r="A173" s="125" t="s">
        <v>34</v>
      </c>
      <c r="D173" s="127" t="s">
        <v>42</v>
      </c>
      <c r="E173">
        <v>2016</v>
      </c>
      <c r="F173" s="125">
        <v>3</v>
      </c>
      <c r="G173" s="128">
        <v>4</v>
      </c>
      <c r="H173" s="128">
        <v>6</v>
      </c>
      <c r="I173" s="125">
        <v>44</v>
      </c>
      <c r="J173" s="125">
        <v>3</v>
      </c>
      <c r="K173" s="13">
        <v>45541</v>
      </c>
      <c r="L173" s="125">
        <v>44</v>
      </c>
      <c r="M173" s="130">
        <v>14</v>
      </c>
      <c r="N173">
        <f t="shared" si="2"/>
        <v>0.31818181818181818</v>
      </c>
    </row>
    <row r="174" spans="1:14" x14ac:dyDescent="0.35">
      <c r="A174" s="125" t="s">
        <v>34</v>
      </c>
      <c r="D174" s="127" t="s">
        <v>43</v>
      </c>
      <c r="E174">
        <v>2020</v>
      </c>
      <c r="F174" s="125">
        <v>3</v>
      </c>
      <c r="G174" s="128">
        <v>5</v>
      </c>
      <c r="H174" s="128">
        <v>6</v>
      </c>
      <c r="I174" s="125">
        <v>45</v>
      </c>
      <c r="J174" s="125">
        <v>3</v>
      </c>
      <c r="K174" s="13">
        <v>45541</v>
      </c>
      <c r="L174" s="125">
        <v>48</v>
      </c>
      <c r="M174" s="130">
        <v>9</v>
      </c>
      <c r="N174">
        <f t="shared" si="2"/>
        <v>0.1875</v>
      </c>
    </row>
    <row r="175" spans="1:14" x14ac:dyDescent="0.35">
      <c r="A175" s="125" t="s">
        <v>34</v>
      </c>
      <c r="D175" s="127" t="s">
        <v>39</v>
      </c>
      <c r="E175">
        <v>2001</v>
      </c>
      <c r="F175" s="125">
        <v>3</v>
      </c>
      <c r="G175" s="128">
        <v>6</v>
      </c>
      <c r="H175" s="128">
        <v>6</v>
      </c>
      <c r="I175" s="125">
        <v>46</v>
      </c>
      <c r="J175" s="125">
        <v>3</v>
      </c>
      <c r="K175" s="13">
        <v>45541</v>
      </c>
      <c r="L175" s="125">
        <v>58</v>
      </c>
      <c r="M175" s="132">
        <v>29</v>
      </c>
      <c r="N175">
        <f t="shared" si="2"/>
        <v>0.5</v>
      </c>
    </row>
    <row r="176" spans="1:14" x14ac:dyDescent="0.35">
      <c r="A176" s="125" t="s">
        <v>34</v>
      </c>
      <c r="D176" s="127" t="s">
        <v>38</v>
      </c>
      <c r="E176">
        <v>1999</v>
      </c>
      <c r="F176" s="125">
        <v>3</v>
      </c>
      <c r="G176" s="128">
        <v>7</v>
      </c>
      <c r="H176" s="128">
        <v>6</v>
      </c>
      <c r="I176" s="125">
        <v>47</v>
      </c>
      <c r="J176" s="125">
        <v>3</v>
      </c>
      <c r="K176" s="13">
        <v>45541</v>
      </c>
      <c r="L176" s="125">
        <v>57</v>
      </c>
      <c r="M176" s="130">
        <v>1</v>
      </c>
      <c r="N176">
        <f t="shared" si="2"/>
        <v>1.7543859649122806E-2</v>
      </c>
    </row>
    <row r="177" spans="1:14" x14ac:dyDescent="0.35">
      <c r="A177" s="125" t="s">
        <v>34</v>
      </c>
      <c r="D177" s="127" t="s">
        <v>343</v>
      </c>
      <c r="E177">
        <v>2004</v>
      </c>
      <c r="F177" s="125">
        <v>3</v>
      </c>
      <c r="G177" s="128">
        <v>8</v>
      </c>
      <c r="H177" s="128">
        <v>6</v>
      </c>
      <c r="I177" s="125">
        <v>48</v>
      </c>
      <c r="J177" s="125">
        <v>3</v>
      </c>
      <c r="K177" s="13">
        <v>45541</v>
      </c>
      <c r="L177" s="125">
        <v>49</v>
      </c>
      <c r="M177" s="130">
        <v>6</v>
      </c>
      <c r="N177">
        <f t="shared" si="2"/>
        <v>0.12244897959183673</v>
      </c>
    </row>
    <row r="178" spans="1:14" x14ac:dyDescent="0.35">
      <c r="A178" s="125" t="s">
        <v>24</v>
      </c>
      <c r="B178" s="79"/>
      <c r="C178" s="79"/>
      <c r="D178" s="126" t="s">
        <v>32</v>
      </c>
      <c r="E178">
        <v>2018</v>
      </c>
      <c r="F178" s="125">
        <v>4</v>
      </c>
      <c r="G178" s="128">
        <v>1</v>
      </c>
      <c r="H178" s="128">
        <v>7</v>
      </c>
      <c r="I178" s="125">
        <v>49</v>
      </c>
      <c r="J178" s="125">
        <v>3</v>
      </c>
      <c r="K178" s="13">
        <v>45541</v>
      </c>
      <c r="L178" s="125">
        <v>50</v>
      </c>
      <c r="M178" s="130">
        <v>3</v>
      </c>
      <c r="N178">
        <f t="shared" si="2"/>
        <v>0.06</v>
      </c>
    </row>
    <row r="179" spans="1:14" x14ac:dyDescent="0.35">
      <c r="A179" s="125" t="s">
        <v>24</v>
      </c>
      <c r="B179" s="79"/>
      <c r="C179" s="79"/>
      <c r="D179" s="126" t="s">
        <v>29</v>
      </c>
      <c r="E179">
        <v>1999</v>
      </c>
      <c r="F179" s="125">
        <v>4</v>
      </c>
      <c r="G179" s="128">
        <v>2</v>
      </c>
      <c r="H179" s="128">
        <v>7</v>
      </c>
      <c r="I179" s="125">
        <v>50</v>
      </c>
      <c r="J179" s="125">
        <v>3</v>
      </c>
      <c r="K179" s="13">
        <v>45541</v>
      </c>
      <c r="L179" s="125">
        <v>66</v>
      </c>
      <c r="M179" s="130">
        <v>3</v>
      </c>
      <c r="N179">
        <f t="shared" si="2"/>
        <v>4.5454545454545456E-2</v>
      </c>
    </row>
    <row r="180" spans="1:14" x14ac:dyDescent="0.35">
      <c r="A180" s="125" t="s">
        <v>24</v>
      </c>
      <c r="B180" s="79"/>
      <c r="C180" s="79"/>
      <c r="D180" s="126" t="s">
        <v>337</v>
      </c>
      <c r="E180">
        <v>2016</v>
      </c>
      <c r="F180" s="125">
        <v>4</v>
      </c>
      <c r="G180" s="128">
        <v>3</v>
      </c>
      <c r="H180" s="128">
        <v>7</v>
      </c>
      <c r="I180" s="125">
        <v>51</v>
      </c>
      <c r="J180" s="125">
        <v>3</v>
      </c>
      <c r="K180" s="13">
        <v>45541</v>
      </c>
      <c r="L180" s="125">
        <v>60</v>
      </c>
      <c r="M180" s="130">
        <v>0</v>
      </c>
      <c r="N180">
        <f t="shared" si="2"/>
        <v>0</v>
      </c>
    </row>
    <row r="181" spans="1:14" x14ac:dyDescent="0.35">
      <c r="A181" s="125" t="s">
        <v>24</v>
      </c>
      <c r="B181" s="79"/>
      <c r="C181" s="79"/>
      <c r="D181" s="126" t="s">
        <v>27</v>
      </c>
      <c r="E181">
        <v>1985</v>
      </c>
      <c r="F181" s="125">
        <v>4</v>
      </c>
      <c r="G181" s="128">
        <v>4</v>
      </c>
      <c r="H181" s="128">
        <v>7</v>
      </c>
      <c r="I181" s="125">
        <v>52</v>
      </c>
      <c r="J181" s="125">
        <v>3</v>
      </c>
      <c r="K181" s="13">
        <v>45541</v>
      </c>
      <c r="L181" s="125">
        <v>77</v>
      </c>
      <c r="M181" s="130">
        <v>2</v>
      </c>
      <c r="N181">
        <f t="shared" si="2"/>
        <v>2.5974025974025976E-2</v>
      </c>
    </row>
    <row r="182" spans="1:14" x14ac:dyDescent="0.35">
      <c r="A182" s="125" t="s">
        <v>24</v>
      </c>
      <c r="B182" s="79"/>
      <c r="C182" s="79"/>
      <c r="D182" s="126" t="s">
        <v>28</v>
      </c>
      <c r="E182">
        <v>1998</v>
      </c>
      <c r="F182" s="125">
        <v>4</v>
      </c>
      <c r="G182" s="128">
        <v>5</v>
      </c>
      <c r="H182" s="128">
        <v>7</v>
      </c>
      <c r="I182" s="125">
        <v>53</v>
      </c>
      <c r="J182" s="125">
        <v>3</v>
      </c>
      <c r="K182" s="13">
        <v>45541</v>
      </c>
      <c r="L182" s="125">
        <v>64</v>
      </c>
      <c r="M182" s="132">
        <v>37</v>
      </c>
      <c r="N182">
        <f t="shared" si="2"/>
        <v>0.578125</v>
      </c>
    </row>
    <row r="183" spans="1:14" x14ac:dyDescent="0.35">
      <c r="A183" s="125" t="s">
        <v>24</v>
      </c>
      <c r="B183" s="79"/>
      <c r="C183" s="79"/>
      <c r="D183" s="126" t="s">
        <v>26</v>
      </c>
      <c r="E183">
        <v>1983</v>
      </c>
      <c r="F183" s="125">
        <v>4</v>
      </c>
      <c r="G183" s="128">
        <v>6</v>
      </c>
      <c r="H183" s="128">
        <v>7</v>
      </c>
      <c r="I183" s="125">
        <v>54</v>
      </c>
      <c r="J183" s="125">
        <v>3</v>
      </c>
      <c r="K183" s="13">
        <v>45541</v>
      </c>
      <c r="L183" s="125">
        <v>74</v>
      </c>
      <c r="M183" s="130">
        <v>7</v>
      </c>
      <c r="N183">
        <f t="shared" si="2"/>
        <v>9.45945945945946E-2</v>
      </c>
    </row>
    <row r="184" spans="1:14" x14ac:dyDescent="0.35">
      <c r="A184" s="125" t="s">
        <v>24</v>
      </c>
      <c r="B184" s="79"/>
      <c r="C184" s="79"/>
      <c r="D184" s="126" t="s">
        <v>335</v>
      </c>
      <c r="E184">
        <v>2023</v>
      </c>
      <c r="F184" s="125">
        <v>4</v>
      </c>
      <c r="G184" s="128">
        <v>7</v>
      </c>
      <c r="H184" s="128">
        <v>7</v>
      </c>
      <c r="I184" s="125">
        <v>55</v>
      </c>
      <c r="J184" s="125">
        <v>3</v>
      </c>
      <c r="K184" s="13">
        <v>45541</v>
      </c>
      <c r="L184" s="125">
        <v>59</v>
      </c>
      <c r="M184" s="132">
        <v>30</v>
      </c>
      <c r="N184">
        <f t="shared" si="2"/>
        <v>0.50847457627118642</v>
      </c>
    </row>
    <row r="185" spans="1:14" x14ac:dyDescent="0.35">
      <c r="A185" s="125" t="s">
        <v>24</v>
      </c>
      <c r="B185" s="79"/>
      <c r="C185" s="79"/>
      <c r="D185" s="126" t="s">
        <v>336</v>
      </c>
      <c r="E185">
        <v>2002</v>
      </c>
      <c r="F185" s="125">
        <v>4</v>
      </c>
      <c r="G185" s="128">
        <v>8</v>
      </c>
      <c r="H185" s="128">
        <v>7</v>
      </c>
      <c r="I185" s="125">
        <v>56</v>
      </c>
      <c r="J185" s="125">
        <v>3</v>
      </c>
      <c r="K185" s="13">
        <v>45541</v>
      </c>
      <c r="L185" s="125">
        <v>60</v>
      </c>
      <c r="M185" s="130">
        <v>1</v>
      </c>
      <c r="N185">
        <f t="shared" si="2"/>
        <v>1.6666666666666666E-2</v>
      </c>
    </row>
    <row r="186" spans="1:14" x14ac:dyDescent="0.35">
      <c r="A186" s="125" t="s">
        <v>34</v>
      </c>
      <c r="D186" s="127" t="s">
        <v>39</v>
      </c>
      <c r="E186">
        <v>2001</v>
      </c>
      <c r="F186" s="125">
        <v>4</v>
      </c>
      <c r="G186" s="128">
        <v>1</v>
      </c>
      <c r="H186" s="128">
        <v>8</v>
      </c>
      <c r="I186" s="125">
        <v>57</v>
      </c>
      <c r="J186" s="125">
        <v>3</v>
      </c>
      <c r="K186" s="13">
        <v>45541</v>
      </c>
      <c r="L186" s="125">
        <v>48</v>
      </c>
      <c r="M186" s="132">
        <v>26</v>
      </c>
      <c r="N186">
        <f t="shared" si="2"/>
        <v>0.54166666666666663</v>
      </c>
    </row>
    <row r="187" spans="1:14" x14ac:dyDescent="0.35">
      <c r="A187" s="125" t="s">
        <v>34</v>
      </c>
      <c r="D187" s="127" t="s">
        <v>37</v>
      </c>
      <c r="E187">
        <v>1989</v>
      </c>
      <c r="F187" s="125">
        <v>4</v>
      </c>
      <c r="G187" s="128">
        <v>2</v>
      </c>
      <c r="H187" s="128">
        <v>8</v>
      </c>
      <c r="I187" s="125">
        <v>58</v>
      </c>
      <c r="J187" s="125">
        <v>3</v>
      </c>
      <c r="K187" s="13">
        <v>45541</v>
      </c>
      <c r="L187" s="125">
        <v>67</v>
      </c>
      <c r="M187" s="130">
        <v>9</v>
      </c>
      <c r="N187">
        <f t="shared" si="2"/>
        <v>0.13432835820895522</v>
      </c>
    </row>
    <row r="188" spans="1:14" x14ac:dyDescent="0.35">
      <c r="A188" s="125" t="s">
        <v>34</v>
      </c>
      <c r="D188" s="127" t="s">
        <v>36</v>
      </c>
      <c r="E188">
        <v>1984</v>
      </c>
      <c r="F188" s="125">
        <v>4</v>
      </c>
      <c r="G188" s="128">
        <v>3</v>
      </c>
      <c r="H188" s="128">
        <v>8</v>
      </c>
      <c r="I188" s="125">
        <v>59</v>
      </c>
      <c r="J188" s="125">
        <v>3</v>
      </c>
      <c r="K188" s="13">
        <v>45541</v>
      </c>
      <c r="L188" s="125">
        <v>52</v>
      </c>
      <c r="M188" s="130">
        <v>1</v>
      </c>
      <c r="N188">
        <f t="shared" si="2"/>
        <v>1.9230769230769232E-2</v>
      </c>
    </row>
    <row r="189" spans="1:14" x14ac:dyDescent="0.35">
      <c r="A189" s="125" t="s">
        <v>34</v>
      </c>
      <c r="D189" s="127" t="s">
        <v>343</v>
      </c>
      <c r="E189">
        <v>2004</v>
      </c>
      <c r="F189" s="125">
        <v>4</v>
      </c>
      <c r="G189" s="128">
        <v>4</v>
      </c>
      <c r="H189" s="128">
        <v>8</v>
      </c>
      <c r="I189" s="125">
        <v>60</v>
      </c>
      <c r="J189" s="125">
        <v>3</v>
      </c>
      <c r="K189" s="13">
        <v>45541</v>
      </c>
      <c r="L189" s="125">
        <v>55</v>
      </c>
      <c r="M189" s="130">
        <v>10</v>
      </c>
      <c r="N189">
        <f t="shared" si="2"/>
        <v>0.18181818181818182</v>
      </c>
    </row>
    <row r="190" spans="1:14" x14ac:dyDescent="0.35">
      <c r="A190" s="125" t="s">
        <v>34</v>
      </c>
      <c r="D190" s="127" t="s">
        <v>41</v>
      </c>
      <c r="E190">
        <v>2008</v>
      </c>
      <c r="F190" s="125">
        <v>4</v>
      </c>
      <c r="G190" s="128">
        <v>5</v>
      </c>
      <c r="H190" s="128">
        <v>8</v>
      </c>
      <c r="I190" s="125">
        <v>61</v>
      </c>
      <c r="J190" s="125">
        <v>3</v>
      </c>
      <c r="K190" s="13">
        <v>45541</v>
      </c>
      <c r="L190" s="125">
        <v>40</v>
      </c>
      <c r="M190" s="130">
        <v>33</v>
      </c>
      <c r="N190">
        <f t="shared" si="2"/>
        <v>0.82499999999999996</v>
      </c>
    </row>
    <row r="191" spans="1:14" x14ac:dyDescent="0.35">
      <c r="A191" s="125" t="s">
        <v>34</v>
      </c>
      <c r="D191" s="127" t="s">
        <v>38</v>
      </c>
      <c r="E191">
        <v>1999</v>
      </c>
      <c r="F191" s="125">
        <v>4</v>
      </c>
      <c r="G191" s="128">
        <v>6</v>
      </c>
      <c r="H191" s="128">
        <v>8</v>
      </c>
      <c r="I191" s="125">
        <v>62</v>
      </c>
      <c r="J191" s="125">
        <v>3</v>
      </c>
      <c r="K191" s="13">
        <v>45541</v>
      </c>
      <c r="L191" s="125">
        <v>54</v>
      </c>
      <c r="M191" s="130">
        <v>1</v>
      </c>
      <c r="N191">
        <f t="shared" si="2"/>
        <v>1.8518518518518517E-2</v>
      </c>
    </row>
    <row r="192" spans="1:14" x14ac:dyDescent="0.35">
      <c r="A192" s="125" t="s">
        <v>34</v>
      </c>
      <c r="D192" s="127" t="s">
        <v>42</v>
      </c>
      <c r="E192">
        <v>2016</v>
      </c>
      <c r="F192" s="125">
        <v>4</v>
      </c>
      <c r="G192" s="128">
        <v>7</v>
      </c>
      <c r="H192" s="128">
        <v>8</v>
      </c>
      <c r="I192" s="125">
        <v>63</v>
      </c>
      <c r="J192" s="125">
        <v>3</v>
      </c>
      <c r="K192" s="13">
        <v>45541</v>
      </c>
      <c r="L192" s="125">
        <v>42</v>
      </c>
      <c r="M192" s="132">
        <v>34</v>
      </c>
      <c r="N192">
        <f t="shared" si="2"/>
        <v>0.80952380952380953</v>
      </c>
    </row>
    <row r="193" spans="1:14" x14ac:dyDescent="0.35">
      <c r="A193" s="125" t="s">
        <v>34</v>
      </c>
      <c r="D193" s="127" t="s">
        <v>43</v>
      </c>
      <c r="E193">
        <v>2020</v>
      </c>
      <c r="F193" s="125">
        <v>4</v>
      </c>
      <c r="G193" s="128">
        <v>8</v>
      </c>
      <c r="H193" s="128">
        <v>8</v>
      </c>
      <c r="I193" s="125">
        <v>64</v>
      </c>
      <c r="J193" s="125">
        <v>3</v>
      </c>
      <c r="K193" s="13">
        <v>45541</v>
      </c>
      <c r="L193" s="125">
        <v>38</v>
      </c>
      <c r="M193" s="130">
        <v>6</v>
      </c>
      <c r="N193">
        <f t="shared" si="2"/>
        <v>0.15789473684210525</v>
      </c>
    </row>
    <row r="194" spans="1:14" x14ac:dyDescent="0.35">
      <c r="A194" s="125" t="s">
        <v>24</v>
      </c>
      <c r="B194" s="79"/>
      <c r="C194" s="79"/>
      <c r="D194" s="126" t="s">
        <v>27</v>
      </c>
      <c r="E194">
        <v>1985</v>
      </c>
      <c r="F194" s="125">
        <v>1</v>
      </c>
      <c r="G194" s="128">
        <v>1</v>
      </c>
      <c r="H194" s="128">
        <v>1</v>
      </c>
      <c r="I194" s="125">
        <v>1</v>
      </c>
      <c r="J194" s="125">
        <v>4</v>
      </c>
      <c r="K194" s="13">
        <v>45544</v>
      </c>
      <c r="L194" s="125">
        <v>78</v>
      </c>
      <c r="M194" s="130">
        <v>6</v>
      </c>
      <c r="N194">
        <f t="shared" si="2"/>
        <v>7.6923076923076927E-2</v>
      </c>
    </row>
    <row r="195" spans="1:14" x14ac:dyDescent="0.35">
      <c r="A195" s="125" t="s">
        <v>24</v>
      </c>
      <c r="B195" s="79"/>
      <c r="C195" s="79"/>
      <c r="D195" s="126" t="s">
        <v>26</v>
      </c>
      <c r="E195">
        <v>1983</v>
      </c>
      <c r="F195" s="125">
        <v>1</v>
      </c>
      <c r="G195" s="128">
        <v>2</v>
      </c>
      <c r="H195" s="128">
        <v>1</v>
      </c>
      <c r="I195" s="125">
        <v>2</v>
      </c>
      <c r="J195" s="125">
        <v>4</v>
      </c>
      <c r="K195" s="13">
        <v>45544</v>
      </c>
      <c r="L195" s="125">
        <v>67</v>
      </c>
      <c r="M195" s="130">
        <v>25</v>
      </c>
      <c r="N195">
        <f t="shared" ref="N195:N258" si="3">M195/L195</f>
        <v>0.37313432835820898</v>
      </c>
    </row>
    <row r="196" spans="1:14" x14ac:dyDescent="0.35">
      <c r="A196" s="125" t="s">
        <v>24</v>
      </c>
      <c r="B196" s="79"/>
      <c r="C196" s="79"/>
      <c r="D196" s="126" t="s">
        <v>335</v>
      </c>
      <c r="E196">
        <v>2023</v>
      </c>
      <c r="F196" s="125">
        <v>1</v>
      </c>
      <c r="G196" s="128">
        <v>3</v>
      </c>
      <c r="H196" s="128">
        <v>1</v>
      </c>
      <c r="I196" s="125">
        <v>3</v>
      </c>
      <c r="J196" s="125">
        <v>4</v>
      </c>
      <c r="K196" s="13">
        <v>45544</v>
      </c>
      <c r="L196" s="125">
        <v>60</v>
      </c>
      <c r="M196" s="130">
        <v>60</v>
      </c>
      <c r="N196">
        <f t="shared" si="3"/>
        <v>1</v>
      </c>
    </row>
    <row r="197" spans="1:14" x14ac:dyDescent="0.35">
      <c r="A197" s="125" t="s">
        <v>24</v>
      </c>
      <c r="B197" s="79"/>
      <c r="C197" s="79"/>
      <c r="D197" s="126" t="s">
        <v>29</v>
      </c>
      <c r="E197">
        <v>1999</v>
      </c>
      <c r="F197" s="125">
        <v>1</v>
      </c>
      <c r="G197" s="128">
        <v>4</v>
      </c>
      <c r="H197" s="128">
        <v>1</v>
      </c>
      <c r="I197" s="125">
        <v>4</v>
      </c>
      <c r="J197" s="125">
        <v>4</v>
      </c>
      <c r="K197" s="13">
        <v>45544</v>
      </c>
      <c r="L197" s="125">
        <v>108</v>
      </c>
      <c r="M197" s="130">
        <v>46</v>
      </c>
      <c r="N197">
        <f t="shared" si="3"/>
        <v>0.42592592592592593</v>
      </c>
    </row>
    <row r="198" spans="1:14" x14ac:dyDescent="0.35">
      <c r="A198" s="125" t="s">
        <v>24</v>
      </c>
      <c r="B198" s="79"/>
      <c r="C198" s="79"/>
      <c r="D198" s="126" t="s">
        <v>336</v>
      </c>
      <c r="E198">
        <v>2002</v>
      </c>
      <c r="F198" s="125">
        <v>1</v>
      </c>
      <c r="G198" s="128">
        <v>5</v>
      </c>
      <c r="H198" s="128">
        <v>1</v>
      </c>
      <c r="I198" s="125">
        <v>5</v>
      </c>
      <c r="J198" s="125">
        <v>4</v>
      </c>
      <c r="K198" s="13">
        <v>45544</v>
      </c>
      <c r="L198" s="125">
        <v>78</v>
      </c>
      <c r="M198" s="130">
        <v>5</v>
      </c>
      <c r="N198">
        <f t="shared" si="3"/>
        <v>6.4102564102564097E-2</v>
      </c>
    </row>
    <row r="199" spans="1:14" x14ac:dyDescent="0.35">
      <c r="A199" s="125" t="s">
        <v>24</v>
      </c>
      <c r="B199" s="79"/>
      <c r="C199" s="79"/>
      <c r="D199" s="126" t="s">
        <v>32</v>
      </c>
      <c r="E199">
        <v>2018</v>
      </c>
      <c r="F199" s="125">
        <v>1</v>
      </c>
      <c r="G199" s="128">
        <v>6</v>
      </c>
      <c r="H199" s="128">
        <v>1</v>
      </c>
      <c r="I199" s="125">
        <v>6</v>
      </c>
      <c r="J199" s="125">
        <v>4</v>
      </c>
      <c r="K199" s="13">
        <v>45544</v>
      </c>
      <c r="L199" s="125">
        <v>74</v>
      </c>
      <c r="M199" s="132">
        <v>39</v>
      </c>
      <c r="N199">
        <f t="shared" si="3"/>
        <v>0.52702702702702697</v>
      </c>
    </row>
    <row r="200" spans="1:14" x14ac:dyDescent="0.35">
      <c r="A200" s="125" t="s">
        <v>24</v>
      </c>
      <c r="B200" s="79"/>
      <c r="C200" s="79"/>
      <c r="D200" s="126" t="s">
        <v>28</v>
      </c>
      <c r="E200">
        <v>1998</v>
      </c>
      <c r="F200" s="125">
        <v>1</v>
      </c>
      <c r="G200" s="128">
        <v>7</v>
      </c>
      <c r="H200" s="128">
        <v>1</v>
      </c>
      <c r="I200" s="125">
        <v>7</v>
      </c>
      <c r="J200" s="125">
        <v>4</v>
      </c>
      <c r="K200" s="13">
        <v>45544</v>
      </c>
      <c r="L200" s="125">
        <v>90</v>
      </c>
      <c r="M200" s="132">
        <v>80</v>
      </c>
      <c r="N200">
        <f t="shared" si="3"/>
        <v>0.88888888888888884</v>
      </c>
    </row>
    <row r="201" spans="1:14" x14ac:dyDescent="0.35">
      <c r="A201" s="125" t="s">
        <v>24</v>
      </c>
      <c r="B201" s="79"/>
      <c r="C201" s="79"/>
      <c r="D201" s="126" t="s">
        <v>337</v>
      </c>
      <c r="E201">
        <v>2016</v>
      </c>
      <c r="F201" s="125">
        <v>1</v>
      </c>
      <c r="G201" s="128">
        <v>8</v>
      </c>
      <c r="H201" s="128">
        <v>1</v>
      </c>
      <c r="I201" s="125">
        <v>8</v>
      </c>
      <c r="J201" s="125">
        <v>4</v>
      </c>
      <c r="K201" s="13">
        <v>45544</v>
      </c>
      <c r="L201" s="125">
        <v>50</v>
      </c>
      <c r="M201" s="130">
        <v>0</v>
      </c>
      <c r="N201">
        <f t="shared" si="3"/>
        <v>0</v>
      </c>
    </row>
    <row r="202" spans="1:14" x14ac:dyDescent="0.35">
      <c r="A202" s="125" t="s">
        <v>34</v>
      </c>
      <c r="D202" s="127" t="s">
        <v>42</v>
      </c>
      <c r="E202">
        <v>2016</v>
      </c>
      <c r="F202" s="125">
        <v>1</v>
      </c>
      <c r="G202" s="128">
        <v>1</v>
      </c>
      <c r="H202" s="128">
        <v>2</v>
      </c>
      <c r="I202" s="125">
        <v>9</v>
      </c>
      <c r="J202" s="125">
        <v>4</v>
      </c>
      <c r="K202" s="13">
        <v>45544</v>
      </c>
      <c r="L202" s="125">
        <v>43</v>
      </c>
      <c r="M202" s="130">
        <v>42</v>
      </c>
      <c r="N202">
        <f t="shared" si="3"/>
        <v>0.97674418604651159</v>
      </c>
    </row>
    <row r="203" spans="1:14" x14ac:dyDescent="0.35">
      <c r="A203" s="125" t="s">
        <v>34</v>
      </c>
      <c r="D203" s="127" t="s">
        <v>38</v>
      </c>
      <c r="E203">
        <v>1999</v>
      </c>
      <c r="F203" s="125">
        <v>1</v>
      </c>
      <c r="G203" s="128">
        <v>2</v>
      </c>
      <c r="H203" s="128">
        <v>2</v>
      </c>
      <c r="I203" s="125">
        <v>10</v>
      </c>
      <c r="J203" s="125">
        <v>4</v>
      </c>
      <c r="K203" s="13">
        <v>45544</v>
      </c>
      <c r="L203" s="125">
        <v>59</v>
      </c>
      <c r="M203" s="130">
        <v>14</v>
      </c>
      <c r="N203">
        <f t="shared" si="3"/>
        <v>0.23728813559322035</v>
      </c>
    </row>
    <row r="204" spans="1:14" x14ac:dyDescent="0.35">
      <c r="A204" s="125" t="s">
        <v>34</v>
      </c>
      <c r="D204" s="127" t="s">
        <v>43</v>
      </c>
      <c r="E204">
        <v>2020</v>
      </c>
      <c r="F204" s="125">
        <v>1</v>
      </c>
      <c r="G204" s="128">
        <v>3</v>
      </c>
      <c r="H204" s="128">
        <v>2</v>
      </c>
      <c r="I204" s="125">
        <v>11</v>
      </c>
      <c r="J204" s="125">
        <v>4</v>
      </c>
      <c r="K204" s="13">
        <v>45544</v>
      </c>
      <c r="L204" s="125">
        <v>42</v>
      </c>
      <c r="M204" s="130">
        <v>6</v>
      </c>
      <c r="N204">
        <f t="shared" si="3"/>
        <v>0.14285714285714285</v>
      </c>
    </row>
    <row r="205" spans="1:14" x14ac:dyDescent="0.35">
      <c r="A205" s="125" t="s">
        <v>34</v>
      </c>
      <c r="D205" s="127" t="s">
        <v>41</v>
      </c>
      <c r="E205">
        <v>2008</v>
      </c>
      <c r="F205" s="125">
        <v>1</v>
      </c>
      <c r="G205" s="128">
        <v>4</v>
      </c>
      <c r="H205" s="128">
        <v>2</v>
      </c>
      <c r="I205" s="125">
        <v>12</v>
      </c>
      <c r="J205" s="125">
        <v>4</v>
      </c>
      <c r="K205" s="13">
        <v>45544</v>
      </c>
      <c r="L205" s="125">
        <v>39</v>
      </c>
      <c r="M205" s="130">
        <v>39</v>
      </c>
      <c r="N205">
        <f t="shared" si="3"/>
        <v>1</v>
      </c>
    </row>
    <row r="206" spans="1:14" x14ac:dyDescent="0.35">
      <c r="A206" s="125" t="s">
        <v>34</v>
      </c>
      <c r="D206" s="127" t="s">
        <v>37</v>
      </c>
      <c r="E206">
        <v>1989</v>
      </c>
      <c r="F206" s="125">
        <v>1</v>
      </c>
      <c r="G206" s="128">
        <v>5</v>
      </c>
      <c r="H206" s="128">
        <v>2</v>
      </c>
      <c r="I206" s="125">
        <v>13</v>
      </c>
      <c r="J206" s="125">
        <v>4</v>
      </c>
      <c r="K206" s="13">
        <v>45544</v>
      </c>
      <c r="L206" s="125">
        <v>48</v>
      </c>
      <c r="M206" s="130">
        <v>17</v>
      </c>
      <c r="N206">
        <f t="shared" si="3"/>
        <v>0.35416666666666669</v>
      </c>
    </row>
    <row r="207" spans="1:14" x14ac:dyDescent="0.35">
      <c r="A207" s="125" t="s">
        <v>34</v>
      </c>
      <c r="D207" s="127" t="s">
        <v>343</v>
      </c>
      <c r="E207">
        <v>2004</v>
      </c>
      <c r="F207" s="125">
        <v>1</v>
      </c>
      <c r="G207" s="128">
        <v>6</v>
      </c>
      <c r="H207" s="128">
        <v>2</v>
      </c>
      <c r="I207" s="125">
        <v>14</v>
      </c>
      <c r="J207" s="125">
        <v>4</v>
      </c>
      <c r="K207" s="13">
        <v>45544</v>
      </c>
      <c r="L207" s="125">
        <v>44</v>
      </c>
      <c r="M207" s="132">
        <v>34</v>
      </c>
      <c r="N207">
        <f t="shared" si="3"/>
        <v>0.77272727272727271</v>
      </c>
    </row>
    <row r="208" spans="1:14" x14ac:dyDescent="0.35">
      <c r="A208" s="125" t="s">
        <v>34</v>
      </c>
      <c r="D208" s="127" t="s">
        <v>36</v>
      </c>
      <c r="E208">
        <v>1984</v>
      </c>
      <c r="F208" s="125">
        <v>1</v>
      </c>
      <c r="G208" s="128">
        <v>7</v>
      </c>
      <c r="H208" s="128">
        <v>2</v>
      </c>
      <c r="I208" s="125">
        <v>15</v>
      </c>
      <c r="J208" s="125">
        <v>4</v>
      </c>
      <c r="K208" s="13">
        <v>45544</v>
      </c>
      <c r="L208" s="125">
        <v>44</v>
      </c>
      <c r="M208" s="132">
        <v>24</v>
      </c>
      <c r="N208">
        <f t="shared" si="3"/>
        <v>0.54545454545454541</v>
      </c>
    </row>
    <row r="209" spans="1:14" x14ac:dyDescent="0.35">
      <c r="A209" s="125" t="s">
        <v>34</v>
      </c>
      <c r="D209" s="127" t="s">
        <v>39</v>
      </c>
      <c r="E209">
        <v>2001</v>
      </c>
      <c r="F209" s="125">
        <v>1</v>
      </c>
      <c r="G209" s="128">
        <v>8</v>
      </c>
      <c r="H209" s="128">
        <v>2</v>
      </c>
      <c r="I209" s="125">
        <v>16</v>
      </c>
      <c r="J209" s="125">
        <v>4</v>
      </c>
      <c r="K209" s="13">
        <v>45544</v>
      </c>
      <c r="L209" s="125">
        <v>56</v>
      </c>
      <c r="M209" s="132">
        <v>56</v>
      </c>
      <c r="N209">
        <f t="shared" si="3"/>
        <v>1</v>
      </c>
    </row>
    <row r="210" spans="1:14" x14ac:dyDescent="0.35">
      <c r="A210" s="125" t="s">
        <v>24</v>
      </c>
      <c r="B210" s="79"/>
      <c r="C210" s="79"/>
      <c r="D210" s="126" t="s">
        <v>335</v>
      </c>
      <c r="E210">
        <v>2023</v>
      </c>
      <c r="F210" s="125">
        <v>2</v>
      </c>
      <c r="G210" s="128">
        <v>1</v>
      </c>
      <c r="H210" s="128">
        <v>3</v>
      </c>
      <c r="I210" s="125">
        <v>17</v>
      </c>
      <c r="J210" s="125">
        <v>4</v>
      </c>
      <c r="K210" s="13">
        <v>45544</v>
      </c>
      <c r="L210" s="125">
        <v>55</v>
      </c>
      <c r="M210" s="130">
        <v>54</v>
      </c>
      <c r="N210">
        <f t="shared" si="3"/>
        <v>0.98181818181818181</v>
      </c>
    </row>
    <row r="211" spans="1:14" x14ac:dyDescent="0.35">
      <c r="A211" s="125" t="s">
        <v>24</v>
      </c>
      <c r="B211" s="79"/>
      <c r="C211" s="79"/>
      <c r="D211" s="126" t="s">
        <v>28</v>
      </c>
      <c r="E211">
        <v>1998</v>
      </c>
      <c r="F211" s="125">
        <v>2</v>
      </c>
      <c r="G211" s="128">
        <v>2</v>
      </c>
      <c r="H211" s="128">
        <v>3</v>
      </c>
      <c r="I211" s="125">
        <v>18</v>
      </c>
      <c r="J211" s="125">
        <v>4</v>
      </c>
      <c r="K211" s="13">
        <v>45544</v>
      </c>
      <c r="L211" s="125">
        <v>67</v>
      </c>
      <c r="M211" s="130">
        <v>65</v>
      </c>
      <c r="N211">
        <f t="shared" si="3"/>
        <v>0.97014925373134331</v>
      </c>
    </row>
    <row r="212" spans="1:14" x14ac:dyDescent="0.35">
      <c r="A212" s="125" t="s">
        <v>24</v>
      </c>
      <c r="B212" s="79"/>
      <c r="C212" s="79"/>
      <c r="D212" s="126" t="s">
        <v>26</v>
      </c>
      <c r="E212">
        <v>1983</v>
      </c>
      <c r="F212" s="125">
        <v>2</v>
      </c>
      <c r="G212" s="128">
        <v>3</v>
      </c>
      <c r="H212" s="128">
        <v>3</v>
      </c>
      <c r="I212" s="125">
        <v>19</v>
      </c>
      <c r="J212" s="125">
        <v>4</v>
      </c>
      <c r="K212" s="13">
        <v>45544</v>
      </c>
      <c r="L212" s="125">
        <v>67</v>
      </c>
      <c r="M212" s="130">
        <v>28</v>
      </c>
      <c r="N212">
        <f t="shared" si="3"/>
        <v>0.41791044776119401</v>
      </c>
    </row>
    <row r="213" spans="1:14" x14ac:dyDescent="0.35">
      <c r="A213" s="125" t="s">
        <v>24</v>
      </c>
      <c r="B213" s="79"/>
      <c r="C213" s="79"/>
      <c r="D213" s="126" t="s">
        <v>336</v>
      </c>
      <c r="E213">
        <v>2002</v>
      </c>
      <c r="F213" s="125">
        <v>2</v>
      </c>
      <c r="G213" s="128">
        <v>4</v>
      </c>
      <c r="H213" s="128">
        <v>3</v>
      </c>
      <c r="I213" s="125">
        <v>20</v>
      </c>
      <c r="J213" s="125">
        <v>4</v>
      </c>
      <c r="K213" s="13">
        <v>45544</v>
      </c>
      <c r="L213" s="125">
        <v>53</v>
      </c>
      <c r="M213" s="130">
        <v>8</v>
      </c>
      <c r="N213">
        <f t="shared" si="3"/>
        <v>0.15094339622641509</v>
      </c>
    </row>
    <row r="214" spans="1:14" x14ac:dyDescent="0.35">
      <c r="A214" s="125" t="s">
        <v>24</v>
      </c>
      <c r="B214" s="79"/>
      <c r="C214" s="79"/>
      <c r="D214" s="126" t="s">
        <v>29</v>
      </c>
      <c r="E214">
        <v>1999</v>
      </c>
      <c r="F214" s="125">
        <v>2</v>
      </c>
      <c r="G214" s="128">
        <v>5</v>
      </c>
      <c r="H214" s="128">
        <v>3</v>
      </c>
      <c r="I214" s="125">
        <v>21</v>
      </c>
      <c r="J214" s="125">
        <v>4</v>
      </c>
      <c r="K214" s="13">
        <v>45544</v>
      </c>
      <c r="L214" s="125">
        <v>63</v>
      </c>
      <c r="M214" s="130">
        <v>24</v>
      </c>
      <c r="N214">
        <f t="shared" si="3"/>
        <v>0.38095238095238093</v>
      </c>
    </row>
    <row r="215" spans="1:14" x14ac:dyDescent="0.35">
      <c r="A215" s="125" t="s">
        <v>24</v>
      </c>
      <c r="B215" s="79"/>
      <c r="C215" s="79"/>
      <c r="D215" s="126" t="s">
        <v>337</v>
      </c>
      <c r="E215">
        <v>2016</v>
      </c>
      <c r="F215" s="125">
        <v>2</v>
      </c>
      <c r="G215" s="128">
        <v>6</v>
      </c>
      <c r="H215" s="128">
        <v>3</v>
      </c>
      <c r="I215" s="125">
        <v>22</v>
      </c>
      <c r="J215" s="125">
        <v>4</v>
      </c>
      <c r="K215" s="13">
        <v>45544</v>
      </c>
      <c r="L215" s="125">
        <v>63</v>
      </c>
      <c r="M215" s="130">
        <v>10</v>
      </c>
      <c r="N215">
        <f t="shared" si="3"/>
        <v>0.15873015873015872</v>
      </c>
    </row>
    <row r="216" spans="1:14" x14ac:dyDescent="0.35">
      <c r="A216" s="125" t="s">
        <v>24</v>
      </c>
      <c r="B216" s="79"/>
      <c r="C216" s="79"/>
      <c r="D216" s="126" t="s">
        <v>32</v>
      </c>
      <c r="E216">
        <v>2018</v>
      </c>
      <c r="F216" s="125">
        <v>2</v>
      </c>
      <c r="G216" s="128">
        <v>7</v>
      </c>
      <c r="H216" s="128">
        <v>3</v>
      </c>
      <c r="I216" s="125">
        <v>23</v>
      </c>
      <c r="J216" s="125">
        <v>4</v>
      </c>
      <c r="K216" s="13">
        <v>45544</v>
      </c>
      <c r="L216" s="125">
        <v>53</v>
      </c>
      <c r="M216" s="132">
        <v>40</v>
      </c>
      <c r="N216">
        <f t="shared" si="3"/>
        <v>0.75471698113207553</v>
      </c>
    </row>
    <row r="217" spans="1:14" x14ac:dyDescent="0.35">
      <c r="A217" s="125" t="s">
        <v>24</v>
      </c>
      <c r="B217" s="79"/>
      <c r="C217" s="79"/>
      <c r="D217" s="126" t="s">
        <v>27</v>
      </c>
      <c r="E217">
        <v>1985</v>
      </c>
      <c r="F217" s="125">
        <v>2</v>
      </c>
      <c r="G217" s="128">
        <v>8</v>
      </c>
      <c r="H217" s="128">
        <v>3</v>
      </c>
      <c r="I217" s="125">
        <v>24</v>
      </c>
      <c r="J217" s="125">
        <v>4</v>
      </c>
      <c r="K217" s="13">
        <v>45544</v>
      </c>
      <c r="L217" s="125">
        <v>65</v>
      </c>
      <c r="M217" s="130">
        <v>16</v>
      </c>
      <c r="N217">
        <f t="shared" si="3"/>
        <v>0.24615384615384617</v>
      </c>
    </row>
    <row r="218" spans="1:14" x14ac:dyDescent="0.35">
      <c r="A218" s="125" t="s">
        <v>34</v>
      </c>
      <c r="B218" s="71"/>
      <c r="C218" s="72"/>
      <c r="D218" s="127" t="s">
        <v>343</v>
      </c>
      <c r="E218">
        <v>2004</v>
      </c>
      <c r="F218" s="125">
        <v>2</v>
      </c>
      <c r="G218" s="128">
        <v>1</v>
      </c>
      <c r="H218" s="128">
        <v>4</v>
      </c>
      <c r="I218" s="125">
        <v>25</v>
      </c>
      <c r="J218" s="125">
        <v>4</v>
      </c>
      <c r="K218" s="13">
        <v>45544</v>
      </c>
      <c r="L218" s="125">
        <v>55</v>
      </c>
      <c r="M218" s="130">
        <v>25</v>
      </c>
      <c r="N218">
        <f t="shared" si="3"/>
        <v>0.45454545454545453</v>
      </c>
    </row>
    <row r="219" spans="1:14" x14ac:dyDescent="0.35">
      <c r="A219" s="125" t="s">
        <v>34</v>
      </c>
      <c r="D219" s="127" t="s">
        <v>43</v>
      </c>
      <c r="E219">
        <v>2020</v>
      </c>
      <c r="F219" s="125">
        <v>2</v>
      </c>
      <c r="G219" s="128">
        <v>2</v>
      </c>
      <c r="H219" s="128">
        <v>4</v>
      </c>
      <c r="I219" s="125">
        <v>26</v>
      </c>
      <c r="J219" s="125">
        <v>4</v>
      </c>
      <c r="K219" s="13">
        <v>45544</v>
      </c>
      <c r="L219" s="125">
        <v>49</v>
      </c>
      <c r="M219" s="130">
        <v>20</v>
      </c>
      <c r="N219">
        <f t="shared" si="3"/>
        <v>0.40816326530612246</v>
      </c>
    </row>
    <row r="220" spans="1:14" x14ac:dyDescent="0.35">
      <c r="A220" s="125" t="s">
        <v>34</v>
      </c>
      <c r="D220" s="127" t="s">
        <v>38</v>
      </c>
      <c r="E220">
        <v>1999</v>
      </c>
      <c r="F220" s="125">
        <v>2</v>
      </c>
      <c r="G220" s="128">
        <v>3</v>
      </c>
      <c r="H220" s="128">
        <v>4</v>
      </c>
      <c r="I220" s="125">
        <v>27</v>
      </c>
      <c r="J220" s="125">
        <v>4</v>
      </c>
      <c r="K220" s="13">
        <v>45544</v>
      </c>
      <c r="L220" s="125">
        <v>48</v>
      </c>
      <c r="M220" s="130">
        <v>10</v>
      </c>
      <c r="N220">
        <f t="shared" si="3"/>
        <v>0.20833333333333334</v>
      </c>
    </row>
    <row r="221" spans="1:14" x14ac:dyDescent="0.35">
      <c r="A221" s="125" t="s">
        <v>34</v>
      </c>
      <c r="D221" s="127" t="s">
        <v>39</v>
      </c>
      <c r="E221">
        <v>2001</v>
      </c>
      <c r="F221" s="125">
        <v>2</v>
      </c>
      <c r="G221" s="128">
        <v>4</v>
      </c>
      <c r="H221" s="128">
        <v>4</v>
      </c>
      <c r="I221" s="125">
        <v>28</v>
      </c>
      <c r="J221" s="125">
        <v>4</v>
      </c>
      <c r="K221" s="13">
        <v>45544</v>
      </c>
      <c r="L221" s="125">
        <v>36</v>
      </c>
      <c r="M221" s="132">
        <v>32</v>
      </c>
      <c r="N221">
        <f t="shared" si="3"/>
        <v>0.88888888888888884</v>
      </c>
    </row>
    <row r="222" spans="1:14" x14ac:dyDescent="0.35">
      <c r="A222" s="125" t="s">
        <v>34</v>
      </c>
      <c r="D222" s="127" t="s">
        <v>42</v>
      </c>
      <c r="E222">
        <v>2016</v>
      </c>
      <c r="F222" s="125">
        <v>2</v>
      </c>
      <c r="G222" s="128">
        <v>5</v>
      </c>
      <c r="H222" s="128">
        <v>4</v>
      </c>
      <c r="I222" s="125">
        <v>29</v>
      </c>
      <c r="J222" s="125">
        <v>4</v>
      </c>
      <c r="K222" s="13">
        <v>45544</v>
      </c>
      <c r="L222" s="125">
        <v>45</v>
      </c>
      <c r="M222" s="130">
        <v>45</v>
      </c>
      <c r="N222">
        <f t="shared" si="3"/>
        <v>1</v>
      </c>
    </row>
    <row r="223" spans="1:14" x14ac:dyDescent="0.35">
      <c r="A223" s="125" t="s">
        <v>34</v>
      </c>
      <c r="D223" s="127" t="s">
        <v>36</v>
      </c>
      <c r="E223">
        <v>1984</v>
      </c>
      <c r="F223" s="125">
        <v>2</v>
      </c>
      <c r="G223" s="128">
        <v>6</v>
      </c>
      <c r="H223" s="128">
        <v>4</v>
      </c>
      <c r="I223" s="125">
        <v>30</v>
      </c>
      <c r="J223" s="125">
        <v>4</v>
      </c>
      <c r="K223" s="13">
        <v>45544</v>
      </c>
      <c r="L223" s="125">
        <v>48</v>
      </c>
      <c r="M223" s="132">
        <v>32</v>
      </c>
      <c r="N223">
        <f t="shared" si="3"/>
        <v>0.66666666666666663</v>
      </c>
    </row>
    <row r="224" spans="1:14" x14ac:dyDescent="0.35">
      <c r="A224" s="125" t="s">
        <v>34</v>
      </c>
      <c r="D224" s="127" t="s">
        <v>41</v>
      </c>
      <c r="E224">
        <v>2008</v>
      </c>
      <c r="F224" s="125">
        <v>2</v>
      </c>
      <c r="G224" s="128">
        <v>7</v>
      </c>
      <c r="H224" s="128">
        <v>4</v>
      </c>
      <c r="I224" s="125">
        <v>31</v>
      </c>
      <c r="J224" s="125">
        <v>4</v>
      </c>
      <c r="K224" s="13">
        <v>45544</v>
      </c>
      <c r="L224" s="125">
        <v>61</v>
      </c>
      <c r="M224" s="130">
        <v>61</v>
      </c>
      <c r="N224">
        <f t="shared" si="3"/>
        <v>1</v>
      </c>
    </row>
    <row r="225" spans="1:14" x14ac:dyDescent="0.35">
      <c r="A225" s="125" t="s">
        <v>34</v>
      </c>
      <c r="D225" s="127" t="s">
        <v>37</v>
      </c>
      <c r="E225">
        <v>1989</v>
      </c>
      <c r="F225" s="125">
        <v>2</v>
      </c>
      <c r="G225" s="128">
        <v>8</v>
      </c>
      <c r="H225" s="128">
        <v>4</v>
      </c>
      <c r="I225" s="125">
        <v>32</v>
      </c>
      <c r="J225" s="125">
        <v>4</v>
      </c>
      <c r="K225" s="13">
        <v>45544</v>
      </c>
      <c r="L225" s="125">
        <v>64</v>
      </c>
      <c r="M225" s="130">
        <v>24</v>
      </c>
      <c r="N225">
        <f t="shared" si="3"/>
        <v>0.375</v>
      </c>
    </row>
    <row r="226" spans="1:14" x14ac:dyDescent="0.35">
      <c r="A226" s="125" t="s">
        <v>24</v>
      </c>
      <c r="B226" s="79"/>
      <c r="C226" s="79"/>
      <c r="D226" s="126" t="s">
        <v>336</v>
      </c>
      <c r="E226">
        <v>2002</v>
      </c>
      <c r="F226" s="125">
        <v>3</v>
      </c>
      <c r="G226" s="128">
        <v>1</v>
      </c>
      <c r="H226" s="128">
        <v>5</v>
      </c>
      <c r="I226" s="125">
        <v>33</v>
      </c>
      <c r="J226" s="125">
        <v>4</v>
      </c>
      <c r="K226" s="13">
        <v>45544</v>
      </c>
      <c r="L226" s="125">
        <v>34</v>
      </c>
      <c r="M226" s="130">
        <v>9</v>
      </c>
      <c r="N226">
        <f t="shared" si="3"/>
        <v>0.26470588235294118</v>
      </c>
    </row>
    <row r="227" spans="1:14" x14ac:dyDescent="0.35">
      <c r="A227" s="125" t="s">
        <v>24</v>
      </c>
      <c r="B227" s="79"/>
      <c r="C227" s="79"/>
      <c r="D227" s="126" t="s">
        <v>337</v>
      </c>
      <c r="E227">
        <v>2016</v>
      </c>
      <c r="F227" s="125">
        <v>3</v>
      </c>
      <c r="G227" s="128">
        <v>2</v>
      </c>
      <c r="H227" s="128">
        <v>5</v>
      </c>
      <c r="I227" s="125">
        <v>34</v>
      </c>
      <c r="J227" s="125">
        <v>4</v>
      </c>
      <c r="K227" s="13">
        <v>45544</v>
      </c>
      <c r="L227" s="125">
        <v>61</v>
      </c>
      <c r="M227" s="130">
        <v>7</v>
      </c>
      <c r="N227">
        <f t="shared" si="3"/>
        <v>0.11475409836065574</v>
      </c>
    </row>
    <row r="228" spans="1:14" x14ac:dyDescent="0.35">
      <c r="A228" s="125" t="s">
        <v>24</v>
      </c>
      <c r="B228" s="79"/>
      <c r="C228" s="79"/>
      <c r="D228" s="126" t="s">
        <v>32</v>
      </c>
      <c r="E228">
        <v>2018</v>
      </c>
      <c r="F228" s="125">
        <v>3</v>
      </c>
      <c r="G228" s="128">
        <v>3</v>
      </c>
      <c r="H228" s="128">
        <v>5</v>
      </c>
      <c r="I228" s="125">
        <v>35</v>
      </c>
      <c r="J228" s="125">
        <v>4</v>
      </c>
      <c r="K228" s="13">
        <v>45544</v>
      </c>
      <c r="L228" s="125">
        <v>36</v>
      </c>
      <c r="M228" s="132">
        <v>25</v>
      </c>
      <c r="N228">
        <f t="shared" si="3"/>
        <v>0.69444444444444442</v>
      </c>
    </row>
    <row r="229" spans="1:14" x14ac:dyDescent="0.35">
      <c r="A229" s="125" t="s">
        <v>24</v>
      </c>
      <c r="B229" s="79"/>
      <c r="C229" s="79"/>
      <c r="D229" s="126" t="s">
        <v>28</v>
      </c>
      <c r="E229">
        <v>1998</v>
      </c>
      <c r="F229" s="125">
        <v>3</v>
      </c>
      <c r="G229" s="128">
        <v>4</v>
      </c>
      <c r="H229" s="128">
        <v>5</v>
      </c>
      <c r="I229" s="125">
        <v>36</v>
      </c>
      <c r="J229" s="125">
        <v>4</v>
      </c>
      <c r="K229" s="13">
        <v>45544</v>
      </c>
      <c r="L229" s="125">
        <v>44</v>
      </c>
      <c r="M229" s="130">
        <v>42</v>
      </c>
      <c r="N229">
        <f t="shared" si="3"/>
        <v>0.95454545454545459</v>
      </c>
    </row>
    <row r="230" spans="1:14" x14ac:dyDescent="0.35">
      <c r="A230" s="125" t="s">
        <v>24</v>
      </c>
      <c r="B230" s="79"/>
      <c r="C230" s="79"/>
      <c r="D230" s="126" t="s">
        <v>27</v>
      </c>
      <c r="E230">
        <v>1985</v>
      </c>
      <c r="F230" s="125">
        <v>3</v>
      </c>
      <c r="G230" s="128">
        <v>5</v>
      </c>
      <c r="H230" s="128">
        <v>5</v>
      </c>
      <c r="I230" s="125">
        <v>37</v>
      </c>
      <c r="J230" s="125">
        <v>4</v>
      </c>
      <c r="K230" s="13">
        <v>45544</v>
      </c>
      <c r="L230" s="125">
        <v>62</v>
      </c>
      <c r="M230" s="130">
        <v>23</v>
      </c>
      <c r="N230">
        <f t="shared" si="3"/>
        <v>0.37096774193548387</v>
      </c>
    </row>
    <row r="231" spans="1:14" x14ac:dyDescent="0.35">
      <c r="A231" s="125" t="s">
        <v>24</v>
      </c>
      <c r="B231" s="79"/>
      <c r="C231" s="79"/>
      <c r="D231" s="126" t="s">
        <v>335</v>
      </c>
      <c r="E231">
        <v>2023</v>
      </c>
      <c r="F231" s="125">
        <v>3</v>
      </c>
      <c r="G231" s="128">
        <v>6</v>
      </c>
      <c r="H231" s="128">
        <v>5</v>
      </c>
      <c r="I231" s="125">
        <v>38</v>
      </c>
      <c r="J231" s="125">
        <v>4</v>
      </c>
      <c r="K231" s="13">
        <v>45544</v>
      </c>
      <c r="L231" s="125">
        <v>38</v>
      </c>
      <c r="M231" s="130">
        <v>38</v>
      </c>
      <c r="N231">
        <f t="shared" si="3"/>
        <v>1</v>
      </c>
    </row>
    <row r="232" spans="1:14" x14ac:dyDescent="0.35">
      <c r="A232" s="125" t="s">
        <v>24</v>
      </c>
      <c r="B232" s="79"/>
      <c r="C232" s="79"/>
      <c r="D232" s="126" t="s">
        <v>29</v>
      </c>
      <c r="E232">
        <v>1999</v>
      </c>
      <c r="F232" s="125">
        <v>3</v>
      </c>
      <c r="G232" s="128">
        <v>7</v>
      </c>
      <c r="H232" s="128">
        <v>5</v>
      </c>
      <c r="I232" s="125">
        <v>39</v>
      </c>
      <c r="J232" s="125">
        <v>4</v>
      </c>
      <c r="K232" s="13">
        <v>45544</v>
      </c>
      <c r="L232" s="125">
        <v>50</v>
      </c>
      <c r="M232" s="132">
        <v>42</v>
      </c>
      <c r="N232">
        <f t="shared" si="3"/>
        <v>0.84</v>
      </c>
    </row>
    <row r="233" spans="1:14" x14ac:dyDescent="0.35">
      <c r="A233" s="125" t="s">
        <v>24</v>
      </c>
      <c r="B233" s="79"/>
      <c r="C233" s="79"/>
      <c r="D233" s="126" t="s">
        <v>26</v>
      </c>
      <c r="E233">
        <v>1983</v>
      </c>
      <c r="F233" s="125">
        <v>3</v>
      </c>
      <c r="G233" s="128">
        <v>8</v>
      </c>
      <c r="H233" s="128">
        <v>5</v>
      </c>
      <c r="I233" s="125">
        <v>40</v>
      </c>
      <c r="J233" s="125">
        <v>4</v>
      </c>
      <c r="K233" s="13">
        <v>45544</v>
      </c>
      <c r="L233" s="125">
        <v>80</v>
      </c>
      <c r="M233" s="132">
        <v>40</v>
      </c>
      <c r="N233">
        <f t="shared" si="3"/>
        <v>0.5</v>
      </c>
    </row>
    <row r="234" spans="1:14" x14ac:dyDescent="0.35">
      <c r="A234" s="125" t="s">
        <v>34</v>
      </c>
      <c r="D234" s="127" t="s">
        <v>41</v>
      </c>
      <c r="E234">
        <v>2008</v>
      </c>
      <c r="F234" s="125">
        <v>3</v>
      </c>
      <c r="G234" s="128">
        <v>1</v>
      </c>
      <c r="H234" s="128">
        <v>6</v>
      </c>
      <c r="I234" s="125">
        <v>41</v>
      </c>
      <c r="J234" s="125">
        <v>4</v>
      </c>
      <c r="K234" s="13">
        <v>45544</v>
      </c>
      <c r="L234" s="125">
        <v>47</v>
      </c>
      <c r="M234" s="130">
        <v>47</v>
      </c>
      <c r="N234">
        <f t="shared" si="3"/>
        <v>1</v>
      </c>
    </row>
    <row r="235" spans="1:14" x14ac:dyDescent="0.35">
      <c r="A235" s="125" t="s">
        <v>34</v>
      </c>
      <c r="D235" s="127" t="s">
        <v>36</v>
      </c>
      <c r="E235">
        <v>1984</v>
      </c>
      <c r="F235" s="125">
        <v>3</v>
      </c>
      <c r="G235" s="128">
        <v>2</v>
      </c>
      <c r="H235" s="128">
        <v>6</v>
      </c>
      <c r="I235" s="125">
        <v>42</v>
      </c>
      <c r="J235" s="125">
        <v>4</v>
      </c>
      <c r="K235" s="13">
        <v>45544</v>
      </c>
      <c r="L235" s="125">
        <v>37</v>
      </c>
      <c r="M235" s="130">
        <v>10</v>
      </c>
      <c r="N235">
        <f t="shared" si="3"/>
        <v>0.27027027027027029</v>
      </c>
    </row>
    <row r="236" spans="1:14" x14ac:dyDescent="0.35">
      <c r="A236" s="125" t="s">
        <v>34</v>
      </c>
      <c r="D236" s="127" t="s">
        <v>37</v>
      </c>
      <c r="E236">
        <v>1989</v>
      </c>
      <c r="F236" s="125">
        <v>3</v>
      </c>
      <c r="G236" s="128">
        <v>3</v>
      </c>
      <c r="H236" s="128">
        <v>6</v>
      </c>
      <c r="I236" s="125">
        <v>43</v>
      </c>
      <c r="J236" s="125">
        <v>4</v>
      </c>
      <c r="K236" s="13">
        <v>45544</v>
      </c>
      <c r="L236" s="125">
        <v>46</v>
      </c>
      <c r="M236" s="132">
        <v>24</v>
      </c>
      <c r="N236">
        <f t="shared" si="3"/>
        <v>0.52173913043478259</v>
      </c>
    </row>
    <row r="237" spans="1:14" x14ac:dyDescent="0.35">
      <c r="A237" s="125" t="s">
        <v>34</v>
      </c>
      <c r="D237" s="127" t="s">
        <v>42</v>
      </c>
      <c r="E237">
        <v>2016</v>
      </c>
      <c r="F237" s="125">
        <v>3</v>
      </c>
      <c r="G237" s="128">
        <v>4</v>
      </c>
      <c r="H237" s="128">
        <v>6</v>
      </c>
      <c r="I237" s="125">
        <v>44</v>
      </c>
      <c r="J237" s="125">
        <v>4</v>
      </c>
      <c r="K237" s="13">
        <v>45544</v>
      </c>
      <c r="L237" s="125">
        <v>44</v>
      </c>
      <c r="M237" s="133">
        <v>28</v>
      </c>
      <c r="N237">
        <f t="shared" si="3"/>
        <v>0.63636363636363635</v>
      </c>
    </row>
    <row r="238" spans="1:14" x14ac:dyDescent="0.35">
      <c r="A238" s="125" t="s">
        <v>34</v>
      </c>
      <c r="D238" s="127" t="s">
        <v>43</v>
      </c>
      <c r="E238">
        <v>2020</v>
      </c>
      <c r="F238" s="125">
        <v>3</v>
      </c>
      <c r="G238" s="128">
        <v>5</v>
      </c>
      <c r="H238" s="128">
        <v>6</v>
      </c>
      <c r="I238" s="125">
        <v>45</v>
      </c>
      <c r="J238" s="125">
        <v>4</v>
      </c>
      <c r="K238" s="13">
        <v>45544</v>
      </c>
      <c r="L238" s="125">
        <v>48</v>
      </c>
      <c r="M238" s="130">
        <v>23</v>
      </c>
      <c r="N238">
        <f t="shared" si="3"/>
        <v>0.47916666666666669</v>
      </c>
    </row>
    <row r="239" spans="1:14" x14ac:dyDescent="0.35">
      <c r="A239" s="125" t="s">
        <v>34</v>
      </c>
      <c r="D239" s="127" t="s">
        <v>39</v>
      </c>
      <c r="E239">
        <v>2001</v>
      </c>
      <c r="F239" s="125">
        <v>3</v>
      </c>
      <c r="G239" s="128">
        <v>6</v>
      </c>
      <c r="H239" s="128">
        <v>6</v>
      </c>
      <c r="I239" s="125">
        <v>46</v>
      </c>
      <c r="J239" s="125">
        <v>4</v>
      </c>
      <c r="K239" s="13">
        <v>45544</v>
      </c>
      <c r="L239" s="125">
        <v>58</v>
      </c>
      <c r="M239" s="130">
        <v>57</v>
      </c>
      <c r="N239">
        <f t="shared" si="3"/>
        <v>0.98275862068965514</v>
      </c>
    </row>
    <row r="240" spans="1:14" x14ac:dyDescent="0.35">
      <c r="A240" s="125" t="s">
        <v>34</v>
      </c>
      <c r="D240" s="127" t="s">
        <v>38</v>
      </c>
      <c r="E240">
        <v>1999</v>
      </c>
      <c r="F240" s="125">
        <v>3</v>
      </c>
      <c r="G240" s="128">
        <v>7</v>
      </c>
      <c r="H240" s="128">
        <v>6</v>
      </c>
      <c r="I240" s="125">
        <v>47</v>
      </c>
      <c r="J240" s="125">
        <v>4</v>
      </c>
      <c r="K240" s="13">
        <v>45544</v>
      </c>
      <c r="L240" s="125">
        <v>57</v>
      </c>
      <c r="M240" s="130">
        <v>6</v>
      </c>
      <c r="N240">
        <f t="shared" si="3"/>
        <v>0.10526315789473684</v>
      </c>
    </row>
    <row r="241" spans="1:14" x14ac:dyDescent="0.35">
      <c r="A241" s="125" t="s">
        <v>34</v>
      </c>
      <c r="D241" s="127" t="s">
        <v>343</v>
      </c>
      <c r="E241">
        <v>2004</v>
      </c>
      <c r="F241" s="125">
        <v>3</v>
      </c>
      <c r="G241" s="128">
        <v>8</v>
      </c>
      <c r="H241" s="128">
        <v>6</v>
      </c>
      <c r="I241" s="125">
        <v>48</v>
      </c>
      <c r="J241" s="125">
        <v>4</v>
      </c>
      <c r="K241" s="13">
        <v>45544</v>
      </c>
      <c r="L241" s="125">
        <v>49</v>
      </c>
      <c r="M241" s="130">
        <v>23</v>
      </c>
      <c r="N241">
        <f t="shared" si="3"/>
        <v>0.46938775510204084</v>
      </c>
    </row>
    <row r="242" spans="1:14" x14ac:dyDescent="0.35">
      <c r="A242" s="125" t="s">
        <v>24</v>
      </c>
      <c r="B242" s="79"/>
      <c r="C242" s="79"/>
      <c r="D242" s="126" t="s">
        <v>32</v>
      </c>
      <c r="E242">
        <v>2018</v>
      </c>
      <c r="F242" s="125">
        <v>4</v>
      </c>
      <c r="G242" s="128">
        <v>1</v>
      </c>
      <c r="H242" s="128">
        <v>7</v>
      </c>
      <c r="I242" s="125">
        <v>49</v>
      </c>
      <c r="J242" s="125">
        <v>4</v>
      </c>
      <c r="K242" s="13">
        <v>45544</v>
      </c>
      <c r="L242" s="125">
        <v>50</v>
      </c>
      <c r="M242" s="132">
        <v>33</v>
      </c>
      <c r="N242">
        <f t="shared" si="3"/>
        <v>0.66</v>
      </c>
    </row>
    <row r="243" spans="1:14" x14ac:dyDescent="0.35">
      <c r="A243" s="125" t="s">
        <v>24</v>
      </c>
      <c r="B243" s="79"/>
      <c r="C243" s="79"/>
      <c r="D243" s="126" t="s">
        <v>29</v>
      </c>
      <c r="E243">
        <v>1999</v>
      </c>
      <c r="F243" s="125">
        <v>4</v>
      </c>
      <c r="G243" s="128">
        <v>2</v>
      </c>
      <c r="H243" s="128">
        <v>7</v>
      </c>
      <c r="I243" s="125">
        <v>50</v>
      </c>
      <c r="J243" s="125">
        <v>4</v>
      </c>
      <c r="K243" s="13">
        <v>45544</v>
      </c>
      <c r="L243" s="125">
        <v>66</v>
      </c>
      <c r="M243" s="132">
        <v>35</v>
      </c>
      <c r="N243">
        <f t="shared" si="3"/>
        <v>0.53030303030303028</v>
      </c>
    </row>
    <row r="244" spans="1:14" x14ac:dyDescent="0.35">
      <c r="A244" s="125" t="s">
        <v>24</v>
      </c>
      <c r="B244" s="79"/>
      <c r="C244" s="79"/>
      <c r="D244" s="126" t="s">
        <v>337</v>
      </c>
      <c r="E244">
        <v>2016</v>
      </c>
      <c r="F244" s="125">
        <v>4</v>
      </c>
      <c r="G244" s="128">
        <v>3</v>
      </c>
      <c r="H244" s="128">
        <v>7</v>
      </c>
      <c r="I244" s="125">
        <v>51</v>
      </c>
      <c r="J244" s="125">
        <v>4</v>
      </c>
      <c r="K244" s="13">
        <v>45544</v>
      </c>
      <c r="L244" s="125">
        <v>60</v>
      </c>
      <c r="M244" s="130">
        <v>12</v>
      </c>
      <c r="N244">
        <f t="shared" si="3"/>
        <v>0.2</v>
      </c>
    </row>
    <row r="245" spans="1:14" x14ac:dyDescent="0.35">
      <c r="A245" s="125" t="s">
        <v>24</v>
      </c>
      <c r="B245" s="79"/>
      <c r="C245" s="79"/>
      <c r="D245" s="126" t="s">
        <v>27</v>
      </c>
      <c r="E245">
        <v>1985</v>
      </c>
      <c r="F245" s="125">
        <v>4</v>
      </c>
      <c r="G245" s="128">
        <v>4</v>
      </c>
      <c r="H245" s="128">
        <v>7</v>
      </c>
      <c r="I245" s="125">
        <v>52</v>
      </c>
      <c r="J245" s="125">
        <v>4</v>
      </c>
      <c r="K245" s="13">
        <v>45544</v>
      </c>
      <c r="L245" s="125">
        <v>77</v>
      </c>
      <c r="M245" s="130">
        <v>35</v>
      </c>
      <c r="N245">
        <f t="shared" si="3"/>
        <v>0.45454545454545453</v>
      </c>
    </row>
    <row r="246" spans="1:14" x14ac:dyDescent="0.35">
      <c r="A246" s="125" t="s">
        <v>24</v>
      </c>
      <c r="B246" s="79"/>
      <c r="C246" s="79"/>
      <c r="D246" s="126" t="s">
        <v>28</v>
      </c>
      <c r="E246">
        <v>1998</v>
      </c>
      <c r="F246" s="125">
        <v>4</v>
      </c>
      <c r="G246" s="128">
        <v>5</v>
      </c>
      <c r="H246" s="128">
        <v>7</v>
      </c>
      <c r="I246" s="125">
        <v>53</v>
      </c>
      <c r="J246" s="125">
        <v>4</v>
      </c>
      <c r="K246" s="13">
        <v>45544</v>
      </c>
      <c r="L246" s="125">
        <v>64</v>
      </c>
      <c r="M246" s="134">
        <v>62</v>
      </c>
      <c r="N246">
        <f t="shared" si="3"/>
        <v>0.96875</v>
      </c>
    </row>
    <row r="247" spans="1:14" x14ac:dyDescent="0.35">
      <c r="A247" s="125" t="s">
        <v>24</v>
      </c>
      <c r="B247" s="79"/>
      <c r="C247" s="79"/>
      <c r="D247" s="126" t="s">
        <v>26</v>
      </c>
      <c r="E247">
        <v>1983</v>
      </c>
      <c r="F247" s="125">
        <v>4</v>
      </c>
      <c r="G247" s="128">
        <v>6</v>
      </c>
      <c r="H247" s="128">
        <v>7</v>
      </c>
      <c r="I247" s="125">
        <v>54</v>
      </c>
      <c r="J247" s="125">
        <v>4</v>
      </c>
      <c r="K247" s="13">
        <v>45544</v>
      </c>
      <c r="L247" s="125">
        <v>74</v>
      </c>
      <c r="M247" s="132">
        <v>38</v>
      </c>
      <c r="N247">
        <f t="shared" si="3"/>
        <v>0.51351351351351349</v>
      </c>
    </row>
    <row r="248" spans="1:14" x14ac:dyDescent="0.35">
      <c r="A248" s="125" t="s">
        <v>24</v>
      </c>
      <c r="B248" s="79"/>
      <c r="C248" s="79"/>
      <c r="D248" s="126" t="s">
        <v>335</v>
      </c>
      <c r="E248">
        <v>2023</v>
      </c>
      <c r="F248" s="125">
        <v>4</v>
      </c>
      <c r="G248" s="128">
        <v>7</v>
      </c>
      <c r="H248" s="128">
        <v>7</v>
      </c>
      <c r="I248" s="125">
        <v>55</v>
      </c>
      <c r="J248" s="125">
        <v>4</v>
      </c>
      <c r="K248" s="13">
        <v>45544</v>
      </c>
      <c r="L248" s="125">
        <v>59</v>
      </c>
      <c r="M248" s="134">
        <v>57</v>
      </c>
      <c r="N248">
        <f t="shared" si="3"/>
        <v>0.96610169491525422</v>
      </c>
    </row>
    <row r="249" spans="1:14" x14ac:dyDescent="0.35">
      <c r="A249" s="125" t="s">
        <v>24</v>
      </c>
      <c r="B249" s="79"/>
      <c r="C249" s="79"/>
      <c r="D249" s="126" t="s">
        <v>336</v>
      </c>
      <c r="E249">
        <v>2002</v>
      </c>
      <c r="F249" s="125">
        <v>4</v>
      </c>
      <c r="G249" s="128">
        <v>8</v>
      </c>
      <c r="H249" s="128">
        <v>7</v>
      </c>
      <c r="I249" s="125">
        <v>56</v>
      </c>
      <c r="J249" s="125">
        <v>4</v>
      </c>
      <c r="K249" s="13">
        <v>45544</v>
      </c>
      <c r="L249" s="125">
        <v>60</v>
      </c>
      <c r="M249" s="130">
        <v>13</v>
      </c>
      <c r="N249">
        <f t="shared" si="3"/>
        <v>0.21666666666666667</v>
      </c>
    </row>
    <row r="250" spans="1:14" x14ac:dyDescent="0.35">
      <c r="A250" s="125" t="s">
        <v>34</v>
      </c>
      <c r="D250" s="127" t="s">
        <v>39</v>
      </c>
      <c r="E250">
        <v>2001</v>
      </c>
      <c r="F250" s="125">
        <v>4</v>
      </c>
      <c r="G250" s="128">
        <v>1</v>
      </c>
      <c r="H250" s="128">
        <v>8</v>
      </c>
      <c r="I250" s="125">
        <v>57</v>
      </c>
      <c r="J250" s="125">
        <v>4</v>
      </c>
      <c r="K250" s="13">
        <v>45544</v>
      </c>
      <c r="L250" s="125">
        <v>48</v>
      </c>
      <c r="M250" s="134">
        <v>42</v>
      </c>
      <c r="N250">
        <f t="shared" si="3"/>
        <v>0.875</v>
      </c>
    </row>
    <row r="251" spans="1:14" x14ac:dyDescent="0.35">
      <c r="A251" s="125" t="s">
        <v>34</v>
      </c>
      <c r="D251" s="127" t="s">
        <v>37</v>
      </c>
      <c r="E251">
        <v>1989</v>
      </c>
      <c r="F251" s="125">
        <v>4</v>
      </c>
      <c r="G251" s="128">
        <v>2</v>
      </c>
      <c r="H251" s="128">
        <v>8</v>
      </c>
      <c r="I251" s="125">
        <v>58</v>
      </c>
      <c r="J251" s="125">
        <v>4</v>
      </c>
      <c r="K251" s="13">
        <v>45544</v>
      </c>
      <c r="L251" s="125">
        <v>67</v>
      </c>
      <c r="M251" s="130">
        <v>32</v>
      </c>
      <c r="N251">
        <f t="shared" si="3"/>
        <v>0.47761194029850745</v>
      </c>
    </row>
    <row r="252" spans="1:14" x14ac:dyDescent="0.35">
      <c r="A252" s="125" t="s">
        <v>34</v>
      </c>
      <c r="D252" s="127" t="s">
        <v>36</v>
      </c>
      <c r="E252">
        <v>1984</v>
      </c>
      <c r="F252" s="125">
        <v>4</v>
      </c>
      <c r="G252" s="128">
        <v>3</v>
      </c>
      <c r="H252" s="128">
        <v>8</v>
      </c>
      <c r="I252" s="125">
        <v>59</v>
      </c>
      <c r="J252" s="125">
        <v>4</v>
      </c>
      <c r="K252" s="13">
        <v>45544</v>
      </c>
      <c r="L252" s="125">
        <v>52</v>
      </c>
      <c r="M252" s="130">
        <v>15</v>
      </c>
      <c r="N252">
        <f t="shared" si="3"/>
        <v>0.28846153846153844</v>
      </c>
    </row>
    <row r="253" spans="1:14" x14ac:dyDescent="0.35">
      <c r="A253" s="125" t="s">
        <v>34</v>
      </c>
      <c r="D253" s="127" t="s">
        <v>343</v>
      </c>
      <c r="E253">
        <v>2004</v>
      </c>
      <c r="F253" s="125">
        <v>4</v>
      </c>
      <c r="G253" s="128">
        <v>4</v>
      </c>
      <c r="H253" s="128">
        <v>8</v>
      </c>
      <c r="I253" s="125">
        <v>60</v>
      </c>
      <c r="J253" s="125">
        <v>4</v>
      </c>
      <c r="K253" s="13">
        <v>45544</v>
      </c>
      <c r="L253" s="125">
        <v>55</v>
      </c>
      <c r="M253" s="132">
        <v>31</v>
      </c>
      <c r="N253">
        <f t="shared" si="3"/>
        <v>0.5636363636363636</v>
      </c>
    </row>
    <row r="254" spans="1:14" x14ac:dyDescent="0.35">
      <c r="A254" s="125" t="s">
        <v>34</v>
      </c>
      <c r="D254" s="127" t="s">
        <v>41</v>
      </c>
      <c r="E254">
        <v>2008</v>
      </c>
      <c r="F254" s="125">
        <v>4</v>
      </c>
      <c r="G254" s="128">
        <v>5</v>
      </c>
      <c r="H254" s="128">
        <v>8</v>
      </c>
      <c r="I254" s="125">
        <v>61</v>
      </c>
      <c r="J254" s="125">
        <v>4</v>
      </c>
      <c r="K254" s="13">
        <v>45544</v>
      </c>
      <c r="L254" s="125">
        <v>40</v>
      </c>
      <c r="M254" s="134">
        <v>40</v>
      </c>
      <c r="N254">
        <f t="shared" si="3"/>
        <v>1</v>
      </c>
    </row>
    <row r="255" spans="1:14" x14ac:dyDescent="0.35">
      <c r="A255" s="125" t="s">
        <v>34</v>
      </c>
      <c r="D255" s="127" t="s">
        <v>38</v>
      </c>
      <c r="E255">
        <v>1999</v>
      </c>
      <c r="F255" s="125">
        <v>4</v>
      </c>
      <c r="G255" s="128">
        <v>6</v>
      </c>
      <c r="H255" s="128">
        <v>8</v>
      </c>
      <c r="I255" s="125">
        <v>62</v>
      </c>
      <c r="J255" s="125">
        <v>4</v>
      </c>
      <c r="K255" s="13">
        <v>45544</v>
      </c>
      <c r="L255" s="125">
        <v>54</v>
      </c>
      <c r="M255" s="130">
        <v>25</v>
      </c>
      <c r="N255">
        <f t="shared" si="3"/>
        <v>0.46296296296296297</v>
      </c>
    </row>
    <row r="256" spans="1:14" x14ac:dyDescent="0.35">
      <c r="A256" s="125" t="s">
        <v>34</v>
      </c>
      <c r="D256" s="127" t="s">
        <v>42</v>
      </c>
      <c r="E256">
        <v>2016</v>
      </c>
      <c r="F256" s="125">
        <v>4</v>
      </c>
      <c r="G256" s="128">
        <v>7</v>
      </c>
      <c r="H256" s="128">
        <v>8</v>
      </c>
      <c r="I256" s="125">
        <v>63</v>
      </c>
      <c r="J256" s="125">
        <v>4</v>
      </c>
      <c r="K256" s="13">
        <v>45544</v>
      </c>
      <c r="L256" s="125">
        <v>42</v>
      </c>
      <c r="M256" s="134">
        <v>40</v>
      </c>
      <c r="N256">
        <f t="shared" si="3"/>
        <v>0.95238095238095233</v>
      </c>
    </row>
    <row r="257" spans="1:14" x14ac:dyDescent="0.35">
      <c r="A257" s="125" t="s">
        <v>34</v>
      </c>
      <c r="D257" s="127" t="s">
        <v>43</v>
      </c>
      <c r="E257">
        <v>2020</v>
      </c>
      <c r="F257" s="125">
        <v>4</v>
      </c>
      <c r="G257" s="128">
        <v>8</v>
      </c>
      <c r="H257" s="128">
        <v>8</v>
      </c>
      <c r="I257" s="125">
        <v>64</v>
      </c>
      <c r="J257" s="125">
        <v>4</v>
      </c>
      <c r="K257" s="13">
        <v>45544</v>
      </c>
      <c r="L257" s="125">
        <v>38</v>
      </c>
      <c r="M257" s="132">
        <v>24</v>
      </c>
      <c r="N257">
        <f t="shared" si="3"/>
        <v>0.63157894736842102</v>
      </c>
    </row>
    <row r="258" spans="1:14" x14ac:dyDescent="0.35">
      <c r="A258" s="125" t="s">
        <v>24</v>
      </c>
      <c r="B258" s="79"/>
      <c r="C258" s="79"/>
      <c r="D258" s="126" t="s">
        <v>27</v>
      </c>
      <c r="E258">
        <v>1985</v>
      </c>
      <c r="F258" s="125">
        <v>1</v>
      </c>
      <c r="G258" s="128">
        <v>1</v>
      </c>
      <c r="H258" s="128">
        <v>1</v>
      </c>
      <c r="I258" s="125">
        <v>1</v>
      </c>
      <c r="J258" s="125">
        <v>5</v>
      </c>
      <c r="K258" s="13">
        <v>45547</v>
      </c>
      <c r="L258" s="125">
        <v>78</v>
      </c>
      <c r="M258" s="132">
        <v>40</v>
      </c>
      <c r="N258">
        <f t="shared" si="3"/>
        <v>0.51282051282051277</v>
      </c>
    </row>
    <row r="259" spans="1:14" x14ac:dyDescent="0.35">
      <c r="A259" s="125" t="s">
        <v>24</v>
      </c>
      <c r="B259" s="79"/>
      <c r="C259" s="79"/>
      <c r="D259" s="126" t="s">
        <v>26</v>
      </c>
      <c r="E259">
        <v>1983</v>
      </c>
      <c r="F259" s="125">
        <v>1</v>
      </c>
      <c r="G259" s="128">
        <v>2</v>
      </c>
      <c r="H259" s="128">
        <v>1</v>
      </c>
      <c r="I259" s="125">
        <v>2</v>
      </c>
      <c r="J259" s="125">
        <v>5</v>
      </c>
      <c r="K259" s="13">
        <v>45547</v>
      </c>
      <c r="L259" s="125">
        <v>67</v>
      </c>
      <c r="M259" s="132">
        <v>44</v>
      </c>
      <c r="N259">
        <f t="shared" ref="N259:N322" si="4">M259/L259</f>
        <v>0.65671641791044777</v>
      </c>
    </row>
    <row r="260" spans="1:14" x14ac:dyDescent="0.35">
      <c r="A260" s="125" t="s">
        <v>24</v>
      </c>
      <c r="B260" s="79"/>
      <c r="C260" s="79"/>
      <c r="D260" s="126" t="s">
        <v>335</v>
      </c>
      <c r="E260">
        <v>2023</v>
      </c>
      <c r="F260" s="125">
        <v>1</v>
      </c>
      <c r="G260" s="128">
        <v>3</v>
      </c>
      <c r="H260" s="128">
        <v>1</v>
      </c>
      <c r="I260" s="125">
        <v>3</v>
      </c>
      <c r="J260" s="125">
        <v>5</v>
      </c>
      <c r="K260" s="13">
        <v>45547</v>
      </c>
      <c r="L260" s="125">
        <v>60</v>
      </c>
      <c r="M260" s="130">
        <v>60</v>
      </c>
      <c r="N260">
        <f t="shared" si="4"/>
        <v>1</v>
      </c>
    </row>
    <row r="261" spans="1:14" x14ac:dyDescent="0.35">
      <c r="A261" s="125" t="s">
        <v>24</v>
      </c>
      <c r="B261" s="79"/>
      <c r="C261" s="79"/>
      <c r="D261" s="126" t="s">
        <v>29</v>
      </c>
      <c r="E261">
        <v>1999</v>
      </c>
      <c r="F261" s="125">
        <v>1</v>
      </c>
      <c r="G261" s="128">
        <v>4</v>
      </c>
      <c r="H261" s="128">
        <v>1</v>
      </c>
      <c r="I261" s="125">
        <v>4</v>
      </c>
      <c r="J261" s="125">
        <v>5</v>
      </c>
      <c r="K261" s="13">
        <v>45547</v>
      </c>
      <c r="L261" s="125">
        <v>108</v>
      </c>
      <c r="M261" s="132">
        <v>99</v>
      </c>
      <c r="N261">
        <f t="shared" si="4"/>
        <v>0.91666666666666663</v>
      </c>
    </row>
    <row r="262" spans="1:14" x14ac:dyDescent="0.35">
      <c r="A262" s="125" t="s">
        <v>24</v>
      </c>
      <c r="B262" s="79"/>
      <c r="C262" s="79"/>
      <c r="D262" s="126" t="s">
        <v>336</v>
      </c>
      <c r="E262">
        <v>2002</v>
      </c>
      <c r="F262" s="125">
        <v>1</v>
      </c>
      <c r="G262" s="128">
        <v>5</v>
      </c>
      <c r="H262" s="128">
        <v>1</v>
      </c>
      <c r="I262" s="125">
        <v>5</v>
      </c>
      <c r="J262" s="125">
        <v>5</v>
      </c>
      <c r="K262" s="13">
        <v>45547</v>
      </c>
      <c r="L262" s="125">
        <v>78</v>
      </c>
      <c r="M262" s="130">
        <v>29</v>
      </c>
      <c r="N262">
        <f t="shared" si="4"/>
        <v>0.37179487179487181</v>
      </c>
    </row>
    <row r="263" spans="1:14" x14ac:dyDescent="0.35">
      <c r="A263" s="125" t="s">
        <v>24</v>
      </c>
      <c r="B263" s="79"/>
      <c r="C263" s="79"/>
      <c r="D263" s="126" t="s">
        <v>32</v>
      </c>
      <c r="E263">
        <v>2018</v>
      </c>
      <c r="F263" s="125">
        <v>1</v>
      </c>
      <c r="G263" s="128">
        <v>6</v>
      </c>
      <c r="H263" s="128">
        <v>1</v>
      </c>
      <c r="I263" s="125">
        <v>6</v>
      </c>
      <c r="J263" s="125">
        <v>5</v>
      </c>
      <c r="K263" s="13">
        <v>45547</v>
      </c>
      <c r="L263" s="125">
        <v>74</v>
      </c>
      <c r="M263" s="134">
        <v>63</v>
      </c>
      <c r="N263">
        <f t="shared" si="4"/>
        <v>0.85135135135135132</v>
      </c>
    </row>
    <row r="264" spans="1:14" x14ac:dyDescent="0.35">
      <c r="A264" s="125" t="s">
        <v>24</v>
      </c>
      <c r="B264" s="79"/>
      <c r="C264" s="79"/>
      <c r="D264" s="126" t="s">
        <v>28</v>
      </c>
      <c r="E264">
        <v>1998</v>
      </c>
      <c r="F264" s="125">
        <v>1</v>
      </c>
      <c r="G264" s="128">
        <v>7</v>
      </c>
      <c r="H264" s="128">
        <v>1</v>
      </c>
      <c r="I264" s="125">
        <v>7</v>
      </c>
      <c r="J264" s="125">
        <v>5</v>
      </c>
      <c r="K264" s="13">
        <v>45547</v>
      </c>
      <c r="L264" s="125">
        <v>90</v>
      </c>
      <c r="M264" s="130">
        <v>88</v>
      </c>
      <c r="N264">
        <f t="shared" si="4"/>
        <v>0.97777777777777775</v>
      </c>
    </row>
    <row r="265" spans="1:14" x14ac:dyDescent="0.35">
      <c r="A265" s="125" t="s">
        <v>24</v>
      </c>
      <c r="B265" s="79"/>
      <c r="C265" s="79"/>
      <c r="D265" s="126" t="s">
        <v>337</v>
      </c>
      <c r="E265">
        <v>2016</v>
      </c>
      <c r="F265" s="125">
        <v>1</v>
      </c>
      <c r="G265" s="128">
        <v>8</v>
      </c>
      <c r="H265" s="128">
        <v>1</v>
      </c>
      <c r="I265" s="125">
        <v>8</v>
      </c>
      <c r="J265" s="125">
        <v>5</v>
      </c>
      <c r="K265" s="13">
        <v>45547</v>
      </c>
      <c r="L265" s="125">
        <v>50</v>
      </c>
      <c r="M265" s="130">
        <v>17</v>
      </c>
      <c r="N265">
        <f t="shared" si="4"/>
        <v>0.34</v>
      </c>
    </row>
    <row r="266" spans="1:14" x14ac:dyDescent="0.35">
      <c r="A266" s="125" t="s">
        <v>34</v>
      </c>
      <c r="D266" s="127" t="s">
        <v>42</v>
      </c>
      <c r="E266">
        <v>2016</v>
      </c>
      <c r="F266" s="125">
        <v>1</v>
      </c>
      <c r="G266" s="128">
        <v>1</v>
      </c>
      <c r="H266" s="128">
        <v>2</v>
      </c>
      <c r="I266" s="125">
        <v>9</v>
      </c>
      <c r="J266" s="125">
        <v>5</v>
      </c>
      <c r="K266" s="13">
        <v>45547</v>
      </c>
      <c r="L266" s="125">
        <v>43</v>
      </c>
      <c r="M266" s="130">
        <v>43</v>
      </c>
      <c r="N266">
        <f t="shared" si="4"/>
        <v>1</v>
      </c>
    </row>
    <row r="267" spans="1:14" x14ac:dyDescent="0.35">
      <c r="A267" s="125" t="s">
        <v>34</v>
      </c>
      <c r="D267" s="127" t="s">
        <v>38</v>
      </c>
      <c r="E267">
        <v>1999</v>
      </c>
      <c r="F267" s="125">
        <v>1</v>
      </c>
      <c r="G267" s="128">
        <v>2</v>
      </c>
      <c r="H267" s="128">
        <v>2</v>
      </c>
      <c r="I267" s="125">
        <v>10</v>
      </c>
      <c r="J267" s="125">
        <v>5</v>
      </c>
      <c r="K267" s="13">
        <v>45547</v>
      </c>
      <c r="L267" s="125">
        <v>59</v>
      </c>
      <c r="M267" s="132">
        <v>38</v>
      </c>
      <c r="N267">
        <f t="shared" si="4"/>
        <v>0.64406779661016944</v>
      </c>
    </row>
    <row r="268" spans="1:14" x14ac:dyDescent="0.35">
      <c r="A268" s="125" t="s">
        <v>34</v>
      </c>
      <c r="D268" s="127" t="s">
        <v>43</v>
      </c>
      <c r="E268">
        <v>2020</v>
      </c>
      <c r="F268" s="125">
        <v>1</v>
      </c>
      <c r="G268" s="128">
        <v>3</v>
      </c>
      <c r="H268" s="128">
        <v>2</v>
      </c>
      <c r="I268" s="125">
        <v>11</v>
      </c>
      <c r="J268" s="125">
        <v>5</v>
      </c>
      <c r="K268" s="13">
        <v>45547</v>
      </c>
      <c r="L268" s="125">
        <v>42</v>
      </c>
      <c r="M268" s="130">
        <v>18</v>
      </c>
      <c r="N268">
        <f t="shared" si="4"/>
        <v>0.42857142857142855</v>
      </c>
    </row>
    <row r="269" spans="1:14" x14ac:dyDescent="0.35">
      <c r="A269" s="125" t="s">
        <v>34</v>
      </c>
      <c r="D269" s="127" t="s">
        <v>41</v>
      </c>
      <c r="E269">
        <v>2008</v>
      </c>
      <c r="F269" s="125">
        <v>1</v>
      </c>
      <c r="G269" s="128">
        <v>4</v>
      </c>
      <c r="H269" s="128">
        <v>2</v>
      </c>
      <c r="I269" s="125">
        <v>12</v>
      </c>
      <c r="J269" s="125">
        <v>5</v>
      </c>
      <c r="K269" s="13">
        <v>45547</v>
      </c>
      <c r="L269" s="125">
        <v>39</v>
      </c>
      <c r="M269" s="130">
        <v>39</v>
      </c>
      <c r="N269">
        <f t="shared" si="4"/>
        <v>1</v>
      </c>
    </row>
    <row r="270" spans="1:14" x14ac:dyDescent="0.35">
      <c r="A270" s="125" t="s">
        <v>34</v>
      </c>
      <c r="D270" s="127" t="s">
        <v>37</v>
      </c>
      <c r="E270">
        <v>1989</v>
      </c>
      <c r="F270" s="125">
        <v>1</v>
      </c>
      <c r="G270" s="128">
        <v>5</v>
      </c>
      <c r="H270" s="128">
        <v>2</v>
      </c>
      <c r="I270" s="125">
        <v>13</v>
      </c>
      <c r="J270" s="125">
        <v>5</v>
      </c>
      <c r="K270" s="13">
        <v>45547</v>
      </c>
      <c r="L270" s="125">
        <v>48</v>
      </c>
      <c r="M270" s="132">
        <v>32</v>
      </c>
      <c r="N270">
        <f t="shared" si="4"/>
        <v>0.66666666666666663</v>
      </c>
    </row>
    <row r="271" spans="1:14" x14ac:dyDescent="0.35">
      <c r="A271" s="125" t="s">
        <v>34</v>
      </c>
      <c r="D271" s="127" t="s">
        <v>343</v>
      </c>
      <c r="E271">
        <v>2004</v>
      </c>
      <c r="F271" s="125">
        <v>1</v>
      </c>
      <c r="G271" s="128">
        <v>6</v>
      </c>
      <c r="H271" s="128">
        <v>2</v>
      </c>
      <c r="I271" s="125">
        <v>14</v>
      </c>
      <c r="J271" s="125">
        <v>5</v>
      </c>
      <c r="K271" s="13">
        <v>45547</v>
      </c>
      <c r="L271" s="125">
        <v>44</v>
      </c>
      <c r="M271" s="134">
        <v>44</v>
      </c>
      <c r="N271">
        <f t="shared" si="4"/>
        <v>1</v>
      </c>
    </row>
    <row r="272" spans="1:14" x14ac:dyDescent="0.35">
      <c r="A272" s="125" t="s">
        <v>34</v>
      </c>
      <c r="D272" s="127" t="s">
        <v>36</v>
      </c>
      <c r="E272">
        <v>1984</v>
      </c>
      <c r="F272" s="125">
        <v>1</v>
      </c>
      <c r="G272" s="128">
        <v>7</v>
      </c>
      <c r="H272" s="128">
        <v>2</v>
      </c>
      <c r="I272" s="125">
        <v>15</v>
      </c>
      <c r="J272" s="125">
        <v>5</v>
      </c>
      <c r="K272" s="13">
        <v>45547</v>
      </c>
      <c r="L272" s="125">
        <v>44</v>
      </c>
      <c r="M272" s="134">
        <v>0</v>
      </c>
      <c r="N272">
        <f t="shared" si="4"/>
        <v>0</v>
      </c>
    </row>
    <row r="273" spans="1:14" x14ac:dyDescent="0.35">
      <c r="A273" s="125" t="s">
        <v>34</v>
      </c>
      <c r="D273" s="127" t="s">
        <v>39</v>
      </c>
      <c r="E273">
        <v>2001</v>
      </c>
      <c r="F273" s="125">
        <v>1</v>
      </c>
      <c r="G273" s="128">
        <v>8</v>
      </c>
      <c r="H273" s="128">
        <v>2</v>
      </c>
      <c r="I273" s="125">
        <v>16</v>
      </c>
      <c r="J273" s="125">
        <v>5</v>
      </c>
      <c r="K273" s="13">
        <v>45547</v>
      </c>
      <c r="L273" s="125">
        <v>56</v>
      </c>
      <c r="M273" s="134">
        <v>56</v>
      </c>
      <c r="N273">
        <f t="shared" si="4"/>
        <v>1</v>
      </c>
    </row>
    <row r="274" spans="1:14" x14ac:dyDescent="0.35">
      <c r="A274" s="125" t="s">
        <v>24</v>
      </c>
      <c r="B274" s="79"/>
      <c r="C274" s="79"/>
      <c r="D274" s="126" t="s">
        <v>335</v>
      </c>
      <c r="E274">
        <v>2023</v>
      </c>
      <c r="F274" s="125">
        <v>2</v>
      </c>
      <c r="G274" s="128">
        <v>1</v>
      </c>
      <c r="H274" s="128">
        <v>3</v>
      </c>
      <c r="I274" s="125">
        <v>17</v>
      </c>
      <c r="J274" s="125">
        <v>5</v>
      </c>
      <c r="K274" s="13">
        <v>45547</v>
      </c>
      <c r="L274" s="125">
        <v>55</v>
      </c>
      <c r="M274" s="130">
        <v>55</v>
      </c>
      <c r="N274">
        <f t="shared" si="4"/>
        <v>1</v>
      </c>
    </row>
    <row r="275" spans="1:14" x14ac:dyDescent="0.35">
      <c r="A275" s="125" t="s">
        <v>24</v>
      </c>
      <c r="B275" s="79"/>
      <c r="C275" s="79"/>
      <c r="D275" s="126" t="s">
        <v>28</v>
      </c>
      <c r="E275">
        <v>1998</v>
      </c>
      <c r="F275" s="125">
        <v>2</v>
      </c>
      <c r="G275" s="128">
        <v>2</v>
      </c>
      <c r="H275" s="128">
        <v>3</v>
      </c>
      <c r="I275" s="125">
        <v>18</v>
      </c>
      <c r="J275" s="125">
        <v>5</v>
      </c>
      <c r="K275" s="13">
        <v>45547</v>
      </c>
      <c r="L275" s="125">
        <v>67</v>
      </c>
      <c r="M275" s="130">
        <v>67</v>
      </c>
      <c r="N275">
        <f t="shared" si="4"/>
        <v>1</v>
      </c>
    </row>
    <row r="276" spans="1:14" x14ac:dyDescent="0.35">
      <c r="A276" s="125" t="s">
        <v>24</v>
      </c>
      <c r="B276" s="79"/>
      <c r="C276" s="79"/>
      <c r="D276" s="126" t="s">
        <v>26</v>
      </c>
      <c r="E276">
        <v>1983</v>
      </c>
      <c r="F276" s="125">
        <v>2</v>
      </c>
      <c r="G276" s="128">
        <v>3</v>
      </c>
      <c r="H276" s="128">
        <v>3</v>
      </c>
      <c r="I276" s="125">
        <v>19</v>
      </c>
      <c r="J276" s="125">
        <v>5</v>
      </c>
      <c r="K276" s="13">
        <v>45547</v>
      </c>
      <c r="L276" s="125">
        <v>67</v>
      </c>
      <c r="M276" s="132">
        <v>63</v>
      </c>
      <c r="N276">
        <f t="shared" si="4"/>
        <v>0.94029850746268662</v>
      </c>
    </row>
    <row r="277" spans="1:14" x14ac:dyDescent="0.35">
      <c r="A277" s="125" t="s">
        <v>24</v>
      </c>
      <c r="B277" s="79"/>
      <c r="C277" s="79"/>
      <c r="D277" s="126" t="s">
        <v>336</v>
      </c>
      <c r="E277">
        <v>2002</v>
      </c>
      <c r="F277" s="125">
        <v>2</v>
      </c>
      <c r="G277" s="128">
        <v>4</v>
      </c>
      <c r="H277" s="128">
        <v>3</v>
      </c>
      <c r="I277" s="125">
        <v>20</v>
      </c>
      <c r="J277" s="125">
        <v>5</v>
      </c>
      <c r="K277" s="13">
        <v>45547</v>
      </c>
      <c r="L277" s="125">
        <v>53</v>
      </c>
      <c r="M277" s="130">
        <v>23</v>
      </c>
      <c r="N277">
        <f t="shared" si="4"/>
        <v>0.43396226415094341</v>
      </c>
    </row>
    <row r="278" spans="1:14" x14ac:dyDescent="0.35">
      <c r="A278" s="125" t="s">
        <v>24</v>
      </c>
      <c r="B278" s="79"/>
      <c r="C278" s="79"/>
      <c r="D278" s="126" t="s">
        <v>29</v>
      </c>
      <c r="E278">
        <v>1999</v>
      </c>
      <c r="F278" s="125">
        <v>2</v>
      </c>
      <c r="G278" s="128">
        <v>5</v>
      </c>
      <c r="H278" s="128">
        <v>3</v>
      </c>
      <c r="I278" s="125">
        <v>21</v>
      </c>
      <c r="J278" s="125">
        <v>5</v>
      </c>
      <c r="K278" s="13">
        <v>45547</v>
      </c>
      <c r="L278" s="125">
        <v>63</v>
      </c>
      <c r="M278" s="132">
        <v>53</v>
      </c>
      <c r="N278">
        <f t="shared" si="4"/>
        <v>0.84126984126984128</v>
      </c>
    </row>
    <row r="279" spans="1:14" x14ac:dyDescent="0.35">
      <c r="A279" s="125" t="s">
        <v>24</v>
      </c>
      <c r="B279" s="79"/>
      <c r="C279" s="79"/>
      <c r="D279" s="126" t="s">
        <v>337</v>
      </c>
      <c r="E279">
        <v>2016</v>
      </c>
      <c r="F279" s="125">
        <v>2</v>
      </c>
      <c r="G279" s="128">
        <v>6</v>
      </c>
      <c r="H279" s="128">
        <v>3</v>
      </c>
      <c r="I279" s="125">
        <v>22</v>
      </c>
      <c r="J279" s="125">
        <v>5</v>
      </c>
      <c r="K279" s="13">
        <v>45547</v>
      </c>
      <c r="L279" s="125">
        <v>63</v>
      </c>
      <c r="M279" s="130">
        <v>22</v>
      </c>
      <c r="N279">
        <f t="shared" si="4"/>
        <v>0.34920634920634919</v>
      </c>
    </row>
    <row r="280" spans="1:14" x14ac:dyDescent="0.35">
      <c r="A280" s="125" t="s">
        <v>24</v>
      </c>
      <c r="B280" s="79"/>
      <c r="C280" s="79"/>
      <c r="D280" s="126" t="s">
        <v>32</v>
      </c>
      <c r="E280">
        <v>2018</v>
      </c>
      <c r="F280" s="125">
        <v>2</v>
      </c>
      <c r="G280" s="128">
        <v>7</v>
      </c>
      <c r="H280" s="128">
        <v>3</v>
      </c>
      <c r="I280" s="125">
        <v>23</v>
      </c>
      <c r="J280" s="125">
        <v>5</v>
      </c>
      <c r="K280" s="13">
        <v>45547</v>
      </c>
      <c r="L280" s="125">
        <v>53</v>
      </c>
      <c r="M280" s="134">
        <v>50</v>
      </c>
      <c r="N280">
        <f t="shared" si="4"/>
        <v>0.94339622641509435</v>
      </c>
    </row>
    <row r="281" spans="1:14" x14ac:dyDescent="0.35">
      <c r="A281" s="125" t="s">
        <v>24</v>
      </c>
      <c r="B281" s="79"/>
      <c r="C281" s="79"/>
      <c r="D281" s="126" t="s">
        <v>27</v>
      </c>
      <c r="E281">
        <v>1985</v>
      </c>
      <c r="F281" s="125">
        <v>2</v>
      </c>
      <c r="G281" s="128">
        <v>8</v>
      </c>
      <c r="H281" s="128">
        <v>3</v>
      </c>
      <c r="I281" s="125">
        <v>24</v>
      </c>
      <c r="J281" s="125">
        <v>5</v>
      </c>
      <c r="K281" s="13">
        <v>45547</v>
      </c>
      <c r="L281" s="125">
        <v>65</v>
      </c>
      <c r="M281" s="132">
        <v>51</v>
      </c>
      <c r="N281">
        <f t="shared" si="4"/>
        <v>0.7846153846153846</v>
      </c>
    </row>
    <row r="282" spans="1:14" x14ac:dyDescent="0.35">
      <c r="A282" s="125" t="s">
        <v>34</v>
      </c>
      <c r="B282" s="71"/>
      <c r="C282" s="72"/>
      <c r="D282" s="127" t="s">
        <v>343</v>
      </c>
      <c r="E282">
        <v>2004</v>
      </c>
      <c r="F282" s="125">
        <v>2</v>
      </c>
      <c r="G282" s="128">
        <v>1</v>
      </c>
      <c r="H282" s="128">
        <v>4</v>
      </c>
      <c r="I282" s="125">
        <v>25</v>
      </c>
      <c r="J282" s="125">
        <v>5</v>
      </c>
      <c r="K282" s="13">
        <v>45547</v>
      </c>
      <c r="L282" s="125">
        <v>55</v>
      </c>
      <c r="M282" s="132">
        <v>35</v>
      </c>
      <c r="N282">
        <f t="shared" si="4"/>
        <v>0.63636363636363635</v>
      </c>
    </row>
    <row r="283" spans="1:14" x14ac:dyDescent="0.35">
      <c r="A283" s="125" t="s">
        <v>34</v>
      </c>
      <c r="D283" s="127" t="s">
        <v>43</v>
      </c>
      <c r="E283">
        <v>2020</v>
      </c>
      <c r="F283" s="125">
        <v>2</v>
      </c>
      <c r="G283" s="128">
        <v>2</v>
      </c>
      <c r="H283" s="128">
        <v>4</v>
      </c>
      <c r="I283" s="125">
        <v>26</v>
      </c>
      <c r="J283" s="125">
        <v>5</v>
      </c>
      <c r="K283" s="13">
        <v>45547</v>
      </c>
      <c r="L283" s="125">
        <v>49</v>
      </c>
      <c r="M283" s="132">
        <v>29</v>
      </c>
      <c r="N283">
        <f t="shared" si="4"/>
        <v>0.59183673469387754</v>
      </c>
    </row>
    <row r="284" spans="1:14" x14ac:dyDescent="0.35">
      <c r="A284" s="125" t="s">
        <v>34</v>
      </c>
      <c r="D284" s="127" t="s">
        <v>38</v>
      </c>
      <c r="E284">
        <v>1999</v>
      </c>
      <c r="F284" s="125">
        <v>2</v>
      </c>
      <c r="G284" s="128">
        <v>3</v>
      </c>
      <c r="H284" s="128">
        <v>4</v>
      </c>
      <c r="I284" s="125">
        <v>27</v>
      </c>
      <c r="J284" s="125">
        <v>5</v>
      </c>
      <c r="K284" s="13">
        <v>45547</v>
      </c>
      <c r="L284" s="125">
        <v>48</v>
      </c>
      <c r="M284" s="132">
        <v>39</v>
      </c>
      <c r="N284">
        <f t="shared" si="4"/>
        <v>0.8125</v>
      </c>
    </row>
    <row r="285" spans="1:14" x14ac:dyDescent="0.35">
      <c r="A285" s="125" t="s">
        <v>34</v>
      </c>
      <c r="D285" s="127" t="s">
        <v>39</v>
      </c>
      <c r="E285">
        <v>2001</v>
      </c>
      <c r="F285" s="125">
        <v>2</v>
      </c>
      <c r="G285" s="128">
        <v>4</v>
      </c>
      <c r="H285" s="128">
        <v>4</v>
      </c>
      <c r="I285" s="125">
        <v>28</v>
      </c>
      <c r="J285" s="125">
        <v>5</v>
      </c>
      <c r="K285" s="13">
        <v>45547</v>
      </c>
      <c r="L285" s="125">
        <v>36</v>
      </c>
      <c r="M285" s="134">
        <v>36</v>
      </c>
      <c r="N285">
        <f t="shared" si="4"/>
        <v>1</v>
      </c>
    </row>
    <row r="286" spans="1:14" x14ac:dyDescent="0.35">
      <c r="A286" s="125" t="s">
        <v>34</v>
      </c>
      <c r="D286" s="127" t="s">
        <v>42</v>
      </c>
      <c r="E286">
        <v>2016</v>
      </c>
      <c r="F286" s="125">
        <v>2</v>
      </c>
      <c r="G286" s="128">
        <v>5</v>
      </c>
      <c r="H286" s="128">
        <v>4</v>
      </c>
      <c r="I286" s="125">
        <v>29</v>
      </c>
      <c r="J286" s="125">
        <v>5</v>
      </c>
      <c r="K286" s="13">
        <v>45547</v>
      </c>
      <c r="L286" s="125">
        <v>45</v>
      </c>
      <c r="M286" s="130">
        <v>45</v>
      </c>
      <c r="N286">
        <f t="shared" si="4"/>
        <v>1</v>
      </c>
    </row>
    <row r="287" spans="1:14" x14ac:dyDescent="0.35">
      <c r="A287" s="125" t="s">
        <v>34</v>
      </c>
      <c r="D287" s="127" t="s">
        <v>36</v>
      </c>
      <c r="E287">
        <v>1984</v>
      </c>
      <c r="F287" s="125">
        <v>2</v>
      </c>
      <c r="G287" s="128">
        <v>6</v>
      </c>
      <c r="H287" s="128">
        <v>4</v>
      </c>
      <c r="I287" s="125">
        <v>30</v>
      </c>
      <c r="J287" s="125">
        <v>5</v>
      </c>
      <c r="K287" s="13">
        <v>45547</v>
      </c>
      <c r="L287" s="125">
        <v>48</v>
      </c>
      <c r="M287" s="134">
        <v>40</v>
      </c>
      <c r="N287">
        <f t="shared" si="4"/>
        <v>0.83333333333333337</v>
      </c>
    </row>
    <row r="288" spans="1:14" x14ac:dyDescent="0.35">
      <c r="A288" s="125" t="s">
        <v>34</v>
      </c>
      <c r="D288" s="127" t="s">
        <v>41</v>
      </c>
      <c r="E288">
        <v>2008</v>
      </c>
      <c r="F288" s="125">
        <v>2</v>
      </c>
      <c r="G288" s="128">
        <v>7</v>
      </c>
      <c r="H288" s="128">
        <v>4</v>
      </c>
      <c r="I288" s="125">
        <v>31</v>
      </c>
      <c r="J288" s="125">
        <v>5</v>
      </c>
      <c r="K288" s="13">
        <v>45547</v>
      </c>
      <c r="L288" s="125">
        <v>61</v>
      </c>
      <c r="M288" s="130">
        <v>61</v>
      </c>
      <c r="N288">
        <f t="shared" si="4"/>
        <v>1</v>
      </c>
    </row>
    <row r="289" spans="1:14" x14ac:dyDescent="0.35">
      <c r="A289" s="125" t="s">
        <v>34</v>
      </c>
      <c r="D289" s="127" t="s">
        <v>37</v>
      </c>
      <c r="E289">
        <v>1989</v>
      </c>
      <c r="F289" s="125">
        <v>2</v>
      </c>
      <c r="G289" s="128">
        <v>8</v>
      </c>
      <c r="H289" s="128">
        <v>4</v>
      </c>
      <c r="I289" s="125">
        <v>32</v>
      </c>
      <c r="J289" s="125">
        <v>5</v>
      </c>
      <c r="K289" s="13">
        <v>45547</v>
      </c>
      <c r="L289" s="125">
        <v>64</v>
      </c>
      <c r="M289" s="132">
        <v>35</v>
      </c>
      <c r="N289">
        <f t="shared" si="4"/>
        <v>0.546875</v>
      </c>
    </row>
    <row r="290" spans="1:14" x14ac:dyDescent="0.35">
      <c r="A290" s="125" t="s">
        <v>24</v>
      </c>
      <c r="B290" s="79"/>
      <c r="C290" s="79"/>
      <c r="D290" s="126" t="s">
        <v>336</v>
      </c>
      <c r="E290">
        <v>2002</v>
      </c>
      <c r="F290" s="125">
        <v>3</v>
      </c>
      <c r="G290" s="128">
        <v>1</v>
      </c>
      <c r="H290" s="128">
        <v>5</v>
      </c>
      <c r="I290" s="125">
        <v>33</v>
      </c>
      <c r="J290" s="125">
        <v>5</v>
      </c>
      <c r="K290" s="13">
        <v>45547</v>
      </c>
      <c r="L290" s="125">
        <v>34</v>
      </c>
      <c r="M290" s="132">
        <v>29</v>
      </c>
      <c r="N290">
        <f t="shared" si="4"/>
        <v>0.8529411764705882</v>
      </c>
    </row>
    <row r="291" spans="1:14" x14ac:dyDescent="0.35">
      <c r="A291" s="125" t="s">
        <v>24</v>
      </c>
      <c r="B291" s="79"/>
      <c r="C291" s="79"/>
      <c r="D291" s="126" t="s">
        <v>337</v>
      </c>
      <c r="E291">
        <v>2016</v>
      </c>
      <c r="F291" s="125">
        <v>3</v>
      </c>
      <c r="G291" s="128">
        <v>2</v>
      </c>
      <c r="H291" s="128">
        <v>5</v>
      </c>
      <c r="I291" s="125">
        <v>34</v>
      </c>
      <c r="J291" s="125">
        <v>5</v>
      </c>
      <c r="K291" s="13">
        <v>45547</v>
      </c>
      <c r="L291" s="125">
        <v>61</v>
      </c>
      <c r="M291" s="130">
        <v>26</v>
      </c>
      <c r="N291">
        <f t="shared" si="4"/>
        <v>0.42622950819672129</v>
      </c>
    </row>
    <row r="292" spans="1:14" x14ac:dyDescent="0.35">
      <c r="A292" s="125" t="s">
        <v>24</v>
      </c>
      <c r="B292" s="79"/>
      <c r="C292" s="79"/>
      <c r="D292" s="126" t="s">
        <v>32</v>
      </c>
      <c r="E292">
        <v>2018</v>
      </c>
      <c r="F292" s="125">
        <v>3</v>
      </c>
      <c r="G292" s="128">
        <v>3</v>
      </c>
      <c r="H292" s="128">
        <v>5</v>
      </c>
      <c r="I292" s="125">
        <v>35</v>
      </c>
      <c r="J292" s="125">
        <v>5</v>
      </c>
      <c r="K292" s="13">
        <v>45547</v>
      </c>
      <c r="L292" s="125">
        <v>36</v>
      </c>
      <c r="M292" s="134">
        <v>36</v>
      </c>
      <c r="N292">
        <f t="shared" si="4"/>
        <v>1</v>
      </c>
    </row>
    <row r="293" spans="1:14" x14ac:dyDescent="0.35">
      <c r="A293" s="125" t="s">
        <v>24</v>
      </c>
      <c r="B293" s="79"/>
      <c r="C293" s="79"/>
      <c r="D293" s="126" t="s">
        <v>28</v>
      </c>
      <c r="E293">
        <v>1998</v>
      </c>
      <c r="F293" s="125">
        <v>3</v>
      </c>
      <c r="G293" s="128">
        <v>4</v>
      </c>
      <c r="H293" s="128">
        <v>5</v>
      </c>
      <c r="I293" s="125">
        <v>36</v>
      </c>
      <c r="J293" s="125">
        <v>5</v>
      </c>
      <c r="K293" s="13">
        <v>45547</v>
      </c>
      <c r="L293" s="125">
        <v>44</v>
      </c>
      <c r="M293" s="130">
        <v>44</v>
      </c>
      <c r="N293">
        <f t="shared" si="4"/>
        <v>1</v>
      </c>
    </row>
    <row r="294" spans="1:14" x14ac:dyDescent="0.35">
      <c r="A294" s="125" t="s">
        <v>24</v>
      </c>
      <c r="B294" s="79"/>
      <c r="C294" s="79"/>
      <c r="D294" s="126" t="s">
        <v>27</v>
      </c>
      <c r="E294">
        <v>1985</v>
      </c>
      <c r="F294" s="125">
        <v>3</v>
      </c>
      <c r="G294" s="128">
        <v>5</v>
      </c>
      <c r="H294" s="128">
        <v>5</v>
      </c>
      <c r="I294" s="125">
        <v>37</v>
      </c>
      <c r="J294" s="125">
        <v>5</v>
      </c>
      <c r="K294" s="13">
        <v>45547</v>
      </c>
      <c r="L294" s="125">
        <v>62</v>
      </c>
      <c r="M294" s="132">
        <v>42</v>
      </c>
      <c r="N294">
        <f t="shared" si="4"/>
        <v>0.67741935483870963</v>
      </c>
    </row>
    <row r="295" spans="1:14" x14ac:dyDescent="0.35">
      <c r="A295" s="125" t="s">
        <v>24</v>
      </c>
      <c r="B295" s="79"/>
      <c r="C295" s="79"/>
      <c r="D295" s="126" t="s">
        <v>335</v>
      </c>
      <c r="E295">
        <v>2023</v>
      </c>
      <c r="F295" s="125">
        <v>3</v>
      </c>
      <c r="G295" s="128">
        <v>6</v>
      </c>
      <c r="H295" s="128">
        <v>5</v>
      </c>
      <c r="I295" s="125">
        <v>38</v>
      </c>
      <c r="J295" s="125">
        <v>5</v>
      </c>
      <c r="K295" s="13">
        <v>45547</v>
      </c>
      <c r="L295" s="125">
        <v>38</v>
      </c>
      <c r="M295" s="130">
        <v>38</v>
      </c>
      <c r="N295">
        <f t="shared" si="4"/>
        <v>1</v>
      </c>
    </row>
    <row r="296" spans="1:14" x14ac:dyDescent="0.35">
      <c r="A296" s="125" t="s">
        <v>24</v>
      </c>
      <c r="B296" s="79"/>
      <c r="C296" s="79"/>
      <c r="D296" s="126" t="s">
        <v>29</v>
      </c>
      <c r="E296">
        <v>1999</v>
      </c>
      <c r="F296" s="125">
        <v>3</v>
      </c>
      <c r="G296" s="128">
        <v>7</v>
      </c>
      <c r="H296" s="128">
        <v>5</v>
      </c>
      <c r="I296" s="125">
        <v>39</v>
      </c>
      <c r="J296" s="125">
        <v>5</v>
      </c>
      <c r="K296" s="13">
        <v>45547</v>
      </c>
      <c r="L296" s="125">
        <v>50</v>
      </c>
      <c r="M296" s="134">
        <v>45</v>
      </c>
      <c r="N296">
        <f t="shared" si="4"/>
        <v>0.9</v>
      </c>
    </row>
    <row r="297" spans="1:14" x14ac:dyDescent="0.35">
      <c r="A297" s="125" t="s">
        <v>24</v>
      </c>
      <c r="B297" s="79"/>
      <c r="C297" s="79"/>
      <c r="D297" s="126" t="s">
        <v>26</v>
      </c>
      <c r="E297">
        <v>1983</v>
      </c>
      <c r="F297" s="125">
        <v>3</v>
      </c>
      <c r="G297" s="128">
        <v>8</v>
      </c>
      <c r="H297" s="128">
        <v>5</v>
      </c>
      <c r="I297" s="125">
        <v>40</v>
      </c>
      <c r="J297" s="125">
        <v>5</v>
      </c>
      <c r="K297" s="13">
        <v>45547</v>
      </c>
      <c r="L297" s="125">
        <v>80</v>
      </c>
      <c r="M297" s="134">
        <v>69</v>
      </c>
      <c r="N297">
        <f t="shared" si="4"/>
        <v>0.86250000000000004</v>
      </c>
    </row>
    <row r="298" spans="1:14" x14ac:dyDescent="0.35">
      <c r="A298" s="125" t="s">
        <v>34</v>
      </c>
      <c r="D298" s="127" t="s">
        <v>41</v>
      </c>
      <c r="E298">
        <v>2008</v>
      </c>
      <c r="F298" s="125">
        <v>3</v>
      </c>
      <c r="G298" s="128">
        <v>1</v>
      </c>
      <c r="H298" s="128">
        <v>6</v>
      </c>
      <c r="I298" s="125">
        <v>41</v>
      </c>
      <c r="J298" s="125">
        <v>5</v>
      </c>
      <c r="K298" s="13">
        <v>45547</v>
      </c>
      <c r="L298" s="125">
        <v>47</v>
      </c>
      <c r="M298" s="130">
        <v>47</v>
      </c>
      <c r="N298">
        <f t="shared" si="4"/>
        <v>1</v>
      </c>
    </row>
    <row r="299" spans="1:14" x14ac:dyDescent="0.35">
      <c r="A299" s="125" t="s">
        <v>34</v>
      </c>
      <c r="D299" s="127" t="s">
        <v>36</v>
      </c>
      <c r="E299">
        <v>1984</v>
      </c>
      <c r="F299" s="125">
        <v>3</v>
      </c>
      <c r="G299" s="128">
        <v>2</v>
      </c>
      <c r="H299" s="128">
        <v>6</v>
      </c>
      <c r="I299" s="125">
        <v>42</v>
      </c>
      <c r="J299" s="125">
        <v>5</v>
      </c>
      <c r="K299" s="13">
        <v>45547</v>
      </c>
      <c r="L299" s="125">
        <v>37</v>
      </c>
      <c r="M299" s="132">
        <v>24</v>
      </c>
      <c r="N299">
        <f t="shared" si="4"/>
        <v>0.64864864864864868</v>
      </c>
    </row>
    <row r="300" spans="1:14" x14ac:dyDescent="0.35">
      <c r="A300" s="125" t="s">
        <v>34</v>
      </c>
      <c r="D300" s="127" t="s">
        <v>37</v>
      </c>
      <c r="E300">
        <v>1989</v>
      </c>
      <c r="F300" s="125">
        <v>3</v>
      </c>
      <c r="G300" s="128">
        <v>3</v>
      </c>
      <c r="H300" s="128">
        <v>6</v>
      </c>
      <c r="I300" s="125">
        <v>43</v>
      </c>
      <c r="J300" s="125">
        <v>5</v>
      </c>
      <c r="K300" s="13">
        <v>45547</v>
      </c>
      <c r="L300" s="125">
        <v>46</v>
      </c>
      <c r="M300" s="134">
        <v>30</v>
      </c>
      <c r="N300">
        <f t="shared" si="4"/>
        <v>0.65217391304347827</v>
      </c>
    </row>
    <row r="301" spans="1:14" x14ac:dyDescent="0.35">
      <c r="A301" s="125" t="s">
        <v>34</v>
      </c>
      <c r="D301" s="127" t="s">
        <v>42</v>
      </c>
      <c r="E301">
        <v>2016</v>
      </c>
      <c r="F301" s="125">
        <v>3</v>
      </c>
      <c r="G301" s="128">
        <v>4</v>
      </c>
      <c r="H301" s="128">
        <v>6</v>
      </c>
      <c r="I301" s="125">
        <v>44</v>
      </c>
      <c r="J301" s="125">
        <v>5</v>
      </c>
      <c r="K301" s="13">
        <v>45547</v>
      </c>
      <c r="L301" s="125">
        <v>44</v>
      </c>
      <c r="M301" s="130">
        <v>40</v>
      </c>
      <c r="N301">
        <f t="shared" si="4"/>
        <v>0.90909090909090906</v>
      </c>
    </row>
    <row r="302" spans="1:14" x14ac:dyDescent="0.35">
      <c r="A302" s="125" t="s">
        <v>34</v>
      </c>
      <c r="D302" s="127" t="s">
        <v>43</v>
      </c>
      <c r="E302">
        <v>2020</v>
      </c>
      <c r="F302" s="125">
        <v>3</v>
      </c>
      <c r="G302" s="128">
        <v>5</v>
      </c>
      <c r="H302" s="128">
        <v>6</v>
      </c>
      <c r="I302" s="125">
        <v>45</v>
      </c>
      <c r="J302" s="125">
        <v>5</v>
      </c>
      <c r="K302" s="13">
        <v>45547</v>
      </c>
      <c r="L302" s="125">
        <v>48</v>
      </c>
      <c r="M302" s="132">
        <v>38</v>
      </c>
      <c r="N302">
        <f t="shared" si="4"/>
        <v>0.79166666666666663</v>
      </c>
    </row>
    <row r="303" spans="1:14" x14ac:dyDescent="0.35">
      <c r="A303" s="125" t="s">
        <v>34</v>
      </c>
      <c r="D303" s="127" t="s">
        <v>39</v>
      </c>
      <c r="E303">
        <v>2001</v>
      </c>
      <c r="F303" s="125">
        <v>3</v>
      </c>
      <c r="G303" s="128">
        <v>6</v>
      </c>
      <c r="H303" s="128">
        <v>6</v>
      </c>
      <c r="I303" s="125">
        <v>46</v>
      </c>
      <c r="J303" s="125">
        <v>5</v>
      </c>
      <c r="K303" s="13">
        <v>45547</v>
      </c>
      <c r="L303" s="125">
        <v>58</v>
      </c>
      <c r="M303" s="130">
        <v>58</v>
      </c>
      <c r="N303">
        <f t="shared" si="4"/>
        <v>1</v>
      </c>
    </row>
    <row r="304" spans="1:14" x14ac:dyDescent="0.35">
      <c r="A304" s="125" t="s">
        <v>34</v>
      </c>
      <c r="D304" s="127" t="s">
        <v>38</v>
      </c>
      <c r="E304">
        <v>1999</v>
      </c>
      <c r="F304" s="125">
        <v>3</v>
      </c>
      <c r="G304" s="128">
        <v>7</v>
      </c>
      <c r="H304" s="128">
        <v>6</v>
      </c>
      <c r="I304" s="125">
        <v>47</v>
      </c>
      <c r="J304" s="125">
        <v>5</v>
      </c>
      <c r="K304" s="13">
        <v>45547</v>
      </c>
      <c r="L304" s="125">
        <v>57</v>
      </c>
      <c r="M304" s="130">
        <v>16</v>
      </c>
      <c r="N304">
        <f t="shared" si="4"/>
        <v>0.2807017543859649</v>
      </c>
    </row>
    <row r="305" spans="1:14" x14ac:dyDescent="0.35">
      <c r="A305" s="125" t="s">
        <v>34</v>
      </c>
      <c r="D305" s="127" t="s">
        <v>343</v>
      </c>
      <c r="E305">
        <v>2004</v>
      </c>
      <c r="F305" s="125">
        <v>3</v>
      </c>
      <c r="G305" s="128">
        <v>8</v>
      </c>
      <c r="H305" s="128">
        <v>6</v>
      </c>
      <c r="I305" s="125">
        <v>48</v>
      </c>
      <c r="J305" s="125">
        <v>5</v>
      </c>
      <c r="K305" s="13">
        <v>45547</v>
      </c>
      <c r="L305" s="125">
        <v>49</v>
      </c>
      <c r="M305" s="132">
        <v>36</v>
      </c>
      <c r="N305">
        <f t="shared" si="4"/>
        <v>0.73469387755102045</v>
      </c>
    </row>
    <row r="306" spans="1:14" x14ac:dyDescent="0.35">
      <c r="A306" s="125" t="s">
        <v>24</v>
      </c>
      <c r="B306" s="79"/>
      <c r="C306" s="79"/>
      <c r="D306" s="126" t="s">
        <v>32</v>
      </c>
      <c r="E306">
        <v>2018</v>
      </c>
      <c r="F306" s="125">
        <v>4</v>
      </c>
      <c r="G306" s="128">
        <v>1</v>
      </c>
      <c r="H306" s="128">
        <v>7</v>
      </c>
      <c r="I306" s="125">
        <v>49</v>
      </c>
      <c r="J306" s="125">
        <v>5</v>
      </c>
      <c r="K306" s="13">
        <v>45547</v>
      </c>
      <c r="L306" s="125">
        <v>50</v>
      </c>
      <c r="M306" s="134">
        <v>40</v>
      </c>
      <c r="N306">
        <f t="shared" si="4"/>
        <v>0.8</v>
      </c>
    </row>
    <row r="307" spans="1:14" x14ac:dyDescent="0.35">
      <c r="A307" s="125" t="s">
        <v>24</v>
      </c>
      <c r="B307" s="79"/>
      <c r="C307" s="79"/>
      <c r="D307" s="126" t="s">
        <v>29</v>
      </c>
      <c r="E307">
        <v>1999</v>
      </c>
      <c r="F307" s="125">
        <v>4</v>
      </c>
      <c r="G307" s="128">
        <v>2</v>
      </c>
      <c r="H307" s="128">
        <v>7</v>
      </c>
      <c r="I307" s="125">
        <v>50</v>
      </c>
      <c r="J307" s="125">
        <v>5</v>
      </c>
      <c r="K307" s="13">
        <v>45547</v>
      </c>
      <c r="L307" s="125">
        <v>66</v>
      </c>
      <c r="M307" s="134">
        <v>66</v>
      </c>
      <c r="N307">
        <f t="shared" si="4"/>
        <v>1</v>
      </c>
    </row>
    <row r="308" spans="1:14" x14ac:dyDescent="0.35">
      <c r="A308" s="125" t="s">
        <v>24</v>
      </c>
      <c r="B308" s="79"/>
      <c r="C308" s="79"/>
      <c r="D308" s="126" t="s">
        <v>337</v>
      </c>
      <c r="E308">
        <v>2016</v>
      </c>
      <c r="F308" s="125">
        <v>4</v>
      </c>
      <c r="G308" s="128">
        <v>3</v>
      </c>
      <c r="H308" s="128">
        <v>7</v>
      </c>
      <c r="I308" s="125">
        <v>51</v>
      </c>
      <c r="J308" s="125">
        <v>5</v>
      </c>
      <c r="K308" s="13">
        <v>45547</v>
      </c>
      <c r="L308" s="125">
        <v>60</v>
      </c>
      <c r="M308" s="130">
        <v>25</v>
      </c>
      <c r="N308">
        <f t="shared" si="4"/>
        <v>0.41666666666666669</v>
      </c>
    </row>
    <row r="309" spans="1:14" x14ac:dyDescent="0.35">
      <c r="A309" s="125" t="s">
        <v>24</v>
      </c>
      <c r="B309" s="79"/>
      <c r="C309" s="79"/>
      <c r="D309" s="126" t="s">
        <v>27</v>
      </c>
      <c r="E309">
        <v>1985</v>
      </c>
      <c r="F309" s="125">
        <v>4</v>
      </c>
      <c r="G309" s="128">
        <v>4</v>
      </c>
      <c r="H309" s="128">
        <v>7</v>
      </c>
      <c r="I309" s="125">
        <v>52</v>
      </c>
      <c r="J309" s="125">
        <v>5</v>
      </c>
      <c r="K309" s="13">
        <v>45547</v>
      </c>
      <c r="L309" s="125">
        <v>77</v>
      </c>
      <c r="M309" s="132">
        <v>60</v>
      </c>
      <c r="N309">
        <f t="shared" si="4"/>
        <v>0.77922077922077926</v>
      </c>
    </row>
    <row r="310" spans="1:14" x14ac:dyDescent="0.35">
      <c r="A310" s="125" t="s">
        <v>24</v>
      </c>
      <c r="B310" s="79"/>
      <c r="C310" s="79"/>
      <c r="D310" s="126" t="s">
        <v>28</v>
      </c>
      <c r="E310">
        <v>1998</v>
      </c>
      <c r="F310" s="125">
        <v>4</v>
      </c>
      <c r="G310" s="128">
        <v>5</v>
      </c>
      <c r="H310" s="128">
        <v>7</v>
      </c>
      <c r="I310" s="125">
        <v>53</v>
      </c>
      <c r="J310" s="125">
        <v>5</v>
      </c>
      <c r="K310" s="13">
        <v>45547</v>
      </c>
      <c r="L310" s="125">
        <v>64</v>
      </c>
      <c r="M310" s="134">
        <v>64</v>
      </c>
      <c r="N310">
        <f t="shared" si="4"/>
        <v>1</v>
      </c>
    </row>
    <row r="311" spans="1:14" x14ac:dyDescent="0.35">
      <c r="A311" s="125" t="s">
        <v>24</v>
      </c>
      <c r="B311" s="79"/>
      <c r="C311" s="79"/>
      <c r="D311" s="126" t="s">
        <v>26</v>
      </c>
      <c r="E311">
        <v>1983</v>
      </c>
      <c r="F311" s="125">
        <v>4</v>
      </c>
      <c r="G311" s="128">
        <v>6</v>
      </c>
      <c r="H311" s="128">
        <v>7</v>
      </c>
      <c r="I311" s="125">
        <v>54</v>
      </c>
      <c r="J311" s="125">
        <v>5</v>
      </c>
      <c r="K311" s="13">
        <v>45547</v>
      </c>
      <c r="L311" s="125">
        <v>74</v>
      </c>
      <c r="M311" s="134">
        <v>74</v>
      </c>
      <c r="N311">
        <f t="shared" si="4"/>
        <v>1</v>
      </c>
    </row>
    <row r="312" spans="1:14" x14ac:dyDescent="0.35">
      <c r="A312" s="125" t="s">
        <v>24</v>
      </c>
      <c r="B312" s="79"/>
      <c r="C312" s="79"/>
      <c r="D312" s="126" t="s">
        <v>335</v>
      </c>
      <c r="E312">
        <v>2023</v>
      </c>
      <c r="F312" s="125">
        <v>4</v>
      </c>
      <c r="G312" s="128">
        <v>7</v>
      </c>
      <c r="H312" s="128">
        <v>7</v>
      </c>
      <c r="I312" s="125">
        <v>55</v>
      </c>
      <c r="J312" s="125">
        <v>5</v>
      </c>
      <c r="K312" s="13">
        <v>45547</v>
      </c>
      <c r="L312" s="125">
        <v>59</v>
      </c>
      <c r="M312" s="134">
        <v>59</v>
      </c>
      <c r="N312">
        <f t="shared" si="4"/>
        <v>1</v>
      </c>
    </row>
    <row r="313" spans="1:14" x14ac:dyDescent="0.35">
      <c r="A313" s="125" t="s">
        <v>24</v>
      </c>
      <c r="B313" s="79"/>
      <c r="C313" s="79"/>
      <c r="D313" s="126" t="s">
        <v>336</v>
      </c>
      <c r="E313">
        <v>2002</v>
      </c>
      <c r="F313" s="125">
        <v>4</v>
      </c>
      <c r="G313" s="128">
        <v>8</v>
      </c>
      <c r="H313" s="128">
        <v>7</v>
      </c>
      <c r="I313" s="125">
        <v>56</v>
      </c>
      <c r="J313" s="125">
        <v>5</v>
      </c>
      <c r="K313" s="13">
        <v>45547</v>
      </c>
      <c r="L313" s="125">
        <v>60</v>
      </c>
      <c r="M313" s="130">
        <v>28</v>
      </c>
      <c r="N313">
        <f t="shared" si="4"/>
        <v>0.46666666666666667</v>
      </c>
    </row>
    <row r="314" spans="1:14" x14ac:dyDescent="0.35">
      <c r="A314" s="125" t="s">
        <v>34</v>
      </c>
      <c r="D314" s="127" t="s">
        <v>39</v>
      </c>
      <c r="E314">
        <v>2001</v>
      </c>
      <c r="F314" s="125">
        <v>4</v>
      </c>
      <c r="G314" s="128">
        <v>1</v>
      </c>
      <c r="H314" s="128">
        <v>8</v>
      </c>
      <c r="I314" s="125">
        <v>57</v>
      </c>
      <c r="J314" s="125">
        <v>5</v>
      </c>
      <c r="K314" s="13">
        <v>45547</v>
      </c>
      <c r="L314" s="125">
        <v>48</v>
      </c>
      <c r="M314" s="134">
        <v>48</v>
      </c>
      <c r="N314">
        <f t="shared" si="4"/>
        <v>1</v>
      </c>
    </row>
    <row r="315" spans="1:14" x14ac:dyDescent="0.35">
      <c r="A315" s="125" t="s">
        <v>34</v>
      </c>
      <c r="D315" s="127" t="s">
        <v>37</v>
      </c>
      <c r="E315">
        <v>1989</v>
      </c>
      <c r="F315" s="125">
        <v>4</v>
      </c>
      <c r="G315" s="128">
        <v>2</v>
      </c>
      <c r="H315" s="128">
        <v>8</v>
      </c>
      <c r="I315" s="125">
        <v>58</v>
      </c>
      <c r="J315" s="125">
        <v>5</v>
      </c>
      <c r="K315" s="13">
        <v>45547</v>
      </c>
      <c r="L315" s="125">
        <v>67</v>
      </c>
      <c r="M315" s="132">
        <v>40</v>
      </c>
      <c r="N315">
        <f t="shared" si="4"/>
        <v>0.59701492537313428</v>
      </c>
    </row>
    <row r="316" spans="1:14" x14ac:dyDescent="0.35">
      <c r="A316" s="125" t="s">
        <v>34</v>
      </c>
      <c r="D316" s="127" t="s">
        <v>36</v>
      </c>
      <c r="E316">
        <v>1984</v>
      </c>
      <c r="F316" s="125">
        <v>4</v>
      </c>
      <c r="G316" s="128">
        <v>3</v>
      </c>
      <c r="H316" s="128">
        <v>8</v>
      </c>
      <c r="I316" s="125">
        <v>59</v>
      </c>
      <c r="J316" s="125">
        <v>5</v>
      </c>
      <c r="K316" s="13">
        <v>45547</v>
      </c>
      <c r="L316" s="125">
        <v>52</v>
      </c>
      <c r="M316" s="130">
        <v>23</v>
      </c>
      <c r="N316">
        <f t="shared" si="4"/>
        <v>0.44230769230769229</v>
      </c>
    </row>
    <row r="317" spans="1:14" x14ac:dyDescent="0.35">
      <c r="A317" s="125" t="s">
        <v>34</v>
      </c>
      <c r="D317" s="127" t="s">
        <v>343</v>
      </c>
      <c r="E317">
        <v>2004</v>
      </c>
      <c r="F317" s="125">
        <v>4</v>
      </c>
      <c r="G317" s="128">
        <v>4</v>
      </c>
      <c r="H317" s="128">
        <v>8</v>
      </c>
      <c r="I317" s="125">
        <v>60</v>
      </c>
      <c r="J317" s="125">
        <v>5</v>
      </c>
      <c r="K317" s="13">
        <v>45547</v>
      </c>
      <c r="L317" s="125">
        <v>55</v>
      </c>
      <c r="M317" s="134">
        <v>51</v>
      </c>
      <c r="N317">
        <f t="shared" si="4"/>
        <v>0.92727272727272725</v>
      </c>
    </row>
    <row r="318" spans="1:14" x14ac:dyDescent="0.35">
      <c r="A318" s="125" t="s">
        <v>34</v>
      </c>
      <c r="D318" s="127" t="s">
        <v>41</v>
      </c>
      <c r="E318">
        <v>2008</v>
      </c>
      <c r="F318" s="125">
        <v>4</v>
      </c>
      <c r="G318" s="128">
        <v>5</v>
      </c>
      <c r="H318" s="128">
        <v>8</v>
      </c>
      <c r="I318" s="125">
        <v>61</v>
      </c>
      <c r="J318" s="125">
        <v>5</v>
      </c>
      <c r="K318" s="13">
        <v>45547</v>
      </c>
      <c r="L318" s="125">
        <v>40</v>
      </c>
      <c r="M318" s="134">
        <v>40</v>
      </c>
      <c r="N318">
        <f t="shared" si="4"/>
        <v>1</v>
      </c>
    </row>
    <row r="319" spans="1:14" x14ac:dyDescent="0.35">
      <c r="A319" s="125" t="s">
        <v>34</v>
      </c>
      <c r="D319" s="127" t="s">
        <v>38</v>
      </c>
      <c r="E319">
        <v>1999</v>
      </c>
      <c r="F319" s="125">
        <v>4</v>
      </c>
      <c r="G319" s="128">
        <v>6</v>
      </c>
      <c r="H319" s="128">
        <v>8</v>
      </c>
      <c r="I319" s="125">
        <v>62</v>
      </c>
      <c r="J319" s="125">
        <v>5</v>
      </c>
      <c r="K319" s="13">
        <v>45547</v>
      </c>
      <c r="L319" s="125">
        <v>54</v>
      </c>
      <c r="M319" s="132">
        <v>36</v>
      </c>
      <c r="N319">
        <f t="shared" si="4"/>
        <v>0.66666666666666663</v>
      </c>
    </row>
    <row r="320" spans="1:14" x14ac:dyDescent="0.35">
      <c r="A320" s="125" t="s">
        <v>34</v>
      </c>
      <c r="D320" s="127" t="s">
        <v>42</v>
      </c>
      <c r="E320">
        <v>2016</v>
      </c>
      <c r="F320" s="125">
        <v>4</v>
      </c>
      <c r="G320" s="128">
        <v>7</v>
      </c>
      <c r="H320" s="128">
        <v>8</v>
      </c>
      <c r="I320" s="125">
        <v>63</v>
      </c>
      <c r="J320" s="125">
        <v>5</v>
      </c>
      <c r="K320" s="13">
        <v>45547</v>
      </c>
      <c r="L320" s="125">
        <v>42</v>
      </c>
      <c r="M320" s="134">
        <v>42</v>
      </c>
      <c r="N320">
        <f t="shared" si="4"/>
        <v>1</v>
      </c>
    </row>
    <row r="321" spans="1:14" x14ac:dyDescent="0.35">
      <c r="A321" s="125" t="s">
        <v>34</v>
      </c>
      <c r="D321" s="127" t="s">
        <v>43</v>
      </c>
      <c r="E321">
        <v>2020</v>
      </c>
      <c r="F321" s="125">
        <v>4</v>
      </c>
      <c r="G321" s="128">
        <v>8</v>
      </c>
      <c r="H321" s="128">
        <v>8</v>
      </c>
      <c r="I321" s="125">
        <v>64</v>
      </c>
      <c r="J321" s="125">
        <v>5</v>
      </c>
      <c r="K321" s="13">
        <v>45547</v>
      </c>
      <c r="L321" s="125">
        <v>38</v>
      </c>
      <c r="M321" s="134">
        <v>30</v>
      </c>
      <c r="N321">
        <f t="shared" si="4"/>
        <v>0.78947368421052633</v>
      </c>
    </row>
    <row r="322" spans="1:14" x14ac:dyDescent="0.35">
      <c r="A322" s="125" t="s">
        <v>24</v>
      </c>
      <c r="B322" s="79"/>
      <c r="C322" s="79"/>
      <c r="D322" s="126" t="s">
        <v>27</v>
      </c>
      <c r="E322">
        <v>1985</v>
      </c>
      <c r="F322" s="125">
        <v>1</v>
      </c>
      <c r="G322" s="128">
        <v>1</v>
      </c>
      <c r="H322" s="128">
        <v>1</v>
      </c>
      <c r="I322" s="125">
        <v>1</v>
      </c>
      <c r="J322" s="125">
        <v>6</v>
      </c>
      <c r="K322" s="13">
        <v>45551</v>
      </c>
      <c r="L322" s="125">
        <v>78</v>
      </c>
      <c r="M322" s="134">
        <v>69</v>
      </c>
      <c r="N322">
        <f t="shared" si="4"/>
        <v>0.88461538461538458</v>
      </c>
    </row>
    <row r="323" spans="1:14" x14ac:dyDescent="0.35">
      <c r="A323" s="125" t="s">
        <v>24</v>
      </c>
      <c r="B323" s="79"/>
      <c r="C323" s="79"/>
      <c r="D323" s="126" t="s">
        <v>26</v>
      </c>
      <c r="E323">
        <v>1983</v>
      </c>
      <c r="F323" s="125">
        <v>1</v>
      </c>
      <c r="G323" s="128">
        <v>2</v>
      </c>
      <c r="H323" s="128">
        <v>1</v>
      </c>
      <c r="I323" s="125">
        <v>2</v>
      </c>
      <c r="J323" s="125">
        <v>6</v>
      </c>
      <c r="K323" s="13">
        <v>45551</v>
      </c>
      <c r="L323" s="125">
        <v>67</v>
      </c>
      <c r="M323" s="134">
        <v>67</v>
      </c>
      <c r="N323">
        <f t="shared" ref="N323:N386" si="5">M323/L323</f>
        <v>1</v>
      </c>
    </row>
    <row r="324" spans="1:14" x14ac:dyDescent="0.35">
      <c r="A324" s="125" t="s">
        <v>24</v>
      </c>
      <c r="B324" s="79"/>
      <c r="C324" s="79"/>
      <c r="D324" s="126" t="s">
        <v>335</v>
      </c>
      <c r="E324">
        <v>2023</v>
      </c>
      <c r="F324" s="125">
        <v>1</v>
      </c>
      <c r="G324" s="128">
        <v>3</v>
      </c>
      <c r="H324" s="128">
        <v>1</v>
      </c>
      <c r="I324" s="125">
        <v>3</v>
      </c>
      <c r="J324" s="125">
        <v>6</v>
      </c>
      <c r="K324" s="13">
        <v>45551</v>
      </c>
      <c r="L324" s="125">
        <v>60</v>
      </c>
      <c r="M324" s="130">
        <v>60</v>
      </c>
      <c r="N324">
        <f t="shared" si="5"/>
        <v>1</v>
      </c>
    </row>
    <row r="325" spans="1:14" x14ac:dyDescent="0.35">
      <c r="A325" s="125" t="s">
        <v>24</v>
      </c>
      <c r="B325" s="79"/>
      <c r="C325" s="79"/>
      <c r="D325" s="126" t="s">
        <v>29</v>
      </c>
      <c r="E325">
        <v>1999</v>
      </c>
      <c r="F325" s="125">
        <v>1</v>
      </c>
      <c r="G325" s="128">
        <v>4</v>
      </c>
      <c r="H325" s="128">
        <v>1</v>
      </c>
      <c r="I325" s="125">
        <v>4</v>
      </c>
      <c r="J325" s="125">
        <v>6</v>
      </c>
      <c r="K325" s="13">
        <v>45551</v>
      </c>
      <c r="L325" s="125">
        <v>108</v>
      </c>
      <c r="M325" s="134">
        <v>108</v>
      </c>
      <c r="N325">
        <f t="shared" si="5"/>
        <v>1</v>
      </c>
    </row>
    <row r="326" spans="1:14" x14ac:dyDescent="0.35">
      <c r="A326" s="125" t="s">
        <v>24</v>
      </c>
      <c r="B326" s="79"/>
      <c r="C326" s="79"/>
      <c r="D326" s="126" t="s">
        <v>336</v>
      </c>
      <c r="E326">
        <v>2002</v>
      </c>
      <c r="F326" s="125">
        <v>1</v>
      </c>
      <c r="G326" s="128">
        <v>5</v>
      </c>
      <c r="H326" s="128">
        <v>1</v>
      </c>
      <c r="I326" s="125">
        <v>5</v>
      </c>
      <c r="J326" s="125">
        <v>6</v>
      </c>
      <c r="K326" s="13">
        <v>45551</v>
      </c>
      <c r="L326" s="125">
        <v>78</v>
      </c>
      <c r="M326" s="132">
        <v>69</v>
      </c>
      <c r="N326">
        <f t="shared" si="5"/>
        <v>0.88461538461538458</v>
      </c>
    </row>
    <row r="327" spans="1:14" x14ac:dyDescent="0.35">
      <c r="A327" s="125" t="s">
        <v>24</v>
      </c>
      <c r="B327" s="79"/>
      <c r="C327" s="79"/>
      <c r="D327" s="126" t="s">
        <v>32</v>
      </c>
      <c r="E327">
        <v>2018</v>
      </c>
      <c r="F327" s="125">
        <v>1</v>
      </c>
      <c r="G327" s="128">
        <v>6</v>
      </c>
      <c r="H327" s="128">
        <v>1</v>
      </c>
      <c r="I327" s="125">
        <v>6</v>
      </c>
      <c r="J327" s="125">
        <v>6</v>
      </c>
      <c r="K327" s="13">
        <v>45551</v>
      </c>
      <c r="L327" s="125">
        <v>74</v>
      </c>
      <c r="M327" s="134">
        <v>73</v>
      </c>
      <c r="N327">
        <f t="shared" si="5"/>
        <v>0.98648648648648651</v>
      </c>
    </row>
    <row r="328" spans="1:14" x14ac:dyDescent="0.35">
      <c r="A328" s="125" t="s">
        <v>24</v>
      </c>
      <c r="B328" s="79"/>
      <c r="C328" s="79"/>
      <c r="D328" s="126" t="s">
        <v>28</v>
      </c>
      <c r="E328">
        <v>1998</v>
      </c>
      <c r="F328" s="125">
        <v>1</v>
      </c>
      <c r="G328" s="128">
        <v>7</v>
      </c>
      <c r="H328" s="128">
        <v>1</v>
      </c>
      <c r="I328" s="125">
        <v>7</v>
      </c>
      <c r="J328" s="125">
        <v>6</v>
      </c>
      <c r="K328" s="13">
        <v>45551</v>
      </c>
      <c r="L328" s="125">
        <v>90</v>
      </c>
      <c r="M328" s="130">
        <v>90</v>
      </c>
      <c r="N328">
        <f t="shared" si="5"/>
        <v>1</v>
      </c>
    </row>
    <row r="329" spans="1:14" x14ac:dyDescent="0.35">
      <c r="A329" s="125" t="s">
        <v>24</v>
      </c>
      <c r="B329" s="79"/>
      <c r="C329" s="79"/>
      <c r="D329" s="126" t="s">
        <v>337</v>
      </c>
      <c r="E329">
        <v>2016</v>
      </c>
      <c r="F329" s="125">
        <v>1</v>
      </c>
      <c r="G329" s="128">
        <v>8</v>
      </c>
      <c r="H329" s="128">
        <v>1</v>
      </c>
      <c r="I329" s="125">
        <v>8</v>
      </c>
      <c r="J329" s="125">
        <v>6</v>
      </c>
      <c r="K329" s="13">
        <v>45551</v>
      </c>
      <c r="L329" s="125">
        <v>50</v>
      </c>
      <c r="M329" s="132">
        <v>42</v>
      </c>
      <c r="N329">
        <f t="shared" si="5"/>
        <v>0.84</v>
      </c>
    </row>
    <row r="330" spans="1:14" x14ac:dyDescent="0.35">
      <c r="A330" s="125" t="s">
        <v>34</v>
      </c>
      <c r="D330" s="127" t="s">
        <v>42</v>
      </c>
      <c r="E330">
        <v>2016</v>
      </c>
      <c r="F330" s="125">
        <v>1</v>
      </c>
      <c r="G330" s="128">
        <v>1</v>
      </c>
      <c r="H330" s="128">
        <v>2</v>
      </c>
      <c r="I330" s="125">
        <v>9</v>
      </c>
      <c r="J330" s="125">
        <v>6</v>
      </c>
      <c r="K330" s="13">
        <v>45551</v>
      </c>
      <c r="L330" s="125">
        <v>43</v>
      </c>
      <c r="M330" s="130">
        <v>43</v>
      </c>
      <c r="N330">
        <f t="shared" si="5"/>
        <v>1</v>
      </c>
    </row>
    <row r="331" spans="1:14" x14ac:dyDescent="0.35">
      <c r="A331" s="125" t="s">
        <v>34</v>
      </c>
      <c r="D331" s="127" t="s">
        <v>38</v>
      </c>
      <c r="E331">
        <v>1999</v>
      </c>
      <c r="F331" s="125">
        <v>1</v>
      </c>
      <c r="G331" s="128">
        <v>2</v>
      </c>
      <c r="H331" s="128">
        <v>2</v>
      </c>
      <c r="I331" s="125">
        <v>10</v>
      </c>
      <c r="J331" s="125">
        <v>6</v>
      </c>
      <c r="K331" s="13">
        <v>45551</v>
      </c>
      <c r="L331" s="125">
        <v>59</v>
      </c>
      <c r="M331" s="134">
        <v>55</v>
      </c>
      <c r="N331">
        <f t="shared" si="5"/>
        <v>0.93220338983050843</v>
      </c>
    </row>
    <row r="332" spans="1:14" x14ac:dyDescent="0.35">
      <c r="A332" s="125" t="s">
        <v>34</v>
      </c>
      <c r="D332" s="127" t="s">
        <v>43</v>
      </c>
      <c r="E332">
        <v>2020</v>
      </c>
      <c r="F332" s="125">
        <v>1</v>
      </c>
      <c r="G332" s="128">
        <v>3</v>
      </c>
      <c r="H332" s="128">
        <v>2</v>
      </c>
      <c r="I332" s="125">
        <v>11</v>
      </c>
      <c r="J332" s="125">
        <v>6</v>
      </c>
      <c r="K332" s="13">
        <v>45551</v>
      </c>
      <c r="L332" s="125">
        <v>42</v>
      </c>
      <c r="M332" s="130">
        <v>36</v>
      </c>
      <c r="N332">
        <f t="shared" si="5"/>
        <v>0.8571428571428571</v>
      </c>
    </row>
    <row r="333" spans="1:14" x14ac:dyDescent="0.35">
      <c r="A333" s="125" t="s">
        <v>34</v>
      </c>
      <c r="D333" s="127" t="s">
        <v>41</v>
      </c>
      <c r="E333">
        <v>2008</v>
      </c>
      <c r="F333" s="125">
        <v>1</v>
      </c>
      <c r="G333" s="128">
        <v>4</v>
      </c>
      <c r="H333" s="128">
        <v>2</v>
      </c>
      <c r="I333" s="125">
        <v>12</v>
      </c>
      <c r="J333" s="125">
        <v>6</v>
      </c>
      <c r="K333" s="13">
        <v>45551</v>
      </c>
      <c r="L333" s="125">
        <v>39</v>
      </c>
      <c r="M333" s="130">
        <v>39</v>
      </c>
      <c r="N333">
        <f t="shared" si="5"/>
        <v>1</v>
      </c>
    </row>
    <row r="334" spans="1:14" x14ac:dyDescent="0.35">
      <c r="A334" s="125" t="s">
        <v>34</v>
      </c>
      <c r="D334" s="127" t="s">
        <v>37</v>
      </c>
      <c r="E334">
        <v>1989</v>
      </c>
      <c r="F334" s="125">
        <v>1</v>
      </c>
      <c r="G334" s="128">
        <v>5</v>
      </c>
      <c r="H334" s="128">
        <v>2</v>
      </c>
      <c r="I334" s="125">
        <v>13</v>
      </c>
      <c r="J334" s="125">
        <v>6</v>
      </c>
      <c r="K334" s="13">
        <v>45551</v>
      </c>
      <c r="L334" s="125">
        <v>48</v>
      </c>
      <c r="M334" s="134">
        <v>45</v>
      </c>
      <c r="N334">
        <f t="shared" si="5"/>
        <v>0.9375</v>
      </c>
    </row>
    <row r="335" spans="1:14" x14ac:dyDescent="0.35">
      <c r="A335" s="125" t="s">
        <v>34</v>
      </c>
      <c r="D335" s="127" t="s">
        <v>343</v>
      </c>
      <c r="E335">
        <v>2004</v>
      </c>
      <c r="F335" s="125">
        <v>1</v>
      </c>
      <c r="G335" s="128">
        <v>6</v>
      </c>
      <c r="H335" s="128">
        <v>2</v>
      </c>
      <c r="I335" s="125">
        <v>14</v>
      </c>
      <c r="J335" s="125">
        <v>6</v>
      </c>
      <c r="K335" s="13">
        <v>45551</v>
      </c>
      <c r="L335" s="125">
        <v>44</v>
      </c>
      <c r="M335" s="134">
        <v>44</v>
      </c>
      <c r="N335">
        <f t="shared" si="5"/>
        <v>1</v>
      </c>
    </row>
    <row r="336" spans="1:14" x14ac:dyDescent="0.35">
      <c r="A336" s="125" t="s">
        <v>34</v>
      </c>
      <c r="D336" s="127" t="s">
        <v>36</v>
      </c>
      <c r="E336">
        <v>1984</v>
      </c>
      <c r="F336" s="125">
        <v>1</v>
      </c>
      <c r="G336" s="128">
        <v>7</v>
      </c>
      <c r="H336" s="128">
        <v>2</v>
      </c>
      <c r="I336" s="125">
        <v>15</v>
      </c>
      <c r="J336" s="125">
        <v>6</v>
      </c>
      <c r="K336" s="13">
        <v>45551</v>
      </c>
      <c r="L336" s="125">
        <v>44</v>
      </c>
      <c r="M336" s="134">
        <v>41</v>
      </c>
      <c r="N336">
        <f t="shared" si="5"/>
        <v>0.93181818181818177</v>
      </c>
    </row>
    <row r="337" spans="1:14" x14ac:dyDescent="0.35">
      <c r="A337" s="125" t="s">
        <v>34</v>
      </c>
      <c r="D337" s="127" t="s">
        <v>39</v>
      </c>
      <c r="E337">
        <v>2001</v>
      </c>
      <c r="F337" s="125">
        <v>1</v>
      </c>
      <c r="G337" s="128">
        <v>8</v>
      </c>
      <c r="H337" s="128">
        <v>2</v>
      </c>
      <c r="I337" s="125">
        <v>16</v>
      </c>
      <c r="J337" s="125">
        <v>6</v>
      </c>
      <c r="K337" s="13">
        <v>45551</v>
      </c>
      <c r="L337" s="125">
        <v>56</v>
      </c>
      <c r="M337" s="134">
        <v>56</v>
      </c>
      <c r="N337">
        <f t="shared" si="5"/>
        <v>1</v>
      </c>
    </row>
    <row r="338" spans="1:14" x14ac:dyDescent="0.35">
      <c r="A338" s="125" t="s">
        <v>24</v>
      </c>
      <c r="B338" s="79"/>
      <c r="C338" s="79"/>
      <c r="D338" s="126" t="s">
        <v>335</v>
      </c>
      <c r="E338">
        <v>2023</v>
      </c>
      <c r="F338" s="125">
        <v>2</v>
      </c>
      <c r="G338" s="128">
        <v>1</v>
      </c>
      <c r="H338" s="128">
        <v>3</v>
      </c>
      <c r="I338" s="125">
        <v>17</v>
      </c>
      <c r="J338" s="125">
        <v>6</v>
      </c>
      <c r="K338" s="13">
        <v>45551</v>
      </c>
      <c r="L338" s="125">
        <v>55</v>
      </c>
      <c r="M338" s="130">
        <v>55</v>
      </c>
      <c r="N338">
        <f t="shared" si="5"/>
        <v>1</v>
      </c>
    </row>
    <row r="339" spans="1:14" x14ac:dyDescent="0.35">
      <c r="A339" s="125" t="s">
        <v>24</v>
      </c>
      <c r="B339" s="79"/>
      <c r="C339" s="79"/>
      <c r="D339" s="126" t="s">
        <v>28</v>
      </c>
      <c r="E339">
        <v>1998</v>
      </c>
      <c r="F339" s="125">
        <v>2</v>
      </c>
      <c r="G339" s="128">
        <v>2</v>
      </c>
      <c r="H339" s="128">
        <v>3</v>
      </c>
      <c r="I339" s="125">
        <v>18</v>
      </c>
      <c r="J339" s="125">
        <v>6</v>
      </c>
      <c r="K339" s="13">
        <v>45551</v>
      </c>
      <c r="L339" s="125">
        <v>67</v>
      </c>
      <c r="M339" s="130">
        <v>67</v>
      </c>
      <c r="N339">
        <f t="shared" si="5"/>
        <v>1</v>
      </c>
    </row>
    <row r="340" spans="1:14" x14ac:dyDescent="0.35">
      <c r="A340" s="125" t="s">
        <v>24</v>
      </c>
      <c r="B340" s="79"/>
      <c r="C340" s="79"/>
      <c r="D340" s="126" t="s">
        <v>26</v>
      </c>
      <c r="E340">
        <v>1983</v>
      </c>
      <c r="F340" s="125">
        <v>2</v>
      </c>
      <c r="G340" s="128">
        <v>3</v>
      </c>
      <c r="H340" s="128">
        <v>3</v>
      </c>
      <c r="I340" s="125">
        <v>19</v>
      </c>
      <c r="J340" s="125">
        <v>6</v>
      </c>
      <c r="K340" s="13">
        <v>45551</v>
      </c>
      <c r="L340" s="125">
        <v>67</v>
      </c>
      <c r="M340" s="134">
        <v>67</v>
      </c>
      <c r="N340">
        <f t="shared" si="5"/>
        <v>1</v>
      </c>
    </row>
    <row r="341" spans="1:14" x14ac:dyDescent="0.35">
      <c r="A341" s="125" t="s">
        <v>24</v>
      </c>
      <c r="B341" s="79"/>
      <c r="C341" s="79"/>
      <c r="D341" s="126" t="s">
        <v>336</v>
      </c>
      <c r="E341">
        <v>2002</v>
      </c>
      <c r="F341" s="125">
        <v>2</v>
      </c>
      <c r="G341" s="128">
        <v>4</v>
      </c>
      <c r="H341" s="128">
        <v>3</v>
      </c>
      <c r="I341" s="125">
        <v>20</v>
      </c>
      <c r="J341" s="125">
        <v>6</v>
      </c>
      <c r="K341" s="13">
        <v>45551</v>
      </c>
      <c r="L341" s="125">
        <v>53</v>
      </c>
      <c r="M341" s="133">
        <v>41</v>
      </c>
      <c r="N341">
        <f t="shared" si="5"/>
        <v>0.77358490566037741</v>
      </c>
    </row>
    <row r="342" spans="1:14" x14ac:dyDescent="0.35">
      <c r="A342" s="125" t="s">
        <v>24</v>
      </c>
      <c r="B342" s="79"/>
      <c r="C342" s="79"/>
      <c r="D342" s="126" t="s">
        <v>29</v>
      </c>
      <c r="E342">
        <v>1999</v>
      </c>
      <c r="F342" s="125">
        <v>2</v>
      </c>
      <c r="G342" s="128">
        <v>5</v>
      </c>
      <c r="H342" s="128">
        <v>3</v>
      </c>
      <c r="I342" s="125">
        <v>21</v>
      </c>
      <c r="J342" s="125">
        <v>6</v>
      </c>
      <c r="K342" s="13">
        <v>45551</v>
      </c>
      <c r="L342" s="125">
        <v>63</v>
      </c>
      <c r="M342" s="134">
        <v>62</v>
      </c>
      <c r="N342">
        <f t="shared" si="5"/>
        <v>0.98412698412698407</v>
      </c>
    </row>
    <row r="343" spans="1:14" x14ac:dyDescent="0.35">
      <c r="A343" s="125" t="s">
        <v>24</v>
      </c>
      <c r="B343" s="79"/>
      <c r="C343" s="79"/>
      <c r="D343" s="126" t="s">
        <v>337</v>
      </c>
      <c r="E343">
        <v>2016</v>
      </c>
      <c r="F343" s="125">
        <v>2</v>
      </c>
      <c r="G343" s="128">
        <v>6</v>
      </c>
      <c r="H343" s="128">
        <v>3</v>
      </c>
      <c r="I343" s="125">
        <v>22</v>
      </c>
      <c r="J343" s="125">
        <v>6</v>
      </c>
      <c r="K343" s="13">
        <v>45551</v>
      </c>
      <c r="L343" s="125">
        <v>63</v>
      </c>
      <c r="M343" s="132">
        <v>55</v>
      </c>
      <c r="N343">
        <f t="shared" si="5"/>
        <v>0.87301587301587302</v>
      </c>
    </row>
    <row r="344" spans="1:14" x14ac:dyDescent="0.35">
      <c r="A344" s="125" t="s">
        <v>24</v>
      </c>
      <c r="B344" s="79"/>
      <c r="C344" s="79"/>
      <c r="D344" s="126" t="s">
        <v>32</v>
      </c>
      <c r="E344">
        <v>2018</v>
      </c>
      <c r="F344" s="125">
        <v>2</v>
      </c>
      <c r="G344" s="128">
        <v>7</v>
      </c>
      <c r="H344" s="128">
        <v>3</v>
      </c>
      <c r="I344" s="125">
        <v>23</v>
      </c>
      <c r="J344" s="125">
        <v>6</v>
      </c>
      <c r="K344" s="13">
        <v>45551</v>
      </c>
      <c r="L344" s="125">
        <v>53</v>
      </c>
      <c r="M344" s="134">
        <v>53</v>
      </c>
      <c r="N344">
        <f t="shared" si="5"/>
        <v>1</v>
      </c>
    </row>
    <row r="345" spans="1:14" x14ac:dyDescent="0.35">
      <c r="A345" s="125" t="s">
        <v>24</v>
      </c>
      <c r="B345" s="79"/>
      <c r="C345" s="79"/>
      <c r="D345" s="126" t="s">
        <v>27</v>
      </c>
      <c r="E345">
        <v>1985</v>
      </c>
      <c r="F345" s="125">
        <v>2</v>
      </c>
      <c r="G345" s="128">
        <v>8</v>
      </c>
      <c r="H345" s="128">
        <v>3</v>
      </c>
      <c r="I345" s="125">
        <v>24</v>
      </c>
      <c r="J345" s="125">
        <v>6</v>
      </c>
      <c r="K345" s="13">
        <v>45551</v>
      </c>
      <c r="L345" s="125">
        <v>65</v>
      </c>
      <c r="M345" s="134">
        <v>65</v>
      </c>
      <c r="N345">
        <f t="shared" si="5"/>
        <v>1</v>
      </c>
    </row>
    <row r="346" spans="1:14" x14ac:dyDescent="0.35">
      <c r="A346" s="125" t="s">
        <v>34</v>
      </c>
      <c r="B346" s="71"/>
      <c r="C346" s="72"/>
      <c r="D346" s="127" t="s">
        <v>343</v>
      </c>
      <c r="E346">
        <v>2004</v>
      </c>
      <c r="F346" s="125">
        <v>2</v>
      </c>
      <c r="G346" s="128">
        <v>1</v>
      </c>
      <c r="H346" s="128">
        <v>4</v>
      </c>
      <c r="I346" s="125">
        <v>25</v>
      </c>
      <c r="J346" s="125">
        <v>6</v>
      </c>
      <c r="K346" s="13">
        <v>45551</v>
      </c>
      <c r="L346" s="125">
        <v>55</v>
      </c>
      <c r="M346" s="134">
        <v>52</v>
      </c>
      <c r="N346">
        <f t="shared" si="5"/>
        <v>0.94545454545454544</v>
      </c>
    </row>
    <row r="347" spans="1:14" x14ac:dyDescent="0.35">
      <c r="A347" s="125" t="s">
        <v>34</v>
      </c>
      <c r="D347" s="127" t="s">
        <v>43</v>
      </c>
      <c r="E347">
        <v>2020</v>
      </c>
      <c r="F347" s="125">
        <v>2</v>
      </c>
      <c r="G347" s="128">
        <v>2</v>
      </c>
      <c r="H347" s="128">
        <v>4</v>
      </c>
      <c r="I347" s="125">
        <v>26</v>
      </c>
      <c r="J347" s="125">
        <v>6</v>
      </c>
      <c r="K347" s="13">
        <v>45551</v>
      </c>
      <c r="L347" s="125">
        <v>49</v>
      </c>
      <c r="M347" s="134">
        <v>46</v>
      </c>
      <c r="N347">
        <f t="shared" si="5"/>
        <v>0.93877551020408168</v>
      </c>
    </row>
    <row r="348" spans="1:14" x14ac:dyDescent="0.35">
      <c r="A348" s="125" t="s">
        <v>34</v>
      </c>
      <c r="D348" s="127" t="s">
        <v>38</v>
      </c>
      <c r="E348">
        <v>1999</v>
      </c>
      <c r="F348" s="125">
        <v>2</v>
      </c>
      <c r="G348" s="128">
        <v>3</v>
      </c>
      <c r="H348" s="128">
        <v>4</v>
      </c>
      <c r="I348" s="125">
        <v>27</v>
      </c>
      <c r="J348" s="125">
        <v>6</v>
      </c>
      <c r="K348" s="13">
        <v>45551</v>
      </c>
      <c r="L348" s="125">
        <v>48</v>
      </c>
      <c r="M348" s="134">
        <v>45</v>
      </c>
      <c r="N348">
        <f t="shared" si="5"/>
        <v>0.9375</v>
      </c>
    </row>
    <row r="349" spans="1:14" x14ac:dyDescent="0.35">
      <c r="A349" s="125" t="s">
        <v>34</v>
      </c>
      <c r="D349" s="127" t="s">
        <v>39</v>
      </c>
      <c r="E349">
        <v>2001</v>
      </c>
      <c r="F349" s="125">
        <v>2</v>
      </c>
      <c r="G349" s="128">
        <v>4</v>
      </c>
      <c r="H349" s="128">
        <v>4</v>
      </c>
      <c r="I349" s="125">
        <v>28</v>
      </c>
      <c r="J349" s="125">
        <v>6</v>
      </c>
      <c r="K349" s="13">
        <v>45551</v>
      </c>
      <c r="L349" s="125">
        <v>36</v>
      </c>
      <c r="M349" s="134">
        <v>36</v>
      </c>
      <c r="N349">
        <f t="shared" si="5"/>
        <v>1</v>
      </c>
    </row>
    <row r="350" spans="1:14" x14ac:dyDescent="0.35">
      <c r="A350" s="125" t="s">
        <v>34</v>
      </c>
      <c r="D350" s="127" t="s">
        <v>42</v>
      </c>
      <c r="E350">
        <v>2016</v>
      </c>
      <c r="F350" s="125">
        <v>2</v>
      </c>
      <c r="G350" s="128">
        <v>5</v>
      </c>
      <c r="H350" s="128">
        <v>4</v>
      </c>
      <c r="I350" s="125">
        <v>29</v>
      </c>
      <c r="J350" s="125">
        <v>6</v>
      </c>
      <c r="K350" s="13">
        <v>45551</v>
      </c>
      <c r="L350" s="125">
        <v>45</v>
      </c>
      <c r="M350" s="130">
        <v>45</v>
      </c>
      <c r="N350">
        <f t="shared" si="5"/>
        <v>1</v>
      </c>
    </row>
    <row r="351" spans="1:14" x14ac:dyDescent="0.35">
      <c r="A351" s="125" t="s">
        <v>34</v>
      </c>
      <c r="D351" s="127" t="s">
        <v>36</v>
      </c>
      <c r="E351">
        <v>1984</v>
      </c>
      <c r="F351" s="125">
        <v>2</v>
      </c>
      <c r="G351" s="128">
        <v>6</v>
      </c>
      <c r="H351" s="128">
        <v>4</v>
      </c>
      <c r="I351" s="125">
        <v>30</v>
      </c>
      <c r="J351" s="125">
        <v>6</v>
      </c>
      <c r="K351" s="13">
        <v>45551</v>
      </c>
      <c r="L351" s="125">
        <v>48</v>
      </c>
      <c r="M351" s="134">
        <v>48</v>
      </c>
      <c r="N351">
        <f t="shared" si="5"/>
        <v>1</v>
      </c>
    </row>
    <row r="352" spans="1:14" x14ac:dyDescent="0.35">
      <c r="A352" s="125" t="s">
        <v>34</v>
      </c>
      <c r="D352" s="127" t="s">
        <v>41</v>
      </c>
      <c r="E352">
        <v>2008</v>
      </c>
      <c r="F352" s="125">
        <v>2</v>
      </c>
      <c r="G352" s="128">
        <v>7</v>
      </c>
      <c r="H352" s="128">
        <v>4</v>
      </c>
      <c r="I352" s="125">
        <v>31</v>
      </c>
      <c r="J352" s="125">
        <v>6</v>
      </c>
      <c r="K352" s="13">
        <v>45551</v>
      </c>
      <c r="L352" s="125">
        <v>61</v>
      </c>
      <c r="M352" s="130">
        <v>61</v>
      </c>
      <c r="N352">
        <f t="shared" si="5"/>
        <v>1</v>
      </c>
    </row>
    <row r="353" spans="1:14" x14ac:dyDescent="0.35">
      <c r="A353" s="125" t="s">
        <v>34</v>
      </c>
      <c r="D353" s="127" t="s">
        <v>37</v>
      </c>
      <c r="E353">
        <v>1989</v>
      </c>
      <c r="F353" s="125">
        <v>2</v>
      </c>
      <c r="G353" s="128">
        <v>8</v>
      </c>
      <c r="H353" s="128">
        <v>4</v>
      </c>
      <c r="I353" s="125">
        <v>32</v>
      </c>
      <c r="J353" s="125">
        <v>6</v>
      </c>
      <c r="K353" s="13">
        <v>45551</v>
      </c>
      <c r="L353" s="125">
        <v>64</v>
      </c>
      <c r="M353" s="134">
        <v>58</v>
      </c>
      <c r="N353">
        <f t="shared" si="5"/>
        <v>0.90625</v>
      </c>
    </row>
    <row r="354" spans="1:14" x14ac:dyDescent="0.35">
      <c r="A354" s="125" t="s">
        <v>24</v>
      </c>
      <c r="B354" s="79"/>
      <c r="C354" s="79"/>
      <c r="D354" s="126" t="s">
        <v>336</v>
      </c>
      <c r="E354">
        <v>2002</v>
      </c>
      <c r="F354" s="125">
        <v>3</v>
      </c>
      <c r="G354" s="128">
        <v>1</v>
      </c>
      <c r="H354" s="128">
        <v>5</v>
      </c>
      <c r="I354" s="125">
        <v>33</v>
      </c>
      <c r="J354" s="125">
        <v>6</v>
      </c>
      <c r="K354" s="13">
        <v>45551</v>
      </c>
      <c r="L354" s="125">
        <v>34</v>
      </c>
      <c r="M354" s="134">
        <v>34</v>
      </c>
      <c r="N354">
        <f t="shared" si="5"/>
        <v>1</v>
      </c>
    </row>
    <row r="355" spans="1:14" x14ac:dyDescent="0.35">
      <c r="A355" s="125" t="s">
        <v>24</v>
      </c>
      <c r="B355" s="79"/>
      <c r="C355" s="79"/>
      <c r="D355" s="126" t="s">
        <v>337</v>
      </c>
      <c r="E355">
        <v>2016</v>
      </c>
      <c r="F355" s="125">
        <v>3</v>
      </c>
      <c r="G355" s="128">
        <v>2</v>
      </c>
      <c r="H355" s="128">
        <v>5</v>
      </c>
      <c r="I355" s="125">
        <v>34</v>
      </c>
      <c r="J355" s="125">
        <v>6</v>
      </c>
      <c r="K355" s="13">
        <v>45551</v>
      </c>
      <c r="L355" s="125">
        <v>61</v>
      </c>
      <c r="M355" s="132">
        <v>50</v>
      </c>
      <c r="N355">
        <f t="shared" si="5"/>
        <v>0.81967213114754101</v>
      </c>
    </row>
    <row r="356" spans="1:14" x14ac:dyDescent="0.35">
      <c r="A356" s="125" t="s">
        <v>24</v>
      </c>
      <c r="B356" s="79"/>
      <c r="C356" s="79"/>
      <c r="D356" s="126" t="s">
        <v>32</v>
      </c>
      <c r="E356">
        <v>2018</v>
      </c>
      <c r="F356" s="125">
        <v>3</v>
      </c>
      <c r="G356" s="128">
        <v>3</v>
      </c>
      <c r="H356" s="128">
        <v>5</v>
      </c>
      <c r="I356" s="125">
        <v>35</v>
      </c>
      <c r="J356" s="125">
        <v>6</v>
      </c>
      <c r="K356" s="13">
        <v>45551</v>
      </c>
      <c r="L356" s="125">
        <v>36</v>
      </c>
      <c r="M356" s="134">
        <v>36</v>
      </c>
      <c r="N356">
        <f t="shared" si="5"/>
        <v>1</v>
      </c>
    </row>
    <row r="357" spans="1:14" x14ac:dyDescent="0.35">
      <c r="A357" s="125" t="s">
        <v>24</v>
      </c>
      <c r="B357" s="79"/>
      <c r="C357" s="79"/>
      <c r="D357" s="126" t="s">
        <v>28</v>
      </c>
      <c r="E357">
        <v>1998</v>
      </c>
      <c r="F357" s="125">
        <v>3</v>
      </c>
      <c r="G357" s="128">
        <v>4</v>
      </c>
      <c r="H357" s="128">
        <v>5</v>
      </c>
      <c r="I357" s="125">
        <v>36</v>
      </c>
      <c r="J357" s="125">
        <v>6</v>
      </c>
      <c r="K357" s="13">
        <v>45551</v>
      </c>
      <c r="L357" s="125">
        <v>44</v>
      </c>
      <c r="M357" s="130">
        <v>44</v>
      </c>
      <c r="N357">
        <f t="shared" si="5"/>
        <v>1</v>
      </c>
    </row>
    <row r="358" spans="1:14" x14ac:dyDescent="0.35">
      <c r="A358" s="125" t="s">
        <v>24</v>
      </c>
      <c r="B358" s="79"/>
      <c r="C358" s="79"/>
      <c r="D358" s="126" t="s">
        <v>27</v>
      </c>
      <c r="E358">
        <v>1985</v>
      </c>
      <c r="F358" s="125">
        <v>3</v>
      </c>
      <c r="G358" s="128">
        <v>5</v>
      </c>
      <c r="H358" s="128">
        <v>5</v>
      </c>
      <c r="I358" s="125">
        <v>37</v>
      </c>
      <c r="J358" s="125">
        <v>6</v>
      </c>
      <c r="K358" s="13">
        <v>45551</v>
      </c>
      <c r="L358" s="125">
        <v>62</v>
      </c>
      <c r="M358" s="134">
        <v>58</v>
      </c>
      <c r="N358">
        <f t="shared" si="5"/>
        <v>0.93548387096774188</v>
      </c>
    </row>
    <row r="359" spans="1:14" x14ac:dyDescent="0.35">
      <c r="A359" s="125" t="s">
        <v>24</v>
      </c>
      <c r="B359" s="79"/>
      <c r="C359" s="79"/>
      <c r="D359" s="126" t="s">
        <v>335</v>
      </c>
      <c r="E359">
        <v>2023</v>
      </c>
      <c r="F359" s="125">
        <v>3</v>
      </c>
      <c r="G359" s="128">
        <v>6</v>
      </c>
      <c r="H359" s="128">
        <v>5</v>
      </c>
      <c r="I359" s="125">
        <v>38</v>
      </c>
      <c r="J359" s="125">
        <v>6</v>
      </c>
      <c r="K359" s="13">
        <v>45551</v>
      </c>
      <c r="L359" s="125">
        <v>38</v>
      </c>
      <c r="M359" s="130">
        <v>38</v>
      </c>
      <c r="N359">
        <f t="shared" si="5"/>
        <v>1</v>
      </c>
    </row>
    <row r="360" spans="1:14" x14ac:dyDescent="0.35">
      <c r="A360" s="125" t="s">
        <v>24</v>
      </c>
      <c r="B360" s="79"/>
      <c r="C360" s="79"/>
      <c r="D360" s="126" t="s">
        <v>29</v>
      </c>
      <c r="E360">
        <v>1999</v>
      </c>
      <c r="F360" s="125">
        <v>3</v>
      </c>
      <c r="G360" s="128">
        <v>7</v>
      </c>
      <c r="H360" s="128">
        <v>5</v>
      </c>
      <c r="I360" s="125">
        <v>39</v>
      </c>
      <c r="J360" s="125">
        <v>6</v>
      </c>
      <c r="K360" s="13">
        <v>45551</v>
      </c>
      <c r="L360" s="125">
        <v>50</v>
      </c>
      <c r="M360" s="134">
        <v>50</v>
      </c>
      <c r="N360">
        <f t="shared" si="5"/>
        <v>1</v>
      </c>
    </row>
    <row r="361" spans="1:14" x14ac:dyDescent="0.35">
      <c r="A361" s="125" t="s">
        <v>24</v>
      </c>
      <c r="B361" s="79"/>
      <c r="C361" s="79"/>
      <c r="D361" s="126" t="s">
        <v>26</v>
      </c>
      <c r="E361">
        <v>1983</v>
      </c>
      <c r="F361" s="125">
        <v>3</v>
      </c>
      <c r="G361" s="128">
        <v>8</v>
      </c>
      <c r="H361" s="128">
        <v>5</v>
      </c>
      <c r="I361" s="125">
        <v>40</v>
      </c>
      <c r="J361" s="125">
        <v>6</v>
      </c>
      <c r="K361" s="13">
        <v>45551</v>
      </c>
      <c r="L361" s="125">
        <v>80</v>
      </c>
      <c r="M361" s="134">
        <v>80</v>
      </c>
      <c r="N361">
        <f t="shared" si="5"/>
        <v>1</v>
      </c>
    </row>
    <row r="362" spans="1:14" x14ac:dyDescent="0.35">
      <c r="A362" s="125" t="s">
        <v>34</v>
      </c>
      <c r="D362" s="127" t="s">
        <v>41</v>
      </c>
      <c r="E362">
        <v>2008</v>
      </c>
      <c r="F362" s="125">
        <v>3</v>
      </c>
      <c r="G362" s="128">
        <v>1</v>
      </c>
      <c r="H362" s="128">
        <v>6</v>
      </c>
      <c r="I362" s="125">
        <v>41</v>
      </c>
      <c r="J362" s="125">
        <v>6</v>
      </c>
      <c r="K362" s="13">
        <v>45551</v>
      </c>
      <c r="L362" s="125">
        <v>47</v>
      </c>
      <c r="M362" s="130">
        <v>47</v>
      </c>
      <c r="N362">
        <f t="shared" si="5"/>
        <v>1</v>
      </c>
    </row>
    <row r="363" spans="1:14" x14ac:dyDescent="0.35">
      <c r="A363" s="125" t="s">
        <v>34</v>
      </c>
      <c r="D363" s="127" t="s">
        <v>36</v>
      </c>
      <c r="E363">
        <v>1984</v>
      </c>
      <c r="F363" s="125">
        <v>3</v>
      </c>
      <c r="G363" s="128">
        <v>2</v>
      </c>
      <c r="H363" s="128">
        <v>6</v>
      </c>
      <c r="I363" s="125">
        <v>42</v>
      </c>
      <c r="J363" s="125">
        <v>6</v>
      </c>
      <c r="K363" s="13">
        <v>45551</v>
      </c>
      <c r="L363" s="125">
        <v>37</v>
      </c>
      <c r="M363" s="134">
        <v>33</v>
      </c>
      <c r="N363">
        <f t="shared" si="5"/>
        <v>0.89189189189189189</v>
      </c>
    </row>
    <row r="364" spans="1:14" x14ac:dyDescent="0.35">
      <c r="A364" s="125" t="s">
        <v>34</v>
      </c>
      <c r="D364" s="127" t="s">
        <v>37</v>
      </c>
      <c r="E364">
        <v>1989</v>
      </c>
      <c r="F364" s="125">
        <v>3</v>
      </c>
      <c r="G364" s="128">
        <v>3</v>
      </c>
      <c r="H364" s="128">
        <v>6</v>
      </c>
      <c r="I364" s="125">
        <v>43</v>
      </c>
      <c r="J364" s="125">
        <v>6</v>
      </c>
      <c r="K364" s="13">
        <v>45551</v>
      </c>
      <c r="L364" s="125">
        <v>46</v>
      </c>
      <c r="M364" s="134">
        <v>46</v>
      </c>
      <c r="N364">
        <f t="shared" si="5"/>
        <v>1</v>
      </c>
    </row>
    <row r="365" spans="1:14" x14ac:dyDescent="0.35">
      <c r="A365" s="125" t="s">
        <v>34</v>
      </c>
      <c r="D365" s="127" t="s">
        <v>42</v>
      </c>
      <c r="E365">
        <v>2016</v>
      </c>
      <c r="F365" s="125">
        <v>3</v>
      </c>
      <c r="G365" s="128">
        <v>4</v>
      </c>
      <c r="H365" s="128">
        <v>6</v>
      </c>
      <c r="I365" s="125">
        <v>44</v>
      </c>
      <c r="J365" s="125">
        <v>6</v>
      </c>
      <c r="K365" s="13">
        <v>45551</v>
      </c>
      <c r="L365" s="125">
        <v>44</v>
      </c>
      <c r="M365" s="130">
        <v>44</v>
      </c>
      <c r="N365">
        <f t="shared" si="5"/>
        <v>1</v>
      </c>
    </row>
    <row r="366" spans="1:14" x14ac:dyDescent="0.35">
      <c r="A366" s="125" t="s">
        <v>34</v>
      </c>
      <c r="D366" s="127" t="s">
        <v>43</v>
      </c>
      <c r="E366">
        <v>2020</v>
      </c>
      <c r="F366" s="125">
        <v>3</v>
      </c>
      <c r="G366" s="128">
        <v>5</v>
      </c>
      <c r="H366" s="128">
        <v>6</v>
      </c>
      <c r="I366" s="125">
        <v>45</v>
      </c>
      <c r="J366" s="125">
        <v>6</v>
      </c>
      <c r="K366" s="13">
        <v>45551</v>
      </c>
      <c r="L366" s="125">
        <v>48</v>
      </c>
      <c r="M366" s="134">
        <v>44</v>
      </c>
      <c r="N366">
        <f t="shared" si="5"/>
        <v>0.91666666666666663</v>
      </c>
    </row>
    <row r="367" spans="1:14" x14ac:dyDescent="0.35">
      <c r="A367" s="125" t="s">
        <v>34</v>
      </c>
      <c r="D367" s="127" t="s">
        <v>39</v>
      </c>
      <c r="E367">
        <v>2001</v>
      </c>
      <c r="F367" s="125">
        <v>3</v>
      </c>
      <c r="G367" s="128">
        <v>6</v>
      </c>
      <c r="H367" s="128">
        <v>6</v>
      </c>
      <c r="I367" s="125">
        <v>46</v>
      </c>
      <c r="J367" s="125">
        <v>6</v>
      </c>
      <c r="K367" s="13">
        <v>45551</v>
      </c>
      <c r="L367" s="125">
        <v>58</v>
      </c>
      <c r="M367" s="130">
        <v>58</v>
      </c>
      <c r="N367">
        <f t="shared" si="5"/>
        <v>1</v>
      </c>
    </row>
    <row r="368" spans="1:14" x14ac:dyDescent="0.35">
      <c r="A368" s="125" t="s">
        <v>34</v>
      </c>
      <c r="D368" s="127" t="s">
        <v>38</v>
      </c>
      <c r="E368">
        <v>1999</v>
      </c>
      <c r="F368" s="125">
        <v>3</v>
      </c>
      <c r="G368" s="128">
        <v>7</v>
      </c>
      <c r="H368" s="128">
        <v>6</v>
      </c>
      <c r="I368" s="125">
        <v>47</v>
      </c>
      <c r="J368" s="125">
        <v>6</v>
      </c>
      <c r="K368" s="13">
        <v>45551</v>
      </c>
      <c r="L368" s="125">
        <v>57</v>
      </c>
      <c r="M368" s="133">
        <v>45</v>
      </c>
      <c r="N368">
        <f t="shared" si="5"/>
        <v>0.78947368421052633</v>
      </c>
    </row>
    <row r="369" spans="1:14" x14ac:dyDescent="0.35">
      <c r="A369" s="125" t="s">
        <v>34</v>
      </c>
      <c r="D369" s="127" t="s">
        <v>343</v>
      </c>
      <c r="E369">
        <v>2004</v>
      </c>
      <c r="F369" s="125">
        <v>3</v>
      </c>
      <c r="G369" s="128">
        <v>8</v>
      </c>
      <c r="H369" s="128">
        <v>6</v>
      </c>
      <c r="I369" s="125">
        <v>48</v>
      </c>
      <c r="J369" s="125">
        <v>6</v>
      </c>
      <c r="K369" s="13">
        <v>45551</v>
      </c>
      <c r="L369" s="125">
        <v>49</v>
      </c>
      <c r="M369" s="134">
        <v>45</v>
      </c>
      <c r="N369">
        <f t="shared" si="5"/>
        <v>0.91836734693877553</v>
      </c>
    </row>
    <row r="370" spans="1:14" x14ac:dyDescent="0.35">
      <c r="A370" s="125" t="s">
        <v>24</v>
      </c>
      <c r="B370" s="79"/>
      <c r="C370" s="79"/>
      <c r="D370" s="126" t="s">
        <v>32</v>
      </c>
      <c r="E370">
        <v>2018</v>
      </c>
      <c r="F370" s="125">
        <v>4</v>
      </c>
      <c r="G370" s="128">
        <v>1</v>
      </c>
      <c r="H370" s="128">
        <v>7</v>
      </c>
      <c r="I370" s="125">
        <v>49</v>
      </c>
      <c r="J370" s="125">
        <v>6</v>
      </c>
      <c r="K370" s="13">
        <v>45551</v>
      </c>
      <c r="L370" s="125">
        <v>50</v>
      </c>
      <c r="M370" s="134">
        <v>50</v>
      </c>
      <c r="N370">
        <f t="shared" si="5"/>
        <v>1</v>
      </c>
    </row>
    <row r="371" spans="1:14" x14ac:dyDescent="0.35">
      <c r="A371" s="125" t="s">
        <v>24</v>
      </c>
      <c r="B371" s="79"/>
      <c r="C371" s="79"/>
      <c r="D371" s="126" t="s">
        <v>29</v>
      </c>
      <c r="E371">
        <v>1999</v>
      </c>
      <c r="F371" s="125">
        <v>4</v>
      </c>
      <c r="G371" s="128">
        <v>2</v>
      </c>
      <c r="H371" s="128">
        <v>7</v>
      </c>
      <c r="I371" s="125">
        <v>50</v>
      </c>
      <c r="J371" s="125">
        <v>6</v>
      </c>
      <c r="K371" s="13">
        <v>45551</v>
      </c>
      <c r="L371" s="125">
        <v>66</v>
      </c>
      <c r="M371" s="134">
        <v>66</v>
      </c>
      <c r="N371">
        <f t="shared" si="5"/>
        <v>1</v>
      </c>
    </row>
    <row r="372" spans="1:14" x14ac:dyDescent="0.35">
      <c r="A372" s="125" t="s">
        <v>24</v>
      </c>
      <c r="B372" s="79"/>
      <c r="C372" s="79"/>
      <c r="D372" s="126" t="s">
        <v>337</v>
      </c>
      <c r="E372">
        <v>2016</v>
      </c>
      <c r="F372" s="125">
        <v>4</v>
      </c>
      <c r="G372" s="128">
        <v>3</v>
      </c>
      <c r="H372" s="128">
        <v>7</v>
      </c>
      <c r="I372" s="125">
        <v>51</v>
      </c>
      <c r="J372" s="125">
        <v>6</v>
      </c>
      <c r="K372" s="13">
        <v>45551</v>
      </c>
      <c r="L372" s="125">
        <v>60</v>
      </c>
      <c r="M372" s="132">
        <v>55</v>
      </c>
      <c r="N372">
        <f t="shared" si="5"/>
        <v>0.91666666666666663</v>
      </c>
    </row>
    <row r="373" spans="1:14" x14ac:dyDescent="0.35">
      <c r="A373" s="125" t="s">
        <v>24</v>
      </c>
      <c r="B373" s="79"/>
      <c r="C373" s="79"/>
      <c r="D373" s="126" t="s">
        <v>27</v>
      </c>
      <c r="E373">
        <v>1985</v>
      </c>
      <c r="F373" s="125">
        <v>4</v>
      </c>
      <c r="G373" s="128">
        <v>4</v>
      </c>
      <c r="H373" s="128">
        <v>7</v>
      </c>
      <c r="I373" s="125">
        <v>52</v>
      </c>
      <c r="J373" s="125">
        <v>6</v>
      </c>
      <c r="K373" s="13">
        <v>45551</v>
      </c>
      <c r="L373" s="125">
        <v>77</v>
      </c>
      <c r="M373" s="134">
        <v>75</v>
      </c>
      <c r="N373">
        <f t="shared" si="5"/>
        <v>0.97402597402597402</v>
      </c>
    </row>
    <row r="374" spans="1:14" x14ac:dyDescent="0.35">
      <c r="A374" s="125" t="s">
        <v>24</v>
      </c>
      <c r="B374" s="79"/>
      <c r="C374" s="79"/>
      <c r="D374" s="126" t="s">
        <v>28</v>
      </c>
      <c r="E374">
        <v>1998</v>
      </c>
      <c r="F374" s="125">
        <v>4</v>
      </c>
      <c r="G374" s="128">
        <v>5</v>
      </c>
      <c r="H374" s="128">
        <v>7</v>
      </c>
      <c r="I374" s="125">
        <v>53</v>
      </c>
      <c r="J374" s="125">
        <v>6</v>
      </c>
      <c r="K374" s="13">
        <v>45551</v>
      </c>
      <c r="L374" s="125">
        <v>64</v>
      </c>
      <c r="M374" s="134">
        <v>64</v>
      </c>
      <c r="N374">
        <f t="shared" si="5"/>
        <v>1</v>
      </c>
    </row>
    <row r="375" spans="1:14" x14ac:dyDescent="0.35">
      <c r="A375" s="125" t="s">
        <v>24</v>
      </c>
      <c r="B375" s="79"/>
      <c r="C375" s="79"/>
      <c r="D375" s="126" t="s">
        <v>26</v>
      </c>
      <c r="E375">
        <v>1983</v>
      </c>
      <c r="F375" s="125">
        <v>4</v>
      </c>
      <c r="G375" s="128">
        <v>6</v>
      </c>
      <c r="H375" s="128">
        <v>7</v>
      </c>
      <c r="I375" s="125">
        <v>54</v>
      </c>
      <c r="J375" s="125">
        <v>6</v>
      </c>
      <c r="K375" s="13">
        <v>45551</v>
      </c>
      <c r="L375" s="125">
        <v>74</v>
      </c>
      <c r="M375" s="134">
        <v>74</v>
      </c>
      <c r="N375">
        <f t="shared" si="5"/>
        <v>1</v>
      </c>
    </row>
    <row r="376" spans="1:14" x14ac:dyDescent="0.35">
      <c r="A376" s="125" t="s">
        <v>24</v>
      </c>
      <c r="B376" s="79"/>
      <c r="C376" s="79"/>
      <c r="D376" s="126" t="s">
        <v>335</v>
      </c>
      <c r="E376">
        <v>2023</v>
      </c>
      <c r="F376" s="125">
        <v>4</v>
      </c>
      <c r="G376" s="128">
        <v>7</v>
      </c>
      <c r="H376" s="128">
        <v>7</v>
      </c>
      <c r="I376" s="125">
        <v>55</v>
      </c>
      <c r="J376" s="125">
        <v>6</v>
      </c>
      <c r="K376" s="13">
        <v>45551</v>
      </c>
      <c r="L376" s="125">
        <v>59</v>
      </c>
      <c r="M376" s="134">
        <v>59</v>
      </c>
      <c r="N376">
        <f t="shared" si="5"/>
        <v>1</v>
      </c>
    </row>
    <row r="377" spans="1:14" x14ac:dyDescent="0.35">
      <c r="A377" s="125" t="s">
        <v>24</v>
      </c>
      <c r="B377" s="79"/>
      <c r="C377" s="79"/>
      <c r="D377" s="126" t="s">
        <v>336</v>
      </c>
      <c r="E377">
        <v>2002</v>
      </c>
      <c r="F377" s="125">
        <v>4</v>
      </c>
      <c r="G377" s="128">
        <v>8</v>
      </c>
      <c r="H377" s="128">
        <v>7</v>
      </c>
      <c r="I377" s="125">
        <v>56</v>
      </c>
      <c r="J377" s="125">
        <v>6</v>
      </c>
      <c r="K377" s="13">
        <v>45551</v>
      </c>
      <c r="L377" s="125">
        <v>60</v>
      </c>
      <c r="M377" s="133">
        <v>54</v>
      </c>
      <c r="N377">
        <f t="shared" si="5"/>
        <v>0.9</v>
      </c>
    </row>
    <row r="378" spans="1:14" x14ac:dyDescent="0.35">
      <c r="A378" s="125" t="s">
        <v>34</v>
      </c>
      <c r="D378" s="127" t="s">
        <v>39</v>
      </c>
      <c r="E378">
        <v>2001</v>
      </c>
      <c r="F378" s="125">
        <v>4</v>
      </c>
      <c r="G378" s="128">
        <v>1</v>
      </c>
      <c r="H378" s="128">
        <v>8</v>
      </c>
      <c r="I378" s="125">
        <v>57</v>
      </c>
      <c r="J378" s="125">
        <v>6</v>
      </c>
      <c r="K378" s="13">
        <v>45551</v>
      </c>
      <c r="L378" s="125">
        <v>48</v>
      </c>
      <c r="M378" s="134">
        <v>48</v>
      </c>
      <c r="N378">
        <f t="shared" si="5"/>
        <v>1</v>
      </c>
    </row>
    <row r="379" spans="1:14" x14ac:dyDescent="0.35">
      <c r="A379" s="125" t="s">
        <v>34</v>
      </c>
      <c r="D379" s="127" t="s">
        <v>37</v>
      </c>
      <c r="E379">
        <v>1989</v>
      </c>
      <c r="F379" s="125">
        <v>4</v>
      </c>
      <c r="G379" s="128">
        <v>2</v>
      </c>
      <c r="H379" s="128">
        <v>8</v>
      </c>
      <c r="I379" s="125">
        <v>58</v>
      </c>
      <c r="J379" s="125">
        <v>6</v>
      </c>
      <c r="K379" s="13">
        <v>45551</v>
      </c>
      <c r="L379" s="125">
        <v>67</v>
      </c>
      <c r="M379" s="134">
        <v>62</v>
      </c>
      <c r="N379">
        <f t="shared" si="5"/>
        <v>0.92537313432835822</v>
      </c>
    </row>
    <row r="380" spans="1:14" x14ac:dyDescent="0.35">
      <c r="A380" s="125" t="s">
        <v>34</v>
      </c>
      <c r="D380" s="127" t="s">
        <v>36</v>
      </c>
      <c r="E380">
        <v>1984</v>
      </c>
      <c r="F380" s="125">
        <v>4</v>
      </c>
      <c r="G380" s="128">
        <v>3</v>
      </c>
      <c r="H380" s="128">
        <v>8</v>
      </c>
      <c r="I380" s="125">
        <v>59</v>
      </c>
      <c r="J380" s="125">
        <v>6</v>
      </c>
      <c r="K380" s="13">
        <v>45551</v>
      </c>
      <c r="L380" s="125">
        <v>52</v>
      </c>
      <c r="M380" s="133">
        <v>47</v>
      </c>
      <c r="N380">
        <f t="shared" si="5"/>
        <v>0.90384615384615385</v>
      </c>
    </row>
    <row r="381" spans="1:14" x14ac:dyDescent="0.35">
      <c r="A381" s="125" t="s">
        <v>34</v>
      </c>
      <c r="D381" s="127" t="s">
        <v>343</v>
      </c>
      <c r="E381">
        <v>2004</v>
      </c>
      <c r="F381" s="125">
        <v>4</v>
      </c>
      <c r="G381" s="128">
        <v>4</v>
      </c>
      <c r="H381" s="128">
        <v>8</v>
      </c>
      <c r="I381" s="125">
        <v>60</v>
      </c>
      <c r="J381" s="125">
        <v>6</v>
      </c>
      <c r="K381" s="13">
        <v>45551</v>
      </c>
      <c r="L381" s="125">
        <v>55</v>
      </c>
      <c r="M381" s="134">
        <v>55</v>
      </c>
      <c r="N381">
        <f t="shared" si="5"/>
        <v>1</v>
      </c>
    </row>
    <row r="382" spans="1:14" x14ac:dyDescent="0.35">
      <c r="A382" s="125" t="s">
        <v>34</v>
      </c>
      <c r="D382" s="127" t="s">
        <v>41</v>
      </c>
      <c r="E382">
        <v>2008</v>
      </c>
      <c r="F382" s="125">
        <v>4</v>
      </c>
      <c r="G382" s="128">
        <v>5</v>
      </c>
      <c r="H382" s="128">
        <v>8</v>
      </c>
      <c r="I382" s="125">
        <v>61</v>
      </c>
      <c r="J382" s="125">
        <v>6</v>
      </c>
      <c r="K382" s="13">
        <v>45551</v>
      </c>
      <c r="L382" s="125">
        <v>40</v>
      </c>
      <c r="M382" s="134">
        <v>40</v>
      </c>
      <c r="N382">
        <f t="shared" si="5"/>
        <v>1</v>
      </c>
    </row>
    <row r="383" spans="1:14" x14ac:dyDescent="0.35">
      <c r="A383" s="125" t="s">
        <v>34</v>
      </c>
      <c r="D383" s="127" t="s">
        <v>38</v>
      </c>
      <c r="E383">
        <v>1999</v>
      </c>
      <c r="F383" s="125">
        <v>4</v>
      </c>
      <c r="G383" s="128">
        <v>6</v>
      </c>
      <c r="H383" s="128">
        <v>8</v>
      </c>
      <c r="I383" s="125">
        <v>62</v>
      </c>
      <c r="J383" s="125">
        <v>6</v>
      </c>
      <c r="K383" s="13">
        <v>45551</v>
      </c>
      <c r="L383" s="125">
        <v>54</v>
      </c>
      <c r="M383" s="134">
        <v>52</v>
      </c>
      <c r="N383">
        <f t="shared" si="5"/>
        <v>0.96296296296296291</v>
      </c>
    </row>
    <row r="384" spans="1:14" x14ac:dyDescent="0.35">
      <c r="A384" s="125" t="s">
        <v>34</v>
      </c>
      <c r="D384" s="127" t="s">
        <v>42</v>
      </c>
      <c r="E384">
        <v>2016</v>
      </c>
      <c r="F384" s="125">
        <v>4</v>
      </c>
      <c r="G384" s="128">
        <v>7</v>
      </c>
      <c r="H384" s="128">
        <v>8</v>
      </c>
      <c r="I384" s="125">
        <v>63</v>
      </c>
      <c r="J384" s="125">
        <v>6</v>
      </c>
      <c r="K384" s="13">
        <v>45551</v>
      </c>
      <c r="L384" s="125">
        <v>42</v>
      </c>
      <c r="M384" s="134">
        <v>42</v>
      </c>
      <c r="N384">
        <f t="shared" si="5"/>
        <v>1</v>
      </c>
    </row>
    <row r="385" spans="1:14" x14ac:dyDescent="0.35">
      <c r="A385" s="125" t="s">
        <v>34</v>
      </c>
      <c r="D385" s="127" t="s">
        <v>43</v>
      </c>
      <c r="E385">
        <v>2020</v>
      </c>
      <c r="F385" s="125">
        <v>4</v>
      </c>
      <c r="G385" s="128">
        <v>8</v>
      </c>
      <c r="H385" s="128">
        <v>8</v>
      </c>
      <c r="I385" s="125">
        <v>64</v>
      </c>
      <c r="J385" s="125">
        <v>6</v>
      </c>
      <c r="K385" s="13">
        <v>45551</v>
      </c>
      <c r="L385" s="125">
        <v>38</v>
      </c>
      <c r="M385" s="134">
        <v>38</v>
      </c>
      <c r="N385">
        <f t="shared" si="5"/>
        <v>1</v>
      </c>
    </row>
    <row r="386" spans="1:14" x14ac:dyDescent="0.35">
      <c r="A386" s="125" t="s">
        <v>24</v>
      </c>
      <c r="B386" s="79"/>
      <c r="C386" s="79"/>
      <c r="D386" s="126" t="s">
        <v>27</v>
      </c>
      <c r="E386">
        <v>1985</v>
      </c>
      <c r="F386" s="125">
        <v>1</v>
      </c>
      <c r="G386" s="128">
        <v>1</v>
      </c>
      <c r="H386" s="128">
        <v>1</v>
      </c>
      <c r="I386" s="125">
        <v>1</v>
      </c>
      <c r="J386" s="125">
        <v>7</v>
      </c>
      <c r="K386" s="13">
        <v>45555</v>
      </c>
      <c r="L386" s="125">
        <v>78</v>
      </c>
      <c r="M386" s="134">
        <v>78</v>
      </c>
      <c r="N386">
        <f t="shared" si="5"/>
        <v>1</v>
      </c>
    </row>
    <row r="387" spans="1:14" x14ac:dyDescent="0.35">
      <c r="A387" s="125" t="s">
        <v>24</v>
      </c>
      <c r="B387" s="79"/>
      <c r="C387" s="79"/>
      <c r="D387" s="126" t="s">
        <v>26</v>
      </c>
      <c r="E387">
        <v>1983</v>
      </c>
      <c r="F387" s="125">
        <v>1</v>
      </c>
      <c r="G387" s="128">
        <v>2</v>
      </c>
      <c r="H387" s="128">
        <v>1</v>
      </c>
      <c r="I387" s="125">
        <v>2</v>
      </c>
      <c r="J387" s="125">
        <v>7</v>
      </c>
      <c r="K387" s="13">
        <v>45555</v>
      </c>
      <c r="L387" s="125">
        <v>67</v>
      </c>
      <c r="M387" s="134">
        <v>67</v>
      </c>
      <c r="N387">
        <f t="shared" ref="N387:N449" si="6">M387/L387</f>
        <v>1</v>
      </c>
    </row>
    <row r="388" spans="1:14" x14ac:dyDescent="0.35">
      <c r="A388" s="125" t="s">
        <v>24</v>
      </c>
      <c r="B388" s="79"/>
      <c r="C388" s="79"/>
      <c r="D388" s="126" t="s">
        <v>335</v>
      </c>
      <c r="E388">
        <v>2023</v>
      </c>
      <c r="F388" s="125">
        <v>1</v>
      </c>
      <c r="G388" s="128">
        <v>3</v>
      </c>
      <c r="H388" s="128">
        <v>1</v>
      </c>
      <c r="I388" s="125">
        <v>3</v>
      </c>
      <c r="J388" s="125">
        <v>7</v>
      </c>
      <c r="K388" s="13">
        <v>45555</v>
      </c>
      <c r="L388" s="125">
        <v>60</v>
      </c>
      <c r="M388" s="130">
        <v>60</v>
      </c>
      <c r="N388">
        <f t="shared" si="6"/>
        <v>1</v>
      </c>
    </row>
    <row r="389" spans="1:14" x14ac:dyDescent="0.35">
      <c r="A389" s="125" t="s">
        <v>24</v>
      </c>
      <c r="B389" s="79"/>
      <c r="C389" s="79"/>
      <c r="D389" s="126" t="s">
        <v>29</v>
      </c>
      <c r="E389">
        <v>1999</v>
      </c>
      <c r="F389" s="125">
        <v>1</v>
      </c>
      <c r="G389" s="128">
        <v>4</v>
      </c>
      <c r="H389" s="128">
        <v>1</v>
      </c>
      <c r="I389" s="125">
        <v>4</v>
      </c>
      <c r="J389" s="125">
        <v>7</v>
      </c>
      <c r="K389" s="13">
        <v>45555</v>
      </c>
      <c r="L389" s="125">
        <v>108</v>
      </c>
      <c r="M389" s="134">
        <v>108</v>
      </c>
      <c r="N389">
        <f t="shared" si="6"/>
        <v>1</v>
      </c>
    </row>
    <row r="390" spans="1:14" x14ac:dyDescent="0.35">
      <c r="A390" s="125" t="s">
        <v>24</v>
      </c>
      <c r="B390" s="79"/>
      <c r="C390" s="79"/>
      <c r="D390" s="126" t="s">
        <v>336</v>
      </c>
      <c r="E390">
        <v>2002</v>
      </c>
      <c r="F390" s="125">
        <v>1</v>
      </c>
      <c r="G390" s="128">
        <v>5</v>
      </c>
      <c r="H390" s="128">
        <v>1</v>
      </c>
      <c r="I390" s="125">
        <v>5</v>
      </c>
      <c r="J390" s="125">
        <v>7</v>
      </c>
      <c r="K390" s="13">
        <v>45555</v>
      </c>
      <c r="L390" s="125">
        <v>78</v>
      </c>
      <c r="M390" s="130">
        <v>78</v>
      </c>
      <c r="N390">
        <f t="shared" si="6"/>
        <v>1</v>
      </c>
    </row>
    <row r="391" spans="1:14" x14ac:dyDescent="0.35">
      <c r="A391" s="125" t="s">
        <v>24</v>
      </c>
      <c r="B391" s="79"/>
      <c r="C391" s="79"/>
      <c r="D391" s="126" t="s">
        <v>32</v>
      </c>
      <c r="E391">
        <v>2018</v>
      </c>
      <c r="F391" s="125">
        <v>1</v>
      </c>
      <c r="G391" s="128">
        <v>6</v>
      </c>
      <c r="H391" s="128">
        <v>1</v>
      </c>
      <c r="I391" s="125">
        <v>6</v>
      </c>
      <c r="J391" s="125">
        <v>7</v>
      </c>
      <c r="K391" s="13">
        <v>45555</v>
      </c>
      <c r="L391" s="125">
        <v>74</v>
      </c>
      <c r="M391" s="130">
        <v>74</v>
      </c>
      <c r="N391">
        <f t="shared" si="6"/>
        <v>1</v>
      </c>
    </row>
    <row r="392" spans="1:14" x14ac:dyDescent="0.35">
      <c r="A392" s="125" t="s">
        <v>24</v>
      </c>
      <c r="B392" s="79"/>
      <c r="C392" s="79"/>
      <c r="D392" s="126" t="s">
        <v>28</v>
      </c>
      <c r="E392">
        <v>1998</v>
      </c>
      <c r="F392" s="125">
        <v>1</v>
      </c>
      <c r="G392" s="128">
        <v>7</v>
      </c>
      <c r="H392" s="128">
        <v>1</v>
      </c>
      <c r="I392" s="125">
        <v>7</v>
      </c>
      <c r="J392" s="125">
        <v>7</v>
      </c>
      <c r="K392" s="13">
        <v>45555</v>
      </c>
      <c r="L392" s="125">
        <v>90</v>
      </c>
      <c r="M392" s="130">
        <v>90</v>
      </c>
      <c r="N392">
        <f t="shared" si="6"/>
        <v>1</v>
      </c>
    </row>
    <row r="393" spans="1:14" x14ac:dyDescent="0.35">
      <c r="A393" s="125" t="s">
        <v>24</v>
      </c>
      <c r="B393" s="79"/>
      <c r="C393" s="79"/>
      <c r="D393" s="126" t="s">
        <v>337</v>
      </c>
      <c r="E393">
        <v>2016</v>
      </c>
      <c r="F393" s="125">
        <v>1</v>
      </c>
      <c r="G393" s="128">
        <v>8</v>
      </c>
      <c r="H393" s="128">
        <v>1</v>
      </c>
      <c r="I393" s="125">
        <v>8</v>
      </c>
      <c r="J393" s="125">
        <v>7</v>
      </c>
      <c r="K393" s="13">
        <v>45555</v>
      </c>
      <c r="L393" s="125">
        <v>50</v>
      </c>
      <c r="M393" s="130">
        <v>50</v>
      </c>
      <c r="N393">
        <f t="shared" si="6"/>
        <v>1</v>
      </c>
    </row>
    <row r="394" spans="1:14" x14ac:dyDescent="0.35">
      <c r="A394" s="125" t="s">
        <v>34</v>
      </c>
      <c r="D394" s="127" t="s">
        <v>42</v>
      </c>
      <c r="E394">
        <v>2016</v>
      </c>
      <c r="F394" s="125">
        <v>1</v>
      </c>
      <c r="G394" s="128">
        <v>1</v>
      </c>
      <c r="H394" s="128">
        <v>2</v>
      </c>
      <c r="I394" s="125">
        <v>9</v>
      </c>
      <c r="J394" s="125">
        <v>7</v>
      </c>
      <c r="K394" s="13">
        <v>45555</v>
      </c>
      <c r="L394" s="125">
        <v>43</v>
      </c>
      <c r="M394" s="130">
        <v>43</v>
      </c>
      <c r="N394">
        <f t="shared" si="6"/>
        <v>1</v>
      </c>
    </row>
    <row r="395" spans="1:14" x14ac:dyDescent="0.35">
      <c r="A395" s="125" t="s">
        <v>34</v>
      </c>
      <c r="D395" s="127" t="s">
        <v>38</v>
      </c>
      <c r="E395">
        <v>1999</v>
      </c>
      <c r="F395" s="125">
        <v>1</v>
      </c>
      <c r="G395" s="128">
        <v>2</v>
      </c>
      <c r="H395" s="128">
        <v>2</v>
      </c>
      <c r="I395" s="125">
        <v>10</v>
      </c>
      <c r="J395" s="125">
        <v>7</v>
      </c>
      <c r="K395" s="13">
        <v>45555</v>
      </c>
      <c r="L395" s="125">
        <v>59</v>
      </c>
      <c r="M395" s="130">
        <v>59</v>
      </c>
      <c r="N395">
        <f t="shared" si="6"/>
        <v>1</v>
      </c>
    </row>
    <row r="396" spans="1:14" x14ac:dyDescent="0.35">
      <c r="A396" s="125" t="s">
        <v>34</v>
      </c>
      <c r="D396" s="127" t="s">
        <v>43</v>
      </c>
      <c r="E396">
        <v>2020</v>
      </c>
      <c r="F396" s="125">
        <v>1</v>
      </c>
      <c r="G396" s="128">
        <v>3</v>
      </c>
      <c r="H396" s="128">
        <v>2</v>
      </c>
      <c r="I396" s="125">
        <v>11</v>
      </c>
      <c r="J396" s="125">
        <v>7</v>
      </c>
      <c r="K396" s="13">
        <v>45555</v>
      </c>
      <c r="L396" s="125">
        <v>42</v>
      </c>
      <c r="M396" s="130">
        <v>42</v>
      </c>
      <c r="N396">
        <f t="shared" si="6"/>
        <v>1</v>
      </c>
    </row>
    <row r="397" spans="1:14" x14ac:dyDescent="0.35">
      <c r="A397" s="125" t="s">
        <v>34</v>
      </c>
      <c r="D397" s="127" t="s">
        <v>41</v>
      </c>
      <c r="E397">
        <v>2008</v>
      </c>
      <c r="F397" s="125">
        <v>1</v>
      </c>
      <c r="G397" s="128">
        <v>4</v>
      </c>
      <c r="H397" s="128">
        <v>2</v>
      </c>
      <c r="I397" s="125">
        <v>12</v>
      </c>
      <c r="J397" s="125">
        <v>7</v>
      </c>
      <c r="K397" s="13">
        <v>45555</v>
      </c>
      <c r="L397" s="125">
        <v>39</v>
      </c>
      <c r="M397" s="130">
        <v>39</v>
      </c>
      <c r="N397">
        <f t="shared" si="6"/>
        <v>1</v>
      </c>
    </row>
    <row r="398" spans="1:14" x14ac:dyDescent="0.35">
      <c r="A398" s="125" t="s">
        <v>34</v>
      </c>
      <c r="D398" s="127" t="s">
        <v>37</v>
      </c>
      <c r="E398">
        <v>1989</v>
      </c>
      <c r="F398" s="125">
        <v>1</v>
      </c>
      <c r="G398" s="128">
        <v>5</v>
      </c>
      <c r="H398" s="128">
        <v>2</v>
      </c>
      <c r="I398" s="125">
        <v>13</v>
      </c>
      <c r="J398" s="125">
        <v>7</v>
      </c>
      <c r="K398" s="13">
        <v>45555</v>
      </c>
      <c r="L398" s="125">
        <v>48</v>
      </c>
      <c r="M398" s="130">
        <v>48</v>
      </c>
      <c r="N398">
        <f t="shared" si="6"/>
        <v>1</v>
      </c>
    </row>
    <row r="399" spans="1:14" x14ac:dyDescent="0.35">
      <c r="A399" s="125" t="s">
        <v>34</v>
      </c>
      <c r="D399" s="127" t="s">
        <v>343</v>
      </c>
      <c r="E399">
        <v>2004</v>
      </c>
      <c r="F399" s="125">
        <v>1</v>
      </c>
      <c r="G399" s="128">
        <v>6</v>
      </c>
      <c r="H399" s="128">
        <v>2</v>
      </c>
      <c r="I399" s="125">
        <v>14</v>
      </c>
      <c r="J399" s="125">
        <v>7</v>
      </c>
      <c r="K399" s="13">
        <v>45555</v>
      </c>
      <c r="L399" s="125">
        <v>44</v>
      </c>
      <c r="M399" s="130">
        <v>44</v>
      </c>
      <c r="N399">
        <f t="shared" si="6"/>
        <v>1</v>
      </c>
    </row>
    <row r="400" spans="1:14" x14ac:dyDescent="0.35">
      <c r="A400" s="125" t="s">
        <v>34</v>
      </c>
      <c r="D400" s="127" t="s">
        <v>36</v>
      </c>
      <c r="E400">
        <v>1984</v>
      </c>
      <c r="F400" s="125">
        <v>1</v>
      </c>
      <c r="G400" s="128">
        <v>7</v>
      </c>
      <c r="H400" s="128">
        <v>2</v>
      </c>
      <c r="I400" s="125">
        <v>15</v>
      </c>
      <c r="J400" s="125">
        <v>7</v>
      </c>
      <c r="K400" s="13">
        <v>45555</v>
      </c>
      <c r="L400" s="125">
        <v>44</v>
      </c>
      <c r="M400" s="130">
        <v>44</v>
      </c>
      <c r="N400">
        <f t="shared" si="6"/>
        <v>1</v>
      </c>
    </row>
    <row r="401" spans="1:14" x14ac:dyDescent="0.35">
      <c r="A401" s="125" t="s">
        <v>34</v>
      </c>
      <c r="D401" s="127" t="s">
        <v>39</v>
      </c>
      <c r="E401">
        <v>2001</v>
      </c>
      <c r="F401" s="125">
        <v>1</v>
      </c>
      <c r="G401" s="128">
        <v>8</v>
      </c>
      <c r="H401" s="128">
        <v>2</v>
      </c>
      <c r="I401" s="125">
        <v>16</v>
      </c>
      <c r="J401" s="125">
        <v>7</v>
      </c>
      <c r="K401" s="13">
        <v>45555</v>
      </c>
      <c r="L401" s="125">
        <v>56</v>
      </c>
      <c r="M401" s="130">
        <v>56</v>
      </c>
      <c r="N401">
        <f t="shared" si="6"/>
        <v>1</v>
      </c>
    </row>
    <row r="402" spans="1:14" x14ac:dyDescent="0.35">
      <c r="A402" s="125" t="s">
        <v>24</v>
      </c>
      <c r="B402" s="79"/>
      <c r="C402" s="79"/>
      <c r="D402" s="126" t="s">
        <v>335</v>
      </c>
      <c r="E402">
        <v>2023</v>
      </c>
      <c r="F402" s="125">
        <v>2</v>
      </c>
      <c r="G402" s="128">
        <v>1</v>
      </c>
      <c r="H402" s="128">
        <v>3</v>
      </c>
      <c r="I402" s="125">
        <v>17</v>
      </c>
      <c r="J402" s="125">
        <v>7</v>
      </c>
      <c r="K402" s="13">
        <v>45555</v>
      </c>
      <c r="L402" s="125">
        <v>55</v>
      </c>
      <c r="M402" s="130">
        <v>55</v>
      </c>
      <c r="N402">
        <f t="shared" si="6"/>
        <v>1</v>
      </c>
    </row>
    <row r="403" spans="1:14" x14ac:dyDescent="0.35">
      <c r="A403" s="125" t="s">
        <v>24</v>
      </c>
      <c r="B403" s="79"/>
      <c r="C403" s="79"/>
      <c r="D403" s="126" t="s">
        <v>28</v>
      </c>
      <c r="E403">
        <v>1998</v>
      </c>
      <c r="F403" s="125">
        <v>2</v>
      </c>
      <c r="G403" s="128">
        <v>2</v>
      </c>
      <c r="H403" s="128">
        <v>3</v>
      </c>
      <c r="I403" s="125">
        <v>18</v>
      </c>
      <c r="J403" s="125">
        <v>7</v>
      </c>
      <c r="K403" s="13">
        <v>45555</v>
      </c>
      <c r="L403" s="125">
        <v>67</v>
      </c>
      <c r="M403" s="130">
        <v>67</v>
      </c>
      <c r="N403">
        <f t="shared" si="6"/>
        <v>1</v>
      </c>
    </row>
    <row r="404" spans="1:14" x14ac:dyDescent="0.35">
      <c r="A404" s="125" t="s">
        <v>24</v>
      </c>
      <c r="B404" s="79"/>
      <c r="C404" s="79"/>
      <c r="D404" s="126" t="s">
        <v>26</v>
      </c>
      <c r="E404">
        <v>1983</v>
      </c>
      <c r="F404" s="125">
        <v>2</v>
      </c>
      <c r="G404" s="128">
        <v>3</v>
      </c>
      <c r="H404" s="128">
        <v>3</v>
      </c>
      <c r="I404" s="125">
        <v>19</v>
      </c>
      <c r="J404" s="125">
        <v>7</v>
      </c>
      <c r="K404" s="13">
        <v>45555</v>
      </c>
      <c r="L404" s="125">
        <v>67</v>
      </c>
      <c r="M404" s="130">
        <v>67</v>
      </c>
      <c r="N404">
        <f t="shared" si="6"/>
        <v>1</v>
      </c>
    </row>
    <row r="405" spans="1:14" x14ac:dyDescent="0.35">
      <c r="A405" s="125" t="s">
        <v>24</v>
      </c>
      <c r="B405" s="79"/>
      <c r="C405" s="79"/>
      <c r="D405" s="126" t="s">
        <v>336</v>
      </c>
      <c r="E405">
        <v>2002</v>
      </c>
      <c r="F405" s="125">
        <v>2</v>
      </c>
      <c r="G405" s="128">
        <v>4</v>
      </c>
      <c r="H405" s="128">
        <v>3</v>
      </c>
      <c r="I405" s="125">
        <v>20</v>
      </c>
      <c r="J405" s="125">
        <v>7</v>
      </c>
      <c r="K405" s="13">
        <v>45555</v>
      </c>
      <c r="L405" s="125">
        <v>53</v>
      </c>
      <c r="M405" s="130">
        <v>53</v>
      </c>
      <c r="N405">
        <f t="shared" si="6"/>
        <v>1</v>
      </c>
    </row>
    <row r="406" spans="1:14" x14ac:dyDescent="0.35">
      <c r="A406" s="125" t="s">
        <v>24</v>
      </c>
      <c r="B406" s="79"/>
      <c r="C406" s="79"/>
      <c r="D406" s="126" t="s">
        <v>29</v>
      </c>
      <c r="E406">
        <v>1999</v>
      </c>
      <c r="F406" s="125">
        <v>2</v>
      </c>
      <c r="G406" s="128">
        <v>5</v>
      </c>
      <c r="H406" s="128">
        <v>3</v>
      </c>
      <c r="I406" s="125">
        <v>21</v>
      </c>
      <c r="J406" s="125">
        <v>7</v>
      </c>
      <c r="K406" s="13">
        <v>45555</v>
      </c>
      <c r="L406" s="125">
        <v>63</v>
      </c>
      <c r="M406" s="130">
        <v>63</v>
      </c>
      <c r="N406">
        <f t="shared" si="6"/>
        <v>1</v>
      </c>
    </row>
    <row r="407" spans="1:14" x14ac:dyDescent="0.35">
      <c r="A407" s="125" t="s">
        <v>24</v>
      </c>
      <c r="B407" s="79"/>
      <c r="C407" s="79"/>
      <c r="D407" s="126" t="s">
        <v>337</v>
      </c>
      <c r="E407">
        <v>2016</v>
      </c>
      <c r="F407" s="125">
        <v>2</v>
      </c>
      <c r="G407" s="128">
        <v>6</v>
      </c>
      <c r="H407" s="128">
        <v>3</v>
      </c>
      <c r="I407" s="125">
        <v>22</v>
      </c>
      <c r="J407" s="125">
        <v>7</v>
      </c>
      <c r="K407" s="13">
        <v>45555</v>
      </c>
      <c r="L407" s="125">
        <v>63</v>
      </c>
      <c r="M407" s="130">
        <v>63</v>
      </c>
      <c r="N407">
        <f t="shared" si="6"/>
        <v>1</v>
      </c>
    </row>
    <row r="408" spans="1:14" x14ac:dyDescent="0.35">
      <c r="A408" s="125" t="s">
        <v>24</v>
      </c>
      <c r="B408" s="79"/>
      <c r="C408" s="79"/>
      <c r="D408" s="126" t="s">
        <v>32</v>
      </c>
      <c r="E408">
        <v>2018</v>
      </c>
      <c r="F408" s="125">
        <v>2</v>
      </c>
      <c r="G408" s="128">
        <v>7</v>
      </c>
      <c r="H408" s="128">
        <v>3</v>
      </c>
      <c r="I408" s="125">
        <v>23</v>
      </c>
      <c r="J408" s="125">
        <v>7</v>
      </c>
      <c r="K408" s="13">
        <v>45555</v>
      </c>
      <c r="L408" s="125">
        <v>53</v>
      </c>
      <c r="M408" s="130">
        <v>53</v>
      </c>
      <c r="N408">
        <f t="shared" si="6"/>
        <v>1</v>
      </c>
    </row>
    <row r="409" spans="1:14" x14ac:dyDescent="0.35">
      <c r="A409" s="125" t="s">
        <v>24</v>
      </c>
      <c r="B409" s="79"/>
      <c r="C409" s="79"/>
      <c r="D409" s="126" t="s">
        <v>27</v>
      </c>
      <c r="E409">
        <v>1985</v>
      </c>
      <c r="F409" s="125">
        <v>2</v>
      </c>
      <c r="G409" s="128">
        <v>8</v>
      </c>
      <c r="H409" s="128">
        <v>3</v>
      </c>
      <c r="I409" s="125">
        <v>24</v>
      </c>
      <c r="J409" s="125">
        <v>7</v>
      </c>
      <c r="K409" s="13">
        <v>45555</v>
      </c>
      <c r="L409" s="125">
        <v>65</v>
      </c>
      <c r="M409" s="130">
        <v>65</v>
      </c>
      <c r="N409">
        <f t="shared" si="6"/>
        <v>1</v>
      </c>
    </row>
    <row r="410" spans="1:14" x14ac:dyDescent="0.35">
      <c r="A410" s="125" t="s">
        <v>34</v>
      </c>
      <c r="B410" s="71"/>
      <c r="C410" s="72"/>
      <c r="D410" s="127" t="s">
        <v>343</v>
      </c>
      <c r="E410">
        <v>2004</v>
      </c>
      <c r="F410" s="125">
        <v>2</v>
      </c>
      <c r="G410" s="128">
        <v>1</v>
      </c>
      <c r="H410" s="128">
        <v>4</v>
      </c>
      <c r="I410" s="125">
        <v>25</v>
      </c>
      <c r="J410" s="125">
        <v>7</v>
      </c>
      <c r="K410" s="13">
        <v>45555</v>
      </c>
      <c r="L410" s="125">
        <v>55</v>
      </c>
      <c r="M410" s="130">
        <v>55</v>
      </c>
      <c r="N410">
        <f t="shared" si="6"/>
        <v>1</v>
      </c>
    </row>
    <row r="411" spans="1:14" x14ac:dyDescent="0.35">
      <c r="A411" s="125" t="s">
        <v>34</v>
      </c>
      <c r="D411" s="127" t="s">
        <v>43</v>
      </c>
      <c r="E411">
        <v>2020</v>
      </c>
      <c r="F411" s="125">
        <v>2</v>
      </c>
      <c r="G411" s="128">
        <v>2</v>
      </c>
      <c r="H411" s="128">
        <v>4</v>
      </c>
      <c r="I411" s="125">
        <v>26</v>
      </c>
      <c r="J411" s="125">
        <v>7</v>
      </c>
      <c r="K411" s="13">
        <v>45555</v>
      </c>
      <c r="L411" s="125">
        <v>49</v>
      </c>
      <c r="M411" s="130">
        <v>49</v>
      </c>
      <c r="N411">
        <f t="shared" si="6"/>
        <v>1</v>
      </c>
    </row>
    <row r="412" spans="1:14" x14ac:dyDescent="0.35">
      <c r="A412" s="125" t="s">
        <v>34</v>
      </c>
      <c r="D412" s="127" t="s">
        <v>38</v>
      </c>
      <c r="E412">
        <v>1999</v>
      </c>
      <c r="F412" s="125">
        <v>2</v>
      </c>
      <c r="G412" s="128">
        <v>3</v>
      </c>
      <c r="H412" s="128">
        <v>4</v>
      </c>
      <c r="I412" s="125">
        <v>27</v>
      </c>
      <c r="J412" s="125">
        <v>7</v>
      </c>
      <c r="K412" s="13">
        <v>45555</v>
      </c>
      <c r="L412" s="125">
        <v>48</v>
      </c>
      <c r="M412" s="130">
        <v>48</v>
      </c>
      <c r="N412">
        <f t="shared" si="6"/>
        <v>1</v>
      </c>
    </row>
    <row r="413" spans="1:14" x14ac:dyDescent="0.35">
      <c r="A413" s="125" t="s">
        <v>34</v>
      </c>
      <c r="D413" s="127" t="s">
        <v>39</v>
      </c>
      <c r="E413">
        <v>2001</v>
      </c>
      <c r="F413" s="125">
        <v>2</v>
      </c>
      <c r="G413" s="128">
        <v>4</v>
      </c>
      <c r="H413" s="128">
        <v>4</v>
      </c>
      <c r="I413" s="125">
        <v>28</v>
      </c>
      <c r="J413" s="125">
        <v>7</v>
      </c>
      <c r="K413" s="13">
        <v>45555</v>
      </c>
      <c r="L413" s="125">
        <v>36</v>
      </c>
      <c r="M413" s="130">
        <v>36</v>
      </c>
      <c r="N413">
        <f t="shared" si="6"/>
        <v>1</v>
      </c>
    </row>
    <row r="414" spans="1:14" x14ac:dyDescent="0.35">
      <c r="A414" s="125" t="s">
        <v>34</v>
      </c>
      <c r="D414" s="127" t="s">
        <v>42</v>
      </c>
      <c r="E414">
        <v>2016</v>
      </c>
      <c r="F414" s="125">
        <v>2</v>
      </c>
      <c r="G414" s="128">
        <v>5</v>
      </c>
      <c r="H414" s="128">
        <v>4</v>
      </c>
      <c r="I414" s="125">
        <v>29</v>
      </c>
      <c r="J414" s="125">
        <v>7</v>
      </c>
      <c r="K414" s="13">
        <v>45555</v>
      </c>
      <c r="L414" s="125">
        <v>45</v>
      </c>
      <c r="M414" s="130">
        <v>45</v>
      </c>
      <c r="N414">
        <f t="shared" si="6"/>
        <v>1</v>
      </c>
    </row>
    <row r="415" spans="1:14" x14ac:dyDescent="0.35">
      <c r="A415" s="125" t="s">
        <v>34</v>
      </c>
      <c r="D415" s="127" t="s">
        <v>36</v>
      </c>
      <c r="E415">
        <v>1984</v>
      </c>
      <c r="F415" s="125">
        <v>2</v>
      </c>
      <c r="G415" s="128">
        <v>6</v>
      </c>
      <c r="H415" s="128">
        <v>4</v>
      </c>
      <c r="I415" s="125">
        <v>30</v>
      </c>
      <c r="J415" s="125">
        <v>7</v>
      </c>
      <c r="K415" s="13">
        <v>45555</v>
      </c>
      <c r="L415" s="125">
        <v>48</v>
      </c>
      <c r="M415" s="130">
        <v>48</v>
      </c>
      <c r="N415">
        <f t="shared" si="6"/>
        <v>1</v>
      </c>
    </row>
    <row r="416" spans="1:14" x14ac:dyDescent="0.35">
      <c r="A416" s="125" t="s">
        <v>34</v>
      </c>
      <c r="D416" s="127" t="s">
        <v>41</v>
      </c>
      <c r="E416">
        <v>2008</v>
      </c>
      <c r="F416" s="125">
        <v>2</v>
      </c>
      <c r="G416" s="128">
        <v>7</v>
      </c>
      <c r="H416" s="128">
        <v>4</v>
      </c>
      <c r="I416" s="125">
        <v>31</v>
      </c>
      <c r="J416" s="125">
        <v>7</v>
      </c>
      <c r="K416" s="13">
        <v>45555</v>
      </c>
      <c r="L416" s="125">
        <v>61</v>
      </c>
      <c r="M416" s="130">
        <v>61</v>
      </c>
      <c r="N416">
        <f t="shared" si="6"/>
        <v>1</v>
      </c>
    </row>
    <row r="417" spans="1:14" x14ac:dyDescent="0.35">
      <c r="A417" s="125" t="s">
        <v>34</v>
      </c>
      <c r="D417" s="127" t="s">
        <v>37</v>
      </c>
      <c r="E417">
        <v>1989</v>
      </c>
      <c r="F417" s="125">
        <v>2</v>
      </c>
      <c r="G417" s="128">
        <v>8</v>
      </c>
      <c r="H417" s="128">
        <v>4</v>
      </c>
      <c r="I417" s="125">
        <v>32</v>
      </c>
      <c r="J417" s="125">
        <v>7</v>
      </c>
      <c r="K417" s="13">
        <v>45555</v>
      </c>
      <c r="L417" s="125">
        <v>64</v>
      </c>
      <c r="M417" s="130">
        <v>64</v>
      </c>
      <c r="N417">
        <f t="shared" si="6"/>
        <v>1</v>
      </c>
    </row>
    <row r="418" spans="1:14" x14ac:dyDescent="0.35">
      <c r="A418" s="125" t="s">
        <v>24</v>
      </c>
      <c r="B418" s="79"/>
      <c r="C418" s="79"/>
      <c r="D418" s="126" t="s">
        <v>336</v>
      </c>
      <c r="E418">
        <v>2002</v>
      </c>
      <c r="F418" s="125">
        <v>3</v>
      </c>
      <c r="G418" s="128">
        <v>1</v>
      </c>
      <c r="H418" s="128">
        <v>5</v>
      </c>
      <c r="I418" s="125">
        <v>33</v>
      </c>
      <c r="J418" s="125">
        <v>7</v>
      </c>
      <c r="K418" s="13">
        <v>45555</v>
      </c>
      <c r="L418" s="125">
        <v>34</v>
      </c>
      <c r="M418" s="130">
        <v>34</v>
      </c>
      <c r="N418">
        <f t="shared" si="6"/>
        <v>1</v>
      </c>
    </row>
    <row r="419" spans="1:14" x14ac:dyDescent="0.35">
      <c r="A419" s="125" t="s">
        <v>24</v>
      </c>
      <c r="B419" s="79"/>
      <c r="C419" s="79"/>
      <c r="D419" s="126" t="s">
        <v>337</v>
      </c>
      <c r="E419">
        <v>2016</v>
      </c>
      <c r="F419" s="125">
        <v>3</v>
      </c>
      <c r="G419" s="128">
        <v>2</v>
      </c>
      <c r="H419" s="128">
        <v>5</v>
      </c>
      <c r="I419" s="125">
        <v>34</v>
      </c>
      <c r="J419" s="125">
        <v>7</v>
      </c>
      <c r="K419" s="13">
        <v>45555</v>
      </c>
      <c r="L419" s="125">
        <v>61</v>
      </c>
      <c r="M419" s="130">
        <v>61</v>
      </c>
      <c r="N419">
        <f t="shared" si="6"/>
        <v>1</v>
      </c>
    </row>
    <row r="420" spans="1:14" x14ac:dyDescent="0.35">
      <c r="A420" s="125" t="s">
        <v>24</v>
      </c>
      <c r="B420" s="79"/>
      <c r="C420" s="79"/>
      <c r="D420" s="126" t="s">
        <v>32</v>
      </c>
      <c r="E420">
        <v>2018</v>
      </c>
      <c r="F420" s="125">
        <v>3</v>
      </c>
      <c r="G420" s="128">
        <v>3</v>
      </c>
      <c r="H420" s="128">
        <v>5</v>
      </c>
      <c r="I420" s="125">
        <v>35</v>
      </c>
      <c r="J420" s="125">
        <v>7</v>
      </c>
      <c r="K420" s="13">
        <v>45555</v>
      </c>
      <c r="L420" s="125">
        <v>36</v>
      </c>
      <c r="M420" s="130">
        <v>36</v>
      </c>
      <c r="N420">
        <f t="shared" si="6"/>
        <v>1</v>
      </c>
    </row>
    <row r="421" spans="1:14" x14ac:dyDescent="0.35">
      <c r="A421" s="125" t="s">
        <v>24</v>
      </c>
      <c r="B421" s="79"/>
      <c r="C421" s="79"/>
      <c r="D421" s="126" t="s">
        <v>28</v>
      </c>
      <c r="E421">
        <v>1998</v>
      </c>
      <c r="F421" s="125">
        <v>3</v>
      </c>
      <c r="G421" s="128">
        <v>4</v>
      </c>
      <c r="H421" s="128">
        <v>5</v>
      </c>
      <c r="I421" s="125">
        <v>36</v>
      </c>
      <c r="J421" s="125">
        <v>7</v>
      </c>
      <c r="K421" s="13">
        <v>45555</v>
      </c>
      <c r="L421" s="125">
        <v>44</v>
      </c>
      <c r="M421" s="130">
        <v>44</v>
      </c>
      <c r="N421">
        <f t="shared" si="6"/>
        <v>1</v>
      </c>
    </row>
    <row r="422" spans="1:14" x14ac:dyDescent="0.35">
      <c r="A422" s="125" t="s">
        <v>24</v>
      </c>
      <c r="B422" s="79"/>
      <c r="C422" s="79"/>
      <c r="D422" s="126" t="s">
        <v>27</v>
      </c>
      <c r="E422">
        <v>1985</v>
      </c>
      <c r="F422" s="125">
        <v>3</v>
      </c>
      <c r="G422" s="128">
        <v>5</v>
      </c>
      <c r="H422" s="128">
        <v>5</v>
      </c>
      <c r="I422" s="125">
        <v>37</v>
      </c>
      <c r="J422" s="125">
        <v>7</v>
      </c>
      <c r="K422" s="13">
        <v>45555</v>
      </c>
      <c r="L422" s="125">
        <v>62</v>
      </c>
      <c r="M422" s="130">
        <v>62</v>
      </c>
      <c r="N422">
        <f t="shared" si="6"/>
        <v>1</v>
      </c>
    </row>
    <row r="423" spans="1:14" x14ac:dyDescent="0.35">
      <c r="A423" s="125" t="s">
        <v>24</v>
      </c>
      <c r="B423" s="79"/>
      <c r="C423" s="79"/>
      <c r="D423" s="126" t="s">
        <v>335</v>
      </c>
      <c r="E423">
        <v>2023</v>
      </c>
      <c r="F423" s="125">
        <v>3</v>
      </c>
      <c r="G423" s="128">
        <v>6</v>
      </c>
      <c r="H423" s="128">
        <v>5</v>
      </c>
      <c r="I423" s="125">
        <v>38</v>
      </c>
      <c r="J423" s="125">
        <v>7</v>
      </c>
      <c r="K423" s="13">
        <v>45555</v>
      </c>
      <c r="L423" s="125">
        <v>38</v>
      </c>
      <c r="M423" s="130">
        <v>38</v>
      </c>
      <c r="N423">
        <f t="shared" si="6"/>
        <v>1</v>
      </c>
    </row>
    <row r="424" spans="1:14" x14ac:dyDescent="0.35">
      <c r="A424" s="125" t="s">
        <v>24</v>
      </c>
      <c r="B424" s="79"/>
      <c r="C424" s="79"/>
      <c r="D424" s="126" t="s">
        <v>29</v>
      </c>
      <c r="E424">
        <v>1999</v>
      </c>
      <c r="F424" s="125">
        <v>3</v>
      </c>
      <c r="G424" s="128">
        <v>7</v>
      </c>
      <c r="H424" s="128">
        <v>5</v>
      </c>
      <c r="I424" s="125">
        <v>39</v>
      </c>
      <c r="J424" s="125">
        <v>7</v>
      </c>
      <c r="K424" s="13">
        <v>45555</v>
      </c>
      <c r="L424" s="125">
        <v>50</v>
      </c>
      <c r="M424" s="130">
        <v>50</v>
      </c>
      <c r="N424">
        <f t="shared" si="6"/>
        <v>1</v>
      </c>
    </row>
    <row r="425" spans="1:14" x14ac:dyDescent="0.35">
      <c r="A425" s="125" t="s">
        <v>24</v>
      </c>
      <c r="B425" s="79"/>
      <c r="C425" s="79"/>
      <c r="D425" s="126" t="s">
        <v>26</v>
      </c>
      <c r="E425">
        <v>1983</v>
      </c>
      <c r="F425" s="125">
        <v>3</v>
      </c>
      <c r="G425" s="128">
        <v>8</v>
      </c>
      <c r="H425" s="128">
        <v>5</v>
      </c>
      <c r="I425" s="125">
        <v>40</v>
      </c>
      <c r="J425" s="125">
        <v>7</v>
      </c>
      <c r="K425" s="13">
        <v>45555</v>
      </c>
      <c r="L425" s="125">
        <v>80</v>
      </c>
      <c r="M425" s="130">
        <v>80</v>
      </c>
      <c r="N425">
        <f t="shared" si="6"/>
        <v>1</v>
      </c>
    </row>
    <row r="426" spans="1:14" x14ac:dyDescent="0.35">
      <c r="A426" s="125" t="s">
        <v>34</v>
      </c>
      <c r="D426" s="127" t="s">
        <v>41</v>
      </c>
      <c r="E426">
        <v>2008</v>
      </c>
      <c r="F426" s="125">
        <v>3</v>
      </c>
      <c r="G426" s="128">
        <v>1</v>
      </c>
      <c r="H426" s="128">
        <v>6</v>
      </c>
      <c r="I426" s="125">
        <v>41</v>
      </c>
      <c r="J426" s="125">
        <v>7</v>
      </c>
      <c r="K426" s="13">
        <v>45555</v>
      </c>
      <c r="L426" s="125">
        <v>47</v>
      </c>
      <c r="M426" s="130">
        <v>47</v>
      </c>
      <c r="N426">
        <f t="shared" si="6"/>
        <v>1</v>
      </c>
    </row>
    <row r="427" spans="1:14" x14ac:dyDescent="0.35">
      <c r="A427" s="125" t="s">
        <v>34</v>
      </c>
      <c r="D427" s="127" t="s">
        <v>36</v>
      </c>
      <c r="E427">
        <v>1984</v>
      </c>
      <c r="F427" s="125">
        <v>3</v>
      </c>
      <c r="G427" s="128">
        <v>2</v>
      </c>
      <c r="H427" s="128">
        <v>6</v>
      </c>
      <c r="I427" s="125">
        <v>42</v>
      </c>
      <c r="J427" s="125">
        <v>7</v>
      </c>
      <c r="K427" s="13">
        <v>45555</v>
      </c>
      <c r="L427" s="125">
        <v>37</v>
      </c>
      <c r="M427" s="130">
        <v>37</v>
      </c>
      <c r="N427">
        <f t="shared" si="6"/>
        <v>1</v>
      </c>
    </row>
    <row r="428" spans="1:14" x14ac:dyDescent="0.35">
      <c r="A428" s="125" t="s">
        <v>34</v>
      </c>
      <c r="D428" s="127" t="s">
        <v>37</v>
      </c>
      <c r="E428">
        <v>1989</v>
      </c>
      <c r="F428" s="125">
        <v>3</v>
      </c>
      <c r="G428" s="128">
        <v>3</v>
      </c>
      <c r="H428" s="128">
        <v>6</v>
      </c>
      <c r="I428" s="125">
        <v>43</v>
      </c>
      <c r="J428" s="125">
        <v>7</v>
      </c>
      <c r="K428" s="13">
        <v>45555</v>
      </c>
      <c r="L428" s="125">
        <v>46</v>
      </c>
      <c r="M428" s="130">
        <v>46</v>
      </c>
      <c r="N428">
        <f t="shared" si="6"/>
        <v>1</v>
      </c>
    </row>
    <row r="429" spans="1:14" x14ac:dyDescent="0.35">
      <c r="A429" s="125" t="s">
        <v>34</v>
      </c>
      <c r="D429" s="127" t="s">
        <v>42</v>
      </c>
      <c r="E429">
        <v>2016</v>
      </c>
      <c r="F429" s="125">
        <v>3</v>
      </c>
      <c r="G429" s="128">
        <v>4</v>
      </c>
      <c r="H429" s="128">
        <v>6</v>
      </c>
      <c r="I429" s="125">
        <v>44</v>
      </c>
      <c r="J429" s="125">
        <v>7</v>
      </c>
      <c r="K429" s="13">
        <v>45555</v>
      </c>
      <c r="L429" s="125">
        <v>44</v>
      </c>
      <c r="M429" s="130">
        <v>44</v>
      </c>
      <c r="N429">
        <f t="shared" si="6"/>
        <v>1</v>
      </c>
    </row>
    <row r="430" spans="1:14" x14ac:dyDescent="0.35">
      <c r="A430" s="125" t="s">
        <v>34</v>
      </c>
      <c r="D430" s="127" t="s">
        <v>43</v>
      </c>
      <c r="E430">
        <v>2020</v>
      </c>
      <c r="F430" s="125">
        <v>3</v>
      </c>
      <c r="G430" s="128">
        <v>5</v>
      </c>
      <c r="H430" s="128">
        <v>6</v>
      </c>
      <c r="I430" s="125">
        <v>45</v>
      </c>
      <c r="J430" s="125">
        <v>7</v>
      </c>
      <c r="K430" s="13">
        <v>45555</v>
      </c>
      <c r="L430" s="125">
        <v>48</v>
      </c>
      <c r="M430" s="130">
        <v>48</v>
      </c>
      <c r="N430">
        <f t="shared" si="6"/>
        <v>1</v>
      </c>
    </row>
    <row r="431" spans="1:14" x14ac:dyDescent="0.35">
      <c r="A431" s="125" t="s">
        <v>34</v>
      </c>
      <c r="D431" s="127" t="s">
        <v>39</v>
      </c>
      <c r="E431">
        <v>2001</v>
      </c>
      <c r="F431" s="125">
        <v>3</v>
      </c>
      <c r="G431" s="128">
        <v>6</v>
      </c>
      <c r="H431" s="128">
        <v>6</v>
      </c>
      <c r="I431" s="125">
        <v>46</v>
      </c>
      <c r="J431" s="125">
        <v>7</v>
      </c>
      <c r="K431" s="13">
        <v>45555</v>
      </c>
      <c r="L431" s="125">
        <v>58</v>
      </c>
      <c r="M431" s="130">
        <v>58</v>
      </c>
      <c r="N431">
        <f t="shared" si="6"/>
        <v>1</v>
      </c>
    </row>
    <row r="432" spans="1:14" x14ac:dyDescent="0.35">
      <c r="A432" s="125" t="s">
        <v>34</v>
      </c>
      <c r="D432" s="127" t="s">
        <v>38</v>
      </c>
      <c r="E432">
        <v>1999</v>
      </c>
      <c r="F432" s="125">
        <v>3</v>
      </c>
      <c r="G432" s="128">
        <v>7</v>
      </c>
      <c r="H432" s="128">
        <v>6</v>
      </c>
      <c r="I432" s="125">
        <v>47</v>
      </c>
      <c r="J432" s="125">
        <v>7</v>
      </c>
      <c r="K432" s="13">
        <v>45555</v>
      </c>
      <c r="L432" s="125">
        <v>57</v>
      </c>
      <c r="M432" s="130">
        <v>57</v>
      </c>
      <c r="N432">
        <f t="shared" si="6"/>
        <v>1</v>
      </c>
    </row>
    <row r="433" spans="1:14" x14ac:dyDescent="0.35">
      <c r="A433" s="125" t="s">
        <v>34</v>
      </c>
      <c r="D433" s="127" t="s">
        <v>343</v>
      </c>
      <c r="E433">
        <v>2004</v>
      </c>
      <c r="F433" s="125">
        <v>3</v>
      </c>
      <c r="G433" s="128">
        <v>8</v>
      </c>
      <c r="H433" s="128">
        <v>6</v>
      </c>
      <c r="I433" s="125">
        <v>48</v>
      </c>
      <c r="J433" s="125">
        <v>7</v>
      </c>
      <c r="K433" s="13">
        <v>45555</v>
      </c>
      <c r="L433" s="125">
        <v>49</v>
      </c>
      <c r="M433" s="130">
        <v>49</v>
      </c>
      <c r="N433">
        <f t="shared" si="6"/>
        <v>1</v>
      </c>
    </row>
    <row r="434" spans="1:14" x14ac:dyDescent="0.35">
      <c r="A434" s="125" t="s">
        <v>24</v>
      </c>
      <c r="B434" s="79"/>
      <c r="C434" s="79"/>
      <c r="D434" s="126" t="s">
        <v>32</v>
      </c>
      <c r="E434">
        <v>2018</v>
      </c>
      <c r="F434" s="125">
        <v>4</v>
      </c>
      <c r="G434" s="128">
        <v>1</v>
      </c>
      <c r="H434" s="128">
        <v>7</v>
      </c>
      <c r="I434" s="125">
        <v>49</v>
      </c>
      <c r="J434" s="125">
        <v>7</v>
      </c>
      <c r="K434" s="13">
        <v>45555</v>
      </c>
      <c r="L434" s="125">
        <v>50</v>
      </c>
      <c r="M434" s="130">
        <v>50</v>
      </c>
      <c r="N434">
        <f t="shared" si="6"/>
        <v>1</v>
      </c>
    </row>
    <row r="435" spans="1:14" x14ac:dyDescent="0.35">
      <c r="A435" s="125" t="s">
        <v>24</v>
      </c>
      <c r="B435" s="79"/>
      <c r="C435" s="79"/>
      <c r="D435" s="126" t="s">
        <v>29</v>
      </c>
      <c r="E435">
        <v>1999</v>
      </c>
      <c r="F435" s="125">
        <v>4</v>
      </c>
      <c r="G435" s="128">
        <v>2</v>
      </c>
      <c r="H435" s="128">
        <v>7</v>
      </c>
      <c r="I435" s="125">
        <v>50</v>
      </c>
      <c r="J435" s="125">
        <v>7</v>
      </c>
      <c r="K435" s="13">
        <v>45555</v>
      </c>
      <c r="L435" s="125">
        <v>66</v>
      </c>
      <c r="M435" s="130">
        <v>66</v>
      </c>
      <c r="N435">
        <f t="shared" si="6"/>
        <v>1</v>
      </c>
    </row>
    <row r="436" spans="1:14" x14ac:dyDescent="0.35">
      <c r="A436" s="125" t="s">
        <v>24</v>
      </c>
      <c r="B436" s="79"/>
      <c r="C436" s="79"/>
      <c r="D436" s="126" t="s">
        <v>337</v>
      </c>
      <c r="E436">
        <v>2016</v>
      </c>
      <c r="F436" s="125">
        <v>4</v>
      </c>
      <c r="G436" s="128">
        <v>3</v>
      </c>
      <c r="H436" s="128">
        <v>7</v>
      </c>
      <c r="I436" s="125">
        <v>51</v>
      </c>
      <c r="J436" s="125">
        <v>7</v>
      </c>
      <c r="K436" s="13">
        <v>45555</v>
      </c>
      <c r="L436" s="125">
        <v>60</v>
      </c>
      <c r="M436" s="130">
        <v>60</v>
      </c>
      <c r="N436">
        <f t="shared" si="6"/>
        <v>1</v>
      </c>
    </row>
    <row r="437" spans="1:14" x14ac:dyDescent="0.35">
      <c r="A437" s="125" t="s">
        <v>24</v>
      </c>
      <c r="B437" s="79"/>
      <c r="C437" s="79"/>
      <c r="D437" s="126" t="s">
        <v>27</v>
      </c>
      <c r="E437">
        <v>1985</v>
      </c>
      <c r="F437" s="125">
        <v>4</v>
      </c>
      <c r="G437" s="128">
        <v>4</v>
      </c>
      <c r="H437" s="128">
        <v>7</v>
      </c>
      <c r="I437" s="125">
        <v>52</v>
      </c>
      <c r="J437" s="125">
        <v>7</v>
      </c>
      <c r="K437" s="13">
        <v>45555</v>
      </c>
      <c r="L437" s="125">
        <v>77</v>
      </c>
      <c r="M437" s="130">
        <v>77</v>
      </c>
      <c r="N437">
        <f t="shared" si="6"/>
        <v>1</v>
      </c>
    </row>
    <row r="438" spans="1:14" x14ac:dyDescent="0.35">
      <c r="A438" s="125" t="s">
        <v>24</v>
      </c>
      <c r="B438" s="79"/>
      <c r="C438" s="79"/>
      <c r="D438" s="126" t="s">
        <v>28</v>
      </c>
      <c r="E438">
        <v>1998</v>
      </c>
      <c r="F438" s="125">
        <v>4</v>
      </c>
      <c r="G438" s="128">
        <v>5</v>
      </c>
      <c r="H438" s="128">
        <v>7</v>
      </c>
      <c r="I438" s="125">
        <v>53</v>
      </c>
      <c r="J438" s="125">
        <v>7</v>
      </c>
      <c r="K438" s="13">
        <v>45555</v>
      </c>
      <c r="L438" s="125">
        <v>64</v>
      </c>
      <c r="M438" s="130">
        <v>64</v>
      </c>
      <c r="N438">
        <f t="shared" si="6"/>
        <v>1</v>
      </c>
    </row>
    <row r="439" spans="1:14" x14ac:dyDescent="0.35">
      <c r="A439" s="125" t="s">
        <v>24</v>
      </c>
      <c r="B439" s="79"/>
      <c r="C439" s="79"/>
      <c r="D439" s="126" t="s">
        <v>26</v>
      </c>
      <c r="E439">
        <v>1983</v>
      </c>
      <c r="F439" s="125">
        <v>4</v>
      </c>
      <c r="G439" s="128">
        <v>6</v>
      </c>
      <c r="H439" s="128">
        <v>7</v>
      </c>
      <c r="I439" s="125">
        <v>54</v>
      </c>
      <c r="J439" s="125">
        <v>7</v>
      </c>
      <c r="K439" s="13">
        <v>45555</v>
      </c>
      <c r="L439" s="125">
        <v>74</v>
      </c>
      <c r="M439" s="130">
        <v>74</v>
      </c>
      <c r="N439">
        <f t="shared" si="6"/>
        <v>1</v>
      </c>
    </row>
    <row r="440" spans="1:14" x14ac:dyDescent="0.35">
      <c r="A440" s="125" t="s">
        <v>24</v>
      </c>
      <c r="B440" s="79"/>
      <c r="C440" s="79"/>
      <c r="D440" s="126" t="s">
        <v>335</v>
      </c>
      <c r="E440">
        <v>2023</v>
      </c>
      <c r="F440" s="125">
        <v>4</v>
      </c>
      <c r="G440" s="128">
        <v>7</v>
      </c>
      <c r="H440" s="128">
        <v>7</v>
      </c>
      <c r="I440" s="125">
        <v>55</v>
      </c>
      <c r="J440" s="125">
        <v>7</v>
      </c>
      <c r="K440" s="13">
        <v>45555</v>
      </c>
      <c r="L440" s="125">
        <v>59</v>
      </c>
      <c r="M440" s="130">
        <v>59</v>
      </c>
      <c r="N440">
        <f t="shared" si="6"/>
        <v>1</v>
      </c>
    </row>
    <row r="441" spans="1:14" x14ac:dyDescent="0.35">
      <c r="A441" s="125" t="s">
        <v>24</v>
      </c>
      <c r="B441" s="79"/>
      <c r="C441" s="79"/>
      <c r="D441" s="126" t="s">
        <v>336</v>
      </c>
      <c r="E441">
        <v>2002</v>
      </c>
      <c r="F441" s="125">
        <v>4</v>
      </c>
      <c r="G441" s="128">
        <v>8</v>
      </c>
      <c r="H441" s="128">
        <v>7</v>
      </c>
      <c r="I441" s="125">
        <v>56</v>
      </c>
      <c r="J441" s="125">
        <v>7</v>
      </c>
      <c r="K441" s="13">
        <v>45555</v>
      </c>
      <c r="L441" s="125">
        <v>60</v>
      </c>
      <c r="M441" s="130">
        <v>60</v>
      </c>
      <c r="N441">
        <f t="shared" si="6"/>
        <v>1</v>
      </c>
    </row>
    <row r="442" spans="1:14" x14ac:dyDescent="0.35">
      <c r="A442" s="125" t="s">
        <v>34</v>
      </c>
      <c r="D442" s="127" t="s">
        <v>39</v>
      </c>
      <c r="E442">
        <v>2001</v>
      </c>
      <c r="F442" s="125">
        <v>4</v>
      </c>
      <c r="G442" s="128">
        <v>1</v>
      </c>
      <c r="H442" s="128">
        <v>8</v>
      </c>
      <c r="I442" s="125">
        <v>57</v>
      </c>
      <c r="J442" s="125">
        <v>7</v>
      </c>
      <c r="K442" s="13">
        <v>45555</v>
      </c>
      <c r="L442" s="125">
        <v>48</v>
      </c>
      <c r="M442" s="130">
        <v>48</v>
      </c>
      <c r="N442">
        <f t="shared" si="6"/>
        <v>1</v>
      </c>
    </row>
    <row r="443" spans="1:14" x14ac:dyDescent="0.35">
      <c r="A443" s="125" t="s">
        <v>34</v>
      </c>
      <c r="D443" s="127" t="s">
        <v>37</v>
      </c>
      <c r="E443">
        <v>1989</v>
      </c>
      <c r="F443" s="125">
        <v>4</v>
      </c>
      <c r="G443" s="128">
        <v>2</v>
      </c>
      <c r="H443" s="128">
        <v>8</v>
      </c>
      <c r="I443" s="125">
        <v>58</v>
      </c>
      <c r="J443" s="125">
        <v>7</v>
      </c>
      <c r="K443" s="13">
        <v>45555</v>
      </c>
      <c r="L443" s="125">
        <v>67</v>
      </c>
      <c r="M443" s="130">
        <v>67</v>
      </c>
      <c r="N443">
        <f t="shared" si="6"/>
        <v>1</v>
      </c>
    </row>
    <row r="444" spans="1:14" x14ac:dyDescent="0.35">
      <c r="A444" s="125" t="s">
        <v>34</v>
      </c>
      <c r="D444" s="127" t="s">
        <v>36</v>
      </c>
      <c r="E444">
        <v>1984</v>
      </c>
      <c r="F444" s="125">
        <v>4</v>
      </c>
      <c r="G444" s="128">
        <v>3</v>
      </c>
      <c r="H444" s="128">
        <v>8</v>
      </c>
      <c r="I444" s="125">
        <v>59</v>
      </c>
      <c r="J444" s="125">
        <v>7</v>
      </c>
      <c r="K444" s="13">
        <v>45555</v>
      </c>
      <c r="L444" s="125">
        <v>52</v>
      </c>
      <c r="M444" s="130">
        <v>52</v>
      </c>
      <c r="N444">
        <f t="shared" si="6"/>
        <v>1</v>
      </c>
    </row>
    <row r="445" spans="1:14" x14ac:dyDescent="0.35">
      <c r="A445" s="125" t="s">
        <v>34</v>
      </c>
      <c r="D445" s="127" t="s">
        <v>343</v>
      </c>
      <c r="E445">
        <v>2004</v>
      </c>
      <c r="F445" s="125">
        <v>4</v>
      </c>
      <c r="G445" s="128">
        <v>4</v>
      </c>
      <c r="H445" s="128">
        <v>8</v>
      </c>
      <c r="I445" s="125">
        <v>60</v>
      </c>
      <c r="J445" s="125">
        <v>7</v>
      </c>
      <c r="K445" s="13">
        <v>45555</v>
      </c>
      <c r="L445" s="125">
        <v>55</v>
      </c>
      <c r="M445" s="130">
        <v>55</v>
      </c>
      <c r="N445">
        <f t="shared" si="6"/>
        <v>1</v>
      </c>
    </row>
    <row r="446" spans="1:14" x14ac:dyDescent="0.35">
      <c r="A446" s="125" t="s">
        <v>34</v>
      </c>
      <c r="D446" s="127" t="s">
        <v>41</v>
      </c>
      <c r="E446">
        <v>2008</v>
      </c>
      <c r="F446" s="125">
        <v>4</v>
      </c>
      <c r="G446" s="128">
        <v>5</v>
      </c>
      <c r="H446" s="128">
        <v>8</v>
      </c>
      <c r="I446" s="125">
        <v>61</v>
      </c>
      <c r="J446" s="125">
        <v>7</v>
      </c>
      <c r="K446" s="13">
        <v>45555</v>
      </c>
      <c r="L446" s="125">
        <v>40</v>
      </c>
      <c r="M446" s="130">
        <v>40</v>
      </c>
      <c r="N446">
        <f t="shared" si="6"/>
        <v>1</v>
      </c>
    </row>
    <row r="447" spans="1:14" x14ac:dyDescent="0.35">
      <c r="A447" s="125" t="s">
        <v>34</v>
      </c>
      <c r="D447" s="127" t="s">
        <v>38</v>
      </c>
      <c r="E447">
        <v>1999</v>
      </c>
      <c r="F447" s="125">
        <v>4</v>
      </c>
      <c r="G447" s="128">
        <v>6</v>
      </c>
      <c r="H447" s="128">
        <v>8</v>
      </c>
      <c r="I447" s="125">
        <v>62</v>
      </c>
      <c r="J447" s="125">
        <v>7</v>
      </c>
      <c r="K447" s="13">
        <v>45555</v>
      </c>
      <c r="L447" s="125">
        <v>54</v>
      </c>
      <c r="M447" s="130">
        <v>54</v>
      </c>
      <c r="N447">
        <f t="shared" si="6"/>
        <v>1</v>
      </c>
    </row>
    <row r="448" spans="1:14" x14ac:dyDescent="0.35">
      <c r="A448" s="125" t="s">
        <v>34</v>
      </c>
      <c r="D448" s="127" t="s">
        <v>42</v>
      </c>
      <c r="E448">
        <v>2016</v>
      </c>
      <c r="F448" s="125">
        <v>4</v>
      </c>
      <c r="G448" s="128">
        <v>7</v>
      </c>
      <c r="H448" s="128">
        <v>8</v>
      </c>
      <c r="I448" s="125">
        <v>63</v>
      </c>
      <c r="J448" s="125">
        <v>7</v>
      </c>
      <c r="K448" s="13">
        <v>45555</v>
      </c>
      <c r="L448" s="125">
        <v>42</v>
      </c>
      <c r="M448" s="130">
        <v>42</v>
      </c>
      <c r="N448">
        <f t="shared" si="6"/>
        <v>1</v>
      </c>
    </row>
    <row r="449" spans="1:14" x14ac:dyDescent="0.35">
      <c r="A449" s="125" t="s">
        <v>34</v>
      </c>
      <c r="D449" s="127" t="s">
        <v>43</v>
      </c>
      <c r="E449">
        <v>2020</v>
      </c>
      <c r="F449" s="125">
        <v>4</v>
      </c>
      <c r="G449" s="128">
        <v>8</v>
      </c>
      <c r="H449" s="128">
        <v>8</v>
      </c>
      <c r="I449" s="125">
        <v>64</v>
      </c>
      <c r="J449" s="125">
        <v>7</v>
      </c>
      <c r="K449" s="13">
        <v>45555</v>
      </c>
      <c r="L449" s="125">
        <v>38</v>
      </c>
      <c r="M449" s="130">
        <v>38</v>
      </c>
      <c r="N449">
        <f t="shared" si="6"/>
        <v>1</v>
      </c>
    </row>
    <row r="450" spans="1:14" x14ac:dyDescent="0.35">
      <c r="J450" s="6"/>
    </row>
    <row r="451" spans="1:14" x14ac:dyDescent="0.35">
      <c r="J451" s="6"/>
    </row>
    <row r="452" spans="1:14" x14ac:dyDescent="0.35">
      <c r="J452" s="6"/>
    </row>
    <row r="453" spans="1:14" x14ac:dyDescent="0.35">
      <c r="J453" s="6"/>
    </row>
    <row r="454" spans="1:14" x14ac:dyDescent="0.35">
      <c r="J454" s="6"/>
    </row>
    <row r="455" spans="1:14" x14ac:dyDescent="0.35">
      <c r="J455" s="6"/>
    </row>
    <row r="456" spans="1:14" x14ac:dyDescent="0.35">
      <c r="J456" s="6"/>
    </row>
    <row r="457" spans="1:14" x14ac:dyDescent="0.35">
      <c r="J457" s="6"/>
    </row>
    <row r="458" spans="1:14" x14ac:dyDescent="0.35">
      <c r="J458" s="6"/>
    </row>
    <row r="459" spans="1:14" x14ac:dyDescent="0.35">
      <c r="J459" s="6"/>
    </row>
    <row r="460" spans="1:14" x14ac:dyDescent="0.35">
      <c r="J460" s="6"/>
    </row>
    <row r="461" spans="1:14" x14ac:dyDescent="0.35">
      <c r="J461" s="6"/>
    </row>
    <row r="462" spans="1:14" x14ac:dyDescent="0.35">
      <c r="J462" s="6"/>
    </row>
    <row r="463" spans="1:14" x14ac:dyDescent="0.35">
      <c r="J463" s="6"/>
    </row>
    <row r="464" spans="1:14" x14ac:dyDescent="0.35">
      <c r="J464" s="6"/>
    </row>
    <row r="465" spans="1:10" x14ac:dyDescent="0.35">
      <c r="J465" s="6"/>
    </row>
    <row r="466" spans="1:10" x14ac:dyDescent="0.35">
      <c r="J466" s="6"/>
    </row>
    <row r="467" spans="1:10" x14ac:dyDescent="0.35">
      <c r="J467" s="6"/>
    </row>
    <row r="468" spans="1:10" x14ac:dyDescent="0.35">
      <c r="J468" s="6"/>
    </row>
    <row r="469" spans="1:10" x14ac:dyDescent="0.35">
      <c r="J469" s="6"/>
    </row>
    <row r="470" spans="1:10" x14ac:dyDescent="0.35">
      <c r="J470" s="6"/>
    </row>
    <row r="471" spans="1:10" x14ac:dyDescent="0.35">
      <c r="J471" s="6"/>
    </row>
    <row r="472" spans="1:10" x14ac:dyDescent="0.35">
      <c r="J472" s="6"/>
    </row>
    <row r="473" spans="1:10" x14ac:dyDescent="0.35">
      <c r="F473" s="72"/>
      <c r="G473" s="72"/>
      <c r="H473" s="72"/>
      <c r="J473" s="6"/>
    </row>
    <row r="474" spans="1:10" x14ac:dyDescent="0.35">
      <c r="A474" s="71"/>
      <c r="B474" s="71"/>
      <c r="C474" s="72"/>
      <c r="D474" s="71"/>
      <c r="E474" s="71"/>
      <c r="I474" s="72"/>
      <c r="J474" s="6"/>
    </row>
    <row r="475" spans="1:10" x14ac:dyDescent="0.35">
      <c r="J475" s="6"/>
    </row>
    <row r="476" spans="1:10" x14ac:dyDescent="0.35">
      <c r="J476" s="6"/>
    </row>
    <row r="477" spans="1:10" x14ac:dyDescent="0.35">
      <c r="J477" s="6"/>
    </row>
    <row r="478" spans="1:10" x14ac:dyDescent="0.35">
      <c r="J478" s="6"/>
    </row>
    <row r="479" spans="1:10" x14ac:dyDescent="0.35">
      <c r="J479" s="6"/>
    </row>
    <row r="480" spans="1:10" x14ac:dyDescent="0.35">
      <c r="J480" s="6"/>
    </row>
    <row r="481" spans="10:10" x14ac:dyDescent="0.35">
      <c r="J481" s="6"/>
    </row>
    <row r="482" spans="10:10" x14ac:dyDescent="0.35">
      <c r="J482" s="6"/>
    </row>
    <row r="483" spans="10:10" x14ac:dyDescent="0.35">
      <c r="J483" s="6"/>
    </row>
    <row r="484" spans="10:10" x14ac:dyDescent="0.35">
      <c r="J484" s="6"/>
    </row>
    <row r="485" spans="10:10" x14ac:dyDescent="0.35">
      <c r="J485" s="6"/>
    </row>
    <row r="486" spans="10:10" x14ac:dyDescent="0.35">
      <c r="J486" s="6"/>
    </row>
    <row r="487" spans="10:10" x14ac:dyDescent="0.35">
      <c r="J487" s="6"/>
    </row>
    <row r="488" spans="10:10" x14ac:dyDescent="0.35">
      <c r="J488" s="6"/>
    </row>
    <row r="489" spans="10:10" x14ac:dyDescent="0.35">
      <c r="J489" s="6"/>
    </row>
    <row r="490" spans="10:10" x14ac:dyDescent="0.35">
      <c r="J490" s="6"/>
    </row>
    <row r="491" spans="10:10" x14ac:dyDescent="0.35">
      <c r="J491" s="6"/>
    </row>
    <row r="492" spans="10:10" x14ac:dyDescent="0.35">
      <c r="J492" s="6"/>
    </row>
    <row r="493" spans="10:10" x14ac:dyDescent="0.35">
      <c r="J493" s="6"/>
    </row>
    <row r="494" spans="10:10" x14ac:dyDescent="0.35">
      <c r="J494" s="6"/>
    </row>
    <row r="495" spans="10:10" x14ac:dyDescent="0.35">
      <c r="J495" s="6"/>
    </row>
    <row r="496" spans="10:10" x14ac:dyDescent="0.35">
      <c r="J496" s="6"/>
    </row>
    <row r="497" spans="10:10" x14ac:dyDescent="0.35">
      <c r="J497" s="6"/>
    </row>
    <row r="498" spans="10:10" x14ac:dyDescent="0.35">
      <c r="J498" s="6"/>
    </row>
    <row r="499" spans="10:10" x14ac:dyDescent="0.35">
      <c r="J499" s="6"/>
    </row>
    <row r="500" spans="10:10" x14ac:dyDescent="0.35">
      <c r="J500" s="6"/>
    </row>
    <row r="501" spans="10:10" x14ac:dyDescent="0.35">
      <c r="J501" s="6"/>
    </row>
    <row r="502" spans="10:10" x14ac:dyDescent="0.35">
      <c r="J502" s="6"/>
    </row>
    <row r="503" spans="10:10" x14ac:dyDescent="0.35">
      <c r="J503" s="6"/>
    </row>
    <row r="504" spans="10:10" x14ac:dyDescent="0.35">
      <c r="J504" s="6"/>
    </row>
    <row r="505" spans="10:10" x14ac:dyDescent="0.35">
      <c r="J505" s="6"/>
    </row>
    <row r="506" spans="10:10" x14ac:dyDescent="0.35">
      <c r="J506" s="6"/>
    </row>
    <row r="507" spans="10:10" x14ac:dyDescent="0.35">
      <c r="J507" s="6"/>
    </row>
    <row r="508" spans="10:10" x14ac:dyDescent="0.35">
      <c r="J508" s="6"/>
    </row>
    <row r="509" spans="10:10" x14ac:dyDescent="0.35">
      <c r="J509" s="6"/>
    </row>
    <row r="510" spans="10:10" x14ac:dyDescent="0.35">
      <c r="J510" s="6"/>
    </row>
    <row r="511" spans="10:10" x14ac:dyDescent="0.35">
      <c r="J511" s="6"/>
    </row>
    <row r="512" spans="10:10" x14ac:dyDescent="0.35">
      <c r="J512" s="6"/>
    </row>
    <row r="513" spans="10:10" x14ac:dyDescent="0.35">
      <c r="J513" s="6"/>
    </row>
    <row r="514" spans="10:10" x14ac:dyDescent="0.35">
      <c r="J514" s="6"/>
    </row>
    <row r="515" spans="10:10" x14ac:dyDescent="0.35">
      <c r="J515" s="6"/>
    </row>
    <row r="516" spans="10:10" x14ac:dyDescent="0.35">
      <c r="J516" s="6"/>
    </row>
    <row r="517" spans="10:10" x14ac:dyDescent="0.35">
      <c r="J517" s="6"/>
    </row>
    <row r="518" spans="10:10" x14ac:dyDescent="0.35">
      <c r="J518" s="6"/>
    </row>
    <row r="519" spans="10:10" x14ac:dyDescent="0.35">
      <c r="J519" s="6"/>
    </row>
    <row r="520" spans="10:10" x14ac:dyDescent="0.35">
      <c r="J520" s="6"/>
    </row>
    <row r="521" spans="10:10" x14ac:dyDescent="0.35">
      <c r="J521" s="6"/>
    </row>
    <row r="522" spans="10:10" x14ac:dyDescent="0.35">
      <c r="J522" s="6"/>
    </row>
    <row r="523" spans="10:10" x14ac:dyDescent="0.35">
      <c r="J523" s="6"/>
    </row>
    <row r="524" spans="10:10" x14ac:dyDescent="0.35">
      <c r="J524" s="6"/>
    </row>
    <row r="525" spans="10:10" x14ac:dyDescent="0.35">
      <c r="J525" s="6"/>
    </row>
    <row r="526" spans="10:10" x14ac:dyDescent="0.35">
      <c r="J526" s="6"/>
    </row>
    <row r="527" spans="10:10" x14ac:dyDescent="0.35">
      <c r="J527" s="6"/>
    </row>
    <row r="528" spans="10:10" x14ac:dyDescent="0.35">
      <c r="J528" s="6"/>
    </row>
    <row r="529" spans="1:10" x14ac:dyDescent="0.35">
      <c r="J529" s="6"/>
    </row>
    <row r="530" spans="1:10" x14ac:dyDescent="0.35">
      <c r="J530" s="6"/>
    </row>
    <row r="531" spans="1:10" x14ac:dyDescent="0.35">
      <c r="J531" s="6"/>
    </row>
    <row r="532" spans="1:10" x14ac:dyDescent="0.35">
      <c r="J532" s="6"/>
    </row>
    <row r="533" spans="1:10" x14ac:dyDescent="0.35">
      <c r="J533" s="6"/>
    </row>
    <row r="534" spans="1:10" x14ac:dyDescent="0.35">
      <c r="J534" s="6"/>
    </row>
    <row r="535" spans="1:10" x14ac:dyDescent="0.35">
      <c r="J535" s="6"/>
    </row>
    <row r="536" spans="1:10" x14ac:dyDescent="0.35">
      <c r="J536" s="6"/>
    </row>
    <row r="537" spans="1:10" x14ac:dyDescent="0.35">
      <c r="F537" s="72"/>
      <c r="G537" s="72"/>
      <c r="H537" s="72"/>
      <c r="J537" s="6"/>
    </row>
    <row r="538" spans="1:10" x14ac:dyDescent="0.35">
      <c r="A538" s="71"/>
      <c r="B538" s="71"/>
      <c r="C538" s="72"/>
      <c r="D538" s="71"/>
      <c r="E538" s="71"/>
      <c r="I538" s="72"/>
      <c r="J538" s="6"/>
    </row>
    <row r="539" spans="1:10" x14ac:dyDescent="0.35">
      <c r="J539" s="6"/>
    </row>
    <row r="540" spans="1:10" x14ac:dyDescent="0.35">
      <c r="J540" s="6"/>
    </row>
    <row r="541" spans="1:10" x14ac:dyDescent="0.35">
      <c r="J541" s="6"/>
    </row>
    <row r="542" spans="1:10" x14ac:dyDescent="0.35">
      <c r="J542" s="6"/>
    </row>
    <row r="543" spans="1:10" x14ac:dyDescent="0.35">
      <c r="J543" s="6"/>
    </row>
    <row r="544" spans="1:10" x14ac:dyDescent="0.35">
      <c r="J544" s="6"/>
    </row>
    <row r="545" spans="10:10" x14ac:dyDescent="0.35">
      <c r="J545" s="6"/>
    </row>
    <row r="546" spans="10:10" x14ac:dyDescent="0.35">
      <c r="J546" s="6"/>
    </row>
    <row r="547" spans="10:10" x14ac:dyDescent="0.35">
      <c r="J547" s="6"/>
    </row>
    <row r="548" spans="10:10" x14ac:dyDescent="0.35">
      <c r="J548" s="6"/>
    </row>
    <row r="549" spans="10:10" x14ac:dyDescent="0.35">
      <c r="J549" s="6"/>
    </row>
    <row r="550" spans="10:10" x14ac:dyDescent="0.35">
      <c r="J550" s="6"/>
    </row>
    <row r="551" spans="10:10" x14ac:dyDescent="0.35">
      <c r="J551" s="6"/>
    </row>
    <row r="552" spans="10:10" x14ac:dyDescent="0.35">
      <c r="J552" s="6"/>
    </row>
    <row r="553" spans="10:10" x14ac:dyDescent="0.35">
      <c r="J553" s="6"/>
    </row>
    <row r="554" spans="10:10" x14ac:dyDescent="0.35">
      <c r="J554" s="6"/>
    </row>
    <row r="555" spans="10:10" x14ac:dyDescent="0.35">
      <c r="J555" s="6"/>
    </row>
    <row r="556" spans="10:10" x14ac:dyDescent="0.35">
      <c r="J556" s="6"/>
    </row>
    <row r="557" spans="10:10" x14ac:dyDescent="0.35">
      <c r="J557" s="6"/>
    </row>
    <row r="558" spans="10:10" x14ac:dyDescent="0.35">
      <c r="J558" s="6"/>
    </row>
    <row r="559" spans="10:10" x14ac:dyDescent="0.35">
      <c r="J559" s="6"/>
    </row>
    <row r="560" spans="10:10" x14ac:dyDescent="0.35">
      <c r="J560" s="6"/>
    </row>
    <row r="561" spans="10:10" x14ac:dyDescent="0.35">
      <c r="J561" s="6"/>
    </row>
    <row r="562" spans="10:10" x14ac:dyDescent="0.35">
      <c r="J562" s="6"/>
    </row>
    <row r="563" spans="10:10" x14ac:dyDescent="0.35">
      <c r="J563" s="6"/>
    </row>
    <row r="564" spans="10:10" x14ac:dyDescent="0.35">
      <c r="J564" s="6"/>
    </row>
    <row r="565" spans="10:10" x14ac:dyDescent="0.35">
      <c r="J565" s="6"/>
    </row>
    <row r="566" spans="10:10" x14ac:dyDescent="0.35">
      <c r="J566" s="6"/>
    </row>
    <row r="567" spans="10:10" x14ac:dyDescent="0.35">
      <c r="J567" s="6"/>
    </row>
    <row r="568" spans="10:10" x14ac:dyDescent="0.35">
      <c r="J568" s="6"/>
    </row>
    <row r="569" spans="10:10" x14ac:dyDescent="0.35">
      <c r="J569" s="6"/>
    </row>
    <row r="570" spans="10:10" x14ac:dyDescent="0.35">
      <c r="J570" s="6"/>
    </row>
    <row r="571" spans="10:10" x14ac:dyDescent="0.35">
      <c r="J571" s="6"/>
    </row>
    <row r="572" spans="10:10" x14ac:dyDescent="0.35">
      <c r="J572" s="6"/>
    </row>
    <row r="573" spans="10:10" x14ac:dyDescent="0.35">
      <c r="J573" s="6"/>
    </row>
    <row r="574" spans="10:10" x14ac:dyDescent="0.35">
      <c r="J574" s="6"/>
    </row>
    <row r="575" spans="10:10" x14ac:dyDescent="0.35">
      <c r="J575" s="6"/>
    </row>
    <row r="576" spans="10:10" x14ac:dyDescent="0.35">
      <c r="J576" s="6"/>
    </row>
    <row r="577" spans="10:10" x14ac:dyDescent="0.35">
      <c r="J577" s="6"/>
    </row>
  </sheetData>
  <phoneticPr fontId="6"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DD8BD-07D0-40F7-A621-6E302522AB66}">
  <sheetPr>
    <tabColor theme="9" tint="0.59999389629810485"/>
  </sheetPr>
  <dimension ref="A1:EH538"/>
  <sheetViews>
    <sheetView topLeftCell="AZ1" zoomScale="90" zoomScaleNormal="90" workbookViewId="0">
      <pane ySplit="1" topLeftCell="A2" activePane="bottomLeft" state="frozen"/>
      <selection activeCell="AF1" sqref="AF1"/>
      <selection pane="bottomLeft" activeCell="BG1" sqref="BG1"/>
    </sheetView>
  </sheetViews>
  <sheetFormatPr defaultRowHeight="14.5" x14ac:dyDescent="0.35"/>
  <cols>
    <col min="1" max="9" width="9.1796875" style="6"/>
    <col min="10" max="10" width="11.54296875" style="5" customWidth="1"/>
    <col min="11" max="23" width="9.453125" style="5"/>
    <col min="24" max="24" width="9.453125" style="33"/>
    <col min="25" max="27" width="9.453125" style="5"/>
    <col min="28" max="28" width="9.453125" style="33"/>
    <col min="29" max="31" width="9.453125" style="5"/>
    <col min="32" max="32" width="9.453125" style="33"/>
    <col min="33" max="35" width="9.453125" style="5"/>
    <col min="36" max="36" width="9.453125" style="33"/>
    <col min="37" max="39" width="9.453125" style="5"/>
    <col min="40" max="40" width="9.453125" style="33"/>
    <col min="41" max="42" width="9.453125" style="5"/>
    <col min="43" max="43" width="8.54296875" style="25"/>
    <col min="44" max="45" width="9.453125" style="5"/>
    <col min="46" max="46" width="9.1796875" style="5"/>
    <col min="47" max="47" width="10.54296875" style="35" customWidth="1"/>
    <col min="48" max="48" width="10.54296875" style="137" customWidth="1"/>
    <col min="49" max="49" width="10.54296875" style="35" customWidth="1"/>
    <col min="50" max="53" width="9.453125" style="24"/>
    <col min="54" max="54" width="9.453125" style="5"/>
    <col min="55" max="55" width="9.453125" style="24"/>
    <col min="56" max="56" width="9.453125" style="5"/>
    <col min="57" max="57" width="10.54296875" style="24" customWidth="1"/>
    <col min="58" max="58" width="9.54296875" style="8" customWidth="1"/>
    <col min="59" max="59" width="9.54296875" style="42" customWidth="1"/>
    <col min="60" max="63" width="9.453125" style="24"/>
    <col min="64" max="67" width="9.453125" style="8"/>
    <col min="68" max="72" width="8.54296875" style="25"/>
    <col min="73" max="73" width="10.54296875" style="30" customWidth="1"/>
    <col min="74" max="74" width="10.453125" style="30" customWidth="1"/>
    <col min="75" max="77" width="12.453125" style="30" customWidth="1"/>
    <col min="78" max="78" width="11.7265625" customWidth="1"/>
    <col min="79" max="79" width="12.7265625" customWidth="1"/>
    <col min="80" max="80" width="9.453125" customWidth="1"/>
    <col min="81" max="81" width="8.7265625" customWidth="1"/>
    <col min="82" max="82" width="6.7265625" customWidth="1"/>
    <col min="83" max="83" width="12" customWidth="1"/>
    <col min="84" max="84" width="12.26953125" customWidth="1"/>
    <col min="85" max="85" width="10.7265625" customWidth="1"/>
    <col min="86" max="86" width="10" customWidth="1"/>
    <col min="87" max="87" width="8.453125" customWidth="1"/>
    <col min="88" max="97" width="5.54296875" bestFit="1" customWidth="1"/>
    <col min="98" max="98" width="7" bestFit="1" customWidth="1"/>
    <col min="99" max="99" width="5.26953125" customWidth="1"/>
    <col min="100" max="100" width="6.81640625" customWidth="1"/>
    <col min="101" max="101" width="9" bestFit="1" customWidth="1"/>
    <col min="102" max="102" width="11.54296875" bestFit="1" customWidth="1"/>
    <col min="103" max="103" width="11.453125" bestFit="1" customWidth="1"/>
    <col min="104" max="137" width="8.54296875" bestFit="1" customWidth="1"/>
    <col min="138" max="138" width="11" bestFit="1" customWidth="1"/>
  </cols>
  <sheetData>
    <row r="1" spans="1:87" ht="101.15" customHeight="1" x14ac:dyDescent="0.35">
      <c r="A1" s="70" t="s">
        <v>44</v>
      </c>
      <c r="B1" s="70" t="s">
        <v>45</v>
      </c>
      <c r="C1" s="70" t="s">
        <v>46</v>
      </c>
      <c r="D1" s="70" t="s">
        <v>47</v>
      </c>
      <c r="E1" s="70" t="s">
        <v>48</v>
      </c>
      <c r="F1" s="70" t="s">
        <v>49</v>
      </c>
      <c r="G1" s="70" t="s">
        <v>50</v>
      </c>
      <c r="H1" s="70" t="s">
        <v>51</v>
      </c>
      <c r="I1" s="70" t="s">
        <v>54</v>
      </c>
      <c r="J1" s="4" t="s">
        <v>156</v>
      </c>
      <c r="K1" s="4" t="s">
        <v>183</v>
      </c>
      <c r="L1" s="4" t="s">
        <v>184</v>
      </c>
      <c r="M1" s="4" t="s">
        <v>185</v>
      </c>
      <c r="N1" s="4" t="s">
        <v>186</v>
      </c>
      <c r="O1" s="4" t="s">
        <v>187</v>
      </c>
      <c r="P1" s="4" t="s">
        <v>188</v>
      </c>
      <c r="Q1" s="4" t="s">
        <v>189</v>
      </c>
      <c r="R1" s="4" t="s">
        <v>190</v>
      </c>
      <c r="S1" s="4" t="s">
        <v>191</v>
      </c>
      <c r="T1" s="4" t="s">
        <v>192</v>
      </c>
      <c r="U1" s="4" t="s">
        <v>193</v>
      </c>
      <c r="V1" s="4" t="s">
        <v>194</v>
      </c>
      <c r="W1" s="4" t="s">
        <v>195</v>
      </c>
      <c r="X1" s="4" t="s">
        <v>196</v>
      </c>
      <c r="Y1" s="4" t="s">
        <v>197</v>
      </c>
      <c r="Z1" s="4" t="s">
        <v>198</v>
      </c>
      <c r="AA1" s="4" t="s">
        <v>199</v>
      </c>
      <c r="AB1" s="4" t="s">
        <v>200</v>
      </c>
      <c r="AC1" s="4" t="s">
        <v>201</v>
      </c>
      <c r="AD1" s="4" t="s">
        <v>202</v>
      </c>
      <c r="AE1" s="4" t="s">
        <v>203</v>
      </c>
      <c r="AF1" s="4" t="s">
        <v>204</v>
      </c>
      <c r="AG1" s="4" t="s">
        <v>205</v>
      </c>
      <c r="AH1" s="4" t="s">
        <v>206</v>
      </c>
      <c r="AI1" s="4" t="s">
        <v>207</v>
      </c>
      <c r="AJ1" s="4" t="s">
        <v>208</v>
      </c>
      <c r="AK1" s="4" t="s">
        <v>209</v>
      </c>
      <c r="AL1" s="4" t="s">
        <v>210</v>
      </c>
      <c r="AM1" s="4" t="s">
        <v>211</v>
      </c>
      <c r="AN1" s="4" t="s">
        <v>163</v>
      </c>
      <c r="AO1" s="4" t="s">
        <v>212</v>
      </c>
      <c r="AP1" s="4" t="s">
        <v>213</v>
      </c>
      <c r="AQ1" s="11" t="s">
        <v>214</v>
      </c>
      <c r="AR1" s="4" t="s">
        <v>215</v>
      </c>
      <c r="AS1" s="4" t="s">
        <v>216</v>
      </c>
      <c r="AT1" s="4" t="s">
        <v>743</v>
      </c>
      <c r="AU1" s="34" t="s">
        <v>217</v>
      </c>
      <c r="AV1" s="135" t="s">
        <v>218</v>
      </c>
      <c r="AW1" s="34" t="s">
        <v>219</v>
      </c>
      <c r="AX1" s="23" t="s">
        <v>220</v>
      </c>
      <c r="AY1" s="23" t="s">
        <v>221</v>
      </c>
      <c r="AZ1" s="23" t="s">
        <v>222</v>
      </c>
      <c r="BA1" s="23" t="s">
        <v>223</v>
      </c>
      <c r="BB1" s="4" t="s">
        <v>224</v>
      </c>
      <c r="BC1" s="23" t="s">
        <v>225</v>
      </c>
      <c r="BD1" s="4" t="s">
        <v>226</v>
      </c>
      <c r="BE1" s="23" t="s">
        <v>227</v>
      </c>
      <c r="BF1" s="10" t="s">
        <v>228</v>
      </c>
      <c r="BG1" s="10" t="s">
        <v>229</v>
      </c>
      <c r="BH1" s="23" t="s">
        <v>230</v>
      </c>
      <c r="BI1" s="23" t="s">
        <v>231</v>
      </c>
      <c r="BJ1" s="23" t="s">
        <v>232</v>
      </c>
      <c r="BK1" s="23" t="s">
        <v>233</v>
      </c>
      <c r="BL1" s="10" t="s">
        <v>234</v>
      </c>
      <c r="BM1" s="10" t="s">
        <v>235</v>
      </c>
      <c r="BN1" s="10" t="s">
        <v>236</v>
      </c>
      <c r="BO1" s="10" t="s">
        <v>237</v>
      </c>
      <c r="BP1" s="11" t="s">
        <v>238</v>
      </c>
      <c r="BQ1" s="11" t="s">
        <v>239</v>
      </c>
      <c r="BR1" s="11" t="s">
        <v>240</v>
      </c>
      <c r="BS1" s="11" t="s">
        <v>241</v>
      </c>
      <c r="BT1" s="11" t="s">
        <v>242</v>
      </c>
      <c r="BU1" s="23" t="s">
        <v>772</v>
      </c>
      <c r="BV1" s="23" t="s">
        <v>773</v>
      </c>
      <c r="BW1" s="23"/>
      <c r="BX1" s="10"/>
      <c r="BY1" s="10"/>
    </row>
    <row r="2" spans="1:87" s="36" customFormat="1" x14ac:dyDescent="0.35">
      <c r="A2" s="125" t="s">
        <v>24</v>
      </c>
      <c r="B2" s="79"/>
      <c r="C2" s="79"/>
      <c r="D2" s="45" t="s">
        <v>27</v>
      </c>
      <c r="E2" s="45">
        <v>1985</v>
      </c>
      <c r="F2" s="45">
        <v>1</v>
      </c>
      <c r="G2" s="45">
        <v>1</v>
      </c>
      <c r="H2" s="45">
        <v>1</v>
      </c>
      <c r="I2" s="45">
        <v>1</v>
      </c>
      <c r="J2" s="37"/>
      <c r="K2" s="35">
        <v>0.95289000000000001</v>
      </c>
      <c r="L2" s="141">
        <v>7.8847782483741913E-3</v>
      </c>
      <c r="M2" s="141">
        <v>1.1894919069401322E-2</v>
      </c>
      <c r="N2" s="141">
        <v>1.8166293460949445E-2</v>
      </c>
      <c r="O2" s="141">
        <v>8.8456869163310858E-2</v>
      </c>
      <c r="P2">
        <v>0.99211522175162581</v>
      </c>
      <c r="Q2">
        <v>0.98810508093059868</v>
      </c>
      <c r="R2">
        <v>0.98183370653905055</v>
      </c>
      <c r="S2">
        <v>0.91154313083668914</v>
      </c>
      <c r="T2" s="45"/>
      <c r="U2" s="45"/>
      <c r="V2" s="45"/>
      <c r="W2" s="45"/>
      <c r="X2" s="45"/>
      <c r="Y2" s="45"/>
      <c r="Z2" s="45"/>
      <c r="AA2" s="45"/>
      <c r="AB2" s="45"/>
      <c r="AC2" s="45"/>
      <c r="AD2" s="45"/>
      <c r="AE2" s="45"/>
      <c r="AF2" s="45"/>
      <c r="AG2" s="45"/>
      <c r="AH2" s="45"/>
      <c r="AI2" s="45"/>
      <c r="AJ2" s="45"/>
      <c r="AK2" s="45"/>
      <c r="AL2" s="45"/>
      <c r="AM2" s="45"/>
      <c r="AN2" s="45"/>
      <c r="AO2" s="45">
        <v>0.5</v>
      </c>
      <c r="AP2">
        <v>2878.5</v>
      </c>
      <c r="AQ2" s="49">
        <f>AP2/AO2</f>
        <v>5757</v>
      </c>
      <c r="AR2">
        <v>245.77</v>
      </c>
      <c r="AS2">
        <v>39</v>
      </c>
      <c r="AT2">
        <f>AR2/AS2</f>
        <v>6.301794871794872</v>
      </c>
      <c r="AU2" s="45">
        <f>AT2*30</f>
        <v>189.05384615384617</v>
      </c>
      <c r="AV2" s="136"/>
      <c r="AW2" s="45">
        <v>20</v>
      </c>
      <c r="AX2">
        <v>7.78</v>
      </c>
      <c r="AY2">
        <v>4.3600000000000003</v>
      </c>
      <c r="AZ2">
        <v>9.6</v>
      </c>
      <c r="BA2">
        <v>1.4</v>
      </c>
      <c r="BB2" s="49">
        <f>SUM(AX2:BA2)</f>
        <v>23.14</v>
      </c>
      <c r="BC2" s="48">
        <f>BB2/AW2</f>
        <v>1.157</v>
      </c>
      <c r="BD2" s="48">
        <f>AR2/AS2</f>
        <v>6.301794871794872</v>
      </c>
      <c r="BE2" s="48">
        <f>BC2/AT2</f>
        <v>0.18359848638971396</v>
      </c>
      <c r="BF2" s="50">
        <f>AP2*BE2</f>
        <v>528.48824307279165</v>
      </c>
      <c r="BG2" s="51">
        <f>BF2/AO2</f>
        <v>1056.9764861455833</v>
      </c>
      <c r="BH2" s="48">
        <f>AX2/BB2</f>
        <v>0.33621434745030249</v>
      </c>
      <c r="BI2" s="48">
        <f>AY2/BB2</f>
        <v>0.18841832324978394</v>
      </c>
      <c r="BJ2" s="48">
        <f>AZ2/BB2</f>
        <v>0.41486603284356088</v>
      </c>
      <c r="BK2" s="48">
        <f>BA2/BB2</f>
        <v>6.0501296456352632E-2</v>
      </c>
      <c r="BL2" s="50">
        <f>BH2*BG2</f>
        <v>355.37065955975095</v>
      </c>
      <c r="BM2" s="50">
        <f>BI2*BG2</f>
        <v>199.15373723399929</v>
      </c>
      <c r="BN2" s="50">
        <f>BJ2*BG2</f>
        <v>438.50364161614516</v>
      </c>
      <c r="BO2" s="50">
        <f>BK2*BG2</f>
        <v>63.948447735687836</v>
      </c>
      <c r="BP2">
        <v>3.35</v>
      </c>
      <c r="BQ2">
        <v>10.574999999999999</v>
      </c>
      <c r="BR2">
        <v>25.274999999999999</v>
      </c>
      <c r="BS2">
        <v>43.7</v>
      </c>
      <c r="BT2" s="49"/>
      <c r="BU2" s="39"/>
      <c r="BV2" s="43"/>
      <c r="BW2" s="43"/>
      <c r="BX2" s="40"/>
      <c r="BY2" s="43"/>
      <c r="CA2"/>
      <c r="CB2"/>
      <c r="CC2"/>
      <c r="CD2"/>
      <c r="CE2"/>
      <c r="CF2"/>
      <c r="CG2"/>
      <c r="CH2"/>
      <c r="CI2"/>
    </row>
    <row r="3" spans="1:87" s="36" customFormat="1" x14ac:dyDescent="0.35">
      <c r="A3" s="125" t="s">
        <v>24</v>
      </c>
      <c r="B3" s="79"/>
      <c r="C3" s="79"/>
      <c r="D3" s="45" t="s">
        <v>26</v>
      </c>
      <c r="E3" s="45">
        <v>1983</v>
      </c>
      <c r="F3" s="45">
        <v>1</v>
      </c>
      <c r="G3" s="45">
        <v>2</v>
      </c>
      <c r="H3" s="45">
        <v>1</v>
      </c>
      <c r="I3" s="45">
        <v>2</v>
      </c>
      <c r="J3" s="37"/>
      <c r="K3" s="35">
        <v>0.94225000000000003</v>
      </c>
      <c r="L3" s="141">
        <v>2.5111025591363578E-2</v>
      </c>
      <c r="M3" s="141">
        <v>1.5557840476183582E-2</v>
      </c>
      <c r="N3" s="141">
        <v>1.5264743574626483E-2</v>
      </c>
      <c r="O3" s="141">
        <v>6.300789234398585E-2</v>
      </c>
      <c r="P3">
        <v>0.97488897440863642</v>
      </c>
      <c r="Q3">
        <v>0.98444215952381642</v>
      </c>
      <c r="R3">
        <v>0.98473525642537352</v>
      </c>
      <c r="S3">
        <v>0.93699210765601415</v>
      </c>
      <c r="T3" s="45"/>
      <c r="U3" s="45"/>
      <c r="V3" s="45"/>
      <c r="W3" s="45"/>
      <c r="X3" s="45"/>
      <c r="Y3" s="45"/>
      <c r="Z3" s="45"/>
      <c r="AA3" s="45"/>
      <c r="AB3" s="45"/>
      <c r="AC3" s="45"/>
      <c r="AD3" s="45"/>
      <c r="AE3" s="45"/>
      <c r="AF3" s="45"/>
      <c r="AG3" s="45"/>
      <c r="AH3" s="45"/>
      <c r="AI3" s="45"/>
      <c r="AJ3" s="45"/>
      <c r="AK3" s="45"/>
      <c r="AL3" s="45"/>
      <c r="AM3" s="45"/>
      <c r="AN3" s="45"/>
      <c r="AO3" s="45">
        <v>0.5</v>
      </c>
      <c r="AP3">
        <v>2586</v>
      </c>
      <c r="AQ3" s="49">
        <f t="shared" ref="AQ3:AQ65" si="0">AP3/AO3</f>
        <v>5172</v>
      </c>
      <c r="AR3">
        <v>243.9</v>
      </c>
      <c r="AS3">
        <v>44</v>
      </c>
      <c r="AT3">
        <f t="shared" ref="AT3:AT65" si="1">AR3/AS3</f>
        <v>5.543181818181818</v>
      </c>
      <c r="AU3" s="45">
        <f t="shared" ref="AU3:AU65" si="2">AT3*30</f>
        <v>166.29545454545453</v>
      </c>
      <c r="AV3" s="136"/>
      <c r="AW3" s="45">
        <v>20</v>
      </c>
      <c r="AX3">
        <v>7.64</v>
      </c>
      <c r="AY3">
        <v>1.91</v>
      </c>
      <c r="AZ3">
        <v>11.41</v>
      </c>
      <c r="BA3">
        <v>2.04</v>
      </c>
      <c r="BB3" s="49">
        <f t="shared" ref="BB3:BB65" si="3">SUM(AX3:BA3)</f>
        <v>23</v>
      </c>
      <c r="BC3" s="48">
        <f t="shared" ref="BC3:BC65" si="4">BB3/AW3</f>
        <v>1.1499999999999999</v>
      </c>
      <c r="BD3" s="48">
        <f t="shared" ref="BD3:BD65" si="5">AR3/AS3</f>
        <v>5.543181818181818</v>
      </c>
      <c r="BE3" s="48">
        <f t="shared" ref="BE3:BE65" si="6">BC3/AT3</f>
        <v>0.2074620746207462</v>
      </c>
      <c r="BF3" s="50">
        <f t="shared" ref="BF3:BF65" si="7">AP3*BE3</f>
        <v>536.49692496924968</v>
      </c>
      <c r="BG3" s="51">
        <f t="shared" ref="BG3:BG65" si="8">BF3/AO3</f>
        <v>1072.9938499384994</v>
      </c>
      <c r="BH3" s="48">
        <f t="shared" ref="BH3:BH65" si="9">AX3/BB3</f>
        <v>0.33217391304347826</v>
      </c>
      <c r="BI3" s="48">
        <f>AY3/BB3</f>
        <v>8.3043478260869566E-2</v>
      </c>
      <c r="BJ3" s="48">
        <f t="shared" ref="BJ3:BJ65" si="10">AZ3/BB3</f>
        <v>0.49608695652173912</v>
      </c>
      <c r="BK3" s="48">
        <f t="shared" ref="BK3:BK65" si="11">BA3/BB3</f>
        <v>8.869565217391305E-2</v>
      </c>
      <c r="BL3" s="50">
        <f t="shared" ref="BL3:BL65" si="12">BH3*BG3</f>
        <v>356.42056580565804</v>
      </c>
      <c r="BM3" s="50">
        <f t="shared" ref="BM3:BM64" si="13">BI3*BG3</f>
        <v>89.105141451414511</v>
      </c>
      <c r="BN3" s="50">
        <f t="shared" ref="BN3:BN65" si="14">BJ3*BG3</f>
        <v>532.29825338253374</v>
      </c>
      <c r="BO3" s="50">
        <f t="shared" ref="BO3:BO65" si="15">BK3*BG3</f>
        <v>95.169889298892997</v>
      </c>
      <c r="BP3">
        <v>6.9</v>
      </c>
      <c r="BQ3">
        <v>4.5</v>
      </c>
      <c r="BR3">
        <v>36.924999999999997</v>
      </c>
      <c r="BS3">
        <v>43.674999999999997</v>
      </c>
      <c r="BT3" s="49"/>
      <c r="BU3" s="39"/>
      <c r="BV3" s="43"/>
      <c r="BW3" s="43"/>
      <c r="BX3" s="40"/>
      <c r="BY3" s="43"/>
      <c r="CA3"/>
      <c r="CB3"/>
      <c r="CC3"/>
      <c r="CD3"/>
      <c r="CE3"/>
      <c r="CF3"/>
      <c r="CG3"/>
      <c r="CH3"/>
      <c r="CI3"/>
    </row>
    <row r="4" spans="1:87" s="36" customFormat="1" x14ac:dyDescent="0.35">
      <c r="A4" s="125" t="s">
        <v>24</v>
      </c>
      <c r="B4" s="79"/>
      <c r="C4" s="79"/>
      <c r="D4" s="45" t="s">
        <v>335</v>
      </c>
      <c r="E4" s="45">
        <v>2023</v>
      </c>
      <c r="F4" s="45">
        <v>1</v>
      </c>
      <c r="G4" s="45">
        <v>3</v>
      </c>
      <c r="H4" s="45">
        <v>1</v>
      </c>
      <c r="I4" s="45">
        <v>3</v>
      </c>
      <c r="J4" s="37"/>
      <c r="K4" s="35">
        <v>0.93730000000000002</v>
      </c>
      <c r="L4" s="141">
        <v>1.4050876148798963E-2</v>
      </c>
      <c r="M4" s="141">
        <v>1.436148375479851E-2</v>
      </c>
      <c r="N4" s="141">
        <v>2.7238559462442358E-2</v>
      </c>
      <c r="O4" s="141">
        <v>0.12415371307126533</v>
      </c>
      <c r="P4">
        <v>0.98594912385120104</v>
      </c>
      <c r="Q4">
        <v>0.98563851624520149</v>
      </c>
      <c r="R4">
        <v>0.97276144053755764</v>
      </c>
      <c r="S4">
        <v>0.87584628692873467</v>
      </c>
      <c r="T4" s="45"/>
      <c r="U4" s="45"/>
      <c r="V4" s="45"/>
      <c r="W4" s="45"/>
      <c r="X4" s="45"/>
      <c r="Y4" s="45"/>
      <c r="Z4" s="45"/>
      <c r="AA4" s="45"/>
      <c r="AB4" s="45"/>
      <c r="AC4" s="45"/>
      <c r="AD4" s="45"/>
      <c r="AE4" s="45"/>
      <c r="AF4" s="45"/>
      <c r="AG4" s="45"/>
      <c r="AH4" s="45"/>
      <c r="AI4" s="45"/>
      <c r="AJ4" s="45"/>
      <c r="AK4" s="45"/>
      <c r="AL4" s="45"/>
      <c r="AM4" s="45"/>
      <c r="AN4" s="45"/>
      <c r="AO4" s="45">
        <v>0.5</v>
      </c>
      <c r="AP4">
        <v>2707</v>
      </c>
      <c r="AQ4" s="49">
        <f t="shared" si="0"/>
        <v>5414</v>
      </c>
      <c r="AR4">
        <v>199.08</v>
      </c>
      <c r="AS4">
        <v>29</v>
      </c>
      <c r="AT4">
        <f t="shared" si="1"/>
        <v>6.8648275862068973</v>
      </c>
      <c r="AU4" s="45">
        <f t="shared" si="2"/>
        <v>205.94482758620691</v>
      </c>
      <c r="AV4" s="136"/>
      <c r="AW4" s="45">
        <v>20</v>
      </c>
      <c r="AX4">
        <v>9.36</v>
      </c>
      <c r="AY4">
        <v>2.56</v>
      </c>
      <c r="AZ4">
        <v>13.92</v>
      </c>
      <c r="BA4">
        <v>1.67</v>
      </c>
      <c r="BB4" s="49">
        <f t="shared" si="3"/>
        <v>27.509999999999998</v>
      </c>
      <c r="BC4" s="48">
        <f t="shared" si="4"/>
        <v>1.3754999999999999</v>
      </c>
      <c r="BD4" s="48">
        <f t="shared" si="5"/>
        <v>6.8648275862068973</v>
      </c>
      <c r="BE4" s="48">
        <f t="shared" si="6"/>
        <v>0.20036919831223626</v>
      </c>
      <c r="BF4" s="50">
        <f t="shared" si="7"/>
        <v>542.39941983122355</v>
      </c>
      <c r="BG4" s="51">
        <f t="shared" si="8"/>
        <v>1084.7988396624471</v>
      </c>
      <c r="BH4" s="48">
        <f t="shared" si="9"/>
        <v>0.34023991275899673</v>
      </c>
      <c r="BI4" s="48">
        <f t="shared" ref="BI4:BI65" si="16">AY4/BB4</f>
        <v>9.3057070156306806E-2</v>
      </c>
      <c r="BJ4" s="48">
        <f t="shared" si="10"/>
        <v>0.50599781897491825</v>
      </c>
      <c r="BK4" s="48">
        <f t="shared" si="11"/>
        <v>6.0705198109778265E-2</v>
      </c>
      <c r="BL4" s="50">
        <f t="shared" si="12"/>
        <v>369.09186256781192</v>
      </c>
      <c r="BM4" s="50">
        <f>BI4*BG4</f>
        <v>100.94820172794856</v>
      </c>
      <c r="BN4" s="50">
        <f t="shared" si="14"/>
        <v>548.90584689572029</v>
      </c>
      <c r="BO4" s="50">
        <f t="shared" si="15"/>
        <v>65.852928470966432</v>
      </c>
      <c r="BP4">
        <v>5.3</v>
      </c>
      <c r="BQ4">
        <v>2.2000000000000002</v>
      </c>
      <c r="BR4">
        <v>27.125</v>
      </c>
      <c r="BS4">
        <v>47.725000000000001</v>
      </c>
      <c r="BT4" s="49"/>
      <c r="BU4" s="39"/>
      <c r="BV4" s="43"/>
      <c r="BW4" s="43"/>
      <c r="BX4" s="40"/>
      <c r="BY4" s="43"/>
      <c r="CA4"/>
      <c r="CB4"/>
      <c r="CC4"/>
      <c r="CD4"/>
      <c r="CE4"/>
      <c r="CF4"/>
      <c r="CG4"/>
      <c r="CH4"/>
      <c r="CI4"/>
    </row>
    <row r="5" spans="1:87" s="36" customFormat="1" x14ac:dyDescent="0.35">
      <c r="A5" s="125" t="s">
        <v>24</v>
      </c>
      <c r="B5" s="79"/>
      <c r="C5" s="79"/>
      <c r="D5" s="45" t="s">
        <v>29</v>
      </c>
      <c r="E5" s="45">
        <v>1999</v>
      </c>
      <c r="F5" s="45">
        <v>1</v>
      </c>
      <c r="G5" s="45">
        <v>4</v>
      </c>
      <c r="H5" s="45">
        <v>1</v>
      </c>
      <c r="I5" s="45">
        <v>4</v>
      </c>
      <c r="J5" s="37"/>
      <c r="K5" s="35">
        <v>0.95564000000000004</v>
      </c>
      <c r="L5" s="141">
        <v>9.8143621928779012E-3</v>
      </c>
      <c r="M5" s="141">
        <v>1.0834558282727835E-2</v>
      </c>
      <c r="N5" s="141">
        <v>2.4910235474912334E-2</v>
      </c>
      <c r="O5" s="141">
        <v>0.10156754592374484</v>
      </c>
      <c r="P5">
        <v>0.9901856378071221</v>
      </c>
      <c r="Q5">
        <v>0.98916544171727216</v>
      </c>
      <c r="R5">
        <v>0.97508976452508767</v>
      </c>
      <c r="S5">
        <v>0.89843245407625516</v>
      </c>
      <c r="T5" s="45"/>
      <c r="U5" s="45"/>
      <c r="V5" s="45"/>
      <c r="W5" s="45"/>
      <c r="X5" s="45"/>
      <c r="Y5" s="45"/>
      <c r="Z5" s="45"/>
      <c r="AA5" s="45"/>
      <c r="AB5" s="45"/>
      <c r="AC5" s="45"/>
      <c r="AD5" s="45"/>
      <c r="AE5" s="45"/>
      <c r="AF5" s="45"/>
      <c r="AG5" s="45"/>
      <c r="AH5" s="45"/>
      <c r="AI5" s="45"/>
      <c r="AJ5" s="45"/>
      <c r="AK5" s="45"/>
      <c r="AL5" s="45"/>
      <c r="AM5" s="45"/>
      <c r="AN5" s="45"/>
      <c r="AO5" s="45">
        <v>0.5</v>
      </c>
      <c r="AP5">
        <v>2991.5</v>
      </c>
      <c r="AQ5" s="49">
        <f t="shared" si="0"/>
        <v>5983</v>
      </c>
      <c r="AR5">
        <v>217.6</v>
      </c>
      <c r="AS5">
        <v>32</v>
      </c>
      <c r="AT5">
        <f t="shared" si="1"/>
        <v>6.8</v>
      </c>
      <c r="AU5" s="45">
        <f t="shared" si="2"/>
        <v>204</v>
      </c>
      <c r="AV5" s="136"/>
      <c r="AW5" s="45">
        <v>20</v>
      </c>
      <c r="AX5">
        <v>8.35</v>
      </c>
      <c r="AY5">
        <v>4.29</v>
      </c>
      <c r="AZ5">
        <v>13.41</v>
      </c>
      <c r="BA5">
        <v>2.12</v>
      </c>
      <c r="BB5" s="49">
        <f t="shared" si="3"/>
        <v>28.17</v>
      </c>
      <c r="BC5" s="48">
        <f t="shared" si="4"/>
        <v>1.4085000000000001</v>
      </c>
      <c r="BD5" s="48">
        <f t="shared" si="5"/>
        <v>6.8</v>
      </c>
      <c r="BE5" s="48">
        <f t="shared" si="6"/>
        <v>0.20713235294117649</v>
      </c>
      <c r="BF5" s="50">
        <f>AP5*BE5</f>
        <v>619.6364338235295</v>
      </c>
      <c r="BG5" s="51">
        <f t="shared" si="8"/>
        <v>1239.272867647059</v>
      </c>
      <c r="BH5" s="48">
        <f t="shared" si="9"/>
        <v>0.29641462548810787</v>
      </c>
      <c r="BI5" s="48">
        <f t="shared" si="16"/>
        <v>0.15228966986155484</v>
      </c>
      <c r="BJ5" s="48">
        <f t="shared" si="10"/>
        <v>0.47603833865814693</v>
      </c>
      <c r="BK5" s="48">
        <f t="shared" si="11"/>
        <v>7.5257365992190267E-2</v>
      </c>
      <c r="BL5" s="50">
        <f t="shared" si="12"/>
        <v>367.33860294117648</v>
      </c>
      <c r="BM5" s="50">
        <f t="shared" si="13"/>
        <v>188.72845588235296</v>
      </c>
      <c r="BN5" s="50">
        <f t="shared" si="14"/>
        <v>589.94139705882355</v>
      </c>
      <c r="BO5" s="50">
        <f t="shared" si="15"/>
        <v>93.264411764705883</v>
      </c>
      <c r="BP5">
        <v>7.125</v>
      </c>
      <c r="BQ5">
        <v>11.475</v>
      </c>
      <c r="BR5">
        <v>33.375</v>
      </c>
      <c r="BS5">
        <v>35.5</v>
      </c>
      <c r="BT5" s="49"/>
      <c r="BU5" s="39"/>
      <c r="BV5" s="43"/>
      <c r="BW5" s="43"/>
      <c r="BX5" s="40"/>
      <c r="BY5" s="43"/>
      <c r="CA5"/>
      <c r="CB5"/>
      <c r="CC5"/>
      <c r="CD5"/>
      <c r="CE5"/>
      <c r="CF5"/>
      <c r="CG5"/>
      <c r="CH5"/>
      <c r="CI5"/>
    </row>
    <row r="6" spans="1:87" s="36" customFormat="1" x14ac:dyDescent="0.35">
      <c r="A6" s="125" t="s">
        <v>24</v>
      </c>
      <c r="B6" s="79"/>
      <c r="C6" s="79"/>
      <c r="D6" s="45" t="s">
        <v>336</v>
      </c>
      <c r="E6" s="45">
        <v>2002</v>
      </c>
      <c r="F6" s="45">
        <v>1</v>
      </c>
      <c r="G6" s="45">
        <v>5</v>
      </c>
      <c r="H6" s="45">
        <v>1</v>
      </c>
      <c r="I6" s="45">
        <v>5</v>
      </c>
      <c r="J6" s="37"/>
      <c r="K6" s="35">
        <v>0.95125000000000004</v>
      </c>
      <c r="L6" s="141">
        <v>1.3319806460910022E-2</v>
      </c>
      <c r="M6" s="141">
        <v>1.5943439779503632E-2</v>
      </c>
      <c r="N6" s="141">
        <v>1.7543844832076716E-2</v>
      </c>
      <c r="O6" s="141">
        <v>6.5797160549444511E-2</v>
      </c>
      <c r="P6">
        <v>0.98668019353908998</v>
      </c>
      <c r="Q6">
        <v>0.98405656022049637</v>
      </c>
      <c r="R6">
        <v>0.98245615516792328</v>
      </c>
      <c r="S6">
        <v>0.93420283945055549</v>
      </c>
      <c r="T6" s="45"/>
      <c r="U6" s="45"/>
      <c r="V6" s="45"/>
      <c r="W6" s="45"/>
      <c r="X6" s="45"/>
      <c r="Y6" s="45"/>
      <c r="Z6" s="45"/>
      <c r="AA6" s="45"/>
      <c r="AB6" s="45"/>
      <c r="AC6" s="45"/>
      <c r="AD6" s="45"/>
      <c r="AE6" s="45"/>
      <c r="AF6" s="45"/>
      <c r="AG6" s="45"/>
      <c r="AH6" s="45"/>
      <c r="AI6" s="45"/>
      <c r="AJ6" s="45"/>
      <c r="AK6" s="45"/>
      <c r="AL6" s="45"/>
      <c r="AM6" s="45"/>
      <c r="AN6" s="45"/>
      <c r="AO6" s="45">
        <v>0.5</v>
      </c>
      <c r="AP6"/>
      <c r="AQ6" s="49"/>
      <c r="AR6">
        <v>287.39</v>
      </c>
      <c r="AS6">
        <v>37</v>
      </c>
      <c r="AT6">
        <f t="shared" si="1"/>
        <v>7.7672972972972971</v>
      </c>
      <c r="AU6" s="45">
        <f t="shared" si="2"/>
        <v>233.01891891891893</v>
      </c>
      <c r="AV6" s="136"/>
      <c r="AW6" s="45">
        <v>20</v>
      </c>
      <c r="AX6">
        <v>10.94</v>
      </c>
      <c r="AY6">
        <v>4.47</v>
      </c>
      <c r="AZ6">
        <v>15.61</v>
      </c>
      <c r="BA6">
        <v>3.07</v>
      </c>
      <c r="BB6" s="49">
        <f t="shared" si="3"/>
        <v>34.089999999999996</v>
      </c>
      <c r="BC6" s="48">
        <f t="shared" si="4"/>
        <v>1.7044999999999999</v>
      </c>
      <c r="BD6" s="48">
        <f t="shared" si="5"/>
        <v>7.7672972972972971</v>
      </c>
      <c r="BE6" s="48">
        <f t="shared" si="6"/>
        <v>0.21944570096384702</v>
      </c>
      <c r="BF6" s="50"/>
      <c r="BG6" s="51"/>
      <c r="BH6" s="48">
        <f t="shared" si="9"/>
        <v>0.32091522440598419</v>
      </c>
      <c r="BI6" s="48">
        <f>AY6/BB6</f>
        <v>0.13112349662657671</v>
      </c>
      <c r="BJ6" s="48">
        <f t="shared" si="10"/>
        <v>0.45790554414784396</v>
      </c>
      <c r="BK6" s="48">
        <f t="shared" si="11"/>
        <v>9.0055734819595196E-2</v>
      </c>
      <c r="BL6" s="50"/>
      <c r="BM6" s="50"/>
      <c r="BN6" s="50"/>
      <c r="BO6" s="50"/>
      <c r="BP6">
        <v>4.375</v>
      </c>
      <c r="BQ6">
        <v>9.375</v>
      </c>
      <c r="BR6">
        <v>38.35</v>
      </c>
      <c r="BS6">
        <v>54.575000000000003</v>
      </c>
      <c r="BT6" s="49"/>
      <c r="BU6" s="39"/>
      <c r="BV6" s="43"/>
      <c r="BW6" s="43"/>
      <c r="BX6" s="40"/>
      <c r="BY6" s="43"/>
      <c r="CA6"/>
      <c r="CB6"/>
      <c r="CC6"/>
      <c r="CD6"/>
      <c r="CE6"/>
      <c r="CF6"/>
      <c r="CG6"/>
      <c r="CH6"/>
      <c r="CI6"/>
    </row>
    <row r="7" spans="1:87" s="36" customFormat="1" x14ac:dyDescent="0.35">
      <c r="A7" s="125" t="s">
        <v>24</v>
      </c>
      <c r="B7" s="79"/>
      <c r="C7" s="79"/>
      <c r="D7" s="45" t="s">
        <v>32</v>
      </c>
      <c r="E7" s="45">
        <v>2018</v>
      </c>
      <c r="F7" s="45">
        <v>1</v>
      </c>
      <c r="G7" s="45">
        <v>6</v>
      </c>
      <c r="H7" s="45">
        <v>1</v>
      </c>
      <c r="I7" s="45">
        <v>6</v>
      </c>
      <c r="J7" s="37"/>
      <c r="K7" s="35">
        <v>0.95072999999999996</v>
      </c>
      <c r="L7" s="141">
        <v>1.7589367604293082E-2</v>
      </c>
      <c r="M7" s="141">
        <v>1.620816115341428E-2</v>
      </c>
      <c r="N7" s="141">
        <v>3.5665158583849887E-2</v>
      </c>
      <c r="O7" s="141">
        <v>9.2414278872752442E-2</v>
      </c>
      <c r="P7">
        <v>0.98241063239570692</v>
      </c>
      <c r="Q7">
        <v>0.98379183884658572</v>
      </c>
      <c r="R7">
        <v>0.96433484141615011</v>
      </c>
      <c r="S7">
        <v>0.90758572112724756</v>
      </c>
      <c r="T7" s="45"/>
      <c r="U7" s="45"/>
      <c r="V7" s="45"/>
      <c r="W7" s="45"/>
      <c r="X7" s="45"/>
      <c r="Y7" s="45"/>
      <c r="Z7" s="45"/>
      <c r="AA7" s="45"/>
      <c r="AB7" s="45"/>
      <c r="AC7" s="45"/>
      <c r="AD7" s="45"/>
      <c r="AE7" s="45"/>
      <c r="AF7" s="45"/>
      <c r="AG7" s="45"/>
      <c r="AH7" s="45"/>
      <c r="AI7" s="45"/>
      <c r="AJ7" s="45"/>
      <c r="AK7" s="45"/>
      <c r="AL7" s="45"/>
      <c r="AM7" s="45"/>
      <c r="AN7" s="45"/>
      <c r="AO7" s="45">
        <v>0.5</v>
      </c>
      <c r="AP7">
        <v>2820.5</v>
      </c>
      <c r="AQ7" s="49">
        <f t="shared" si="0"/>
        <v>5641</v>
      </c>
      <c r="AR7">
        <v>240.37</v>
      </c>
      <c r="AS7">
        <v>35</v>
      </c>
      <c r="AT7">
        <f t="shared" si="1"/>
        <v>6.8677142857142854</v>
      </c>
      <c r="AU7" s="45">
        <f t="shared" si="2"/>
        <v>206.03142857142856</v>
      </c>
      <c r="AV7" s="136"/>
      <c r="AW7" s="45">
        <v>20</v>
      </c>
      <c r="AX7">
        <v>12.08</v>
      </c>
      <c r="AY7">
        <v>2.48</v>
      </c>
      <c r="AZ7">
        <v>14.93</v>
      </c>
      <c r="BA7">
        <v>1.78</v>
      </c>
      <c r="BB7" s="49">
        <f t="shared" si="3"/>
        <v>31.270000000000003</v>
      </c>
      <c r="BC7" s="48">
        <f t="shared" si="4"/>
        <v>1.5635000000000001</v>
      </c>
      <c r="BD7" s="48">
        <f t="shared" si="5"/>
        <v>6.8677142857142854</v>
      </c>
      <c r="BE7" s="48">
        <f t="shared" si="6"/>
        <v>0.22765944169405503</v>
      </c>
      <c r="BF7" s="50">
        <f t="shared" si="7"/>
        <v>642.11345529808216</v>
      </c>
      <c r="BG7" s="51">
        <f t="shared" si="8"/>
        <v>1284.2269105961643</v>
      </c>
      <c r="BH7" s="48">
        <f t="shared" si="9"/>
        <v>0.38631275983370639</v>
      </c>
      <c r="BI7" s="48">
        <f t="shared" si="16"/>
        <v>7.9309242085065554E-2</v>
      </c>
      <c r="BJ7" s="48">
        <f t="shared" si="10"/>
        <v>0.47745442916533415</v>
      </c>
      <c r="BK7" s="48">
        <f t="shared" si="11"/>
        <v>5.692356891589382E-2</v>
      </c>
      <c r="BL7" s="50">
        <f t="shared" si="12"/>
        <v>496.11324208511877</v>
      </c>
      <c r="BM7" s="50">
        <f t="shared" si="13"/>
        <v>101.85106294462703</v>
      </c>
      <c r="BN7" s="50">
        <f t="shared" si="14"/>
        <v>613.1598265174523</v>
      </c>
      <c r="BO7" s="50">
        <f t="shared" si="15"/>
        <v>73.10277904896617</v>
      </c>
      <c r="BP7">
        <v>6.875</v>
      </c>
      <c r="BQ7">
        <v>7.7249999999999996</v>
      </c>
      <c r="BR7">
        <v>31.8</v>
      </c>
      <c r="BS7">
        <v>52.05</v>
      </c>
      <c r="BT7" s="49"/>
      <c r="BU7" s="39"/>
      <c r="BV7" s="43"/>
      <c r="BW7" s="43"/>
      <c r="BX7" s="40"/>
      <c r="BY7" s="43"/>
      <c r="CA7"/>
      <c r="CB7"/>
      <c r="CC7"/>
      <c r="CD7"/>
      <c r="CE7"/>
      <c r="CF7"/>
      <c r="CG7"/>
      <c r="CH7"/>
      <c r="CI7"/>
    </row>
    <row r="8" spans="1:87" s="36" customFormat="1" x14ac:dyDescent="0.35">
      <c r="A8" s="125" t="s">
        <v>24</v>
      </c>
      <c r="B8" s="79"/>
      <c r="C8" s="79"/>
      <c r="D8" s="45" t="s">
        <v>28</v>
      </c>
      <c r="E8" s="45">
        <v>1998</v>
      </c>
      <c r="F8" s="45">
        <v>1</v>
      </c>
      <c r="G8" s="45">
        <v>7</v>
      </c>
      <c r="H8" s="45">
        <v>1</v>
      </c>
      <c r="I8" s="45">
        <v>7</v>
      </c>
      <c r="J8" s="37"/>
      <c r="K8" s="35">
        <v>0.95455000000000001</v>
      </c>
      <c r="L8" s="141">
        <v>2.1700909986471006E-2</v>
      </c>
      <c r="M8" s="141">
        <v>8.6173436295446937E-3</v>
      </c>
      <c r="N8" s="141">
        <v>3.1152024554863211E-2</v>
      </c>
      <c r="O8" s="141">
        <v>0.1407371164306076</v>
      </c>
      <c r="P8">
        <v>0.97829909001352899</v>
      </c>
      <c r="Q8">
        <v>0.99138265637045531</v>
      </c>
      <c r="R8">
        <v>0.96884797544513679</v>
      </c>
      <c r="S8">
        <v>0.8592628835693924</v>
      </c>
      <c r="T8" s="45"/>
      <c r="U8" s="45"/>
      <c r="V8" s="45"/>
      <c r="W8" s="45"/>
      <c r="X8" s="45"/>
      <c r="Y8" s="45"/>
      <c r="Z8" s="45"/>
      <c r="AA8" s="45"/>
      <c r="AB8" s="45"/>
      <c r="AC8" s="45"/>
      <c r="AD8" s="45"/>
      <c r="AE8" s="45"/>
      <c r="AF8" s="45"/>
      <c r="AG8" s="45"/>
      <c r="AH8" s="45"/>
      <c r="AI8" s="45"/>
      <c r="AJ8" s="45"/>
      <c r="AK8" s="45"/>
      <c r="AL8" s="45"/>
      <c r="AM8" s="45"/>
      <c r="AN8" s="45"/>
      <c r="AO8" s="45">
        <v>0.5</v>
      </c>
      <c r="AP8">
        <v>2889</v>
      </c>
      <c r="AQ8" s="49">
        <f t="shared" si="0"/>
        <v>5778</v>
      </c>
      <c r="AR8">
        <v>225.67</v>
      </c>
      <c r="AS8">
        <v>43</v>
      </c>
      <c r="AT8">
        <f t="shared" si="1"/>
        <v>5.2481395348837205</v>
      </c>
      <c r="AU8" s="45">
        <f t="shared" si="2"/>
        <v>157.44418604651162</v>
      </c>
      <c r="AV8" s="136"/>
      <c r="AW8" s="45">
        <v>20</v>
      </c>
      <c r="AX8">
        <v>7.54</v>
      </c>
      <c r="AY8">
        <v>1.72</v>
      </c>
      <c r="AZ8">
        <v>7.77</v>
      </c>
      <c r="BA8">
        <v>0.79</v>
      </c>
      <c r="BB8" s="49">
        <f t="shared" si="3"/>
        <v>17.82</v>
      </c>
      <c r="BC8" s="48">
        <f t="shared" si="4"/>
        <v>0.89100000000000001</v>
      </c>
      <c r="BD8" s="48">
        <f t="shared" si="5"/>
        <v>5.2481395348837205</v>
      </c>
      <c r="BE8" s="48">
        <f t="shared" si="6"/>
        <v>0.16977444941729075</v>
      </c>
      <c r="BF8" s="50">
        <f t="shared" si="7"/>
        <v>490.47838436655297</v>
      </c>
      <c r="BG8" s="51">
        <f t="shared" si="8"/>
        <v>980.95676873310595</v>
      </c>
      <c r="BH8" s="48">
        <f t="shared" si="9"/>
        <v>0.42312008978675647</v>
      </c>
      <c r="BI8" s="48">
        <f t="shared" si="16"/>
        <v>9.6520763187429845E-2</v>
      </c>
      <c r="BJ8" s="48">
        <f t="shared" si="10"/>
        <v>0.43602693602693599</v>
      </c>
      <c r="BK8" s="48">
        <f t="shared" si="11"/>
        <v>4.4332210998877665E-2</v>
      </c>
      <c r="BL8" s="50">
        <f t="shared" si="12"/>
        <v>415.06251606327828</v>
      </c>
      <c r="BM8" s="50">
        <f t="shared" si="13"/>
        <v>94.682695971994505</v>
      </c>
      <c r="BN8" s="50">
        <f t="shared" si="14"/>
        <v>427.72357424557981</v>
      </c>
      <c r="BO8" s="50">
        <f t="shared" si="15"/>
        <v>43.487982452253291</v>
      </c>
      <c r="BP8">
        <v>3.7</v>
      </c>
      <c r="BQ8">
        <v>4.5999999999999996</v>
      </c>
      <c r="BR8">
        <v>36.049999999999997</v>
      </c>
      <c r="BS8">
        <v>46.174999999999997</v>
      </c>
      <c r="BT8" s="49"/>
      <c r="BU8" s="39"/>
      <c r="BV8" s="43"/>
      <c r="BW8" s="43"/>
      <c r="BX8" s="40"/>
      <c r="BY8" s="43"/>
      <c r="CA8"/>
      <c r="CB8"/>
      <c r="CC8"/>
      <c r="CD8"/>
      <c r="CE8"/>
      <c r="CF8"/>
      <c r="CG8"/>
      <c r="CH8"/>
      <c r="CI8"/>
    </row>
    <row r="9" spans="1:87" s="36" customFormat="1" x14ac:dyDescent="0.35">
      <c r="A9" s="125" t="s">
        <v>24</v>
      </c>
      <c r="B9" s="79"/>
      <c r="C9" s="79"/>
      <c r="D9" s="45" t="s">
        <v>337</v>
      </c>
      <c r="E9" s="45">
        <v>2016</v>
      </c>
      <c r="F9" s="45">
        <v>1</v>
      </c>
      <c r="G9" s="45">
        <v>8</v>
      </c>
      <c r="H9" s="45">
        <v>1</v>
      </c>
      <c r="I9" s="45">
        <v>8</v>
      </c>
      <c r="J9" s="37"/>
      <c r="K9" s="35">
        <v>0.93357999999999997</v>
      </c>
      <c r="L9" s="141">
        <v>1.4850803805308677E-2</v>
      </c>
      <c r="M9" s="141">
        <v>1.3633688274936606E-2</v>
      </c>
      <c r="N9" s="141">
        <v>2.7886894338912671E-2</v>
      </c>
      <c r="O9" s="141">
        <v>0.11692426387523569</v>
      </c>
      <c r="P9">
        <v>0.98514919619469132</v>
      </c>
      <c r="Q9">
        <v>0.98636631172506339</v>
      </c>
      <c r="R9">
        <v>0.97211310566108733</v>
      </c>
      <c r="S9">
        <v>0.88307573612476431</v>
      </c>
      <c r="T9" s="45"/>
      <c r="U9" s="45"/>
      <c r="V9" s="45"/>
      <c r="W9" s="45"/>
      <c r="X9" s="45"/>
      <c r="Y9" s="45"/>
      <c r="Z9" s="45"/>
      <c r="AA9" s="45"/>
      <c r="AB9" s="45"/>
      <c r="AC9" s="45"/>
      <c r="AD9" s="45"/>
      <c r="AE9" s="45"/>
      <c r="AF9" s="45"/>
      <c r="AG9" s="45"/>
      <c r="AH9" s="45"/>
      <c r="AI9" s="45"/>
      <c r="AJ9" s="45"/>
      <c r="AK9" s="45"/>
      <c r="AL9" s="45"/>
      <c r="AM9" s="45"/>
      <c r="AN9" s="45"/>
      <c r="AO9" s="45">
        <v>0.5</v>
      </c>
      <c r="AP9"/>
      <c r="AQ9" s="49"/>
      <c r="AR9">
        <v>244.39</v>
      </c>
      <c r="AS9">
        <v>38</v>
      </c>
      <c r="AT9">
        <f t="shared" si="1"/>
        <v>6.4313157894736834</v>
      </c>
      <c r="AU9" s="45">
        <f t="shared" si="2"/>
        <v>192.9394736842105</v>
      </c>
      <c r="AV9" s="136"/>
      <c r="AW9" s="45">
        <v>20</v>
      </c>
      <c r="AX9">
        <v>8.11</v>
      </c>
      <c r="AY9">
        <v>3.16</v>
      </c>
      <c r="AZ9">
        <v>10.7</v>
      </c>
      <c r="BA9">
        <v>2.0299999999999998</v>
      </c>
      <c r="BB9" s="49">
        <f t="shared" si="3"/>
        <v>24</v>
      </c>
      <c r="BC9" s="48">
        <f t="shared" si="4"/>
        <v>1.2</v>
      </c>
      <c r="BD9" s="48">
        <f t="shared" si="5"/>
        <v>6.4313157894736834</v>
      </c>
      <c r="BE9" s="48">
        <f t="shared" si="6"/>
        <v>0.18658701256188881</v>
      </c>
      <c r="BF9" s="50"/>
      <c r="BG9" s="51"/>
      <c r="BH9" s="48">
        <f t="shared" si="9"/>
        <v>0.33791666666666664</v>
      </c>
      <c r="BI9" s="48">
        <f t="shared" si="16"/>
        <v>0.13166666666666668</v>
      </c>
      <c r="BJ9" s="48">
        <f t="shared" si="10"/>
        <v>0.4458333333333333</v>
      </c>
      <c r="BK9" s="48">
        <f t="shared" si="11"/>
        <v>8.458333333333333E-2</v>
      </c>
      <c r="BL9" s="50"/>
      <c r="BM9" s="50"/>
      <c r="BN9" s="50"/>
      <c r="BO9" s="50"/>
      <c r="BP9">
        <v>5.7750000000000004</v>
      </c>
      <c r="BQ9">
        <v>18.600000000000001</v>
      </c>
      <c r="BR9">
        <v>34</v>
      </c>
      <c r="BS9">
        <v>48</v>
      </c>
      <c r="BT9" s="49"/>
      <c r="BU9" s="39"/>
      <c r="BV9" s="43"/>
      <c r="BW9" s="43"/>
      <c r="BX9" s="40"/>
      <c r="BY9" s="43"/>
      <c r="CA9"/>
      <c r="CB9"/>
      <c r="CC9"/>
      <c r="CD9"/>
      <c r="CE9"/>
      <c r="CF9"/>
      <c r="CG9"/>
      <c r="CH9"/>
      <c r="CI9"/>
    </row>
    <row r="10" spans="1:87" s="36" customFormat="1" x14ac:dyDescent="0.35">
      <c r="A10" s="125" t="s">
        <v>34</v>
      </c>
      <c r="B10" s="6"/>
      <c r="C10" s="6"/>
      <c r="D10" s="45" t="s">
        <v>42</v>
      </c>
      <c r="E10" s="45">
        <v>2016</v>
      </c>
      <c r="F10" s="45">
        <v>1</v>
      </c>
      <c r="G10" s="45">
        <v>1</v>
      </c>
      <c r="H10" s="45">
        <v>2</v>
      </c>
      <c r="I10" s="45">
        <v>9</v>
      </c>
      <c r="J10" s="37"/>
      <c r="K10" s="35">
        <v>0.94940000000000002</v>
      </c>
      <c r="L10" s="141">
        <v>2.4021571410742903E-2</v>
      </c>
      <c r="M10" s="141">
        <v>2.7696467155969295E-2</v>
      </c>
      <c r="N10" s="141">
        <v>2.3905279562670967E-2</v>
      </c>
      <c r="O10" s="141">
        <v>7.1486139827106165E-2</v>
      </c>
      <c r="P10">
        <v>0.9759784285892571</v>
      </c>
      <c r="Q10">
        <v>0.9723035328440307</v>
      </c>
      <c r="R10">
        <v>0.97609472043732903</v>
      </c>
      <c r="S10">
        <v>0.92851386017289383</v>
      </c>
      <c r="T10" s="45"/>
      <c r="U10" s="45"/>
      <c r="V10" s="45"/>
      <c r="W10" s="45"/>
      <c r="X10" s="45"/>
      <c r="Y10" s="45"/>
      <c r="Z10" s="45"/>
      <c r="AA10" s="45"/>
      <c r="AB10" s="45"/>
      <c r="AC10" s="45"/>
      <c r="AD10" s="45"/>
      <c r="AE10" s="45"/>
      <c r="AF10" s="45"/>
      <c r="AG10" s="45"/>
      <c r="AH10" s="45"/>
      <c r="AI10" s="45"/>
      <c r="AJ10" s="45"/>
      <c r="AK10" s="45"/>
      <c r="AL10" s="45"/>
      <c r="AM10" s="45"/>
      <c r="AN10" s="45"/>
      <c r="AO10" s="45">
        <v>0.5</v>
      </c>
      <c r="AP10">
        <v>2649</v>
      </c>
      <c r="AQ10" s="49">
        <f t="shared" si="0"/>
        <v>5298</v>
      </c>
      <c r="AR10">
        <v>201.27</v>
      </c>
      <c r="AS10">
        <v>25</v>
      </c>
      <c r="AT10">
        <f t="shared" si="1"/>
        <v>8.0508000000000006</v>
      </c>
      <c r="AU10" s="45">
        <f t="shared" si="2"/>
        <v>241.52400000000003</v>
      </c>
      <c r="AV10" s="136"/>
      <c r="AW10" s="45">
        <v>20</v>
      </c>
      <c r="AX10">
        <v>10.82</v>
      </c>
      <c r="AY10">
        <v>1.43</v>
      </c>
      <c r="AZ10">
        <v>15.97</v>
      </c>
      <c r="BA10">
        <v>1.91</v>
      </c>
      <c r="BB10" s="49">
        <f t="shared" si="3"/>
        <v>30.13</v>
      </c>
      <c r="BC10" s="48">
        <f t="shared" si="4"/>
        <v>1.5065</v>
      </c>
      <c r="BD10" s="48">
        <f t="shared" si="5"/>
        <v>8.0508000000000006</v>
      </c>
      <c r="BE10" s="48">
        <f t="shared" si="6"/>
        <v>0.18712426094301185</v>
      </c>
      <c r="BF10" s="50">
        <f t="shared" si="7"/>
        <v>495.69216723803839</v>
      </c>
      <c r="BG10" s="51">
        <f t="shared" si="8"/>
        <v>991.38433447607679</v>
      </c>
      <c r="BH10" s="48">
        <f t="shared" si="9"/>
        <v>0.35911052107534019</v>
      </c>
      <c r="BI10" s="48">
        <f t="shared" si="16"/>
        <v>4.7461002323265847E-2</v>
      </c>
      <c r="BJ10" s="48">
        <f t="shared" si="10"/>
        <v>0.53003650846332562</v>
      </c>
      <c r="BK10" s="48">
        <f t="shared" si="11"/>
        <v>6.3391968138068369E-2</v>
      </c>
      <c r="BL10" s="50">
        <f t="shared" si="12"/>
        <v>356.01654493963326</v>
      </c>
      <c r="BM10" s="50">
        <f t="shared" si="13"/>
        <v>47.052094201818448</v>
      </c>
      <c r="BN10" s="50">
        <f t="shared" si="14"/>
        <v>525.46989119093746</v>
      </c>
      <c r="BO10" s="50">
        <f t="shared" si="15"/>
        <v>62.845804143687573</v>
      </c>
      <c r="BP10">
        <v>11.9</v>
      </c>
      <c r="BQ10">
        <v>11.725</v>
      </c>
      <c r="BR10">
        <v>35.524999999999999</v>
      </c>
      <c r="BS10">
        <v>47.674999999999997</v>
      </c>
      <c r="BT10" s="49"/>
      <c r="BU10" s="39"/>
      <c r="BV10" s="43"/>
      <c r="BW10" s="43"/>
      <c r="BX10" s="40"/>
      <c r="BY10" s="43"/>
      <c r="CA10"/>
      <c r="CB10"/>
      <c r="CC10"/>
      <c r="CD10"/>
      <c r="CE10"/>
      <c r="CF10"/>
      <c r="CG10"/>
      <c r="CH10"/>
      <c r="CI10"/>
    </row>
    <row r="11" spans="1:87" s="36" customFormat="1" x14ac:dyDescent="0.35">
      <c r="A11" s="125" t="s">
        <v>34</v>
      </c>
      <c r="B11" s="6"/>
      <c r="C11" s="6"/>
      <c r="D11" s="45" t="s">
        <v>38</v>
      </c>
      <c r="E11" s="45">
        <v>1999</v>
      </c>
      <c r="F11" s="45">
        <v>1</v>
      </c>
      <c r="G11" s="45">
        <v>2</v>
      </c>
      <c r="H11" s="45">
        <v>2</v>
      </c>
      <c r="I11" s="45">
        <v>10</v>
      </c>
      <c r="J11" s="37"/>
      <c r="K11" s="35">
        <v>0.94582999999999995</v>
      </c>
      <c r="L11" s="141">
        <v>4.0191758305416103E-2</v>
      </c>
      <c r="M11" s="141">
        <v>5.2111105751028619E-2</v>
      </c>
      <c r="N11" s="141">
        <v>6.6520748603588808E-2</v>
      </c>
      <c r="O11" s="141">
        <v>0.10962115032718178</v>
      </c>
      <c r="P11">
        <v>0.9598082416945839</v>
      </c>
      <c r="Q11">
        <v>0.94788889424897138</v>
      </c>
      <c r="R11">
        <v>0.93347925139641119</v>
      </c>
      <c r="S11">
        <v>0.89037884967281822</v>
      </c>
      <c r="T11" s="45"/>
      <c r="U11" s="45"/>
      <c r="V11" s="45"/>
      <c r="W11" s="45"/>
      <c r="X11" s="45"/>
      <c r="Y11" s="45"/>
      <c r="Z11" s="45"/>
      <c r="AA11" s="45"/>
      <c r="AB11" s="45"/>
      <c r="AC11" s="45"/>
      <c r="AD11" s="45"/>
      <c r="AE11" s="45"/>
      <c r="AF11" s="45"/>
      <c r="AG11" s="45"/>
      <c r="AH11" s="45"/>
      <c r="AI11" s="45"/>
      <c r="AJ11" s="45"/>
      <c r="AK11" s="45"/>
      <c r="AL11" s="45"/>
      <c r="AM11" s="45"/>
      <c r="AN11" s="45"/>
      <c r="AO11" s="45">
        <v>0.5</v>
      </c>
      <c r="AP11">
        <v>2184</v>
      </c>
      <c r="AQ11" s="49">
        <f t="shared" si="0"/>
        <v>4368</v>
      </c>
      <c r="AR11">
        <v>313.48</v>
      </c>
      <c r="AS11">
        <v>48</v>
      </c>
      <c r="AT11">
        <f t="shared" si="1"/>
        <v>6.5308333333333337</v>
      </c>
      <c r="AU11" s="45">
        <f t="shared" si="2"/>
        <v>195.92500000000001</v>
      </c>
      <c r="AV11" s="136"/>
      <c r="AW11" s="45">
        <v>20</v>
      </c>
      <c r="AX11">
        <v>8.91</v>
      </c>
      <c r="AY11">
        <v>1.17</v>
      </c>
      <c r="AZ11">
        <v>8.61</v>
      </c>
      <c r="BA11">
        <v>0.43</v>
      </c>
      <c r="BB11" s="49">
        <f t="shared" si="3"/>
        <v>19.119999999999997</v>
      </c>
      <c r="BC11" s="48">
        <f t="shared" si="4"/>
        <v>0.95599999999999985</v>
      </c>
      <c r="BD11" s="48">
        <f t="shared" si="5"/>
        <v>6.5308333333333337</v>
      </c>
      <c r="BE11" s="48">
        <f t="shared" si="6"/>
        <v>0.14638254434094675</v>
      </c>
      <c r="BF11" s="50">
        <f t="shared" si="7"/>
        <v>319.69947684062771</v>
      </c>
      <c r="BG11" s="51">
        <f t="shared" si="8"/>
        <v>639.39895368125542</v>
      </c>
      <c r="BH11" s="48">
        <f t="shared" si="9"/>
        <v>0.46600418410041849</v>
      </c>
      <c r="BI11" s="48">
        <f t="shared" si="16"/>
        <v>6.1192468619246869E-2</v>
      </c>
      <c r="BJ11" s="48">
        <f t="shared" si="10"/>
        <v>0.45031380753138078</v>
      </c>
      <c r="BK11" s="48">
        <f t="shared" si="11"/>
        <v>2.2489539748953978E-2</v>
      </c>
      <c r="BL11" s="50">
        <f t="shared" si="12"/>
        <v>297.96258772489472</v>
      </c>
      <c r="BM11" s="50">
        <f t="shared" si="13"/>
        <v>39.126400408319505</v>
      </c>
      <c r="BN11" s="50">
        <f t="shared" si="14"/>
        <v>287.9301773637871</v>
      </c>
      <c r="BO11" s="50">
        <f t="shared" si="15"/>
        <v>14.379788184254178</v>
      </c>
      <c r="BP11">
        <v>4.95</v>
      </c>
      <c r="BQ11">
        <v>17.425000000000001</v>
      </c>
      <c r="BR11">
        <v>32.924999999999997</v>
      </c>
      <c r="BS11">
        <v>41.225000000000001</v>
      </c>
      <c r="BT11" s="49"/>
      <c r="BU11" s="39"/>
      <c r="BV11" s="43"/>
      <c r="BW11" s="43"/>
      <c r="BX11" s="40"/>
      <c r="BY11" s="43"/>
      <c r="CA11"/>
      <c r="CB11"/>
      <c r="CC11"/>
      <c r="CD11"/>
      <c r="CE11"/>
      <c r="CF11"/>
      <c r="CG11"/>
      <c r="CH11"/>
      <c r="CI11"/>
    </row>
    <row r="12" spans="1:87" s="36" customFormat="1" x14ac:dyDescent="0.35">
      <c r="A12" s="125" t="s">
        <v>34</v>
      </c>
      <c r="B12" s="6"/>
      <c r="C12" s="6"/>
      <c r="D12" s="45" t="s">
        <v>43</v>
      </c>
      <c r="E12" s="45">
        <v>2020</v>
      </c>
      <c r="F12" s="45">
        <v>1</v>
      </c>
      <c r="G12" s="45">
        <v>3</v>
      </c>
      <c r="H12" s="45">
        <v>2</v>
      </c>
      <c r="I12" s="45">
        <v>11</v>
      </c>
      <c r="J12" s="37"/>
      <c r="K12" s="35">
        <v>0.93899999999999995</v>
      </c>
      <c r="L12" s="141">
        <v>1.7494650404074275E-2</v>
      </c>
      <c r="M12" s="141">
        <v>2.6333986858597003E-2</v>
      </c>
      <c r="N12" s="141">
        <v>5.0353671331650585E-2</v>
      </c>
      <c r="O12" s="141">
        <v>0.15315029826917104</v>
      </c>
      <c r="P12">
        <v>0.98250534959592573</v>
      </c>
      <c r="Q12">
        <v>0.973666013141403</v>
      </c>
      <c r="R12">
        <v>0.94964632866834942</v>
      </c>
      <c r="S12">
        <v>0.84684970173082896</v>
      </c>
      <c r="T12" s="45"/>
      <c r="U12" s="45"/>
      <c r="V12" s="45"/>
      <c r="W12" s="45"/>
      <c r="X12" s="45"/>
      <c r="Y12" s="45"/>
      <c r="Z12" s="45"/>
      <c r="AA12" s="45"/>
      <c r="AB12" s="45"/>
      <c r="AC12" s="45"/>
      <c r="AD12" s="45"/>
      <c r="AE12" s="45"/>
      <c r="AF12" s="45"/>
      <c r="AG12" s="45"/>
      <c r="AH12" s="45"/>
      <c r="AI12" s="45"/>
      <c r="AJ12" s="45"/>
      <c r="AK12" s="45"/>
      <c r="AL12" s="45"/>
      <c r="AM12" s="45"/>
      <c r="AN12" s="45"/>
      <c r="AO12" s="45">
        <v>0.5</v>
      </c>
      <c r="AP12">
        <v>2286.5</v>
      </c>
      <c r="AQ12" s="49">
        <f t="shared" si="0"/>
        <v>4573</v>
      </c>
      <c r="AR12">
        <v>318.7</v>
      </c>
      <c r="AS12">
        <v>39</v>
      </c>
      <c r="AT12">
        <f t="shared" si="1"/>
        <v>8.1717948717948712</v>
      </c>
      <c r="AU12" s="45">
        <f t="shared" si="2"/>
        <v>245.15384615384613</v>
      </c>
      <c r="AV12" s="136"/>
      <c r="AW12" s="45">
        <v>20</v>
      </c>
      <c r="AX12">
        <v>12.53</v>
      </c>
      <c r="AY12">
        <v>1.41</v>
      </c>
      <c r="AZ12">
        <v>13.83</v>
      </c>
      <c r="BA12">
        <v>1.3</v>
      </c>
      <c r="BB12" s="49">
        <f t="shared" si="3"/>
        <v>29.07</v>
      </c>
      <c r="BC12" s="48">
        <f t="shared" si="4"/>
        <v>1.4535</v>
      </c>
      <c r="BD12" s="48">
        <f t="shared" si="5"/>
        <v>8.1717948717948712</v>
      </c>
      <c r="BE12" s="48">
        <f t="shared" si="6"/>
        <v>0.17786790084719173</v>
      </c>
      <c r="BF12" s="50">
        <f t="shared" si="7"/>
        <v>406.69495528710388</v>
      </c>
      <c r="BG12" s="51">
        <f t="shared" si="8"/>
        <v>813.38991057420776</v>
      </c>
      <c r="BH12" s="48">
        <f t="shared" si="9"/>
        <v>0.43102855177158578</v>
      </c>
      <c r="BI12" s="48">
        <f t="shared" si="16"/>
        <v>4.8503611971104227E-2</v>
      </c>
      <c r="BJ12" s="48">
        <f t="shared" si="10"/>
        <v>0.4757481940144479</v>
      </c>
      <c r="BK12" s="48">
        <f t="shared" si="11"/>
        <v>4.4719642242862061E-2</v>
      </c>
      <c r="BL12" s="50">
        <f t="shared" si="12"/>
        <v>350.59427518042042</v>
      </c>
      <c r="BM12" s="50">
        <f t="shared" si="13"/>
        <v>39.452348603702539</v>
      </c>
      <c r="BN12" s="50">
        <f t="shared" si="14"/>
        <v>386.96878098525264</v>
      </c>
      <c r="BO12" s="50">
        <f t="shared" si="15"/>
        <v>36.374505804832133</v>
      </c>
      <c r="BP12">
        <v>9.3249999999999993</v>
      </c>
      <c r="BQ12">
        <v>29.175000000000001</v>
      </c>
      <c r="BR12">
        <v>43.625</v>
      </c>
      <c r="BS12">
        <v>62.125</v>
      </c>
      <c r="BT12" s="49"/>
      <c r="BU12" s="39"/>
      <c r="BV12" s="43"/>
      <c r="BW12" s="43"/>
      <c r="BX12" s="40"/>
      <c r="BY12" s="43"/>
      <c r="CA12"/>
      <c r="CB12"/>
      <c r="CC12"/>
      <c r="CD12"/>
      <c r="CE12"/>
      <c r="CF12"/>
      <c r="CG12"/>
      <c r="CH12"/>
      <c r="CI12"/>
    </row>
    <row r="13" spans="1:87" s="36" customFormat="1" x14ac:dyDescent="0.35">
      <c r="A13" s="125" t="s">
        <v>34</v>
      </c>
      <c r="B13" s="6"/>
      <c r="C13" s="6"/>
      <c r="D13" s="45" t="s">
        <v>41</v>
      </c>
      <c r="E13" s="45">
        <v>2008</v>
      </c>
      <c r="F13" s="45">
        <v>1</v>
      </c>
      <c r="G13" s="45">
        <v>4</v>
      </c>
      <c r="H13" s="45">
        <v>2</v>
      </c>
      <c r="I13" s="45">
        <v>12</v>
      </c>
      <c r="J13" s="37"/>
      <c r="K13" s="35">
        <v>0.93589</v>
      </c>
      <c r="L13" s="141">
        <v>3.1523727931559664E-2</v>
      </c>
      <c r="M13" s="141">
        <v>3.064237281439719E-2</v>
      </c>
      <c r="N13" s="141">
        <v>4.5742607930986168E-2</v>
      </c>
      <c r="O13" s="141">
        <v>0.14405734427054662</v>
      </c>
      <c r="P13">
        <v>0.96847627206844034</v>
      </c>
      <c r="Q13">
        <v>0.96935762718560281</v>
      </c>
      <c r="R13">
        <v>0.95425739206901383</v>
      </c>
      <c r="S13">
        <v>0.85594265572945338</v>
      </c>
      <c r="T13" s="45"/>
      <c r="U13" s="45"/>
      <c r="V13" s="45"/>
      <c r="W13" s="45"/>
      <c r="X13" s="45"/>
      <c r="Y13" s="45"/>
      <c r="Z13" s="45"/>
      <c r="AA13" s="45"/>
      <c r="AB13" s="45"/>
      <c r="AC13" s="45"/>
      <c r="AD13" s="45"/>
      <c r="AE13" s="45"/>
      <c r="AF13" s="45"/>
      <c r="AG13" s="45"/>
      <c r="AH13" s="45"/>
      <c r="AI13" s="45"/>
      <c r="AJ13" s="45"/>
      <c r="AK13" s="45"/>
      <c r="AL13" s="45"/>
      <c r="AM13" s="45"/>
      <c r="AN13" s="45"/>
      <c r="AO13" s="45">
        <v>0.5</v>
      </c>
      <c r="AP13">
        <v>2722</v>
      </c>
      <c r="AQ13" s="49">
        <f t="shared" si="0"/>
        <v>5444</v>
      </c>
      <c r="AR13">
        <v>388.6</v>
      </c>
      <c r="AS13">
        <v>55</v>
      </c>
      <c r="AT13">
        <f t="shared" si="1"/>
        <v>7.0654545454545454</v>
      </c>
      <c r="AU13" s="45">
        <f t="shared" si="2"/>
        <v>211.96363636363637</v>
      </c>
      <c r="AV13" s="136"/>
      <c r="AW13" s="45">
        <v>20</v>
      </c>
      <c r="AX13">
        <v>10.43</v>
      </c>
      <c r="AY13">
        <v>0.49</v>
      </c>
      <c r="AZ13">
        <v>12.15</v>
      </c>
      <c r="BA13"/>
      <c r="BB13" s="49">
        <f>SUM(AX13:BA13)</f>
        <v>23.07</v>
      </c>
      <c r="BC13" s="48">
        <f t="shared" si="4"/>
        <v>1.1535</v>
      </c>
      <c r="BD13" s="48">
        <f t="shared" si="5"/>
        <v>7.0654545454545454</v>
      </c>
      <c r="BE13" s="48">
        <f t="shared" si="6"/>
        <v>0.16325913535769429</v>
      </c>
      <c r="BF13" s="50">
        <f t="shared" si="7"/>
        <v>444.39136644364385</v>
      </c>
      <c r="BG13" s="51">
        <f t="shared" si="8"/>
        <v>888.78273288728769</v>
      </c>
      <c r="BH13" s="48">
        <f t="shared" si="9"/>
        <v>0.45210229735587343</v>
      </c>
      <c r="BI13" s="48">
        <f t="shared" si="16"/>
        <v>2.1239705244906804E-2</v>
      </c>
      <c r="BJ13" s="48">
        <f t="shared" si="10"/>
        <v>0.52665799739921981</v>
      </c>
      <c r="BK13" s="48">
        <f t="shared" si="11"/>
        <v>0</v>
      </c>
      <c r="BL13" s="50">
        <f t="shared" si="12"/>
        <v>401.82071538857434</v>
      </c>
      <c r="BM13" s="50">
        <f t="shared" si="13"/>
        <v>18.877483273288728</v>
      </c>
      <c r="BN13" s="50">
        <f t="shared" si="14"/>
        <v>468.08453422542465</v>
      </c>
      <c r="BO13" s="50">
        <f t="shared" si="15"/>
        <v>0</v>
      </c>
      <c r="BP13">
        <v>7.375</v>
      </c>
      <c r="BQ13">
        <v>16.274999999999999</v>
      </c>
      <c r="BR13">
        <v>52.475000000000001</v>
      </c>
      <c r="BS13">
        <v>50.174999999999997</v>
      </c>
      <c r="BT13" s="49"/>
      <c r="BU13" s="39"/>
      <c r="BV13" s="43"/>
      <c r="BW13" s="43"/>
      <c r="BX13" s="40"/>
      <c r="BY13" s="43"/>
      <c r="CA13"/>
      <c r="CB13"/>
      <c r="CC13"/>
      <c r="CD13"/>
      <c r="CE13"/>
      <c r="CF13"/>
      <c r="CG13"/>
      <c r="CH13"/>
      <c r="CI13"/>
    </row>
    <row r="14" spans="1:87" s="36" customFormat="1" x14ac:dyDescent="0.35">
      <c r="A14" s="125" t="s">
        <v>34</v>
      </c>
      <c r="B14" s="6"/>
      <c r="C14" s="6"/>
      <c r="D14" s="45" t="s">
        <v>37</v>
      </c>
      <c r="E14" s="45">
        <v>1989</v>
      </c>
      <c r="F14" s="45">
        <v>1</v>
      </c>
      <c r="G14" s="45">
        <v>5</v>
      </c>
      <c r="H14" s="45">
        <v>2</v>
      </c>
      <c r="I14" s="45">
        <v>13</v>
      </c>
      <c r="J14" s="37"/>
      <c r="K14" s="35">
        <v>0.93845000000000001</v>
      </c>
      <c r="L14" s="141">
        <v>9.4597424616519321E-3</v>
      </c>
      <c r="M14" s="141">
        <v>1.0286232450898769E-2</v>
      </c>
      <c r="N14" s="141">
        <v>1.7524802678447582E-2</v>
      </c>
      <c r="O14" s="141">
        <v>0.12742544279705148</v>
      </c>
      <c r="P14">
        <v>0.99054025753834807</v>
      </c>
      <c r="Q14">
        <v>0.98971376754910123</v>
      </c>
      <c r="R14">
        <v>0.98247519732155242</v>
      </c>
      <c r="S14">
        <v>0.87257455720294852</v>
      </c>
      <c r="T14" s="45"/>
      <c r="U14" s="45"/>
      <c r="V14" s="45"/>
      <c r="W14" s="45"/>
      <c r="X14" s="45"/>
      <c r="Y14" s="45"/>
      <c r="Z14" s="45"/>
      <c r="AA14" s="45"/>
      <c r="AB14" s="45"/>
      <c r="AC14" s="45"/>
      <c r="AD14" s="45"/>
      <c r="AE14" s="45"/>
      <c r="AF14" s="45"/>
      <c r="AG14" s="45"/>
      <c r="AH14" s="45"/>
      <c r="AI14" s="45"/>
      <c r="AJ14" s="45"/>
      <c r="AK14" s="45"/>
      <c r="AL14" s="45"/>
      <c r="AM14" s="45"/>
      <c r="AN14" s="45"/>
      <c r="AO14" s="45">
        <v>0.5</v>
      </c>
      <c r="AP14">
        <v>2144.5</v>
      </c>
      <c r="AQ14" s="49">
        <f t="shared" si="0"/>
        <v>4289</v>
      </c>
      <c r="AR14">
        <v>260.29000000000002</v>
      </c>
      <c r="AS14">
        <v>50</v>
      </c>
      <c r="AT14">
        <f t="shared" si="1"/>
        <v>5.2058</v>
      </c>
      <c r="AU14" s="45">
        <f t="shared" si="2"/>
        <v>156.17400000000001</v>
      </c>
      <c r="AV14" s="136"/>
      <c r="AW14" s="45">
        <v>20</v>
      </c>
      <c r="AX14">
        <v>7.11</v>
      </c>
      <c r="AY14">
        <v>0.63</v>
      </c>
      <c r="AZ14">
        <v>6.28</v>
      </c>
      <c r="BA14">
        <v>0.86</v>
      </c>
      <c r="BB14" s="49">
        <f t="shared" si="3"/>
        <v>14.879999999999999</v>
      </c>
      <c r="BC14" s="48">
        <f t="shared" si="4"/>
        <v>0.74399999999999999</v>
      </c>
      <c r="BD14" s="48">
        <f t="shared" si="5"/>
        <v>5.2058</v>
      </c>
      <c r="BE14" s="48">
        <f t="shared" si="6"/>
        <v>0.14291751507933459</v>
      </c>
      <c r="BF14" s="50">
        <f t="shared" si="7"/>
        <v>306.48661108763304</v>
      </c>
      <c r="BG14" s="51">
        <f t="shared" si="8"/>
        <v>612.97322217526607</v>
      </c>
      <c r="BH14" s="48">
        <f t="shared" si="9"/>
        <v>0.47782258064516137</v>
      </c>
      <c r="BI14" s="48">
        <f t="shared" si="16"/>
        <v>4.2338709677419359E-2</v>
      </c>
      <c r="BJ14" s="48">
        <f t="shared" si="10"/>
        <v>0.42204301075268824</v>
      </c>
      <c r="BK14" s="48">
        <f t="shared" si="11"/>
        <v>5.7795698924731187E-2</v>
      </c>
      <c r="BL14" s="50">
        <f t="shared" si="12"/>
        <v>292.89244688616549</v>
      </c>
      <c r="BM14" s="50">
        <f t="shared" si="13"/>
        <v>25.952495293710864</v>
      </c>
      <c r="BN14" s="50">
        <f t="shared" si="14"/>
        <v>258.70106419762578</v>
      </c>
      <c r="BO14" s="50">
        <f t="shared" si="15"/>
        <v>35.427215797764035</v>
      </c>
      <c r="BP14">
        <v>2.5750000000000002</v>
      </c>
      <c r="BQ14">
        <v>24.85</v>
      </c>
      <c r="BR14">
        <v>19.100000000000001</v>
      </c>
      <c r="BS14">
        <v>46.65</v>
      </c>
      <c r="BT14" s="49"/>
      <c r="BU14" s="39"/>
      <c r="BV14" s="43"/>
      <c r="BW14" s="43"/>
      <c r="BX14" s="40"/>
      <c r="BY14" s="43"/>
      <c r="CA14"/>
      <c r="CB14"/>
      <c r="CC14"/>
      <c r="CD14"/>
      <c r="CE14"/>
      <c r="CF14"/>
      <c r="CG14"/>
      <c r="CH14"/>
      <c r="CI14"/>
    </row>
    <row r="15" spans="1:87" s="36" customFormat="1" x14ac:dyDescent="0.35">
      <c r="A15" s="125" t="s">
        <v>34</v>
      </c>
      <c r="B15" s="6"/>
      <c r="C15" s="6"/>
      <c r="D15" s="45" t="s">
        <v>343</v>
      </c>
      <c r="E15" s="45">
        <v>2004</v>
      </c>
      <c r="F15" s="45">
        <v>1</v>
      </c>
      <c r="G15" s="45">
        <v>6</v>
      </c>
      <c r="H15" s="45">
        <v>2</v>
      </c>
      <c r="I15" s="45">
        <v>14</v>
      </c>
      <c r="J15" s="37"/>
      <c r="K15" s="35">
        <v>0.94199999999999995</v>
      </c>
      <c r="L15" s="141">
        <v>1.4259982324926757E-2</v>
      </c>
      <c r="M15" s="141">
        <v>1.0888522698799252E-2</v>
      </c>
      <c r="N15" s="141">
        <v>2.053873676396778E-2</v>
      </c>
      <c r="O15" s="141">
        <v>0.11674284595532292</v>
      </c>
      <c r="P15">
        <v>0.98574001767507324</v>
      </c>
      <c r="Q15">
        <v>0.98911147730120075</v>
      </c>
      <c r="R15">
        <v>0.97946126323603222</v>
      </c>
      <c r="S15">
        <v>0.88325715404467708</v>
      </c>
      <c r="T15" s="45"/>
      <c r="U15" s="45"/>
      <c r="V15" s="45"/>
      <c r="W15" s="45"/>
      <c r="X15" s="45"/>
      <c r="Y15" s="45"/>
      <c r="Z15" s="45"/>
      <c r="AA15" s="45"/>
      <c r="AB15" s="45"/>
      <c r="AC15" s="45"/>
      <c r="AD15" s="45"/>
      <c r="AE15" s="45"/>
      <c r="AF15" s="45"/>
      <c r="AG15" s="45"/>
      <c r="AH15" s="45"/>
      <c r="AI15" s="45"/>
      <c r="AJ15" s="45"/>
      <c r="AK15" s="45"/>
      <c r="AL15" s="45"/>
      <c r="AM15" s="45"/>
      <c r="AN15" s="45"/>
      <c r="AO15" s="45">
        <v>0.5</v>
      </c>
      <c r="AP15">
        <v>2132</v>
      </c>
      <c r="AQ15" s="49">
        <f t="shared" si="0"/>
        <v>4264</v>
      </c>
      <c r="AR15">
        <v>248.52</v>
      </c>
      <c r="AS15">
        <v>39</v>
      </c>
      <c r="AT15">
        <f t="shared" si="1"/>
        <v>6.3723076923076922</v>
      </c>
      <c r="AU15" s="45">
        <f t="shared" si="2"/>
        <v>191.16923076923078</v>
      </c>
      <c r="AV15" s="136"/>
      <c r="AW15" s="45">
        <v>20</v>
      </c>
      <c r="AX15">
        <v>10.08</v>
      </c>
      <c r="AY15">
        <v>0.49</v>
      </c>
      <c r="AZ15">
        <v>12.72</v>
      </c>
      <c r="BA15">
        <v>1.42</v>
      </c>
      <c r="BB15" s="49">
        <f t="shared" si="3"/>
        <v>24.71</v>
      </c>
      <c r="BC15" s="48">
        <f t="shared" si="4"/>
        <v>1.2355</v>
      </c>
      <c r="BD15" s="48">
        <f t="shared" si="5"/>
        <v>6.3723076923076922</v>
      </c>
      <c r="BE15" s="48">
        <f t="shared" si="6"/>
        <v>0.19388580395943988</v>
      </c>
      <c r="BF15" s="50">
        <f t="shared" si="7"/>
        <v>413.36453404152581</v>
      </c>
      <c r="BG15" s="51">
        <f t="shared" si="8"/>
        <v>826.72906808305163</v>
      </c>
      <c r="BH15" s="48">
        <f t="shared" si="9"/>
        <v>0.40793201133144474</v>
      </c>
      <c r="BI15" s="48">
        <f t="shared" si="16"/>
        <v>1.9830028328611898E-2</v>
      </c>
      <c r="BJ15" s="48">
        <f t="shared" si="10"/>
        <v>0.5147713476325374</v>
      </c>
      <c r="BK15" s="48">
        <f t="shared" si="11"/>
        <v>5.7466612707405905E-2</v>
      </c>
      <c r="BL15" s="50">
        <f t="shared" si="12"/>
        <v>337.24925156929015</v>
      </c>
      <c r="BM15" s="50">
        <f t="shared" si="13"/>
        <v>16.394060840173829</v>
      </c>
      <c r="BN15" s="50">
        <f t="shared" si="14"/>
        <v>425.57643650410427</v>
      </c>
      <c r="BO15" s="50">
        <f t="shared" si="15"/>
        <v>47.509319169483334</v>
      </c>
      <c r="BP15">
        <v>10.1</v>
      </c>
      <c r="BQ15">
        <v>15.7</v>
      </c>
      <c r="BR15">
        <v>42.674999999999997</v>
      </c>
      <c r="BS15">
        <v>44.8</v>
      </c>
      <c r="BT15" s="49"/>
      <c r="BU15" s="39"/>
      <c r="BV15" s="43"/>
      <c r="BW15" s="43"/>
      <c r="BX15" s="40"/>
      <c r="BY15" s="43"/>
      <c r="CA15"/>
      <c r="CB15"/>
      <c r="CC15"/>
      <c r="CD15"/>
      <c r="CE15"/>
      <c r="CF15"/>
      <c r="CG15"/>
      <c r="CH15"/>
      <c r="CI15"/>
    </row>
    <row r="16" spans="1:87" s="36" customFormat="1" x14ac:dyDescent="0.35">
      <c r="A16" s="125" t="s">
        <v>34</v>
      </c>
      <c r="B16" s="6"/>
      <c r="C16" s="6"/>
      <c r="D16" s="45" t="s">
        <v>36</v>
      </c>
      <c r="E16" s="45">
        <v>1984</v>
      </c>
      <c r="F16" s="45">
        <v>1</v>
      </c>
      <c r="G16" s="45">
        <v>7</v>
      </c>
      <c r="H16" s="45">
        <v>2</v>
      </c>
      <c r="I16" s="45">
        <v>15</v>
      </c>
      <c r="J16" s="37"/>
      <c r="K16" s="35">
        <v>0.94610000000000005</v>
      </c>
      <c r="L16" s="141">
        <v>1.6962230047995019E-2</v>
      </c>
      <c r="M16" s="141">
        <v>2.1196292746226364E-2</v>
      </c>
      <c r="N16" s="141">
        <v>3.333660568534369E-2</v>
      </c>
      <c r="O16" s="141">
        <v>9.7645533818020103E-2</v>
      </c>
      <c r="P16">
        <v>0.98303776995200498</v>
      </c>
      <c r="Q16">
        <v>0.97880370725377364</v>
      </c>
      <c r="R16">
        <v>0.96666339431465631</v>
      </c>
      <c r="S16">
        <v>0.9023544661819799</v>
      </c>
      <c r="T16" s="45"/>
      <c r="U16" s="45"/>
      <c r="V16" s="45"/>
      <c r="W16" s="45"/>
      <c r="X16" s="45"/>
      <c r="Y16" s="45"/>
      <c r="Z16" s="45"/>
      <c r="AA16" s="45"/>
      <c r="AB16" s="45"/>
      <c r="AC16" s="45"/>
      <c r="AD16" s="45"/>
      <c r="AE16" s="45"/>
      <c r="AF16" s="45"/>
      <c r="AG16" s="45"/>
      <c r="AH16" s="45"/>
      <c r="AI16" s="45"/>
      <c r="AJ16" s="45"/>
      <c r="AK16" s="45"/>
      <c r="AL16" s="45"/>
      <c r="AM16" s="45"/>
      <c r="AN16" s="45"/>
      <c r="AO16" s="45">
        <v>0.5</v>
      </c>
      <c r="AP16">
        <v>2642.5</v>
      </c>
      <c r="AQ16" s="49">
        <f t="shared" si="0"/>
        <v>5285</v>
      </c>
      <c r="AR16">
        <v>287.05</v>
      </c>
      <c r="AS16">
        <v>38</v>
      </c>
      <c r="AT16">
        <f t="shared" si="1"/>
        <v>7.5539473684210527</v>
      </c>
      <c r="AU16" s="45">
        <f t="shared" si="2"/>
        <v>226.61842105263159</v>
      </c>
      <c r="AV16" s="136"/>
      <c r="AW16" s="45">
        <v>20</v>
      </c>
      <c r="AX16">
        <v>12.61</v>
      </c>
      <c r="AY16">
        <v>0.12</v>
      </c>
      <c r="AZ16">
        <v>14.96</v>
      </c>
      <c r="BA16">
        <v>1.7</v>
      </c>
      <c r="BB16" s="49">
        <f t="shared" si="3"/>
        <v>29.389999999999997</v>
      </c>
      <c r="BC16" s="48">
        <f t="shared" si="4"/>
        <v>1.4694999999999998</v>
      </c>
      <c r="BD16" s="48">
        <f t="shared" si="5"/>
        <v>7.5539473684210527</v>
      </c>
      <c r="BE16" s="48">
        <f t="shared" si="6"/>
        <v>0.19453405330081863</v>
      </c>
      <c r="BF16" s="50">
        <f t="shared" si="7"/>
        <v>514.05623584741329</v>
      </c>
      <c r="BG16" s="51">
        <f t="shared" si="8"/>
        <v>1028.1124716948266</v>
      </c>
      <c r="BH16" s="48">
        <f t="shared" si="9"/>
        <v>0.4290575025518884</v>
      </c>
      <c r="BI16" s="48">
        <f t="shared" si="16"/>
        <v>4.0830214358625388E-3</v>
      </c>
      <c r="BJ16" s="48">
        <f t="shared" si="10"/>
        <v>0.5090166723375299</v>
      </c>
      <c r="BK16" s="48">
        <f t="shared" si="11"/>
        <v>5.7842803674719299E-2</v>
      </c>
      <c r="BL16" s="50">
        <f t="shared" si="12"/>
        <v>441.11936944783133</v>
      </c>
      <c r="BM16" s="50">
        <f t="shared" si="13"/>
        <v>4.1978052604075948</v>
      </c>
      <c r="BN16" s="50">
        <f t="shared" si="14"/>
        <v>523.32638913081348</v>
      </c>
      <c r="BO16" s="50">
        <f t="shared" si="15"/>
        <v>59.468907855774255</v>
      </c>
      <c r="BP16">
        <v>17.225000000000001</v>
      </c>
      <c r="BQ16">
        <v>22.274999999999999</v>
      </c>
      <c r="BR16">
        <v>22.6</v>
      </c>
      <c r="BS16">
        <v>41.174999999999997</v>
      </c>
      <c r="BT16" s="49"/>
      <c r="BU16" s="39"/>
      <c r="BV16" s="43"/>
      <c r="BW16" s="43"/>
      <c r="BX16" s="40"/>
      <c r="BY16" s="43"/>
      <c r="CA16"/>
      <c r="CB16"/>
      <c r="CC16"/>
      <c r="CD16"/>
      <c r="CE16"/>
      <c r="CF16"/>
      <c r="CG16"/>
      <c r="CH16"/>
      <c r="CI16"/>
    </row>
    <row r="17" spans="1:87" s="36" customFormat="1" x14ac:dyDescent="0.35">
      <c r="A17" s="125" t="s">
        <v>34</v>
      </c>
      <c r="B17" s="6"/>
      <c r="C17" s="6"/>
      <c r="D17" s="45" t="s">
        <v>39</v>
      </c>
      <c r="E17" s="45">
        <v>2001</v>
      </c>
      <c r="F17" s="45">
        <v>1</v>
      </c>
      <c r="G17" s="45">
        <v>8</v>
      </c>
      <c r="H17" s="45">
        <v>2</v>
      </c>
      <c r="I17" s="45">
        <v>16</v>
      </c>
      <c r="J17" s="37"/>
      <c r="K17" s="35">
        <v>0.91957999999999995</v>
      </c>
      <c r="L17" s="141">
        <v>4.8326356843491181E-2</v>
      </c>
      <c r="M17" s="141">
        <v>4.7275062067345219E-2</v>
      </c>
      <c r="N17" s="141">
        <v>7.69369369366113E-2</v>
      </c>
      <c r="O17" s="141">
        <v>0.15719163771458455</v>
      </c>
      <c r="P17">
        <v>0.95167364315650882</v>
      </c>
      <c r="Q17">
        <v>0.95272493793265478</v>
      </c>
      <c r="R17">
        <v>0.9230630630633887</v>
      </c>
      <c r="S17">
        <v>0.84280836228541545</v>
      </c>
      <c r="T17" s="45"/>
      <c r="U17" s="45"/>
      <c r="V17" s="45"/>
      <c r="W17" s="45"/>
      <c r="X17" s="45"/>
      <c r="Y17" s="45"/>
      <c r="Z17" s="45"/>
      <c r="AA17" s="45"/>
      <c r="AB17" s="45"/>
      <c r="AC17" s="45"/>
      <c r="AD17" s="45"/>
      <c r="AE17" s="45"/>
      <c r="AF17" s="45"/>
      <c r="AG17" s="45"/>
      <c r="AH17" s="45"/>
      <c r="AI17" s="45"/>
      <c r="AJ17" s="45"/>
      <c r="AK17" s="45"/>
      <c r="AL17" s="45"/>
      <c r="AM17" s="45"/>
      <c r="AN17" s="45"/>
      <c r="AO17" s="45">
        <v>0.5</v>
      </c>
      <c r="AP17">
        <v>2427</v>
      </c>
      <c r="AQ17" s="49">
        <f t="shared" si="0"/>
        <v>4854</v>
      </c>
      <c r="AR17">
        <v>244.86</v>
      </c>
      <c r="AS17">
        <v>37</v>
      </c>
      <c r="AT17">
        <f t="shared" si="1"/>
        <v>6.617837837837838</v>
      </c>
      <c r="AU17" s="45">
        <f t="shared" si="2"/>
        <v>198.53513513513514</v>
      </c>
      <c r="AV17" s="136"/>
      <c r="AW17" s="45">
        <v>20</v>
      </c>
      <c r="AX17">
        <v>7.71</v>
      </c>
      <c r="AY17">
        <v>0.64</v>
      </c>
      <c r="AZ17">
        <v>9.15</v>
      </c>
      <c r="BA17">
        <v>1.63</v>
      </c>
      <c r="BB17" s="49">
        <f t="shared" si="3"/>
        <v>19.13</v>
      </c>
      <c r="BC17" s="48">
        <f t="shared" si="4"/>
        <v>0.95649999999999991</v>
      </c>
      <c r="BD17" s="48">
        <f t="shared" si="5"/>
        <v>6.617837837837838</v>
      </c>
      <c r="BE17" s="48">
        <f t="shared" si="6"/>
        <v>0.14453361104304499</v>
      </c>
      <c r="BF17" s="50">
        <f t="shared" si="7"/>
        <v>350.7830740014702</v>
      </c>
      <c r="BG17" s="51">
        <f t="shared" si="8"/>
        <v>701.56614800294039</v>
      </c>
      <c r="BH17" s="48">
        <f t="shared" si="9"/>
        <v>0.40303188708834292</v>
      </c>
      <c r="BI17" s="48">
        <f t="shared" si="16"/>
        <v>3.3455305802404606E-2</v>
      </c>
      <c r="BJ17" s="48">
        <f t="shared" si="10"/>
        <v>0.47830632514375332</v>
      </c>
      <c r="BK17" s="48">
        <f t="shared" si="11"/>
        <v>8.5206481965499209E-2</v>
      </c>
      <c r="BL17" s="50">
        <f t="shared" si="12"/>
        <v>282.75352854692477</v>
      </c>
      <c r="BM17" s="50">
        <f t="shared" si="13"/>
        <v>23.47111002205342</v>
      </c>
      <c r="BN17" s="50">
        <f t="shared" si="14"/>
        <v>335.56352609654499</v>
      </c>
      <c r="BO17" s="50">
        <f t="shared" si="15"/>
        <v>59.77798333741729</v>
      </c>
      <c r="BP17">
        <v>19.55</v>
      </c>
      <c r="BQ17">
        <v>24.1</v>
      </c>
      <c r="BR17">
        <v>41.075000000000003</v>
      </c>
      <c r="BS17">
        <v>47.2</v>
      </c>
      <c r="BT17" s="49"/>
      <c r="BU17" s="39"/>
      <c r="BV17" s="43"/>
      <c r="BW17" s="43"/>
      <c r="BX17" s="40"/>
      <c r="BY17" s="43"/>
      <c r="CA17"/>
      <c r="CB17"/>
      <c r="CC17"/>
      <c r="CD17"/>
      <c r="CE17"/>
      <c r="CF17"/>
      <c r="CG17"/>
      <c r="CH17"/>
      <c r="CI17"/>
    </row>
    <row r="18" spans="1:87" s="36" customFormat="1" x14ac:dyDescent="0.35">
      <c r="A18" s="125" t="s">
        <v>24</v>
      </c>
      <c r="B18" s="79"/>
      <c r="C18" s="79"/>
      <c r="D18" s="45" t="s">
        <v>335</v>
      </c>
      <c r="E18" s="45">
        <v>2023</v>
      </c>
      <c r="F18" s="45">
        <v>2</v>
      </c>
      <c r="G18" s="45">
        <v>1</v>
      </c>
      <c r="H18" s="45">
        <v>3</v>
      </c>
      <c r="I18" s="45">
        <v>17</v>
      </c>
      <c r="J18" s="37"/>
      <c r="K18" s="35">
        <v>0.93162999999999996</v>
      </c>
      <c r="L18" s="141">
        <v>1.9522395295601846E-2</v>
      </c>
      <c r="M18" s="141">
        <v>1.8891846603847018E-2</v>
      </c>
      <c r="N18" s="141">
        <v>3.2434830969997552E-2</v>
      </c>
      <c r="O18" s="141">
        <v>0.12078249579371825</v>
      </c>
      <c r="P18">
        <v>0.98047760470439815</v>
      </c>
      <c r="Q18">
        <v>0.98110815339615298</v>
      </c>
      <c r="R18">
        <v>0.96756516903000245</v>
      </c>
      <c r="S18">
        <v>0.87921750420628175</v>
      </c>
      <c r="T18" s="45"/>
      <c r="U18" s="45"/>
      <c r="V18" s="45"/>
      <c r="W18" s="45"/>
      <c r="X18" s="45"/>
      <c r="Y18" s="45"/>
      <c r="Z18" s="45"/>
      <c r="AA18" s="45"/>
      <c r="AB18" s="45"/>
      <c r="AC18" s="45"/>
      <c r="AD18" s="45"/>
      <c r="AE18" s="45"/>
      <c r="AF18" s="45"/>
      <c r="AG18" s="45"/>
      <c r="AH18" s="45"/>
      <c r="AI18" s="45"/>
      <c r="AJ18" s="45"/>
      <c r="AK18" s="45"/>
      <c r="AL18" s="45"/>
      <c r="AM18" s="45"/>
      <c r="AN18" s="45"/>
      <c r="AO18" s="45">
        <v>0.5</v>
      </c>
      <c r="AP18">
        <v>2776</v>
      </c>
      <c r="AQ18" s="49">
        <f t="shared" si="0"/>
        <v>5552</v>
      </c>
      <c r="AR18">
        <v>193.26</v>
      </c>
      <c r="AS18">
        <v>28</v>
      </c>
      <c r="AT18">
        <f t="shared" si="1"/>
        <v>6.9021428571428567</v>
      </c>
      <c r="AU18" s="45">
        <f t="shared" si="2"/>
        <v>207.06428571428569</v>
      </c>
      <c r="AV18" s="136"/>
      <c r="AW18" s="45">
        <v>20</v>
      </c>
      <c r="AX18">
        <v>8.2200000000000006</v>
      </c>
      <c r="AY18">
        <v>2.68</v>
      </c>
      <c r="AZ18">
        <v>14.42</v>
      </c>
      <c r="BA18">
        <v>1.68</v>
      </c>
      <c r="BB18" s="49">
        <f t="shared" si="3"/>
        <v>27</v>
      </c>
      <c r="BC18" s="48">
        <f t="shared" si="4"/>
        <v>1.35</v>
      </c>
      <c r="BD18" s="48">
        <f t="shared" si="5"/>
        <v>6.9021428571428567</v>
      </c>
      <c r="BE18" s="48">
        <f t="shared" si="6"/>
        <v>0.1955914312325365</v>
      </c>
      <c r="BF18" s="50">
        <f t="shared" si="7"/>
        <v>542.96181310152133</v>
      </c>
      <c r="BG18" s="51">
        <f t="shared" si="8"/>
        <v>1085.9236262030427</v>
      </c>
      <c r="BH18" s="48">
        <f t="shared" si="9"/>
        <v>0.30444444444444446</v>
      </c>
      <c r="BI18" s="48">
        <f t="shared" si="16"/>
        <v>9.9259259259259269E-2</v>
      </c>
      <c r="BJ18" s="48">
        <f t="shared" si="10"/>
        <v>0.53407407407407403</v>
      </c>
      <c r="BK18" s="48">
        <f t="shared" si="11"/>
        <v>6.222222222222222E-2</v>
      </c>
      <c r="BL18" s="50">
        <f t="shared" si="12"/>
        <v>330.60341508848188</v>
      </c>
      <c r="BM18" s="50">
        <f t="shared" si="13"/>
        <v>107.78797474904276</v>
      </c>
      <c r="BN18" s="50">
        <f t="shared" si="14"/>
        <v>579.96365517955087</v>
      </c>
      <c r="BO18" s="50">
        <f t="shared" si="15"/>
        <v>67.568581185967091</v>
      </c>
      <c r="BP18">
        <v>11.1</v>
      </c>
      <c r="BQ18">
        <v>18.149999999999999</v>
      </c>
      <c r="BR18">
        <v>41.55</v>
      </c>
      <c r="BS18">
        <v>51.274999999999999</v>
      </c>
      <c r="BT18" s="49"/>
      <c r="BU18" s="39"/>
      <c r="BV18" s="43"/>
      <c r="BW18" s="43"/>
      <c r="BX18" s="40"/>
      <c r="BY18" s="43"/>
      <c r="CA18"/>
      <c r="CB18"/>
      <c r="CC18"/>
      <c r="CD18"/>
      <c r="CE18"/>
      <c r="CF18"/>
      <c r="CG18"/>
      <c r="CH18"/>
      <c r="CI18"/>
    </row>
    <row r="19" spans="1:87" s="36" customFormat="1" x14ac:dyDescent="0.35">
      <c r="A19" s="125" t="s">
        <v>24</v>
      </c>
      <c r="B19" s="79"/>
      <c r="C19" s="79"/>
      <c r="D19" s="45" t="s">
        <v>28</v>
      </c>
      <c r="E19" s="45">
        <v>1998</v>
      </c>
      <c r="F19" s="45">
        <v>2</v>
      </c>
      <c r="G19" s="45">
        <v>2</v>
      </c>
      <c r="H19" s="45">
        <v>3</v>
      </c>
      <c r="I19" s="45">
        <v>18</v>
      </c>
      <c r="J19" s="37"/>
      <c r="K19" s="35">
        <v>0.94840000000000002</v>
      </c>
      <c r="L19" s="141">
        <v>9.682308349376556E-3</v>
      </c>
      <c r="M19" s="141">
        <v>6.0285419815166996E-3</v>
      </c>
      <c r="N19" s="141">
        <v>1.2370792958203647E-2</v>
      </c>
      <c r="O19" s="141">
        <v>6.359452712816227E-2</v>
      </c>
      <c r="P19">
        <v>0.99031769165062344</v>
      </c>
      <c r="Q19">
        <v>0.9939714580184833</v>
      </c>
      <c r="R19">
        <v>0.98762920704179635</v>
      </c>
      <c r="S19">
        <v>0.93640547287183773</v>
      </c>
      <c r="T19" s="45"/>
      <c r="U19" s="45"/>
      <c r="V19" s="45"/>
      <c r="W19" s="45"/>
      <c r="X19" s="45"/>
      <c r="Y19" s="45"/>
      <c r="Z19" s="45"/>
      <c r="AA19" s="45"/>
      <c r="AB19" s="45"/>
      <c r="AC19" s="45"/>
      <c r="AD19" s="45"/>
      <c r="AE19" s="45"/>
      <c r="AF19" s="45"/>
      <c r="AG19" s="45"/>
      <c r="AH19" s="45"/>
      <c r="AI19" s="45"/>
      <c r="AJ19" s="45"/>
      <c r="AK19" s="45"/>
      <c r="AL19" s="45"/>
      <c r="AM19" s="45"/>
      <c r="AN19" s="45"/>
      <c r="AO19" s="45">
        <v>0.5</v>
      </c>
      <c r="AP19">
        <v>3398</v>
      </c>
      <c r="AQ19" s="49">
        <f t="shared" si="0"/>
        <v>6796</v>
      </c>
      <c r="AR19">
        <v>177.91</v>
      </c>
      <c r="AS19">
        <v>34</v>
      </c>
      <c r="AT19">
        <f t="shared" si="1"/>
        <v>5.2326470588235292</v>
      </c>
      <c r="AU19" s="45">
        <f t="shared" si="2"/>
        <v>156.97941176470587</v>
      </c>
      <c r="AV19" s="136"/>
      <c r="AW19" s="45">
        <v>20</v>
      </c>
      <c r="AX19">
        <v>7.14</v>
      </c>
      <c r="AY19">
        <v>2.2599999999999998</v>
      </c>
      <c r="AZ19">
        <v>9.64</v>
      </c>
      <c r="BA19">
        <v>1.07</v>
      </c>
      <c r="BB19" s="49">
        <f t="shared" si="3"/>
        <v>20.11</v>
      </c>
      <c r="BC19" s="48">
        <f t="shared" si="4"/>
        <v>1.0055000000000001</v>
      </c>
      <c r="BD19" s="48">
        <f t="shared" si="5"/>
        <v>5.2326470588235292</v>
      </c>
      <c r="BE19" s="48">
        <f t="shared" si="6"/>
        <v>0.19215895677589795</v>
      </c>
      <c r="BF19" s="50">
        <f t="shared" si="7"/>
        <v>652.9561351245012</v>
      </c>
      <c r="BG19" s="51">
        <f t="shared" si="8"/>
        <v>1305.9122702490024</v>
      </c>
      <c r="BH19" s="48">
        <f t="shared" si="9"/>
        <v>0.3550472401790154</v>
      </c>
      <c r="BI19" s="48">
        <f t="shared" si="16"/>
        <v>0.11238189955246146</v>
      </c>
      <c r="BJ19" s="48">
        <f t="shared" si="10"/>
        <v>0.47936350074589762</v>
      </c>
      <c r="BK19" s="48">
        <f t="shared" si="11"/>
        <v>5.3207359522625564E-2</v>
      </c>
      <c r="BL19" s="50">
        <f t="shared" si="12"/>
        <v>463.66054746782083</v>
      </c>
      <c r="BM19" s="50">
        <f t="shared" si="13"/>
        <v>146.76090157945029</v>
      </c>
      <c r="BN19" s="50">
        <f t="shared" si="14"/>
        <v>626.00667753358448</v>
      </c>
      <c r="BO19" s="50">
        <f t="shared" si="15"/>
        <v>69.484143668146828</v>
      </c>
      <c r="BP19">
        <v>6.6</v>
      </c>
      <c r="BQ19">
        <v>9.35</v>
      </c>
      <c r="BR19">
        <v>37.274999999999999</v>
      </c>
      <c r="BS19">
        <v>43.424999999999997</v>
      </c>
      <c r="BT19" s="49"/>
      <c r="BU19" s="39"/>
      <c r="BV19" s="43"/>
      <c r="BW19" s="43"/>
      <c r="BX19" s="40"/>
      <c r="BY19" s="43"/>
      <c r="CA19"/>
      <c r="CB19"/>
      <c r="CC19"/>
      <c r="CD19"/>
      <c r="CE19"/>
      <c r="CF19"/>
      <c r="CG19"/>
      <c r="CH19"/>
      <c r="CI19"/>
    </row>
    <row r="20" spans="1:87" s="36" customFormat="1" x14ac:dyDescent="0.35">
      <c r="A20" s="125" t="s">
        <v>24</v>
      </c>
      <c r="B20" s="79"/>
      <c r="C20" s="79"/>
      <c r="D20" s="45" t="s">
        <v>26</v>
      </c>
      <c r="E20" s="45">
        <v>1983</v>
      </c>
      <c r="F20" s="45">
        <v>2</v>
      </c>
      <c r="G20" s="45">
        <v>3</v>
      </c>
      <c r="H20" s="45">
        <v>3</v>
      </c>
      <c r="I20" s="45">
        <v>19</v>
      </c>
      <c r="J20" s="37"/>
      <c r="K20" s="35">
        <v>0.94079999999999997</v>
      </c>
      <c r="L20" s="141">
        <v>5.091197844725448E-3</v>
      </c>
      <c r="M20" s="141">
        <v>5.5932349429768102E-3</v>
      </c>
      <c r="N20" s="141">
        <v>1.3027486281987466E-2</v>
      </c>
      <c r="O20" s="141">
        <v>5.861912568857286E-2</v>
      </c>
      <c r="P20">
        <v>0.99490880215527455</v>
      </c>
      <c r="Q20">
        <v>0.99440676505702319</v>
      </c>
      <c r="R20">
        <v>0.98697251371801253</v>
      </c>
      <c r="S20">
        <v>0.94138087431142714</v>
      </c>
      <c r="T20" s="45"/>
      <c r="U20" s="45"/>
      <c r="V20" s="45"/>
      <c r="W20" s="45"/>
      <c r="X20" s="45"/>
      <c r="Y20" s="45"/>
      <c r="Z20" s="45"/>
      <c r="AA20" s="45"/>
      <c r="AB20" s="45"/>
      <c r="AC20" s="45"/>
      <c r="AD20" s="45"/>
      <c r="AE20" s="45"/>
      <c r="AF20" s="45"/>
      <c r="AG20" s="45"/>
      <c r="AH20" s="45"/>
      <c r="AI20" s="45"/>
      <c r="AJ20" s="45"/>
      <c r="AK20" s="45"/>
      <c r="AL20" s="45"/>
      <c r="AM20" s="45"/>
      <c r="AN20" s="45"/>
      <c r="AO20" s="45">
        <v>0.5</v>
      </c>
      <c r="AP20">
        <v>3173</v>
      </c>
      <c r="AQ20" s="49">
        <f t="shared" si="0"/>
        <v>6346</v>
      </c>
      <c r="AR20">
        <v>286.24</v>
      </c>
      <c r="AS20">
        <v>38</v>
      </c>
      <c r="AT20">
        <f t="shared" si="1"/>
        <v>7.5326315789473686</v>
      </c>
      <c r="AU20" s="45">
        <f t="shared" si="2"/>
        <v>225.97894736842105</v>
      </c>
      <c r="AV20" s="136"/>
      <c r="AW20" s="45">
        <v>20</v>
      </c>
      <c r="AX20">
        <v>7</v>
      </c>
      <c r="AY20">
        <v>7.5</v>
      </c>
      <c r="AZ20">
        <v>10.08</v>
      </c>
      <c r="BA20">
        <v>1.41</v>
      </c>
      <c r="BB20" s="49">
        <f t="shared" si="3"/>
        <v>25.99</v>
      </c>
      <c r="BC20" s="48">
        <f t="shared" si="4"/>
        <v>1.2994999999999999</v>
      </c>
      <c r="BD20" s="48">
        <f t="shared" si="5"/>
        <v>7.5326315789473686</v>
      </c>
      <c r="BE20" s="48">
        <f t="shared" si="6"/>
        <v>0.17251607043040804</v>
      </c>
      <c r="BF20" s="50">
        <f t="shared" si="7"/>
        <v>547.39349147568475</v>
      </c>
      <c r="BG20" s="51">
        <f t="shared" si="8"/>
        <v>1094.7869829513695</v>
      </c>
      <c r="BH20" s="48">
        <f t="shared" si="9"/>
        <v>0.26933435936898809</v>
      </c>
      <c r="BI20" s="48">
        <f t="shared" si="16"/>
        <v>0.28857252789534438</v>
      </c>
      <c r="BJ20" s="48">
        <f t="shared" si="10"/>
        <v>0.38784147749134285</v>
      </c>
      <c r="BK20" s="48">
        <f t="shared" si="11"/>
        <v>5.425163524432474E-2</v>
      </c>
      <c r="BL20" s="50">
        <f t="shared" si="12"/>
        <v>294.8637506987144</v>
      </c>
      <c r="BM20" s="50">
        <f t="shared" si="13"/>
        <v>315.92544717719397</v>
      </c>
      <c r="BN20" s="50">
        <f t="shared" si="14"/>
        <v>424.60380100614873</v>
      </c>
      <c r="BO20" s="50">
        <f t="shared" si="15"/>
        <v>59.393984069312467</v>
      </c>
      <c r="BP20">
        <v>7.95</v>
      </c>
      <c r="BQ20">
        <v>21.35</v>
      </c>
      <c r="BR20">
        <v>32.524999999999999</v>
      </c>
      <c r="BS20">
        <v>32.825000000000003</v>
      </c>
      <c r="BT20" s="49"/>
      <c r="BU20" s="39"/>
      <c r="BV20" s="43"/>
      <c r="BW20" s="43"/>
      <c r="BX20" s="40"/>
      <c r="BY20" s="43"/>
      <c r="CA20"/>
      <c r="CB20"/>
      <c r="CC20"/>
      <c r="CD20"/>
      <c r="CE20"/>
      <c r="CF20"/>
      <c r="CG20"/>
      <c r="CH20"/>
      <c r="CI20"/>
    </row>
    <row r="21" spans="1:87" s="36" customFormat="1" x14ac:dyDescent="0.35">
      <c r="A21" s="125" t="s">
        <v>24</v>
      </c>
      <c r="B21" s="79"/>
      <c r="C21" s="79"/>
      <c r="D21" s="45" t="s">
        <v>336</v>
      </c>
      <c r="E21" s="45">
        <v>2002</v>
      </c>
      <c r="F21" s="45">
        <v>2</v>
      </c>
      <c r="G21" s="45">
        <v>4</v>
      </c>
      <c r="H21" s="45">
        <v>3</v>
      </c>
      <c r="I21" s="45">
        <v>20</v>
      </c>
      <c r="J21" s="37"/>
      <c r="K21" s="35">
        <v>0.94199999999999995</v>
      </c>
      <c r="L21" s="141">
        <v>1.4525207051058087E-2</v>
      </c>
      <c r="M21" s="141">
        <v>1.7470204669586931E-2</v>
      </c>
      <c r="N21" s="141">
        <v>1.8587589280911976E-2</v>
      </c>
      <c r="O21" s="141">
        <v>6.5574475778305219E-2</v>
      </c>
      <c r="P21">
        <v>0.98547479294894191</v>
      </c>
      <c r="Q21">
        <v>0.98252979533041307</v>
      </c>
      <c r="R21">
        <v>0.98141241071908802</v>
      </c>
      <c r="S21">
        <v>0.93442552422169478</v>
      </c>
      <c r="T21" s="45"/>
      <c r="U21" s="45"/>
      <c r="V21" s="45"/>
      <c r="W21" s="45"/>
      <c r="X21" s="45"/>
      <c r="Y21" s="45"/>
      <c r="Z21" s="45"/>
      <c r="AA21" s="45"/>
      <c r="AB21" s="45"/>
      <c r="AC21" s="45"/>
      <c r="AD21" s="45"/>
      <c r="AE21" s="45"/>
      <c r="AF21" s="45"/>
      <c r="AG21" s="45"/>
      <c r="AH21" s="45"/>
      <c r="AI21" s="45"/>
      <c r="AJ21" s="45"/>
      <c r="AK21" s="45"/>
      <c r="AL21" s="45"/>
      <c r="AM21" s="45"/>
      <c r="AN21" s="45"/>
      <c r="AO21" s="45">
        <v>0.5</v>
      </c>
      <c r="AP21"/>
      <c r="AQ21" s="49"/>
      <c r="AR21">
        <v>316.81</v>
      </c>
      <c r="AS21">
        <v>45</v>
      </c>
      <c r="AT21">
        <f t="shared" si="1"/>
        <v>7.0402222222222219</v>
      </c>
      <c r="AU21" s="45">
        <f t="shared" si="2"/>
        <v>211.20666666666665</v>
      </c>
      <c r="AV21" s="136"/>
      <c r="AW21" s="45">
        <v>20</v>
      </c>
      <c r="AX21">
        <v>9.9</v>
      </c>
      <c r="AY21">
        <v>5.31</v>
      </c>
      <c r="AZ21">
        <v>14.19</v>
      </c>
      <c r="BA21">
        <v>2.77</v>
      </c>
      <c r="BB21" s="49">
        <f t="shared" si="3"/>
        <v>32.17</v>
      </c>
      <c r="BC21" s="48">
        <f t="shared" si="4"/>
        <v>1.6085</v>
      </c>
      <c r="BD21" s="48">
        <f t="shared" si="5"/>
        <v>7.0402222222222219</v>
      </c>
      <c r="BE21" s="48">
        <f t="shared" si="6"/>
        <v>0.22847290173921278</v>
      </c>
      <c r="BF21" s="50"/>
      <c r="BG21" s="51"/>
      <c r="BH21" s="48">
        <f t="shared" si="9"/>
        <v>0.30774013055641902</v>
      </c>
      <c r="BI21" s="48">
        <f t="shared" si="16"/>
        <v>0.1650606154802611</v>
      </c>
      <c r="BJ21" s="48">
        <f t="shared" si="10"/>
        <v>0.44109418713086723</v>
      </c>
      <c r="BK21" s="48">
        <f t="shared" si="11"/>
        <v>8.6105066832452587E-2</v>
      </c>
      <c r="BL21" s="50"/>
      <c r="BM21" s="50"/>
      <c r="BN21" s="50"/>
      <c r="BO21" s="50"/>
      <c r="BP21">
        <v>9</v>
      </c>
      <c r="BQ21">
        <v>11.625</v>
      </c>
      <c r="BR21">
        <v>45.8</v>
      </c>
      <c r="BS21">
        <v>49.35</v>
      </c>
      <c r="BT21" s="49"/>
      <c r="BU21" s="39"/>
      <c r="BV21" s="43"/>
      <c r="BW21" s="43"/>
      <c r="BX21" s="40"/>
      <c r="BY21" s="43"/>
      <c r="CA21"/>
      <c r="CB21"/>
      <c r="CC21"/>
      <c r="CD21"/>
      <c r="CE21"/>
      <c r="CF21"/>
      <c r="CG21"/>
      <c r="CH21"/>
      <c r="CI21"/>
    </row>
    <row r="22" spans="1:87" s="36" customFormat="1" x14ac:dyDescent="0.35">
      <c r="A22" s="125" t="s">
        <v>24</v>
      </c>
      <c r="B22" s="79"/>
      <c r="C22" s="79"/>
      <c r="D22" s="45" t="s">
        <v>29</v>
      </c>
      <c r="E22" s="45">
        <v>1999</v>
      </c>
      <c r="F22" s="45">
        <v>2</v>
      </c>
      <c r="G22" s="45">
        <v>5</v>
      </c>
      <c r="H22" s="45">
        <v>3</v>
      </c>
      <c r="I22" s="45">
        <v>21</v>
      </c>
      <c r="J22" s="37"/>
      <c r="K22" s="35">
        <v>0.94935999999999998</v>
      </c>
      <c r="L22" s="141">
        <v>1.2632421169466723E-2</v>
      </c>
      <c r="M22" s="141">
        <v>1.4215920824381501E-2</v>
      </c>
      <c r="N22" s="141">
        <v>2.278745503984303E-2</v>
      </c>
      <c r="O22" s="141">
        <v>7.3928889800437547E-2</v>
      </c>
      <c r="P22">
        <v>0.98736757883053328</v>
      </c>
      <c r="Q22">
        <v>0.9857840791756185</v>
      </c>
      <c r="R22">
        <v>0.97721254496015697</v>
      </c>
      <c r="S22">
        <v>0.92607111019956245</v>
      </c>
      <c r="T22" s="45"/>
      <c r="U22" s="45"/>
      <c r="V22" s="45"/>
      <c r="W22" s="45"/>
      <c r="X22" s="45"/>
      <c r="Y22" s="45"/>
      <c r="Z22" s="45"/>
      <c r="AA22" s="45"/>
      <c r="AB22" s="45"/>
      <c r="AC22" s="45"/>
      <c r="AD22" s="45"/>
      <c r="AE22" s="45"/>
      <c r="AF22" s="45"/>
      <c r="AG22" s="45"/>
      <c r="AH22" s="45"/>
      <c r="AI22" s="45"/>
      <c r="AJ22" s="45"/>
      <c r="AK22" s="45"/>
      <c r="AL22" s="45"/>
      <c r="AM22" s="45"/>
      <c r="AN22" s="45"/>
      <c r="AO22" s="45">
        <v>0.5</v>
      </c>
      <c r="AP22">
        <v>2842</v>
      </c>
      <c r="AQ22" s="49">
        <f t="shared" si="0"/>
        <v>5684</v>
      </c>
      <c r="AR22">
        <v>226.48</v>
      </c>
      <c r="AS22">
        <v>34</v>
      </c>
      <c r="AT22">
        <f t="shared" si="1"/>
        <v>6.6611764705882353</v>
      </c>
      <c r="AU22" s="45">
        <f t="shared" si="2"/>
        <v>199.83529411764707</v>
      </c>
      <c r="AV22" s="136"/>
      <c r="AW22" s="45">
        <v>20</v>
      </c>
      <c r="AX22">
        <v>7.56</v>
      </c>
      <c r="AY22">
        <v>2.2599999999999998</v>
      </c>
      <c r="AZ22">
        <v>10.58</v>
      </c>
      <c r="BA22">
        <v>1.42</v>
      </c>
      <c r="BB22" s="49">
        <f t="shared" si="3"/>
        <v>21.82</v>
      </c>
      <c r="BC22" s="48">
        <f t="shared" si="4"/>
        <v>1.091</v>
      </c>
      <c r="BD22" s="48">
        <f t="shared" si="5"/>
        <v>6.6611764705882353</v>
      </c>
      <c r="BE22" s="48">
        <f t="shared" si="6"/>
        <v>0.16378488166725538</v>
      </c>
      <c r="BF22" s="50">
        <f t="shared" si="7"/>
        <v>465.47663369833981</v>
      </c>
      <c r="BG22" s="51">
        <f t="shared" si="8"/>
        <v>930.95326739667962</v>
      </c>
      <c r="BH22" s="48">
        <f t="shared" si="9"/>
        <v>0.34647112740604946</v>
      </c>
      <c r="BI22" s="48">
        <f t="shared" si="16"/>
        <v>0.10357470210815764</v>
      </c>
      <c r="BJ22" s="48">
        <f t="shared" si="10"/>
        <v>0.48487626031164072</v>
      </c>
      <c r="BK22" s="48">
        <f t="shared" si="11"/>
        <v>6.5077910174152154E-2</v>
      </c>
      <c r="BL22" s="50">
        <f t="shared" si="12"/>
        <v>322.54842811727303</v>
      </c>
      <c r="BM22" s="50">
        <f t="shared" si="13"/>
        <v>96.42320734722712</v>
      </c>
      <c r="BN22" s="50">
        <f t="shared" si="14"/>
        <v>451.39713882020487</v>
      </c>
      <c r="BO22" s="50">
        <f t="shared" si="15"/>
        <v>60.584493111974567</v>
      </c>
      <c r="BP22">
        <v>4.5250000000000004</v>
      </c>
      <c r="BQ22">
        <v>16.074999999999999</v>
      </c>
      <c r="BR22">
        <v>31.3</v>
      </c>
      <c r="BS22">
        <v>43.325000000000003</v>
      </c>
      <c r="BT22" s="49"/>
      <c r="BU22" s="39"/>
      <c r="BV22" s="43"/>
      <c r="BW22" s="43"/>
      <c r="BX22" s="40"/>
      <c r="BY22" s="43"/>
      <c r="CA22"/>
      <c r="CB22"/>
      <c r="CC22"/>
      <c r="CD22"/>
      <c r="CE22"/>
      <c r="CF22"/>
      <c r="CG22"/>
      <c r="CH22"/>
      <c r="CI22"/>
    </row>
    <row r="23" spans="1:87" s="36" customFormat="1" x14ac:dyDescent="0.35">
      <c r="A23" s="125" t="s">
        <v>24</v>
      </c>
      <c r="B23" s="79"/>
      <c r="C23" s="79"/>
      <c r="D23" s="45" t="s">
        <v>337</v>
      </c>
      <c r="E23" s="45">
        <v>2016</v>
      </c>
      <c r="F23" s="45">
        <v>2</v>
      </c>
      <c r="G23" s="45">
        <v>6</v>
      </c>
      <c r="H23" s="45">
        <v>3</v>
      </c>
      <c r="I23" s="45">
        <v>22</v>
      </c>
      <c r="J23" s="37"/>
      <c r="K23" s="35">
        <v>0.94369999999999998</v>
      </c>
      <c r="L23" s="141">
        <v>1.2299319582372625E-2</v>
      </c>
      <c r="M23" s="141">
        <v>1.4940317748611154E-2</v>
      </c>
      <c r="N23" s="141">
        <v>1.8180755488576339E-2</v>
      </c>
      <c r="O23" s="141">
        <v>9.4779410496313554E-2</v>
      </c>
      <c r="P23">
        <v>0.98770068041762737</v>
      </c>
      <c r="Q23">
        <v>0.98505968225138885</v>
      </c>
      <c r="R23">
        <v>0.98181924451142366</v>
      </c>
      <c r="S23">
        <v>0.90522058950368645</v>
      </c>
      <c r="T23" s="45"/>
      <c r="U23" s="45"/>
      <c r="V23" s="45"/>
      <c r="W23" s="45"/>
      <c r="X23" s="45"/>
      <c r="Y23" s="45"/>
      <c r="Z23" s="45"/>
      <c r="AA23" s="45"/>
      <c r="AB23" s="45"/>
      <c r="AC23" s="45"/>
      <c r="AD23" s="45"/>
      <c r="AE23" s="45"/>
      <c r="AF23" s="45"/>
      <c r="AG23" s="45"/>
      <c r="AH23" s="45"/>
      <c r="AI23" s="45"/>
      <c r="AJ23" s="45"/>
      <c r="AK23" s="45"/>
      <c r="AL23" s="45"/>
      <c r="AM23" s="45"/>
      <c r="AN23" s="45"/>
      <c r="AO23" s="45">
        <v>0.5</v>
      </c>
      <c r="AP23"/>
      <c r="AQ23" s="49"/>
      <c r="AR23">
        <v>301.98</v>
      </c>
      <c r="AS23">
        <v>44</v>
      </c>
      <c r="AT23">
        <f t="shared" si="1"/>
        <v>6.8631818181818183</v>
      </c>
      <c r="AU23" s="45">
        <f t="shared" si="2"/>
        <v>205.89545454545456</v>
      </c>
      <c r="AV23" s="136"/>
      <c r="AW23" s="45">
        <v>20</v>
      </c>
      <c r="AX23">
        <v>9.16</v>
      </c>
      <c r="AY23">
        <v>3.84</v>
      </c>
      <c r="AZ23">
        <v>15.21</v>
      </c>
      <c r="BA23">
        <v>2.83</v>
      </c>
      <c r="BB23" s="49">
        <f t="shared" si="3"/>
        <v>31.04</v>
      </c>
      <c r="BC23" s="48">
        <f t="shared" si="4"/>
        <v>1.552</v>
      </c>
      <c r="BD23" s="48">
        <f t="shared" si="5"/>
        <v>6.8631818181818183</v>
      </c>
      <c r="BE23" s="48">
        <f t="shared" si="6"/>
        <v>0.22613418107159414</v>
      </c>
      <c r="BF23" s="50"/>
      <c r="BG23" s="51"/>
      <c r="BH23" s="48">
        <f t="shared" si="9"/>
        <v>0.29510309278350516</v>
      </c>
      <c r="BI23" s="48">
        <f t="shared" si="16"/>
        <v>0.12371134020618557</v>
      </c>
      <c r="BJ23" s="48">
        <f t="shared" si="10"/>
        <v>0.49001288659793818</v>
      </c>
      <c r="BK23" s="48">
        <f t="shared" si="11"/>
        <v>9.1172680412371143E-2</v>
      </c>
      <c r="BL23" s="50"/>
      <c r="BM23" s="50"/>
      <c r="BN23" s="50"/>
      <c r="BO23" s="50"/>
      <c r="BP23">
        <v>7.7750000000000004</v>
      </c>
      <c r="BQ23">
        <v>4.6749999999999998</v>
      </c>
      <c r="BR23">
        <v>17.25</v>
      </c>
      <c r="BS23">
        <v>48.6</v>
      </c>
      <c r="BT23" s="49"/>
      <c r="BU23" s="39"/>
      <c r="BV23" s="43"/>
      <c r="BW23" s="43"/>
      <c r="BX23" s="40"/>
      <c r="BY23" s="43"/>
      <c r="CA23"/>
      <c r="CB23"/>
      <c r="CC23"/>
      <c r="CD23"/>
      <c r="CE23"/>
      <c r="CF23"/>
      <c r="CG23"/>
      <c r="CH23"/>
      <c r="CI23"/>
    </row>
    <row r="24" spans="1:87" s="36" customFormat="1" x14ac:dyDescent="0.35">
      <c r="A24" s="125" t="s">
        <v>24</v>
      </c>
      <c r="B24" s="79"/>
      <c r="C24" s="79"/>
      <c r="D24" s="45" t="s">
        <v>32</v>
      </c>
      <c r="E24" s="45">
        <v>2018</v>
      </c>
      <c r="F24" s="45">
        <v>2</v>
      </c>
      <c r="G24" s="45">
        <v>7</v>
      </c>
      <c r="H24" s="45">
        <v>3</v>
      </c>
      <c r="I24" s="45">
        <v>23</v>
      </c>
      <c r="J24" s="37"/>
      <c r="K24" s="35">
        <v>0.95945000000000003</v>
      </c>
      <c r="L24" s="141">
        <v>1.1653821507086159E-2</v>
      </c>
      <c r="M24" s="141">
        <v>1.7842641061840192E-2</v>
      </c>
      <c r="N24" s="141">
        <v>2.8942585523699882E-2</v>
      </c>
      <c r="O24" s="141">
        <v>0.1069511300972843</v>
      </c>
      <c r="P24">
        <v>0.98834617849291384</v>
      </c>
      <c r="Q24">
        <v>0.98215735893815981</v>
      </c>
      <c r="R24">
        <v>0.97105741447630012</v>
      </c>
      <c r="S24">
        <v>0.8930488699027157</v>
      </c>
      <c r="T24" s="45"/>
      <c r="U24" s="45"/>
      <c r="V24" s="45"/>
      <c r="W24" s="45"/>
      <c r="X24" s="45"/>
      <c r="Y24" s="45"/>
      <c r="Z24" s="45"/>
      <c r="AA24" s="45"/>
      <c r="AB24" s="45"/>
      <c r="AC24" s="45"/>
      <c r="AD24" s="45"/>
      <c r="AE24" s="45"/>
      <c r="AF24" s="45"/>
      <c r="AG24" s="45"/>
      <c r="AH24" s="45"/>
      <c r="AI24" s="45"/>
      <c r="AJ24" s="45"/>
      <c r="AK24" s="45"/>
      <c r="AL24" s="45"/>
      <c r="AM24" s="45"/>
      <c r="AN24" s="45"/>
      <c r="AO24" s="45">
        <v>0.5</v>
      </c>
      <c r="AP24">
        <v>2427.5</v>
      </c>
      <c r="AQ24" s="49">
        <f t="shared" si="0"/>
        <v>4855</v>
      </c>
      <c r="AR24">
        <v>232.9</v>
      </c>
      <c r="AS24">
        <v>32</v>
      </c>
      <c r="AT24">
        <f t="shared" si="1"/>
        <v>7.2781250000000002</v>
      </c>
      <c r="AU24" s="45">
        <f t="shared" si="2"/>
        <v>218.34375</v>
      </c>
      <c r="AV24" s="136"/>
      <c r="AW24" s="45">
        <v>20</v>
      </c>
      <c r="AX24">
        <v>14.03</v>
      </c>
      <c r="AY24">
        <v>1.64</v>
      </c>
      <c r="AZ24">
        <v>17.45</v>
      </c>
      <c r="BA24">
        <v>2.92</v>
      </c>
      <c r="BB24" s="49">
        <f t="shared" si="3"/>
        <v>36.04</v>
      </c>
      <c r="BC24" s="48">
        <f t="shared" si="4"/>
        <v>1.802</v>
      </c>
      <c r="BD24" s="48">
        <f t="shared" si="5"/>
        <v>7.2781250000000002</v>
      </c>
      <c r="BE24" s="48">
        <f t="shared" si="6"/>
        <v>0.24759124087591242</v>
      </c>
      <c r="BF24" s="50">
        <f t="shared" si="7"/>
        <v>601.0277372262774</v>
      </c>
      <c r="BG24" s="51">
        <f t="shared" si="8"/>
        <v>1202.0554744525548</v>
      </c>
      <c r="BH24" s="48">
        <f t="shared" si="9"/>
        <v>0.3892896781354051</v>
      </c>
      <c r="BI24" s="48">
        <f t="shared" si="16"/>
        <v>4.5504994450610431E-2</v>
      </c>
      <c r="BJ24" s="48">
        <f t="shared" si="10"/>
        <v>0.48418423973362928</v>
      </c>
      <c r="BK24" s="48">
        <f t="shared" si="11"/>
        <v>8.1021087680355167E-2</v>
      </c>
      <c r="BL24" s="50">
        <f t="shared" si="12"/>
        <v>467.94778875053674</v>
      </c>
      <c r="BM24" s="50">
        <f t="shared" si="13"/>
        <v>54.699527694289394</v>
      </c>
      <c r="BN24" s="50">
        <f t="shared" si="14"/>
        <v>582.01631601545728</v>
      </c>
      <c r="BO24" s="50">
        <f t="shared" si="15"/>
        <v>97.391841992271367</v>
      </c>
      <c r="BP24">
        <v>5.55</v>
      </c>
      <c r="BQ24">
        <v>2.3250000000000002</v>
      </c>
      <c r="BR24">
        <v>16.05</v>
      </c>
      <c r="BS24">
        <v>47.375</v>
      </c>
      <c r="BT24" s="49"/>
      <c r="BU24" s="39"/>
      <c r="BV24" s="43"/>
      <c r="BW24" s="43"/>
      <c r="BX24" s="40"/>
      <c r="BY24" s="43"/>
    </row>
    <row r="25" spans="1:87" s="36" customFormat="1" x14ac:dyDescent="0.35">
      <c r="A25" s="125" t="s">
        <v>24</v>
      </c>
      <c r="B25" s="79"/>
      <c r="C25" s="79"/>
      <c r="D25" s="45" t="s">
        <v>27</v>
      </c>
      <c r="E25" s="45">
        <v>1985</v>
      </c>
      <c r="F25" s="45">
        <v>2</v>
      </c>
      <c r="G25" s="45">
        <v>8</v>
      </c>
      <c r="H25" s="45">
        <v>3</v>
      </c>
      <c r="I25" s="45">
        <v>24</v>
      </c>
      <c r="J25" s="37"/>
      <c r="K25" s="35">
        <v>0.93281999999999998</v>
      </c>
      <c r="L25" s="141">
        <v>1.6738547473465593E-2</v>
      </c>
      <c r="M25" s="141">
        <v>1.0564531072419836E-2</v>
      </c>
      <c r="N25" s="141">
        <v>2.860704736193509E-2</v>
      </c>
      <c r="O25" s="141">
        <v>9.1773068764458232E-2</v>
      </c>
      <c r="P25">
        <v>0.98326145252653441</v>
      </c>
      <c r="Q25">
        <v>0.98943546892758016</v>
      </c>
      <c r="R25">
        <v>0.97139295263806491</v>
      </c>
      <c r="S25">
        <v>0.90822693123554177</v>
      </c>
      <c r="T25" s="45"/>
      <c r="U25" s="45"/>
      <c r="V25" s="45"/>
      <c r="W25" s="45"/>
      <c r="X25" s="45"/>
      <c r="Y25" s="45"/>
      <c r="Z25" s="45"/>
      <c r="AA25" s="45"/>
      <c r="AB25" s="45"/>
      <c r="AC25" s="45"/>
      <c r="AD25" s="45"/>
      <c r="AE25" s="45"/>
      <c r="AF25" s="45"/>
      <c r="AG25" s="45"/>
      <c r="AH25" s="45"/>
      <c r="AI25" s="45"/>
      <c r="AJ25" s="45"/>
      <c r="AK25" s="45"/>
      <c r="AL25" s="45"/>
      <c r="AM25" s="45"/>
      <c r="AN25" s="45"/>
      <c r="AO25" s="45">
        <v>0.5</v>
      </c>
      <c r="AP25">
        <v>2903</v>
      </c>
      <c r="AQ25" s="49">
        <f t="shared" si="0"/>
        <v>5806</v>
      </c>
      <c r="AR25">
        <v>382.3</v>
      </c>
      <c r="AS25">
        <v>51</v>
      </c>
      <c r="AT25">
        <f t="shared" si="1"/>
        <v>7.496078431372549</v>
      </c>
      <c r="AU25" s="45">
        <f t="shared" si="2"/>
        <v>224.88235294117646</v>
      </c>
      <c r="AV25" s="136"/>
      <c r="AW25" s="45">
        <v>20</v>
      </c>
      <c r="AX25">
        <v>9.64</v>
      </c>
      <c r="AY25">
        <v>3.12</v>
      </c>
      <c r="AZ25">
        <v>14.76</v>
      </c>
      <c r="BA25">
        <v>3.23</v>
      </c>
      <c r="BB25" s="49">
        <f t="shared" si="3"/>
        <v>30.750000000000004</v>
      </c>
      <c r="BC25" s="48">
        <f t="shared" si="4"/>
        <v>1.5375000000000001</v>
      </c>
      <c r="BD25" s="48">
        <f t="shared" si="5"/>
        <v>7.496078431372549</v>
      </c>
      <c r="BE25" s="48">
        <f t="shared" si="6"/>
        <v>0.20510724561862412</v>
      </c>
      <c r="BF25" s="50">
        <f t="shared" si="7"/>
        <v>595.42633403086586</v>
      </c>
      <c r="BG25" s="51">
        <f t="shared" si="8"/>
        <v>1190.8526680617317</v>
      </c>
      <c r="BH25" s="48">
        <f t="shared" si="9"/>
        <v>0.31349593495934958</v>
      </c>
      <c r="BI25" s="48">
        <f t="shared" si="16"/>
        <v>0.10146341463414633</v>
      </c>
      <c r="BJ25" s="48">
        <f t="shared" si="10"/>
        <v>0.47999999999999993</v>
      </c>
      <c r="BK25" s="48">
        <f t="shared" si="11"/>
        <v>0.10504065040650405</v>
      </c>
      <c r="BL25" s="50">
        <f t="shared" si="12"/>
        <v>373.32747057284854</v>
      </c>
      <c r="BM25" s="50">
        <f t="shared" si="13"/>
        <v>120.82797802772691</v>
      </c>
      <c r="BN25" s="50">
        <f t="shared" si="14"/>
        <v>571.60928066963118</v>
      </c>
      <c r="BO25" s="50">
        <f t="shared" si="15"/>
        <v>125.08793879152498</v>
      </c>
      <c r="BP25">
        <v>10.574999999999999</v>
      </c>
      <c r="BQ25">
        <v>17.375</v>
      </c>
      <c r="BR25">
        <v>37.299999999999997</v>
      </c>
      <c r="BS25">
        <v>45.475000000000001</v>
      </c>
      <c r="BT25" s="49"/>
      <c r="BU25" s="39"/>
      <c r="BV25" s="43"/>
      <c r="BW25" s="43"/>
      <c r="BX25" s="40"/>
      <c r="BY25" s="43"/>
    </row>
    <row r="26" spans="1:87" s="36" customFormat="1" x14ac:dyDescent="0.35">
      <c r="A26" s="125" t="s">
        <v>34</v>
      </c>
      <c r="B26" s="71"/>
      <c r="C26" s="72"/>
      <c r="D26" s="45" t="s">
        <v>343</v>
      </c>
      <c r="E26" s="45">
        <v>2004</v>
      </c>
      <c r="F26" s="45">
        <v>2</v>
      </c>
      <c r="G26" s="45">
        <v>1</v>
      </c>
      <c r="H26" s="45">
        <v>4</v>
      </c>
      <c r="I26" s="45">
        <v>25</v>
      </c>
      <c r="J26" s="37"/>
      <c r="K26" s="35">
        <v>0.95130000000000003</v>
      </c>
      <c r="L26" s="141">
        <v>1.0976346825960492E-2</v>
      </c>
      <c r="M26" s="141">
        <v>1.3416921151508943E-2</v>
      </c>
      <c r="N26" s="141">
        <v>1.7787456196352469E-2</v>
      </c>
      <c r="O26" s="141">
        <v>6.5657376898642372E-2</v>
      </c>
      <c r="P26">
        <v>0.98902365317403951</v>
      </c>
      <c r="Q26">
        <v>0.98658307884849106</v>
      </c>
      <c r="R26">
        <v>0.98221254380364753</v>
      </c>
      <c r="S26">
        <v>0.93434262310135763</v>
      </c>
      <c r="T26" s="45"/>
      <c r="U26" s="45"/>
      <c r="V26" s="45"/>
      <c r="W26" s="45"/>
      <c r="X26" s="45"/>
      <c r="Y26" s="45"/>
      <c r="Z26" s="45"/>
      <c r="AA26" s="45"/>
      <c r="AB26" s="45"/>
      <c r="AC26" s="45"/>
      <c r="AD26" s="45"/>
      <c r="AE26" s="45"/>
      <c r="AF26" s="45"/>
      <c r="AG26" s="45"/>
      <c r="AH26" s="45"/>
      <c r="AI26" s="45"/>
      <c r="AJ26" s="45"/>
      <c r="AK26" s="45"/>
      <c r="AL26" s="45"/>
      <c r="AM26" s="45"/>
      <c r="AN26" s="45"/>
      <c r="AO26" s="45">
        <v>0.5</v>
      </c>
      <c r="AP26">
        <v>2086.5</v>
      </c>
      <c r="AQ26" s="49">
        <f t="shared" si="0"/>
        <v>4173</v>
      </c>
      <c r="AR26">
        <v>245.54</v>
      </c>
      <c r="AS26">
        <v>35</v>
      </c>
      <c r="AT26">
        <f t="shared" si="1"/>
        <v>7.0154285714285711</v>
      </c>
      <c r="AU26" s="45">
        <f t="shared" si="2"/>
        <v>210.46285714285713</v>
      </c>
      <c r="AV26" s="136"/>
      <c r="AW26" s="45">
        <v>20</v>
      </c>
      <c r="AX26">
        <v>9.18</v>
      </c>
      <c r="AY26">
        <v>0.35</v>
      </c>
      <c r="AZ26">
        <v>11.36</v>
      </c>
      <c r="BA26">
        <v>1.05</v>
      </c>
      <c r="BB26" s="49">
        <f t="shared" si="3"/>
        <v>21.94</v>
      </c>
      <c r="BC26" s="48">
        <f t="shared" si="4"/>
        <v>1.097</v>
      </c>
      <c r="BD26" s="48">
        <f t="shared" si="5"/>
        <v>7.0154285714285711</v>
      </c>
      <c r="BE26" s="48">
        <f t="shared" si="6"/>
        <v>0.15636963427547446</v>
      </c>
      <c r="BF26" s="50">
        <f t="shared" si="7"/>
        <v>326.26524191577744</v>
      </c>
      <c r="BG26" s="51">
        <f t="shared" si="8"/>
        <v>652.53048383155487</v>
      </c>
      <c r="BH26" s="48">
        <f t="shared" si="9"/>
        <v>0.41841385597082947</v>
      </c>
      <c r="BI26" s="48">
        <f t="shared" si="16"/>
        <v>1.5952597994530537E-2</v>
      </c>
      <c r="BJ26" s="48">
        <f t="shared" si="10"/>
        <v>0.51777575205104831</v>
      </c>
      <c r="BK26" s="48">
        <f t="shared" si="11"/>
        <v>4.7857793983591614E-2</v>
      </c>
      <c r="BL26" s="50">
        <f t="shared" si="12"/>
        <v>273.02779587847186</v>
      </c>
      <c r="BM26" s="50">
        <f t="shared" si="13"/>
        <v>10.409556487741304</v>
      </c>
      <c r="BN26" s="50">
        <f t="shared" si="14"/>
        <v>337.86446200211776</v>
      </c>
      <c r="BO26" s="50">
        <f t="shared" si="15"/>
        <v>31.228669463223913</v>
      </c>
      <c r="BP26">
        <v>14.75</v>
      </c>
      <c r="BQ26">
        <v>32.225000000000001</v>
      </c>
      <c r="BR26">
        <v>42.75</v>
      </c>
      <c r="BS26">
        <v>48.766666669999999</v>
      </c>
      <c r="BT26" s="49"/>
      <c r="BU26" s="39"/>
      <c r="BV26" s="43"/>
      <c r="BW26" s="43"/>
      <c r="BX26" s="40"/>
      <c r="BY26" s="43"/>
    </row>
    <row r="27" spans="1:87" s="36" customFormat="1" x14ac:dyDescent="0.35">
      <c r="A27" s="125" t="s">
        <v>34</v>
      </c>
      <c r="B27" s="6"/>
      <c r="C27" s="6"/>
      <c r="D27" s="45" t="s">
        <v>43</v>
      </c>
      <c r="E27" s="45">
        <v>2020</v>
      </c>
      <c r="F27" s="45">
        <v>2</v>
      </c>
      <c r="G27" s="45">
        <v>2</v>
      </c>
      <c r="H27" s="45">
        <v>4</v>
      </c>
      <c r="I27" s="45">
        <v>26</v>
      </c>
      <c r="J27" s="37"/>
      <c r="K27" s="35">
        <v>0.94093000000000004</v>
      </c>
      <c r="L27" s="141">
        <v>4.7601061972041281E-2</v>
      </c>
      <c r="M27" s="141">
        <v>6.1679382158081997E-2</v>
      </c>
      <c r="N27" s="141">
        <v>8.0491220668028718E-2</v>
      </c>
      <c r="O27" s="141">
        <v>0.19466376708399336</v>
      </c>
      <c r="P27">
        <v>0.95239893802795872</v>
      </c>
      <c r="Q27">
        <v>0.938320617841918</v>
      </c>
      <c r="R27">
        <v>0.91950877933197128</v>
      </c>
      <c r="S27">
        <v>0.80533623291600664</v>
      </c>
      <c r="T27" s="45"/>
      <c r="U27" s="45"/>
      <c r="V27" s="45"/>
      <c r="W27" s="45"/>
      <c r="X27" s="45"/>
      <c r="Y27" s="45"/>
      <c r="Z27" s="45"/>
      <c r="AA27" s="45"/>
      <c r="AB27" s="45"/>
      <c r="AC27" s="45"/>
      <c r="AD27" s="45"/>
      <c r="AE27" s="45"/>
      <c r="AF27" s="45"/>
      <c r="AG27" s="45"/>
      <c r="AH27" s="45"/>
      <c r="AI27" s="45"/>
      <c r="AJ27" s="45"/>
      <c r="AK27" s="45"/>
      <c r="AL27" s="45"/>
      <c r="AM27" s="45"/>
      <c r="AN27" s="45"/>
      <c r="AO27" s="45">
        <v>0.5</v>
      </c>
      <c r="AP27">
        <v>2121</v>
      </c>
      <c r="AQ27" s="49">
        <f t="shared" si="0"/>
        <v>4242</v>
      </c>
      <c r="AR27">
        <v>238.9</v>
      </c>
      <c r="AS27">
        <v>32</v>
      </c>
      <c r="AT27">
        <f t="shared" si="1"/>
        <v>7.4656250000000002</v>
      </c>
      <c r="AU27" s="45">
        <f t="shared" si="2"/>
        <v>223.96875</v>
      </c>
      <c r="AV27" s="136"/>
      <c r="AW27" s="45">
        <v>20</v>
      </c>
      <c r="AX27">
        <v>12.24</v>
      </c>
      <c r="AY27">
        <v>0.6</v>
      </c>
      <c r="AZ27">
        <v>12.84</v>
      </c>
      <c r="BA27">
        <v>1.03</v>
      </c>
      <c r="BB27" s="49">
        <f t="shared" si="3"/>
        <v>26.71</v>
      </c>
      <c r="BC27" s="48">
        <f t="shared" si="4"/>
        <v>1.3355000000000001</v>
      </c>
      <c r="BD27" s="48">
        <f t="shared" si="5"/>
        <v>7.4656250000000002</v>
      </c>
      <c r="BE27" s="48">
        <f t="shared" si="6"/>
        <v>0.17888656341565509</v>
      </c>
      <c r="BF27" s="50">
        <f t="shared" si="7"/>
        <v>379.41840100460445</v>
      </c>
      <c r="BG27" s="51">
        <f t="shared" si="8"/>
        <v>758.8368020092089</v>
      </c>
      <c r="BH27" s="48">
        <f t="shared" si="9"/>
        <v>0.45825533508049421</v>
      </c>
      <c r="BI27" s="48">
        <f t="shared" si="16"/>
        <v>2.2463496817671284E-2</v>
      </c>
      <c r="BJ27" s="48">
        <f t="shared" si="10"/>
        <v>0.48071883189816544</v>
      </c>
      <c r="BK27" s="48">
        <f t="shared" si="11"/>
        <v>3.8562336203669036E-2</v>
      </c>
      <c r="BL27" s="50">
        <f t="shared" si="12"/>
        <v>347.74101297614067</v>
      </c>
      <c r="BM27" s="50">
        <f t="shared" si="13"/>
        <v>17.046128087065718</v>
      </c>
      <c r="BN27" s="50">
        <f t="shared" si="14"/>
        <v>364.78714106320632</v>
      </c>
      <c r="BO27" s="50">
        <f t="shared" si="15"/>
        <v>29.262519882796148</v>
      </c>
      <c r="BP27">
        <v>3.875</v>
      </c>
      <c r="BQ27">
        <v>25.55</v>
      </c>
      <c r="BR27">
        <v>42.35</v>
      </c>
      <c r="BS27">
        <v>49.05</v>
      </c>
      <c r="BT27" s="49"/>
      <c r="BU27" s="39"/>
      <c r="BV27" s="43"/>
      <c r="BW27" s="43"/>
      <c r="BX27" s="40"/>
      <c r="BY27" s="43"/>
      <c r="CA27"/>
      <c r="CB27"/>
      <c r="CC27"/>
      <c r="CD27"/>
      <c r="CE27"/>
      <c r="CF27"/>
      <c r="CG27"/>
      <c r="CH27"/>
      <c r="CI27"/>
    </row>
    <row r="28" spans="1:87" s="36" customFormat="1" x14ac:dyDescent="0.35">
      <c r="A28" s="125" t="s">
        <v>34</v>
      </c>
      <c r="B28" s="6"/>
      <c r="C28" s="6"/>
      <c r="D28" s="45" t="s">
        <v>38</v>
      </c>
      <c r="E28" s="45">
        <v>1999</v>
      </c>
      <c r="F28" s="45">
        <v>2</v>
      </c>
      <c r="G28" s="45">
        <v>3</v>
      </c>
      <c r="H28" s="45">
        <v>4</v>
      </c>
      <c r="I28" s="45">
        <v>27</v>
      </c>
      <c r="J28" s="37"/>
      <c r="K28" s="35">
        <v>0.96950000000000003</v>
      </c>
      <c r="L28" s="141">
        <v>3.1749783706634838E-2</v>
      </c>
      <c r="M28" s="141">
        <v>3.1227942512513707E-2</v>
      </c>
      <c r="N28" s="141">
        <v>6.1774301636813078E-2</v>
      </c>
      <c r="O28" s="141">
        <v>0.12753806197278117</v>
      </c>
      <c r="P28">
        <v>0.96825021629336516</v>
      </c>
      <c r="Q28">
        <v>0.96877205748748629</v>
      </c>
      <c r="R28">
        <v>0.93822569836318692</v>
      </c>
      <c r="S28">
        <v>0.87246193802721883</v>
      </c>
      <c r="T28" s="45"/>
      <c r="U28" s="45"/>
      <c r="V28" s="45"/>
      <c r="W28" s="45"/>
      <c r="X28" s="45"/>
      <c r="Y28" s="45"/>
      <c r="Z28" s="45"/>
      <c r="AA28" s="45"/>
      <c r="AB28" s="45"/>
      <c r="AC28" s="45"/>
      <c r="AD28" s="45"/>
      <c r="AE28" s="45"/>
      <c r="AF28" s="45"/>
      <c r="AG28" s="45"/>
      <c r="AH28" s="45"/>
      <c r="AI28" s="45"/>
      <c r="AJ28" s="45"/>
      <c r="AK28" s="45"/>
      <c r="AL28" s="45"/>
      <c r="AM28" s="45"/>
      <c r="AN28" s="45"/>
      <c r="AO28" s="45">
        <v>0.5</v>
      </c>
      <c r="AP28">
        <v>2753.5</v>
      </c>
      <c r="AQ28" s="49">
        <f t="shared" si="0"/>
        <v>5507</v>
      </c>
      <c r="AR28">
        <v>302.94</v>
      </c>
      <c r="AS28">
        <v>42</v>
      </c>
      <c r="AT28">
        <f t="shared" si="1"/>
        <v>7.2128571428571426</v>
      </c>
      <c r="AU28" s="45">
        <f t="shared" si="2"/>
        <v>216.38571428571427</v>
      </c>
      <c r="AV28" s="136"/>
      <c r="AW28" s="45">
        <v>20</v>
      </c>
      <c r="AX28">
        <v>10.74</v>
      </c>
      <c r="AY28">
        <v>0.93</v>
      </c>
      <c r="AZ28">
        <v>14.67</v>
      </c>
      <c r="BA28">
        <v>2.19</v>
      </c>
      <c r="BB28" s="49">
        <f t="shared" si="3"/>
        <v>28.53</v>
      </c>
      <c r="BC28" s="48">
        <f t="shared" si="4"/>
        <v>1.4265000000000001</v>
      </c>
      <c r="BD28" s="48">
        <f t="shared" si="5"/>
        <v>7.2128571428571426</v>
      </c>
      <c r="BE28" s="48">
        <f t="shared" si="6"/>
        <v>0.19777183600713014</v>
      </c>
      <c r="BF28" s="50">
        <f t="shared" si="7"/>
        <v>544.56475044563285</v>
      </c>
      <c r="BG28" s="51">
        <f t="shared" si="8"/>
        <v>1089.1295008912657</v>
      </c>
      <c r="BH28" s="48">
        <f t="shared" si="9"/>
        <v>0.37644584647739221</v>
      </c>
      <c r="BI28" s="48">
        <f t="shared" si="16"/>
        <v>3.2597266035751839E-2</v>
      </c>
      <c r="BJ28" s="48">
        <f t="shared" si="10"/>
        <v>0.51419558359621453</v>
      </c>
      <c r="BK28" s="48">
        <f t="shared" si="11"/>
        <v>7.6761303890641425E-2</v>
      </c>
      <c r="BL28" s="50">
        <f t="shared" si="12"/>
        <v>409.9982768865122</v>
      </c>
      <c r="BM28" s="50">
        <f t="shared" si="13"/>
        <v>35.502644087938208</v>
      </c>
      <c r="BN28" s="50">
        <f t="shared" si="14"/>
        <v>560.02557932263824</v>
      </c>
      <c r="BO28" s="50">
        <f t="shared" si="15"/>
        <v>83.603000594177061</v>
      </c>
      <c r="BP28">
        <v>4.125</v>
      </c>
      <c r="BQ28">
        <v>8.6999999999999993</v>
      </c>
      <c r="BR28">
        <v>44.6</v>
      </c>
      <c r="BS28">
        <v>50.075000000000003</v>
      </c>
      <c r="BT28" s="49"/>
      <c r="BU28" s="39"/>
      <c r="BV28" s="43"/>
      <c r="BW28" s="43"/>
      <c r="BX28" s="40"/>
      <c r="BY28" s="43"/>
      <c r="CA28"/>
      <c r="CB28"/>
      <c r="CC28"/>
      <c r="CD28"/>
      <c r="CE28"/>
      <c r="CF28"/>
      <c r="CG28"/>
      <c r="CH28"/>
      <c r="CI28"/>
    </row>
    <row r="29" spans="1:87" s="36" customFormat="1" x14ac:dyDescent="0.35">
      <c r="A29" s="125" t="s">
        <v>34</v>
      </c>
      <c r="B29" s="6"/>
      <c r="C29" s="6"/>
      <c r="D29" s="45" t="s">
        <v>39</v>
      </c>
      <c r="E29" s="45">
        <v>2001</v>
      </c>
      <c r="F29" s="45">
        <v>2</v>
      </c>
      <c r="G29" s="45">
        <v>4</v>
      </c>
      <c r="H29" s="45">
        <v>4</v>
      </c>
      <c r="I29" s="45">
        <v>28</v>
      </c>
      <c r="J29" s="37"/>
      <c r="K29" s="35">
        <v>0.92769999999999997</v>
      </c>
      <c r="L29" s="141">
        <v>3.4679078891348025E-2</v>
      </c>
      <c r="M29" s="141">
        <v>3.079950287028399E-2</v>
      </c>
      <c r="N29" s="141">
        <v>5.548741315075556E-2</v>
      </c>
      <c r="O29" s="141">
        <v>0.17428808288838571</v>
      </c>
      <c r="P29">
        <v>0.96532092110865197</v>
      </c>
      <c r="Q29">
        <v>0.96920049712971601</v>
      </c>
      <c r="R29">
        <v>0.94451258684924444</v>
      </c>
      <c r="S29">
        <v>0.82571191711161429</v>
      </c>
      <c r="T29" s="45"/>
      <c r="U29" s="45"/>
      <c r="V29" s="45"/>
      <c r="W29" s="45"/>
      <c r="X29" s="45"/>
      <c r="Y29" s="45"/>
      <c r="Z29" s="45"/>
      <c r="AA29" s="45"/>
      <c r="AB29" s="45"/>
      <c r="AC29" s="45"/>
      <c r="AD29" s="45"/>
      <c r="AE29" s="45"/>
      <c r="AF29" s="45"/>
      <c r="AG29" s="45"/>
      <c r="AH29" s="45"/>
      <c r="AI29" s="45"/>
      <c r="AJ29" s="45"/>
      <c r="AK29" s="45"/>
      <c r="AL29" s="45"/>
      <c r="AM29" s="45"/>
      <c r="AN29" s="45"/>
      <c r="AO29" s="45">
        <v>0.5</v>
      </c>
      <c r="AP29">
        <v>2566</v>
      </c>
      <c r="AQ29" s="49">
        <f t="shared" si="0"/>
        <v>5132</v>
      </c>
      <c r="AR29">
        <v>250.96</v>
      </c>
      <c r="AS29">
        <v>37</v>
      </c>
      <c r="AT29">
        <f t="shared" si="1"/>
        <v>6.7827027027027027</v>
      </c>
      <c r="AU29" s="45">
        <f t="shared" si="2"/>
        <v>203.48108108108107</v>
      </c>
      <c r="AV29" s="136"/>
      <c r="AW29" s="45">
        <v>20</v>
      </c>
      <c r="AX29">
        <v>8.0299999999999994</v>
      </c>
      <c r="AY29">
        <v>0.79</v>
      </c>
      <c r="AZ29">
        <v>10.86</v>
      </c>
      <c r="BA29">
        <v>1.61</v>
      </c>
      <c r="BB29" s="49">
        <f t="shared" si="3"/>
        <v>21.29</v>
      </c>
      <c r="BC29" s="48">
        <f t="shared" si="4"/>
        <v>1.0645</v>
      </c>
      <c r="BD29" s="48">
        <f t="shared" si="5"/>
        <v>6.7827027027027027</v>
      </c>
      <c r="BE29" s="48">
        <f t="shared" si="6"/>
        <v>0.15694333758367868</v>
      </c>
      <c r="BF29" s="50">
        <f t="shared" si="7"/>
        <v>402.71660423971946</v>
      </c>
      <c r="BG29" s="51">
        <f t="shared" si="8"/>
        <v>805.43320847943892</v>
      </c>
      <c r="BH29" s="48">
        <f t="shared" si="9"/>
        <v>0.37717238139971815</v>
      </c>
      <c r="BI29" s="48">
        <f t="shared" si="16"/>
        <v>3.7106622827618604E-2</v>
      </c>
      <c r="BJ29" s="48">
        <f t="shared" si="10"/>
        <v>0.51009863785814935</v>
      </c>
      <c r="BK29" s="48">
        <f t="shared" si="11"/>
        <v>7.5622357914513869E-2</v>
      </c>
      <c r="BL29" s="50">
        <f t="shared" si="12"/>
        <v>303.78716130060565</v>
      </c>
      <c r="BM29" s="50">
        <f t="shared" si="13"/>
        <v>29.886906279885242</v>
      </c>
      <c r="BN29" s="50">
        <f t="shared" si="14"/>
        <v>410.85038253108064</v>
      </c>
      <c r="BO29" s="50">
        <f t="shared" si="15"/>
        <v>60.908758367867399</v>
      </c>
      <c r="BP29">
        <v>13.45</v>
      </c>
      <c r="BQ29">
        <v>31</v>
      </c>
      <c r="BR29">
        <v>37.274999999999999</v>
      </c>
      <c r="BS29">
        <v>42.9</v>
      </c>
      <c r="BT29" s="49"/>
      <c r="BU29" s="39"/>
      <c r="BV29" s="43"/>
      <c r="BW29" s="43"/>
      <c r="BX29" s="40"/>
      <c r="BY29" s="43"/>
      <c r="CA29"/>
      <c r="CB29"/>
      <c r="CC29"/>
      <c r="CD29"/>
      <c r="CE29"/>
      <c r="CF29"/>
      <c r="CG29"/>
      <c r="CH29"/>
      <c r="CI29"/>
    </row>
    <row r="30" spans="1:87" s="36" customFormat="1" x14ac:dyDescent="0.35">
      <c r="A30" s="125" t="s">
        <v>34</v>
      </c>
      <c r="B30" s="6"/>
      <c r="C30" s="6"/>
      <c r="D30" s="45" t="s">
        <v>42</v>
      </c>
      <c r="E30" s="45">
        <v>2016</v>
      </c>
      <c r="F30" s="45">
        <v>2</v>
      </c>
      <c r="G30" s="45">
        <v>5</v>
      </c>
      <c r="H30" s="45">
        <v>4</v>
      </c>
      <c r="I30" s="45">
        <v>29</v>
      </c>
      <c r="J30" s="37"/>
      <c r="K30" s="35">
        <v>0.94879000000000002</v>
      </c>
      <c r="L30" s="141">
        <v>5.1225820770128938E-2</v>
      </c>
      <c r="M30" s="141">
        <v>5.785171222159935E-2</v>
      </c>
      <c r="N30" s="141">
        <v>5.7679577776618363E-2</v>
      </c>
      <c r="O30" s="141">
        <v>0.1370416941798821</v>
      </c>
      <c r="P30">
        <v>0.94877417922987106</v>
      </c>
      <c r="Q30">
        <v>0.94214828777840065</v>
      </c>
      <c r="R30">
        <v>0.94232042222338164</v>
      </c>
      <c r="S30">
        <v>0.8629583058201179</v>
      </c>
      <c r="T30" s="45"/>
      <c r="U30" s="45"/>
      <c r="V30" s="45"/>
      <c r="W30" s="45"/>
      <c r="X30" s="45"/>
      <c r="Y30" s="45"/>
      <c r="Z30" s="45"/>
      <c r="AA30" s="45"/>
      <c r="AB30" s="45"/>
      <c r="AC30" s="45"/>
      <c r="AD30" s="45"/>
      <c r="AE30" s="45"/>
      <c r="AF30" s="45"/>
      <c r="AG30" s="45"/>
      <c r="AH30" s="45"/>
      <c r="AI30" s="45"/>
      <c r="AJ30" s="45"/>
      <c r="AK30" s="45"/>
      <c r="AL30" s="45"/>
      <c r="AM30" s="45"/>
      <c r="AN30" s="45"/>
      <c r="AO30" s="45">
        <v>0.5</v>
      </c>
      <c r="AP30">
        <v>2704</v>
      </c>
      <c r="AQ30" s="49">
        <f t="shared" si="0"/>
        <v>5408</v>
      </c>
      <c r="AR30">
        <v>199.21</v>
      </c>
      <c r="AS30">
        <v>30</v>
      </c>
      <c r="AT30">
        <f t="shared" si="1"/>
        <v>6.6403333333333334</v>
      </c>
      <c r="AU30" s="45">
        <f t="shared" si="2"/>
        <v>199.21</v>
      </c>
      <c r="AV30" s="136"/>
      <c r="AW30" s="45">
        <v>20</v>
      </c>
      <c r="AX30">
        <v>8.1300000000000008</v>
      </c>
      <c r="AY30">
        <v>0.14000000000000001</v>
      </c>
      <c r="AZ30">
        <v>9.68</v>
      </c>
      <c r="BA30">
        <v>1.31</v>
      </c>
      <c r="BB30" s="49">
        <f t="shared" si="3"/>
        <v>19.260000000000002</v>
      </c>
      <c r="BC30" s="48">
        <f t="shared" si="4"/>
        <v>0.96300000000000008</v>
      </c>
      <c r="BD30" s="48">
        <f t="shared" si="5"/>
        <v>6.6403333333333334</v>
      </c>
      <c r="BE30" s="48">
        <f t="shared" si="6"/>
        <v>0.14502284021886452</v>
      </c>
      <c r="BF30" s="50">
        <f t="shared" si="7"/>
        <v>392.14175995180966</v>
      </c>
      <c r="BG30" s="51">
        <f t="shared" si="8"/>
        <v>784.28351990361932</v>
      </c>
      <c r="BH30" s="48">
        <f t="shared" si="9"/>
        <v>0.42211838006230529</v>
      </c>
      <c r="BI30" s="48">
        <f t="shared" si="16"/>
        <v>7.2689511941848393E-3</v>
      </c>
      <c r="BJ30" s="48">
        <f t="shared" si="10"/>
        <v>0.50259605399792306</v>
      </c>
      <c r="BK30" s="48">
        <f t="shared" si="11"/>
        <v>6.8016614745586707E-2</v>
      </c>
      <c r="BL30" s="50">
        <f t="shared" si="12"/>
        <v>331.06048893127854</v>
      </c>
      <c r="BM30" s="50">
        <f t="shared" si="13"/>
        <v>5.7009186285829028</v>
      </c>
      <c r="BN30" s="50">
        <f t="shared" si="14"/>
        <v>394.17780231916061</v>
      </c>
      <c r="BO30" s="50">
        <f t="shared" si="15"/>
        <v>53.344310024597156</v>
      </c>
      <c r="BP30">
        <v>22.8</v>
      </c>
      <c r="BQ30">
        <v>17.125</v>
      </c>
      <c r="BR30">
        <v>39.4</v>
      </c>
      <c r="BS30">
        <v>49.05</v>
      </c>
      <c r="BT30" s="49"/>
      <c r="BU30" s="39"/>
      <c r="BV30" s="43"/>
      <c r="BW30" s="43"/>
      <c r="BX30" s="40"/>
      <c r="BY30" s="43"/>
      <c r="CA30"/>
      <c r="CB30"/>
      <c r="CC30"/>
      <c r="CD30"/>
      <c r="CE30"/>
      <c r="CF30"/>
      <c r="CG30"/>
      <c r="CH30"/>
      <c r="CI30"/>
    </row>
    <row r="31" spans="1:87" s="36" customFormat="1" x14ac:dyDescent="0.35">
      <c r="A31" s="125" t="s">
        <v>34</v>
      </c>
      <c r="B31" s="6"/>
      <c r="C31" s="6"/>
      <c r="D31" s="45" t="s">
        <v>36</v>
      </c>
      <c r="E31" s="45">
        <v>1984</v>
      </c>
      <c r="F31" s="45">
        <v>2</v>
      </c>
      <c r="G31" s="45">
        <v>6</v>
      </c>
      <c r="H31" s="45">
        <v>4</v>
      </c>
      <c r="I31" s="45">
        <v>30</v>
      </c>
      <c r="J31" s="37"/>
      <c r="K31" s="35">
        <v>0.93754999999999999</v>
      </c>
      <c r="L31" s="141">
        <v>3.3176525847724569E-2</v>
      </c>
      <c r="M31" s="141">
        <v>3.5211041337036564E-2</v>
      </c>
      <c r="N31" s="141">
        <v>4.8461713675490792E-2</v>
      </c>
      <c r="O31" s="141">
        <v>0.12576679623772657</v>
      </c>
      <c r="P31">
        <v>0.96682347415227543</v>
      </c>
      <c r="Q31">
        <v>0.96478895866296344</v>
      </c>
      <c r="R31">
        <v>0.95153828632450921</v>
      </c>
      <c r="S31">
        <v>0.87423320376227343</v>
      </c>
      <c r="T31" s="45"/>
      <c r="U31" s="45"/>
      <c r="V31" s="45"/>
      <c r="W31" s="45"/>
      <c r="X31" s="45"/>
      <c r="Y31" s="45"/>
      <c r="Z31" s="45"/>
      <c r="AA31" s="45"/>
      <c r="AB31" s="45"/>
      <c r="AC31" s="45"/>
      <c r="AD31" s="45"/>
      <c r="AE31" s="45"/>
      <c r="AF31" s="45"/>
      <c r="AG31" s="45"/>
      <c r="AH31" s="45"/>
      <c r="AI31" s="45"/>
      <c r="AJ31" s="45"/>
      <c r="AK31" s="45"/>
      <c r="AL31" s="45"/>
      <c r="AM31" s="45"/>
      <c r="AN31" s="45"/>
      <c r="AO31" s="45">
        <v>0.5</v>
      </c>
      <c r="AP31">
        <v>1840.5</v>
      </c>
      <c r="AQ31" s="49">
        <f t="shared" si="0"/>
        <v>3681</v>
      </c>
      <c r="AR31">
        <v>224.02</v>
      </c>
      <c r="AS31">
        <v>37</v>
      </c>
      <c r="AT31">
        <f t="shared" si="1"/>
        <v>6.0545945945945947</v>
      </c>
      <c r="AU31" s="45">
        <f t="shared" si="2"/>
        <v>181.63783783783785</v>
      </c>
      <c r="AV31" s="136"/>
      <c r="AW31" s="45">
        <v>20</v>
      </c>
      <c r="AX31">
        <v>7.14</v>
      </c>
      <c r="AY31">
        <v>7.0000000000000007E-2</v>
      </c>
      <c r="AZ31">
        <v>5.49</v>
      </c>
      <c r="BA31">
        <v>0.53</v>
      </c>
      <c r="BB31" s="49">
        <f t="shared" si="3"/>
        <v>13.229999999999999</v>
      </c>
      <c r="BC31" s="48">
        <f t="shared" si="4"/>
        <v>0.66149999999999998</v>
      </c>
      <c r="BD31" s="48">
        <f t="shared" si="5"/>
        <v>6.0545945945945947</v>
      </c>
      <c r="BE31" s="48">
        <f t="shared" si="6"/>
        <v>0.1092558700116061</v>
      </c>
      <c r="BF31" s="50">
        <f t="shared" si="7"/>
        <v>201.08542875636101</v>
      </c>
      <c r="BG31" s="51">
        <f t="shared" si="8"/>
        <v>402.17085751272202</v>
      </c>
      <c r="BH31" s="48">
        <f t="shared" si="9"/>
        <v>0.53968253968253976</v>
      </c>
      <c r="BI31" s="48">
        <f t="shared" si="16"/>
        <v>5.2910052910052924E-3</v>
      </c>
      <c r="BJ31" s="48">
        <f t="shared" si="10"/>
        <v>0.4149659863945579</v>
      </c>
      <c r="BK31" s="48">
        <f t="shared" si="11"/>
        <v>4.006046863189721E-2</v>
      </c>
      <c r="BL31" s="50">
        <f t="shared" si="12"/>
        <v>217.04458976877063</v>
      </c>
      <c r="BM31" s="50">
        <f t="shared" si="13"/>
        <v>2.1278881349879479</v>
      </c>
      <c r="BN31" s="50">
        <f t="shared" si="14"/>
        <v>166.88722658691188</v>
      </c>
      <c r="BO31" s="50">
        <f t="shared" si="15"/>
        <v>16.111153022051603</v>
      </c>
      <c r="BP31">
        <v>10.775</v>
      </c>
      <c r="BQ31">
        <v>22.425000000000001</v>
      </c>
      <c r="BR31">
        <v>40.75</v>
      </c>
      <c r="BS31">
        <v>43.9</v>
      </c>
      <c r="BT31" s="49"/>
      <c r="BU31" s="39"/>
      <c r="BV31" s="43"/>
      <c r="BW31" s="43"/>
      <c r="BX31" s="40"/>
      <c r="BY31" s="43"/>
      <c r="CA31"/>
      <c r="CB31"/>
      <c r="CC31"/>
      <c r="CD31"/>
      <c r="CE31"/>
      <c r="CF31"/>
      <c r="CG31"/>
      <c r="CH31"/>
      <c r="CI31"/>
    </row>
    <row r="32" spans="1:87" s="36" customFormat="1" x14ac:dyDescent="0.35">
      <c r="A32" s="125" t="s">
        <v>34</v>
      </c>
      <c r="B32" s="6"/>
      <c r="C32" s="6"/>
      <c r="D32" s="45" t="s">
        <v>41</v>
      </c>
      <c r="E32" s="45">
        <v>2008</v>
      </c>
      <c r="F32" s="45">
        <v>2</v>
      </c>
      <c r="G32" s="45">
        <v>7</v>
      </c>
      <c r="H32" s="45">
        <v>4</v>
      </c>
      <c r="I32" s="45">
        <v>31</v>
      </c>
      <c r="J32" s="37"/>
      <c r="K32" s="35">
        <v>0.92627000000000004</v>
      </c>
      <c r="L32" s="141">
        <v>4.821255930885715E-2</v>
      </c>
      <c r="M32" s="141">
        <v>4.9892080407513806E-2</v>
      </c>
      <c r="N32" s="141">
        <v>6.3192957835995212E-2</v>
      </c>
      <c r="O32" s="141">
        <v>0.17412535197795953</v>
      </c>
      <c r="P32">
        <v>0.95178744069114285</v>
      </c>
      <c r="Q32">
        <v>0.95010791959248619</v>
      </c>
      <c r="R32">
        <v>0.93680704216400479</v>
      </c>
      <c r="S32">
        <v>0.82587464802204047</v>
      </c>
      <c r="T32" s="45"/>
      <c r="U32" s="45"/>
      <c r="V32" s="45"/>
      <c r="W32" s="45"/>
      <c r="X32" s="45"/>
      <c r="Y32" s="45"/>
      <c r="Z32" s="45"/>
      <c r="AA32" s="45"/>
      <c r="AB32" s="45"/>
      <c r="AC32" s="45"/>
      <c r="AD32" s="45"/>
      <c r="AE32" s="45"/>
      <c r="AF32" s="45"/>
      <c r="AG32" s="45"/>
      <c r="AH32" s="45"/>
      <c r="AI32" s="45"/>
      <c r="AJ32" s="45"/>
      <c r="AK32" s="45"/>
      <c r="AL32" s="45"/>
      <c r="AM32" s="45"/>
      <c r="AN32" s="45"/>
      <c r="AO32" s="45">
        <v>0.5</v>
      </c>
      <c r="AP32">
        <v>2681.5</v>
      </c>
      <c r="AQ32" s="49">
        <f t="shared" si="0"/>
        <v>5363</v>
      </c>
      <c r="AR32">
        <v>333.3</v>
      </c>
      <c r="AS32">
        <v>46</v>
      </c>
      <c r="AT32">
        <f t="shared" si="1"/>
        <v>7.2456521739130437</v>
      </c>
      <c r="AU32" s="45">
        <f t="shared" si="2"/>
        <v>217.36956521739131</v>
      </c>
      <c r="AV32" s="136"/>
      <c r="AW32" s="45">
        <v>20</v>
      </c>
      <c r="AX32">
        <v>11.38</v>
      </c>
      <c r="AY32">
        <v>0.44</v>
      </c>
      <c r="AZ32">
        <v>14.11</v>
      </c>
      <c r="BA32"/>
      <c r="BB32" s="49">
        <f t="shared" si="3"/>
        <v>25.93</v>
      </c>
      <c r="BC32" s="48">
        <f t="shared" si="4"/>
        <v>1.2965</v>
      </c>
      <c r="BD32" s="48">
        <f t="shared" si="5"/>
        <v>7.2456521739130437</v>
      </c>
      <c r="BE32" s="48">
        <f t="shared" si="6"/>
        <v>0.17893489348934893</v>
      </c>
      <c r="BF32" s="50">
        <f t="shared" si="7"/>
        <v>479.81391689168919</v>
      </c>
      <c r="BG32" s="51">
        <f t="shared" si="8"/>
        <v>959.62783378337838</v>
      </c>
      <c r="BH32" s="48">
        <f t="shared" si="9"/>
        <v>0.43887389124566145</v>
      </c>
      <c r="BI32" s="48">
        <f t="shared" si="16"/>
        <v>1.6968762051677595E-2</v>
      </c>
      <c r="BJ32" s="48">
        <f t="shared" si="10"/>
        <v>0.54415734670266103</v>
      </c>
      <c r="BK32" s="48">
        <f t="shared" si="11"/>
        <v>0</v>
      </c>
      <c r="BL32" s="50">
        <f t="shared" si="12"/>
        <v>421.15560156015607</v>
      </c>
      <c r="BM32" s="50">
        <f t="shared" si="13"/>
        <v>16.283696369636964</v>
      </c>
      <c r="BN32" s="50">
        <f t="shared" si="14"/>
        <v>522.18853585358545</v>
      </c>
      <c r="BO32" s="50">
        <f t="shared" si="15"/>
        <v>0</v>
      </c>
      <c r="BP32">
        <v>4.05</v>
      </c>
      <c r="BQ32">
        <v>28.05</v>
      </c>
      <c r="BR32">
        <v>40.75</v>
      </c>
      <c r="BS32">
        <v>47.05</v>
      </c>
      <c r="BT32" s="49"/>
      <c r="BU32" s="39"/>
      <c r="BV32" s="43"/>
      <c r="BW32" s="43"/>
      <c r="BX32" s="40"/>
      <c r="BY32" s="43"/>
      <c r="CA32"/>
      <c r="CB32"/>
      <c r="CC32"/>
      <c r="CD32"/>
      <c r="CE32"/>
      <c r="CF32"/>
      <c r="CG32"/>
      <c r="CH32"/>
      <c r="CI32"/>
    </row>
    <row r="33" spans="1:87" s="36" customFormat="1" x14ac:dyDescent="0.35">
      <c r="A33" s="125" t="s">
        <v>34</v>
      </c>
      <c r="B33" s="6"/>
      <c r="C33" s="6"/>
      <c r="D33" s="45" t="s">
        <v>37</v>
      </c>
      <c r="E33" s="45">
        <v>1989</v>
      </c>
      <c r="F33" s="45">
        <v>2</v>
      </c>
      <c r="G33" s="45">
        <v>8</v>
      </c>
      <c r="H33" s="45">
        <v>4</v>
      </c>
      <c r="I33" s="45">
        <v>32</v>
      </c>
      <c r="J33" s="37"/>
      <c r="K33" s="35">
        <v>0.93542000000000003</v>
      </c>
      <c r="L33" s="141">
        <v>2.9442983088139862E-2</v>
      </c>
      <c r="M33" s="141">
        <v>3.1924443701169869E-2</v>
      </c>
      <c r="N33" s="141">
        <v>7.4145529792418507E-2</v>
      </c>
      <c r="O33" s="141">
        <v>0.25247381515633716</v>
      </c>
      <c r="P33">
        <v>0.97055701691186014</v>
      </c>
      <c r="Q33">
        <v>0.96807555629883013</v>
      </c>
      <c r="R33">
        <v>0.92585447020758149</v>
      </c>
      <c r="S33">
        <v>0.74752618484366284</v>
      </c>
      <c r="T33" s="45"/>
      <c r="U33" s="45"/>
      <c r="V33" s="45"/>
      <c r="W33" s="45"/>
      <c r="X33" s="45"/>
      <c r="Y33" s="45"/>
      <c r="Z33" s="45"/>
      <c r="AA33" s="45"/>
      <c r="AB33" s="45"/>
      <c r="AC33" s="45"/>
      <c r="AD33" s="45"/>
      <c r="AE33" s="45"/>
      <c r="AF33" s="45"/>
      <c r="AG33" s="45"/>
      <c r="AH33" s="45"/>
      <c r="AI33" s="45"/>
      <c r="AJ33" s="45"/>
      <c r="AK33" s="45"/>
      <c r="AL33" s="45"/>
      <c r="AM33" s="45"/>
      <c r="AN33" s="45"/>
      <c r="AO33" s="45">
        <v>0.5</v>
      </c>
      <c r="AP33">
        <v>2102.5</v>
      </c>
      <c r="AQ33" s="49">
        <f t="shared" si="0"/>
        <v>4205</v>
      </c>
      <c r="AR33">
        <v>222.33</v>
      </c>
      <c r="AS33">
        <v>35</v>
      </c>
      <c r="AT33">
        <f t="shared" si="1"/>
        <v>6.3522857142857143</v>
      </c>
      <c r="AU33" s="45">
        <f t="shared" si="2"/>
        <v>190.56857142857143</v>
      </c>
      <c r="AV33" s="136"/>
      <c r="AW33" s="45">
        <v>20</v>
      </c>
      <c r="AX33"/>
      <c r="AY33">
        <v>0.91</v>
      </c>
      <c r="AZ33">
        <v>10.67</v>
      </c>
      <c r="BA33">
        <v>2.17</v>
      </c>
      <c r="BB33" s="49">
        <f>SUM(AX33:BA33)</f>
        <v>13.75</v>
      </c>
      <c r="BC33" s="48">
        <f>BB33/AW33</f>
        <v>0.6875</v>
      </c>
      <c r="BD33" s="48">
        <f t="shared" si="5"/>
        <v>6.3522857142857143</v>
      </c>
      <c r="BE33" s="48">
        <f t="shared" si="6"/>
        <v>0.10822875905185984</v>
      </c>
      <c r="BF33" s="50">
        <f t="shared" si="7"/>
        <v>227.55096590653531</v>
      </c>
      <c r="BG33" s="51">
        <f t="shared" si="8"/>
        <v>455.10193181307062</v>
      </c>
      <c r="BH33" s="48"/>
      <c r="BI33" s="48">
        <f t="shared" si="16"/>
        <v>6.6181818181818189E-2</v>
      </c>
      <c r="BJ33" s="48">
        <f t="shared" si="10"/>
        <v>0.77600000000000002</v>
      </c>
      <c r="BK33" s="48">
        <f t="shared" si="11"/>
        <v>0.1578181818181818</v>
      </c>
      <c r="BL33" s="50"/>
      <c r="BM33" s="50">
        <f t="shared" si="13"/>
        <v>30.11947330544686</v>
      </c>
      <c r="BN33" s="50">
        <f t="shared" si="14"/>
        <v>353.15909908694283</v>
      </c>
      <c r="BO33" s="50">
        <f t="shared" si="15"/>
        <v>71.823359420680958</v>
      </c>
      <c r="BP33">
        <v>25.15</v>
      </c>
      <c r="BQ33">
        <v>21.824999999999999</v>
      </c>
      <c r="BR33">
        <v>39.15</v>
      </c>
      <c r="BS33">
        <v>52.225000000000001</v>
      </c>
      <c r="BT33" s="49"/>
      <c r="BU33" s="39"/>
      <c r="BV33" s="43"/>
      <c r="BW33" s="43"/>
      <c r="BX33" s="40"/>
      <c r="BY33" s="43"/>
      <c r="CA33"/>
      <c r="CB33"/>
      <c r="CC33"/>
      <c r="CD33"/>
      <c r="CE33"/>
      <c r="CF33"/>
      <c r="CG33"/>
      <c r="CH33"/>
      <c r="CI33"/>
    </row>
    <row r="34" spans="1:87" s="36" customFormat="1" x14ac:dyDescent="0.35">
      <c r="A34" s="125" t="s">
        <v>24</v>
      </c>
      <c r="B34" s="79"/>
      <c r="C34" s="79"/>
      <c r="D34" s="45" t="s">
        <v>336</v>
      </c>
      <c r="E34" s="45">
        <v>2002</v>
      </c>
      <c r="F34" s="45">
        <v>3</v>
      </c>
      <c r="G34" s="45">
        <v>1</v>
      </c>
      <c r="H34" s="45">
        <v>5</v>
      </c>
      <c r="I34" s="45">
        <v>33</v>
      </c>
      <c r="J34" s="37"/>
      <c r="K34" s="35">
        <v>0.96499999999999997</v>
      </c>
      <c r="L34" s="141">
        <v>1.4401297182652484E-2</v>
      </c>
      <c r="M34" s="141">
        <v>1.9118139563782721E-2</v>
      </c>
      <c r="N34" s="141">
        <v>2.5203831843308322E-2</v>
      </c>
      <c r="O34" s="141">
        <v>0.10344207397080829</v>
      </c>
      <c r="P34">
        <v>0.98559870281734752</v>
      </c>
      <c r="Q34">
        <v>0.98088186043621728</v>
      </c>
      <c r="R34">
        <v>0.97479616815669168</v>
      </c>
      <c r="S34">
        <v>0.89655792602919171</v>
      </c>
      <c r="T34" s="45"/>
      <c r="U34" s="45"/>
      <c r="V34" s="45"/>
      <c r="W34" s="45"/>
      <c r="X34" s="45"/>
      <c r="Y34" s="45"/>
      <c r="Z34" s="45"/>
      <c r="AA34" s="45"/>
      <c r="AB34" s="45"/>
      <c r="AC34" s="45"/>
      <c r="AD34" s="45"/>
      <c r="AE34" s="45"/>
      <c r="AF34" s="45"/>
      <c r="AG34" s="45"/>
      <c r="AH34" s="45"/>
      <c r="AI34" s="45"/>
      <c r="AJ34" s="45"/>
      <c r="AK34" s="45"/>
      <c r="AL34" s="45"/>
      <c r="AM34" s="45"/>
      <c r="AN34" s="45"/>
      <c r="AO34" s="45">
        <v>0.5</v>
      </c>
      <c r="AP34"/>
      <c r="AQ34" s="49"/>
      <c r="AR34">
        <v>263.61</v>
      </c>
      <c r="AS34">
        <v>44</v>
      </c>
      <c r="AT34">
        <f t="shared" si="1"/>
        <v>5.9911363636363637</v>
      </c>
      <c r="AU34" s="45">
        <f t="shared" si="2"/>
        <v>179.73409090909092</v>
      </c>
      <c r="AV34" s="136"/>
      <c r="AW34" s="45">
        <v>20</v>
      </c>
      <c r="AX34">
        <v>10.66</v>
      </c>
      <c r="AY34">
        <v>6.89</v>
      </c>
      <c r="AZ34">
        <v>15.79</v>
      </c>
      <c r="BA34"/>
      <c r="BB34" s="49">
        <f t="shared" si="3"/>
        <v>33.340000000000003</v>
      </c>
      <c r="BC34" s="48">
        <f t="shared" si="4"/>
        <v>1.6670000000000003</v>
      </c>
      <c r="BD34" s="48">
        <f t="shared" si="5"/>
        <v>5.9911363636363637</v>
      </c>
      <c r="BE34" s="48">
        <f t="shared" si="6"/>
        <v>0.27824437616175413</v>
      </c>
      <c r="BF34" s="50"/>
      <c r="BG34" s="51"/>
      <c r="BH34" s="48">
        <f t="shared" si="9"/>
        <v>0.31973605278944206</v>
      </c>
      <c r="BI34" s="48">
        <f t="shared" si="16"/>
        <v>0.20665866826634671</v>
      </c>
      <c r="BJ34" s="48">
        <f t="shared" si="10"/>
        <v>0.47360527894421106</v>
      </c>
      <c r="BK34" s="48">
        <f t="shared" si="11"/>
        <v>0</v>
      </c>
      <c r="BL34" s="50"/>
      <c r="BM34" s="50"/>
      <c r="BN34" s="50"/>
      <c r="BO34" s="50"/>
      <c r="BP34">
        <v>2.125</v>
      </c>
      <c r="BQ34">
        <v>7.3250000000000002</v>
      </c>
      <c r="BR34">
        <v>30.05</v>
      </c>
      <c r="BS34">
        <v>48.35</v>
      </c>
      <c r="BT34" s="49"/>
      <c r="BU34" s="39"/>
      <c r="BV34" s="43"/>
      <c r="BW34" s="43"/>
      <c r="BX34" s="40"/>
      <c r="BY34" s="43"/>
      <c r="CA34"/>
      <c r="CB34"/>
      <c r="CC34"/>
      <c r="CD34"/>
      <c r="CE34"/>
      <c r="CF34"/>
      <c r="CG34"/>
      <c r="CH34"/>
      <c r="CI34"/>
    </row>
    <row r="35" spans="1:87" s="36" customFormat="1" x14ac:dyDescent="0.35">
      <c r="A35" s="125" t="s">
        <v>24</v>
      </c>
      <c r="B35" s="79"/>
      <c r="C35" s="79"/>
      <c r="D35" s="45" t="s">
        <v>337</v>
      </c>
      <c r="E35" s="45">
        <v>2016</v>
      </c>
      <c r="F35" s="45">
        <v>3</v>
      </c>
      <c r="G35" s="45">
        <v>2</v>
      </c>
      <c r="H35" s="45">
        <v>5</v>
      </c>
      <c r="I35" s="45">
        <v>34</v>
      </c>
      <c r="J35" s="37"/>
      <c r="K35" s="35">
        <v>0.96330000000000005</v>
      </c>
      <c r="L35" s="141">
        <v>8.1284732937967341E-3</v>
      </c>
      <c r="M35" s="141">
        <v>7.8085813074237898E-3</v>
      </c>
      <c r="N35" s="141">
        <v>2.1856222516715929E-2</v>
      </c>
      <c r="O35" s="141">
        <v>0.120885065913104</v>
      </c>
      <c r="P35">
        <v>0.99187152670620327</v>
      </c>
      <c r="Q35">
        <v>0.99219141869257621</v>
      </c>
      <c r="R35">
        <v>0.97814377748328407</v>
      </c>
      <c r="S35">
        <v>0.879114934086896</v>
      </c>
      <c r="T35" s="45"/>
      <c r="U35" s="45"/>
      <c r="V35" s="45"/>
      <c r="W35" s="45"/>
      <c r="X35" s="45"/>
      <c r="Y35" s="45"/>
      <c r="Z35" s="45"/>
      <c r="AA35" s="45"/>
      <c r="AB35" s="45"/>
      <c r="AC35" s="45"/>
      <c r="AD35" s="45"/>
      <c r="AE35" s="45"/>
      <c r="AF35" s="45"/>
      <c r="AG35" s="45"/>
      <c r="AH35" s="45"/>
      <c r="AI35" s="45"/>
      <c r="AJ35" s="45"/>
      <c r="AK35" s="45"/>
      <c r="AL35" s="45"/>
      <c r="AM35" s="45"/>
      <c r="AN35" s="45"/>
      <c r="AO35" s="45">
        <v>0.5</v>
      </c>
      <c r="AP35"/>
      <c r="AQ35" s="49"/>
      <c r="AR35"/>
      <c r="AS35"/>
      <c r="AT35"/>
      <c r="AU35" s="45"/>
      <c r="AV35" s="136"/>
      <c r="AW35" s="45">
        <v>20</v>
      </c>
      <c r="AX35">
        <v>9.8699999999999992</v>
      </c>
      <c r="AY35">
        <v>5.12</v>
      </c>
      <c r="AZ35">
        <v>15.8</v>
      </c>
      <c r="BA35">
        <v>2.8</v>
      </c>
      <c r="BB35" s="49">
        <f t="shared" si="3"/>
        <v>33.589999999999996</v>
      </c>
      <c r="BC35" s="48">
        <f t="shared" si="4"/>
        <v>1.6794999999999998</v>
      </c>
      <c r="BD35" s="48"/>
      <c r="BE35" s="48"/>
      <c r="BF35" s="50"/>
      <c r="BG35" s="51"/>
      <c r="BH35" s="48">
        <f t="shared" si="9"/>
        <v>0.29383745162250668</v>
      </c>
      <c r="BI35" s="48">
        <f t="shared" si="16"/>
        <v>0.15242631735635609</v>
      </c>
      <c r="BJ35" s="48">
        <f t="shared" si="10"/>
        <v>0.47037808871688008</v>
      </c>
      <c r="BK35" s="48">
        <f t="shared" si="11"/>
        <v>8.3358142304257227E-2</v>
      </c>
      <c r="BL35" s="50"/>
      <c r="BM35" s="50"/>
      <c r="BN35" s="50"/>
      <c r="BO35" s="50"/>
      <c r="BP35">
        <v>7.375</v>
      </c>
      <c r="BQ35">
        <v>15.925000000000001</v>
      </c>
      <c r="BR35">
        <v>33.475000000000001</v>
      </c>
      <c r="BS35">
        <v>46.9</v>
      </c>
      <c r="BT35" s="49"/>
      <c r="BU35" s="39"/>
      <c r="BV35" s="43"/>
      <c r="BW35" s="43"/>
      <c r="BX35" s="40"/>
      <c r="BY35" s="43"/>
      <c r="CA35"/>
      <c r="CB35"/>
      <c r="CC35"/>
      <c r="CD35"/>
      <c r="CE35"/>
      <c r="CF35"/>
      <c r="CG35"/>
      <c r="CH35"/>
      <c r="CI35"/>
    </row>
    <row r="36" spans="1:87" s="36" customFormat="1" x14ac:dyDescent="0.35">
      <c r="A36" s="125" t="s">
        <v>24</v>
      </c>
      <c r="B36" s="79"/>
      <c r="C36" s="79"/>
      <c r="D36" s="45" t="s">
        <v>32</v>
      </c>
      <c r="E36" s="45">
        <v>2018</v>
      </c>
      <c r="F36" s="45">
        <v>3</v>
      </c>
      <c r="G36" s="45">
        <v>3</v>
      </c>
      <c r="H36" s="45">
        <v>5</v>
      </c>
      <c r="I36" s="45">
        <v>35</v>
      </c>
      <c r="J36" s="37"/>
      <c r="K36" s="35">
        <v>0.97187999999999997</v>
      </c>
      <c r="L36" s="141">
        <v>5.8882056881661704E-3</v>
      </c>
      <c r="M36" s="141">
        <v>5.0724268388381288E-3</v>
      </c>
      <c r="N36" s="141">
        <v>7.7705064156851078E-3</v>
      </c>
      <c r="O36" s="141">
        <v>6.7228104975274094E-2</v>
      </c>
      <c r="P36">
        <v>0.99411179431183383</v>
      </c>
      <c r="Q36">
        <v>0.99492757316116187</v>
      </c>
      <c r="R36">
        <v>0.99222949358431489</v>
      </c>
      <c r="S36">
        <v>0.93277189502472591</v>
      </c>
      <c r="T36" s="45"/>
      <c r="U36" s="45"/>
      <c r="V36" s="45"/>
      <c r="W36" s="45"/>
      <c r="X36" s="45"/>
      <c r="Y36" s="45"/>
      <c r="Z36" s="45"/>
      <c r="AA36" s="45"/>
      <c r="AB36" s="45"/>
      <c r="AC36" s="45"/>
      <c r="AD36" s="45"/>
      <c r="AE36" s="45"/>
      <c r="AF36" s="45"/>
      <c r="AG36" s="45"/>
      <c r="AH36" s="45"/>
      <c r="AI36" s="45"/>
      <c r="AJ36" s="45"/>
      <c r="AK36" s="45"/>
      <c r="AL36" s="45"/>
      <c r="AM36" s="45"/>
      <c r="AN36" s="45"/>
      <c r="AO36" s="45">
        <v>0.5</v>
      </c>
      <c r="AP36">
        <v>2217</v>
      </c>
      <c r="AQ36" s="49">
        <f t="shared" si="0"/>
        <v>4434</v>
      </c>
      <c r="AR36">
        <v>276.31</v>
      </c>
      <c r="AS36">
        <v>36</v>
      </c>
      <c r="AT36">
        <f t="shared" si="1"/>
        <v>7.6752777777777776</v>
      </c>
      <c r="AU36" s="45">
        <f t="shared" si="2"/>
        <v>230.25833333333333</v>
      </c>
      <c r="AV36" s="136"/>
      <c r="AW36" s="45">
        <v>20</v>
      </c>
      <c r="AX36">
        <v>14.52</v>
      </c>
      <c r="AY36">
        <v>2.2200000000000002</v>
      </c>
      <c r="AZ36">
        <v>14.91</v>
      </c>
      <c r="BA36">
        <v>1.96</v>
      </c>
      <c r="BB36" s="49">
        <f t="shared" si="3"/>
        <v>33.61</v>
      </c>
      <c r="BC36" s="48">
        <f t="shared" si="4"/>
        <v>1.6804999999999999</v>
      </c>
      <c r="BD36" s="48">
        <f t="shared" si="5"/>
        <v>7.6752777777777776</v>
      </c>
      <c r="BE36" s="48">
        <f t="shared" si="6"/>
        <v>0.2189497303753031</v>
      </c>
      <c r="BF36" s="50">
        <f t="shared" si="7"/>
        <v>485.41155224204698</v>
      </c>
      <c r="BG36" s="51">
        <f t="shared" si="8"/>
        <v>970.82310448409396</v>
      </c>
      <c r="BH36" s="48">
        <f t="shared" si="9"/>
        <v>0.43201428146385001</v>
      </c>
      <c r="BI36" s="48">
        <f t="shared" si="16"/>
        <v>6.6051770306456425E-2</v>
      </c>
      <c r="BJ36" s="48">
        <f t="shared" si="10"/>
        <v>0.44361797084201132</v>
      </c>
      <c r="BK36" s="48">
        <f t="shared" si="11"/>
        <v>5.8315977387682238E-2</v>
      </c>
      <c r="BL36" s="50">
        <f t="shared" si="12"/>
        <v>419.40944591220006</v>
      </c>
      <c r="BM36" s="50">
        <f t="shared" si="13"/>
        <v>64.124584705584326</v>
      </c>
      <c r="BN36" s="50">
        <f t="shared" si="14"/>
        <v>430.67457565777573</v>
      </c>
      <c r="BO36" s="50">
        <f t="shared" si="15"/>
        <v>56.614498208533895</v>
      </c>
      <c r="BP36">
        <v>5.15</v>
      </c>
      <c r="BQ36">
        <v>11.074999999999999</v>
      </c>
      <c r="BR36">
        <v>20.524999999999999</v>
      </c>
      <c r="BS36">
        <v>46.424999999999997</v>
      </c>
      <c r="BT36" s="49"/>
      <c r="BU36" s="39"/>
      <c r="BV36" s="43"/>
      <c r="BW36" s="43"/>
      <c r="BX36" s="40"/>
      <c r="BY36" s="43"/>
      <c r="CA36"/>
      <c r="CB36"/>
      <c r="CC36"/>
      <c r="CD36"/>
      <c r="CE36"/>
      <c r="CF36"/>
      <c r="CG36"/>
      <c r="CH36"/>
      <c r="CI36"/>
    </row>
    <row r="37" spans="1:87" s="36" customFormat="1" x14ac:dyDescent="0.35">
      <c r="A37" s="125" t="s">
        <v>24</v>
      </c>
      <c r="B37" s="79"/>
      <c r="C37" s="79"/>
      <c r="D37" s="45" t="s">
        <v>28</v>
      </c>
      <c r="E37" s="45">
        <v>1998</v>
      </c>
      <c r="F37" s="45">
        <v>3</v>
      </c>
      <c r="G37" s="45">
        <v>4</v>
      </c>
      <c r="H37" s="45">
        <v>5</v>
      </c>
      <c r="I37" s="45">
        <v>36</v>
      </c>
      <c r="J37" s="37"/>
      <c r="K37" s="35">
        <v>0.97275</v>
      </c>
      <c r="L37" s="141">
        <v>6.8248514052940967E-3</v>
      </c>
      <c r="M37" s="141">
        <v>4.8776097475637936E-3</v>
      </c>
      <c r="N37" s="141">
        <v>1.5381626592491426E-2</v>
      </c>
      <c r="O37" s="141">
        <v>4.1230778445274119E-2</v>
      </c>
      <c r="P37">
        <v>0.9931751485947059</v>
      </c>
      <c r="Q37">
        <v>0.99512239025243621</v>
      </c>
      <c r="R37">
        <v>0.98461837340750857</v>
      </c>
      <c r="S37">
        <v>0.95876922155472588</v>
      </c>
      <c r="T37" s="45"/>
      <c r="U37" s="45"/>
      <c r="V37" s="45"/>
      <c r="W37" s="45"/>
      <c r="X37" s="45"/>
      <c r="Y37" s="45"/>
      <c r="Z37" s="45"/>
      <c r="AA37" s="45"/>
      <c r="AB37" s="45"/>
      <c r="AC37" s="45"/>
      <c r="AD37" s="45"/>
      <c r="AE37" s="45"/>
      <c r="AF37" s="45"/>
      <c r="AG37" s="45"/>
      <c r="AH37" s="45"/>
      <c r="AI37" s="45"/>
      <c r="AJ37" s="45"/>
      <c r="AK37" s="45"/>
      <c r="AL37" s="45"/>
      <c r="AM37" s="45"/>
      <c r="AN37" s="45"/>
      <c r="AO37" s="45">
        <v>0.5</v>
      </c>
      <c r="AP37">
        <v>2606.5</v>
      </c>
      <c r="AQ37" s="49">
        <f t="shared" si="0"/>
        <v>5213</v>
      </c>
      <c r="AR37">
        <v>252.84</v>
      </c>
      <c r="AS37">
        <v>45</v>
      </c>
      <c r="AT37">
        <f t="shared" si="1"/>
        <v>5.6186666666666669</v>
      </c>
      <c r="AU37" s="45">
        <f t="shared" si="2"/>
        <v>168.56</v>
      </c>
      <c r="AV37" s="136"/>
      <c r="AW37" s="45">
        <v>20</v>
      </c>
      <c r="AX37">
        <v>8.44</v>
      </c>
      <c r="AY37">
        <v>1.96</v>
      </c>
      <c r="AZ37">
        <v>9.58</v>
      </c>
      <c r="BA37">
        <v>2.5</v>
      </c>
      <c r="BB37" s="49">
        <f t="shared" si="3"/>
        <v>22.479999999999997</v>
      </c>
      <c r="BC37" s="48">
        <f t="shared" si="4"/>
        <v>1.1239999999999999</v>
      </c>
      <c r="BD37" s="48">
        <f t="shared" si="5"/>
        <v>5.6186666666666669</v>
      </c>
      <c r="BE37" s="48">
        <f t="shared" si="6"/>
        <v>0.20004746084480302</v>
      </c>
      <c r="BF37" s="50">
        <f t="shared" si="7"/>
        <v>521.42370669197908</v>
      </c>
      <c r="BG37" s="51">
        <f t="shared" si="8"/>
        <v>1042.8474133839582</v>
      </c>
      <c r="BH37" s="48">
        <f t="shared" si="9"/>
        <v>0.37544483985765126</v>
      </c>
      <c r="BI37" s="48">
        <f t="shared" si="16"/>
        <v>8.7188612099644139E-2</v>
      </c>
      <c r="BJ37" s="48">
        <f t="shared" si="10"/>
        <v>0.42615658362989328</v>
      </c>
      <c r="BK37" s="48">
        <f t="shared" si="11"/>
        <v>0.1112099644128114</v>
      </c>
      <c r="BL37" s="50">
        <f t="shared" si="12"/>
        <v>391.53168011390602</v>
      </c>
      <c r="BM37" s="50">
        <f t="shared" si="13"/>
        <v>90.924418604651166</v>
      </c>
      <c r="BN37" s="50">
        <f t="shared" si="14"/>
        <v>444.41629093497863</v>
      </c>
      <c r="BO37" s="50">
        <f t="shared" si="15"/>
        <v>115.97502373042241</v>
      </c>
      <c r="BP37">
        <v>2.75</v>
      </c>
      <c r="BQ37">
        <v>10.875</v>
      </c>
      <c r="BR37">
        <v>23.274999999999999</v>
      </c>
      <c r="BS37">
        <v>41.6</v>
      </c>
      <c r="BT37" s="49"/>
      <c r="BU37" s="39"/>
      <c r="BV37" s="43"/>
      <c r="BW37" s="43"/>
      <c r="BX37" s="40"/>
      <c r="BY37" s="43"/>
      <c r="CA37"/>
      <c r="CB37"/>
      <c r="CC37"/>
      <c r="CD37"/>
      <c r="CE37"/>
      <c r="CF37"/>
      <c r="CG37"/>
      <c r="CH37"/>
      <c r="CI37"/>
    </row>
    <row r="38" spans="1:87" s="36" customFormat="1" x14ac:dyDescent="0.35">
      <c r="A38" s="125" t="s">
        <v>24</v>
      </c>
      <c r="B38" s="79"/>
      <c r="C38" s="79"/>
      <c r="D38" s="45" t="s">
        <v>27</v>
      </c>
      <c r="E38" s="45">
        <v>1985</v>
      </c>
      <c r="F38" s="45">
        <v>3</v>
      </c>
      <c r="G38" s="45">
        <v>5</v>
      </c>
      <c r="H38" s="45">
        <v>5</v>
      </c>
      <c r="I38" s="45">
        <v>37</v>
      </c>
      <c r="J38" s="37"/>
      <c r="K38" s="35">
        <v>0.96150000000000002</v>
      </c>
      <c r="L38" s="141">
        <v>9.2684948717967064E-3</v>
      </c>
      <c r="M38" s="141">
        <v>7.7035951193737962E-3</v>
      </c>
      <c r="N38" s="141">
        <v>1.5121957429578448E-2</v>
      </c>
      <c r="O38" s="141">
        <v>6.0075202176900433E-2</v>
      </c>
      <c r="P38">
        <v>0.99073150512820329</v>
      </c>
      <c r="Q38">
        <v>0.9922964048806262</v>
      </c>
      <c r="R38">
        <v>0.98487804257042155</v>
      </c>
      <c r="S38">
        <v>0.93992479782309957</v>
      </c>
      <c r="T38" s="45"/>
      <c r="U38" s="45"/>
      <c r="V38" s="45"/>
      <c r="W38" s="45"/>
      <c r="X38" s="45"/>
      <c r="Y38" s="45"/>
      <c r="Z38" s="45"/>
      <c r="AA38" s="45"/>
      <c r="AB38" s="45"/>
      <c r="AC38" s="45"/>
      <c r="AD38" s="45"/>
      <c r="AE38" s="45"/>
      <c r="AF38" s="45"/>
      <c r="AG38" s="45"/>
      <c r="AH38" s="45"/>
      <c r="AI38" s="45"/>
      <c r="AJ38" s="45"/>
      <c r="AK38" s="45"/>
      <c r="AL38" s="45"/>
      <c r="AM38" s="45"/>
      <c r="AN38" s="45"/>
      <c r="AO38" s="45">
        <v>0.5</v>
      </c>
      <c r="AP38">
        <v>2896</v>
      </c>
      <c r="AQ38" s="49">
        <f t="shared" si="0"/>
        <v>5792</v>
      </c>
      <c r="AR38">
        <v>299.60000000000002</v>
      </c>
      <c r="AS38">
        <v>38</v>
      </c>
      <c r="AT38">
        <f t="shared" si="1"/>
        <v>7.8842105263157904</v>
      </c>
      <c r="AU38" s="45">
        <f t="shared" si="2"/>
        <v>236.5263157894737</v>
      </c>
      <c r="AV38" s="136"/>
      <c r="AW38" s="45">
        <v>20</v>
      </c>
      <c r="AX38">
        <v>10.56</v>
      </c>
      <c r="AY38">
        <v>3.93</v>
      </c>
      <c r="AZ38">
        <v>13.78</v>
      </c>
      <c r="BA38">
        <v>3.44</v>
      </c>
      <c r="BB38" s="49">
        <f t="shared" si="3"/>
        <v>31.71</v>
      </c>
      <c r="BC38" s="48">
        <f t="shared" si="4"/>
        <v>1.5855000000000001</v>
      </c>
      <c r="BD38" s="48">
        <f t="shared" si="5"/>
        <v>7.8842105263157904</v>
      </c>
      <c r="BE38" s="48">
        <f t="shared" si="6"/>
        <v>0.20109813084112149</v>
      </c>
      <c r="BF38" s="50">
        <f t="shared" si="7"/>
        <v>582.38018691588786</v>
      </c>
      <c r="BG38" s="51">
        <f t="shared" si="8"/>
        <v>1164.7603738317757</v>
      </c>
      <c r="BH38" s="48">
        <f t="shared" si="9"/>
        <v>0.33301797540208139</v>
      </c>
      <c r="BI38" s="48">
        <f t="shared" si="16"/>
        <v>0.1239356669820246</v>
      </c>
      <c r="BJ38" s="48">
        <f t="shared" si="10"/>
        <v>0.43456322926521601</v>
      </c>
      <c r="BK38" s="48">
        <f t="shared" si="11"/>
        <v>0.10848312835067801</v>
      </c>
      <c r="BL38" s="50">
        <f t="shared" si="12"/>
        <v>387.88614152202939</v>
      </c>
      <c r="BM38" s="50">
        <f t="shared" si="13"/>
        <v>144.35535380507343</v>
      </c>
      <c r="BN38" s="50">
        <f t="shared" si="14"/>
        <v>506.16202937249665</v>
      </c>
      <c r="BO38" s="50">
        <f t="shared" si="15"/>
        <v>126.35684913217622</v>
      </c>
      <c r="BP38">
        <v>5.9249999999999998</v>
      </c>
      <c r="BQ38">
        <v>12.525</v>
      </c>
      <c r="BR38">
        <v>26.75</v>
      </c>
      <c r="BS38">
        <v>54.75</v>
      </c>
      <c r="BT38" s="49"/>
      <c r="BU38" s="39"/>
      <c r="BV38" s="43"/>
      <c r="BW38" s="43"/>
      <c r="BX38" s="40"/>
      <c r="BY38" s="43"/>
      <c r="CA38"/>
      <c r="CB38"/>
      <c r="CC38"/>
      <c r="CD38"/>
      <c r="CE38"/>
      <c r="CF38"/>
      <c r="CG38"/>
      <c r="CH38"/>
      <c r="CI38"/>
    </row>
    <row r="39" spans="1:87" s="36" customFormat="1" x14ac:dyDescent="0.35">
      <c r="A39" s="125" t="s">
        <v>24</v>
      </c>
      <c r="B39" s="79"/>
      <c r="C39" s="79"/>
      <c r="D39" s="45" t="s">
        <v>335</v>
      </c>
      <c r="E39" s="45">
        <v>2023</v>
      </c>
      <c r="F39" s="45">
        <v>3</v>
      </c>
      <c r="G39" s="45">
        <v>6</v>
      </c>
      <c r="H39" s="45">
        <v>5</v>
      </c>
      <c r="I39" s="45">
        <v>38</v>
      </c>
      <c r="J39" s="37"/>
      <c r="K39" s="35">
        <v>0.95909</v>
      </c>
      <c r="L39" s="141">
        <v>1.0679670116594653E-2</v>
      </c>
      <c r="M39" s="141">
        <v>1.045061396591207E-2</v>
      </c>
      <c r="N39" s="141">
        <v>1.9827243001428241E-2</v>
      </c>
      <c r="O39" s="141">
        <v>0.10633150597901153</v>
      </c>
      <c r="P39">
        <v>0.98932032988340535</v>
      </c>
      <c r="Q39">
        <v>0.98954938603408793</v>
      </c>
      <c r="R39">
        <v>0.98017275699857176</v>
      </c>
      <c r="S39">
        <v>0.89366849402098847</v>
      </c>
      <c r="T39" s="45"/>
      <c r="U39" s="45"/>
      <c r="V39" s="45"/>
      <c r="W39" s="45"/>
      <c r="X39" s="45"/>
      <c r="Y39" s="45"/>
      <c r="Z39" s="45"/>
      <c r="AA39" s="45"/>
      <c r="AB39" s="45"/>
      <c r="AC39" s="45"/>
      <c r="AD39" s="45"/>
      <c r="AE39" s="45"/>
      <c r="AF39" s="45"/>
      <c r="AG39" s="45"/>
      <c r="AH39" s="45"/>
      <c r="AI39" s="45"/>
      <c r="AJ39" s="45"/>
      <c r="AK39" s="45"/>
      <c r="AL39" s="45"/>
      <c r="AM39" s="45"/>
      <c r="AN39" s="45"/>
      <c r="AO39" s="45">
        <v>0.5</v>
      </c>
      <c r="AP39">
        <v>2491</v>
      </c>
      <c r="AQ39" s="49">
        <f t="shared" si="0"/>
        <v>4982</v>
      </c>
      <c r="AR39">
        <v>233.19</v>
      </c>
      <c r="AS39">
        <v>37</v>
      </c>
      <c r="AT39">
        <f t="shared" si="1"/>
        <v>6.3024324324324326</v>
      </c>
      <c r="AU39" s="45">
        <f t="shared" si="2"/>
        <v>189.07297297297299</v>
      </c>
      <c r="AV39" s="136"/>
      <c r="AW39" s="45">
        <v>20</v>
      </c>
      <c r="AX39">
        <v>8.9499999999999993</v>
      </c>
      <c r="AY39">
        <v>1.0900000000000001</v>
      </c>
      <c r="AZ39">
        <v>13.3</v>
      </c>
      <c r="BA39">
        <v>2.71</v>
      </c>
      <c r="BB39" s="49">
        <f t="shared" si="3"/>
        <v>26.05</v>
      </c>
      <c r="BC39" s="48">
        <f t="shared" si="4"/>
        <v>1.3025</v>
      </c>
      <c r="BD39" s="48">
        <f t="shared" si="5"/>
        <v>6.3024324324324326</v>
      </c>
      <c r="BE39" s="48">
        <f t="shared" si="6"/>
        <v>0.20666623783181096</v>
      </c>
      <c r="BF39" s="50">
        <f t="shared" si="7"/>
        <v>514.80559843904109</v>
      </c>
      <c r="BG39" s="51">
        <f t="shared" si="8"/>
        <v>1029.6111968780822</v>
      </c>
      <c r="BH39" s="48">
        <f t="shared" si="9"/>
        <v>0.34357005758157388</v>
      </c>
      <c r="BI39" s="48">
        <f t="shared" si="16"/>
        <v>4.1842610364683307E-2</v>
      </c>
      <c r="BJ39" s="48">
        <f t="shared" si="10"/>
        <v>0.51055662188099804</v>
      </c>
      <c r="BK39" s="48">
        <f t="shared" si="11"/>
        <v>0.10403071017274472</v>
      </c>
      <c r="BL39" s="50">
        <f t="shared" si="12"/>
        <v>353.74357819803589</v>
      </c>
      <c r="BM39" s="50">
        <f t="shared" si="13"/>
        <v>43.081620138084823</v>
      </c>
      <c r="BN39" s="50">
        <f t="shared" si="14"/>
        <v>525.6748145289248</v>
      </c>
      <c r="BO39" s="50">
        <f t="shared" si="15"/>
        <v>107.11118401303656</v>
      </c>
      <c r="BP39">
        <v>7.75</v>
      </c>
      <c r="BQ39">
        <v>4.9249999999999998</v>
      </c>
      <c r="BR39">
        <v>30.324999999999999</v>
      </c>
      <c r="BS39">
        <v>50.6</v>
      </c>
      <c r="BT39" s="49"/>
      <c r="BU39" s="39"/>
      <c r="BV39" s="43"/>
      <c r="BW39" s="43"/>
      <c r="BX39" s="40"/>
      <c r="BY39" s="43"/>
      <c r="CA39"/>
      <c r="CB39"/>
      <c r="CC39"/>
      <c r="CD39"/>
      <c r="CE39"/>
      <c r="CF39"/>
      <c r="CG39"/>
      <c r="CH39"/>
      <c r="CI39"/>
    </row>
    <row r="40" spans="1:87" s="36" customFormat="1" x14ac:dyDescent="0.35">
      <c r="A40" s="125" t="s">
        <v>24</v>
      </c>
      <c r="B40" s="79"/>
      <c r="C40" s="79"/>
      <c r="D40" s="45" t="s">
        <v>29</v>
      </c>
      <c r="E40" s="45">
        <v>1999</v>
      </c>
      <c r="F40" s="45">
        <v>3</v>
      </c>
      <c r="G40" s="45">
        <v>7</v>
      </c>
      <c r="H40" s="45">
        <v>5</v>
      </c>
      <c r="I40" s="45">
        <v>39</v>
      </c>
      <c r="J40" s="37"/>
      <c r="K40" s="35">
        <v>0.97526999999999997</v>
      </c>
      <c r="L40" s="141">
        <v>1.5476377166913857E-2</v>
      </c>
      <c r="M40" s="141">
        <v>1.7326416066183459E-2</v>
      </c>
      <c r="N40" s="141">
        <v>3.2810418996090052E-2</v>
      </c>
      <c r="O40" s="141">
        <v>8.9122606772472857E-2</v>
      </c>
      <c r="P40">
        <v>0.98452362283308614</v>
      </c>
      <c r="Q40">
        <v>0.98267358393381654</v>
      </c>
      <c r="R40">
        <v>0.96718958100390995</v>
      </c>
      <c r="S40">
        <v>0.91087739322752714</v>
      </c>
      <c r="T40" s="45"/>
      <c r="U40" s="45"/>
      <c r="V40" s="45"/>
      <c r="W40" s="45"/>
      <c r="X40" s="45"/>
      <c r="Y40" s="45"/>
      <c r="Z40" s="45"/>
      <c r="AA40" s="45"/>
      <c r="AB40" s="45"/>
      <c r="AC40" s="45"/>
      <c r="AD40" s="45"/>
      <c r="AE40" s="45"/>
      <c r="AF40" s="45"/>
      <c r="AG40" s="45"/>
      <c r="AH40" s="45"/>
      <c r="AI40" s="45"/>
      <c r="AJ40" s="45"/>
      <c r="AK40" s="45"/>
      <c r="AL40" s="45"/>
      <c r="AM40" s="45"/>
      <c r="AN40" s="45"/>
      <c r="AO40" s="45">
        <v>0.5</v>
      </c>
      <c r="AP40">
        <v>2232.5</v>
      </c>
      <c r="AQ40" s="49">
        <f t="shared" si="0"/>
        <v>4465</v>
      </c>
      <c r="AR40">
        <v>235.72</v>
      </c>
      <c r="AS40">
        <v>41</v>
      </c>
      <c r="AT40">
        <f t="shared" si="1"/>
        <v>5.7492682926829266</v>
      </c>
      <c r="AU40" s="45">
        <f t="shared" si="2"/>
        <v>172.4780487804878</v>
      </c>
      <c r="AV40" s="136"/>
      <c r="AW40" s="45">
        <v>20</v>
      </c>
      <c r="AX40">
        <v>7.17</v>
      </c>
      <c r="AY40">
        <v>1.4</v>
      </c>
      <c r="AZ40">
        <v>11.36</v>
      </c>
      <c r="BA40">
        <v>2.34</v>
      </c>
      <c r="BB40" s="49">
        <f t="shared" si="3"/>
        <v>22.27</v>
      </c>
      <c r="BC40" s="48">
        <f t="shared" si="4"/>
        <v>1.1134999999999999</v>
      </c>
      <c r="BD40" s="48">
        <f t="shared" si="5"/>
        <v>5.7492682926829266</v>
      </c>
      <c r="BE40" s="48">
        <f t="shared" si="6"/>
        <v>0.19367681995587985</v>
      </c>
      <c r="BF40" s="50">
        <f t="shared" si="7"/>
        <v>432.38350055150175</v>
      </c>
      <c r="BG40" s="51">
        <f t="shared" si="8"/>
        <v>864.76700110300351</v>
      </c>
      <c r="BH40" s="48">
        <f t="shared" si="9"/>
        <v>0.32195779074988773</v>
      </c>
      <c r="BI40" s="48">
        <f t="shared" si="16"/>
        <v>6.2864840592725638E-2</v>
      </c>
      <c r="BJ40" s="48">
        <f t="shared" si="10"/>
        <v>0.51010327795240229</v>
      </c>
      <c r="BK40" s="48">
        <f t="shared" si="11"/>
        <v>0.10507409070498427</v>
      </c>
      <c r="BL40" s="50">
        <f t="shared" si="12"/>
        <v>278.41847318852871</v>
      </c>
      <c r="BM40" s="50">
        <f t="shared" si="13"/>
        <v>54.363439674189713</v>
      </c>
      <c r="BN40" s="50">
        <f t="shared" si="14"/>
        <v>441.12048192771078</v>
      </c>
      <c r="BO40" s="50">
        <f t="shared" si="15"/>
        <v>90.864606312574224</v>
      </c>
      <c r="BP40">
        <v>7.5750000000000002</v>
      </c>
      <c r="BQ40">
        <v>16.074999999999999</v>
      </c>
      <c r="BR40">
        <v>37.024999999999999</v>
      </c>
      <c r="BS40">
        <v>38.875</v>
      </c>
      <c r="BT40" s="49"/>
      <c r="BU40" s="39"/>
      <c r="BV40" s="43"/>
      <c r="BW40" s="43"/>
      <c r="BX40" s="40"/>
      <c r="BY40" s="43"/>
      <c r="CA40"/>
      <c r="CB40"/>
      <c r="CC40"/>
      <c r="CD40"/>
      <c r="CE40"/>
      <c r="CF40"/>
      <c r="CG40"/>
      <c r="CH40"/>
      <c r="CI40"/>
    </row>
    <row r="41" spans="1:87" s="36" customFormat="1" x14ac:dyDescent="0.35">
      <c r="A41" s="125" t="s">
        <v>24</v>
      </c>
      <c r="B41" s="79"/>
      <c r="C41" s="79"/>
      <c r="D41" s="45" t="s">
        <v>26</v>
      </c>
      <c r="E41" s="45">
        <v>1983</v>
      </c>
      <c r="F41" s="45">
        <v>3</v>
      </c>
      <c r="G41" s="45">
        <v>8</v>
      </c>
      <c r="H41" s="45">
        <v>5</v>
      </c>
      <c r="I41" s="45">
        <v>40</v>
      </c>
      <c r="J41" s="37"/>
      <c r="K41" s="35">
        <v>0.97199999999999998</v>
      </c>
      <c r="L41" s="141">
        <v>1.0417511662896839E-2</v>
      </c>
      <c r="M41" s="141">
        <v>9.8258876676955431E-3</v>
      </c>
      <c r="N41" s="141">
        <v>2.4601692256696173E-2</v>
      </c>
      <c r="O41" s="141">
        <v>8.9144981462487172E-2</v>
      </c>
      <c r="P41">
        <v>0.98958248833710316</v>
      </c>
      <c r="Q41">
        <v>0.99017411233230446</v>
      </c>
      <c r="R41">
        <v>0.97539830774330383</v>
      </c>
      <c r="S41">
        <v>0.91085501853751283</v>
      </c>
      <c r="T41" s="45"/>
      <c r="U41" s="45"/>
      <c r="V41" s="45"/>
      <c r="W41" s="45"/>
      <c r="X41" s="45"/>
      <c r="Y41" s="45"/>
      <c r="Z41" s="45"/>
      <c r="AA41" s="45"/>
      <c r="AB41" s="45"/>
      <c r="AC41" s="45"/>
      <c r="AD41" s="45"/>
      <c r="AE41" s="45"/>
      <c r="AF41" s="45"/>
      <c r="AG41" s="45"/>
      <c r="AH41" s="45"/>
      <c r="AI41" s="45"/>
      <c r="AJ41" s="45"/>
      <c r="AK41" s="45"/>
      <c r="AL41" s="45"/>
      <c r="AM41" s="45"/>
      <c r="AN41" s="45"/>
      <c r="AO41" s="45">
        <v>0.5</v>
      </c>
      <c r="AP41">
        <v>2459</v>
      </c>
      <c r="AQ41" s="49">
        <f t="shared" si="0"/>
        <v>4918</v>
      </c>
      <c r="AR41">
        <v>271.02</v>
      </c>
      <c r="AS41">
        <v>45</v>
      </c>
      <c r="AT41">
        <f t="shared" si="1"/>
        <v>6.0226666666666659</v>
      </c>
      <c r="AU41" s="45">
        <f t="shared" si="2"/>
        <v>180.67999999999998</v>
      </c>
      <c r="AV41" s="136"/>
      <c r="AW41" s="45">
        <v>20</v>
      </c>
      <c r="AX41">
        <v>7.61</v>
      </c>
      <c r="AY41">
        <v>1.47</v>
      </c>
      <c r="AZ41">
        <v>11.05</v>
      </c>
      <c r="BA41">
        <v>1.61</v>
      </c>
      <c r="BB41" s="49">
        <f t="shared" si="3"/>
        <v>21.740000000000002</v>
      </c>
      <c r="BC41" s="48">
        <f t="shared" si="4"/>
        <v>1.0870000000000002</v>
      </c>
      <c r="BD41" s="48">
        <f t="shared" si="5"/>
        <v>6.0226666666666659</v>
      </c>
      <c r="BE41" s="48">
        <f t="shared" si="6"/>
        <v>0.18048483506752275</v>
      </c>
      <c r="BF41" s="50">
        <f t="shared" si="7"/>
        <v>443.81220943103841</v>
      </c>
      <c r="BG41" s="51">
        <f t="shared" si="8"/>
        <v>887.62441886207682</v>
      </c>
      <c r="BH41" s="48">
        <f t="shared" si="9"/>
        <v>0.35004599816007359</v>
      </c>
      <c r="BI41" s="48">
        <f t="shared" si="16"/>
        <v>6.7617295308187664E-2</v>
      </c>
      <c r="BJ41" s="48">
        <f t="shared" si="10"/>
        <v>0.50827966881324749</v>
      </c>
      <c r="BK41" s="48">
        <f t="shared" si="11"/>
        <v>7.4057037718491259E-2</v>
      </c>
      <c r="BL41" s="50">
        <f t="shared" si="12"/>
        <v>310.70937569183093</v>
      </c>
      <c r="BM41" s="50">
        <f t="shared" si="13"/>
        <v>60.018762452955507</v>
      </c>
      <c r="BN41" s="50">
        <f t="shared" si="14"/>
        <v>451.1614456497677</v>
      </c>
      <c r="BO41" s="50">
        <f t="shared" si="15"/>
        <v>65.73483506752271</v>
      </c>
      <c r="BP41">
        <v>6.2249999999999996</v>
      </c>
      <c r="BQ41">
        <v>10.475</v>
      </c>
      <c r="BR41">
        <v>31.1</v>
      </c>
      <c r="BS41">
        <v>46.55</v>
      </c>
      <c r="BT41" s="49"/>
      <c r="BU41" s="39"/>
      <c r="BV41" s="43"/>
      <c r="BW41" s="43"/>
      <c r="BX41" s="40"/>
      <c r="BY41" s="43"/>
      <c r="CA41"/>
      <c r="CB41"/>
      <c r="CC41"/>
      <c r="CD41"/>
      <c r="CE41"/>
      <c r="CF41"/>
      <c r="CG41"/>
      <c r="CH41"/>
      <c r="CI41"/>
    </row>
    <row r="42" spans="1:87" s="36" customFormat="1" x14ac:dyDescent="0.35">
      <c r="A42" s="125" t="s">
        <v>34</v>
      </c>
      <c r="B42" s="6"/>
      <c r="C42" s="6"/>
      <c r="D42" s="45" t="s">
        <v>41</v>
      </c>
      <c r="E42" s="45">
        <v>2008</v>
      </c>
      <c r="F42" s="45">
        <v>3</v>
      </c>
      <c r="G42" s="45">
        <v>1</v>
      </c>
      <c r="H42" s="45">
        <v>6</v>
      </c>
      <c r="I42" s="45">
        <v>41</v>
      </c>
      <c r="J42" s="37"/>
      <c r="K42" s="35">
        <v>0.97113000000000005</v>
      </c>
      <c r="L42" s="141">
        <v>2.3132948910351114E-2</v>
      </c>
      <c r="M42" s="141">
        <v>2.1990026330532819E-2</v>
      </c>
      <c r="N42" s="141">
        <v>3.4038950006660018E-2</v>
      </c>
      <c r="O42" s="141">
        <v>0.1349508787365763</v>
      </c>
      <c r="P42">
        <v>0.97686705108964889</v>
      </c>
      <c r="Q42">
        <v>0.97800997366946718</v>
      </c>
      <c r="R42">
        <v>0.96596104999333998</v>
      </c>
      <c r="S42">
        <v>0.8650491212634237</v>
      </c>
      <c r="T42" s="45"/>
      <c r="U42" s="45"/>
      <c r="V42" s="45"/>
      <c r="W42" s="45"/>
      <c r="X42" s="45"/>
      <c r="Y42" s="45"/>
      <c r="Z42" s="45"/>
      <c r="AA42" s="45"/>
      <c r="AB42" s="45"/>
      <c r="AC42" s="45"/>
      <c r="AD42" s="45"/>
      <c r="AE42" s="45"/>
      <c r="AF42" s="45"/>
      <c r="AG42" s="45"/>
      <c r="AH42" s="45"/>
      <c r="AI42" s="45"/>
      <c r="AJ42" s="45"/>
      <c r="AK42" s="45"/>
      <c r="AL42" s="45"/>
      <c r="AM42" s="45"/>
      <c r="AN42" s="45"/>
      <c r="AO42" s="45">
        <v>0.5</v>
      </c>
      <c r="AP42">
        <v>2815</v>
      </c>
      <c r="AQ42" s="49">
        <f t="shared" si="0"/>
        <v>5630</v>
      </c>
      <c r="AR42">
        <v>197.8</v>
      </c>
      <c r="AS42">
        <v>28</v>
      </c>
      <c r="AT42">
        <f t="shared" si="1"/>
        <v>7.0642857142857149</v>
      </c>
      <c r="AU42" s="45">
        <f t="shared" si="2"/>
        <v>211.92857142857144</v>
      </c>
      <c r="AV42" s="136"/>
      <c r="AW42" s="45">
        <v>20</v>
      </c>
      <c r="AX42">
        <v>9.4600000000000009</v>
      </c>
      <c r="AY42">
        <v>0.48</v>
      </c>
      <c r="AZ42">
        <v>10.75</v>
      </c>
      <c r="BA42">
        <v>1.63</v>
      </c>
      <c r="BB42" s="49">
        <f t="shared" si="3"/>
        <v>22.32</v>
      </c>
      <c r="BC42" s="48">
        <f t="shared" si="4"/>
        <v>1.1160000000000001</v>
      </c>
      <c r="BD42" s="48">
        <f t="shared" si="5"/>
        <v>7.0642857142857149</v>
      </c>
      <c r="BE42" s="48">
        <f t="shared" si="6"/>
        <v>0.15797775530839231</v>
      </c>
      <c r="BF42" s="50">
        <f t="shared" si="7"/>
        <v>444.70738119312438</v>
      </c>
      <c r="BG42" s="51">
        <f t="shared" si="8"/>
        <v>889.41476238624875</v>
      </c>
      <c r="BH42" s="48">
        <f t="shared" si="9"/>
        <v>0.4238351254480287</v>
      </c>
      <c r="BI42" s="48">
        <f t="shared" si="16"/>
        <v>2.150537634408602E-2</v>
      </c>
      <c r="BJ42" s="48">
        <f t="shared" si="10"/>
        <v>0.48163082437275984</v>
      </c>
      <c r="BK42" s="48">
        <f t="shared" si="11"/>
        <v>7.3028673835125443E-2</v>
      </c>
      <c r="BL42" s="50">
        <f t="shared" si="12"/>
        <v>376.96521739130441</v>
      </c>
      <c r="BM42" s="50">
        <f t="shared" si="13"/>
        <v>19.127199191102122</v>
      </c>
      <c r="BN42" s="50">
        <f t="shared" si="14"/>
        <v>428.36956521739131</v>
      </c>
      <c r="BO42" s="50">
        <f t="shared" si="15"/>
        <v>64.952780586450956</v>
      </c>
      <c r="BP42">
        <v>10.525</v>
      </c>
      <c r="BQ42">
        <v>15.074999999999999</v>
      </c>
      <c r="BR42">
        <v>37.225000000000001</v>
      </c>
      <c r="BS42">
        <v>45.35</v>
      </c>
      <c r="BT42" s="49"/>
      <c r="BU42" s="39"/>
      <c r="BV42" s="43"/>
      <c r="BW42" s="43"/>
      <c r="BX42" s="40"/>
      <c r="BY42" s="43"/>
      <c r="CA42"/>
      <c r="CB42"/>
      <c r="CC42"/>
      <c r="CD42"/>
      <c r="CE42"/>
      <c r="CF42"/>
      <c r="CG42"/>
      <c r="CH42"/>
      <c r="CI42"/>
    </row>
    <row r="43" spans="1:87" s="36" customFormat="1" x14ac:dyDescent="0.35">
      <c r="A43" s="125" t="s">
        <v>34</v>
      </c>
      <c r="B43" s="6"/>
      <c r="C43" s="6"/>
      <c r="D43" s="45" t="s">
        <v>36</v>
      </c>
      <c r="E43" s="45">
        <v>1984</v>
      </c>
      <c r="F43" s="45">
        <v>3</v>
      </c>
      <c r="G43" s="45">
        <v>2</v>
      </c>
      <c r="H43" s="45">
        <v>6</v>
      </c>
      <c r="I43" s="45">
        <v>42</v>
      </c>
      <c r="J43" s="37"/>
      <c r="K43" s="35">
        <v>0.97355999999999998</v>
      </c>
      <c r="L43" s="141">
        <v>1.1357003392666876E-2</v>
      </c>
      <c r="M43" s="141">
        <v>1.0492038330152331E-2</v>
      </c>
      <c r="N43" s="141">
        <v>1.6367906341134941E-2</v>
      </c>
      <c r="O43" s="141">
        <v>6.0856222757072587E-2</v>
      </c>
      <c r="P43">
        <v>0.98864299660733312</v>
      </c>
      <c r="Q43">
        <v>0.98950796166984767</v>
      </c>
      <c r="R43">
        <v>0.98363209365886506</v>
      </c>
      <c r="S43">
        <v>0.93914377724292741</v>
      </c>
      <c r="T43" s="45"/>
      <c r="U43" s="45"/>
      <c r="V43" s="45"/>
      <c r="W43" s="45"/>
      <c r="X43" s="45"/>
      <c r="Y43" s="45"/>
      <c r="Z43" s="45"/>
      <c r="AA43" s="45"/>
      <c r="AB43" s="45"/>
      <c r="AC43" s="45"/>
      <c r="AD43" s="45"/>
      <c r="AE43" s="45"/>
      <c r="AF43" s="45"/>
      <c r="AG43" s="45"/>
      <c r="AH43" s="45"/>
      <c r="AI43" s="45"/>
      <c r="AJ43" s="45"/>
      <c r="AK43" s="45"/>
      <c r="AL43" s="45"/>
      <c r="AM43" s="45"/>
      <c r="AN43" s="45"/>
      <c r="AO43" s="45">
        <v>0.5</v>
      </c>
      <c r="AP43">
        <v>2482.5</v>
      </c>
      <c r="AQ43" s="49">
        <f t="shared" si="0"/>
        <v>4965</v>
      </c>
      <c r="AR43">
        <v>237.01</v>
      </c>
      <c r="AS43">
        <v>34</v>
      </c>
      <c r="AT43">
        <f t="shared" si="1"/>
        <v>6.9708823529411763</v>
      </c>
      <c r="AU43" s="45">
        <f t="shared" si="2"/>
        <v>209.12647058823529</v>
      </c>
      <c r="AV43" s="136"/>
      <c r="AW43" s="45">
        <v>20</v>
      </c>
      <c r="AX43">
        <v>10.94</v>
      </c>
      <c r="AY43">
        <v>0.73</v>
      </c>
      <c r="AZ43">
        <v>10.36</v>
      </c>
      <c r="BA43">
        <v>1.57</v>
      </c>
      <c r="BB43" s="49">
        <f t="shared" si="3"/>
        <v>23.6</v>
      </c>
      <c r="BC43" s="48">
        <f t="shared" si="4"/>
        <v>1.1800000000000002</v>
      </c>
      <c r="BD43" s="48">
        <f t="shared" si="5"/>
        <v>6.9708823529411763</v>
      </c>
      <c r="BE43" s="48">
        <f t="shared" si="6"/>
        <v>0.16927555799333363</v>
      </c>
      <c r="BF43" s="50">
        <f t="shared" si="7"/>
        <v>420.22657271845071</v>
      </c>
      <c r="BG43" s="51">
        <f t="shared" si="8"/>
        <v>840.45314543690142</v>
      </c>
      <c r="BH43" s="48">
        <f t="shared" si="9"/>
        <v>0.46355932203389827</v>
      </c>
      <c r="BI43" s="48">
        <f t="shared" si="16"/>
        <v>3.0932203389830507E-2</v>
      </c>
      <c r="BJ43" s="48">
        <f t="shared" si="10"/>
        <v>0.43898305084745759</v>
      </c>
      <c r="BK43" s="48">
        <f t="shared" si="11"/>
        <v>6.6525423728813551E-2</v>
      </c>
      <c r="BL43" s="50">
        <f t="shared" si="12"/>
        <v>389.59989029998735</v>
      </c>
      <c r="BM43" s="50">
        <f t="shared" si="13"/>
        <v>25.997067634277034</v>
      </c>
      <c r="BN43" s="50">
        <f t="shared" si="14"/>
        <v>368.94468587823297</v>
      </c>
      <c r="BO43" s="50">
        <f t="shared" si="15"/>
        <v>55.911501624404032</v>
      </c>
      <c r="BP43">
        <v>4.5999999999999996</v>
      </c>
      <c r="BQ43">
        <v>16.649999999999999</v>
      </c>
      <c r="BR43">
        <v>31.4</v>
      </c>
      <c r="BS43">
        <v>45.65</v>
      </c>
      <c r="BT43" s="49"/>
      <c r="BU43" s="39"/>
      <c r="BV43" s="43"/>
      <c r="BW43" s="43"/>
      <c r="BX43" s="40"/>
      <c r="BY43" s="43"/>
      <c r="CA43"/>
      <c r="CB43"/>
      <c r="CC43"/>
      <c r="CD43"/>
      <c r="CE43"/>
      <c r="CF43"/>
      <c r="CG43"/>
      <c r="CH43"/>
      <c r="CI43"/>
    </row>
    <row r="44" spans="1:87" s="36" customFormat="1" x14ac:dyDescent="0.35">
      <c r="A44" s="125" t="s">
        <v>34</v>
      </c>
      <c r="B44" s="6"/>
      <c r="C44" s="6"/>
      <c r="D44" s="45" t="s">
        <v>37</v>
      </c>
      <c r="E44" s="45">
        <v>1989</v>
      </c>
      <c r="F44" s="45">
        <v>3</v>
      </c>
      <c r="G44" s="45">
        <v>3</v>
      </c>
      <c r="H44" s="45">
        <v>6</v>
      </c>
      <c r="I44" s="45">
        <v>43</v>
      </c>
      <c r="J44" s="37"/>
      <c r="K44" s="35">
        <v>0.96262000000000003</v>
      </c>
      <c r="L44" s="141">
        <v>4.9515763936600621E-3</v>
      </c>
      <c r="M44" s="141">
        <v>5.6095448412054605E-3</v>
      </c>
      <c r="N44" s="141">
        <v>1.8121978298494934E-2</v>
      </c>
      <c r="O44" s="141">
        <v>6.3773774383472093E-2</v>
      </c>
      <c r="P44">
        <v>0.99504842360633994</v>
      </c>
      <c r="Q44">
        <v>0.99439045515879454</v>
      </c>
      <c r="R44">
        <v>0.98187802170150507</v>
      </c>
      <c r="S44">
        <v>0.93622622561652791</v>
      </c>
      <c r="T44" s="45"/>
      <c r="U44" s="45"/>
      <c r="V44" s="45"/>
      <c r="W44" s="45"/>
      <c r="X44" s="45"/>
      <c r="Y44" s="45"/>
      <c r="Z44" s="45"/>
      <c r="AA44" s="45"/>
      <c r="AB44" s="45"/>
      <c r="AC44" s="45"/>
      <c r="AD44" s="45"/>
      <c r="AE44" s="45"/>
      <c r="AF44" s="45"/>
      <c r="AG44" s="45"/>
      <c r="AH44" s="45"/>
      <c r="AI44" s="45"/>
      <c r="AJ44" s="45"/>
      <c r="AK44" s="45"/>
      <c r="AL44" s="45"/>
      <c r="AM44" s="45"/>
      <c r="AN44" s="45"/>
      <c r="AO44" s="45">
        <v>0.5</v>
      </c>
      <c r="AP44">
        <v>3136</v>
      </c>
      <c r="AQ44" s="49">
        <f t="shared" si="0"/>
        <v>6272</v>
      </c>
      <c r="AR44">
        <v>186.68</v>
      </c>
      <c r="AS44">
        <v>30</v>
      </c>
      <c r="AT44">
        <f t="shared" si="1"/>
        <v>6.222666666666667</v>
      </c>
      <c r="AU44" s="45">
        <f t="shared" si="2"/>
        <v>186.68</v>
      </c>
      <c r="AV44" s="136"/>
      <c r="AW44" s="45">
        <v>20</v>
      </c>
      <c r="AX44">
        <v>8.5</v>
      </c>
      <c r="AY44">
        <v>0.64</v>
      </c>
      <c r="AZ44">
        <v>8.9</v>
      </c>
      <c r="BA44">
        <v>1.27</v>
      </c>
      <c r="BB44" s="49">
        <f t="shared" si="3"/>
        <v>19.309999999999999</v>
      </c>
      <c r="BC44" s="48">
        <f t="shared" si="4"/>
        <v>0.96549999999999991</v>
      </c>
      <c r="BD44" s="48">
        <f t="shared" si="5"/>
        <v>6.222666666666667</v>
      </c>
      <c r="BE44" s="48">
        <f t="shared" si="6"/>
        <v>0.15515856010284979</v>
      </c>
      <c r="BF44" s="50">
        <f t="shared" si="7"/>
        <v>486.57724448253691</v>
      </c>
      <c r="BG44" s="51">
        <f t="shared" si="8"/>
        <v>973.15448896507382</v>
      </c>
      <c r="BH44" s="48">
        <f t="shared" si="9"/>
        <v>0.44018643190056966</v>
      </c>
      <c r="BI44" s="48">
        <f t="shared" si="16"/>
        <v>3.3143448990160543E-2</v>
      </c>
      <c r="BJ44" s="48">
        <f t="shared" si="10"/>
        <v>0.46090108751942005</v>
      </c>
      <c r="BK44" s="48">
        <f t="shared" si="11"/>
        <v>6.5769031589849827E-2</v>
      </c>
      <c r="BL44" s="50">
        <f t="shared" si="12"/>
        <v>428.36940218555816</v>
      </c>
      <c r="BM44" s="50">
        <f t="shared" si="13"/>
        <v>32.253696164559678</v>
      </c>
      <c r="BN44" s="50">
        <f t="shared" si="14"/>
        <v>448.52796228840799</v>
      </c>
      <c r="BO44" s="50">
        <f t="shared" si="15"/>
        <v>64.003428326548104</v>
      </c>
      <c r="BP44">
        <v>6.25</v>
      </c>
      <c r="BQ44">
        <v>19.95</v>
      </c>
      <c r="BR44">
        <v>47.35</v>
      </c>
      <c r="BS44">
        <v>50.924999999999997</v>
      </c>
      <c r="BT44" s="49"/>
      <c r="BU44" s="39"/>
      <c r="BV44" s="43"/>
      <c r="BW44" s="43"/>
      <c r="BX44" s="40"/>
      <c r="BY44" s="43"/>
      <c r="CA44"/>
      <c r="CB44"/>
      <c r="CC44"/>
      <c r="CD44"/>
      <c r="CE44"/>
      <c r="CF44"/>
      <c r="CG44"/>
      <c r="CH44"/>
      <c r="CI44"/>
    </row>
    <row r="45" spans="1:87" s="36" customFormat="1" x14ac:dyDescent="0.35">
      <c r="A45" s="125" t="s">
        <v>34</v>
      </c>
      <c r="B45" s="6"/>
      <c r="C45" s="6"/>
      <c r="D45" s="45" t="s">
        <v>42</v>
      </c>
      <c r="E45" s="45">
        <v>2016</v>
      </c>
      <c r="F45" s="45">
        <v>3</v>
      </c>
      <c r="G45" s="45">
        <v>4</v>
      </c>
      <c r="H45" s="45">
        <v>6</v>
      </c>
      <c r="I45" s="45">
        <v>44</v>
      </c>
      <c r="J45" s="37"/>
      <c r="K45" s="35">
        <v>0.95269999999999999</v>
      </c>
      <c r="L45" s="141">
        <v>1.8656060113653172E-2</v>
      </c>
      <c r="M45" s="141">
        <v>1.7593066298853044E-2</v>
      </c>
      <c r="N45" s="141">
        <v>2.8439781209533721E-2</v>
      </c>
      <c r="O45" s="141">
        <v>5.3522881224704277E-2</v>
      </c>
      <c r="P45">
        <v>0.98134393988634683</v>
      </c>
      <c r="Q45">
        <v>0.98240693370114696</v>
      </c>
      <c r="R45">
        <v>0.97156021879046628</v>
      </c>
      <c r="S45">
        <v>0.94647711877529572</v>
      </c>
      <c r="T45" s="45"/>
      <c r="U45" s="45"/>
      <c r="V45" s="45"/>
      <c r="W45" s="45"/>
      <c r="X45" s="45"/>
      <c r="Y45" s="45"/>
      <c r="Z45" s="45"/>
      <c r="AA45" s="45"/>
      <c r="AB45" s="45"/>
      <c r="AC45" s="45"/>
      <c r="AD45" s="45"/>
      <c r="AE45" s="45"/>
      <c r="AF45" s="45"/>
      <c r="AG45" s="45"/>
      <c r="AH45" s="45"/>
      <c r="AI45" s="45"/>
      <c r="AJ45" s="45"/>
      <c r="AK45" s="45"/>
      <c r="AL45" s="45"/>
      <c r="AM45" s="45"/>
      <c r="AN45" s="45"/>
      <c r="AO45" s="45">
        <v>0.5</v>
      </c>
      <c r="AP45">
        <v>2311</v>
      </c>
      <c r="AQ45" s="49">
        <f t="shared" si="0"/>
        <v>4622</v>
      </c>
      <c r="AR45">
        <v>251.69</v>
      </c>
      <c r="AS45">
        <v>37</v>
      </c>
      <c r="AT45">
        <f t="shared" si="1"/>
        <v>6.8024324324324326</v>
      </c>
      <c r="AU45" s="45">
        <f t="shared" si="2"/>
        <v>204.07297297297299</v>
      </c>
      <c r="AV45" s="136"/>
      <c r="AW45" s="45">
        <v>20</v>
      </c>
      <c r="AX45">
        <v>8.74</v>
      </c>
      <c r="AY45">
        <v>0.5</v>
      </c>
      <c r="AZ45">
        <v>9.64</v>
      </c>
      <c r="BA45">
        <v>1.8</v>
      </c>
      <c r="BB45" s="49">
        <f t="shared" si="3"/>
        <v>20.680000000000003</v>
      </c>
      <c r="BC45" s="48">
        <f t="shared" si="4"/>
        <v>1.0340000000000003</v>
      </c>
      <c r="BD45" s="48">
        <f t="shared" si="5"/>
        <v>6.8024324324324326</v>
      </c>
      <c r="BE45" s="48">
        <f t="shared" si="6"/>
        <v>0.15200444991855064</v>
      </c>
      <c r="BF45" s="50">
        <f t="shared" si="7"/>
        <v>351.28228376177054</v>
      </c>
      <c r="BG45" s="51">
        <f t="shared" si="8"/>
        <v>702.56456752354109</v>
      </c>
      <c r="BH45" s="48">
        <f t="shared" si="9"/>
        <v>0.42263056092843321</v>
      </c>
      <c r="BI45" s="48">
        <f t="shared" si="16"/>
        <v>2.4177949709864598E-2</v>
      </c>
      <c r="BJ45" s="48">
        <f t="shared" si="10"/>
        <v>0.46615087040618952</v>
      </c>
      <c r="BK45" s="48">
        <f t="shared" si="11"/>
        <v>8.7040618955512558E-2</v>
      </c>
      <c r="BL45" s="50">
        <f t="shared" si="12"/>
        <v>296.92525726091628</v>
      </c>
      <c r="BM45" s="50">
        <f t="shared" si="13"/>
        <v>16.986570781516946</v>
      </c>
      <c r="BN45" s="50">
        <f t="shared" si="14"/>
        <v>327.50108466764681</v>
      </c>
      <c r="BO45" s="50">
        <f t="shared" si="15"/>
        <v>61.151654813461015</v>
      </c>
      <c r="BP45">
        <v>9.0250000000000004</v>
      </c>
      <c r="BQ45">
        <v>20.625</v>
      </c>
      <c r="BR45">
        <v>20.05</v>
      </c>
      <c r="BS45">
        <v>64.266666670000006</v>
      </c>
      <c r="BT45" s="49"/>
      <c r="BU45" s="39"/>
      <c r="BV45" s="43"/>
      <c r="BW45" s="43"/>
      <c r="BX45" s="40"/>
      <c r="BY45" s="43"/>
      <c r="CA45"/>
      <c r="CB45"/>
      <c r="CC45"/>
      <c r="CD45"/>
      <c r="CE45"/>
      <c r="CF45"/>
      <c r="CG45"/>
      <c r="CH45"/>
      <c r="CI45"/>
    </row>
    <row r="46" spans="1:87" s="36" customFormat="1" x14ac:dyDescent="0.35">
      <c r="A46" s="125" t="s">
        <v>34</v>
      </c>
      <c r="B46" s="6"/>
      <c r="C46" s="6"/>
      <c r="D46" s="45" t="s">
        <v>43</v>
      </c>
      <c r="E46" s="45">
        <v>2020</v>
      </c>
      <c r="F46" s="45">
        <v>3</v>
      </c>
      <c r="G46" s="45">
        <v>5</v>
      </c>
      <c r="H46" s="45">
        <v>6</v>
      </c>
      <c r="I46" s="45">
        <v>45</v>
      </c>
      <c r="J46" s="37"/>
      <c r="K46" s="35">
        <v>0.96557999999999999</v>
      </c>
      <c r="L46" s="141">
        <v>3.3203010601534633E-2</v>
      </c>
      <c r="M46" s="141">
        <v>4.6843531512429593E-2</v>
      </c>
      <c r="N46" s="141">
        <v>9.7267501826207803E-2</v>
      </c>
      <c r="O46" s="141">
        <v>0.1859147846790361</v>
      </c>
      <c r="P46">
        <v>0.96679698939846537</v>
      </c>
      <c r="Q46">
        <v>0.95315646848757041</v>
      </c>
      <c r="R46">
        <v>0.9027324981737922</v>
      </c>
      <c r="S46">
        <v>0.8140852153209639</v>
      </c>
      <c r="T46" s="45"/>
      <c r="U46" s="45"/>
      <c r="V46" s="45"/>
      <c r="W46" s="45"/>
      <c r="X46" s="45"/>
      <c r="Y46" s="45"/>
      <c r="Z46" s="45"/>
      <c r="AA46" s="45"/>
      <c r="AB46" s="45"/>
      <c r="AC46" s="45"/>
      <c r="AD46" s="45"/>
      <c r="AE46" s="45"/>
      <c r="AF46" s="45"/>
      <c r="AG46" s="45"/>
      <c r="AH46" s="45"/>
      <c r="AI46" s="45"/>
      <c r="AJ46" s="45"/>
      <c r="AK46" s="45"/>
      <c r="AL46" s="45"/>
      <c r="AM46" s="45"/>
      <c r="AN46" s="45"/>
      <c r="AO46" s="45">
        <v>0.5</v>
      </c>
      <c r="AP46">
        <v>2357</v>
      </c>
      <c r="AQ46" s="49">
        <f t="shared" si="0"/>
        <v>4714</v>
      </c>
      <c r="AR46">
        <v>296.7</v>
      </c>
      <c r="AS46">
        <v>37</v>
      </c>
      <c r="AT46">
        <f t="shared" si="1"/>
        <v>8.0189189189189189</v>
      </c>
      <c r="AU46" s="45">
        <f t="shared" si="2"/>
        <v>240.56756756756758</v>
      </c>
      <c r="AV46" s="136"/>
      <c r="AW46" s="45">
        <v>20</v>
      </c>
      <c r="AX46">
        <v>12.46</v>
      </c>
      <c r="AY46">
        <v>0</v>
      </c>
      <c r="AZ46">
        <v>13.76</v>
      </c>
      <c r="BA46">
        <v>1.86</v>
      </c>
      <c r="BB46" s="49">
        <f t="shared" si="3"/>
        <v>28.08</v>
      </c>
      <c r="BC46" s="48">
        <f t="shared" si="4"/>
        <v>1.4039999999999999</v>
      </c>
      <c r="BD46" s="48">
        <f t="shared" si="5"/>
        <v>8.0189189189189189</v>
      </c>
      <c r="BE46" s="48">
        <f t="shared" si="6"/>
        <v>0.17508594539939332</v>
      </c>
      <c r="BF46" s="50">
        <f t="shared" si="7"/>
        <v>412.67757330637005</v>
      </c>
      <c r="BG46" s="51">
        <f t="shared" si="8"/>
        <v>825.3551466127401</v>
      </c>
      <c r="BH46" s="48">
        <f t="shared" si="9"/>
        <v>0.4437321937321938</v>
      </c>
      <c r="BI46" s="48">
        <f t="shared" si="16"/>
        <v>0</v>
      </c>
      <c r="BJ46" s="48">
        <f t="shared" si="10"/>
        <v>0.49002849002849003</v>
      </c>
      <c r="BK46" s="48">
        <f t="shared" si="11"/>
        <v>6.623931623931624E-2</v>
      </c>
      <c r="BL46" s="50">
        <f t="shared" si="12"/>
        <v>366.23664981462758</v>
      </c>
      <c r="BM46" s="50">
        <v>0</v>
      </c>
      <c r="BN46" s="50">
        <f t="shared" si="14"/>
        <v>404.44753623188404</v>
      </c>
      <c r="BO46" s="50">
        <f t="shared" si="15"/>
        <v>54.670960566228509</v>
      </c>
      <c r="BP46">
        <v>6.5250000000000004</v>
      </c>
      <c r="BQ46">
        <v>15.375</v>
      </c>
      <c r="BR46">
        <v>39.174999999999997</v>
      </c>
      <c r="BS46">
        <v>51.1</v>
      </c>
      <c r="BT46" s="49"/>
      <c r="BU46" s="39"/>
      <c r="BV46" s="43"/>
      <c r="BW46" s="43"/>
      <c r="BX46" s="40"/>
      <c r="BY46" s="43"/>
      <c r="CA46"/>
      <c r="CB46"/>
      <c r="CC46"/>
      <c r="CD46"/>
      <c r="CE46"/>
      <c r="CF46"/>
      <c r="CG46"/>
      <c r="CH46"/>
      <c r="CI46"/>
    </row>
    <row r="47" spans="1:87" s="36" customFormat="1" x14ac:dyDescent="0.35">
      <c r="A47" s="125" t="s">
        <v>34</v>
      </c>
      <c r="B47" s="6"/>
      <c r="C47" s="6"/>
      <c r="D47" s="45" t="s">
        <v>39</v>
      </c>
      <c r="E47" s="45">
        <v>2001</v>
      </c>
      <c r="F47" s="45">
        <v>3</v>
      </c>
      <c r="G47" s="45">
        <v>6</v>
      </c>
      <c r="H47" s="45">
        <v>6</v>
      </c>
      <c r="I47" s="45">
        <v>46</v>
      </c>
      <c r="J47" s="37"/>
      <c r="K47" s="35">
        <v>0.93455999999999995</v>
      </c>
      <c r="L47" s="141">
        <v>4.8761149392974712E-2</v>
      </c>
      <c r="M47" s="141">
        <v>6.1949278322421142E-2</v>
      </c>
      <c r="N47" s="141">
        <v>9.3758985308120768E-2</v>
      </c>
      <c r="O47" s="141">
        <v>0.19987906176427783</v>
      </c>
      <c r="P47">
        <v>0.95123885060702529</v>
      </c>
      <c r="Q47">
        <v>0.93805072167757886</v>
      </c>
      <c r="R47">
        <v>0.90624101469187923</v>
      </c>
      <c r="S47">
        <v>0.80012093823572217</v>
      </c>
      <c r="T47" s="45"/>
      <c r="U47" s="45"/>
      <c r="V47" s="45"/>
      <c r="W47" s="45"/>
      <c r="X47" s="45"/>
      <c r="Y47" s="45"/>
      <c r="Z47" s="45"/>
      <c r="AA47" s="45"/>
      <c r="AB47" s="45"/>
      <c r="AC47" s="45"/>
      <c r="AD47" s="45"/>
      <c r="AE47" s="45"/>
      <c r="AF47" s="45"/>
      <c r="AG47" s="45"/>
      <c r="AH47" s="45"/>
      <c r="AI47" s="45"/>
      <c r="AJ47" s="45"/>
      <c r="AK47" s="45"/>
      <c r="AL47" s="45"/>
      <c r="AM47" s="45"/>
      <c r="AN47" s="45"/>
      <c r="AO47" s="45">
        <v>0.5</v>
      </c>
      <c r="AP47">
        <v>2154</v>
      </c>
      <c r="AQ47" s="49">
        <f t="shared" si="0"/>
        <v>4308</v>
      </c>
      <c r="AR47">
        <v>271.57</v>
      </c>
      <c r="AS47">
        <v>39</v>
      </c>
      <c r="AT47">
        <f t="shared" si="1"/>
        <v>6.9633333333333329</v>
      </c>
      <c r="AU47" s="45">
        <f t="shared" si="2"/>
        <v>208.89999999999998</v>
      </c>
      <c r="AV47" s="136"/>
      <c r="AW47" s="45">
        <v>20</v>
      </c>
      <c r="AX47">
        <v>8.94</v>
      </c>
      <c r="AY47">
        <v>0.88</v>
      </c>
      <c r="AZ47">
        <v>13.32</v>
      </c>
      <c r="BA47">
        <v>2.71</v>
      </c>
      <c r="BB47" s="49">
        <f t="shared" si="3"/>
        <v>25.85</v>
      </c>
      <c r="BC47" s="48">
        <f t="shared" si="4"/>
        <v>1.2925</v>
      </c>
      <c r="BD47" s="48">
        <f t="shared" si="5"/>
        <v>6.9633333333333329</v>
      </c>
      <c r="BE47" s="48">
        <f t="shared" si="6"/>
        <v>0.18561512685495454</v>
      </c>
      <c r="BF47" s="50">
        <f t="shared" si="7"/>
        <v>399.81498324557208</v>
      </c>
      <c r="BG47" s="51">
        <f t="shared" si="8"/>
        <v>799.62996649114416</v>
      </c>
      <c r="BH47" s="48">
        <f t="shared" si="9"/>
        <v>0.34584139264990327</v>
      </c>
      <c r="BI47" s="48">
        <f t="shared" si="16"/>
        <v>3.4042553191489362E-2</v>
      </c>
      <c r="BJ47" s="48">
        <f t="shared" si="10"/>
        <v>0.51528046421663443</v>
      </c>
      <c r="BK47" s="48">
        <f t="shared" si="11"/>
        <v>0.10483558994197291</v>
      </c>
      <c r="BL47" s="50">
        <f t="shared" si="12"/>
        <v>276.54514121589278</v>
      </c>
      <c r="BM47" s="50">
        <f t="shared" si="13"/>
        <v>27.22144566778363</v>
      </c>
      <c r="BN47" s="50">
        <f t="shared" si="14"/>
        <v>412.03370033508861</v>
      </c>
      <c r="BO47" s="50">
        <f t="shared" si="15"/>
        <v>83.829679272379124</v>
      </c>
      <c r="BP47">
        <v>9.8249999999999993</v>
      </c>
      <c r="BQ47">
        <v>16.475000000000001</v>
      </c>
      <c r="BR47">
        <v>39.049999999999997</v>
      </c>
      <c r="BS47">
        <v>45.466666670000002</v>
      </c>
      <c r="BT47" s="49"/>
      <c r="BU47" s="39"/>
      <c r="BV47" s="43"/>
      <c r="BW47" s="43"/>
      <c r="BX47" s="40"/>
      <c r="BY47" s="43"/>
      <c r="CA47"/>
      <c r="CB47"/>
      <c r="CC47"/>
      <c r="CD47"/>
      <c r="CE47"/>
      <c r="CF47"/>
      <c r="CG47"/>
      <c r="CH47"/>
      <c r="CI47"/>
    </row>
    <row r="48" spans="1:87" s="36" customFormat="1" x14ac:dyDescent="0.35">
      <c r="A48" s="125" t="s">
        <v>34</v>
      </c>
      <c r="B48" s="6"/>
      <c r="C48" s="6"/>
      <c r="D48" s="45" t="s">
        <v>38</v>
      </c>
      <c r="E48" s="45">
        <v>1999</v>
      </c>
      <c r="F48" s="45">
        <v>3</v>
      </c>
      <c r="G48" s="45">
        <v>7</v>
      </c>
      <c r="H48" s="45">
        <v>6</v>
      </c>
      <c r="I48" s="45">
        <v>47</v>
      </c>
      <c r="J48" s="37"/>
      <c r="K48" s="35">
        <v>0.94618000000000002</v>
      </c>
      <c r="L48" s="141">
        <v>4.0787795824881901E-2</v>
      </c>
      <c r="M48" s="141">
        <v>5.0409380791748282E-2</v>
      </c>
      <c r="N48" s="141">
        <v>5.4830560807015871E-2</v>
      </c>
      <c r="O48" s="141">
        <v>0.11525194158557794</v>
      </c>
      <c r="P48">
        <v>0.9592122041751181</v>
      </c>
      <c r="Q48">
        <v>0.94959061920825172</v>
      </c>
      <c r="R48">
        <v>0.94516943919298413</v>
      </c>
      <c r="S48">
        <v>0.88474805841442206</v>
      </c>
      <c r="T48" s="45"/>
      <c r="U48" s="45"/>
      <c r="V48" s="45"/>
      <c r="W48" s="45"/>
      <c r="X48" s="45"/>
      <c r="Y48" s="45"/>
      <c r="Z48" s="45"/>
      <c r="AA48" s="45"/>
      <c r="AB48" s="45"/>
      <c r="AC48" s="45"/>
      <c r="AD48" s="45"/>
      <c r="AE48" s="45"/>
      <c r="AF48" s="45"/>
      <c r="AG48" s="45"/>
      <c r="AH48" s="45"/>
      <c r="AI48" s="45"/>
      <c r="AJ48" s="45"/>
      <c r="AK48" s="45"/>
      <c r="AL48" s="45"/>
      <c r="AM48" s="45"/>
      <c r="AN48" s="45"/>
      <c r="AO48" s="45">
        <v>0.5</v>
      </c>
      <c r="AP48">
        <v>2402</v>
      </c>
      <c r="AQ48" s="49">
        <f t="shared" si="0"/>
        <v>4804</v>
      </c>
      <c r="AR48">
        <v>247.6</v>
      </c>
      <c r="AS48">
        <v>34</v>
      </c>
      <c r="AT48">
        <f t="shared" si="1"/>
        <v>7.2823529411764705</v>
      </c>
      <c r="AU48" s="45">
        <f t="shared" si="2"/>
        <v>218.47058823529412</v>
      </c>
      <c r="AV48" s="136"/>
      <c r="AW48" s="45">
        <v>20</v>
      </c>
      <c r="AX48">
        <v>10.24</v>
      </c>
      <c r="AY48">
        <v>0.86</v>
      </c>
      <c r="AZ48">
        <v>11.39</v>
      </c>
      <c r="BA48">
        <v>1.68</v>
      </c>
      <c r="BB48" s="49">
        <f t="shared" si="3"/>
        <v>24.17</v>
      </c>
      <c r="BC48" s="48">
        <f t="shared" si="4"/>
        <v>1.2085000000000001</v>
      </c>
      <c r="BD48" s="48">
        <f t="shared" si="5"/>
        <v>7.2823529411764705</v>
      </c>
      <c r="BE48" s="48">
        <f t="shared" si="6"/>
        <v>0.1659491114701131</v>
      </c>
      <c r="BF48" s="50">
        <f t="shared" si="7"/>
        <v>398.60976575121168</v>
      </c>
      <c r="BG48" s="51">
        <f t="shared" si="8"/>
        <v>797.21953150242337</v>
      </c>
      <c r="BH48" s="48">
        <f t="shared" si="9"/>
        <v>0.42366570128258169</v>
      </c>
      <c r="BI48" s="48">
        <f t="shared" si="16"/>
        <v>3.558129913115432E-2</v>
      </c>
      <c r="BJ48" s="48">
        <f t="shared" si="10"/>
        <v>0.4712453454695904</v>
      </c>
      <c r="BK48" s="48">
        <f t="shared" si="11"/>
        <v>6.9507654116673548E-2</v>
      </c>
      <c r="BL48" s="50">
        <f t="shared" si="12"/>
        <v>337.75457189014543</v>
      </c>
      <c r="BM48" s="50">
        <f t="shared" si="13"/>
        <v>28.366106623586433</v>
      </c>
      <c r="BN48" s="50">
        <f t="shared" si="14"/>
        <v>375.68599353796452</v>
      </c>
      <c r="BO48" s="50">
        <f t="shared" si="15"/>
        <v>55.412859450726977</v>
      </c>
      <c r="BP48">
        <v>5.7750000000000004</v>
      </c>
      <c r="BQ48">
        <v>16.175000000000001</v>
      </c>
      <c r="BR48">
        <v>39.799999999999997</v>
      </c>
      <c r="BS48">
        <v>41.8</v>
      </c>
      <c r="BT48" s="49"/>
      <c r="BU48" s="39"/>
      <c r="BV48" s="43"/>
      <c r="BW48" s="43"/>
      <c r="BX48" s="40"/>
      <c r="BY48" s="43"/>
      <c r="CA48"/>
      <c r="CB48"/>
      <c r="CG48"/>
      <c r="CH48"/>
      <c r="CI48"/>
    </row>
    <row r="49" spans="1:138" s="36" customFormat="1" x14ac:dyDescent="0.35">
      <c r="A49" s="125" t="s">
        <v>34</v>
      </c>
      <c r="B49" s="6"/>
      <c r="C49" s="6"/>
      <c r="D49" s="45" t="s">
        <v>343</v>
      </c>
      <c r="E49" s="45">
        <v>2004</v>
      </c>
      <c r="F49" s="45">
        <v>3</v>
      </c>
      <c r="G49" s="45">
        <v>8</v>
      </c>
      <c r="H49" s="45">
        <v>6</v>
      </c>
      <c r="I49" s="45">
        <v>48</v>
      </c>
      <c r="J49" s="37"/>
      <c r="K49" s="35">
        <v>0.93671000000000004</v>
      </c>
      <c r="L49" s="141">
        <v>4.4820815636936961E-2</v>
      </c>
      <c r="M49" s="141">
        <v>5.9613445234513951E-2</v>
      </c>
      <c r="N49" s="141">
        <v>8.6459014403247103E-2</v>
      </c>
      <c r="O49" s="141">
        <v>0.16253335898124521</v>
      </c>
      <c r="P49">
        <v>0.95517918436306304</v>
      </c>
      <c r="Q49">
        <v>0.94038655476548605</v>
      </c>
      <c r="R49">
        <v>0.9135409855967529</v>
      </c>
      <c r="S49">
        <v>0.83746664101875479</v>
      </c>
      <c r="T49" s="45"/>
      <c r="U49" s="45"/>
      <c r="V49" s="45"/>
      <c r="W49" s="45"/>
      <c r="X49" s="45"/>
      <c r="Y49" s="45"/>
      <c r="Z49" s="45"/>
      <c r="AA49" s="45"/>
      <c r="AB49" s="45"/>
      <c r="AC49" s="45"/>
      <c r="AD49" s="45"/>
      <c r="AE49" s="45"/>
      <c r="AF49" s="45"/>
      <c r="AG49" s="45"/>
      <c r="AH49" s="45"/>
      <c r="AI49" s="45"/>
      <c r="AJ49" s="45"/>
      <c r="AK49" s="45"/>
      <c r="AL49" s="45"/>
      <c r="AM49" s="45"/>
      <c r="AN49" s="45"/>
      <c r="AO49" s="45">
        <v>0.5</v>
      </c>
      <c r="AP49">
        <v>1500.5</v>
      </c>
      <c r="AQ49" s="49">
        <f t="shared" si="0"/>
        <v>3001</v>
      </c>
      <c r="AR49">
        <v>271.08999999999997</v>
      </c>
      <c r="AS49">
        <v>44</v>
      </c>
      <c r="AT49">
        <f t="shared" si="1"/>
        <v>6.1611363636363627</v>
      </c>
      <c r="AU49" s="45">
        <f t="shared" si="2"/>
        <v>184.83409090909089</v>
      </c>
      <c r="AV49" s="136"/>
      <c r="AW49" s="45">
        <v>20</v>
      </c>
      <c r="AX49">
        <v>10.69</v>
      </c>
      <c r="AY49">
        <v>0.3</v>
      </c>
      <c r="AZ49">
        <v>10.83</v>
      </c>
      <c r="BA49">
        <v>0.89</v>
      </c>
      <c r="BB49" s="49">
        <f t="shared" si="3"/>
        <v>22.71</v>
      </c>
      <c r="BC49" s="48">
        <f t="shared" si="4"/>
        <v>1.1355</v>
      </c>
      <c r="BD49" s="48">
        <f t="shared" si="5"/>
        <v>6.1611363636363627</v>
      </c>
      <c r="BE49" s="48">
        <f t="shared" si="6"/>
        <v>0.18430041683573722</v>
      </c>
      <c r="BF49" s="50">
        <f t="shared" si="7"/>
        <v>276.54277546202371</v>
      </c>
      <c r="BG49" s="51">
        <f t="shared" si="8"/>
        <v>553.08555092404742</v>
      </c>
      <c r="BH49" s="48">
        <f t="shared" si="9"/>
        <v>0.47071774548656975</v>
      </c>
      <c r="BI49" s="48">
        <f t="shared" si="16"/>
        <v>1.3210039630118889E-2</v>
      </c>
      <c r="BJ49" s="48">
        <f t="shared" si="10"/>
        <v>0.47688243064729191</v>
      </c>
      <c r="BK49" s="48">
        <f t="shared" si="11"/>
        <v>3.9189784236019376E-2</v>
      </c>
      <c r="BL49" s="50">
        <f t="shared" si="12"/>
        <v>260.34718359216498</v>
      </c>
      <c r="BM49" s="50">
        <f t="shared" si="13"/>
        <v>7.3062820465528056</v>
      </c>
      <c r="BN49" s="50">
        <f t="shared" si="14"/>
        <v>263.75678188055628</v>
      </c>
      <c r="BO49" s="50">
        <f t="shared" si="15"/>
        <v>21.675303404773327</v>
      </c>
      <c r="BP49">
        <v>27.925000000000001</v>
      </c>
      <c r="BQ49">
        <v>31.125</v>
      </c>
      <c r="BR49">
        <v>53.9</v>
      </c>
      <c r="BS49">
        <v>49.174999999999997</v>
      </c>
      <c r="BT49" s="49"/>
      <c r="BU49" s="39"/>
      <c r="BV49" s="43"/>
      <c r="BW49" s="43"/>
      <c r="BX49" s="40"/>
      <c r="BY49" s="43"/>
      <c r="CA49"/>
      <c r="CB49"/>
      <c r="CC49"/>
      <c r="CD49"/>
      <c r="CE49"/>
      <c r="CF49"/>
      <c r="CG49"/>
      <c r="CH49"/>
      <c r="CI49"/>
    </row>
    <row r="50" spans="1:138" s="36" customFormat="1" x14ac:dyDescent="0.35">
      <c r="A50" s="125" t="s">
        <v>24</v>
      </c>
      <c r="B50" s="79"/>
      <c r="C50" s="79"/>
      <c r="D50" s="45" t="s">
        <v>32</v>
      </c>
      <c r="E50" s="45">
        <v>2018</v>
      </c>
      <c r="F50" s="45">
        <v>4</v>
      </c>
      <c r="G50" s="45">
        <v>1</v>
      </c>
      <c r="H50" s="45">
        <v>7</v>
      </c>
      <c r="I50" s="45">
        <v>49</v>
      </c>
      <c r="J50" s="37"/>
      <c r="K50" s="35">
        <v>0.97287999999999997</v>
      </c>
      <c r="L50" s="141">
        <v>2.6468737344949034E-3</v>
      </c>
      <c r="M50" s="141">
        <v>4.0687529386542742E-3</v>
      </c>
      <c r="N50" s="141">
        <v>6.6213106359186424E-3</v>
      </c>
      <c r="O50" s="141">
        <v>3.4464374463166081E-2</v>
      </c>
      <c r="P50">
        <v>0.9973531262655051</v>
      </c>
      <c r="Q50">
        <v>0.99593124706134573</v>
      </c>
      <c r="R50">
        <v>0.99337868936408136</v>
      </c>
      <c r="S50">
        <v>0.96553562553683392</v>
      </c>
      <c r="T50" s="45"/>
      <c r="U50" s="45"/>
      <c r="V50" s="45"/>
      <c r="W50" s="45"/>
      <c r="X50" s="45"/>
      <c r="Y50" s="45"/>
      <c r="Z50" s="45"/>
      <c r="AA50" s="45"/>
      <c r="AB50" s="45"/>
      <c r="AC50" s="45"/>
      <c r="AD50" s="45"/>
      <c r="AE50" s="45"/>
      <c r="AF50" s="45"/>
      <c r="AG50" s="45"/>
      <c r="AH50" s="45"/>
      <c r="AI50" s="45"/>
      <c r="AJ50" s="45"/>
      <c r="AK50" s="45"/>
      <c r="AL50" s="45"/>
      <c r="AM50" s="45"/>
      <c r="AN50" s="45"/>
      <c r="AO50" s="45">
        <v>0.5</v>
      </c>
      <c r="AP50">
        <v>2338</v>
      </c>
      <c r="AQ50" s="49">
        <f t="shared" si="0"/>
        <v>4676</v>
      </c>
      <c r="AR50">
        <v>160.04</v>
      </c>
      <c r="AS50">
        <v>20</v>
      </c>
      <c r="AT50">
        <f t="shared" si="1"/>
        <v>8.0019999999999989</v>
      </c>
      <c r="AU50" s="45">
        <f t="shared" si="2"/>
        <v>240.05999999999997</v>
      </c>
      <c r="AV50" s="136"/>
      <c r="AW50" s="45">
        <v>20</v>
      </c>
      <c r="AX50">
        <v>12.49</v>
      </c>
      <c r="AY50">
        <v>4.63</v>
      </c>
      <c r="AZ50">
        <v>12.91</v>
      </c>
      <c r="BA50">
        <v>2.16</v>
      </c>
      <c r="BB50" s="49">
        <f t="shared" si="3"/>
        <v>32.19</v>
      </c>
      <c r="BC50" s="48">
        <f t="shared" si="4"/>
        <v>1.6094999999999999</v>
      </c>
      <c r="BD50" s="48">
        <f t="shared" si="5"/>
        <v>8.0019999999999989</v>
      </c>
      <c r="BE50" s="48">
        <f t="shared" si="6"/>
        <v>0.20113721569607601</v>
      </c>
      <c r="BF50" s="50">
        <f t="shared" si="7"/>
        <v>470.25881029742573</v>
      </c>
      <c r="BG50" s="51">
        <f t="shared" si="8"/>
        <v>940.51762059485145</v>
      </c>
      <c r="BH50" s="48">
        <f t="shared" si="9"/>
        <v>0.38800869835352597</v>
      </c>
      <c r="BI50" s="48">
        <f t="shared" si="16"/>
        <v>0.14383348866107487</v>
      </c>
      <c r="BJ50" s="48">
        <f t="shared" si="10"/>
        <v>0.40105622864243556</v>
      </c>
      <c r="BK50" s="48">
        <f t="shared" si="11"/>
        <v>6.7101584342963663E-2</v>
      </c>
      <c r="BL50" s="50">
        <f t="shared" si="12"/>
        <v>364.92901774556373</v>
      </c>
      <c r="BM50" s="50">
        <f t="shared" si="13"/>
        <v>135.27793051737069</v>
      </c>
      <c r="BN50" s="50">
        <f t="shared" si="14"/>
        <v>377.20044988752818</v>
      </c>
      <c r="BO50" s="50">
        <f t="shared" si="15"/>
        <v>63.110222444388924</v>
      </c>
      <c r="BP50">
        <v>5.45</v>
      </c>
      <c r="BQ50">
        <v>5.6</v>
      </c>
      <c r="BR50">
        <v>29.675000000000001</v>
      </c>
      <c r="BS50">
        <v>36.633333329999999</v>
      </c>
      <c r="BT50" s="49"/>
      <c r="BU50" s="39"/>
      <c r="BV50" s="43"/>
      <c r="BW50" s="43"/>
      <c r="BX50" s="40"/>
      <c r="BY50" s="43"/>
      <c r="CA50"/>
      <c r="CB50"/>
      <c r="CC50"/>
      <c r="CD50"/>
      <c r="CE50"/>
      <c r="CF50"/>
      <c r="CG50"/>
      <c r="CH50"/>
      <c r="CI50"/>
    </row>
    <row r="51" spans="1:138" s="36" customFormat="1" x14ac:dyDescent="0.35">
      <c r="A51" s="125" t="s">
        <v>24</v>
      </c>
      <c r="B51" s="79"/>
      <c r="C51" s="79"/>
      <c r="D51" s="45" t="s">
        <v>29</v>
      </c>
      <c r="E51" s="45">
        <v>1999</v>
      </c>
      <c r="F51" s="45">
        <v>4</v>
      </c>
      <c r="G51" s="45">
        <v>2</v>
      </c>
      <c r="H51" s="45">
        <v>7</v>
      </c>
      <c r="I51" s="45">
        <v>50</v>
      </c>
      <c r="J51" s="37"/>
      <c r="K51" s="35">
        <v>0.96825000000000006</v>
      </c>
      <c r="L51" s="141">
        <v>6.2810686811248795E-3</v>
      </c>
      <c r="M51" s="141">
        <v>5.781645068393293E-3</v>
      </c>
      <c r="N51" s="141">
        <v>1.0482975621842971E-2</v>
      </c>
      <c r="O51" s="141">
        <v>5.871784767931465E-2</v>
      </c>
      <c r="P51">
        <v>0.99371893131887512</v>
      </c>
      <c r="Q51">
        <v>0.99421835493160671</v>
      </c>
      <c r="R51">
        <v>0.98951702437815703</v>
      </c>
      <c r="S51">
        <v>0.94128215232068535</v>
      </c>
      <c r="T51" s="45"/>
      <c r="U51" s="45"/>
      <c r="V51" s="45"/>
      <c r="W51" s="45"/>
      <c r="X51" s="45"/>
      <c r="Y51" s="45"/>
      <c r="Z51" s="45"/>
      <c r="AA51" s="45"/>
      <c r="AB51" s="45"/>
      <c r="AC51" s="45"/>
      <c r="AD51" s="45"/>
      <c r="AE51" s="45"/>
      <c r="AF51" s="45"/>
      <c r="AG51" s="45"/>
      <c r="AH51" s="45"/>
      <c r="AI51" s="45"/>
      <c r="AJ51" s="45"/>
      <c r="AK51" s="45"/>
      <c r="AL51" s="45"/>
      <c r="AM51" s="45"/>
      <c r="AN51" s="45"/>
      <c r="AO51" s="45">
        <v>0.5</v>
      </c>
      <c r="AP51">
        <v>3116.5</v>
      </c>
      <c r="AQ51" s="49">
        <f t="shared" si="0"/>
        <v>6233</v>
      </c>
      <c r="AR51">
        <v>284.26</v>
      </c>
      <c r="AS51">
        <v>47</v>
      </c>
      <c r="AT51">
        <f t="shared" si="1"/>
        <v>6.0480851063829784</v>
      </c>
      <c r="AU51" s="45">
        <f t="shared" si="2"/>
        <v>181.44255319148934</v>
      </c>
      <c r="AV51" s="136"/>
      <c r="AW51" s="45">
        <v>20</v>
      </c>
      <c r="AX51">
        <v>7.62</v>
      </c>
      <c r="AY51">
        <v>2.77</v>
      </c>
      <c r="AZ51">
        <v>8.66</v>
      </c>
      <c r="BA51">
        <v>1.19</v>
      </c>
      <c r="BB51" s="49">
        <f t="shared" si="3"/>
        <v>20.240000000000002</v>
      </c>
      <c r="BC51" s="48">
        <f t="shared" si="4"/>
        <v>1.012</v>
      </c>
      <c r="BD51" s="48">
        <f t="shared" si="5"/>
        <v>6.0480851063829784</v>
      </c>
      <c r="BE51" s="48">
        <f t="shared" si="6"/>
        <v>0.16732568775065082</v>
      </c>
      <c r="BF51" s="50">
        <f t="shared" si="7"/>
        <v>521.47050587490332</v>
      </c>
      <c r="BG51" s="51">
        <f t="shared" si="8"/>
        <v>1042.9410117498066</v>
      </c>
      <c r="BH51" s="48">
        <f t="shared" si="9"/>
        <v>0.37648221343873517</v>
      </c>
      <c r="BI51" s="48">
        <f t="shared" si="16"/>
        <v>0.13685770750988141</v>
      </c>
      <c r="BJ51" s="48">
        <f t="shared" si="10"/>
        <v>0.42786561264822132</v>
      </c>
      <c r="BK51" s="48">
        <f t="shared" si="11"/>
        <v>5.8794466403162049E-2</v>
      </c>
      <c r="BL51" s="50">
        <f t="shared" si="12"/>
        <v>392.64874058960112</v>
      </c>
      <c r="BM51" s="50">
        <f t="shared" si="13"/>
        <v>142.73451593611483</v>
      </c>
      <c r="BN51" s="50">
        <f t="shared" si="14"/>
        <v>446.23859494828679</v>
      </c>
      <c r="BO51" s="50">
        <f t="shared" si="15"/>
        <v>61.319160275803846</v>
      </c>
      <c r="BP51">
        <v>1.55</v>
      </c>
      <c r="BQ51">
        <v>11.725</v>
      </c>
      <c r="BR51">
        <v>21.274999999999999</v>
      </c>
      <c r="BS51">
        <v>50.125</v>
      </c>
      <c r="BT51" s="49"/>
      <c r="BU51" s="39"/>
      <c r="BV51" s="43"/>
      <c r="BW51" s="43"/>
      <c r="BX51" s="40"/>
      <c r="BY51" s="43"/>
      <c r="CA51"/>
      <c r="CB51"/>
      <c r="CC51"/>
      <c r="CD51"/>
      <c r="CE51"/>
      <c r="CF51"/>
      <c r="CG51"/>
      <c r="CH51"/>
      <c r="CI51"/>
    </row>
    <row r="52" spans="1:138" s="36" customFormat="1" x14ac:dyDescent="0.35">
      <c r="A52" s="125" t="s">
        <v>24</v>
      </c>
      <c r="B52" s="79"/>
      <c r="C52" s="79"/>
      <c r="D52" s="45" t="s">
        <v>337</v>
      </c>
      <c r="E52" s="45">
        <v>2016</v>
      </c>
      <c r="F52" s="45">
        <v>4</v>
      </c>
      <c r="G52" s="45">
        <v>3</v>
      </c>
      <c r="H52" s="45">
        <v>7</v>
      </c>
      <c r="I52" s="45">
        <v>51</v>
      </c>
      <c r="J52" s="37"/>
      <c r="K52" s="35">
        <v>0.96409</v>
      </c>
      <c r="L52" s="141">
        <v>4.8993983911511663E-3</v>
      </c>
      <c r="M52" s="141">
        <v>4.3523496521090665E-3</v>
      </c>
      <c r="N52" s="141">
        <v>7.6428070388253611E-3</v>
      </c>
      <c r="O52" s="141">
        <v>9.8543102264326721E-2</v>
      </c>
      <c r="P52">
        <v>0.99510060160884883</v>
      </c>
      <c r="Q52">
        <v>0.99564765034789093</v>
      </c>
      <c r="R52">
        <v>0.99235719296117464</v>
      </c>
      <c r="S52">
        <v>0.90145689773567328</v>
      </c>
      <c r="T52" s="45"/>
      <c r="U52" s="45"/>
      <c r="V52" s="45"/>
      <c r="W52" s="45"/>
      <c r="X52" s="45"/>
      <c r="Y52" s="45"/>
      <c r="Z52" s="45"/>
      <c r="AA52" s="45"/>
      <c r="AB52" s="45"/>
      <c r="AC52" s="45"/>
      <c r="AD52" s="45"/>
      <c r="AE52" s="45"/>
      <c r="AF52" s="45"/>
      <c r="AG52" s="45"/>
      <c r="AH52" s="45"/>
      <c r="AI52" s="45"/>
      <c r="AJ52" s="45"/>
      <c r="AK52" s="45"/>
      <c r="AL52" s="45"/>
      <c r="AM52" s="45"/>
      <c r="AN52" s="45"/>
      <c r="AO52" s="45">
        <v>0.5</v>
      </c>
      <c r="AP52"/>
      <c r="AQ52" s="49"/>
      <c r="AR52">
        <v>233.06</v>
      </c>
      <c r="AS52">
        <v>37</v>
      </c>
      <c r="AT52">
        <f t="shared" si="1"/>
        <v>6.2989189189189192</v>
      </c>
      <c r="AU52" s="45">
        <f t="shared" si="2"/>
        <v>188.96756756756758</v>
      </c>
      <c r="AV52" s="136"/>
      <c r="AW52" s="45">
        <v>20</v>
      </c>
      <c r="AX52">
        <v>9.4700000000000006</v>
      </c>
      <c r="AY52">
        <v>3.03</v>
      </c>
      <c r="AZ52">
        <v>11.15</v>
      </c>
      <c r="BA52">
        <v>2.2000000000000002</v>
      </c>
      <c r="BB52" s="49">
        <f t="shared" si="3"/>
        <v>25.849999999999998</v>
      </c>
      <c r="BC52" s="48">
        <f t="shared" si="4"/>
        <v>1.2925</v>
      </c>
      <c r="BD52" s="48">
        <f t="shared" si="5"/>
        <v>6.2989189189189192</v>
      </c>
      <c r="BE52" s="48">
        <f t="shared" si="6"/>
        <v>0.20519394147429845</v>
      </c>
      <c r="BF52" s="50"/>
      <c r="BG52" s="51"/>
      <c r="BH52" s="48">
        <f t="shared" si="9"/>
        <v>0.36634429400386853</v>
      </c>
      <c r="BI52" s="48">
        <f t="shared" si="16"/>
        <v>0.1172147001934236</v>
      </c>
      <c r="BJ52" s="48">
        <f t="shared" si="10"/>
        <v>0.43133462282398455</v>
      </c>
      <c r="BK52" s="48">
        <f t="shared" si="11"/>
        <v>8.5106382978723416E-2</v>
      </c>
      <c r="BL52" s="50"/>
      <c r="BM52" s="50"/>
      <c r="BN52" s="50"/>
      <c r="BO52" s="50"/>
      <c r="BP52">
        <v>3.2</v>
      </c>
      <c r="BQ52">
        <v>11.875</v>
      </c>
      <c r="BR52">
        <v>35.9</v>
      </c>
      <c r="BS52">
        <v>48</v>
      </c>
      <c r="BT52" s="49"/>
      <c r="BU52" s="39"/>
      <c r="BV52" s="43"/>
      <c r="BW52" s="43"/>
      <c r="BX52" s="40"/>
      <c r="BY52" s="43"/>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row>
    <row r="53" spans="1:138" s="36" customFormat="1" x14ac:dyDescent="0.35">
      <c r="A53" s="125" t="s">
        <v>24</v>
      </c>
      <c r="B53" s="79"/>
      <c r="C53" s="79"/>
      <c r="D53" s="45" t="s">
        <v>27</v>
      </c>
      <c r="E53" s="45">
        <v>1985</v>
      </c>
      <c r="F53" s="45">
        <v>4</v>
      </c>
      <c r="G53" s="45">
        <v>4</v>
      </c>
      <c r="H53" s="45">
        <v>7</v>
      </c>
      <c r="I53" s="45">
        <v>52</v>
      </c>
      <c r="J53" s="37"/>
      <c r="K53" s="35">
        <v>0.96421000000000001</v>
      </c>
      <c r="L53" s="141">
        <v>5.3366095752470644E-3</v>
      </c>
      <c r="M53" s="141">
        <v>5.3425962122820581E-3</v>
      </c>
      <c r="N53" s="141">
        <v>2.1569111768876104E-2</v>
      </c>
      <c r="O53" s="141">
        <v>0.13133987948328452</v>
      </c>
      <c r="P53">
        <v>0.99466339042475294</v>
      </c>
      <c r="Q53">
        <v>0.99465740378771794</v>
      </c>
      <c r="R53">
        <v>0.9784308882311239</v>
      </c>
      <c r="S53">
        <v>0.86866012051671548</v>
      </c>
      <c r="T53" s="45"/>
      <c r="U53" s="45"/>
      <c r="V53" s="45"/>
      <c r="W53" s="45"/>
      <c r="X53" s="45"/>
      <c r="Y53" s="45"/>
      <c r="Z53" s="45"/>
      <c r="AA53" s="45"/>
      <c r="AB53" s="45"/>
      <c r="AC53" s="45"/>
      <c r="AD53" s="45"/>
      <c r="AE53" s="45"/>
      <c r="AF53" s="45"/>
      <c r="AG53" s="45"/>
      <c r="AH53" s="45"/>
      <c r="AI53" s="45"/>
      <c r="AJ53" s="45"/>
      <c r="AK53" s="45"/>
      <c r="AL53" s="45"/>
      <c r="AM53" s="45"/>
      <c r="AN53" s="45"/>
      <c r="AO53" s="45">
        <v>0.5</v>
      </c>
      <c r="AP53">
        <v>3247</v>
      </c>
      <c r="AQ53" s="49">
        <f t="shared" si="0"/>
        <v>6494</v>
      </c>
      <c r="AR53">
        <v>269.7</v>
      </c>
      <c r="AS53">
        <v>36</v>
      </c>
      <c r="AT53">
        <f t="shared" si="1"/>
        <v>7.4916666666666663</v>
      </c>
      <c r="AU53" s="45">
        <f t="shared" si="2"/>
        <v>224.75</v>
      </c>
      <c r="AV53" s="136"/>
      <c r="AW53" s="45">
        <v>20</v>
      </c>
      <c r="AX53">
        <v>10.43</v>
      </c>
      <c r="AY53">
        <v>2.98</v>
      </c>
      <c r="AZ53">
        <v>12.23</v>
      </c>
      <c r="BA53">
        <v>2.73</v>
      </c>
      <c r="BB53" s="49">
        <f t="shared" si="3"/>
        <v>28.37</v>
      </c>
      <c r="BC53" s="48">
        <f t="shared" si="4"/>
        <v>1.4185000000000001</v>
      </c>
      <c r="BD53" s="48">
        <f t="shared" si="5"/>
        <v>7.4916666666666663</v>
      </c>
      <c r="BE53" s="48">
        <f t="shared" si="6"/>
        <v>0.18934371523915464</v>
      </c>
      <c r="BF53" s="50">
        <f t="shared" si="7"/>
        <v>614.79904338153506</v>
      </c>
      <c r="BG53" s="51">
        <f t="shared" si="8"/>
        <v>1229.5980867630701</v>
      </c>
      <c r="BH53" s="48">
        <f t="shared" si="9"/>
        <v>0.36764187522030312</v>
      </c>
      <c r="BI53" s="48">
        <f t="shared" si="16"/>
        <v>0.10504053577722947</v>
      </c>
      <c r="BJ53" s="48">
        <f t="shared" si="10"/>
        <v>0.43108917870990482</v>
      </c>
      <c r="BK53" s="48">
        <f t="shared" si="11"/>
        <v>9.6228410292562558E-2</v>
      </c>
      <c r="BL53" s="50">
        <f t="shared" si="12"/>
        <v>452.05174638487205</v>
      </c>
      <c r="BM53" s="50">
        <f t="shared" si="13"/>
        <v>129.15764182424917</v>
      </c>
      <c r="BN53" s="50">
        <f t="shared" si="14"/>
        <v>530.06642936596222</v>
      </c>
      <c r="BO53" s="50">
        <f t="shared" si="15"/>
        <v>118.32226918798665</v>
      </c>
      <c r="BP53">
        <v>7.9</v>
      </c>
      <c r="BQ53">
        <v>7.35</v>
      </c>
      <c r="BR53">
        <v>23.175000000000001</v>
      </c>
      <c r="BS53">
        <v>56.4</v>
      </c>
      <c r="BT53" s="49"/>
      <c r="BU53" s="39"/>
      <c r="BV53" s="43"/>
      <c r="BW53" s="43"/>
      <c r="BX53" s="40"/>
      <c r="BY53" s="4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row>
    <row r="54" spans="1:138" s="36" customFormat="1" x14ac:dyDescent="0.35">
      <c r="A54" s="125" t="s">
        <v>24</v>
      </c>
      <c r="B54" s="79"/>
      <c r="C54" s="79"/>
      <c r="D54" s="45" t="s">
        <v>28</v>
      </c>
      <c r="E54" s="45">
        <v>1998</v>
      </c>
      <c r="F54" s="45">
        <v>4</v>
      </c>
      <c r="G54" s="45">
        <v>5</v>
      </c>
      <c r="H54" s="45">
        <v>7</v>
      </c>
      <c r="I54" s="45">
        <v>53</v>
      </c>
      <c r="J54" s="37"/>
      <c r="K54" s="35">
        <v>0.9768</v>
      </c>
      <c r="L54" s="141">
        <v>4.2920577757459277E-3</v>
      </c>
      <c r="M54" s="141">
        <v>3.2965689024897493E-3</v>
      </c>
      <c r="N54" s="141">
        <v>7.7944180091398252E-3</v>
      </c>
      <c r="O54" s="141">
        <v>5.7937074586156045E-2</v>
      </c>
      <c r="P54">
        <v>0.99570794222425407</v>
      </c>
      <c r="Q54">
        <v>0.99670343109751025</v>
      </c>
      <c r="R54">
        <v>0.99220558199086017</v>
      </c>
      <c r="S54">
        <v>0.94206292541384395</v>
      </c>
      <c r="T54" s="45"/>
      <c r="U54" s="45"/>
      <c r="V54" s="45"/>
      <c r="W54" s="45"/>
      <c r="X54" s="45"/>
      <c r="Y54" s="45"/>
      <c r="Z54" s="45"/>
      <c r="AA54" s="45"/>
      <c r="AB54" s="45"/>
      <c r="AC54" s="45"/>
      <c r="AD54" s="45"/>
      <c r="AE54" s="45"/>
      <c r="AF54" s="45"/>
      <c r="AG54" s="45"/>
      <c r="AH54" s="45"/>
      <c r="AI54" s="45"/>
      <c r="AJ54" s="45"/>
      <c r="AK54" s="45"/>
      <c r="AL54" s="45"/>
      <c r="AM54" s="45"/>
      <c r="AN54" s="45"/>
      <c r="AO54" s="45">
        <v>0.5</v>
      </c>
      <c r="AP54">
        <v>2933.5</v>
      </c>
      <c r="AQ54" s="49">
        <f t="shared" si="0"/>
        <v>5867</v>
      </c>
      <c r="AR54">
        <v>274.01</v>
      </c>
      <c r="AS54">
        <v>50</v>
      </c>
      <c r="AT54">
        <f t="shared" si="1"/>
        <v>5.4802</v>
      </c>
      <c r="AU54" s="45">
        <f t="shared" si="2"/>
        <v>164.40600000000001</v>
      </c>
      <c r="AV54" s="136"/>
      <c r="AW54" s="45">
        <v>20</v>
      </c>
      <c r="AX54">
        <v>7.88</v>
      </c>
      <c r="AY54">
        <v>2.2400000000000002</v>
      </c>
      <c r="AZ54">
        <v>8.93</v>
      </c>
      <c r="BA54">
        <v>1.59</v>
      </c>
      <c r="BB54" s="49">
        <f t="shared" si="3"/>
        <v>20.64</v>
      </c>
      <c r="BC54" s="48">
        <f t="shared" si="4"/>
        <v>1.032</v>
      </c>
      <c r="BD54" s="48">
        <f t="shared" si="5"/>
        <v>5.4802</v>
      </c>
      <c r="BE54" s="48">
        <f t="shared" si="6"/>
        <v>0.18831429509871903</v>
      </c>
      <c r="BF54" s="50">
        <f t="shared" si="7"/>
        <v>552.41998467209226</v>
      </c>
      <c r="BG54" s="51">
        <f t="shared" si="8"/>
        <v>1104.8399693441845</v>
      </c>
      <c r="BH54" s="48">
        <f t="shared" si="9"/>
        <v>0.38178294573643412</v>
      </c>
      <c r="BI54" s="48">
        <f t="shared" si="16"/>
        <v>0.10852713178294575</v>
      </c>
      <c r="BJ54" s="48">
        <f t="shared" si="10"/>
        <v>0.43265503875968991</v>
      </c>
      <c r="BK54" s="48">
        <f t="shared" si="11"/>
        <v>7.7034883720930231E-2</v>
      </c>
      <c r="BL54" s="50">
        <f t="shared" si="12"/>
        <v>421.80905806357435</v>
      </c>
      <c r="BM54" s="50">
        <f t="shared" si="13"/>
        <v>119.90511295208205</v>
      </c>
      <c r="BN54" s="50">
        <f t="shared" si="14"/>
        <v>478.01457975986278</v>
      </c>
      <c r="BO54" s="50">
        <f t="shared" si="15"/>
        <v>85.111218568665379</v>
      </c>
      <c r="BP54">
        <v>2.7</v>
      </c>
      <c r="BQ54">
        <v>14.475</v>
      </c>
      <c r="BR54">
        <v>34.4</v>
      </c>
      <c r="BS54">
        <v>44.9</v>
      </c>
      <c r="BT54" s="49"/>
      <c r="BU54" s="39"/>
      <c r="BV54" s="43"/>
      <c r="BW54" s="43"/>
      <c r="BX54" s="40"/>
      <c r="BY54" s="43"/>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row>
    <row r="55" spans="1:138" s="36" customFormat="1" x14ac:dyDescent="0.35">
      <c r="A55" s="125" t="s">
        <v>24</v>
      </c>
      <c r="B55" s="79"/>
      <c r="C55" s="79"/>
      <c r="D55" s="45" t="s">
        <v>26</v>
      </c>
      <c r="E55" s="45">
        <v>1983</v>
      </c>
      <c r="F55" s="45">
        <v>4</v>
      </c>
      <c r="G55" s="45">
        <v>6</v>
      </c>
      <c r="H55" s="45">
        <v>7</v>
      </c>
      <c r="I55" s="45">
        <v>54</v>
      </c>
      <c r="J55" s="37"/>
      <c r="K55" s="35">
        <v>0.96516999999999997</v>
      </c>
      <c r="L55" s="141">
        <v>6.1154451776689323E-3</v>
      </c>
      <c r="M55" s="141">
        <v>6.9142632339417309E-3</v>
      </c>
      <c r="N55" s="141">
        <v>1.2727623488371531E-2</v>
      </c>
      <c r="O55" s="141">
        <v>6.550031124068012E-2</v>
      </c>
      <c r="P55">
        <v>0.99388455482233107</v>
      </c>
      <c r="Q55">
        <v>0.99308573676605827</v>
      </c>
      <c r="R55">
        <v>0.98727237651162847</v>
      </c>
      <c r="S55">
        <v>0.93449968875931988</v>
      </c>
      <c r="T55" s="45"/>
      <c r="U55" s="45"/>
      <c r="V55" s="45"/>
      <c r="W55" s="45"/>
      <c r="X55" s="45"/>
      <c r="Y55" s="45"/>
      <c r="Z55" s="45"/>
      <c r="AA55" s="45"/>
      <c r="AB55" s="45"/>
      <c r="AC55" s="45"/>
      <c r="AD55" s="45"/>
      <c r="AE55" s="45"/>
      <c r="AF55" s="45"/>
      <c r="AG55" s="45"/>
      <c r="AH55" s="45"/>
      <c r="AI55" s="45"/>
      <c r="AJ55" s="45"/>
      <c r="AK55" s="45"/>
      <c r="AL55" s="45"/>
      <c r="AM55" s="45"/>
      <c r="AN55" s="45"/>
      <c r="AO55" s="45">
        <v>0.5</v>
      </c>
      <c r="AP55">
        <v>2437.5</v>
      </c>
      <c r="AQ55" s="49">
        <f t="shared" si="0"/>
        <v>4875</v>
      </c>
      <c r="AR55">
        <v>335.61</v>
      </c>
      <c r="AS55">
        <v>53</v>
      </c>
      <c r="AT55">
        <f t="shared" si="1"/>
        <v>6.3322641509433968</v>
      </c>
      <c r="AU55" s="45">
        <f t="shared" si="2"/>
        <v>189.96792452830189</v>
      </c>
      <c r="AV55" s="136"/>
      <c r="AW55" s="45">
        <v>20</v>
      </c>
      <c r="AX55">
        <v>6.42</v>
      </c>
      <c r="AY55">
        <v>2.46</v>
      </c>
      <c r="AZ55">
        <v>7.42</v>
      </c>
      <c r="BA55">
        <v>1.2</v>
      </c>
      <c r="BB55" s="49">
        <f t="shared" si="3"/>
        <v>17.499999999999996</v>
      </c>
      <c r="BC55" s="48">
        <f t="shared" si="4"/>
        <v>0.87499999999999978</v>
      </c>
      <c r="BD55" s="48">
        <f t="shared" si="5"/>
        <v>6.3322641509433968</v>
      </c>
      <c r="BE55" s="48">
        <f t="shared" si="6"/>
        <v>0.13818122225201868</v>
      </c>
      <c r="BF55" s="50">
        <f t="shared" si="7"/>
        <v>336.81672923929551</v>
      </c>
      <c r="BG55" s="51">
        <f t="shared" si="8"/>
        <v>673.63345847859102</v>
      </c>
      <c r="BH55" s="48">
        <f t="shared" si="9"/>
        <v>0.36685714285714294</v>
      </c>
      <c r="BI55" s="48">
        <f t="shared" si="16"/>
        <v>0.1405714285714286</v>
      </c>
      <c r="BJ55" s="48">
        <f t="shared" si="10"/>
        <v>0.4240000000000001</v>
      </c>
      <c r="BK55" s="48">
        <f t="shared" si="11"/>
        <v>6.8571428571428589E-2</v>
      </c>
      <c r="BL55" s="50">
        <f t="shared" si="12"/>
        <v>247.12724591043172</v>
      </c>
      <c r="BM55" s="50">
        <f t="shared" si="13"/>
        <v>94.693617591847669</v>
      </c>
      <c r="BN55" s="50">
        <f t="shared" si="14"/>
        <v>285.62058639492267</v>
      </c>
      <c r="BO55" s="50">
        <f t="shared" si="15"/>
        <v>46.192008581389111</v>
      </c>
      <c r="BP55">
        <v>8.8249999999999993</v>
      </c>
      <c r="BQ55">
        <v>3.85</v>
      </c>
      <c r="BR55">
        <v>25.95</v>
      </c>
      <c r="BS55">
        <v>47.924999999999997</v>
      </c>
      <c r="BT55" s="49"/>
      <c r="BU55" s="39"/>
      <c r="BV55" s="43"/>
      <c r="BW55" s="43"/>
      <c r="BX55" s="40"/>
      <c r="BY55" s="43"/>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row>
    <row r="56" spans="1:138" s="36" customFormat="1" x14ac:dyDescent="0.35">
      <c r="A56" s="125" t="s">
        <v>24</v>
      </c>
      <c r="B56" s="79"/>
      <c r="C56" s="79"/>
      <c r="D56" s="45" t="s">
        <v>335</v>
      </c>
      <c r="E56" s="45">
        <v>2023</v>
      </c>
      <c r="F56" s="45">
        <v>4</v>
      </c>
      <c r="G56" s="45">
        <v>7</v>
      </c>
      <c r="H56" s="45">
        <v>7</v>
      </c>
      <c r="I56" s="45">
        <v>55</v>
      </c>
      <c r="J56" s="37"/>
      <c r="K56" s="35">
        <v>0.96426999999999996</v>
      </c>
      <c r="L56" s="141">
        <v>2.5826075411780391E-2</v>
      </c>
      <c r="M56" s="141">
        <v>1.7935919021162317E-2</v>
      </c>
      <c r="N56" s="141">
        <v>2.0242632114253478E-2</v>
      </c>
      <c r="O56" s="141">
        <v>7.8308680550597365E-2</v>
      </c>
      <c r="P56">
        <v>0.97417392458821961</v>
      </c>
      <c r="Q56">
        <v>0.98206408097883768</v>
      </c>
      <c r="R56">
        <v>0.97975736788574652</v>
      </c>
      <c r="S56">
        <v>0.92169131944940264</v>
      </c>
      <c r="T56" s="45"/>
      <c r="U56" s="45"/>
      <c r="V56" s="45"/>
      <c r="W56" s="45"/>
      <c r="X56" s="45"/>
      <c r="Y56" s="45"/>
      <c r="Z56" s="45"/>
      <c r="AA56" s="45"/>
      <c r="AB56" s="45"/>
      <c r="AC56" s="45"/>
      <c r="AD56" s="45"/>
      <c r="AE56" s="45"/>
      <c r="AF56" s="45"/>
      <c r="AG56" s="45"/>
      <c r="AH56" s="45"/>
      <c r="AI56" s="45"/>
      <c r="AJ56" s="45"/>
      <c r="AK56" s="45"/>
      <c r="AL56" s="45"/>
      <c r="AM56" s="45"/>
      <c r="AN56" s="45"/>
      <c r="AO56" s="45">
        <v>0.5</v>
      </c>
      <c r="AP56">
        <v>2190</v>
      </c>
      <c r="AQ56" s="49">
        <f t="shared" si="0"/>
        <v>4380</v>
      </c>
      <c r="AR56">
        <v>268.31</v>
      </c>
      <c r="AS56">
        <v>42</v>
      </c>
      <c r="AT56">
        <f t="shared" si="1"/>
        <v>6.3883333333333336</v>
      </c>
      <c r="AU56" s="45">
        <f t="shared" si="2"/>
        <v>191.65</v>
      </c>
      <c r="AV56" s="136"/>
      <c r="AW56" s="45">
        <v>20</v>
      </c>
      <c r="AX56">
        <v>9</v>
      </c>
      <c r="AY56">
        <v>0.95</v>
      </c>
      <c r="AZ56">
        <v>13.05</v>
      </c>
      <c r="BA56">
        <v>2.89</v>
      </c>
      <c r="BB56" s="49">
        <f t="shared" si="3"/>
        <v>25.89</v>
      </c>
      <c r="BC56" s="48">
        <f t="shared" si="4"/>
        <v>1.2945</v>
      </c>
      <c r="BD56" s="48">
        <f t="shared" si="5"/>
        <v>6.3883333333333336</v>
      </c>
      <c r="BE56" s="48">
        <f t="shared" si="6"/>
        <v>0.20263501174015131</v>
      </c>
      <c r="BF56" s="50">
        <f t="shared" si="7"/>
        <v>443.77067571093136</v>
      </c>
      <c r="BG56" s="51">
        <f t="shared" si="8"/>
        <v>887.54135142186271</v>
      </c>
      <c r="BH56" s="48">
        <f t="shared" si="9"/>
        <v>0.34762456546929316</v>
      </c>
      <c r="BI56" s="48">
        <f t="shared" si="16"/>
        <v>3.6693704132869834E-2</v>
      </c>
      <c r="BJ56" s="48">
        <f t="shared" si="10"/>
        <v>0.5040556199304751</v>
      </c>
      <c r="BK56" s="48">
        <f t="shared" si="11"/>
        <v>0.11162611046736191</v>
      </c>
      <c r="BL56" s="50">
        <f t="shared" si="12"/>
        <v>308.53117662405424</v>
      </c>
      <c r="BM56" s="50">
        <f t="shared" si="13"/>
        <v>32.567179754761284</v>
      </c>
      <c r="BN56" s="50">
        <f t="shared" si="14"/>
        <v>447.37020610487866</v>
      </c>
      <c r="BO56" s="50">
        <f t="shared" si="15"/>
        <v>99.072788938168529</v>
      </c>
      <c r="BP56">
        <v>6.75</v>
      </c>
      <c r="BQ56">
        <v>15.425000000000001</v>
      </c>
      <c r="BR56">
        <v>34.25</v>
      </c>
      <c r="BS56">
        <v>49.2</v>
      </c>
      <c r="BT56" s="49"/>
      <c r="BU56" s="39"/>
      <c r="BV56" s="43"/>
      <c r="BW56" s="43"/>
      <c r="BX56" s="40"/>
      <c r="BY56" s="43"/>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row>
    <row r="57" spans="1:138" s="36" customFormat="1" x14ac:dyDescent="0.35">
      <c r="A57" s="125" t="s">
        <v>24</v>
      </c>
      <c r="B57" s="79"/>
      <c r="C57" s="79"/>
      <c r="D57" s="45" t="s">
        <v>336</v>
      </c>
      <c r="E57" s="45">
        <v>2002</v>
      </c>
      <c r="F57" s="45">
        <v>4</v>
      </c>
      <c r="G57" s="45">
        <v>8</v>
      </c>
      <c r="H57" s="45">
        <v>7</v>
      </c>
      <c r="I57" s="45">
        <v>56</v>
      </c>
      <c r="J57" s="37"/>
      <c r="K57" s="35">
        <v>0.95555000000000001</v>
      </c>
      <c r="L57" s="141">
        <v>3.6056729969076162E-3</v>
      </c>
      <c r="M57" s="141">
        <v>5.9542000378028925E-3</v>
      </c>
      <c r="N57" s="141">
        <v>2.5424426696523783E-2</v>
      </c>
      <c r="O57" s="141">
        <v>7.2546115698357116E-2</v>
      </c>
      <c r="P57">
        <v>0.99639432700309238</v>
      </c>
      <c r="Q57">
        <v>0.99404579996219711</v>
      </c>
      <c r="R57">
        <v>0.97457557330347622</v>
      </c>
      <c r="S57">
        <v>0.92745388430164288</v>
      </c>
      <c r="T57" s="45"/>
      <c r="U57" s="45"/>
      <c r="V57" s="45"/>
      <c r="W57" s="45"/>
      <c r="X57" s="45"/>
      <c r="Y57" s="45"/>
      <c r="Z57" s="45"/>
      <c r="AA57" s="45"/>
      <c r="AB57" s="45"/>
      <c r="AC57" s="45"/>
      <c r="AD57" s="45"/>
      <c r="AE57" s="45"/>
      <c r="AF57" s="45"/>
      <c r="AG57" s="45"/>
      <c r="AH57" s="45"/>
      <c r="AI57" s="45"/>
      <c r="AJ57" s="45"/>
      <c r="AK57" s="45"/>
      <c r="AL57" s="45"/>
      <c r="AM57" s="45"/>
      <c r="AN57" s="45"/>
      <c r="AO57" s="45">
        <v>0.5</v>
      </c>
      <c r="AP57"/>
      <c r="AQ57" s="49"/>
      <c r="AR57">
        <v>253.8</v>
      </c>
      <c r="AS57">
        <v>29</v>
      </c>
      <c r="AT57">
        <f t="shared" si="1"/>
        <v>8.7517241379310349</v>
      </c>
      <c r="AU57" s="45">
        <f t="shared" si="2"/>
        <v>262.55172413793105</v>
      </c>
      <c r="AV57" s="136"/>
      <c r="AW57" s="45">
        <v>20</v>
      </c>
      <c r="AX57">
        <v>12.18</v>
      </c>
      <c r="AY57">
        <v>4.7300000000000004</v>
      </c>
      <c r="AZ57">
        <v>14</v>
      </c>
      <c r="BA57">
        <v>3.19</v>
      </c>
      <c r="BB57" s="49">
        <f t="shared" si="3"/>
        <v>34.1</v>
      </c>
      <c r="BC57" s="48">
        <f t="shared" si="4"/>
        <v>1.7050000000000001</v>
      </c>
      <c r="BD57" s="48">
        <f t="shared" si="5"/>
        <v>8.7517241379310349</v>
      </c>
      <c r="BE57" s="48">
        <f t="shared" si="6"/>
        <v>0.19481875492513789</v>
      </c>
      <c r="BF57" s="50"/>
      <c r="BG57" s="51"/>
      <c r="BH57" s="48">
        <f t="shared" si="9"/>
        <v>0.35718475073313782</v>
      </c>
      <c r="BI57" s="48">
        <f t="shared" si="16"/>
        <v>0.13870967741935483</v>
      </c>
      <c r="BJ57" s="48">
        <f t="shared" si="10"/>
        <v>0.41055718475073311</v>
      </c>
      <c r="BK57" s="48">
        <f t="shared" si="11"/>
        <v>9.3548387096774183E-2</v>
      </c>
      <c r="BL57" s="50"/>
      <c r="BM57" s="50"/>
      <c r="BN57" s="50"/>
      <c r="BO57" s="50"/>
      <c r="BP57">
        <v>3.7749999999999999</v>
      </c>
      <c r="BQ57">
        <v>10.375</v>
      </c>
      <c r="BR57">
        <v>9.6</v>
      </c>
      <c r="BS57">
        <v>47.5</v>
      </c>
      <c r="BT57" s="49"/>
      <c r="BU57" s="39"/>
      <c r="BV57" s="43"/>
      <c r="BW57" s="43"/>
      <c r="BX57" s="40"/>
      <c r="BY57" s="43"/>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row>
    <row r="58" spans="1:138" s="36" customFormat="1" x14ac:dyDescent="0.35">
      <c r="A58" s="125" t="s">
        <v>34</v>
      </c>
      <c r="B58" s="6"/>
      <c r="C58" s="6"/>
      <c r="D58" s="45" t="s">
        <v>39</v>
      </c>
      <c r="E58" s="45">
        <v>2001</v>
      </c>
      <c r="F58" s="45">
        <v>4</v>
      </c>
      <c r="G58" s="45">
        <v>1</v>
      </c>
      <c r="H58" s="45">
        <v>8</v>
      </c>
      <c r="I58" s="45">
        <v>57</v>
      </c>
      <c r="J58" s="37"/>
      <c r="K58" s="35">
        <v>0.93855</v>
      </c>
      <c r="L58" s="141">
        <v>2.8351112195766359E-2</v>
      </c>
      <c r="M58" s="141">
        <v>3.7312668205572885E-2</v>
      </c>
      <c r="N58" s="141">
        <v>6.9630626624100134E-2</v>
      </c>
      <c r="O58" s="141">
        <v>0.17518316444421811</v>
      </c>
      <c r="P58">
        <v>0.97164888780423364</v>
      </c>
      <c r="Q58">
        <v>0.96268733179442711</v>
      </c>
      <c r="R58">
        <v>0.93036937337589987</v>
      </c>
      <c r="S58">
        <v>0.82481683555578189</v>
      </c>
      <c r="T58" s="45"/>
      <c r="U58" s="45"/>
      <c r="V58" s="45"/>
      <c r="W58" s="45"/>
      <c r="X58" s="45"/>
      <c r="Y58" s="45"/>
      <c r="Z58" s="45"/>
      <c r="AA58" s="45"/>
      <c r="AB58" s="45"/>
      <c r="AC58" s="45"/>
      <c r="AD58" s="45"/>
      <c r="AE58" s="45"/>
      <c r="AF58" s="45"/>
      <c r="AG58" s="45"/>
      <c r="AH58" s="45"/>
      <c r="AI58" s="45"/>
      <c r="AJ58" s="45"/>
      <c r="AK58" s="45"/>
      <c r="AL58" s="45"/>
      <c r="AM58" s="45"/>
      <c r="AN58" s="45"/>
      <c r="AO58" s="45">
        <v>0.5</v>
      </c>
      <c r="AP58">
        <v>2469.5</v>
      </c>
      <c r="AQ58" s="49">
        <f t="shared" si="0"/>
        <v>4939</v>
      </c>
      <c r="AR58">
        <v>251.09</v>
      </c>
      <c r="AS58">
        <v>32</v>
      </c>
      <c r="AT58">
        <f t="shared" si="1"/>
        <v>7.8465625000000001</v>
      </c>
      <c r="AU58" s="45">
        <f t="shared" si="2"/>
        <v>235.39687499999999</v>
      </c>
      <c r="AV58" s="136"/>
      <c r="AW58" s="45">
        <v>20</v>
      </c>
      <c r="AX58">
        <v>9.9600000000000009</v>
      </c>
      <c r="AY58">
        <v>0.26</v>
      </c>
      <c r="AZ58">
        <v>13.9</v>
      </c>
      <c r="BA58">
        <v>4.18</v>
      </c>
      <c r="BB58" s="49">
        <f t="shared" si="3"/>
        <v>28.3</v>
      </c>
      <c r="BC58" s="48">
        <f t="shared" si="4"/>
        <v>1.415</v>
      </c>
      <c r="BD58" s="48">
        <f t="shared" si="5"/>
        <v>7.8465625000000001</v>
      </c>
      <c r="BE58" s="48">
        <f t="shared" si="6"/>
        <v>0.18033374487235654</v>
      </c>
      <c r="BF58" s="50">
        <f t="shared" si="7"/>
        <v>445.33418296228444</v>
      </c>
      <c r="BG58" s="51">
        <f t="shared" si="8"/>
        <v>890.66836592456889</v>
      </c>
      <c r="BH58" s="48">
        <f t="shared" si="9"/>
        <v>0.35194346289752654</v>
      </c>
      <c r="BI58" s="48">
        <f t="shared" si="16"/>
        <v>9.1872791519434626E-3</v>
      </c>
      <c r="BJ58" s="48">
        <f t="shared" si="10"/>
        <v>0.49116607773851589</v>
      </c>
      <c r="BK58" s="48">
        <f t="shared" si="11"/>
        <v>0.14770318021201412</v>
      </c>
      <c r="BL58" s="50">
        <f t="shared" si="12"/>
        <v>313.46490899677411</v>
      </c>
      <c r="BM58" s="50">
        <f t="shared" si="13"/>
        <v>8.1828189095543422</v>
      </c>
      <c r="BN58" s="50">
        <f t="shared" si="14"/>
        <v>437.46608785694372</v>
      </c>
      <c r="BO58" s="50">
        <f t="shared" si="15"/>
        <v>131.55455016129673</v>
      </c>
      <c r="BP58">
        <v>12.65</v>
      </c>
      <c r="BQ58">
        <v>15.8</v>
      </c>
      <c r="BR58">
        <v>29.125</v>
      </c>
      <c r="BS58">
        <v>47.85</v>
      </c>
      <c r="BT58" s="49"/>
      <c r="BU58" s="39"/>
      <c r="BV58" s="43"/>
      <c r="BW58" s="43"/>
      <c r="BX58" s="40"/>
      <c r="BY58" s="43"/>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row>
    <row r="59" spans="1:138" s="36" customFormat="1" x14ac:dyDescent="0.35">
      <c r="A59" s="125" t="s">
        <v>34</v>
      </c>
      <c r="B59" s="6"/>
      <c r="C59" s="6"/>
      <c r="D59" s="45" t="s">
        <v>37</v>
      </c>
      <c r="E59" s="45">
        <v>1989</v>
      </c>
      <c r="F59" s="45">
        <v>4</v>
      </c>
      <c r="G59" s="45">
        <v>2</v>
      </c>
      <c r="H59" s="45">
        <v>8</v>
      </c>
      <c r="I59" s="45">
        <v>58</v>
      </c>
      <c r="J59" s="37"/>
      <c r="K59" s="35">
        <v>0.96923000000000004</v>
      </c>
      <c r="L59" s="141">
        <v>1.6200854745643034E-2</v>
      </c>
      <c r="M59" s="141">
        <v>2.3954778542681465E-2</v>
      </c>
      <c r="N59" s="141">
        <v>5.1574049206608574E-2</v>
      </c>
      <c r="O59" s="141">
        <v>0.1311384622524443</v>
      </c>
      <c r="P59">
        <v>0.98379914525435697</v>
      </c>
      <c r="Q59">
        <v>0.97604522145731853</v>
      </c>
      <c r="R59">
        <v>0.94842595079339143</v>
      </c>
      <c r="S59">
        <v>0.8688615377475557</v>
      </c>
      <c r="T59" s="45"/>
      <c r="U59" s="45"/>
      <c r="V59" s="45"/>
      <c r="W59" s="45"/>
      <c r="X59" s="45"/>
      <c r="Y59" s="45"/>
      <c r="Z59" s="45"/>
      <c r="AA59" s="45"/>
      <c r="AB59" s="45"/>
      <c r="AC59" s="45"/>
      <c r="AD59" s="45"/>
      <c r="AE59" s="45"/>
      <c r="AF59" s="45"/>
      <c r="AG59" s="45"/>
      <c r="AH59" s="45"/>
      <c r="AI59" s="45"/>
      <c r="AJ59" s="45"/>
      <c r="AK59" s="45"/>
      <c r="AL59" s="45"/>
      <c r="AM59" s="45"/>
      <c r="AN59" s="45"/>
      <c r="AO59" s="45">
        <v>0.5</v>
      </c>
      <c r="AP59">
        <v>2047.0000000000002</v>
      </c>
      <c r="AQ59" s="49">
        <f t="shared" si="0"/>
        <v>4094.0000000000005</v>
      </c>
      <c r="AR59">
        <v>262.5</v>
      </c>
      <c r="AS59">
        <v>36</v>
      </c>
      <c r="AT59">
        <f t="shared" si="1"/>
        <v>7.291666666666667</v>
      </c>
      <c r="AU59" s="45">
        <f t="shared" si="2"/>
        <v>218.75</v>
      </c>
      <c r="AV59" s="136"/>
      <c r="AW59" s="45">
        <v>20</v>
      </c>
      <c r="AX59">
        <v>11.19</v>
      </c>
      <c r="AY59">
        <v>0.14000000000000001</v>
      </c>
      <c r="AZ59">
        <v>13.31</v>
      </c>
      <c r="BA59">
        <v>1.61</v>
      </c>
      <c r="BB59" s="49">
        <f t="shared" si="3"/>
        <v>26.25</v>
      </c>
      <c r="BC59" s="48">
        <f t="shared" si="4"/>
        <v>1.3125</v>
      </c>
      <c r="BD59" s="48">
        <f t="shared" si="5"/>
        <v>7.291666666666667</v>
      </c>
      <c r="BE59" s="48">
        <f t="shared" si="6"/>
        <v>0.18</v>
      </c>
      <c r="BF59" s="50">
        <f t="shared" si="7"/>
        <v>368.46000000000004</v>
      </c>
      <c r="BG59" s="51">
        <f t="shared" si="8"/>
        <v>736.92000000000007</v>
      </c>
      <c r="BH59" s="48">
        <f t="shared" si="9"/>
        <v>0.42628571428571427</v>
      </c>
      <c r="BI59" s="48">
        <f t="shared" si="16"/>
        <v>5.333333333333334E-3</v>
      </c>
      <c r="BJ59" s="48">
        <f t="shared" si="10"/>
        <v>0.50704761904761908</v>
      </c>
      <c r="BK59" s="48">
        <f t="shared" si="11"/>
        <v>6.1333333333333337E-2</v>
      </c>
      <c r="BL59" s="50">
        <f t="shared" si="12"/>
        <v>314.13846857142858</v>
      </c>
      <c r="BM59" s="50">
        <f t="shared" si="13"/>
        <v>3.9302400000000008</v>
      </c>
      <c r="BN59" s="50">
        <f t="shared" si="14"/>
        <v>373.65353142857151</v>
      </c>
      <c r="BO59" s="50">
        <f t="shared" si="15"/>
        <v>45.197760000000009</v>
      </c>
      <c r="BP59">
        <v>28.4</v>
      </c>
      <c r="BQ59">
        <v>38.65</v>
      </c>
      <c r="BR59">
        <v>44.3</v>
      </c>
      <c r="BS59">
        <v>49.674999999999997</v>
      </c>
      <c r="BT59" s="49"/>
      <c r="BU59" s="39"/>
      <c r="BV59" s="43"/>
      <c r="BW59" s="43"/>
      <c r="BX59" s="40"/>
      <c r="BY59" s="43"/>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row>
    <row r="60" spans="1:138" s="36" customFormat="1" x14ac:dyDescent="0.35">
      <c r="A60" s="125" t="s">
        <v>34</v>
      </c>
      <c r="B60" s="6"/>
      <c r="C60" s="6"/>
      <c r="D60" s="45" t="s">
        <v>36</v>
      </c>
      <c r="E60" s="45">
        <v>1984</v>
      </c>
      <c r="F60" s="45">
        <v>4</v>
      </c>
      <c r="G60" s="45">
        <v>3</v>
      </c>
      <c r="H60" s="45">
        <v>8</v>
      </c>
      <c r="I60" s="45">
        <v>59</v>
      </c>
      <c r="J60" s="37"/>
      <c r="K60" s="35">
        <v>0.95435999999999999</v>
      </c>
      <c r="L60" s="141">
        <v>2.340006380685089E-2</v>
      </c>
      <c r="M60" s="141">
        <v>1.8092686897856813E-2</v>
      </c>
      <c r="N60" s="141">
        <v>4.1057062300057234E-2</v>
      </c>
      <c r="O60" s="141">
        <v>0.11380185703663881</v>
      </c>
      <c r="P60">
        <v>0.97659993619314911</v>
      </c>
      <c r="Q60">
        <v>0.98190731310214319</v>
      </c>
      <c r="R60">
        <v>0.95894293769994277</v>
      </c>
      <c r="S60">
        <v>0.88619814296336119</v>
      </c>
      <c r="T60" s="45"/>
      <c r="U60" s="45"/>
      <c r="V60" s="45"/>
      <c r="W60" s="45"/>
      <c r="X60" s="45"/>
      <c r="Y60" s="45"/>
      <c r="Z60" s="45"/>
      <c r="AA60" s="45"/>
      <c r="AB60" s="45"/>
      <c r="AC60" s="45"/>
      <c r="AD60" s="45"/>
      <c r="AE60" s="45"/>
      <c r="AF60" s="45"/>
      <c r="AG60" s="45"/>
      <c r="AH60" s="45"/>
      <c r="AI60" s="45"/>
      <c r="AJ60" s="45"/>
      <c r="AK60" s="45"/>
      <c r="AL60" s="45"/>
      <c r="AM60" s="45"/>
      <c r="AN60" s="45"/>
      <c r="AO60" s="45">
        <v>0.5</v>
      </c>
      <c r="AP60">
        <v>2612</v>
      </c>
      <c r="AQ60" s="49">
        <f t="shared" si="0"/>
        <v>5224</v>
      </c>
      <c r="AR60">
        <v>292.54000000000002</v>
      </c>
      <c r="AS60">
        <v>35</v>
      </c>
      <c r="AT60">
        <f t="shared" si="1"/>
        <v>8.3582857142857154</v>
      </c>
      <c r="AU60" s="45">
        <f t="shared" si="2"/>
        <v>250.74857142857147</v>
      </c>
      <c r="AV60" s="136"/>
      <c r="AW60" s="45">
        <v>20</v>
      </c>
      <c r="AX60">
        <v>11.99</v>
      </c>
      <c r="AY60">
        <v>0.48</v>
      </c>
      <c r="AZ60">
        <v>14.77</v>
      </c>
      <c r="BA60">
        <v>2.29</v>
      </c>
      <c r="BB60" s="49">
        <f t="shared" si="3"/>
        <v>29.53</v>
      </c>
      <c r="BC60" s="48">
        <f t="shared" si="4"/>
        <v>1.4765000000000001</v>
      </c>
      <c r="BD60" s="48">
        <f t="shared" si="5"/>
        <v>8.3582857142857154</v>
      </c>
      <c r="BE60" s="48">
        <f t="shared" si="6"/>
        <v>0.17665105626580979</v>
      </c>
      <c r="BF60" s="50">
        <f t="shared" si="7"/>
        <v>461.41255896629519</v>
      </c>
      <c r="BG60" s="51">
        <f t="shared" si="8"/>
        <v>922.82511793259039</v>
      </c>
      <c r="BH60" s="48">
        <f t="shared" si="9"/>
        <v>0.40602776837114796</v>
      </c>
      <c r="BI60" s="48">
        <f t="shared" si="16"/>
        <v>1.6254656281747375E-2</v>
      </c>
      <c r="BJ60" s="48">
        <f t="shared" si="10"/>
        <v>0.50016931933626818</v>
      </c>
      <c r="BK60" s="48">
        <f t="shared" si="11"/>
        <v>7.7548256010836439E-2</v>
      </c>
      <c r="BL60" s="50">
        <f t="shared" si="12"/>
        <v>374.69262323101111</v>
      </c>
      <c r="BM60" s="50">
        <f t="shared" si="13"/>
        <v>15.000205100157242</v>
      </c>
      <c r="BN60" s="50">
        <f t="shared" si="14"/>
        <v>461.56881110275515</v>
      </c>
      <c r="BO60" s="50">
        <f t="shared" si="15"/>
        <v>71.563478498666854</v>
      </c>
      <c r="BP60">
        <v>14.574999999999999</v>
      </c>
      <c r="BQ60">
        <v>7.5250000000000004</v>
      </c>
      <c r="BR60">
        <v>35.875</v>
      </c>
      <c r="BS60">
        <v>48.6</v>
      </c>
      <c r="BT60" s="49"/>
      <c r="BU60" s="39"/>
      <c r="BV60" s="43"/>
      <c r="BW60" s="43"/>
      <c r="BX60" s="40"/>
      <c r="BY60" s="43"/>
      <c r="BZ60"/>
      <c r="CA60"/>
      <c r="CB60"/>
      <c r="CC60"/>
      <c r="CD60"/>
      <c r="CE60"/>
      <c r="CF60"/>
      <c r="CG60"/>
      <c r="CH60" s="21"/>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row>
    <row r="61" spans="1:138" s="36" customFormat="1" x14ac:dyDescent="0.35">
      <c r="A61" s="125" t="s">
        <v>34</v>
      </c>
      <c r="B61" s="6"/>
      <c r="C61" s="6"/>
      <c r="D61" s="45" t="s">
        <v>343</v>
      </c>
      <c r="E61" s="45">
        <v>2004</v>
      </c>
      <c r="F61" s="45">
        <v>4</v>
      </c>
      <c r="G61" s="45">
        <v>4</v>
      </c>
      <c r="H61" s="45">
        <v>8</v>
      </c>
      <c r="I61" s="45">
        <v>60</v>
      </c>
      <c r="J61" s="37"/>
      <c r="K61" s="35">
        <v>0.96711000000000003</v>
      </c>
      <c r="L61" s="141">
        <v>1.1723819769401289E-2</v>
      </c>
      <c r="M61" s="141">
        <v>1.4757857339032787E-2</v>
      </c>
      <c r="N61" s="141">
        <v>2.0185953291251391E-2</v>
      </c>
      <c r="O61" s="141">
        <v>0.13010148712940772</v>
      </c>
      <c r="P61">
        <v>0.98827618023059871</v>
      </c>
      <c r="Q61">
        <v>0.98524214266096721</v>
      </c>
      <c r="R61">
        <v>0.97981404670874861</v>
      </c>
      <c r="S61">
        <v>0.86989851287059228</v>
      </c>
      <c r="T61" s="45"/>
      <c r="U61" s="45"/>
      <c r="V61" s="45"/>
      <c r="W61" s="45"/>
      <c r="X61" s="45"/>
      <c r="Y61" s="45"/>
      <c r="Z61" s="45"/>
      <c r="AA61" s="45"/>
      <c r="AB61" s="45"/>
      <c r="AC61" s="45"/>
      <c r="AD61" s="45"/>
      <c r="AE61" s="45"/>
      <c r="AF61" s="45"/>
      <c r="AG61" s="45"/>
      <c r="AH61" s="45"/>
      <c r="AI61" s="45"/>
      <c r="AJ61" s="45"/>
      <c r="AK61" s="45"/>
      <c r="AL61" s="45"/>
      <c r="AM61" s="45"/>
      <c r="AN61" s="45"/>
      <c r="AO61" s="45">
        <v>0.5</v>
      </c>
      <c r="AP61">
        <v>2055</v>
      </c>
      <c r="AQ61" s="49">
        <f t="shared" si="0"/>
        <v>4110</v>
      </c>
      <c r="AR61">
        <v>289.01</v>
      </c>
      <c r="AS61">
        <v>46</v>
      </c>
      <c r="AT61">
        <f t="shared" si="1"/>
        <v>6.2828260869565211</v>
      </c>
      <c r="AU61" s="45">
        <f t="shared" si="2"/>
        <v>188.48478260869564</v>
      </c>
      <c r="AV61" s="136"/>
      <c r="AW61" s="45">
        <v>20</v>
      </c>
      <c r="AX61">
        <v>10.41</v>
      </c>
      <c r="AY61">
        <v>0</v>
      </c>
      <c r="AZ61">
        <v>11.57</v>
      </c>
      <c r="BA61">
        <v>1.1200000000000001</v>
      </c>
      <c r="BB61" s="49">
        <f t="shared" si="3"/>
        <v>23.1</v>
      </c>
      <c r="BC61" s="48">
        <f t="shared" si="4"/>
        <v>1.155</v>
      </c>
      <c r="BD61" s="48">
        <f t="shared" si="5"/>
        <v>6.2828260869565211</v>
      </c>
      <c r="BE61" s="48">
        <f t="shared" si="6"/>
        <v>0.18383446939552267</v>
      </c>
      <c r="BF61" s="50">
        <f t="shared" si="7"/>
        <v>377.7798346077991</v>
      </c>
      <c r="BG61" s="51">
        <f t="shared" si="8"/>
        <v>755.55966921559821</v>
      </c>
      <c r="BH61" s="48">
        <f t="shared" si="9"/>
        <v>0.45064935064935063</v>
      </c>
      <c r="BI61" s="48">
        <f t="shared" si="16"/>
        <v>0</v>
      </c>
      <c r="BJ61" s="48">
        <f t="shared" si="10"/>
        <v>0.50086580086580079</v>
      </c>
      <c r="BK61" s="48">
        <f t="shared" si="11"/>
        <v>4.8484848484848485E-2</v>
      </c>
      <c r="BL61" s="50">
        <f t="shared" si="12"/>
        <v>340.49247430884748</v>
      </c>
      <c r="BM61" s="50">
        <v>0</v>
      </c>
      <c r="BN61" s="50">
        <f t="shared" si="14"/>
        <v>378.43399882357011</v>
      </c>
      <c r="BO61" s="50">
        <f t="shared" si="15"/>
        <v>36.633196083180522</v>
      </c>
      <c r="BP61">
        <v>15.4</v>
      </c>
      <c r="BQ61">
        <v>17.675000000000001</v>
      </c>
      <c r="BR61">
        <v>43.65</v>
      </c>
      <c r="BS61">
        <v>48.3</v>
      </c>
      <c r="BT61" s="49"/>
      <c r="BU61" s="39"/>
      <c r="BV61" s="43"/>
      <c r="BW61" s="43"/>
      <c r="BX61" s="40"/>
      <c r="BY61" s="43"/>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row>
    <row r="62" spans="1:138" s="36" customFormat="1" x14ac:dyDescent="0.35">
      <c r="A62" s="125" t="s">
        <v>34</v>
      </c>
      <c r="B62" s="6"/>
      <c r="C62" s="6"/>
      <c r="D62" s="45" t="s">
        <v>41</v>
      </c>
      <c r="E62" s="45">
        <v>2008</v>
      </c>
      <c r="F62" s="45">
        <v>4</v>
      </c>
      <c r="G62" s="45">
        <v>5</v>
      </c>
      <c r="H62" s="45">
        <v>8</v>
      </c>
      <c r="I62" s="45">
        <v>61</v>
      </c>
      <c r="J62" s="37"/>
      <c r="K62" s="35">
        <v>0.94721999999999995</v>
      </c>
      <c r="L62" s="141">
        <v>4.0958784779061785E-2</v>
      </c>
      <c r="M62" s="141">
        <v>4.7076104132238172E-2</v>
      </c>
      <c r="N62" s="141">
        <v>6.7735439227447625E-2</v>
      </c>
      <c r="O62" s="141">
        <v>0.18404686337559029</v>
      </c>
      <c r="P62">
        <v>0.95904121522093821</v>
      </c>
      <c r="Q62">
        <v>0.95292389586776183</v>
      </c>
      <c r="R62">
        <v>0.93226456077255238</v>
      </c>
      <c r="S62">
        <v>0.81595313662440971</v>
      </c>
      <c r="T62" s="45"/>
      <c r="U62" s="45"/>
      <c r="V62" s="45"/>
      <c r="W62" s="45"/>
      <c r="X62" s="45"/>
      <c r="Y62" s="45"/>
      <c r="Z62" s="45"/>
      <c r="AA62" s="45"/>
      <c r="AB62" s="45"/>
      <c r="AC62" s="45"/>
      <c r="AD62" s="45"/>
      <c r="AE62" s="45"/>
      <c r="AF62" s="45"/>
      <c r="AG62" s="45"/>
      <c r="AH62" s="45"/>
      <c r="AI62" s="45"/>
      <c r="AJ62" s="45"/>
      <c r="AK62" s="45"/>
      <c r="AL62" s="45"/>
      <c r="AM62" s="45"/>
      <c r="AN62" s="45"/>
      <c r="AO62" s="45">
        <v>0.5</v>
      </c>
      <c r="AP62">
        <v>2237.5</v>
      </c>
      <c r="AQ62" s="49">
        <f t="shared" si="0"/>
        <v>4475</v>
      </c>
      <c r="AR62">
        <v>235.2</v>
      </c>
      <c r="AS62">
        <v>39</v>
      </c>
      <c r="AT62">
        <f t="shared" si="1"/>
        <v>6.0307692307692307</v>
      </c>
      <c r="AU62" s="45">
        <f t="shared" si="2"/>
        <v>180.92307692307691</v>
      </c>
      <c r="AV62" s="136"/>
      <c r="AW62" s="45">
        <v>20</v>
      </c>
      <c r="AX62">
        <v>9.77</v>
      </c>
      <c r="AY62">
        <v>0.39</v>
      </c>
      <c r="AZ62">
        <v>10.14</v>
      </c>
      <c r="BA62"/>
      <c r="BB62" s="49">
        <f t="shared" si="3"/>
        <v>20.3</v>
      </c>
      <c r="BC62" s="48">
        <f t="shared" si="4"/>
        <v>1.0150000000000001</v>
      </c>
      <c r="BD62" s="48">
        <f t="shared" si="5"/>
        <v>6.0307692307692307</v>
      </c>
      <c r="BE62" s="48">
        <f t="shared" si="6"/>
        <v>0.16830357142857144</v>
      </c>
      <c r="BF62" s="50">
        <f t="shared" si="7"/>
        <v>376.57924107142861</v>
      </c>
      <c r="BG62" s="51">
        <f t="shared" si="8"/>
        <v>753.15848214285722</v>
      </c>
      <c r="BH62" s="48">
        <f t="shared" si="9"/>
        <v>0.48128078817733988</v>
      </c>
      <c r="BI62" s="48">
        <f t="shared" si="16"/>
        <v>1.9211822660098521E-2</v>
      </c>
      <c r="BJ62" s="48">
        <f t="shared" si="10"/>
        <v>0.4995073891625616</v>
      </c>
      <c r="BK62" s="48">
        <f t="shared" si="11"/>
        <v>0</v>
      </c>
      <c r="BL62" s="50">
        <f t="shared" si="12"/>
        <v>362.48070790816331</v>
      </c>
      <c r="BM62" s="50">
        <f t="shared" si="13"/>
        <v>14.469547193877551</v>
      </c>
      <c r="BN62" s="50">
        <f t="shared" si="14"/>
        <v>376.20822704081638</v>
      </c>
      <c r="BO62" s="50"/>
      <c r="BP62">
        <v>10.65</v>
      </c>
      <c r="BQ62">
        <v>21.75</v>
      </c>
      <c r="BR62">
        <v>40.174999999999997</v>
      </c>
      <c r="BS62">
        <v>49.274999999999999</v>
      </c>
      <c r="BT62" s="49"/>
      <c r="BU62" s="39"/>
      <c r="BV62" s="43"/>
      <c r="BW62" s="43"/>
      <c r="BX62" s="40"/>
      <c r="BY62" s="43"/>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row>
    <row r="63" spans="1:138" s="36" customFormat="1" x14ac:dyDescent="0.35">
      <c r="A63" s="125" t="s">
        <v>34</v>
      </c>
      <c r="B63" s="6"/>
      <c r="C63" s="6"/>
      <c r="D63" s="45" t="s">
        <v>38</v>
      </c>
      <c r="E63" s="45">
        <v>1999</v>
      </c>
      <c r="F63" s="45">
        <v>4</v>
      </c>
      <c r="G63" s="45">
        <v>6</v>
      </c>
      <c r="H63" s="45">
        <v>8</v>
      </c>
      <c r="I63" s="45">
        <v>62</v>
      </c>
      <c r="J63" s="37"/>
      <c r="K63" s="35">
        <v>0.96572999999999998</v>
      </c>
      <c r="L63" s="141">
        <v>3.5059273624149845E-2</v>
      </c>
      <c r="M63" s="141">
        <v>2.9569843954491248E-2</v>
      </c>
      <c r="N63" s="141">
        <v>5.7690071822344424E-2</v>
      </c>
      <c r="O63" s="141">
        <v>8.0918976617116334E-2</v>
      </c>
      <c r="P63">
        <v>0.96494072637585016</v>
      </c>
      <c r="Q63">
        <v>0.97043015604550875</v>
      </c>
      <c r="R63">
        <v>0.94230992817765558</v>
      </c>
      <c r="S63">
        <v>0.91908102338288367</v>
      </c>
      <c r="T63" s="45"/>
      <c r="U63" s="45"/>
      <c r="V63" s="45"/>
      <c r="W63" s="45"/>
      <c r="X63" s="45"/>
      <c r="Y63" s="45"/>
      <c r="Z63" s="45"/>
      <c r="AA63" s="45"/>
      <c r="AB63" s="45"/>
      <c r="AC63" s="45"/>
      <c r="AD63" s="45"/>
      <c r="AE63" s="45"/>
      <c r="AF63" s="45"/>
      <c r="AG63" s="45"/>
      <c r="AH63" s="45"/>
      <c r="AI63" s="45"/>
      <c r="AJ63" s="45"/>
      <c r="AK63" s="45"/>
      <c r="AL63" s="45"/>
      <c r="AM63" s="45"/>
      <c r="AN63" s="45"/>
      <c r="AO63" s="45">
        <v>0.5</v>
      </c>
      <c r="AP63">
        <v>2200.5</v>
      </c>
      <c r="AQ63" s="49">
        <f t="shared" si="0"/>
        <v>4401</v>
      </c>
      <c r="AR63">
        <v>269.60000000000002</v>
      </c>
      <c r="AS63">
        <v>36</v>
      </c>
      <c r="AT63">
        <f t="shared" si="1"/>
        <v>7.4888888888888898</v>
      </c>
      <c r="AU63" s="45">
        <f t="shared" si="2"/>
        <v>224.66666666666669</v>
      </c>
      <c r="AV63" s="136"/>
      <c r="AW63" s="45">
        <v>20</v>
      </c>
      <c r="AX63">
        <v>10.16</v>
      </c>
      <c r="AY63">
        <v>0.66</v>
      </c>
      <c r="AZ63">
        <v>13.49</v>
      </c>
      <c r="BA63">
        <v>2.72</v>
      </c>
      <c r="BB63" s="49">
        <f t="shared" si="3"/>
        <v>27.03</v>
      </c>
      <c r="BC63" s="48">
        <f t="shared" si="4"/>
        <v>1.3515000000000001</v>
      </c>
      <c r="BD63" s="48">
        <f t="shared" si="5"/>
        <v>7.4888888888888898</v>
      </c>
      <c r="BE63" s="48">
        <f t="shared" si="6"/>
        <v>0.18046735905044511</v>
      </c>
      <c r="BF63" s="50">
        <f t="shared" si="7"/>
        <v>397.11842359050445</v>
      </c>
      <c r="BG63" s="51">
        <f t="shared" si="8"/>
        <v>794.2368471810089</v>
      </c>
      <c r="BH63" s="48">
        <f t="shared" si="9"/>
        <v>0.3758786533481317</v>
      </c>
      <c r="BI63" s="48">
        <f t="shared" si="16"/>
        <v>2.4417314095449501E-2</v>
      </c>
      <c r="BJ63" s="48">
        <f t="shared" si="10"/>
        <v>0.4990751017388087</v>
      </c>
      <c r="BK63" s="48">
        <f t="shared" si="11"/>
        <v>0.10062893081761007</v>
      </c>
      <c r="BL63" s="50">
        <f t="shared" si="12"/>
        <v>298.53667655786347</v>
      </c>
      <c r="BM63" s="50">
        <f t="shared" si="13"/>
        <v>19.39313056379822</v>
      </c>
      <c r="BN63" s="50">
        <f t="shared" si="14"/>
        <v>396.38383531157268</v>
      </c>
      <c r="BO63" s="50">
        <f t="shared" si="15"/>
        <v>79.923204747774491</v>
      </c>
      <c r="BP63">
        <v>5.125</v>
      </c>
      <c r="BQ63">
        <v>19.399999999999999</v>
      </c>
      <c r="BR63">
        <v>41.4</v>
      </c>
      <c r="BS63">
        <v>49.4</v>
      </c>
      <c r="BT63" s="49"/>
      <c r="BU63" s="39"/>
      <c r="BV63" s="43"/>
      <c r="BW63" s="43"/>
      <c r="BX63" s="40"/>
      <c r="BY63" s="4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row>
    <row r="64" spans="1:138" s="36" customFormat="1" x14ac:dyDescent="0.35">
      <c r="A64" s="125" t="s">
        <v>34</v>
      </c>
      <c r="B64" s="6"/>
      <c r="C64" s="6"/>
      <c r="D64" s="45" t="s">
        <v>42</v>
      </c>
      <c r="E64" s="45">
        <v>2016</v>
      </c>
      <c r="F64" s="45">
        <v>4</v>
      </c>
      <c r="G64" s="45">
        <v>7</v>
      </c>
      <c r="H64" s="45">
        <v>8</v>
      </c>
      <c r="I64" s="45">
        <v>63</v>
      </c>
      <c r="J64" s="37"/>
      <c r="K64" s="35">
        <v>0.93700000000000006</v>
      </c>
      <c r="L64" s="141">
        <v>3.6169898984904747E-2</v>
      </c>
      <c r="M64" s="141">
        <v>2.3601775182920726E-2</v>
      </c>
      <c r="N64" s="141">
        <v>3.0226645574990108E-2</v>
      </c>
      <c r="O64" s="141">
        <v>9.8492255632405934E-2</v>
      </c>
      <c r="P64">
        <v>0.96383010101509525</v>
      </c>
      <c r="Q64">
        <v>0.97639822481707927</v>
      </c>
      <c r="R64">
        <v>0.96977335442500989</v>
      </c>
      <c r="S64">
        <v>0.90150774436759407</v>
      </c>
      <c r="T64" s="45"/>
      <c r="U64" s="45"/>
      <c r="V64" s="45"/>
      <c r="W64" s="45"/>
      <c r="X64" s="45"/>
      <c r="Y64" s="45"/>
      <c r="Z64" s="45"/>
      <c r="AA64" s="45"/>
      <c r="AB64" s="45"/>
      <c r="AC64" s="45"/>
      <c r="AD64" s="45"/>
      <c r="AE64" s="45"/>
      <c r="AF64" s="45"/>
      <c r="AG64" s="45"/>
      <c r="AH64" s="45"/>
      <c r="AI64" s="45"/>
      <c r="AJ64" s="45"/>
      <c r="AK64" s="45"/>
      <c r="AL64" s="45"/>
      <c r="AM64" s="45"/>
      <c r="AN64" s="45"/>
      <c r="AO64" s="45">
        <v>0.5</v>
      </c>
      <c r="AP64">
        <v>2267.5</v>
      </c>
      <c r="AQ64" s="49">
        <f t="shared" si="0"/>
        <v>4535</v>
      </c>
      <c r="AR64">
        <v>228.87</v>
      </c>
      <c r="AS64">
        <v>29</v>
      </c>
      <c r="AT64">
        <f t="shared" si="1"/>
        <v>7.8920689655172414</v>
      </c>
      <c r="AU64" s="45">
        <f t="shared" si="2"/>
        <v>236.76206896551724</v>
      </c>
      <c r="AV64" s="136"/>
      <c r="AW64" s="45">
        <v>20</v>
      </c>
      <c r="AX64">
        <v>10.26</v>
      </c>
      <c r="AY64">
        <v>0.36</v>
      </c>
      <c r="AZ64">
        <v>13.4</v>
      </c>
      <c r="BA64">
        <v>2.71</v>
      </c>
      <c r="BB64" s="49">
        <f t="shared" si="3"/>
        <v>26.73</v>
      </c>
      <c r="BC64" s="48">
        <f t="shared" si="4"/>
        <v>1.3365</v>
      </c>
      <c r="BD64" s="48">
        <f t="shared" si="5"/>
        <v>7.8920689655172414</v>
      </c>
      <c r="BE64" s="48">
        <f t="shared" si="6"/>
        <v>0.169347227683838</v>
      </c>
      <c r="BF64" s="50">
        <f t="shared" si="7"/>
        <v>383.99483877310269</v>
      </c>
      <c r="BG64" s="51">
        <f t="shared" si="8"/>
        <v>767.98967754620537</v>
      </c>
      <c r="BH64" s="48">
        <f t="shared" si="9"/>
        <v>0.38383838383838381</v>
      </c>
      <c r="BI64" s="48">
        <f t="shared" si="16"/>
        <v>1.3468013468013467E-2</v>
      </c>
      <c r="BJ64" s="48">
        <f t="shared" si="10"/>
        <v>0.50130939019827914</v>
      </c>
      <c r="BK64" s="48">
        <f t="shared" si="11"/>
        <v>0.1013842124953236</v>
      </c>
      <c r="BL64" s="50">
        <f t="shared" si="12"/>
        <v>294.78391663389698</v>
      </c>
      <c r="BM64" s="50">
        <f t="shared" si="13"/>
        <v>10.343295320487615</v>
      </c>
      <c r="BN64" s="50">
        <f t="shared" si="14"/>
        <v>385.00043692926124</v>
      </c>
      <c r="BO64" s="50">
        <f t="shared" si="15"/>
        <v>77.862028662559538</v>
      </c>
      <c r="BP64">
        <v>15.55</v>
      </c>
      <c r="BQ64">
        <v>33.475000000000001</v>
      </c>
      <c r="BR64">
        <v>42.274999999999999</v>
      </c>
      <c r="BS64">
        <v>46.666666669999998</v>
      </c>
      <c r="BT64" s="49"/>
      <c r="BU64" s="39"/>
      <c r="BV64" s="43"/>
      <c r="BW64" s="43"/>
      <c r="BX64" s="40"/>
      <c r="BY64" s="43"/>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row>
    <row r="65" spans="1:138" s="36" customFormat="1" x14ac:dyDescent="0.35">
      <c r="A65" s="125" t="s">
        <v>34</v>
      </c>
      <c r="B65" s="6"/>
      <c r="C65" s="6"/>
      <c r="D65" s="45" t="s">
        <v>43</v>
      </c>
      <c r="E65" s="45">
        <v>2020</v>
      </c>
      <c r="F65" s="45">
        <v>4</v>
      </c>
      <c r="G65" s="45">
        <v>8</v>
      </c>
      <c r="H65" s="45">
        <v>8</v>
      </c>
      <c r="I65" s="45">
        <v>64</v>
      </c>
      <c r="J65" s="37"/>
      <c r="K65" s="35">
        <v>0.91678000000000004</v>
      </c>
      <c r="L65" s="141">
        <v>0.12031603482630815</v>
      </c>
      <c r="M65" s="141">
        <v>0.18263344062814535</v>
      </c>
      <c r="N65" s="141">
        <v>0.26820246803409031</v>
      </c>
      <c r="O65" s="141">
        <v>0.43984926247689393</v>
      </c>
      <c r="P65">
        <v>0.87968396517369185</v>
      </c>
      <c r="Q65">
        <v>0.81736655937185465</v>
      </c>
      <c r="R65">
        <v>0.73179753196590969</v>
      </c>
      <c r="S65">
        <v>0.56015073752310607</v>
      </c>
      <c r="T65" s="45"/>
      <c r="U65" s="45"/>
      <c r="V65" s="45"/>
      <c r="W65" s="45"/>
      <c r="X65" s="45"/>
      <c r="Y65" s="45"/>
      <c r="Z65" s="45"/>
      <c r="AA65" s="45"/>
      <c r="AB65" s="45"/>
      <c r="AC65" s="45"/>
      <c r="AD65" s="45"/>
      <c r="AE65" s="45"/>
      <c r="AF65" s="45"/>
      <c r="AG65" s="45"/>
      <c r="AH65" s="45"/>
      <c r="AI65" s="45"/>
      <c r="AJ65" s="45"/>
      <c r="AK65" s="45"/>
      <c r="AL65" s="45"/>
      <c r="AM65" s="45"/>
      <c r="AN65" s="45"/>
      <c r="AO65" s="45">
        <v>0.5</v>
      </c>
      <c r="AP65">
        <v>1443</v>
      </c>
      <c r="AQ65" s="49">
        <f t="shared" si="0"/>
        <v>2886</v>
      </c>
      <c r="AR65">
        <v>155.6</v>
      </c>
      <c r="AS65">
        <v>23</v>
      </c>
      <c r="AT65">
        <f t="shared" si="1"/>
        <v>6.7652173913043478</v>
      </c>
      <c r="AU65" s="45">
        <f t="shared" si="2"/>
        <v>202.95652173913044</v>
      </c>
      <c r="AV65" s="136"/>
      <c r="AW65" s="45">
        <v>20</v>
      </c>
      <c r="AX65">
        <v>12.02</v>
      </c>
      <c r="AY65">
        <v>0</v>
      </c>
      <c r="AZ65">
        <v>11.85</v>
      </c>
      <c r="BA65">
        <v>0.73</v>
      </c>
      <c r="BB65" s="49">
        <f t="shared" si="3"/>
        <v>24.599999999999998</v>
      </c>
      <c r="BC65" s="48">
        <f t="shared" si="4"/>
        <v>1.23</v>
      </c>
      <c r="BD65" s="48">
        <f t="shared" si="5"/>
        <v>6.7652173913043478</v>
      </c>
      <c r="BE65" s="48">
        <f t="shared" si="6"/>
        <v>0.18181233933161953</v>
      </c>
      <c r="BF65" s="50">
        <f t="shared" si="7"/>
        <v>262.35520565552696</v>
      </c>
      <c r="BG65" s="51">
        <f t="shared" si="8"/>
        <v>524.71041131105392</v>
      </c>
      <c r="BH65" s="48">
        <f t="shared" si="9"/>
        <v>0.48861788617886182</v>
      </c>
      <c r="BI65" s="48">
        <f t="shared" si="16"/>
        <v>0</v>
      </c>
      <c r="BJ65" s="48">
        <f t="shared" si="10"/>
        <v>0.48170731707317077</v>
      </c>
      <c r="BK65" s="48">
        <f t="shared" si="11"/>
        <v>2.9674796747967483E-2</v>
      </c>
      <c r="BL65" s="50">
        <f t="shared" si="12"/>
        <v>256.38289203084832</v>
      </c>
      <c r="BM65" s="50">
        <v>0</v>
      </c>
      <c r="BN65" s="50">
        <f t="shared" si="14"/>
        <v>252.7568444730077</v>
      </c>
      <c r="BO65" s="50">
        <f t="shared" si="15"/>
        <v>15.570674807197943</v>
      </c>
      <c r="BP65">
        <v>33.75</v>
      </c>
      <c r="BQ65">
        <v>26.375</v>
      </c>
      <c r="BR65">
        <v>54.575000000000003</v>
      </c>
      <c r="BS65">
        <v>51.625</v>
      </c>
      <c r="BT65" s="49"/>
      <c r="BU65" s="39"/>
      <c r="BV65" s="43"/>
      <c r="BW65" s="43"/>
      <c r="BX65" s="40"/>
      <c r="BY65" s="43"/>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row>
    <row r="66" spans="1:138" s="36" customFormat="1" x14ac:dyDescent="0.35">
      <c r="A66" s="79"/>
      <c r="B66" s="79"/>
      <c r="C66" s="79"/>
      <c r="D66" s="79"/>
      <c r="E66" s="79"/>
      <c r="F66" s="79"/>
      <c r="G66" s="79"/>
      <c r="H66" s="79"/>
      <c r="I66" s="79"/>
      <c r="J66" s="35"/>
      <c r="K66" s="35"/>
      <c r="L66" s="35"/>
      <c r="M66" s="35"/>
      <c r="N66" s="35"/>
      <c r="O66" s="35"/>
      <c r="P66" s="35"/>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1"/>
      <c r="AR66" s="35"/>
      <c r="AS66" s="35"/>
      <c r="AT66" s="35"/>
      <c r="AU66" s="35"/>
      <c r="AV66" s="137"/>
      <c r="AW66" s="35"/>
      <c r="AX66" s="38"/>
      <c r="AY66" s="38"/>
      <c r="AZ66" s="38"/>
      <c r="BA66" s="38"/>
      <c r="BB66" s="35"/>
      <c r="BC66" s="38"/>
      <c r="BD66" s="35"/>
      <c r="BE66" s="38"/>
      <c r="BF66" s="20"/>
      <c r="BG66" s="41"/>
      <c r="BH66" s="38"/>
      <c r="BI66" s="38"/>
      <c r="BJ66" s="38"/>
      <c r="BK66" s="38"/>
      <c r="BL66" s="20"/>
      <c r="BM66" s="20"/>
      <c r="BN66" s="20"/>
      <c r="BO66" s="20"/>
      <c r="BP66" s="31"/>
      <c r="BQ66" s="31"/>
      <c r="BR66" s="31"/>
      <c r="BS66" s="31"/>
      <c r="BT66" s="31"/>
      <c r="BU66" s="39"/>
      <c r="BV66" s="39"/>
      <c r="BW66" s="39"/>
      <c r="BX66" s="40"/>
      <c r="BY66" s="40"/>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row>
    <row r="67" spans="1:138" x14ac:dyDescent="0.35">
      <c r="A67" s="79"/>
      <c r="B67" s="79"/>
      <c r="C67" s="79"/>
      <c r="D67" s="79"/>
      <c r="E67" s="79"/>
      <c r="F67" s="79"/>
      <c r="G67" s="79"/>
      <c r="H67" s="79"/>
      <c r="I67" s="79"/>
      <c r="BX67" s="21"/>
      <c r="BY67" s="21"/>
    </row>
    <row r="68" spans="1:138" x14ac:dyDescent="0.35">
      <c r="A68" s="79"/>
      <c r="B68" s="79"/>
      <c r="C68" s="79"/>
      <c r="D68" s="79"/>
      <c r="E68" s="79"/>
      <c r="F68" s="79"/>
      <c r="G68" s="79"/>
      <c r="H68" s="79"/>
      <c r="I68" s="79"/>
      <c r="BX68" s="21"/>
      <c r="BY68" s="21"/>
    </row>
    <row r="69" spans="1:138" x14ac:dyDescent="0.35">
      <c r="A69" s="79"/>
      <c r="B69" s="79"/>
      <c r="C69" s="79"/>
      <c r="D69" s="79"/>
      <c r="E69" s="79"/>
      <c r="F69" s="79"/>
      <c r="G69" s="79"/>
      <c r="H69" s="79"/>
      <c r="I69" s="79"/>
      <c r="BX69" s="21"/>
      <c r="BY69" s="21"/>
    </row>
    <row r="70" spans="1:138" x14ac:dyDescent="0.35">
      <c r="A70" s="79"/>
      <c r="B70" s="79"/>
      <c r="C70" s="79"/>
      <c r="D70" s="79"/>
      <c r="E70" s="79"/>
      <c r="F70" s="79"/>
      <c r="G70" s="79"/>
      <c r="H70" s="79"/>
      <c r="I70" s="79"/>
      <c r="BX70" s="21"/>
      <c r="BY70" s="21"/>
    </row>
    <row r="71" spans="1:138" x14ac:dyDescent="0.35">
      <c r="A71" s="79"/>
      <c r="B71" s="79"/>
      <c r="C71" s="79"/>
      <c r="D71" s="79"/>
      <c r="E71" s="79"/>
      <c r="F71" s="79"/>
      <c r="G71" s="79"/>
      <c r="H71" s="79"/>
      <c r="I71" s="79"/>
      <c r="BX71" s="21"/>
      <c r="BY71" s="21"/>
    </row>
    <row r="72" spans="1:138" x14ac:dyDescent="0.35">
      <c r="A72" s="79"/>
      <c r="B72" s="79"/>
      <c r="C72" s="79"/>
      <c r="D72" s="79"/>
      <c r="E72" s="79"/>
      <c r="F72" s="79"/>
      <c r="G72" s="79"/>
      <c r="H72" s="79"/>
      <c r="I72" s="79"/>
      <c r="BX72" s="21"/>
      <c r="BY72" s="21"/>
    </row>
    <row r="73" spans="1:138" x14ac:dyDescent="0.35">
      <c r="A73" s="79"/>
      <c r="B73" s="79"/>
      <c r="C73" s="79"/>
      <c r="D73" s="79"/>
      <c r="E73" s="79"/>
      <c r="F73" s="79"/>
      <c r="G73" s="79"/>
      <c r="H73" s="79"/>
      <c r="I73" s="79"/>
      <c r="BX73" s="21"/>
      <c r="BY73" s="21"/>
    </row>
    <row r="74" spans="1:138" x14ac:dyDescent="0.35">
      <c r="BX74" s="21"/>
      <c r="BY74" s="21"/>
    </row>
    <row r="75" spans="1:138" x14ac:dyDescent="0.35">
      <c r="BX75" s="21"/>
      <c r="BY75" s="21"/>
    </row>
    <row r="76" spans="1:138" x14ac:dyDescent="0.35">
      <c r="BX76" s="21"/>
      <c r="BY76" s="21"/>
    </row>
    <row r="77" spans="1:138" x14ac:dyDescent="0.35">
      <c r="BX77" s="21"/>
      <c r="BY77" s="21"/>
    </row>
    <row r="78" spans="1:138" x14ac:dyDescent="0.35">
      <c r="BX78" s="21"/>
      <c r="BY78" s="21"/>
    </row>
    <row r="79" spans="1:138" x14ac:dyDescent="0.35">
      <c r="BX79" s="21"/>
      <c r="BY79" s="21"/>
    </row>
    <row r="80" spans="1:138" x14ac:dyDescent="0.35">
      <c r="BX80" s="21"/>
      <c r="BY80" s="21"/>
    </row>
    <row r="81" spans="1:77" x14ac:dyDescent="0.35">
      <c r="BX81" s="21"/>
      <c r="BY81" s="21"/>
    </row>
    <row r="82" spans="1:77" x14ac:dyDescent="0.35">
      <c r="A82" s="79"/>
      <c r="B82" s="79"/>
      <c r="C82" s="79"/>
      <c r="D82" s="79"/>
      <c r="E82" s="79"/>
      <c r="F82" s="79"/>
      <c r="G82" s="79"/>
      <c r="H82" s="79"/>
      <c r="I82" s="79"/>
      <c r="BX82" s="21"/>
      <c r="BY82" s="21"/>
    </row>
    <row r="83" spans="1:77" x14ac:dyDescent="0.35">
      <c r="A83" s="79"/>
      <c r="B83" s="79"/>
      <c r="C83" s="79"/>
      <c r="D83" s="79"/>
      <c r="E83" s="79"/>
      <c r="F83" s="79"/>
      <c r="G83" s="79"/>
      <c r="H83" s="79"/>
      <c r="I83" s="79"/>
      <c r="BX83" s="21"/>
      <c r="BY83" s="21"/>
    </row>
    <row r="84" spans="1:77" x14ac:dyDescent="0.35">
      <c r="A84" s="79"/>
      <c r="B84" s="79"/>
      <c r="C84" s="79"/>
      <c r="D84" s="79"/>
      <c r="E84" s="79"/>
      <c r="F84" s="79"/>
      <c r="G84" s="79"/>
      <c r="H84" s="79"/>
      <c r="I84" s="79"/>
      <c r="BX84" s="21"/>
      <c r="BY84" s="21"/>
    </row>
    <row r="85" spans="1:77" x14ac:dyDescent="0.35">
      <c r="A85" s="79"/>
      <c r="B85" s="79"/>
      <c r="C85" s="79"/>
      <c r="D85" s="79"/>
      <c r="E85" s="79"/>
      <c r="F85" s="79"/>
      <c r="G85" s="79"/>
      <c r="H85" s="79"/>
      <c r="I85" s="79"/>
      <c r="BX85" s="21"/>
      <c r="BY85" s="21"/>
    </row>
    <row r="86" spans="1:77" x14ac:dyDescent="0.35">
      <c r="A86" s="79"/>
      <c r="B86" s="79"/>
      <c r="C86" s="79"/>
      <c r="D86" s="79"/>
      <c r="E86" s="79"/>
      <c r="F86" s="79"/>
      <c r="G86" s="79"/>
      <c r="H86" s="79"/>
      <c r="I86" s="79"/>
      <c r="BX86" s="21"/>
      <c r="BY86" s="21"/>
    </row>
    <row r="87" spans="1:77" x14ac:dyDescent="0.35">
      <c r="A87" s="79"/>
      <c r="B87" s="79"/>
      <c r="C87" s="79"/>
      <c r="D87" s="79"/>
      <c r="E87" s="79"/>
      <c r="F87" s="79"/>
      <c r="G87" s="79"/>
      <c r="H87" s="79"/>
      <c r="I87" s="79"/>
      <c r="BX87" s="21"/>
      <c r="BY87" s="21"/>
    </row>
    <row r="88" spans="1:77" x14ac:dyDescent="0.35">
      <c r="A88" s="79"/>
      <c r="B88" s="79"/>
      <c r="C88" s="79"/>
      <c r="D88" s="79"/>
      <c r="E88" s="79"/>
      <c r="F88" s="79"/>
      <c r="G88" s="79"/>
      <c r="H88" s="79"/>
      <c r="I88" s="79"/>
      <c r="BX88" s="21"/>
      <c r="BY88" s="21"/>
    </row>
    <row r="89" spans="1:77" x14ac:dyDescent="0.35">
      <c r="A89" s="79"/>
      <c r="B89" s="79"/>
      <c r="C89" s="79"/>
      <c r="D89" s="79"/>
      <c r="E89" s="79"/>
      <c r="F89" s="79"/>
      <c r="G89" s="79"/>
      <c r="H89" s="79"/>
      <c r="I89" s="79"/>
      <c r="BX89" s="21"/>
      <c r="BY89" s="21"/>
    </row>
    <row r="90" spans="1:77" x14ac:dyDescent="0.35">
      <c r="A90" s="71"/>
      <c r="B90" s="71"/>
      <c r="C90" s="72"/>
      <c r="D90" s="71"/>
      <c r="E90" s="71"/>
      <c r="F90" s="72"/>
      <c r="G90" s="72"/>
      <c r="H90" s="72"/>
      <c r="I90" s="72"/>
      <c r="BX90" s="21"/>
      <c r="BY90" s="21"/>
    </row>
    <row r="91" spans="1:77" x14ac:dyDescent="0.35">
      <c r="BX91" s="21"/>
      <c r="BY91" s="21"/>
    </row>
    <row r="92" spans="1:77" x14ac:dyDescent="0.35">
      <c r="BX92" s="21"/>
      <c r="BY92" s="21"/>
    </row>
    <row r="93" spans="1:77" x14ac:dyDescent="0.35">
      <c r="BX93" s="21"/>
      <c r="BY93" s="21"/>
    </row>
    <row r="94" spans="1:77" x14ac:dyDescent="0.35">
      <c r="BX94" s="21"/>
      <c r="BY94" s="21"/>
    </row>
    <row r="95" spans="1:77" x14ac:dyDescent="0.35">
      <c r="BX95" s="21"/>
      <c r="BY95" s="21"/>
    </row>
    <row r="98" spans="1:9" x14ac:dyDescent="0.35">
      <c r="A98" s="79"/>
      <c r="B98" s="79"/>
      <c r="C98" s="79"/>
      <c r="D98" s="79"/>
      <c r="E98" s="79"/>
      <c r="F98" s="79"/>
      <c r="G98" s="79"/>
      <c r="H98" s="79"/>
      <c r="I98" s="79"/>
    </row>
    <row r="99" spans="1:9" x14ac:dyDescent="0.35">
      <c r="A99" s="79"/>
      <c r="B99" s="79"/>
      <c r="C99" s="79"/>
      <c r="D99" s="79"/>
      <c r="E99" s="79"/>
      <c r="F99" s="79"/>
      <c r="G99" s="79"/>
      <c r="H99" s="79"/>
      <c r="I99" s="79"/>
    </row>
    <row r="100" spans="1:9" x14ac:dyDescent="0.35">
      <c r="A100" s="79"/>
      <c r="B100" s="79"/>
      <c r="C100" s="79"/>
      <c r="D100" s="79"/>
      <c r="E100" s="79"/>
      <c r="F100" s="79"/>
      <c r="G100" s="79"/>
      <c r="H100" s="79"/>
      <c r="I100" s="79"/>
    </row>
    <row r="101" spans="1:9" x14ac:dyDescent="0.35">
      <c r="A101" s="79"/>
      <c r="B101" s="79"/>
      <c r="C101" s="79"/>
      <c r="D101" s="79"/>
      <c r="E101" s="79"/>
      <c r="F101" s="79"/>
      <c r="G101" s="79"/>
      <c r="H101" s="79"/>
      <c r="I101" s="79"/>
    </row>
    <row r="102" spans="1:9" x14ac:dyDescent="0.35">
      <c r="A102" s="79"/>
      <c r="B102" s="79"/>
      <c r="C102" s="79"/>
      <c r="D102" s="79"/>
      <c r="E102" s="79"/>
      <c r="F102" s="79"/>
      <c r="G102" s="79"/>
      <c r="H102" s="79"/>
      <c r="I102" s="79"/>
    </row>
    <row r="103" spans="1:9" x14ac:dyDescent="0.35">
      <c r="A103" s="79"/>
      <c r="B103" s="79"/>
      <c r="C103" s="79"/>
      <c r="D103" s="79"/>
      <c r="E103" s="79"/>
      <c r="F103" s="79"/>
      <c r="G103" s="79"/>
      <c r="H103" s="79"/>
      <c r="I103" s="79"/>
    </row>
    <row r="104" spans="1:9" x14ac:dyDescent="0.35">
      <c r="A104" s="79"/>
      <c r="B104" s="79"/>
      <c r="C104" s="79"/>
      <c r="D104" s="79"/>
      <c r="E104" s="79"/>
      <c r="F104" s="79"/>
      <c r="G104" s="79"/>
      <c r="H104" s="79"/>
      <c r="I104" s="79"/>
    </row>
    <row r="105" spans="1:9" x14ac:dyDescent="0.35">
      <c r="A105" s="79"/>
      <c r="B105" s="79"/>
      <c r="C105" s="79"/>
      <c r="D105" s="79"/>
      <c r="E105" s="79"/>
      <c r="F105" s="79"/>
      <c r="G105" s="79"/>
      <c r="H105" s="79"/>
      <c r="I105" s="79"/>
    </row>
    <row r="114" spans="1:9" x14ac:dyDescent="0.35">
      <c r="A114" s="79"/>
      <c r="B114" s="79"/>
      <c r="C114" s="79"/>
      <c r="D114" s="79"/>
      <c r="E114" s="79"/>
      <c r="F114" s="79"/>
      <c r="G114" s="79"/>
      <c r="H114" s="79"/>
      <c r="I114" s="79"/>
    </row>
    <row r="115" spans="1:9" x14ac:dyDescent="0.35">
      <c r="A115" s="79"/>
      <c r="B115" s="79"/>
      <c r="C115" s="79"/>
      <c r="D115" s="79"/>
      <c r="E115" s="79"/>
      <c r="F115" s="79"/>
      <c r="G115" s="79"/>
      <c r="H115" s="79"/>
      <c r="I115" s="79"/>
    </row>
    <row r="116" spans="1:9" x14ac:dyDescent="0.35">
      <c r="A116" s="79"/>
      <c r="B116" s="79"/>
      <c r="C116" s="79"/>
      <c r="D116" s="79"/>
      <c r="E116" s="79"/>
      <c r="F116" s="79"/>
      <c r="G116" s="79"/>
      <c r="H116" s="79"/>
      <c r="I116" s="79"/>
    </row>
    <row r="117" spans="1:9" x14ac:dyDescent="0.35">
      <c r="A117" s="79"/>
      <c r="B117" s="79"/>
      <c r="C117" s="79"/>
      <c r="D117" s="79"/>
      <c r="E117" s="79"/>
      <c r="F117" s="79"/>
      <c r="G117" s="79"/>
      <c r="H117" s="79"/>
      <c r="I117" s="79"/>
    </row>
    <row r="118" spans="1:9" x14ac:dyDescent="0.35">
      <c r="A118" s="79"/>
      <c r="B118" s="79"/>
      <c r="C118" s="79"/>
      <c r="D118" s="79"/>
      <c r="E118" s="79"/>
      <c r="F118" s="79"/>
      <c r="G118" s="79"/>
      <c r="H118" s="79"/>
      <c r="I118" s="79"/>
    </row>
    <row r="119" spans="1:9" x14ac:dyDescent="0.35">
      <c r="A119" s="79"/>
      <c r="B119" s="79"/>
      <c r="C119" s="79"/>
      <c r="D119" s="79"/>
      <c r="E119" s="79"/>
      <c r="F119" s="79"/>
      <c r="G119" s="79"/>
      <c r="H119" s="79"/>
      <c r="I119" s="79"/>
    </row>
    <row r="120" spans="1:9" x14ac:dyDescent="0.35">
      <c r="A120" s="79"/>
      <c r="B120" s="79"/>
      <c r="C120" s="79"/>
      <c r="D120" s="79"/>
      <c r="E120" s="79"/>
      <c r="F120" s="79"/>
      <c r="G120" s="79"/>
      <c r="H120" s="79"/>
      <c r="I120" s="79"/>
    </row>
    <row r="121" spans="1:9" x14ac:dyDescent="0.35">
      <c r="A121" s="79"/>
      <c r="B121" s="79"/>
      <c r="C121" s="79"/>
      <c r="D121" s="79"/>
      <c r="E121" s="79"/>
      <c r="F121" s="79"/>
      <c r="G121" s="79"/>
      <c r="H121" s="79"/>
      <c r="I121" s="79"/>
    </row>
    <row r="154" spans="1:9" x14ac:dyDescent="0.35">
      <c r="A154" s="71"/>
      <c r="B154" s="71"/>
      <c r="C154" s="72"/>
      <c r="D154" s="71"/>
      <c r="E154" s="71"/>
      <c r="F154" s="72"/>
      <c r="G154" s="72"/>
      <c r="H154" s="72"/>
      <c r="I154" s="72"/>
    </row>
    <row r="218" spans="1:9" x14ac:dyDescent="0.35">
      <c r="A218" s="71"/>
      <c r="B218" s="71"/>
      <c r="C218" s="72"/>
      <c r="D218" s="71"/>
      <c r="E218" s="71"/>
      <c r="F218" s="72"/>
      <c r="G218" s="72"/>
      <c r="H218" s="72"/>
      <c r="I218" s="72"/>
    </row>
    <row r="282" spans="1:9" x14ac:dyDescent="0.35">
      <c r="A282" s="71"/>
      <c r="B282" s="71"/>
      <c r="C282" s="72"/>
      <c r="D282" s="71"/>
      <c r="E282" s="71"/>
      <c r="F282" s="72"/>
      <c r="G282" s="72"/>
      <c r="H282" s="72"/>
      <c r="I282" s="72"/>
    </row>
    <row r="346" spans="1:9" x14ac:dyDescent="0.35">
      <c r="A346" s="71"/>
      <c r="B346" s="71"/>
      <c r="C346" s="72"/>
      <c r="D346" s="71"/>
      <c r="E346" s="71"/>
      <c r="F346" s="72"/>
      <c r="G346" s="72"/>
      <c r="H346" s="72"/>
      <c r="I346" s="72"/>
    </row>
    <row r="410" spans="1:9" x14ac:dyDescent="0.35">
      <c r="A410" s="71"/>
      <c r="B410" s="71"/>
      <c r="C410" s="72"/>
      <c r="D410" s="71"/>
      <c r="E410" s="71"/>
      <c r="F410" s="72"/>
      <c r="G410" s="72"/>
      <c r="H410" s="72"/>
      <c r="I410" s="72"/>
    </row>
    <row r="474" spans="1:9" x14ac:dyDescent="0.35">
      <c r="A474" s="71"/>
      <c r="B474" s="71"/>
      <c r="C474" s="72"/>
      <c r="D474" s="71"/>
      <c r="E474" s="71"/>
      <c r="F474" s="72"/>
      <c r="G474" s="72"/>
      <c r="H474" s="72"/>
      <c r="I474" s="72"/>
    </row>
    <row r="538" spans="1:9" x14ac:dyDescent="0.35">
      <c r="A538" s="71"/>
      <c r="B538" s="71"/>
      <c r="C538" s="72"/>
      <c r="D538" s="71"/>
      <c r="E538" s="71"/>
      <c r="F538" s="72"/>
      <c r="G538" s="72"/>
      <c r="H538" s="72"/>
      <c r="I538" s="72"/>
    </row>
  </sheetData>
  <phoneticPr fontId="6" type="noConversion"/>
  <pageMargins left="0.7" right="0.7" top="0.75" bottom="0.75" header="0.3" footer="0.3"/>
  <pageSetup paperSize="9" orientation="portrait" horizontalDpi="360" verticalDpi="360"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6357A-795F-4700-B995-75CFA59869B4}">
  <sheetPr>
    <tabColor theme="9" tint="0.59999389629810485"/>
  </sheetPr>
  <dimension ref="A1:U449"/>
  <sheetViews>
    <sheetView workbookViewId="0">
      <selection activeCell="K2" sqref="K2"/>
    </sheetView>
  </sheetViews>
  <sheetFormatPr defaultRowHeight="14.5" x14ac:dyDescent="0.35"/>
  <cols>
    <col min="10" max="11" width="13.54296875" customWidth="1"/>
    <col min="12" max="12" width="11" customWidth="1"/>
    <col min="13" max="13" width="20.453125" customWidth="1"/>
    <col min="16" max="16" width="15.54296875" bestFit="1" customWidth="1"/>
    <col min="17" max="19" width="10.54296875" bestFit="1" customWidth="1"/>
    <col min="20" max="20" width="9.54296875" bestFit="1" customWidth="1"/>
  </cols>
  <sheetData>
    <row r="1" spans="1:21" ht="63" customHeight="1" x14ac:dyDescent="0.35">
      <c r="A1" s="4" t="s">
        <v>44</v>
      </c>
      <c r="B1" s="4" t="s">
        <v>45</v>
      </c>
      <c r="C1" s="4" t="s">
        <v>46</v>
      </c>
      <c r="D1" s="4" t="s">
        <v>47</v>
      </c>
      <c r="E1" s="4" t="s">
        <v>48</v>
      </c>
      <c r="F1" s="4" t="s">
        <v>49</v>
      </c>
      <c r="G1" s="4" t="s">
        <v>54</v>
      </c>
      <c r="H1" s="4" t="s">
        <v>50</v>
      </c>
      <c r="I1" s="4" t="s">
        <v>51</v>
      </c>
      <c r="J1" s="4" t="s">
        <v>178</v>
      </c>
      <c r="K1" s="4" t="s">
        <v>179</v>
      </c>
      <c r="L1" s="4" t="s">
        <v>180</v>
      </c>
      <c r="M1" s="4" t="s">
        <v>243</v>
      </c>
      <c r="N1" s="4" t="s">
        <v>244</v>
      </c>
      <c r="O1" s="4"/>
      <c r="P1" s="4"/>
    </row>
    <row r="2" spans="1:21" x14ac:dyDescent="0.35">
      <c r="A2" t="s">
        <v>24</v>
      </c>
      <c r="D2" t="s">
        <v>27</v>
      </c>
      <c r="E2">
        <v>1985</v>
      </c>
      <c r="F2">
        <v>1</v>
      </c>
      <c r="G2">
        <v>1</v>
      </c>
      <c r="H2">
        <v>1</v>
      </c>
      <c r="I2">
        <v>1</v>
      </c>
      <c r="J2">
        <v>1</v>
      </c>
      <c r="K2" s="13">
        <v>45558</v>
      </c>
      <c r="L2">
        <v>78</v>
      </c>
      <c r="M2">
        <v>0</v>
      </c>
      <c r="N2">
        <f>M2/L2</f>
        <v>0</v>
      </c>
    </row>
    <row r="3" spans="1:21" x14ac:dyDescent="0.35">
      <c r="A3" t="s">
        <v>24</v>
      </c>
      <c r="D3" t="s">
        <v>26</v>
      </c>
      <c r="E3">
        <v>1983</v>
      </c>
      <c r="F3">
        <v>1</v>
      </c>
      <c r="G3">
        <v>2</v>
      </c>
      <c r="H3">
        <v>2</v>
      </c>
      <c r="I3">
        <v>1</v>
      </c>
      <c r="J3">
        <v>1</v>
      </c>
      <c r="K3" s="13">
        <v>45558</v>
      </c>
      <c r="L3">
        <v>63</v>
      </c>
      <c r="M3">
        <v>0</v>
      </c>
      <c r="N3">
        <f>M3/L3</f>
        <v>0</v>
      </c>
    </row>
    <row r="4" spans="1:21" x14ac:dyDescent="0.35">
      <c r="A4" t="s">
        <v>24</v>
      </c>
      <c r="D4" t="s">
        <v>335</v>
      </c>
      <c r="E4">
        <v>2023</v>
      </c>
      <c r="F4">
        <v>1</v>
      </c>
      <c r="G4">
        <v>3</v>
      </c>
      <c r="H4">
        <v>3</v>
      </c>
      <c r="I4">
        <v>1</v>
      </c>
      <c r="J4">
        <v>1</v>
      </c>
      <c r="K4" s="13">
        <v>45558</v>
      </c>
      <c r="L4">
        <v>60</v>
      </c>
      <c r="M4">
        <v>0</v>
      </c>
      <c r="N4">
        <f t="shared" ref="N4:N67" si="0">M4/L4</f>
        <v>0</v>
      </c>
    </row>
    <row r="5" spans="1:21" x14ac:dyDescent="0.35">
      <c r="A5" t="s">
        <v>24</v>
      </c>
      <c r="D5" t="s">
        <v>29</v>
      </c>
      <c r="E5">
        <v>1999</v>
      </c>
      <c r="F5">
        <v>1</v>
      </c>
      <c r="G5">
        <v>4</v>
      </c>
      <c r="H5">
        <v>4</v>
      </c>
      <c r="I5">
        <v>1</v>
      </c>
      <c r="J5">
        <v>1</v>
      </c>
      <c r="K5" s="13">
        <v>45558</v>
      </c>
      <c r="L5">
        <v>108</v>
      </c>
      <c r="M5">
        <v>0</v>
      </c>
      <c r="N5">
        <f t="shared" si="0"/>
        <v>0</v>
      </c>
    </row>
    <row r="6" spans="1:21" x14ac:dyDescent="0.35">
      <c r="A6" t="s">
        <v>24</v>
      </c>
      <c r="D6" t="s">
        <v>336</v>
      </c>
      <c r="E6">
        <v>2002</v>
      </c>
      <c r="F6">
        <v>1</v>
      </c>
      <c r="G6">
        <v>5</v>
      </c>
      <c r="H6">
        <v>5</v>
      </c>
      <c r="I6">
        <v>1</v>
      </c>
      <c r="J6">
        <v>1</v>
      </c>
      <c r="K6" s="13">
        <v>45558</v>
      </c>
      <c r="L6">
        <v>78</v>
      </c>
      <c r="M6">
        <v>0</v>
      </c>
      <c r="N6">
        <f t="shared" si="0"/>
        <v>0</v>
      </c>
      <c r="U6" s="52"/>
    </row>
    <row r="7" spans="1:21" x14ac:dyDescent="0.35">
      <c r="A7" t="s">
        <v>24</v>
      </c>
      <c r="D7" t="s">
        <v>32</v>
      </c>
      <c r="E7">
        <v>2018</v>
      </c>
      <c r="F7">
        <v>1</v>
      </c>
      <c r="G7">
        <v>6</v>
      </c>
      <c r="H7">
        <v>6</v>
      </c>
      <c r="I7">
        <v>1</v>
      </c>
      <c r="J7">
        <v>1</v>
      </c>
      <c r="K7" s="13">
        <v>45558</v>
      </c>
      <c r="L7">
        <v>74</v>
      </c>
      <c r="M7">
        <v>0</v>
      </c>
      <c r="N7">
        <f t="shared" si="0"/>
        <v>0</v>
      </c>
      <c r="U7" s="52"/>
    </row>
    <row r="8" spans="1:21" x14ac:dyDescent="0.35">
      <c r="A8" t="s">
        <v>24</v>
      </c>
      <c r="D8" t="s">
        <v>28</v>
      </c>
      <c r="E8">
        <v>1998</v>
      </c>
      <c r="F8">
        <v>1</v>
      </c>
      <c r="G8">
        <v>7</v>
      </c>
      <c r="H8">
        <v>7</v>
      </c>
      <c r="I8">
        <v>1</v>
      </c>
      <c r="J8">
        <v>1</v>
      </c>
      <c r="K8" s="13">
        <v>45558</v>
      </c>
      <c r="L8">
        <v>90</v>
      </c>
      <c r="M8">
        <v>0</v>
      </c>
      <c r="N8">
        <f t="shared" si="0"/>
        <v>0</v>
      </c>
      <c r="U8" s="52"/>
    </row>
    <row r="9" spans="1:21" x14ac:dyDescent="0.35">
      <c r="A9" t="s">
        <v>24</v>
      </c>
      <c r="D9" t="s">
        <v>337</v>
      </c>
      <c r="E9">
        <v>2016</v>
      </c>
      <c r="F9">
        <v>1</v>
      </c>
      <c r="G9">
        <v>8</v>
      </c>
      <c r="H9">
        <v>8</v>
      </c>
      <c r="I9">
        <v>1</v>
      </c>
      <c r="J9">
        <v>1</v>
      </c>
      <c r="K9" s="13">
        <v>45558</v>
      </c>
      <c r="L9">
        <v>50</v>
      </c>
      <c r="M9">
        <v>0</v>
      </c>
      <c r="N9">
        <f t="shared" si="0"/>
        <v>0</v>
      </c>
      <c r="U9" s="52"/>
    </row>
    <row r="10" spans="1:21" x14ac:dyDescent="0.35">
      <c r="A10" t="s">
        <v>34</v>
      </c>
      <c r="D10" t="s">
        <v>42</v>
      </c>
      <c r="E10">
        <v>2016</v>
      </c>
      <c r="F10">
        <v>1</v>
      </c>
      <c r="G10">
        <v>9</v>
      </c>
      <c r="H10">
        <v>1</v>
      </c>
      <c r="I10">
        <v>2</v>
      </c>
      <c r="J10">
        <v>1</v>
      </c>
      <c r="K10" s="13">
        <v>45558</v>
      </c>
      <c r="L10">
        <v>43</v>
      </c>
      <c r="M10">
        <v>0</v>
      </c>
      <c r="N10">
        <f t="shared" si="0"/>
        <v>0</v>
      </c>
      <c r="U10" s="52"/>
    </row>
    <row r="11" spans="1:21" x14ac:dyDescent="0.35">
      <c r="A11" t="s">
        <v>34</v>
      </c>
      <c r="D11" t="s">
        <v>38</v>
      </c>
      <c r="E11">
        <v>1999</v>
      </c>
      <c r="F11">
        <v>1</v>
      </c>
      <c r="G11">
        <v>10</v>
      </c>
      <c r="H11">
        <v>2</v>
      </c>
      <c r="I11">
        <v>2</v>
      </c>
      <c r="J11">
        <v>1</v>
      </c>
      <c r="K11" s="13">
        <v>45558</v>
      </c>
      <c r="L11">
        <v>59</v>
      </c>
      <c r="M11">
        <v>0</v>
      </c>
      <c r="N11">
        <f t="shared" si="0"/>
        <v>0</v>
      </c>
      <c r="U11" s="52"/>
    </row>
    <row r="12" spans="1:21" x14ac:dyDescent="0.35">
      <c r="A12" t="s">
        <v>34</v>
      </c>
      <c r="D12" t="s">
        <v>43</v>
      </c>
      <c r="E12">
        <v>2020</v>
      </c>
      <c r="F12">
        <v>1</v>
      </c>
      <c r="G12">
        <v>11</v>
      </c>
      <c r="H12">
        <v>3</v>
      </c>
      <c r="I12">
        <v>2</v>
      </c>
      <c r="J12">
        <v>1</v>
      </c>
      <c r="K12" s="13">
        <v>45558</v>
      </c>
      <c r="L12">
        <v>42</v>
      </c>
      <c r="M12">
        <v>0</v>
      </c>
      <c r="N12">
        <f t="shared" si="0"/>
        <v>0</v>
      </c>
      <c r="U12" s="52"/>
    </row>
    <row r="13" spans="1:21" x14ac:dyDescent="0.35">
      <c r="A13" t="s">
        <v>34</v>
      </c>
      <c r="D13" t="s">
        <v>41</v>
      </c>
      <c r="E13">
        <v>2008</v>
      </c>
      <c r="F13">
        <v>1</v>
      </c>
      <c r="G13">
        <v>12</v>
      </c>
      <c r="H13">
        <v>4</v>
      </c>
      <c r="I13">
        <v>2</v>
      </c>
      <c r="J13">
        <v>1</v>
      </c>
      <c r="K13" s="13">
        <v>45558</v>
      </c>
      <c r="L13">
        <v>39</v>
      </c>
      <c r="M13">
        <v>0</v>
      </c>
      <c r="N13">
        <f t="shared" si="0"/>
        <v>0</v>
      </c>
      <c r="U13" s="52"/>
    </row>
    <row r="14" spans="1:21" x14ac:dyDescent="0.35">
      <c r="A14" t="s">
        <v>34</v>
      </c>
      <c r="D14" t="s">
        <v>37</v>
      </c>
      <c r="E14">
        <v>1989</v>
      </c>
      <c r="F14">
        <v>1</v>
      </c>
      <c r="G14">
        <v>13</v>
      </c>
      <c r="H14">
        <v>5</v>
      </c>
      <c r="I14">
        <v>2</v>
      </c>
      <c r="J14">
        <v>1</v>
      </c>
      <c r="K14" s="13">
        <v>45558</v>
      </c>
      <c r="L14">
        <v>48</v>
      </c>
      <c r="M14">
        <v>0</v>
      </c>
      <c r="N14">
        <f t="shared" si="0"/>
        <v>0</v>
      </c>
    </row>
    <row r="15" spans="1:21" x14ac:dyDescent="0.35">
      <c r="A15" t="s">
        <v>34</v>
      </c>
      <c r="D15" t="s">
        <v>343</v>
      </c>
      <c r="E15">
        <v>2004</v>
      </c>
      <c r="F15">
        <v>1</v>
      </c>
      <c r="G15">
        <v>14</v>
      </c>
      <c r="H15">
        <v>6</v>
      </c>
      <c r="I15">
        <v>2</v>
      </c>
      <c r="J15">
        <v>1</v>
      </c>
      <c r="K15" s="13">
        <v>45558</v>
      </c>
      <c r="L15">
        <v>44</v>
      </c>
      <c r="M15">
        <v>0</v>
      </c>
      <c r="N15">
        <f t="shared" si="0"/>
        <v>0</v>
      </c>
      <c r="U15" s="52"/>
    </row>
    <row r="16" spans="1:21" x14ac:dyDescent="0.35">
      <c r="A16" t="s">
        <v>34</v>
      </c>
      <c r="D16" t="s">
        <v>36</v>
      </c>
      <c r="E16">
        <v>1984</v>
      </c>
      <c r="F16">
        <v>1</v>
      </c>
      <c r="G16">
        <v>15</v>
      </c>
      <c r="H16">
        <v>7</v>
      </c>
      <c r="I16">
        <v>2</v>
      </c>
      <c r="J16">
        <v>1</v>
      </c>
      <c r="K16" s="13">
        <v>45558</v>
      </c>
      <c r="L16">
        <v>44</v>
      </c>
      <c r="M16">
        <v>0</v>
      </c>
      <c r="N16">
        <f t="shared" si="0"/>
        <v>0</v>
      </c>
      <c r="U16" s="52"/>
    </row>
    <row r="17" spans="1:21" x14ac:dyDescent="0.35">
      <c r="A17" t="s">
        <v>34</v>
      </c>
      <c r="D17" t="s">
        <v>39</v>
      </c>
      <c r="E17">
        <v>2001</v>
      </c>
      <c r="F17">
        <v>1</v>
      </c>
      <c r="G17">
        <v>16</v>
      </c>
      <c r="H17">
        <v>8</v>
      </c>
      <c r="I17">
        <v>2</v>
      </c>
      <c r="J17">
        <v>1</v>
      </c>
      <c r="K17" s="13">
        <v>45558</v>
      </c>
      <c r="L17">
        <v>56</v>
      </c>
      <c r="M17">
        <v>0</v>
      </c>
      <c r="N17">
        <f t="shared" si="0"/>
        <v>0</v>
      </c>
      <c r="U17" s="52"/>
    </row>
    <row r="18" spans="1:21" x14ac:dyDescent="0.35">
      <c r="A18" t="s">
        <v>24</v>
      </c>
      <c r="D18" t="s">
        <v>335</v>
      </c>
      <c r="E18">
        <v>2023</v>
      </c>
      <c r="F18">
        <v>2</v>
      </c>
      <c r="G18">
        <v>17</v>
      </c>
      <c r="H18">
        <v>1</v>
      </c>
      <c r="I18">
        <v>3</v>
      </c>
      <c r="J18">
        <v>1</v>
      </c>
      <c r="K18" s="13">
        <v>45558</v>
      </c>
      <c r="L18">
        <v>55</v>
      </c>
      <c r="M18">
        <v>0</v>
      </c>
      <c r="N18">
        <f t="shared" si="0"/>
        <v>0</v>
      </c>
      <c r="U18" s="52"/>
    </row>
    <row r="19" spans="1:21" x14ac:dyDescent="0.35">
      <c r="A19" t="s">
        <v>24</v>
      </c>
      <c r="D19" t="s">
        <v>28</v>
      </c>
      <c r="E19">
        <v>1998</v>
      </c>
      <c r="F19">
        <v>2</v>
      </c>
      <c r="G19">
        <v>18</v>
      </c>
      <c r="H19">
        <v>2</v>
      </c>
      <c r="I19">
        <v>3</v>
      </c>
      <c r="J19">
        <v>1</v>
      </c>
      <c r="K19" s="13">
        <v>45558</v>
      </c>
      <c r="L19">
        <v>67</v>
      </c>
      <c r="M19">
        <v>0</v>
      </c>
      <c r="N19">
        <f t="shared" si="0"/>
        <v>0</v>
      </c>
      <c r="U19" s="52"/>
    </row>
    <row r="20" spans="1:21" x14ac:dyDescent="0.35">
      <c r="A20" t="s">
        <v>24</v>
      </c>
      <c r="D20" t="s">
        <v>26</v>
      </c>
      <c r="E20">
        <v>1983</v>
      </c>
      <c r="F20">
        <v>2</v>
      </c>
      <c r="G20">
        <v>19</v>
      </c>
      <c r="H20">
        <v>3</v>
      </c>
      <c r="I20">
        <v>3</v>
      </c>
      <c r="J20">
        <v>1</v>
      </c>
      <c r="K20" s="13">
        <v>45558</v>
      </c>
      <c r="L20">
        <v>67</v>
      </c>
      <c r="M20">
        <v>0</v>
      </c>
      <c r="N20">
        <f t="shared" si="0"/>
        <v>0</v>
      </c>
      <c r="U20" s="52"/>
    </row>
    <row r="21" spans="1:21" x14ac:dyDescent="0.35">
      <c r="A21" t="s">
        <v>24</v>
      </c>
      <c r="D21" t="s">
        <v>336</v>
      </c>
      <c r="E21">
        <v>2002</v>
      </c>
      <c r="F21">
        <v>2</v>
      </c>
      <c r="G21">
        <v>20</v>
      </c>
      <c r="H21">
        <v>4</v>
      </c>
      <c r="I21">
        <v>3</v>
      </c>
      <c r="J21">
        <v>1</v>
      </c>
      <c r="K21" s="13">
        <v>45558</v>
      </c>
      <c r="L21">
        <v>53</v>
      </c>
      <c r="M21">
        <v>0</v>
      </c>
      <c r="N21">
        <f t="shared" si="0"/>
        <v>0</v>
      </c>
      <c r="U21" s="52"/>
    </row>
    <row r="22" spans="1:21" x14ac:dyDescent="0.35">
      <c r="A22" t="s">
        <v>24</v>
      </c>
      <c r="D22" t="s">
        <v>29</v>
      </c>
      <c r="E22">
        <v>1999</v>
      </c>
      <c r="F22">
        <v>2</v>
      </c>
      <c r="G22">
        <v>21</v>
      </c>
      <c r="H22">
        <v>5</v>
      </c>
      <c r="I22">
        <v>3</v>
      </c>
      <c r="J22">
        <v>1</v>
      </c>
      <c r="K22" s="13">
        <v>45558</v>
      </c>
      <c r="L22">
        <v>63</v>
      </c>
      <c r="M22">
        <v>0</v>
      </c>
      <c r="N22">
        <f t="shared" si="0"/>
        <v>0</v>
      </c>
      <c r="U22" s="52"/>
    </row>
    <row r="23" spans="1:21" x14ac:dyDescent="0.35">
      <c r="A23" t="s">
        <v>24</v>
      </c>
      <c r="D23" t="s">
        <v>337</v>
      </c>
      <c r="E23">
        <v>2016</v>
      </c>
      <c r="F23">
        <v>2</v>
      </c>
      <c r="G23">
        <v>22</v>
      </c>
      <c r="H23">
        <v>6</v>
      </c>
      <c r="I23">
        <v>3</v>
      </c>
      <c r="J23">
        <v>1</v>
      </c>
      <c r="K23" s="13">
        <v>45558</v>
      </c>
      <c r="L23">
        <v>63</v>
      </c>
      <c r="M23">
        <v>0</v>
      </c>
      <c r="N23">
        <f t="shared" si="0"/>
        <v>0</v>
      </c>
    </row>
    <row r="24" spans="1:21" x14ac:dyDescent="0.35">
      <c r="A24" t="s">
        <v>24</v>
      </c>
      <c r="D24" t="s">
        <v>32</v>
      </c>
      <c r="E24">
        <v>2018</v>
      </c>
      <c r="F24">
        <v>2</v>
      </c>
      <c r="G24">
        <v>23</v>
      </c>
      <c r="H24">
        <v>7</v>
      </c>
      <c r="I24">
        <v>3</v>
      </c>
      <c r="J24">
        <v>1</v>
      </c>
      <c r="K24" s="13">
        <v>45558</v>
      </c>
      <c r="L24">
        <v>53</v>
      </c>
      <c r="M24">
        <v>0</v>
      </c>
      <c r="N24">
        <f t="shared" si="0"/>
        <v>0</v>
      </c>
    </row>
    <row r="25" spans="1:21" x14ac:dyDescent="0.35">
      <c r="A25" t="s">
        <v>24</v>
      </c>
      <c r="D25" t="s">
        <v>27</v>
      </c>
      <c r="E25">
        <v>1985</v>
      </c>
      <c r="F25">
        <v>2</v>
      </c>
      <c r="G25">
        <v>24</v>
      </c>
      <c r="H25">
        <v>8</v>
      </c>
      <c r="I25">
        <v>3</v>
      </c>
      <c r="J25">
        <v>1</v>
      </c>
      <c r="K25" s="13">
        <v>45558</v>
      </c>
      <c r="L25">
        <v>65</v>
      </c>
      <c r="M25">
        <v>0</v>
      </c>
      <c r="N25">
        <f t="shared" si="0"/>
        <v>0</v>
      </c>
    </row>
    <row r="26" spans="1:21" x14ac:dyDescent="0.35">
      <c r="A26" t="s">
        <v>34</v>
      </c>
      <c r="D26" t="s">
        <v>343</v>
      </c>
      <c r="E26">
        <v>2004</v>
      </c>
      <c r="F26">
        <v>2</v>
      </c>
      <c r="G26">
        <v>25</v>
      </c>
      <c r="H26">
        <v>1</v>
      </c>
      <c r="I26">
        <v>4</v>
      </c>
      <c r="J26">
        <v>1</v>
      </c>
      <c r="K26" s="13">
        <v>45558</v>
      </c>
      <c r="L26">
        <v>55</v>
      </c>
      <c r="M26">
        <v>0</v>
      </c>
      <c r="N26">
        <f t="shared" si="0"/>
        <v>0</v>
      </c>
    </row>
    <row r="27" spans="1:21" x14ac:dyDescent="0.35">
      <c r="A27" t="s">
        <v>34</v>
      </c>
      <c r="D27" t="s">
        <v>43</v>
      </c>
      <c r="E27">
        <v>2020</v>
      </c>
      <c r="F27">
        <v>2</v>
      </c>
      <c r="G27">
        <v>26</v>
      </c>
      <c r="H27">
        <v>2</v>
      </c>
      <c r="I27">
        <v>4</v>
      </c>
      <c r="J27">
        <v>1</v>
      </c>
      <c r="K27" s="13">
        <v>45558</v>
      </c>
      <c r="L27">
        <v>49</v>
      </c>
      <c r="M27">
        <v>0</v>
      </c>
      <c r="N27">
        <f t="shared" si="0"/>
        <v>0</v>
      </c>
    </row>
    <row r="28" spans="1:21" x14ac:dyDescent="0.35">
      <c r="A28" t="s">
        <v>34</v>
      </c>
      <c r="D28" t="s">
        <v>38</v>
      </c>
      <c r="E28">
        <v>1999</v>
      </c>
      <c r="F28">
        <v>2</v>
      </c>
      <c r="G28">
        <v>27</v>
      </c>
      <c r="H28">
        <v>3</v>
      </c>
      <c r="I28">
        <v>4</v>
      </c>
      <c r="J28">
        <v>1</v>
      </c>
      <c r="K28" s="13">
        <v>45558</v>
      </c>
      <c r="L28">
        <v>48</v>
      </c>
      <c r="M28">
        <v>0</v>
      </c>
      <c r="N28">
        <f t="shared" si="0"/>
        <v>0</v>
      </c>
    </row>
    <row r="29" spans="1:21" x14ac:dyDescent="0.35">
      <c r="A29" t="s">
        <v>34</v>
      </c>
      <c r="D29" t="s">
        <v>39</v>
      </c>
      <c r="E29">
        <v>2001</v>
      </c>
      <c r="F29">
        <v>2</v>
      </c>
      <c r="G29">
        <v>28</v>
      </c>
      <c r="H29">
        <v>4</v>
      </c>
      <c r="I29">
        <v>4</v>
      </c>
      <c r="J29">
        <v>1</v>
      </c>
      <c r="K29" s="13">
        <v>45558</v>
      </c>
      <c r="L29">
        <v>36</v>
      </c>
      <c r="M29">
        <v>0</v>
      </c>
      <c r="N29">
        <f t="shared" si="0"/>
        <v>0</v>
      </c>
    </row>
    <row r="30" spans="1:21" x14ac:dyDescent="0.35">
      <c r="A30" t="s">
        <v>34</v>
      </c>
      <c r="D30" t="s">
        <v>42</v>
      </c>
      <c r="E30">
        <v>2016</v>
      </c>
      <c r="F30">
        <v>2</v>
      </c>
      <c r="G30">
        <v>29</v>
      </c>
      <c r="H30">
        <v>5</v>
      </c>
      <c r="I30">
        <v>4</v>
      </c>
      <c r="J30">
        <v>1</v>
      </c>
      <c r="K30" s="13">
        <v>45558</v>
      </c>
      <c r="L30">
        <v>45</v>
      </c>
      <c r="M30">
        <v>0</v>
      </c>
      <c r="N30">
        <f t="shared" si="0"/>
        <v>0</v>
      </c>
    </row>
    <row r="31" spans="1:21" x14ac:dyDescent="0.35">
      <c r="A31" t="s">
        <v>34</v>
      </c>
      <c r="D31" t="s">
        <v>36</v>
      </c>
      <c r="E31">
        <v>1984</v>
      </c>
      <c r="F31">
        <v>2</v>
      </c>
      <c r="G31">
        <v>30</v>
      </c>
      <c r="H31">
        <v>6</v>
      </c>
      <c r="I31">
        <v>4</v>
      </c>
      <c r="J31">
        <v>1</v>
      </c>
      <c r="K31" s="13">
        <v>45558</v>
      </c>
      <c r="L31">
        <v>48</v>
      </c>
      <c r="M31">
        <v>0</v>
      </c>
      <c r="N31">
        <f t="shared" si="0"/>
        <v>0</v>
      </c>
    </row>
    <row r="32" spans="1:21" x14ac:dyDescent="0.35">
      <c r="A32" t="s">
        <v>34</v>
      </c>
      <c r="D32" t="s">
        <v>41</v>
      </c>
      <c r="E32">
        <v>2008</v>
      </c>
      <c r="F32">
        <v>2</v>
      </c>
      <c r="G32">
        <v>31</v>
      </c>
      <c r="H32">
        <v>7</v>
      </c>
      <c r="I32">
        <v>4</v>
      </c>
      <c r="J32">
        <v>1</v>
      </c>
      <c r="K32" s="13">
        <v>45558</v>
      </c>
      <c r="L32">
        <v>61</v>
      </c>
      <c r="M32">
        <v>1</v>
      </c>
      <c r="N32">
        <f t="shared" si="0"/>
        <v>1.6393442622950821E-2</v>
      </c>
    </row>
    <row r="33" spans="1:14" x14ac:dyDescent="0.35">
      <c r="A33" t="s">
        <v>34</v>
      </c>
      <c r="D33" t="s">
        <v>37</v>
      </c>
      <c r="E33">
        <v>1989</v>
      </c>
      <c r="F33">
        <v>2</v>
      </c>
      <c r="G33">
        <v>32</v>
      </c>
      <c r="H33">
        <v>8</v>
      </c>
      <c r="I33">
        <v>4</v>
      </c>
      <c r="J33">
        <v>1</v>
      </c>
      <c r="K33" s="13">
        <v>45558</v>
      </c>
      <c r="L33">
        <v>64</v>
      </c>
      <c r="M33">
        <v>0</v>
      </c>
      <c r="N33">
        <f t="shared" si="0"/>
        <v>0</v>
      </c>
    </row>
    <row r="34" spans="1:14" x14ac:dyDescent="0.35">
      <c r="A34" t="s">
        <v>24</v>
      </c>
      <c r="D34" t="s">
        <v>336</v>
      </c>
      <c r="E34">
        <v>2002</v>
      </c>
      <c r="F34">
        <v>3</v>
      </c>
      <c r="G34">
        <v>33</v>
      </c>
      <c r="H34">
        <v>1</v>
      </c>
      <c r="I34">
        <v>5</v>
      </c>
      <c r="J34">
        <v>1</v>
      </c>
      <c r="K34" s="13">
        <v>45558</v>
      </c>
      <c r="L34">
        <v>34</v>
      </c>
      <c r="M34">
        <v>0</v>
      </c>
      <c r="N34">
        <f t="shared" si="0"/>
        <v>0</v>
      </c>
    </row>
    <row r="35" spans="1:14" x14ac:dyDescent="0.35">
      <c r="A35" t="s">
        <v>24</v>
      </c>
      <c r="D35" t="s">
        <v>337</v>
      </c>
      <c r="E35">
        <v>2016</v>
      </c>
      <c r="F35">
        <v>3</v>
      </c>
      <c r="G35">
        <v>34</v>
      </c>
      <c r="H35">
        <v>2</v>
      </c>
      <c r="I35">
        <v>5</v>
      </c>
      <c r="J35">
        <v>1</v>
      </c>
      <c r="K35" s="13">
        <v>45558</v>
      </c>
      <c r="L35">
        <v>61</v>
      </c>
      <c r="M35">
        <v>0</v>
      </c>
      <c r="N35">
        <f t="shared" si="0"/>
        <v>0</v>
      </c>
    </row>
    <row r="36" spans="1:14" x14ac:dyDescent="0.35">
      <c r="A36" t="s">
        <v>24</v>
      </c>
      <c r="D36" t="s">
        <v>32</v>
      </c>
      <c r="E36">
        <v>2018</v>
      </c>
      <c r="F36">
        <v>3</v>
      </c>
      <c r="G36">
        <v>35</v>
      </c>
      <c r="H36">
        <v>3</v>
      </c>
      <c r="I36">
        <v>5</v>
      </c>
      <c r="J36">
        <v>1</v>
      </c>
      <c r="K36" s="13">
        <v>45558</v>
      </c>
      <c r="L36">
        <v>36</v>
      </c>
      <c r="M36">
        <v>0</v>
      </c>
      <c r="N36">
        <f t="shared" si="0"/>
        <v>0</v>
      </c>
    </row>
    <row r="37" spans="1:14" x14ac:dyDescent="0.35">
      <c r="A37" t="s">
        <v>24</v>
      </c>
      <c r="D37" t="s">
        <v>28</v>
      </c>
      <c r="E37">
        <v>1998</v>
      </c>
      <c r="F37">
        <v>3</v>
      </c>
      <c r="G37">
        <v>36</v>
      </c>
      <c r="H37">
        <v>4</v>
      </c>
      <c r="I37">
        <v>5</v>
      </c>
      <c r="J37">
        <v>1</v>
      </c>
      <c r="K37" s="13">
        <v>45558</v>
      </c>
      <c r="L37">
        <v>44</v>
      </c>
      <c r="M37">
        <v>0</v>
      </c>
      <c r="N37">
        <f t="shared" si="0"/>
        <v>0</v>
      </c>
    </row>
    <row r="38" spans="1:14" x14ac:dyDescent="0.35">
      <c r="A38" t="s">
        <v>24</v>
      </c>
      <c r="D38" t="s">
        <v>27</v>
      </c>
      <c r="E38">
        <v>1985</v>
      </c>
      <c r="F38">
        <v>3</v>
      </c>
      <c r="G38">
        <v>37</v>
      </c>
      <c r="H38">
        <v>5</v>
      </c>
      <c r="I38">
        <v>5</v>
      </c>
      <c r="J38">
        <v>1</v>
      </c>
      <c r="K38" s="13">
        <v>45558</v>
      </c>
      <c r="L38">
        <v>62</v>
      </c>
      <c r="M38">
        <v>0</v>
      </c>
      <c r="N38">
        <f t="shared" si="0"/>
        <v>0</v>
      </c>
    </row>
    <row r="39" spans="1:14" x14ac:dyDescent="0.35">
      <c r="A39" t="s">
        <v>24</v>
      </c>
      <c r="D39" t="s">
        <v>335</v>
      </c>
      <c r="E39">
        <v>2023</v>
      </c>
      <c r="F39">
        <v>3</v>
      </c>
      <c r="G39">
        <v>38</v>
      </c>
      <c r="H39">
        <v>6</v>
      </c>
      <c r="I39">
        <v>5</v>
      </c>
      <c r="J39">
        <v>1</v>
      </c>
      <c r="K39" s="13">
        <v>45558</v>
      </c>
      <c r="L39">
        <v>38</v>
      </c>
      <c r="M39">
        <v>0</v>
      </c>
      <c r="N39">
        <f t="shared" si="0"/>
        <v>0</v>
      </c>
    </row>
    <row r="40" spans="1:14" x14ac:dyDescent="0.35">
      <c r="A40" t="s">
        <v>24</v>
      </c>
      <c r="D40" t="s">
        <v>29</v>
      </c>
      <c r="E40">
        <v>1999</v>
      </c>
      <c r="F40">
        <v>3</v>
      </c>
      <c r="G40">
        <v>39</v>
      </c>
      <c r="H40">
        <v>7</v>
      </c>
      <c r="I40">
        <v>5</v>
      </c>
      <c r="J40">
        <v>1</v>
      </c>
      <c r="K40" s="13">
        <v>45558</v>
      </c>
      <c r="L40">
        <v>50</v>
      </c>
      <c r="M40">
        <v>0</v>
      </c>
      <c r="N40">
        <f t="shared" si="0"/>
        <v>0</v>
      </c>
    </row>
    <row r="41" spans="1:14" x14ac:dyDescent="0.35">
      <c r="A41" t="s">
        <v>24</v>
      </c>
      <c r="D41" t="s">
        <v>26</v>
      </c>
      <c r="E41">
        <v>1983</v>
      </c>
      <c r="F41">
        <v>3</v>
      </c>
      <c r="G41">
        <v>40</v>
      </c>
      <c r="H41">
        <v>8</v>
      </c>
      <c r="I41">
        <v>5</v>
      </c>
      <c r="J41">
        <v>1</v>
      </c>
      <c r="K41" s="13">
        <v>45558</v>
      </c>
      <c r="L41">
        <v>80</v>
      </c>
      <c r="M41">
        <v>0</v>
      </c>
      <c r="N41">
        <f t="shared" si="0"/>
        <v>0</v>
      </c>
    </row>
    <row r="42" spans="1:14" x14ac:dyDescent="0.35">
      <c r="A42" t="s">
        <v>34</v>
      </c>
      <c r="D42" t="s">
        <v>41</v>
      </c>
      <c r="E42">
        <v>2008</v>
      </c>
      <c r="F42">
        <v>3</v>
      </c>
      <c r="G42">
        <v>41</v>
      </c>
      <c r="H42">
        <v>1</v>
      </c>
      <c r="I42">
        <v>6</v>
      </c>
      <c r="J42">
        <v>1</v>
      </c>
      <c r="K42" s="13">
        <v>45558</v>
      </c>
      <c r="L42">
        <v>65</v>
      </c>
      <c r="M42">
        <v>0</v>
      </c>
      <c r="N42">
        <f t="shared" si="0"/>
        <v>0</v>
      </c>
    </row>
    <row r="43" spans="1:14" x14ac:dyDescent="0.35">
      <c r="A43" t="s">
        <v>34</v>
      </c>
      <c r="D43" t="s">
        <v>36</v>
      </c>
      <c r="E43">
        <v>1984</v>
      </c>
      <c r="F43">
        <v>3</v>
      </c>
      <c r="G43">
        <v>42</v>
      </c>
      <c r="H43">
        <v>2</v>
      </c>
      <c r="I43">
        <v>6</v>
      </c>
      <c r="J43">
        <v>1</v>
      </c>
      <c r="K43" s="13">
        <v>45558</v>
      </c>
      <c r="L43">
        <v>37</v>
      </c>
      <c r="M43">
        <v>0</v>
      </c>
      <c r="N43">
        <f t="shared" si="0"/>
        <v>0</v>
      </c>
    </row>
    <row r="44" spans="1:14" x14ac:dyDescent="0.35">
      <c r="A44" t="s">
        <v>34</v>
      </c>
      <c r="D44" t="s">
        <v>37</v>
      </c>
      <c r="E44">
        <v>1989</v>
      </c>
      <c r="F44">
        <v>3</v>
      </c>
      <c r="G44">
        <v>43</v>
      </c>
      <c r="H44">
        <v>3</v>
      </c>
      <c r="I44">
        <v>6</v>
      </c>
      <c r="J44">
        <v>1</v>
      </c>
      <c r="K44" s="13">
        <v>45558</v>
      </c>
      <c r="L44">
        <v>46</v>
      </c>
      <c r="M44">
        <v>0</v>
      </c>
      <c r="N44">
        <f t="shared" si="0"/>
        <v>0</v>
      </c>
    </row>
    <row r="45" spans="1:14" x14ac:dyDescent="0.35">
      <c r="A45" t="s">
        <v>34</v>
      </c>
      <c r="D45" t="s">
        <v>42</v>
      </c>
      <c r="E45">
        <v>2016</v>
      </c>
      <c r="F45">
        <v>3</v>
      </c>
      <c r="G45">
        <v>44</v>
      </c>
      <c r="H45">
        <v>4</v>
      </c>
      <c r="I45">
        <v>6</v>
      </c>
      <c r="J45">
        <v>1</v>
      </c>
      <c r="K45" s="13">
        <v>45558</v>
      </c>
      <c r="L45">
        <v>44</v>
      </c>
      <c r="M45">
        <v>0</v>
      </c>
      <c r="N45">
        <f t="shared" si="0"/>
        <v>0</v>
      </c>
    </row>
    <row r="46" spans="1:14" x14ac:dyDescent="0.35">
      <c r="A46" t="s">
        <v>34</v>
      </c>
      <c r="D46" t="s">
        <v>43</v>
      </c>
      <c r="E46">
        <v>2020</v>
      </c>
      <c r="F46">
        <v>3</v>
      </c>
      <c r="G46">
        <v>45</v>
      </c>
      <c r="H46">
        <v>5</v>
      </c>
      <c r="I46">
        <v>6</v>
      </c>
      <c r="J46">
        <v>1</v>
      </c>
      <c r="K46" s="13">
        <v>45558</v>
      </c>
      <c r="L46">
        <v>48</v>
      </c>
      <c r="M46">
        <v>0</v>
      </c>
      <c r="N46">
        <f t="shared" si="0"/>
        <v>0</v>
      </c>
    </row>
    <row r="47" spans="1:14" x14ac:dyDescent="0.35">
      <c r="A47" t="s">
        <v>34</v>
      </c>
      <c r="D47" t="s">
        <v>39</v>
      </c>
      <c r="E47">
        <v>2001</v>
      </c>
      <c r="F47">
        <v>3</v>
      </c>
      <c r="G47">
        <v>46</v>
      </c>
      <c r="H47">
        <v>6</v>
      </c>
      <c r="I47">
        <v>6</v>
      </c>
      <c r="J47">
        <v>1</v>
      </c>
      <c r="K47" s="13">
        <v>45558</v>
      </c>
      <c r="L47">
        <v>58</v>
      </c>
      <c r="M47">
        <v>1</v>
      </c>
      <c r="N47">
        <f t="shared" si="0"/>
        <v>1.7241379310344827E-2</v>
      </c>
    </row>
    <row r="48" spans="1:14" x14ac:dyDescent="0.35">
      <c r="A48" t="s">
        <v>34</v>
      </c>
      <c r="D48" t="s">
        <v>38</v>
      </c>
      <c r="E48">
        <v>1999</v>
      </c>
      <c r="F48">
        <v>3</v>
      </c>
      <c r="G48">
        <v>47</v>
      </c>
      <c r="H48">
        <v>7</v>
      </c>
      <c r="I48">
        <v>6</v>
      </c>
      <c r="J48">
        <v>1</v>
      </c>
      <c r="K48" s="13">
        <v>45558</v>
      </c>
      <c r="L48">
        <v>57</v>
      </c>
      <c r="M48">
        <v>0</v>
      </c>
      <c r="N48">
        <f t="shared" si="0"/>
        <v>0</v>
      </c>
    </row>
    <row r="49" spans="1:14" x14ac:dyDescent="0.35">
      <c r="A49" t="s">
        <v>34</v>
      </c>
      <c r="D49" t="s">
        <v>343</v>
      </c>
      <c r="E49">
        <v>2004</v>
      </c>
      <c r="F49">
        <v>3</v>
      </c>
      <c r="G49">
        <v>48</v>
      </c>
      <c r="H49">
        <v>8</v>
      </c>
      <c r="I49">
        <v>6</v>
      </c>
      <c r="J49">
        <v>1</v>
      </c>
      <c r="K49" s="13">
        <v>45558</v>
      </c>
      <c r="L49">
        <v>49</v>
      </c>
      <c r="M49">
        <v>0</v>
      </c>
      <c r="N49">
        <f t="shared" si="0"/>
        <v>0</v>
      </c>
    </row>
    <row r="50" spans="1:14" x14ac:dyDescent="0.35">
      <c r="A50" t="s">
        <v>24</v>
      </c>
      <c r="D50" t="s">
        <v>32</v>
      </c>
      <c r="E50">
        <v>2018</v>
      </c>
      <c r="F50">
        <v>4</v>
      </c>
      <c r="G50">
        <v>49</v>
      </c>
      <c r="H50">
        <v>1</v>
      </c>
      <c r="I50">
        <v>7</v>
      </c>
      <c r="J50">
        <v>1</v>
      </c>
      <c r="K50" s="13">
        <v>45558</v>
      </c>
      <c r="L50">
        <v>50</v>
      </c>
      <c r="M50">
        <v>0</v>
      </c>
      <c r="N50">
        <f t="shared" si="0"/>
        <v>0</v>
      </c>
    </row>
    <row r="51" spans="1:14" x14ac:dyDescent="0.35">
      <c r="A51" t="s">
        <v>24</v>
      </c>
      <c r="D51" t="s">
        <v>29</v>
      </c>
      <c r="E51">
        <v>1999</v>
      </c>
      <c r="F51">
        <v>4</v>
      </c>
      <c r="G51">
        <v>50</v>
      </c>
      <c r="H51">
        <v>2</v>
      </c>
      <c r="I51">
        <v>7</v>
      </c>
      <c r="J51">
        <v>1</v>
      </c>
      <c r="K51" s="13">
        <v>45558</v>
      </c>
      <c r="L51">
        <v>66</v>
      </c>
      <c r="M51">
        <v>0</v>
      </c>
      <c r="N51">
        <f t="shared" si="0"/>
        <v>0</v>
      </c>
    </row>
    <row r="52" spans="1:14" x14ac:dyDescent="0.35">
      <c r="A52" t="s">
        <v>24</v>
      </c>
      <c r="D52" t="s">
        <v>337</v>
      </c>
      <c r="E52">
        <v>2016</v>
      </c>
      <c r="F52">
        <v>4</v>
      </c>
      <c r="G52">
        <v>51</v>
      </c>
      <c r="H52">
        <v>3</v>
      </c>
      <c r="I52">
        <v>7</v>
      </c>
      <c r="J52">
        <v>1</v>
      </c>
      <c r="K52" s="13">
        <v>45558</v>
      </c>
      <c r="L52">
        <v>60</v>
      </c>
      <c r="M52">
        <v>0</v>
      </c>
      <c r="N52">
        <f t="shared" si="0"/>
        <v>0</v>
      </c>
    </row>
    <row r="53" spans="1:14" x14ac:dyDescent="0.35">
      <c r="A53" t="s">
        <v>24</v>
      </c>
      <c r="D53" t="s">
        <v>27</v>
      </c>
      <c r="E53">
        <v>1985</v>
      </c>
      <c r="F53">
        <v>4</v>
      </c>
      <c r="G53">
        <v>52</v>
      </c>
      <c r="H53">
        <v>4</v>
      </c>
      <c r="I53">
        <v>7</v>
      </c>
      <c r="J53">
        <v>1</v>
      </c>
      <c r="K53" s="13">
        <v>45558</v>
      </c>
      <c r="L53">
        <v>77</v>
      </c>
      <c r="M53">
        <v>0</v>
      </c>
      <c r="N53">
        <f t="shared" si="0"/>
        <v>0</v>
      </c>
    </row>
    <row r="54" spans="1:14" x14ac:dyDescent="0.35">
      <c r="A54" t="s">
        <v>24</v>
      </c>
      <c r="D54" t="s">
        <v>28</v>
      </c>
      <c r="E54">
        <v>1998</v>
      </c>
      <c r="F54">
        <v>4</v>
      </c>
      <c r="G54">
        <v>53</v>
      </c>
      <c r="H54">
        <v>5</v>
      </c>
      <c r="I54">
        <v>7</v>
      </c>
      <c r="J54">
        <v>1</v>
      </c>
      <c r="K54" s="13">
        <v>45558</v>
      </c>
      <c r="L54">
        <v>64</v>
      </c>
      <c r="M54">
        <v>0</v>
      </c>
      <c r="N54">
        <f t="shared" si="0"/>
        <v>0</v>
      </c>
    </row>
    <row r="55" spans="1:14" x14ac:dyDescent="0.35">
      <c r="A55" t="s">
        <v>24</v>
      </c>
      <c r="D55" t="s">
        <v>26</v>
      </c>
      <c r="E55">
        <v>1983</v>
      </c>
      <c r="F55">
        <v>4</v>
      </c>
      <c r="G55">
        <v>54</v>
      </c>
      <c r="H55">
        <v>6</v>
      </c>
      <c r="I55">
        <v>7</v>
      </c>
      <c r="J55">
        <v>1</v>
      </c>
      <c r="K55" s="13">
        <v>45558</v>
      </c>
      <c r="L55">
        <v>74</v>
      </c>
      <c r="M55">
        <v>0</v>
      </c>
      <c r="N55">
        <f t="shared" si="0"/>
        <v>0</v>
      </c>
    </row>
    <row r="56" spans="1:14" x14ac:dyDescent="0.35">
      <c r="A56" t="s">
        <v>24</v>
      </c>
      <c r="D56" t="s">
        <v>335</v>
      </c>
      <c r="E56">
        <v>2023</v>
      </c>
      <c r="F56">
        <v>4</v>
      </c>
      <c r="G56">
        <v>55</v>
      </c>
      <c r="H56">
        <v>7</v>
      </c>
      <c r="I56">
        <v>7</v>
      </c>
      <c r="J56">
        <v>1</v>
      </c>
      <c r="K56" s="13">
        <v>45558</v>
      </c>
      <c r="L56">
        <v>59</v>
      </c>
      <c r="M56">
        <v>0</v>
      </c>
      <c r="N56">
        <f t="shared" si="0"/>
        <v>0</v>
      </c>
    </row>
    <row r="57" spans="1:14" x14ac:dyDescent="0.35">
      <c r="A57" t="s">
        <v>24</v>
      </c>
      <c r="D57" t="s">
        <v>336</v>
      </c>
      <c r="E57">
        <v>2002</v>
      </c>
      <c r="F57">
        <v>4</v>
      </c>
      <c r="G57">
        <v>56</v>
      </c>
      <c r="H57">
        <v>8</v>
      </c>
      <c r="I57">
        <v>7</v>
      </c>
      <c r="J57">
        <v>1</v>
      </c>
      <c r="K57" s="13">
        <v>45558</v>
      </c>
      <c r="L57">
        <v>60</v>
      </c>
      <c r="M57">
        <v>0</v>
      </c>
      <c r="N57">
        <f t="shared" si="0"/>
        <v>0</v>
      </c>
    </row>
    <row r="58" spans="1:14" x14ac:dyDescent="0.35">
      <c r="A58" t="s">
        <v>34</v>
      </c>
      <c r="D58" t="s">
        <v>39</v>
      </c>
      <c r="E58">
        <v>2001</v>
      </c>
      <c r="F58">
        <v>4</v>
      </c>
      <c r="G58">
        <v>57</v>
      </c>
      <c r="H58">
        <v>1</v>
      </c>
      <c r="I58">
        <v>8</v>
      </c>
      <c r="J58">
        <v>1</v>
      </c>
      <c r="K58" s="13">
        <v>45558</v>
      </c>
      <c r="L58">
        <v>48</v>
      </c>
      <c r="M58">
        <v>0</v>
      </c>
      <c r="N58">
        <f t="shared" si="0"/>
        <v>0</v>
      </c>
    </row>
    <row r="59" spans="1:14" x14ac:dyDescent="0.35">
      <c r="A59" t="s">
        <v>34</v>
      </c>
      <c r="D59" t="s">
        <v>37</v>
      </c>
      <c r="E59">
        <v>1989</v>
      </c>
      <c r="F59">
        <v>4</v>
      </c>
      <c r="G59">
        <v>58</v>
      </c>
      <c r="H59">
        <v>2</v>
      </c>
      <c r="I59">
        <v>8</v>
      </c>
      <c r="J59">
        <v>1</v>
      </c>
      <c r="K59" s="13">
        <v>45558</v>
      </c>
      <c r="L59">
        <v>67</v>
      </c>
      <c r="M59">
        <v>0</v>
      </c>
      <c r="N59">
        <f t="shared" si="0"/>
        <v>0</v>
      </c>
    </row>
    <row r="60" spans="1:14" x14ac:dyDescent="0.35">
      <c r="A60" t="s">
        <v>34</v>
      </c>
      <c r="D60" t="s">
        <v>36</v>
      </c>
      <c r="E60">
        <v>1984</v>
      </c>
      <c r="F60">
        <v>4</v>
      </c>
      <c r="G60">
        <v>59</v>
      </c>
      <c r="H60">
        <v>3</v>
      </c>
      <c r="I60">
        <v>8</v>
      </c>
      <c r="J60">
        <v>1</v>
      </c>
      <c r="K60" s="13">
        <v>45558</v>
      </c>
      <c r="L60">
        <v>52</v>
      </c>
      <c r="M60">
        <v>0</v>
      </c>
      <c r="N60">
        <f t="shared" si="0"/>
        <v>0</v>
      </c>
    </row>
    <row r="61" spans="1:14" x14ac:dyDescent="0.35">
      <c r="A61" t="s">
        <v>34</v>
      </c>
      <c r="D61" t="s">
        <v>343</v>
      </c>
      <c r="E61">
        <v>2004</v>
      </c>
      <c r="F61">
        <v>4</v>
      </c>
      <c r="G61">
        <v>60</v>
      </c>
      <c r="H61">
        <v>4</v>
      </c>
      <c r="I61">
        <v>8</v>
      </c>
      <c r="J61">
        <v>1</v>
      </c>
      <c r="K61" s="13">
        <v>45558</v>
      </c>
      <c r="L61">
        <v>55</v>
      </c>
      <c r="M61">
        <v>0</v>
      </c>
      <c r="N61">
        <f t="shared" si="0"/>
        <v>0</v>
      </c>
    </row>
    <row r="62" spans="1:14" x14ac:dyDescent="0.35">
      <c r="A62" t="s">
        <v>34</v>
      </c>
      <c r="D62" t="s">
        <v>41</v>
      </c>
      <c r="E62">
        <v>2008</v>
      </c>
      <c r="F62">
        <v>4</v>
      </c>
      <c r="G62">
        <v>61</v>
      </c>
      <c r="H62">
        <v>5</v>
      </c>
      <c r="I62">
        <v>8</v>
      </c>
      <c r="J62">
        <v>1</v>
      </c>
      <c r="K62" s="13">
        <v>45558</v>
      </c>
      <c r="L62">
        <v>40</v>
      </c>
      <c r="M62">
        <v>0</v>
      </c>
      <c r="N62">
        <f t="shared" si="0"/>
        <v>0</v>
      </c>
    </row>
    <row r="63" spans="1:14" x14ac:dyDescent="0.35">
      <c r="A63" t="s">
        <v>34</v>
      </c>
      <c r="D63" t="s">
        <v>38</v>
      </c>
      <c r="E63">
        <v>1999</v>
      </c>
      <c r="F63">
        <v>4</v>
      </c>
      <c r="G63">
        <v>62</v>
      </c>
      <c r="H63">
        <v>6</v>
      </c>
      <c r="I63">
        <v>8</v>
      </c>
      <c r="J63">
        <v>1</v>
      </c>
      <c r="K63" s="13">
        <v>45558</v>
      </c>
      <c r="L63">
        <v>54</v>
      </c>
      <c r="M63">
        <v>0</v>
      </c>
      <c r="N63">
        <f t="shared" si="0"/>
        <v>0</v>
      </c>
    </row>
    <row r="64" spans="1:14" x14ac:dyDescent="0.35">
      <c r="A64" t="s">
        <v>34</v>
      </c>
      <c r="D64" t="s">
        <v>42</v>
      </c>
      <c r="E64">
        <v>2016</v>
      </c>
      <c r="F64">
        <v>4</v>
      </c>
      <c r="G64">
        <v>63</v>
      </c>
      <c r="H64">
        <v>7</v>
      </c>
      <c r="I64">
        <v>8</v>
      </c>
      <c r="J64">
        <v>1</v>
      </c>
      <c r="K64" s="13">
        <v>45558</v>
      </c>
      <c r="L64">
        <v>42</v>
      </c>
      <c r="M64">
        <v>0</v>
      </c>
      <c r="N64">
        <f t="shared" si="0"/>
        <v>0</v>
      </c>
    </row>
    <row r="65" spans="1:14" x14ac:dyDescent="0.35">
      <c r="A65" t="s">
        <v>34</v>
      </c>
      <c r="D65" t="s">
        <v>43</v>
      </c>
      <c r="E65">
        <v>2020</v>
      </c>
      <c r="F65">
        <v>4</v>
      </c>
      <c r="G65">
        <v>64</v>
      </c>
      <c r="H65">
        <v>8</v>
      </c>
      <c r="I65">
        <v>8</v>
      </c>
      <c r="J65">
        <v>1</v>
      </c>
      <c r="K65" s="13">
        <v>45558</v>
      </c>
      <c r="L65">
        <v>38</v>
      </c>
      <c r="M65">
        <v>0</v>
      </c>
      <c r="N65">
        <f t="shared" si="0"/>
        <v>0</v>
      </c>
    </row>
    <row r="66" spans="1:14" x14ac:dyDescent="0.35">
      <c r="A66" t="s">
        <v>24</v>
      </c>
      <c r="D66" t="s">
        <v>27</v>
      </c>
      <c r="E66">
        <v>1985</v>
      </c>
      <c r="F66">
        <v>1</v>
      </c>
      <c r="G66">
        <v>1</v>
      </c>
      <c r="H66">
        <v>1</v>
      </c>
      <c r="I66">
        <v>1</v>
      </c>
      <c r="J66">
        <v>2</v>
      </c>
      <c r="K66" s="13">
        <v>45562</v>
      </c>
      <c r="L66">
        <v>78</v>
      </c>
      <c r="M66">
        <v>0</v>
      </c>
      <c r="N66">
        <f t="shared" si="0"/>
        <v>0</v>
      </c>
    </row>
    <row r="67" spans="1:14" x14ac:dyDescent="0.35">
      <c r="A67" t="s">
        <v>24</v>
      </c>
      <c r="D67" t="s">
        <v>26</v>
      </c>
      <c r="E67">
        <v>1983</v>
      </c>
      <c r="F67">
        <v>1</v>
      </c>
      <c r="G67">
        <v>2</v>
      </c>
      <c r="H67">
        <v>2</v>
      </c>
      <c r="I67">
        <v>1</v>
      </c>
      <c r="J67">
        <v>2</v>
      </c>
      <c r="K67" s="13">
        <v>45562</v>
      </c>
      <c r="L67">
        <v>63</v>
      </c>
      <c r="M67">
        <v>0</v>
      </c>
      <c r="N67">
        <f t="shared" si="0"/>
        <v>0</v>
      </c>
    </row>
    <row r="68" spans="1:14" x14ac:dyDescent="0.35">
      <c r="A68" t="s">
        <v>24</v>
      </c>
      <c r="D68" t="s">
        <v>335</v>
      </c>
      <c r="E68">
        <v>2023</v>
      </c>
      <c r="F68">
        <v>1</v>
      </c>
      <c r="G68">
        <v>3</v>
      </c>
      <c r="H68">
        <v>3</v>
      </c>
      <c r="I68">
        <v>1</v>
      </c>
      <c r="J68">
        <v>2</v>
      </c>
      <c r="K68" s="13">
        <v>45562</v>
      </c>
      <c r="L68">
        <v>60</v>
      </c>
      <c r="M68">
        <v>1</v>
      </c>
      <c r="N68">
        <f t="shared" ref="N68:N131" si="1">M68/L68</f>
        <v>1.6666666666666666E-2</v>
      </c>
    </row>
    <row r="69" spans="1:14" x14ac:dyDescent="0.35">
      <c r="A69" t="s">
        <v>24</v>
      </c>
      <c r="D69" t="s">
        <v>29</v>
      </c>
      <c r="E69">
        <v>1999</v>
      </c>
      <c r="F69">
        <v>1</v>
      </c>
      <c r="G69">
        <v>4</v>
      </c>
      <c r="H69">
        <v>4</v>
      </c>
      <c r="I69">
        <v>1</v>
      </c>
      <c r="J69">
        <v>2</v>
      </c>
      <c r="K69" s="13">
        <v>45562</v>
      </c>
      <c r="L69">
        <v>108</v>
      </c>
      <c r="M69">
        <v>0</v>
      </c>
      <c r="N69">
        <f t="shared" si="1"/>
        <v>0</v>
      </c>
    </row>
    <row r="70" spans="1:14" x14ac:dyDescent="0.35">
      <c r="A70" t="s">
        <v>24</v>
      </c>
      <c r="D70" t="s">
        <v>336</v>
      </c>
      <c r="E70">
        <v>2002</v>
      </c>
      <c r="F70">
        <v>1</v>
      </c>
      <c r="G70">
        <v>5</v>
      </c>
      <c r="H70">
        <v>5</v>
      </c>
      <c r="I70">
        <v>1</v>
      </c>
      <c r="J70">
        <v>2</v>
      </c>
      <c r="K70" s="13">
        <v>45562</v>
      </c>
      <c r="L70">
        <v>78</v>
      </c>
      <c r="M70">
        <v>0</v>
      </c>
      <c r="N70">
        <f t="shared" si="1"/>
        <v>0</v>
      </c>
    </row>
    <row r="71" spans="1:14" x14ac:dyDescent="0.35">
      <c r="A71" t="s">
        <v>24</v>
      </c>
      <c r="D71" t="s">
        <v>32</v>
      </c>
      <c r="E71">
        <v>2018</v>
      </c>
      <c r="F71">
        <v>1</v>
      </c>
      <c r="G71">
        <v>6</v>
      </c>
      <c r="H71">
        <v>6</v>
      </c>
      <c r="I71">
        <v>1</v>
      </c>
      <c r="J71">
        <v>2</v>
      </c>
      <c r="K71" s="13">
        <v>45562</v>
      </c>
      <c r="L71">
        <v>74</v>
      </c>
      <c r="M71">
        <v>0</v>
      </c>
      <c r="N71">
        <f t="shared" si="1"/>
        <v>0</v>
      </c>
    </row>
    <row r="72" spans="1:14" x14ac:dyDescent="0.35">
      <c r="A72" t="s">
        <v>24</v>
      </c>
      <c r="D72" t="s">
        <v>28</v>
      </c>
      <c r="E72">
        <v>1998</v>
      </c>
      <c r="F72">
        <v>1</v>
      </c>
      <c r="G72">
        <v>7</v>
      </c>
      <c r="H72">
        <v>7</v>
      </c>
      <c r="I72">
        <v>1</v>
      </c>
      <c r="J72">
        <v>2</v>
      </c>
      <c r="K72" s="13">
        <v>45562</v>
      </c>
      <c r="L72">
        <v>90</v>
      </c>
      <c r="M72">
        <v>0</v>
      </c>
      <c r="N72">
        <f t="shared" si="1"/>
        <v>0</v>
      </c>
    </row>
    <row r="73" spans="1:14" x14ac:dyDescent="0.35">
      <c r="A73" t="s">
        <v>24</v>
      </c>
      <c r="D73" t="s">
        <v>337</v>
      </c>
      <c r="E73">
        <v>2016</v>
      </c>
      <c r="F73">
        <v>1</v>
      </c>
      <c r="G73">
        <v>8</v>
      </c>
      <c r="H73">
        <v>8</v>
      </c>
      <c r="I73">
        <v>1</v>
      </c>
      <c r="J73">
        <v>2</v>
      </c>
      <c r="K73" s="13">
        <v>45562</v>
      </c>
      <c r="L73">
        <v>50</v>
      </c>
      <c r="M73">
        <v>0</v>
      </c>
      <c r="N73">
        <f t="shared" si="1"/>
        <v>0</v>
      </c>
    </row>
    <row r="74" spans="1:14" x14ac:dyDescent="0.35">
      <c r="A74" t="s">
        <v>34</v>
      </c>
      <c r="D74" t="s">
        <v>42</v>
      </c>
      <c r="E74">
        <v>2016</v>
      </c>
      <c r="F74">
        <v>1</v>
      </c>
      <c r="G74">
        <v>9</v>
      </c>
      <c r="H74">
        <v>1</v>
      </c>
      <c r="I74">
        <v>2</v>
      </c>
      <c r="J74">
        <v>2</v>
      </c>
      <c r="K74" s="13">
        <v>45562</v>
      </c>
      <c r="L74">
        <v>43</v>
      </c>
      <c r="M74">
        <v>2</v>
      </c>
      <c r="N74">
        <f t="shared" si="1"/>
        <v>4.6511627906976744E-2</v>
      </c>
    </row>
    <row r="75" spans="1:14" x14ac:dyDescent="0.35">
      <c r="A75" t="s">
        <v>34</v>
      </c>
      <c r="D75" t="s">
        <v>38</v>
      </c>
      <c r="E75">
        <v>1999</v>
      </c>
      <c r="F75">
        <v>1</v>
      </c>
      <c r="G75">
        <v>10</v>
      </c>
      <c r="H75">
        <v>2</v>
      </c>
      <c r="I75">
        <v>2</v>
      </c>
      <c r="J75">
        <v>2</v>
      </c>
      <c r="K75" s="13">
        <v>45562</v>
      </c>
      <c r="L75">
        <v>59</v>
      </c>
      <c r="M75">
        <v>0</v>
      </c>
      <c r="N75">
        <f t="shared" si="1"/>
        <v>0</v>
      </c>
    </row>
    <row r="76" spans="1:14" x14ac:dyDescent="0.35">
      <c r="A76" t="s">
        <v>34</v>
      </c>
      <c r="D76" t="s">
        <v>43</v>
      </c>
      <c r="E76">
        <v>2020</v>
      </c>
      <c r="F76">
        <v>1</v>
      </c>
      <c r="G76">
        <v>11</v>
      </c>
      <c r="H76">
        <v>3</v>
      </c>
      <c r="I76">
        <v>2</v>
      </c>
      <c r="J76">
        <v>2</v>
      </c>
      <c r="K76" s="13">
        <v>45562</v>
      </c>
      <c r="L76">
        <v>42</v>
      </c>
      <c r="M76">
        <v>0</v>
      </c>
      <c r="N76">
        <f t="shared" si="1"/>
        <v>0</v>
      </c>
    </row>
    <row r="77" spans="1:14" x14ac:dyDescent="0.35">
      <c r="A77" t="s">
        <v>34</v>
      </c>
      <c r="D77" t="s">
        <v>41</v>
      </c>
      <c r="E77">
        <v>2008</v>
      </c>
      <c r="F77">
        <v>1</v>
      </c>
      <c r="G77">
        <v>12</v>
      </c>
      <c r="H77">
        <v>4</v>
      </c>
      <c r="I77">
        <v>2</v>
      </c>
      <c r="J77">
        <v>2</v>
      </c>
      <c r="K77" s="13">
        <v>45562</v>
      </c>
      <c r="L77">
        <v>39</v>
      </c>
      <c r="M77">
        <v>1</v>
      </c>
      <c r="N77">
        <f t="shared" si="1"/>
        <v>2.564102564102564E-2</v>
      </c>
    </row>
    <row r="78" spans="1:14" x14ac:dyDescent="0.35">
      <c r="A78" t="s">
        <v>34</v>
      </c>
      <c r="D78" t="s">
        <v>37</v>
      </c>
      <c r="E78">
        <v>1989</v>
      </c>
      <c r="F78">
        <v>1</v>
      </c>
      <c r="G78">
        <v>13</v>
      </c>
      <c r="H78">
        <v>5</v>
      </c>
      <c r="I78">
        <v>2</v>
      </c>
      <c r="J78">
        <v>2</v>
      </c>
      <c r="K78" s="13">
        <v>45562</v>
      </c>
      <c r="L78">
        <v>48</v>
      </c>
      <c r="M78">
        <v>0</v>
      </c>
      <c r="N78">
        <f t="shared" si="1"/>
        <v>0</v>
      </c>
    </row>
    <row r="79" spans="1:14" x14ac:dyDescent="0.35">
      <c r="A79" t="s">
        <v>34</v>
      </c>
      <c r="D79" t="s">
        <v>343</v>
      </c>
      <c r="E79">
        <v>2004</v>
      </c>
      <c r="F79">
        <v>1</v>
      </c>
      <c r="G79">
        <v>14</v>
      </c>
      <c r="H79">
        <v>6</v>
      </c>
      <c r="I79">
        <v>2</v>
      </c>
      <c r="J79">
        <v>2</v>
      </c>
      <c r="K79" s="13">
        <v>45562</v>
      </c>
      <c r="L79">
        <v>44</v>
      </c>
      <c r="M79">
        <v>0</v>
      </c>
      <c r="N79">
        <f t="shared" si="1"/>
        <v>0</v>
      </c>
    </row>
    <row r="80" spans="1:14" x14ac:dyDescent="0.35">
      <c r="A80" t="s">
        <v>34</v>
      </c>
      <c r="D80" t="s">
        <v>36</v>
      </c>
      <c r="E80">
        <v>1984</v>
      </c>
      <c r="F80">
        <v>1</v>
      </c>
      <c r="G80">
        <v>15</v>
      </c>
      <c r="H80">
        <v>7</v>
      </c>
      <c r="I80">
        <v>2</v>
      </c>
      <c r="J80">
        <v>2</v>
      </c>
      <c r="K80" s="13">
        <v>45562</v>
      </c>
      <c r="L80">
        <v>44</v>
      </c>
      <c r="M80">
        <v>0</v>
      </c>
      <c r="N80">
        <f t="shared" si="1"/>
        <v>0</v>
      </c>
    </row>
    <row r="81" spans="1:14" x14ac:dyDescent="0.35">
      <c r="A81" t="s">
        <v>34</v>
      </c>
      <c r="D81" t="s">
        <v>39</v>
      </c>
      <c r="E81">
        <v>2001</v>
      </c>
      <c r="F81">
        <v>1</v>
      </c>
      <c r="G81">
        <v>16</v>
      </c>
      <c r="H81">
        <v>8</v>
      </c>
      <c r="I81">
        <v>2</v>
      </c>
      <c r="J81">
        <v>2</v>
      </c>
      <c r="K81" s="13">
        <v>45562</v>
      </c>
      <c r="L81">
        <v>56</v>
      </c>
      <c r="M81">
        <v>0</v>
      </c>
      <c r="N81">
        <f t="shared" si="1"/>
        <v>0</v>
      </c>
    </row>
    <row r="82" spans="1:14" x14ac:dyDescent="0.35">
      <c r="A82" t="s">
        <v>24</v>
      </c>
      <c r="D82" t="s">
        <v>335</v>
      </c>
      <c r="E82">
        <v>2023</v>
      </c>
      <c r="F82">
        <v>2</v>
      </c>
      <c r="G82">
        <v>17</v>
      </c>
      <c r="H82">
        <v>1</v>
      </c>
      <c r="I82">
        <v>3</v>
      </c>
      <c r="J82">
        <v>2</v>
      </c>
      <c r="K82" s="13">
        <v>45562</v>
      </c>
      <c r="L82">
        <v>55</v>
      </c>
      <c r="M82">
        <v>0</v>
      </c>
      <c r="N82">
        <f t="shared" si="1"/>
        <v>0</v>
      </c>
    </row>
    <row r="83" spans="1:14" x14ac:dyDescent="0.35">
      <c r="A83" t="s">
        <v>24</v>
      </c>
      <c r="D83" t="s">
        <v>28</v>
      </c>
      <c r="E83">
        <v>1998</v>
      </c>
      <c r="F83">
        <v>2</v>
      </c>
      <c r="G83">
        <v>18</v>
      </c>
      <c r="H83">
        <v>2</v>
      </c>
      <c r="I83">
        <v>3</v>
      </c>
      <c r="J83">
        <v>2</v>
      </c>
      <c r="K83" s="13">
        <v>45562</v>
      </c>
      <c r="L83">
        <v>67</v>
      </c>
      <c r="M83">
        <v>0</v>
      </c>
      <c r="N83">
        <f t="shared" si="1"/>
        <v>0</v>
      </c>
    </row>
    <row r="84" spans="1:14" x14ac:dyDescent="0.35">
      <c r="A84" t="s">
        <v>24</v>
      </c>
      <c r="D84" t="s">
        <v>26</v>
      </c>
      <c r="E84">
        <v>1983</v>
      </c>
      <c r="F84">
        <v>2</v>
      </c>
      <c r="G84">
        <v>19</v>
      </c>
      <c r="H84">
        <v>3</v>
      </c>
      <c r="I84">
        <v>3</v>
      </c>
      <c r="J84">
        <v>2</v>
      </c>
      <c r="K84" s="13">
        <v>45562</v>
      </c>
      <c r="L84">
        <v>67</v>
      </c>
      <c r="M84">
        <v>0</v>
      </c>
      <c r="N84">
        <f t="shared" si="1"/>
        <v>0</v>
      </c>
    </row>
    <row r="85" spans="1:14" x14ac:dyDescent="0.35">
      <c r="A85" t="s">
        <v>24</v>
      </c>
      <c r="D85" t="s">
        <v>336</v>
      </c>
      <c r="E85">
        <v>2002</v>
      </c>
      <c r="F85">
        <v>2</v>
      </c>
      <c r="G85">
        <v>20</v>
      </c>
      <c r="H85">
        <v>4</v>
      </c>
      <c r="I85">
        <v>3</v>
      </c>
      <c r="J85">
        <v>2</v>
      </c>
      <c r="K85" s="13">
        <v>45562</v>
      </c>
      <c r="L85">
        <v>53</v>
      </c>
      <c r="M85">
        <v>0</v>
      </c>
      <c r="N85">
        <f t="shared" si="1"/>
        <v>0</v>
      </c>
    </row>
    <row r="86" spans="1:14" x14ac:dyDescent="0.35">
      <c r="A86" t="s">
        <v>24</v>
      </c>
      <c r="D86" t="s">
        <v>29</v>
      </c>
      <c r="E86">
        <v>1999</v>
      </c>
      <c r="F86">
        <v>2</v>
      </c>
      <c r="G86">
        <v>21</v>
      </c>
      <c r="H86">
        <v>5</v>
      </c>
      <c r="I86">
        <v>3</v>
      </c>
      <c r="J86">
        <v>2</v>
      </c>
      <c r="K86" s="13">
        <v>45562</v>
      </c>
      <c r="L86">
        <v>63</v>
      </c>
      <c r="M86">
        <v>0</v>
      </c>
      <c r="N86">
        <f t="shared" si="1"/>
        <v>0</v>
      </c>
    </row>
    <row r="87" spans="1:14" x14ac:dyDescent="0.35">
      <c r="A87" t="s">
        <v>24</v>
      </c>
      <c r="D87" t="s">
        <v>337</v>
      </c>
      <c r="E87">
        <v>2016</v>
      </c>
      <c r="F87">
        <v>2</v>
      </c>
      <c r="G87">
        <v>22</v>
      </c>
      <c r="H87">
        <v>6</v>
      </c>
      <c r="I87">
        <v>3</v>
      </c>
      <c r="J87">
        <v>2</v>
      </c>
      <c r="K87" s="13">
        <v>45562</v>
      </c>
      <c r="L87">
        <v>63</v>
      </c>
      <c r="M87">
        <v>0</v>
      </c>
      <c r="N87">
        <f t="shared" si="1"/>
        <v>0</v>
      </c>
    </row>
    <row r="88" spans="1:14" x14ac:dyDescent="0.35">
      <c r="A88" t="s">
        <v>24</v>
      </c>
      <c r="D88" t="s">
        <v>32</v>
      </c>
      <c r="E88">
        <v>2018</v>
      </c>
      <c r="F88">
        <v>2</v>
      </c>
      <c r="G88">
        <v>23</v>
      </c>
      <c r="H88">
        <v>7</v>
      </c>
      <c r="I88">
        <v>3</v>
      </c>
      <c r="J88">
        <v>2</v>
      </c>
      <c r="K88" s="13">
        <v>45562</v>
      </c>
      <c r="L88">
        <v>53</v>
      </c>
      <c r="M88">
        <v>0</v>
      </c>
      <c r="N88">
        <f t="shared" si="1"/>
        <v>0</v>
      </c>
    </row>
    <row r="89" spans="1:14" x14ac:dyDescent="0.35">
      <c r="A89" t="s">
        <v>24</v>
      </c>
      <c r="D89" t="s">
        <v>27</v>
      </c>
      <c r="E89">
        <v>1985</v>
      </c>
      <c r="F89">
        <v>2</v>
      </c>
      <c r="G89">
        <v>24</v>
      </c>
      <c r="H89">
        <v>8</v>
      </c>
      <c r="I89">
        <v>3</v>
      </c>
      <c r="J89">
        <v>2</v>
      </c>
      <c r="K89" s="13">
        <v>45562</v>
      </c>
      <c r="L89">
        <v>65</v>
      </c>
      <c r="M89">
        <v>0</v>
      </c>
      <c r="N89">
        <f t="shared" si="1"/>
        <v>0</v>
      </c>
    </row>
    <row r="90" spans="1:14" x14ac:dyDescent="0.35">
      <c r="A90" t="s">
        <v>34</v>
      </c>
      <c r="D90" t="s">
        <v>343</v>
      </c>
      <c r="E90">
        <v>2004</v>
      </c>
      <c r="F90">
        <v>2</v>
      </c>
      <c r="G90">
        <v>25</v>
      </c>
      <c r="H90">
        <v>1</v>
      </c>
      <c r="I90">
        <v>4</v>
      </c>
      <c r="J90">
        <v>2</v>
      </c>
      <c r="K90" s="13">
        <v>45562</v>
      </c>
      <c r="L90">
        <v>55</v>
      </c>
      <c r="M90">
        <v>0</v>
      </c>
      <c r="N90">
        <f t="shared" si="1"/>
        <v>0</v>
      </c>
    </row>
    <row r="91" spans="1:14" x14ac:dyDescent="0.35">
      <c r="A91" t="s">
        <v>34</v>
      </c>
      <c r="D91" t="s">
        <v>43</v>
      </c>
      <c r="E91">
        <v>2020</v>
      </c>
      <c r="F91">
        <v>2</v>
      </c>
      <c r="G91">
        <v>26</v>
      </c>
      <c r="H91">
        <v>2</v>
      </c>
      <c r="I91">
        <v>4</v>
      </c>
      <c r="J91">
        <v>2</v>
      </c>
      <c r="K91" s="13">
        <v>45562</v>
      </c>
      <c r="L91">
        <v>49</v>
      </c>
      <c r="M91">
        <v>0</v>
      </c>
      <c r="N91">
        <f t="shared" si="1"/>
        <v>0</v>
      </c>
    </row>
    <row r="92" spans="1:14" x14ac:dyDescent="0.35">
      <c r="A92" t="s">
        <v>34</v>
      </c>
      <c r="D92" t="s">
        <v>38</v>
      </c>
      <c r="E92">
        <v>1999</v>
      </c>
      <c r="F92">
        <v>2</v>
      </c>
      <c r="G92">
        <v>27</v>
      </c>
      <c r="H92">
        <v>3</v>
      </c>
      <c r="I92">
        <v>4</v>
      </c>
      <c r="J92">
        <v>2</v>
      </c>
      <c r="K92" s="13">
        <v>45562</v>
      </c>
      <c r="L92">
        <v>48</v>
      </c>
      <c r="M92">
        <v>0</v>
      </c>
      <c r="N92">
        <f t="shared" si="1"/>
        <v>0</v>
      </c>
    </row>
    <row r="93" spans="1:14" x14ac:dyDescent="0.35">
      <c r="A93" t="s">
        <v>34</v>
      </c>
      <c r="D93" t="s">
        <v>39</v>
      </c>
      <c r="E93">
        <v>2001</v>
      </c>
      <c r="F93">
        <v>2</v>
      </c>
      <c r="G93">
        <v>28</v>
      </c>
      <c r="H93">
        <v>4</v>
      </c>
      <c r="I93">
        <v>4</v>
      </c>
      <c r="J93">
        <v>2</v>
      </c>
      <c r="K93" s="13">
        <v>45562</v>
      </c>
      <c r="L93">
        <v>36</v>
      </c>
      <c r="M93">
        <v>0</v>
      </c>
      <c r="N93">
        <f t="shared" si="1"/>
        <v>0</v>
      </c>
    </row>
    <row r="94" spans="1:14" x14ac:dyDescent="0.35">
      <c r="A94" t="s">
        <v>34</v>
      </c>
      <c r="D94" t="s">
        <v>42</v>
      </c>
      <c r="E94">
        <v>2016</v>
      </c>
      <c r="F94">
        <v>2</v>
      </c>
      <c r="G94">
        <v>29</v>
      </c>
      <c r="H94">
        <v>5</v>
      </c>
      <c r="I94">
        <v>4</v>
      </c>
      <c r="J94">
        <v>2</v>
      </c>
      <c r="K94" s="13">
        <v>45562</v>
      </c>
      <c r="L94">
        <v>45</v>
      </c>
      <c r="M94">
        <v>0</v>
      </c>
      <c r="N94">
        <f t="shared" si="1"/>
        <v>0</v>
      </c>
    </row>
    <row r="95" spans="1:14" x14ac:dyDescent="0.35">
      <c r="A95" t="s">
        <v>34</v>
      </c>
      <c r="D95" t="s">
        <v>36</v>
      </c>
      <c r="E95">
        <v>1984</v>
      </c>
      <c r="F95">
        <v>2</v>
      </c>
      <c r="G95">
        <v>30</v>
      </c>
      <c r="H95">
        <v>6</v>
      </c>
      <c r="I95">
        <v>4</v>
      </c>
      <c r="J95">
        <v>2</v>
      </c>
      <c r="K95" s="13">
        <v>45562</v>
      </c>
      <c r="L95">
        <v>48</v>
      </c>
      <c r="M95">
        <v>0</v>
      </c>
      <c r="N95">
        <f t="shared" si="1"/>
        <v>0</v>
      </c>
    </row>
    <row r="96" spans="1:14" x14ac:dyDescent="0.35">
      <c r="A96" t="s">
        <v>34</v>
      </c>
      <c r="D96" t="s">
        <v>41</v>
      </c>
      <c r="E96">
        <v>2008</v>
      </c>
      <c r="F96">
        <v>2</v>
      </c>
      <c r="G96">
        <v>31</v>
      </c>
      <c r="H96">
        <v>7</v>
      </c>
      <c r="I96">
        <v>4</v>
      </c>
      <c r="J96">
        <v>2</v>
      </c>
      <c r="K96" s="13">
        <v>45562</v>
      </c>
      <c r="L96">
        <v>61</v>
      </c>
      <c r="M96">
        <v>13</v>
      </c>
      <c r="N96">
        <f t="shared" si="1"/>
        <v>0.21311475409836064</v>
      </c>
    </row>
    <row r="97" spans="1:14" x14ac:dyDescent="0.35">
      <c r="A97" t="s">
        <v>34</v>
      </c>
      <c r="D97" t="s">
        <v>37</v>
      </c>
      <c r="E97">
        <v>1989</v>
      </c>
      <c r="F97">
        <v>2</v>
      </c>
      <c r="G97">
        <v>32</v>
      </c>
      <c r="H97">
        <v>8</v>
      </c>
      <c r="I97">
        <v>4</v>
      </c>
      <c r="J97">
        <v>2</v>
      </c>
      <c r="K97" s="13">
        <v>45562</v>
      </c>
      <c r="L97">
        <v>64</v>
      </c>
      <c r="M97">
        <v>0</v>
      </c>
      <c r="N97">
        <f t="shared" si="1"/>
        <v>0</v>
      </c>
    </row>
    <row r="98" spans="1:14" x14ac:dyDescent="0.35">
      <c r="A98" t="s">
        <v>24</v>
      </c>
      <c r="D98" t="s">
        <v>336</v>
      </c>
      <c r="E98">
        <v>2002</v>
      </c>
      <c r="F98">
        <v>3</v>
      </c>
      <c r="G98">
        <v>33</v>
      </c>
      <c r="H98">
        <v>1</v>
      </c>
      <c r="I98">
        <v>5</v>
      </c>
      <c r="J98">
        <v>2</v>
      </c>
      <c r="K98" s="13">
        <v>45562</v>
      </c>
      <c r="L98">
        <v>34</v>
      </c>
      <c r="M98">
        <v>0</v>
      </c>
      <c r="N98">
        <f t="shared" si="1"/>
        <v>0</v>
      </c>
    </row>
    <row r="99" spans="1:14" x14ac:dyDescent="0.35">
      <c r="A99" t="s">
        <v>24</v>
      </c>
      <c r="D99" t="s">
        <v>337</v>
      </c>
      <c r="E99">
        <v>2016</v>
      </c>
      <c r="F99">
        <v>3</v>
      </c>
      <c r="G99">
        <v>34</v>
      </c>
      <c r="H99">
        <v>2</v>
      </c>
      <c r="I99">
        <v>5</v>
      </c>
      <c r="J99">
        <v>2</v>
      </c>
      <c r="K99" s="13">
        <v>45562</v>
      </c>
      <c r="L99">
        <v>61</v>
      </c>
      <c r="M99">
        <v>0</v>
      </c>
      <c r="N99">
        <f t="shared" si="1"/>
        <v>0</v>
      </c>
    </row>
    <row r="100" spans="1:14" x14ac:dyDescent="0.35">
      <c r="A100" t="s">
        <v>24</v>
      </c>
      <c r="D100" t="s">
        <v>32</v>
      </c>
      <c r="E100">
        <v>2018</v>
      </c>
      <c r="F100">
        <v>3</v>
      </c>
      <c r="G100">
        <v>35</v>
      </c>
      <c r="H100">
        <v>3</v>
      </c>
      <c r="I100">
        <v>5</v>
      </c>
      <c r="J100">
        <v>2</v>
      </c>
      <c r="K100" s="13">
        <v>45562</v>
      </c>
      <c r="L100">
        <v>36</v>
      </c>
      <c r="M100">
        <v>0</v>
      </c>
      <c r="N100">
        <f t="shared" si="1"/>
        <v>0</v>
      </c>
    </row>
    <row r="101" spans="1:14" x14ac:dyDescent="0.35">
      <c r="A101" t="s">
        <v>24</v>
      </c>
      <c r="D101" t="s">
        <v>28</v>
      </c>
      <c r="E101">
        <v>1998</v>
      </c>
      <c r="F101">
        <v>3</v>
      </c>
      <c r="G101">
        <v>36</v>
      </c>
      <c r="H101">
        <v>4</v>
      </c>
      <c r="I101">
        <v>5</v>
      </c>
      <c r="J101">
        <v>2</v>
      </c>
      <c r="K101" s="13">
        <v>45562</v>
      </c>
      <c r="L101">
        <v>44</v>
      </c>
      <c r="M101">
        <v>0</v>
      </c>
      <c r="N101">
        <f t="shared" si="1"/>
        <v>0</v>
      </c>
    </row>
    <row r="102" spans="1:14" x14ac:dyDescent="0.35">
      <c r="A102" t="s">
        <v>24</v>
      </c>
      <c r="D102" t="s">
        <v>27</v>
      </c>
      <c r="E102">
        <v>1985</v>
      </c>
      <c r="F102">
        <v>3</v>
      </c>
      <c r="G102">
        <v>37</v>
      </c>
      <c r="H102">
        <v>5</v>
      </c>
      <c r="I102">
        <v>5</v>
      </c>
      <c r="J102">
        <v>2</v>
      </c>
      <c r="K102" s="13">
        <v>45562</v>
      </c>
      <c r="L102">
        <v>62</v>
      </c>
      <c r="M102">
        <v>0</v>
      </c>
      <c r="N102">
        <f t="shared" si="1"/>
        <v>0</v>
      </c>
    </row>
    <row r="103" spans="1:14" x14ac:dyDescent="0.35">
      <c r="A103" t="s">
        <v>24</v>
      </c>
      <c r="D103" t="s">
        <v>335</v>
      </c>
      <c r="E103">
        <v>2023</v>
      </c>
      <c r="F103">
        <v>3</v>
      </c>
      <c r="G103">
        <v>38</v>
      </c>
      <c r="H103">
        <v>6</v>
      </c>
      <c r="I103">
        <v>5</v>
      </c>
      <c r="J103">
        <v>2</v>
      </c>
      <c r="K103" s="13">
        <v>45562</v>
      </c>
      <c r="L103">
        <v>38</v>
      </c>
      <c r="M103">
        <v>0</v>
      </c>
      <c r="N103">
        <f t="shared" si="1"/>
        <v>0</v>
      </c>
    </row>
    <row r="104" spans="1:14" x14ac:dyDescent="0.35">
      <c r="A104" t="s">
        <v>24</v>
      </c>
      <c r="D104" t="s">
        <v>29</v>
      </c>
      <c r="E104">
        <v>1999</v>
      </c>
      <c r="F104">
        <v>3</v>
      </c>
      <c r="G104">
        <v>39</v>
      </c>
      <c r="H104">
        <v>7</v>
      </c>
      <c r="I104">
        <v>5</v>
      </c>
      <c r="J104">
        <v>2</v>
      </c>
      <c r="K104" s="13">
        <v>45562</v>
      </c>
      <c r="L104">
        <v>50</v>
      </c>
      <c r="M104">
        <v>0</v>
      </c>
      <c r="N104">
        <f t="shared" si="1"/>
        <v>0</v>
      </c>
    </row>
    <row r="105" spans="1:14" x14ac:dyDescent="0.35">
      <c r="A105" t="s">
        <v>24</v>
      </c>
      <c r="D105" t="s">
        <v>26</v>
      </c>
      <c r="E105">
        <v>1983</v>
      </c>
      <c r="F105">
        <v>3</v>
      </c>
      <c r="G105">
        <v>40</v>
      </c>
      <c r="H105">
        <v>8</v>
      </c>
      <c r="I105">
        <v>5</v>
      </c>
      <c r="J105">
        <v>2</v>
      </c>
      <c r="K105" s="13">
        <v>45562</v>
      </c>
      <c r="L105">
        <v>80</v>
      </c>
      <c r="M105">
        <v>0</v>
      </c>
      <c r="N105">
        <f t="shared" si="1"/>
        <v>0</v>
      </c>
    </row>
    <row r="106" spans="1:14" x14ac:dyDescent="0.35">
      <c r="A106" t="s">
        <v>34</v>
      </c>
      <c r="D106" t="s">
        <v>41</v>
      </c>
      <c r="E106">
        <v>2008</v>
      </c>
      <c r="F106">
        <v>3</v>
      </c>
      <c r="G106">
        <v>41</v>
      </c>
      <c r="H106">
        <v>1</v>
      </c>
      <c r="I106">
        <v>6</v>
      </c>
      <c r="J106">
        <v>2</v>
      </c>
      <c r="K106" s="13">
        <v>45562</v>
      </c>
      <c r="L106">
        <v>65</v>
      </c>
      <c r="M106">
        <v>16</v>
      </c>
      <c r="N106">
        <f t="shared" si="1"/>
        <v>0.24615384615384617</v>
      </c>
    </row>
    <row r="107" spans="1:14" x14ac:dyDescent="0.35">
      <c r="A107" t="s">
        <v>34</v>
      </c>
      <c r="D107" t="s">
        <v>36</v>
      </c>
      <c r="E107">
        <v>1984</v>
      </c>
      <c r="F107">
        <v>3</v>
      </c>
      <c r="G107">
        <v>42</v>
      </c>
      <c r="H107">
        <v>2</v>
      </c>
      <c r="I107">
        <v>6</v>
      </c>
      <c r="J107">
        <v>2</v>
      </c>
      <c r="K107" s="13">
        <v>45562</v>
      </c>
      <c r="L107">
        <v>37</v>
      </c>
      <c r="M107">
        <v>0</v>
      </c>
      <c r="N107">
        <f t="shared" si="1"/>
        <v>0</v>
      </c>
    </row>
    <row r="108" spans="1:14" x14ac:dyDescent="0.35">
      <c r="A108" t="s">
        <v>34</v>
      </c>
      <c r="D108" t="s">
        <v>37</v>
      </c>
      <c r="E108">
        <v>1989</v>
      </c>
      <c r="F108">
        <v>3</v>
      </c>
      <c r="G108">
        <v>43</v>
      </c>
      <c r="H108">
        <v>3</v>
      </c>
      <c r="I108">
        <v>6</v>
      </c>
      <c r="J108">
        <v>2</v>
      </c>
      <c r="K108" s="13">
        <v>45562</v>
      </c>
      <c r="L108">
        <v>46</v>
      </c>
      <c r="M108">
        <v>0</v>
      </c>
      <c r="N108">
        <f t="shared" si="1"/>
        <v>0</v>
      </c>
    </row>
    <row r="109" spans="1:14" x14ac:dyDescent="0.35">
      <c r="A109" t="s">
        <v>34</v>
      </c>
      <c r="D109" t="s">
        <v>42</v>
      </c>
      <c r="E109">
        <v>2016</v>
      </c>
      <c r="F109">
        <v>3</v>
      </c>
      <c r="G109">
        <v>44</v>
      </c>
      <c r="H109">
        <v>4</v>
      </c>
      <c r="I109">
        <v>6</v>
      </c>
      <c r="J109">
        <v>2</v>
      </c>
      <c r="K109" s="13">
        <v>45562</v>
      </c>
      <c r="L109">
        <v>44</v>
      </c>
      <c r="M109">
        <v>0</v>
      </c>
      <c r="N109">
        <f t="shared" si="1"/>
        <v>0</v>
      </c>
    </row>
    <row r="110" spans="1:14" x14ac:dyDescent="0.35">
      <c r="A110" t="s">
        <v>34</v>
      </c>
      <c r="D110" t="s">
        <v>43</v>
      </c>
      <c r="E110">
        <v>2020</v>
      </c>
      <c r="F110">
        <v>3</v>
      </c>
      <c r="G110">
        <v>45</v>
      </c>
      <c r="H110">
        <v>5</v>
      </c>
      <c r="I110">
        <v>6</v>
      </c>
      <c r="J110">
        <v>2</v>
      </c>
      <c r="K110" s="13">
        <v>45562</v>
      </c>
      <c r="L110">
        <v>48</v>
      </c>
      <c r="M110">
        <v>0</v>
      </c>
      <c r="N110">
        <f t="shared" si="1"/>
        <v>0</v>
      </c>
    </row>
    <row r="111" spans="1:14" x14ac:dyDescent="0.35">
      <c r="A111" t="s">
        <v>34</v>
      </c>
      <c r="D111" t="s">
        <v>39</v>
      </c>
      <c r="E111">
        <v>2001</v>
      </c>
      <c r="F111">
        <v>3</v>
      </c>
      <c r="G111">
        <v>46</v>
      </c>
      <c r="H111">
        <v>6</v>
      </c>
      <c r="I111">
        <v>6</v>
      </c>
      <c r="J111">
        <v>2</v>
      </c>
      <c r="K111" s="13">
        <v>45562</v>
      </c>
      <c r="L111">
        <v>58</v>
      </c>
      <c r="M111">
        <v>1</v>
      </c>
      <c r="N111">
        <f t="shared" si="1"/>
        <v>1.7241379310344827E-2</v>
      </c>
    </row>
    <row r="112" spans="1:14" x14ac:dyDescent="0.35">
      <c r="A112" t="s">
        <v>34</v>
      </c>
      <c r="D112" t="s">
        <v>38</v>
      </c>
      <c r="E112">
        <v>1999</v>
      </c>
      <c r="F112">
        <v>3</v>
      </c>
      <c r="G112">
        <v>47</v>
      </c>
      <c r="H112">
        <v>7</v>
      </c>
      <c r="I112">
        <v>6</v>
      </c>
      <c r="J112">
        <v>2</v>
      </c>
      <c r="K112" s="13">
        <v>45562</v>
      </c>
      <c r="L112">
        <v>57</v>
      </c>
      <c r="M112">
        <v>0</v>
      </c>
      <c r="N112">
        <f t="shared" si="1"/>
        <v>0</v>
      </c>
    </row>
    <row r="113" spans="1:14" x14ac:dyDescent="0.35">
      <c r="A113" t="s">
        <v>34</v>
      </c>
      <c r="D113" t="s">
        <v>343</v>
      </c>
      <c r="E113">
        <v>2004</v>
      </c>
      <c r="F113">
        <v>3</v>
      </c>
      <c r="G113">
        <v>48</v>
      </c>
      <c r="H113">
        <v>8</v>
      </c>
      <c r="I113">
        <v>6</v>
      </c>
      <c r="J113">
        <v>2</v>
      </c>
      <c r="K113" s="13">
        <v>45562</v>
      </c>
      <c r="L113">
        <v>49</v>
      </c>
      <c r="M113">
        <v>0</v>
      </c>
      <c r="N113">
        <f t="shared" si="1"/>
        <v>0</v>
      </c>
    </row>
    <row r="114" spans="1:14" x14ac:dyDescent="0.35">
      <c r="A114" t="s">
        <v>24</v>
      </c>
      <c r="D114" t="s">
        <v>32</v>
      </c>
      <c r="E114">
        <v>2018</v>
      </c>
      <c r="F114">
        <v>4</v>
      </c>
      <c r="G114">
        <v>49</v>
      </c>
      <c r="H114">
        <v>1</v>
      </c>
      <c r="I114">
        <v>7</v>
      </c>
      <c r="J114">
        <v>2</v>
      </c>
      <c r="K114" s="13">
        <v>45562</v>
      </c>
      <c r="L114">
        <v>50</v>
      </c>
      <c r="M114">
        <v>0</v>
      </c>
      <c r="N114">
        <f t="shared" si="1"/>
        <v>0</v>
      </c>
    </row>
    <row r="115" spans="1:14" x14ac:dyDescent="0.35">
      <c r="A115" t="s">
        <v>24</v>
      </c>
      <c r="D115" t="s">
        <v>29</v>
      </c>
      <c r="E115">
        <v>1999</v>
      </c>
      <c r="F115">
        <v>4</v>
      </c>
      <c r="G115">
        <v>50</v>
      </c>
      <c r="H115">
        <v>2</v>
      </c>
      <c r="I115">
        <v>7</v>
      </c>
      <c r="J115">
        <v>2</v>
      </c>
      <c r="K115" s="13">
        <v>45562</v>
      </c>
      <c r="L115">
        <v>66</v>
      </c>
      <c r="M115">
        <v>0</v>
      </c>
      <c r="N115">
        <f t="shared" si="1"/>
        <v>0</v>
      </c>
    </row>
    <row r="116" spans="1:14" x14ac:dyDescent="0.35">
      <c r="A116" t="s">
        <v>24</v>
      </c>
      <c r="D116" t="s">
        <v>337</v>
      </c>
      <c r="E116">
        <v>2016</v>
      </c>
      <c r="F116">
        <v>4</v>
      </c>
      <c r="G116">
        <v>51</v>
      </c>
      <c r="H116">
        <v>3</v>
      </c>
      <c r="I116">
        <v>7</v>
      </c>
      <c r="J116">
        <v>2</v>
      </c>
      <c r="K116" s="13">
        <v>45562</v>
      </c>
      <c r="L116">
        <v>60</v>
      </c>
      <c r="M116">
        <v>0</v>
      </c>
      <c r="N116">
        <f t="shared" si="1"/>
        <v>0</v>
      </c>
    </row>
    <row r="117" spans="1:14" x14ac:dyDescent="0.35">
      <c r="A117" t="s">
        <v>24</v>
      </c>
      <c r="D117" t="s">
        <v>27</v>
      </c>
      <c r="E117">
        <v>1985</v>
      </c>
      <c r="F117">
        <v>4</v>
      </c>
      <c r="G117">
        <v>52</v>
      </c>
      <c r="H117">
        <v>4</v>
      </c>
      <c r="I117">
        <v>7</v>
      </c>
      <c r="J117">
        <v>2</v>
      </c>
      <c r="K117" s="13">
        <v>45562</v>
      </c>
      <c r="L117">
        <v>77</v>
      </c>
      <c r="M117">
        <v>0</v>
      </c>
      <c r="N117">
        <f t="shared" si="1"/>
        <v>0</v>
      </c>
    </row>
    <row r="118" spans="1:14" x14ac:dyDescent="0.35">
      <c r="A118" t="s">
        <v>24</v>
      </c>
      <c r="D118" t="s">
        <v>28</v>
      </c>
      <c r="E118">
        <v>1998</v>
      </c>
      <c r="F118">
        <v>4</v>
      </c>
      <c r="G118">
        <v>53</v>
      </c>
      <c r="H118">
        <v>5</v>
      </c>
      <c r="I118">
        <v>7</v>
      </c>
      <c r="J118">
        <v>2</v>
      </c>
      <c r="K118" s="13">
        <v>45562</v>
      </c>
      <c r="L118">
        <v>64</v>
      </c>
      <c r="M118">
        <v>1</v>
      </c>
      <c r="N118">
        <f t="shared" si="1"/>
        <v>1.5625E-2</v>
      </c>
    </row>
    <row r="119" spans="1:14" x14ac:dyDescent="0.35">
      <c r="A119" t="s">
        <v>24</v>
      </c>
      <c r="D119" t="s">
        <v>26</v>
      </c>
      <c r="E119">
        <v>1983</v>
      </c>
      <c r="F119">
        <v>4</v>
      </c>
      <c r="G119">
        <v>54</v>
      </c>
      <c r="H119">
        <v>6</v>
      </c>
      <c r="I119">
        <v>7</v>
      </c>
      <c r="J119">
        <v>2</v>
      </c>
      <c r="K119" s="13">
        <v>45562</v>
      </c>
      <c r="L119">
        <v>74</v>
      </c>
      <c r="M119">
        <v>0</v>
      </c>
      <c r="N119">
        <f t="shared" si="1"/>
        <v>0</v>
      </c>
    </row>
    <row r="120" spans="1:14" x14ac:dyDescent="0.35">
      <c r="A120" t="s">
        <v>24</v>
      </c>
      <c r="D120" t="s">
        <v>335</v>
      </c>
      <c r="E120">
        <v>2023</v>
      </c>
      <c r="F120">
        <v>4</v>
      </c>
      <c r="G120">
        <v>55</v>
      </c>
      <c r="H120">
        <v>7</v>
      </c>
      <c r="I120">
        <v>7</v>
      </c>
      <c r="J120">
        <v>2</v>
      </c>
      <c r="K120" s="13">
        <v>45562</v>
      </c>
      <c r="L120">
        <v>59</v>
      </c>
      <c r="M120">
        <v>0</v>
      </c>
      <c r="N120">
        <f t="shared" si="1"/>
        <v>0</v>
      </c>
    </row>
    <row r="121" spans="1:14" x14ac:dyDescent="0.35">
      <c r="A121" t="s">
        <v>24</v>
      </c>
      <c r="D121" t="s">
        <v>336</v>
      </c>
      <c r="E121">
        <v>2002</v>
      </c>
      <c r="F121">
        <v>4</v>
      </c>
      <c r="G121">
        <v>56</v>
      </c>
      <c r="H121">
        <v>8</v>
      </c>
      <c r="I121">
        <v>7</v>
      </c>
      <c r="J121">
        <v>2</v>
      </c>
      <c r="K121" s="13">
        <v>45562</v>
      </c>
      <c r="L121">
        <v>60</v>
      </c>
      <c r="M121">
        <v>0</v>
      </c>
      <c r="N121">
        <f t="shared" si="1"/>
        <v>0</v>
      </c>
    </row>
    <row r="122" spans="1:14" x14ac:dyDescent="0.35">
      <c r="A122" t="s">
        <v>34</v>
      </c>
      <c r="D122" t="s">
        <v>39</v>
      </c>
      <c r="E122">
        <v>2001</v>
      </c>
      <c r="F122">
        <v>4</v>
      </c>
      <c r="G122">
        <v>57</v>
      </c>
      <c r="H122">
        <v>1</v>
      </c>
      <c r="I122">
        <v>8</v>
      </c>
      <c r="J122">
        <v>2</v>
      </c>
      <c r="K122" s="13">
        <v>45562</v>
      </c>
      <c r="L122">
        <v>48</v>
      </c>
      <c r="M122">
        <v>0</v>
      </c>
      <c r="N122">
        <f t="shared" si="1"/>
        <v>0</v>
      </c>
    </row>
    <row r="123" spans="1:14" x14ac:dyDescent="0.35">
      <c r="A123" t="s">
        <v>34</v>
      </c>
      <c r="D123" t="s">
        <v>37</v>
      </c>
      <c r="E123">
        <v>1989</v>
      </c>
      <c r="F123">
        <v>4</v>
      </c>
      <c r="G123">
        <v>58</v>
      </c>
      <c r="H123">
        <v>2</v>
      </c>
      <c r="I123">
        <v>8</v>
      </c>
      <c r="J123">
        <v>2</v>
      </c>
      <c r="K123" s="13">
        <v>45562</v>
      </c>
      <c r="L123">
        <v>67</v>
      </c>
      <c r="M123">
        <v>0</v>
      </c>
      <c r="N123">
        <f t="shared" si="1"/>
        <v>0</v>
      </c>
    </row>
    <row r="124" spans="1:14" x14ac:dyDescent="0.35">
      <c r="A124" t="s">
        <v>34</v>
      </c>
      <c r="D124" t="s">
        <v>36</v>
      </c>
      <c r="E124">
        <v>1984</v>
      </c>
      <c r="F124">
        <v>4</v>
      </c>
      <c r="G124">
        <v>59</v>
      </c>
      <c r="H124">
        <v>3</v>
      </c>
      <c r="I124">
        <v>8</v>
      </c>
      <c r="J124">
        <v>2</v>
      </c>
      <c r="K124" s="13">
        <v>45562</v>
      </c>
      <c r="L124">
        <v>52</v>
      </c>
      <c r="M124">
        <v>0</v>
      </c>
      <c r="N124">
        <f t="shared" si="1"/>
        <v>0</v>
      </c>
    </row>
    <row r="125" spans="1:14" x14ac:dyDescent="0.35">
      <c r="A125" t="s">
        <v>34</v>
      </c>
      <c r="D125" t="s">
        <v>343</v>
      </c>
      <c r="E125">
        <v>2004</v>
      </c>
      <c r="F125">
        <v>4</v>
      </c>
      <c r="G125">
        <v>60</v>
      </c>
      <c r="H125">
        <v>4</v>
      </c>
      <c r="I125">
        <v>8</v>
      </c>
      <c r="J125">
        <v>2</v>
      </c>
      <c r="K125" s="13">
        <v>45562</v>
      </c>
      <c r="L125">
        <v>55</v>
      </c>
      <c r="M125">
        <v>0</v>
      </c>
      <c r="N125">
        <f t="shared" si="1"/>
        <v>0</v>
      </c>
    </row>
    <row r="126" spans="1:14" x14ac:dyDescent="0.35">
      <c r="A126" t="s">
        <v>34</v>
      </c>
      <c r="D126" t="s">
        <v>41</v>
      </c>
      <c r="E126">
        <v>2008</v>
      </c>
      <c r="F126">
        <v>4</v>
      </c>
      <c r="G126">
        <v>61</v>
      </c>
      <c r="H126">
        <v>5</v>
      </c>
      <c r="I126">
        <v>8</v>
      </c>
      <c r="J126">
        <v>2</v>
      </c>
      <c r="K126" s="13">
        <v>45562</v>
      </c>
      <c r="L126">
        <v>40</v>
      </c>
      <c r="M126">
        <v>4</v>
      </c>
      <c r="N126">
        <f t="shared" si="1"/>
        <v>0.1</v>
      </c>
    </row>
    <row r="127" spans="1:14" x14ac:dyDescent="0.35">
      <c r="A127" t="s">
        <v>34</v>
      </c>
      <c r="D127" t="s">
        <v>38</v>
      </c>
      <c r="E127">
        <v>1999</v>
      </c>
      <c r="F127">
        <v>4</v>
      </c>
      <c r="G127">
        <v>62</v>
      </c>
      <c r="H127">
        <v>6</v>
      </c>
      <c r="I127">
        <v>8</v>
      </c>
      <c r="J127">
        <v>2</v>
      </c>
      <c r="K127" s="13">
        <v>45562</v>
      </c>
      <c r="L127">
        <v>54</v>
      </c>
      <c r="M127">
        <v>0</v>
      </c>
      <c r="N127">
        <f t="shared" si="1"/>
        <v>0</v>
      </c>
    </row>
    <row r="128" spans="1:14" x14ac:dyDescent="0.35">
      <c r="A128" t="s">
        <v>34</v>
      </c>
      <c r="D128" t="s">
        <v>42</v>
      </c>
      <c r="E128">
        <v>2016</v>
      </c>
      <c r="F128">
        <v>4</v>
      </c>
      <c r="G128">
        <v>63</v>
      </c>
      <c r="H128">
        <v>7</v>
      </c>
      <c r="I128">
        <v>8</v>
      </c>
      <c r="J128">
        <v>2</v>
      </c>
      <c r="K128" s="13">
        <v>45562</v>
      </c>
      <c r="L128">
        <v>42</v>
      </c>
      <c r="M128">
        <v>1</v>
      </c>
      <c r="N128">
        <f t="shared" si="1"/>
        <v>2.3809523809523808E-2</v>
      </c>
    </row>
    <row r="129" spans="1:14" x14ac:dyDescent="0.35">
      <c r="A129" t="s">
        <v>34</v>
      </c>
      <c r="D129" t="s">
        <v>43</v>
      </c>
      <c r="E129">
        <v>2020</v>
      </c>
      <c r="F129">
        <v>4</v>
      </c>
      <c r="G129">
        <v>64</v>
      </c>
      <c r="H129">
        <v>8</v>
      </c>
      <c r="I129">
        <v>8</v>
      </c>
      <c r="J129">
        <v>2</v>
      </c>
      <c r="K129" s="13">
        <v>45562</v>
      </c>
      <c r="L129">
        <v>38</v>
      </c>
      <c r="M129">
        <v>0</v>
      </c>
      <c r="N129">
        <f t="shared" si="1"/>
        <v>0</v>
      </c>
    </row>
    <row r="130" spans="1:14" x14ac:dyDescent="0.35">
      <c r="A130" t="s">
        <v>24</v>
      </c>
      <c r="D130" t="s">
        <v>27</v>
      </c>
      <c r="E130">
        <v>1985</v>
      </c>
      <c r="F130">
        <v>1</v>
      </c>
      <c r="G130">
        <v>1</v>
      </c>
      <c r="H130">
        <v>1</v>
      </c>
      <c r="I130">
        <v>1</v>
      </c>
      <c r="J130">
        <v>3</v>
      </c>
      <c r="K130" s="13">
        <v>45564</v>
      </c>
      <c r="L130">
        <v>78</v>
      </c>
      <c r="M130">
        <v>0</v>
      </c>
      <c r="N130">
        <f t="shared" si="1"/>
        <v>0</v>
      </c>
    </row>
    <row r="131" spans="1:14" x14ac:dyDescent="0.35">
      <c r="A131" t="s">
        <v>24</v>
      </c>
      <c r="D131" t="s">
        <v>26</v>
      </c>
      <c r="E131">
        <v>1983</v>
      </c>
      <c r="F131">
        <v>1</v>
      </c>
      <c r="G131">
        <v>2</v>
      </c>
      <c r="H131">
        <v>2</v>
      </c>
      <c r="I131">
        <v>1</v>
      </c>
      <c r="J131">
        <v>3</v>
      </c>
      <c r="K131" s="13">
        <v>45564</v>
      </c>
      <c r="L131">
        <v>63</v>
      </c>
      <c r="M131">
        <v>0</v>
      </c>
      <c r="N131">
        <f t="shared" si="1"/>
        <v>0</v>
      </c>
    </row>
    <row r="132" spans="1:14" x14ac:dyDescent="0.35">
      <c r="A132" t="s">
        <v>24</v>
      </c>
      <c r="D132" t="s">
        <v>335</v>
      </c>
      <c r="E132">
        <v>2023</v>
      </c>
      <c r="F132">
        <v>1</v>
      </c>
      <c r="G132">
        <v>3</v>
      </c>
      <c r="H132">
        <v>3</v>
      </c>
      <c r="I132">
        <v>1</v>
      </c>
      <c r="J132">
        <v>3</v>
      </c>
      <c r="K132" s="13">
        <v>45564</v>
      </c>
      <c r="L132">
        <v>60</v>
      </c>
      <c r="M132">
        <v>9</v>
      </c>
      <c r="N132">
        <f t="shared" ref="N132:N195" si="2">M132/L132</f>
        <v>0.15</v>
      </c>
    </row>
    <row r="133" spans="1:14" x14ac:dyDescent="0.35">
      <c r="A133" t="s">
        <v>24</v>
      </c>
      <c r="D133" t="s">
        <v>29</v>
      </c>
      <c r="E133">
        <v>1999</v>
      </c>
      <c r="F133">
        <v>1</v>
      </c>
      <c r="G133">
        <v>4</v>
      </c>
      <c r="H133">
        <v>4</v>
      </c>
      <c r="I133">
        <v>1</v>
      </c>
      <c r="J133">
        <v>3</v>
      </c>
      <c r="K133" s="13">
        <v>45564</v>
      </c>
      <c r="L133">
        <v>108</v>
      </c>
      <c r="M133">
        <v>0</v>
      </c>
      <c r="N133">
        <f t="shared" si="2"/>
        <v>0</v>
      </c>
    </row>
    <row r="134" spans="1:14" x14ac:dyDescent="0.35">
      <c r="A134" t="s">
        <v>24</v>
      </c>
      <c r="D134" t="s">
        <v>336</v>
      </c>
      <c r="E134">
        <v>2002</v>
      </c>
      <c r="F134">
        <v>1</v>
      </c>
      <c r="G134">
        <v>5</v>
      </c>
      <c r="H134">
        <v>5</v>
      </c>
      <c r="I134">
        <v>1</v>
      </c>
      <c r="J134">
        <v>3</v>
      </c>
      <c r="K134" s="13">
        <v>45564</v>
      </c>
      <c r="L134">
        <v>78</v>
      </c>
      <c r="M134">
        <v>0</v>
      </c>
      <c r="N134">
        <f t="shared" si="2"/>
        <v>0</v>
      </c>
    </row>
    <row r="135" spans="1:14" x14ac:dyDescent="0.35">
      <c r="A135" t="s">
        <v>24</v>
      </c>
      <c r="D135" t="s">
        <v>32</v>
      </c>
      <c r="E135">
        <v>2018</v>
      </c>
      <c r="F135">
        <v>1</v>
      </c>
      <c r="G135">
        <v>6</v>
      </c>
      <c r="H135">
        <v>6</v>
      </c>
      <c r="I135">
        <v>1</v>
      </c>
      <c r="J135">
        <v>3</v>
      </c>
      <c r="K135" s="13">
        <v>45564</v>
      </c>
      <c r="L135">
        <v>74</v>
      </c>
      <c r="M135">
        <v>0</v>
      </c>
      <c r="N135">
        <f t="shared" si="2"/>
        <v>0</v>
      </c>
    </row>
    <row r="136" spans="1:14" x14ac:dyDescent="0.35">
      <c r="A136" t="s">
        <v>24</v>
      </c>
      <c r="D136" t="s">
        <v>28</v>
      </c>
      <c r="E136">
        <v>1998</v>
      </c>
      <c r="F136">
        <v>1</v>
      </c>
      <c r="G136">
        <v>7</v>
      </c>
      <c r="H136">
        <v>7</v>
      </c>
      <c r="I136">
        <v>1</v>
      </c>
      <c r="J136">
        <v>3</v>
      </c>
      <c r="K136" s="13">
        <v>45564</v>
      </c>
      <c r="L136">
        <v>90</v>
      </c>
      <c r="M136">
        <v>3</v>
      </c>
      <c r="N136">
        <f t="shared" si="2"/>
        <v>3.3333333333333333E-2</v>
      </c>
    </row>
    <row r="137" spans="1:14" x14ac:dyDescent="0.35">
      <c r="A137" t="s">
        <v>24</v>
      </c>
      <c r="D137" t="s">
        <v>337</v>
      </c>
      <c r="E137">
        <v>2016</v>
      </c>
      <c r="F137">
        <v>1</v>
      </c>
      <c r="G137">
        <v>8</v>
      </c>
      <c r="H137">
        <v>8</v>
      </c>
      <c r="I137">
        <v>1</v>
      </c>
      <c r="J137">
        <v>3</v>
      </c>
      <c r="K137" s="13">
        <v>45564</v>
      </c>
      <c r="L137">
        <v>50</v>
      </c>
      <c r="M137">
        <v>0</v>
      </c>
      <c r="N137">
        <f t="shared" si="2"/>
        <v>0</v>
      </c>
    </row>
    <row r="138" spans="1:14" x14ac:dyDescent="0.35">
      <c r="A138" t="s">
        <v>34</v>
      </c>
      <c r="D138" t="s">
        <v>42</v>
      </c>
      <c r="E138">
        <v>2016</v>
      </c>
      <c r="F138">
        <v>1</v>
      </c>
      <c r="G138">
        <v>9</v>
      </c>
      <c r="H138">
        <v>1</v>
      </c>
      <c r="I138">
        <v>2</v>
      </c>
      <c r="J138">
        <v>3</v>
      </c>
      <c r="K138" s="13">
        <v>45564</v>
      </c>
      <c r="L138">
        <v>43</v>
      </c>
      <c r="M138">
        <v>13</v>
      </c>
      <c r="N138">
        <f t="shared" si="2"/>
        <v>0.30232558139534882</v>
      </c>
    </row>
    <row r="139" spans="1:14" x14ac:dyDescent="0.35">
      <c r="A139" t="s">
        <v>34</v>
      </c>
      <c r="D139" t="s">
        <v>38</v>
      </c>
      <c r="E139">
        <v>1999</v>
      </c>
      <c r="F139">
        <v>1</v>
      </c>
      <c r="G139">
        <v>10</v>
      </c>
      <c r="H139">
        <v>2</v>
      </c>
      <c r="I139">
        <v>2</v>
      </c>
      <c r="J139">
        <v>3</v>
      </c>
      <c r="K139" s="13">
        <v>45564</v>
      </c>
      <c r="L139">
        <v>59</v>
      </c>
      <c r="M139">
        <v>2</v>
      </c>
      <c r="N139">
        <f t="shared" si="2"/>
        <v>3.3898305084745763E-2</v>
      </c>
    </row>
    <row r="140" spans="1:14" x14ac:dyDescent="0.35">
      <c r="A140" t="s">
        <v>34</v>
      </c>
      <c r="D140" t="s">
        <v>43</v>
      </c>
      <c r="E140">
        <v>2020</v>
      </c>
      <c r="F140">
        <v>1</v>
      </c>
      <c r="G140">
        <v>11</v>
      </c>
      <c r="H140">
        <v>3</v>
      </c>
      <c r="I140">
        <v>2</v>
      </c>
      <c r="J140">
        <v>3</v>
      </c>
      <c r="K140" s="13">
        <v>45564</v>
      </c>
      <c r="L140">
        <v>42</v>
      </c>
      <c r="M140">
        <v>0</v>
      </c>
      <c r="N140">
        <f t="shared" si="2"/>
        <v>0</v>
      </c>
    </row>
    <row r="141" spans="1:14" x14ac:dyDescent="0.35">
      <c r="A141" t="s">
        <v>34</v>
      </c>
      <c r="D141" t="s">
        <v>41</v>
      </c>
      <c r="E141">
        <v>2008</v>
      </c>
      <c r="F141">
        <v>1</v>
      </c>
      <c r="G141">
        <v>12</v>
      </c>
      <c r="H141">
        <v>4</v>
      </c>
      <c r="I141">
        <v>2</v>
      </c>
      <c r="J141">
        <v>3</v>
      </c>
      <c r="K141" s="13">
        <v>45564</v>
      </c>
      <c r="L141">
        <v>39</v>
      </c>
      <c r="M141">
        <v>13</v>
      </c>
      <c r="N141">
        <f t="shared" si="2"/>
        <v>0.33333333333333331</v>
      </c>
    </row>
    <row r="142" spans="1:14" x14ac:dyDescent="0.35">
      <c r="A142" t="s">
        <v>34</v>
      </c>
      <c r="D142" t="s">
        <v>37</v>
      </c>
      <c r="E142">
        <v>1989</v>
      </c>
      <c r="F142">
        <v>1</v>
      </c>
      <c r="G142">
        <v>13</v>
      </c>
      <c r="H142">
        <v>5</v>
      </c>
      <c r="I142">
        <v>2</v>
      </c>
      <c r="J142">
        <v>3</v>
      </c>
      <c r="K142" s="13">
        <v>45564</v>
      </c>
      <c r="L142">
        <v>48</v>
      </c>
      <c r="M142">
        <v>0</v>
      </c>
      <c r="N142">
        <f t="shared" si="2"/>
        <v>0</v>
      </c>
    </row>
    <row r="143" spans="1:14" x14ac:dyDescent="0.35">
      <c r="A143" t="s">
        <v>34</v>
      </c>
      <c r="D143" t="s">
        <v>343</v>
      </c>
      <c r="E143">
        <v>2004</v>
      </c>
      <c r="F143">
        <v>1</v>
      </c>
      <c r="G143">
        <v>14</v>
      </c>
      <c r="H143">
        <v>6</v>
      </c>
      <c r="I143">
        <v>2</v>
      </c>
      <c r="J143">
        <v>3</v>
      </c>
      <c r="K143" s="13">
        <v>45564</v>
      </c>
      <c r="L143">
        <v>44</v>
      </c>
      <c r="M143">
        <v>0</v>
      </c>
      <c r="N143">
        <f t="shared" si="2"/>
        <v>0</v>
      </c>
    </row>
    <row r="144" spans="1:14" x14ac:dyDescent="0.35">
      <c r="A144" t="s">
        <v>34</v>
      </c>
      <c r="D144" t="s">
        <v>36</v>
      </c>
      <c r="E144">
        <v>1984</v>
      </c>
      <c r="F144">
        <v>1</v>
      </c>
      <c r="G144">
        <v>15</v>
      </c>
      <c r="H144">
        <v>7</v>
      </c>
      <c r="I144">
        <v>2</v>
      </c>
      <c r="J144">
        <v>3</v>
      </c>
      <c r="K144" s="13">
        <v>45564</v>
      </c>
      <c r="L144">
        <v>44</v>
      </c>
      <c r="M144">
        <v>0</v>
      </c>
      <c r="N144">
        <f t="shared" si="2"/>
        <v>0</v>
      </c>
    </row>
    <row r="145" spans="1:14" x14ac:dyDescent="0.35">
      <c r="A145" t="s">
        <v>34</v>
      </c>
      <c r="D145" t="s">
        <v>39</v>
      </c>
      <c r="E145">
        <v>2001</v>
      </c>
      <c r="F145">
        <v>1</v>
      </c>
      <c r="G145">
        <v>16</v>
      </c>
      <c r="H145">
        <v>8</v>
      </c>
      <c r="I145">
        <v>2</v>
      </c>
      <c r="J145">
        <v>3</v>
      </c>
      <c r="K145" s="13">
        <v>45564</v>
      </c>
      <c r="L145">
        <v>56</v>
      </c>
      <c r="M145">
        <v>5</v>
      </c>
      <c r="N145">
        <f t="shared" si="2"/>
        <v>8.9285714285714288E-2</v>
      </c>
    </row>
    <row r="146" spans="1:14" x14ac:dyDescent="0.35">
      <c r="A146" t="s">
        <v>24</v>
      </c>
      <c r="D146" t="s">
        <v>335</v>
      </c>
      <c r="E146">
        <v>2023</v>
      </c>
      <c r="F146">
        <v>2</v>
      </c>
      <c r="G146">
        <v>17</v>
      </c>
      <c r="H146">
        <v>1</v>
      </c>
      <c r="I146">
        <v>3</v>
      </c>
      <c r="J146">
        <v>3</v>
      </c>
      <c r="K146" s="13">
        <v>45564</v>
      </c>
      <c r="L146">
        <v>55</v>
      </c>
      <c r="M146">
        <v>11</v>
      </c>
      <c r="N146">
        <f t="shared" si="2"/>
        <v>0.2</v>
      </c>
    </row>
    <row r="147" spans="1:14" x14ac:dyDescent="0.35">
      <c r="A147" t="s">
        <v>24</v>
      </c>
      <c r="D147" t="s">
        <v>28</v>
      </c>
      <c r="E147">
        <v>1998</v>
      </c>
      <c r="F147">
        <v>2</v>
      </c>
      <c r="G147">
        <v>18</v>
      </c>
      <c r="H147">
        <v>2</v>
      </c>
      <c r="I147">
        <v>3</v>
      </c>
      <c r="J147">
        <v>3</v>
      </c>
      <c r="K147" s="13">
        <v>45564</v>
      </c>
      <c r="L147">
        <v>67</v>
      </c>
      <c r="M147">
        <v>4</v>
      </c>
      <c r="N147">
        <f t="shared" si="2"/>
        <v>5.9701492537313432E-2</v>
      </c>
    </row>
    <row r="148" spans="1:14" x14ac:dyDescent="0.35">
      <c r="A148" t="s">
        <v>24</v>
      </c>
      <c r="D148" t="s">
        <v>26</v>
      </c>
      <c r="E148">
        <v>1983</v>
      </c>
      <c r="F148">
        <v>2</v>
      </c>
      <c r="G148">
        <v>19</v>
      </c>
      <c r="H148">
        <v>3</v>
      </c>
      <c r="I148">
        <v>3</v>
      </c>
      <c r="J148">
        <v>3</v>
      </c>
      <c r="K148" s="13">
        <v>45564</v>
      </c>
      <c r="L148">
        <v>67</v>
      </c>
      <c r="M148">
        <v>0</v>
      </c>
      <c r="N148">
        <f t="shared" si="2"/>
        <v>0</v>
      </c>
    </row>
    <row r="149" spans="1:14" x14ac:dyDescent="0.35">
      <c r="A149" t="s">
        <v>24</v>
      </c>
      <c r="D149" t="s">
        <v>336</v>
      </c>
      <c r="E149">
        <v>2002</v>
      </c>
      <c r="F149">
        <v>2</v>
      </c>
      <c r="G149">
        <v>20</v>
      </c>
      <c r="H149">
        <v>4</v>
      </c>
      <c r="I149">
        <v>3</v>
      </c>
      <c r="J149">
        <v>3</v>
      </c>
      <c r="K149" s="13">
        <v>45564</v>
      </c>
      <c r="L149">
        <v>53</v>
      </c>
      <c r="M149">
        <v>0</v>
      </c>
      <c r="N149">
        <f t="shared" si="2"/>
        <v>0</v>
      </c>
    </row>
    <row r="150" spans="1:14" x14ac:dyDescent="0.35">
      <c r="A150" t="s">
        <v>24</v>
      </c>
      <c r="D150" t="s">
        <v>29</v>
      </c>
      <c r="E150">
        <v>1999</v>
      </c>
      <c r="F150">
        <v>2</v>
      </c>
      <c r="G150">
        <v>21</v>
      </c>
      <c r="H150">
        <v>5</v>
      </c>
      <c r="I150">
        <v>3</v>
      </c>
      <c r="J150">
        <v>3</v>
      </c>
      <c r="K150" s="13">
        <v>45564</v>
      </c>
      <c r="L150">
        <v>63</v>
      </c>
      <c r="M150">
        <v>0</v>
      </c>
      <c r="N150">
        <f t="shared" si="2"/>
        <v>0</v>
      </c>
    </row>
    <row r="151" spans="1:14" x14ac:dyDescent="0.35">
      <c r="A151" t="s">
        <v>24</v>
      </c>
      <c r="D151" t="s">
        <v>337</v>
      </c>
      <c r="E151">
        <v>2016</v>
      </c>
      <c r="F151">
        <v>2</v>
      </c>
      <c r="G151">
        <v>22</v>
      </c>
      <c r="H151">
        <v>6</v>
      </c>
      <c r="I151">
        <v>3</v>
      </c>
      <c r="J151">
        <v>3</v>
      </c>
      <c r="K151" s="13">
        <v>45564</v>
      </c>
      <c r="L151">
        <v>63</v>
      </c>
      <c r="M151">
        <v>0</v>
      </c>
      <c r="N151">
        <f t="shared" si="2"/>
        <v>0</v>
      </c>
    </row>
    <row r="152" spans="1:14" x14ac:dyDescent="0.35">
      <c r="A152" t="s">
        <v>24</v>
      </c>
      <c r="D152" t="s">
        <v>32</v>
      </c>
      <c r="E152">
        <v>2018</v>
      </c>
      <c r="F152">
        <v>2</v>
      </c>
      <c r="G152">
        <v>23</v>
      </c>
      <c r="H152">
        <v>7</v>
      </c>
      <c r="I152">
        <v>3</v>
      </c>
      <c r="J152">
        <v>3</v>
      </c>
      <c r="K152" s="13">
        <v>45564</v>
      </c>
      <c r="L152">
        <v>53</v>
      </c>
      <c r="M152">
        <v>0</v>
      </c>
      <c r="N152">
        <f t="shared" si="2"/>
        <v>0</v>
      </c>
    </row>
    <row r="153" spans="1:14" x14ac:dyDescent="0.35">
      <c r="A153" t="s">
        <v>24</v>
      </c>
      <c r="D153" t="s">
        <v>27</v>
      </c>
      <c r="E153">
        <v>1985</v>
      </c>
      <c r="F153">
        <v>2</v>
      </c>
      <c r="G153">
        <v>24</v>
      </c>
      <c r="H153">
        <v>8</v>
      </c>
      <c r="I153">
        <v>3</v>
      </c>
      <c r="J153">
        <v>3</v>
      </c>
      <c r="K153" s="13">
        <v>45564</v>
      </c>
      <c r="L153">
        <v>65</v>
      </c>
      <c r="M153">
        <v>0</v>
      </c>
      <c r="N153">
        <f t="shared" si="2"/>
        <v>0</v>
      </c>
    </row>
    <row r="154" spans="1:14" x14ac:dyDescent="0.35">
      <c r="A154" t="s">
        <v>34</v>
      </c>
      <c r="D154" t="s">
        <v>343</v>
      </c>
      <c r="E154">
        <v>2004</v>
      </c>
      <c r="F154">
        <v>2</v>
      </c>
      <c r="G154">
        <v>25</v>
      </c>
      <c r="H154">
        <v>1</v>
      </c>
      <c r="I154">
        <v>4</v>
      </c>
      <c r="J154">
        <v>3</v>
      </c>
      <c r="K154" s="13">
        <v>45564</v>
      </c>
      <c r="L154">
        <v>55</v>
      </c>
      <c r="M154">
        <v>1</v>
      </c>
      <c r="N154">
        <f t="shared" si="2"/>
        <v>1.8181818181818181E-2</v>
      </c>
    </row>
    <row r="155" spans="1:14" x14ac:dyDescent="0.35">
      <c r="A155" t="s">
        <v>34</v>
      </c>
      <c r="D155" t="s">
        <v>43</v>
      </c>
      <c r="E155">
        <v>2020</v>
      </c>
      <c r="F155">
        <v>2</v>
      </c>
      <c r="G155">
        <v>26</v>
      </c>
      <c r="H155">
        <v>2</v>
      </c>
      <c r="I155">
        <v>4</v>
      </c>
      <c r="J155">
        <v>3</v>
      </c>
      <c r="K155" s="13">
        <v>45564</v>
      </c>
      <c r="L155">
        <v>49</v>
      </c>
      <c r="M155">
        <v>0</v>
      </c>
      <c r="N155">
        <f t="shared" si="2"/>
        <v>0</v>
      </c>
    </row>
    <row r="156" spans="1:14" x14ac:dyDescent="0.35">
      <c r="A156" t="s">
        <v>34</v>
      </c>
      <c r="D156" t="s">
        <v>38</v>
      </c>
      <c r="E156">
        <v>1999</v>
      </c>
      <c r="F156">
        <v>2</v>
      </c>
      <c r="G156">
        <v>27</v>
      </c>
      <c r="H156">
        <v>3</v>
      </c>
      <c r="I156">
        <v>4</v>
      </c>
      <c r="J156">
        <v>3</v>
      </c>
      <c r="K156" s="13">
        <v>45564</v>
      </c>
      <c r="L156">
        <v>48</v>
      </c>
      <c r="M156">
        <v>0</v>
      </c>
      <c r="N156">
        <f t="shared" si="2"/>
        <v>0</v>
      </c>
    </row>
    <row r="157" spans="1:14" x14ac:dyDescent="0.35">
      <c r="A157" t="s">
        <v>34</v>
      </c>
      <c r="D157" t="s">
        <v>39</v>
      </c>
      <c r="E157">
        <v>2001</v>
      </c>
      <c r="F157">
        <v>2</v>
      </c>
      <c r="G157">
        <v>28</v>
      </c>
      <c r="H157">
        <v>4</v>
      </c>
      <c r="I157">
        <v>4</v>
      </c>
      <c r="J157">
        <v>3</v>
      </c>
      <c r="K157" s="13">
        <v>45564</v>
      </c>
      <c r="L157">
        <v>36</v>
      </c>
      <c r="M157">
        <v>2</v>
      </c>
      <c r="N157">
        <f t="shared" si="2"/>
        <v>5.5555555555555552E-2</v>
      </c>
    </row>
    <row r="158" spans="1:14" x14ac:dyDescent="0.35">
      <c r="A158" t="s">
        <v>34</v>
      </c>
      <c r="D158" t="s">
        <v>42</v>
      </c>
      <c r="E158">
        <v>2016</v>
      </c>
      <c r="F158">
        <v>2</v>
      </c>
      <c r="G158">
        <v>29</v>
      </c>
      <c r="H158">
        <v>5</v>
      </c>
      <c r="I158">
        <v>4</v>
      </c>
      <c r="J158">
        <v>3</v>
      </c>
      <c r="K158" s="13">
        <v>45564</v>
      </c>
      <c r="L158">
        <v>45</v>
      </c>
      <c r="M158">
        <v>2</v>
      </c>
      <c r="N158">
        <f t="shared" si="2"/>
        <v>4.4444444444444446E-2</v>
      </c>
    </row>
    <row r="159" spans="1:14" x14ac:dyDescent="0.35">
      <c r="A159" t="s">
        <v>34</v>
      </c>
      <c r="D159" t="s">
        <v>36</v>
      </c>
      <c r="E159">
        <v>1984</v>
      </c>
      <c r="F159">
        <v>2</v>
      </c>
      <c r="G159">
        <v>30</v>
      </c>
      <c r="H159">
        <v>6</v>
      </c>
      <c r="I159">
        <v>4</v>
      </c>
      <c r="J159">
        <v>3</v>
      </c>
      <c r="K159" s="13">
        <v>45564</v>
      </c>
      <c r="L159">
        <v>48</v>
      </c>
      <c r="M159">
        <v>0</v>
      </c>
      <c r="N159">
        <f t="shared" si="2"/>
        <v>0</v>
      </c>
    </row>
    <row r="160" spans="1:14" x14ac:dyDescent="0.35">
      <c r="A160" t="s">
        <v>34</v>
      </c>
      <c r="D160" t="s">
        <v>41</v>
      </c>
      <c r="E160">
        <v>2008</v>
      </c>
      <c r="F160">
        <v>2</v>
      </c>
      <c r="G160">
        <v>31</v>
      </c>
      <c r="H160">
        <v>7</v>
      </c>
      <c r="I160">
        <v>4</v>
      </c>
      <c r="J160">
        <v>3</v>
      </c>
      <c r="K160" s="13">
        <v>45564</v>
      </c>
      <c r="L160">
        <v>61</v>
      </c>
      <c r="M160">
        <v>46</v>
      </c>
      <c r="N160">
        <f t="shared" si="2"/>
        <v>0.75409836065573765</v>
      </c>
    </row>
    <row r="161" spans="1:14" x14ac:dyDescent="0.35">
      <c r="A161" t="s">
        <v>34</v>
      </c>
      <c r="D161" t="s">
        <v>37</v>
      </c>
      <c r="E161">
        <v>1989</v>
      </c>
      <c r="F161">
        <v>2</v>
      </c>
      <c r="G161">
        <v>32</v>
      </c>
      <c r="H161">
        <v>8</v>
      </c>
      <c r="I161">
        <v>4</v>
      </c>
      <c r="J161">
        <v>3</v>
      </c>
      <c r="K161" s="13">
        <v>45564</v>
      </c>
      <c r="L161">
        <v>64</v>
      </c>
      <c r="M161">
        <v>2</v>
      </c>
      <c r="N161">
        <f t="shared" si="2"/>
        <v>3.125E-2</v>
      </c>
    </row>
    <row r="162" spans="1:14" x14ac:dyDescent="0.35">
      <c r="A162" t="s">
        <v>24</v>
      </c>
      <c r="D162" t="s">
        <v>336</v>
      </c>
      <c r="E162">
        <v>2002</v>
      </c>
      <c r="F162">
        <v>3</v>
      </c>
      <c r="G162">
        <v>33</v>
      </c>
      <c r="H162">
        <v>1</v>
      </c>
      <c r="I162">
        <v>5</v>
      </c>
      <c r="J162">
        <v>3</v>
      </c>
      <c r="K162" s="13">
        <v>45564</v>
      </c>
      <c r="L162">
        <v>34</v>
      </c>
      <c r="M162">
        <v>0</v>
      </c>
      <c r="N162">
        <f t="shared" si="2"/>
        <v>0</v>
      </c>
    </row>
    <row r="163" spans="1:14" x14ac:dyDescent="0.35">
      <c r="A163" t="s">
        <v>24</v>
      </c>
      <c r="D163" t="s">
        <v>337</v>
      </c>
      <c r="E163">
        <v>2016</v>
      </c>
      <c r="F163">
        <v>3</v>
      </c>
      <c r="G163">
        <v>34</v>
      </c>
      <c r="H163">
        <v>2</v>
      </c>
      <c r="I163">
        <v>5</v>
      </c>
      <c r="J163">
        <v>3</v>
      </c>
      <c r="K163" s="13">
        <v>45564</v>
      </c>
      <c r="L163">
        <v>61</v>
      </c>
      <c r="M163">
        <v>0</v>
      </c>
      <c r="N163">
        <f t="shared" si="2"/>
        <v>0</v>
      </c>
    </row>
    <row r="164" spans="1:14" x14ac:dyDescent="0.35">
      <c r="A164" t="s">
        <v>24</v>
      </c>
      <c r="D164" t="s">
        <v>32</v>
      </c>
      <c r="E164">
        <v>2018</v>
      </c>
      <c r="F164">
        <v>3</v>
      </c>
      <c r="G164">
        <v>35</v>
      </c>
      <c r="H164">
        <v>3</v>
      </c>
      <c r="I164">
        <v>5</v>
      </c>
      <c r="J164">
        <v>3</v>
      </c>
      <c r="K164" s="13">
        <v>45564</v>
      </c>
      <c r="L164">
        <v>36</v>
      </c>
      <c r="M164">
        <v>0</v>
      </c>
      <c r="N164">
        <f t="shared" si="2"/>
        <v>0</v>
      </c>
    </row>
    <row r="165" spans="1:14" x14ac:dyDescent="0.35">
      <c r="A165" t="s">
        <v>24</v>
      </c>
      <c r="D165" t="s">
        <v>28</v>
      </c>
      <c r="E165">
        <v>1998</v>
      </c>
      <c r="F165">
        <v>3</v>
      </c>
      <c r="G165">
        <v>36</v>
      </c>
      <c r="H165">
        <v>4</v>
      </c>
      <c r="I165">
        <v>5</v>
      </c>
      <c r="J165">
        <v>3</v>
      </c>
      <c r="K165" s="13">
        <v>45564</v>
      </c>
      <c r="L165">
        <v>44</v>
      </c>
      <c r="M165">
        <v>5</v>
      </c>
      <c r="N165">
        <f t="shared" si="2"/>
        <v>0.11363636363636363</v>
      </c>
    </row>
    <row r="166" spans="1:14" x14ac:dyDescent="0.35">
      <c r="A166" t="s">
        <v>24</v>
      </c>
      <c r="D166" t="s">
        <v>27</v>
      </c>
      <c r="E166">
        <v>1985</v>
      </c>
      <c r="F166">
        <v>3</v>
      </c>
      <c r="G166">
        <v>37</v>
      </c>
      <c r="H166">
        <v>5</v>
      </c>
      <c r="I166">
        <v>5</v>
      </c>
      <c r="J166">
        <v>3</v>
      </c>
      <c r="K166" s="13">
        <v>45564</v>
      </c>
      <c r="L166">
        <v>62</v>
      </c>
      <c r="M166">
        <v>0</v>
      </c>
      <c r="N166">
        <f t="shared" si="2"/>
        <v>0</v>
      </c>
    </row>
    <row r="167" spans="1:14" x14ac:dyDescent="0.35">
      <c r="A167" t="s">
        <v>24</v>
      </c>
      <c r="D167" t="s">
        <v>335</v>
      </c>
      <c r="E167">
        <v>2023</v>
      </c>
      <c r="F167">
        <v>3</v>
      </c>
      <c r="G167">
        <v>38</v>
      </c>
      <c r="H167">
        <v>6</v>
      </c>
      <c r="I167">
        <v>5</v>
      </c>
      <c r="J167">
        <v>3</v>
      </c>
      <c r="K167" s="13">
        <v>45564</v>
      </c>
      <c r="L167">
        <v>38</v>
      </c>
      <c r="M167">
        <v>2</v>
      </c>
      <c r="N167">
        <f t="shared" si="2"/>
        <v>5.2631578947368418E-2</v>
      </c>
    </row>
    <row r="168" spans="1:14" x14ac:dyDescent="0.35">
      <c r="A168" t="s">
        <v>24</v>
      </c>
      <c r="D168" t="s">
        <v>29</v>
      </c>
      <c r="E168">
        <v>1999</v>
      </c>
      <c r="F168">
        <v>3</v>
      </c>
      <c r="G168">
        <v>39</v>
      </c>
      <c r="H168">
        <v>7</v>
      </c>
      <c r="I168">
        <v>5</v>
      </c>
      <c r="J168">
        <v>3</v>
      </c>
      <c r="K168" s="13">
        <v>45564</v>
      </c>
      <c r="L168">
        <v>50</v>
      </c>
      <c r="M168">
        <v>0</v>
      </c>
      <c r="N168">
        <f t="shared" si="2"/>
        <v>0</v>
      </c>
    </row>
    <row r="169" spans="1:14" x14ac:dyDescent="0.35">
      <c r="A169" t="s">
        <v>24</v>
      </c>
      <c r="D169" t="s">
        <v>26</v>
      </c>
      <c r="E169">
        <v>1983</v>
      </c>
      <c r="F169">
        <v>3</v>
      </c>
      <c r="G169">
        <v>40</v>
      </c>
      <c r="H169">
        <v>8</v>
      </c>
      <c r="I169">
        <v>5</v>
      </c>
      <c r="J169">
        <v>3</v>
      </c>
      <c r="K169" s="13">
        <v>45564</v>
      </c>
      <c r="L169">
        <v>80</v>
      </c>
      <c r="M169">
        <v>0</v>
      </c>
      <c r="N169">
        <f t="shared" si="2"/>
        <v>0</v>
      </c>
    </row>
    <row r="170" spans="1:14" x14ac:dyDescent="0.35">
      <c r="A170" t="s">
        <v>34</v>
      </c>
      <c r="D170" t="s">
        <v>41</v>
      </c>
      <c r="E170">
        <v>2008</v>
      </c>
      <c r="F170">
        <v>3</v>
      </c>
      <c r="G170">
        <v>41</v>
      </c>
      <c r="H170">
        <v>1</v>
      </c>
      <c r="I170">
        <v>6</v>
      </c>
      <c r="J170">
        <v>3</v>
      </c>
      <c r="K170" s="13">
        <v>45564</v>
      </c>
      <c r="L170">
        <v>65</v>
      </c>
      <c r="M170">
        <v>35</v>
      </c>
      <c r="N170">
        <f t="shared" si="2"/>
        <v>0.53846153846153844</v>
      </c>
    </row>
    <row r="171" spans="1:14" x14ac:dyDescent="0.35">
      <c r="A171" t="s">
        <v>34</v>
      </c>
      <c r="D171" t="s">
        <v>36</v>
      </c>
      <c r="E171">
        <v>1984</v>
      </c>
      <c r="F171">
        <v>3</v>
      </c>
      <c r="G171">
        <v>42</v>
      </c>
      <c r="H171">
        <v>2</v>
      </c>
      <c r="I171">
        <v>6</v>
      </c>
      <c r="J171">
        <v>3</v>
      </c>
      <c r="K171" s="13">
        <v>45564</v>
      </c>
      <c r="L171">
        <v>37</v>
      </c>
      <c r="M171">
        <v>0</v>
      </c>
      <c r="N171">
        <f t="shared" si="2"/>
        <v>0</v>
      </c>
    </row>
    <row r="172" spans="1:14" x14ac:dyDescent="0.35">
      <c r="A172" t="s">
        <v>34</v>
      </c>
      <c r="D172" t="s">
        <v>37</v>
      </c>
      <c r="E172">
        <v>1989</v>
      </c>
      <c r="F172">
        <v>3</v>
      </c>
      <c r="G172">
        <v>43</v>
      </c>
      <c r="H172">
        <v>3</v>
      </c>
      <c r="I172">
        <v>6</v>
      </c>
      <c r="J172">
        <v>3</v>
      </c>
      <c r="K172" s="13">
        <v>45564</v>
      </c>
      <c r="L172">
        <v>46</v>
      </c>
      <c r="M172">
        <v>0</v>
      </c>
      <c r="N172">
        <f t="shared" si="2"/>
        <v>0</v>
      </c>
    </row>
    <row r="173" spans="1:14" x14ac:dyDescent="0.35">
      <c r="A173" t="s">
        <v>34</v>
      </c>
      <c r="D173" t="s">
        <v>42</v>
      </c>
      <c r="E173">
        <v>2016</v>
      </c>
      <c r="F173">
        <v>3</v>
      </c>
      <c r="G173">
        <v>44</v>
      </c>
      <c r="H173">
        <v>4</v>
      </c>
      <c r="I173">
        <v>6</v>
      </c>
      <c r="J173">
        <v>3</v>
      </c>
      <c r="K173" s="13">
        <v>45564</v>
      </c>
      <c r="L173">
        <v>44</v>
      </c>
      <c r="M173">
        <v>3</v>
      </c>
      <c r="N173">
        <f t="shared" si="2"/>
        <v>6.8181818181818177E-2</v>
      </c>
    </row>
    <row r="174" spans="1:14" x14ac:dyDescent="0.35">
      <c r="A174" t="s">
        <v>34</v>
      </c>
      <c r="D174" t="s">
        <v>43</v>
      </c>
      <c r="E174">
        <v>2020</v>
      </c>
      <c r="F174">
        <v>3</v>
      </c>
      <c r="G174">
        <v>45</v>
      </c>
      <c r="H174">
        <v>5</v>
      </c>
      <c r="I174">
        <v>6</v>
      </c>
      <c r="J174">
        <v>3</v>
      </c>
      <c r="K174" s="13">
        <v>45564</v>
      </c>
      <c r="L174">
        <v>48</v>
      </c>
      <c r="M174">
        <v>0</v>
      </c>
      <c r="N174">
        <f t="shared" si="2"/>
        <v>0</v>
      </c>
    </row>
    <row r="175" spans="1:14" x14ac:dyDescent="0.35">
      <c r="A175" t="s">
        <v>34</v>
      </c>
      <c r="D175" t="s">
        <v>39</v>
      </c>
      <c r="E175">
        <v>2001</v>
      </c>
      <c r="F175">
        <v>3</v>
      </c>
      <c r="G175">
        <v>46</v>
      </c>
      <c r="H175">
        <v>6</v>
      </c>
      <c r="I175">
        <v>6</v>
      </c>
      <c r="J175">
        <v>3</v>
      </c>
      <c r="K175" s="13">
        <v>45564</v>
      </c>
      <c r="L175">
        <v>58</v>
      </c>
      <c r="M175">
        <v>12</v>
      </c>
      <c r="N175">
        <f t="shared" si="2"/>
        <v>0.20689655172413793</v>
      </c>
    </row>
    <row r="176" spans="1:14" x14ac:dyDescent="0.35">
      <c r="A176" t="s">
        <v>34</v>
      </c>
      <c r="D176" t="s">
        <v>38</v>
      </c>
      <c r="E176">
        <v>1999</v>
      </c>
      <c r="F176">
        <v>3</v>
      </c>
      <c r="G176">
        <v>47</v>
      </c>
      <c r="H176">
        <v>7</v>
      </c>
      <c r="I176">
        <v>6</v>
      </c>
      <c r="J176">
        <v>3</v>
      </c>
      <c r="K176" s="13">
        <v>45564</v>
      </c>
      <c r="L176">
        <v>57</v>
      </c>
      <c r="M176">
        <v>0</v>
      </c>
      <c r="N176">
        <f t="shared" si="2"/>
        <v>0</v>
      </c>
    </row>
    <row r="177" spans="1:14" x14ac:dyDescent="0.35">
      <c r="A177" t="s">
        <v>34</v>
      </c>
      <c r="D177" t="s">
        <v>343</v>
      </c>
      <c r="E177">
        <v>2004</v>
      </c>
      <c r="F177">
        <v>3</v>
      </c>
      <c r="G177">
        <v>48</v>
      </c>
      <c r="H177">
        <v>8</v>
      </c>
      <c r="I177">
        <v>6</v>
      </c>
      <c r="J177">
        <v>3</v>
      </c>
      <c r="K177" s="13">
        <v>45564</v>
      </c>
      <c r="L177">
        <v>49</v>
      </c>
      <c r="M177">
        <v>1</v>
      </c>
      <c r="N177">
        <f t="shared" si="2"/>
        <v>2.0408163265306121E-2</v>
      </c>
    </row>
    <row r="178" spans="1:14" x14ac:dyDescent="0.35">
      <c r="A178" t="s">
        <v>24</v>
      </c>
      <c r="D178" t="s">
        <v>32</v>
      </c>
      <c r="E178">
        <v>2018</v>
      </c>
      <c r="F178">
        <v>4</v>
      </c>
      <c r="G178">
        <v>49</v>
      </c>
      <c r="H178">
        <v>1</v>
      </c>
      <c r="I178">
        <v>7</v>
      </c>
      <c r="J178">
        <v>3</v>
      </c>
      <c r="K178" s="13">
        <v>45564</v>
      </c>
      <c r="L178">
        <v>50</v>
      </c>
      <c r="M178">
        <v>0</v>
      </c>
      <c r="N178">
        <f t="shared" si="2"/>
        <v>0</v>
      </c>
    </row>
    <row r="179" spans="1:14" x14ac:dyDescent="0.35">
      <c r="A179" t="s">
        <v>24</v>
      </c>
      <c r="D179" t="s">
        <v>29</v>
      </c>
      <c r="E179">
        <v>1999</v>
      </c>
      <c r="F179">
        <v>4</v>
      </c>
      <c r="G179">
        <v>50</v>
      </c>
      <c r="H179">
        <v>2</v>
      </c>
      <c r="I179">
        <v>7</v>
      </c>
      <c r="J179">
        <v>3</v>
      </c>
      <c r="K179" s="13">
        <v>45564</v>
      </c>
      <c r="L179">
        <v>66</v>
      </c>
      <c r="M179">
        <v>0</v>
      </c>
      <c r="N179">
        <f t="shared" si="2"/>
        <v>0</v>
      </c>
    </row>
    <row r="180" spans="1:14" x14ac:dyDescent="0.35">
      <c r="A180" t="s">
        <v>24</v>
      </c>
      <c r="D180" t="s">
        <v>337</v>
      </c>
      <c r="E180">
        <v>2016</v>
      </c>
      <c r="F180">
        <v>4</v>
      </c>
      <c r="G180">
        <v>51</v>
      </c>
      <c r="H180">
        <v>3</v>
      </c>
      <c r="I180">
        <v>7</v>
      </c>
      <c r="J180">
        <v>3</v>
      </c>
      <c r="K180" s="13">
        <v>45564</v>
      </c>
      <c r="L180">
        <v>60</v>
      </c>
      <c r="M180">
        <v>0</v>
      </c>
      <c r="N180">
        <f t="shared" si="2"/>
        <v>0</v>
      </c>
    </row>
    <row r="181" spans="1:14" x14ac:dyDescent="0.35">
      <c r="A181" t="s">
        <v>24</v>
      </c>
      <c r="D181" t="s">
        <v>27</v>
      </c>
      <c r="E181">
        <v>1985</v>
      </c>
      <c r="F181">
        <v>4</v>
      </c>
      <c r="G181">
        <v>52</v>
      </c>
      <c r="H181">
        <v>4</v>
      </c>
      <c r="I181">
        <v>7</v>
      </c>
      <c r="J181">
        <v>3</v>
      </c>
      <c r="K181" s="13">
        <v>45564</v>
      </c>
      <c r="L181">
        <v>77</v>
      </c>
      <c r="M181">
        <v>0</v>
      </c>
      <c r="N181">
        <f t="shared" si="2"/>
        <v>0</v>
      </c>
    </row>
    <row r="182" spans="1:14" x14ac:dyDescent="0.35">
      <c r="A182" t="s">
        <v>24</v>
      </c>
      <c r="D182" t="s">
        <v>28</v>
      </c>
      <c r="E182">
        <v>1998</v>
      </c>
      <c r="F182">
        <v>4</v>
      </c>
      <c r="G182">
        <v>53</v>
      </c>
      <c r="H182">
        <v>5</v>
      </c>
      <c r="I182">
        <v>7</v>
      </c>
      <c r="J182">
        <v>3</v>
      </c>
      <c r="K182" s="13">
        <v>45564</v>
      </c>
      <c r="L182">
        <v>64</v>
      </c>
      <c r="M182">
        <v>7</v>
      </c>
      <c r="N182">
        <f t="shared" si="2"/>
        <v>0.109375</v>
      </c>
    </row>
    <row r="183" spans="1:14" x14ac:dyDescent="0.35">
      <c r="A183" t="s">
        <v>24</v>
      </c>
      <c r="D183" t="s">
        <v>26</v>
      </c>
      <c r="E183">
        <v>1983</v>
      </c>
      <c r="F183">
        <v>4</v>
      </c>
      <c r="G183">
        <v>54</v>
      </c>
      <c r="H183">
        <v>6</v>
      </c>
      <c r="I183">
        <v>7</v>
      </c>
      <c r="J183">
        <v>3</v>
      </c>
      <c r="K183" s="13">
        <v>45564</v>
      </c>
      <c r="L183">
        <v>74</v>
      </c>
      <c r="M183">
        <v>0</v>
      </c>
      <c r="N183">
        <f t="shared" si="2"/>
        <v>0</v>
      </c>
    </row>
    <row r="184" spans="1:14" x14ac:dyDescent="0.35">
      <c r="A184" t="s">
        <v>24</v>
      </c>
      <c r="D184" t="s">
        <v>335</v>
      </c>
      <c r="E184">
        <v>2023</v>
      </c>
      <c r="F184">
        <v>4</v>
      </c>
      <c r="G184">
        <v>55</v>
      </c>
      <c r="H184">
        <v>7</v>
      </c>
      <c r="I184">
        <v>7</v>
      </c>
      <c r="J184">
        <v>3</v>
      </c>
      <c r="K184" s="13">
        <v>45564</v>
      </c>
      <c r="L184">
        <v>59</v>
      </c>
      <c r="M184">
        <v>2</v>
      </c>
      <c r="N184">
        <f t="shared" si="2"/>
        <v>3.3898305084745763E-2</v>
      </c>
    </row>
    <row r="185" spans="1:14" x14ac:dyDescent="0.35">
      <c r="A185" t="s">
        <v>24</v>
      </c>
      <c r="D185" t="s">
        <v>336</v>
      </c>
      <c r="E185">
        <v>2002</v>
      </c>
      <c r="F185">
        <v>4</v>
      </c>
      <c r="G185">
        <v>56</v>
      </c>
      <c r="H185">
        <v>8</v>
      </c>
      <c r="I185">
        <v>7</v>
      </c>
      <c r="J185">
        <v>3</v>
      </c>
      <c r="K185" s="13">
        <v>45564</v>
      </c>
      <c r="L185">
        <v>60</v>
      </c>
      <c r="M185">
        <v>0</v>
      </c>
      <c r="N185">
        <f t="shared" si="2"/>
        <v>0</v>
      </c>
    </row>
    <row r="186" spans="1:14" x14ac:dyDescent="0.35">
      <c r="A186" t="s">
        <v>34</v>
      </c>
      <c r="D186" t="s">
        <v>39</v>
      </c>
      <c r="E186">
        <v>2001</v>
      </c>
      <c r="F186">
        <v>4</v>
      </c>
      <c r="G186">
        <v>57</v>
      </c>
      <c r="H186">
        <v>1</v>
      </c>
      <c r="I186">
        <v>8</v>
      </c>
      <c r="J186">
        <v>3</v>
      </c>
      <c r="K186" s="13">
        <v>45564</v>
      </c>
      <c r="L186">
        <v>48</v>
      </c>
      <c r="M186">
        <v>10</v>
      </c>
      <c r="N186">
        <f t="shared" si="2"/>
        <v>0.20833333333333334</v>
      </c>
    </row>
    <row r="187" spans="1:14" x14ac:dyDescent="0.35">
      <c r="A187" t="s">
        <v>34</v>
      </c>
      <c r="D187" t="s">
        <v>37</v>
      </c>
      <c r="E187">
        <v>1989</v>
      </c>
      <c r="F187">
        <v>4</v>
      </c>
      <c r="G187">
        <v>58</v>
      </c>
      <c r="H187">
        <v>2</v>
      </c>
      <c r="I187">
        <v>8</v>
      </c>
      <c r="J187">
        <v>3</v>
      </c>
      <c r="K187" s="13">
        <v>45564</v>
      </c>
      <c r="L187">
        <v>67</v>
      </c>
      <c r="M187">
        <v>0</v>
      </c>
      <c r="N187">
        <f t="shared" si="2"/>
        <v>0</v>
      </c>
    </row>
    <row r="188" spans="1:14" x14ac:dyDescent="0.35">
      <c r="A188" t="s">
        <v>34</v>
      </c>
      <c r="D188" t="s">
        <v>36</v>
      </c>
      <c r="E188">
        <v>1984</v>
      </c>
      <c r="F188">
        <v>4</v>
      </c>
      <c r="G188">
        <v>59</v>
      </c>
      <c r="H188">
        <v>3</v>
      </c>
      <c r="I188">
        <v>8</v>
      </c>
      <c r="J188">
        <v>3</v>
      </c>
      <c r="K188" s="13">
        <v>45564</v>
      </c>
      <c r="L188">
        <v>52</v>
      </c>
      <c r="M188">
        <v>0</v>
      </c>
      <c r="N188">
        <f t="shared" si="2"/>
        <v>0</v>
      </c>
    </row>
    <row r="189" spans="1:14" x14ac:dyDescent="0.35">
      <c r="A189" t="s">
        <v>34</v>
      </c>
      <c r="D189" t="s">
        <v>343</v>
      </c>
      <c r="E189">
        <v>2004</v>
      </c>
      <c r="F189">
        <v>4</v>
      </c>
      <c r="G189">
        <v>60</v>
      </c>
      <c r="H189">
        <v>4</v>
      </c>
      <c r="I189">
        <v>8</v>
      </c>
      <c r="J189">
        <v>3</v>
      </c>
      <c r="K189" s="13">
        <v>45564</v>
      </c>
      <c r="L189">
        <v>55</v>
      </c>
      <c r="M189">
        <v>0</v>
      </c>
      <c r="N189">
        <f t="shared" si="2"/>
        <v>0</v>
      </c>
    </row>
    <row r="190" spans="1:14" x14ac:dyDescent="0.35">
      <c r="A190" t="s">
        <v>34</v>
      </c>
      <c r="D190" t="s">
        <v>41</v>
      </c>
      <c r="E190">
        <v>2008</v>
      </c>
      <c r="F190">
        <v>4</v>
      </c>
      <c r="G190">
        <v>61</v>
      </c>
      <c r="H190">
        <v>5</v>
      </c>
      <c r="I190">
        <v>8</v>
      </c>
      <c r="J190">
        <v>3</v>
      </c>
      <c r="K190" s="13">
        <v>45564</v>
      </c>
      <c r="L190">
        <v>40</v>
      </c>
      <c r="M190">
        <v>29</v>
      </c>
      <c r="N190">
        <f t="shared" si="2"/>
        <v>0.72499999999999998</v>
      </c>
    </row>
    <row r="191" spans="1:14" x14ac:dyDescent="0.35">
      <c r="A191" t="s">
        <v>34</v>
      </c>
      <c r="D191" t="s">
        <v>38</v>
      </c>
      <c r="E191">
        <v>1999</v>
      </c>
      <c r="F191">
        <v>4</v>
      </c>
      <c r="G191">
        <v>62</v>
      </c>
      <c r="H191">
        <v>6</v>
      </c>
      <c r="I191">
        <v>8</v>
      </c>
      <c r="J191">
        <v>3</v>
      </c>
      <c r="K191" s="13">
        <v>45564</v>
      </c>
      <c r="L191">
        <v>54</v>
      </c>
      <c r="M191">
        <v>0</v>
      </c>
      <c r="N191">
        <f t="shared" si="2"/>
        <v>0</v>
      </c>
    </row>
    <row r="192" spans="1:14" x14ac:dyDescent="0.35">
      <c r="A192" t="s">
        <v>34</v>
      </c>
      <c r="D192" t="s">
        <v>42</v>
      </c>
      <c r="E192">
        <v>2016</v>
      </c>
      <c r="F192">
        <v>4</v>
      </c>
      <c r="G192">
        <v>63</v>
      </c>
      <c r="H192">
        <v>7</v>
      </c>
      <c r="I192">
        <v>8</v>
      </c>
      <c r="J192">
        <v>3</v>
      </c>
      <c r="K192" s="13">
        <v>45564</v>
      </c>
      <c r="L192">
        <v>42</v>
      </c>
      <c r="M192">
        <v>15</v>
      </c>
      <c r="N192">
        <f t="shared" si="2"/>
        <v>0.35714285714285715</v>
      </c>
    </row>
    <row r="193" spans="1:14" x14ac:dyDescent="0.35">
      <c r="A193" t="s">
        <v>34</v>
      </c>
      <c r="D193" t="s">
        <v>43</v>
      </c>
      <c r="E193">
        <v>2020</v>
      </c>
      <c r="F193">
        <v>4</v>
      </c>
      <c r="G193">
        <v>64</v>
      </c>
      <c r="H193">
        <v>8</v>
      </c>
      <c r="I193">
        <v>8</v>
      </c>
      <c r="J193">
        <v>3</v>
      </c>
      <c r="K193" s="13">
        <v>45564</v>
      </c>
      <c r="L193">
        <v>38</v>
      </c>
      <c r="M193">
        <v>2</v>
      </c>
      <c r="N193">
        <f t="shared" si="2"/>
        <v>5.2631578947368418E-2</v>
      </c>
    </row>
    <row r="194" spans="1:14" x14ac:dyDescent="0.35">
      <c r="A194" t="s">
        <v>24</v>
      </c>
      <c r="D194" t="s">
        <v>27</v>
      </c>
      <c r="E194">
        <v>1985</v>
      </c>
      <c r="F194">
        <v>1</v>
      </c>
      <c r="G194">
        <v>1</v>
      </c>
      <c r="H194">
        <v>1</v>
      </c>
      <c r="I194">
        <v>1</v>
      </c>
      <c r="J194">
        <v>4</v>
      </c>
      <c r="K194" s="13">
        <v>45567</v>
      </c>
      <c r="L194">
        <v>78</v>
      </c>
      <c r="M194">
        <v>2</v>
      </c>
      <c r="N194">
        <f t="shared" si="2"/>
        <v>2.564102564102564E-2</v>
      </c>
    </row>
    <row r="195" spans="1:14" x14ac:dyDescent="0.35">
      <c r="A195" t="s">
        <v>24</v>
      </c>
      <c r="D195" t="s">
        <v>26</v>
      </c>
      <c r="E195">
        <v>1983</v>
      </c>
      <c r="F195">
        <v>1</v>
      </c>
      <c r="G195">
        <v>2</v>
      </c>
      <c r="H195">
        <v>2</v>
      </c>
      <c r="I195">
        <v>1</v>
      </c>
      <c r="J195">
        <v>4</v>
      </c>
      <c r="K195" s="13">
        <v>45567</v>
      </c>
      <c r="L195">
        <v>63</v>
      </c>
      <c r="M195">
        <v>9</v>
      </c>
      <c r="N195">
        <f t="shared" si="2"/>
        <v>0.14285714285714285</v>
      </c>
    </row>
    <row r="196" spans="1:14" x14ac:dyDescent="0.35">
      <c r="A196" t="s">
        <v>24</v>
      </c>
      <c r="D196" t="s">
        <v>335</v>
      </c>
      <c r="E196">
        <v>2023</v>
      </c>
      <c r="F196">
        <v>1</v>
      </c>
      <c r="G196">
        <v>3</v>
      </c>
      <c r="H196">
        <v>3</v>
      </c>
      <c r="I196">
        <v>1</v>
      </c>
      <c r="J196">
        <v>4</v>
      </c>
      <c r="K196" s="13">
        <v>45567</v>
      </c>
      <c r="L196">
        <v>60</v>
      </c>
      <c r="M196">
        <v>57</v>
      </c>
      <c r="N196">
        <f t="shared" ref="N196:N259" si="3">M196/L196</f>
        <v>0.95</v>
      </c>
    </row>
    <row r="197" spans="1:14" x14ac:dyDescent="0.35">
      <c r="A197" t="s">
        <v>24</v>
      </c>
      <c r="D197" t="s">
        <v>29</v>
      </c>
      <c r="E197">
        <v>1999</v>
      </c>
      <c r="F197">
        <v>1</v>
      </c>
      <c r="G197">
        <v>4</v>
      </c>
      <c r="H197">
        <v>4</v>
      </c>
      <c r="I197">
        <v>1</v>
      </c>
      <c r="J197">
        <v>4</v>
      </c>
      <c r="K197" s="13">
        <v>45567</v>
      </c>
      <c r="L197">
        <v>108</v>
      </c>
      <c r="M197">
        <v>13</v>
      </c>
      <c r="N197">
        <f t="shared" si="3"/>
        <v>0.12037037037037036</v>
      </c>
    </row>
    <row r="198" spans="1:14" x14ac:dyDescent="0.35">
      <c r="A198" t="s">
        <v>24</v>
      </c>
      <c r="D198" t="s">
        <v>336</v>
      </c>
      <c r="E198">
        <v>2002</v>
      </c>
      <c r="F198">
        <v>1</v>
      </c>
      <c r="G198">
        <v>5</v>
      </c>
      <c r="H198">
        <v>5</v>
      </c>
      <c r="I198">
        <v>1</v>
      </c>
      <c r="J198">
        <v>4</v>
      </c>
      <c r="K198" s="13">
        <v>45567</v>
      </c>
      <c r="L198">
        <v>78</v>
      </c>
      <c r="M198">
        <v>0</v>
      </c>
      <c r="N198">
        <f t="shared" si="3"/>
        <v>0</v>
      </c>
    </row>
    <row r="199" spans="1:14" x14ac:dyDescent="0.35">
      <c r="A199" t="s">
        <v>24</v>
      </c>
      <c r="D199" t="s">
        <v>32</v>
      </c>
      <c r="E199">
        <v>2018</v>
      </c>
      <c r="F199">
        <v>1</v>
      </c>
      <c r="G199">
        <v>6</v>
      </c>
      <c r="H199">
        <v>6</v>
      </c>
      <c r="I199">
        <v>1</v>
      </c>
      <c r="J199">
        <v>4</v>
      </c>
      <c r="K199" s="13">
        <v>45567</v>
      </c>
      <c r="L199">
        <v>74</v>
      </c>
      <c r="M199">
        <v>22</v>
      </c>
      <c r="N199">
        <f t="shared" si="3"/>
        <v>0.29729729729729731</v>
      </c>
    </row>
    <row r="200" spans="1:14" x14ac:dyDescent="0.35">
      <c r="A200" t="s">
        <v>24</v>
      </c>
      <c r="D200" t="s">
        <v>28</v>
      </c>
      <c r="E200">
        <v>1998</v>
      </c>
      <c r="F200">
        <v>1</v>
      </c>
      <c r="G200">
        <v>7</v>
      </c>
      <c r="H200">
        <v>7</v>
      </c>
      <c r="I200">
        <v>1</v>
      </c>
      <c r="J200">
        <v>4</v>
      </c>
      <c r="K200" s="13">
        <v>45567</v>
      </c>
      <c r="L200">
        <v>90</v>
      </c>
      <c r="M200">
        <v>55</v>
      </c>
      <c r="N200">
        <f t="shared" si="3"/>
        <v>0.61111111111111116</v>
      </c>
    </row>
    <row r="201" spans="1:14" x14ac:dyDescent="0.35">
      <c r="A201" t="s">
        <v>24</v>
      </c>
      <c r="D201" t="s">
        <v>337</v>
      </c>
      <c r="E201">
        <v>2016</v>
      </c>
      <c r="F201">
        <v>1</v>
      </c>
      <c r="G201">
        <v>8</v>
      </c>
      <c r="H201">
        <v>8</v>
      </c>
      <c r="I201">
        <v>1</v>
      </c>
      <c r="J201">
        <v>4</v>
      </c>
      <c r="K201" s="13">
        <v>45567</v>
      </c>
      <c r="L201">
        <v>50</v>
      </c>
      <c r="M201">
        <v>0</v>
      </c>
      <c r="N201">
        <f t="shared" si="3"/>
        <v>0</v>
      </c>
    </row>
    <row r="202" spans="1:14" x14ac:dyDescent="0.35">
      <c r="A202" t="s">
        <v>34</v>
      </c>
      <c r="D202" t="s">
        <v>42</v>
      </c>
      <c r="E202">
        <v>2016</v>
      </c>
      <c r="F202">
        <v>1</v>
      </c>
      <c r="G202">
        <v>9</v>
      </c>
      <c r="H202">
        <v>1</v>
      </c>
      <c r="I202">
        <v>2</v>
      </c>
      <c r="J202">
        <v>4</v>
      </c>
      <c r="K202" s="13">
        <v>45567</v>
      </c>
      <c r="L202">
        <v>43</v>
      </c>
      <c r="M202">
        <v>27</v>
      </c>
      <c r="N202">
        <f t="shared" si="3"/>
        <v>0.62790697674418605</v>
      </c>
    </row>
    <row r="203" spans="1:14" x14ac:dyDescent="0.35">
      <c r="A203" t="s">
        <v>34</v>
      </c>
      <c r="D203" t="s">
        <v>38</v>
      </c>
      <c r="E203">
        <v>1999</v>
      </c>
      <c r="F203">
        <v>1</v>
      </c>
      <c r="G203">
        <v>10</v>
      </c>
      <c r="H203">
        <v>2</v>
      </c>
      <c r="I203">
        <v>2</v>
      </c>
      <c r="J203">
        <v>4</v>
      </c>
      <c r="K203" s="13">
        <v>45567</v>
      </c>
      <c r="L203">
        <v>59</v>
      </c>
      <c r="M203">
        <v>6</v>
      </c>
      <c r="N203">
        <f t="shared" si="3"/>
        <v>0.10169491525423729</v>
      </c>
    </row>
    <row r="204" spans="1:14" x14ac:dyDescent="0.35">
      <c r="A204" t="s">
        <v>34</v>
      </c>
      <c r="D204" t="s">
        <v>43</v>
      </c>
      <c r="E204">
        <v>2020</v>
      </c>
      <c r="F204">
        <v>1</v>
      </c>
      <c r="G204">
        <v>11</v>
      </c>
      <c r="H204">
        <v>3</v>
      </c>
      <c r="I204">
        <v>2</v>
      </c>
      <c r="J204">
        <v>4</v>
      </c>
      <c r="K204" s="13">
        <v>45567</v>
      </c>
      <c r="L204">
        <v>42</v>
      </c>
      <c r="M204">
        <v>0</v>
      </c>
      <c r="N204">
        <f t="shared" si="3"/>
        <v>0</v>
      </c>
    </row>
    <row r="205" spans="1:14" x14ac:dyDescent="0.35">
      <c r="A205" t="s">
        <v>34</v>
      </c>
      <c r="D205" t="s">
        <v>41</v>
      </c>
      <c r="E205">
        <v>2008</v>
      </c>
      <c r="F205">
        <v>1</v>
      </c>
      <c r="G205">
        <v>12</v>
      </c>
      <c r="H205">
        <v>4</v>
      </c>
      <c r="I205">
        <v>2</v>
      </c>
      <c r="J205">
        <v>4</v>
      </c>
      <c r="K205" s="13">
        <v>45567</v>
      </c>
      <c r="L205">
        <v>39</v>
      </c>
      <c r="M205">
        <v>38</v>
      </c>
      <c r="N205">
        <f t="shared" si="3"/>
        <v>0.97435897435897434</v>
      </c>
    </row>
    <row r="206" spans="1:14" x14ac:dyDescent="0.35">
      <c r="A206" t="s">
        <v>34</v>
      </c>
      <c r="D206" t="s">
        <v>37</v>
      </c>
      <c r="E206">
        <v>1989</v>
      </c>
      <c r="F206">
        <v>1</v>
      </c>
      <c r="G206">
        <v>13</v>
      </c>
      <c r="H206">
        <v>5</v>
      </c>
      <c r="I206">
        <v>2</v>
      </c>
      <c r="J206">
        <v>4</v>
      </c>
      <c r="K206" s="13">
        <v>45567</v>
      </c>
      <c r="L206">
        <v>48</v>
      </c>
      <c r="M206">
        <v>3</v>
      </c>
      <c r="N206">
        <f t="shared" si="3"/>
        <v>6.25E-2</v>
      </c>
    </row>
    <row r="207" spans="1:14" x14ac:dyDescent="0.35">
      <c r="A207" t="s">
        <v>34</v>
      </c>
      <c r="D207" t="s">
        <v>343</v>
      </c>
      <c r="E207">
        <v>2004</v>
      </c>
      <c r="F207">
        <v>1</v>
      </c>
      <c r="G207">
        <v>14</v>
      </c>
      <c r="H207">
        <v>6</v>
      </c>
      <c r="I207">
        <v>2</v>
      </c>
      <c r="J207">
        <v>4</v>
      </c>
      <c r="K207" s="13">
        <v>45567</v>
      </c>
      <c r="L207">
        <v>44</v>
      </c>
      <c r="M207">
        <v>14</v>
      </c>
      <c r="N207">
        <f t="shared" si="3"/>
        <v>0.31818181818181818</v>
      </c>
    </row>
    <row r="208" spans="1:14" x14ac:dyDescent="0.35">
      <c r="A208" t="s">
        <v>34</v>
      </c>
      <c r="D208" t="s">
        <v>36</v>
      </c>
      <c r="E208">
        <v>1984</v>
      </c>
      <c r="F208">
        <v>1</v>
      </c>
      <c r="G208">
        <v>15</v>
      </c>
      <c r="H208">
        <v>7</v>
      </c>
      <c r="I208">
        <v>2</v>
      </c>
      <c r="J208">
        <v>4</v>
      </c>
      <c r="K208" s="13">
        <v>45567</v>
      </c>
      <c r="L208">
        <v>44</v>
      </c>
      <c r="M208">
        <v>9</v>
      </c>
      <c r="N208">
        <f t="shared" si="3"/>
        <v>0.20454545454545456</v>
      </c>
    </row>
    <row r="209" spans="1:14" x14ac:dyDescent="0.35">
      <c r="A209" t="s">
        <v>34</v>
      </c>
      <c r="D209" t="s">
        <v>39</v>
      </c>
      <c r="E209">
        <v>2001</v>
      </c>
      <c r="F209">
        <v>1</v>
      </c>
      <c r="G209">
        <v>16</v>
      </c>
      <c r="H209">
        <v>8</v>
      </c>
      <c r="I209">
        <v>2</v>
      </c>
      <c r="J209">
        <v>4</v>
      </c>
      <c r="K209" s="13">
        <v>45567</v>
      </c>
      <c r="L209">
        <v>56</v>
      </c>
      <c r="M209">
        <v>35</v>
      </c>
      <c r="N209">
        <f t="shared" si="3"/>
        <v>0.625</v>
      </c>
    </row>
    <row r="210" spans="1:14" x14ac:dyDescent="0.35">
      <c r="A210" t="s">
        <v>24</v>
      </c>
      <c r="D210" t="s">
        <v>335</v>
      </c>
      <c r="E210">
        <v>2023</v>
      </c>
      <c r="F210">
        <v>2</v>
      </c>
      <c r="G210">
        <v>17</v>
      </c>
      <c r="H210">
        <v>1</v>
      </c>
      <c r="I210">
        <v>3</v>
      </c>
      <c r="J210">
        <v>4</v>
      </c>
      <c r="K210" s="13">
        <v>45567</v>
      </c>
      <c r="L210">
        <v>55</v>
      </c>
      <c r="M210">
        <v>47</v>
      </c>
      <c r="N210">
        <f t="shared" si="3"/>
        <v>0.8545454545454545</v>
      </c>
    </row>
    <row r="211" spans="1:14" x14ac:dyDescent="0.35">
      <c r="A211" t="s">
        <v>24</v>
      </c>
      <c r="D211" t="s">
        <v>28</v>
      </c>
      <c r="E211">
        <v>1998</v>
      </c>
      <c r="F211">
        <v>2</v>
      </c>
      <c r="G211">
        <v>18</v>
      </c>
      <c r="H211">
        <v>2</v>
      </c>
      <c r="I211">
        <v>3</v>
      </c>
      <c r="J211">
        <v>4</v>
      </c>
      <c r="K211" s="13">
        <v>45567</v>
      </c>
      <c r="L211">
        <v>67</v>
      </c>
      <c r="M211">
        <v>43</v>
      </c>
      <c r="N211">
        <f t="shared" si="3"/>
        <v>0.64179104477611937</v>
      </c>
    </row>
    <row r="212" spans="1:14" x14ac:dyDescent="0.35">
      <c r="A212" t="s">
        <v>24</v>
      </c>
      <c r="D212" t="s">
        <v>26</v>
      </c>
      <c r="E212">
        <v>1983</v>
      </c>
      <c r="F212">
        <v>2</v>
      </c>
      <c r="G212">
        <v>19</v>
      </c>
      <c r="H212">
        <v>3</v>
      </c>
      <c r="I212">
        <v>3</v>
      </c>
      <c r="J212">
        <v>4</v>
      </c>
      <c r="K212" s="13">
        <v>45567</v>
      </c>
      <c r="L212">
        <v>67</v>
      </c>
      <c r="M212">
        <v>10</v>
      </c>
      <c r="N212">
        <f t="shared" si="3"/>
        <v>0.14925373134328357</v>
      </c>
    </row>
    <row r="213" spans="1:14" x14ac:dyDescent="0.35">
      <c r="A213" t="s">
        <v>24</v>
      </c>
      <c r="D213" t="s">
        <v>336</v>
      </c>
      <c r="E213">
        <v>2002</v>
      </c>
      <c r="F213">
        <v>2</v>
      </c>
      <c r="G213">
        <v>20</v>
      </c>
      <c r="H213">
        <v>4</v>
      </c>
      <c r="I213">
        <v>3</v>
      </c>
      <c r="J213">
        <v>4</v>
      </c>
      <c r="K213" s="13">
        <v>45567</v>
      </c>
      <c r="L213">
        <v>53</v>
      </c>
      <c r="M213">
        <v>0</v>
      </c>
      <c r="N213">
        <f t="shared" si="3"/>
        <v>0</v>
      </c>
    </row>
    <row r="214" spans="1:14" x14ac:dyDescent="0.35">
      <c r="A214" t="s">
        <v>24</v>
      </c>
      <c r="D214" t="s">
        <v>29</v>
      </c>
      <c r="E214">
        <v>1999</v>
      </c>
      <c r="F214">
        <v>2</v>
      </c>
      <c r="G214">
        <v>21</v>
      </c>
      <c r="H214">
        <v>5</v>
      </c>
      <c r="I214">
        <v>3</v>
      </c>
      <c r="J214">
        <v>4</v>
      </c>
      <c r="K214" s="13">
        <v>45567</v>
      </c>
      <c r="L214">
        <v>63</v>
      </c>
      <c r="M214">
        <v>7</v>
      </c>
      <c r="N214">
        <f t="shared" si="3"/>
        <v>0.1111111111111111</v>
      </c>
    </row>
    <row r="215" spans="1:14" x14ac:dyDescent="0.35">
      <c r="A215" t="s">
        <v>24</v>
      </c>
      <c r="D215" t="s">
        <v>337</v>
      </c>
      <c r="E215">
        <v>2016</v>
      </c>
      <c r="F215">
        <v>2</v>
      </c>
      <c r="G215">
        <v>22</v>
      </c>
      <c r="H215">
        <v>6</v>
      </c>
      <c r="I215">
        <v>3</v>
      </c>
      <c r="J215">
        <v>4</v>
      </c>
      <c r="K215" s="13">
        <v>45567</v>
      </c>
      <c r="L215">
        <v>63</v>
      </c>
      <c r="M215">
        <v>0</v>
      </c>
      <c r="N215">
        <f t="shared" si="3"/>
        <v>0</v>
      </c>
    </row>
    <row r="216" spans="1:14" x14ac:dyDescent="0.35">
      <c r="A216" t="s">
        <v>24</v>
      </c>
      <c r="D216" t="s">
        <v>32</v>
      </c>
      <c r="E216">
        <v>2018</v>
      </c>
      <c r="F216">
        <v>2</v>
      </c>
      <c r="G216">
        <v>23</v>
      </c>
      <c r="H216">
        <v>7</v>
      </c>
      <c r="I216">
        <v>3</v>
      </c>
      <c r="J216">
        <v>4</v>
      </c>
      <c r="K216" s="13">
        <v>45567</v>
      </c>
      <c r="L216">
        <v>53</v>
      </c>
      <c r="M216">
        <v>12</v>
      </c>
      <c r="N216">
        <f t="shared" si="3"/>
        <v>0.22641509433962265</v>
      </c>
    </row>
    <row r="217" spans="1:14" x14ac:dyDescent="0.35">
      <c r="A217" t="s">
        <v>24</v>
      </c>
      <c r="D217" t="s">
        <v>27</v>
      </c>
      <c r="E217">
        <v>1985</v>
      </c>
      <c r="F217">
        <v>2</v>
      </c>
      <c r="G217">
        <v>24</v>
      </c>
      <c r="H217">
        <v>8</v>
      </c>
      <c r="I217">
        <v>3</v>
      </c>
      <c r="J217">
        <v>4</v>
      </c>
      <c r="K217" s="13">
        <v>45567</v>
      </c>
      <c r="L217">
        <v>65</v>
      </c>
      <c r="M217">
        <v>1</v>
      </c>
      <c r="N217">
        <f t="shared" si="3"/>
        <v>1.5384615384615385E-2</v>
      </c>
    </row>
    <row r="218" spans="1:14" x14ac:dyDescent="0.35">
      <c r="A218" t="s">
        <v>34</v>
      </c>
      <c r="D218" t="s">
        <v>343</v>
      </c>
      <c r="E218">
        <v>2004</v>
      </c>
      <c r="F218">
        <v>2</v>
      </c>
      <c r="G218">
        <v>25</v>
      </c>
      <c r="H218">
        <v>1</v>
      </c>
      <c r="I218">
        <v>4</v>
      </c>
      <c r="J218">
        <v>4</v>
      </c>
      <c r="K218" s="13">
        <v>45567</v>
      </c>
      <c r="L218">
        <v>55</v>
      </c>
      <c r="M218">
        <v>14</v>
      </c>
      <c r="N218">
        <f t="shared" si="3"/>
        <v>0.25454545454545452</v>
      </c>
    </row>
    <row r="219" spans="1:14" x14ac:dyDescent="0.35">
      <c r="A219" t="s">
        <v>34</v>
      </c>
      <c r="D219" t="s">
        <v>43</v>
      </c>
      <c r="E219">
        <v>2020</v>
      </c>
      <c r="F219">
        <v>2</v>
      </c>
      <c r="G219">
        <v>26</v>
      </c>
      <c r="H219">
        <v>2</v>
      </c>
      <c r="I219">
        <v>4</v>
      </c>
      <c r="J219">
        <v>4</v>
      </c>
      <c r="K219" s="13">
        <v>45567</v>
      </c>
      <c r="L219">
        <v>49</v>
      </c>
      <c r="M219">
        <v>7</v>
      </c>
      <c r="N219">
        <f t="shared" si="3"/>
        <v>0.14285714285714285</v>
      </c>
    </row>
    <row r="220" spans="1:14" x14ac:dyDescent="0.35">
      <c r="A220" t="s">
        <v>34</v>
      </c>
      <c r="D220" t="s">
        <v>38</v>
      </c>
      <c r="E220">
        <v>1999</v>
      </c>
      <c r="F220">
        <v>2</v>
      </c>
      <c r="G220">
        <v>27</v>
      </c>
      <c r="H220">
        <v>3</v>
      </c>
      <c r="I220">
        <v>4</v>
      </c>
      <c r="J220">
        <v>4</v>
      </c>
      <c r="K220" s="13">
        <v>45567</v>
      </c>
      <c r="L220">
        <v>48</v>
      </c>
      <c r="M220">
        <v>3</v>
      </c>
      <c r="N220">
        <f t="shared" si="3"/>
        <v>6.25E-2</v>
      </c>
    </row>
    <row r="221" spans="1:14" x14ac:dyDescent="0.35">
      <c r="A221" t="s">
        <v>34</v>
      </c>
      <c r="D221" t="s">
        <v>39</v>
      </c>
      <c r="E221">
        <v>2001</v>
      </c>
      <c r="F221">
        <v>2</v>
      </c>
      <c r="G221">
        <v>28</v>
      </c>
      <c r="H221">
        <v>4</v>
      </c>
      <c r="I221">
        <v>4</v>
      </c>
      <c r="J221">
        <v>4</v>
      </c>
      <c r="K221" s="13">
        <v>45567</v>
      </c>
      <c r="L221">
        <v>36</v>
      </c>
      <c r="M221">
        <v>23</v>
      </c>
      <c r="N221">
        <f t="shared" si="3"/>
        <v>0.63888888888888884</v>
      </c>
    </row>
    <row r="222" spans="1:14" x14ac:dyDescent="0.35">
      <c r="A222" t="s">
        <v>34</v>
      </c>
      <c r="D222" t="s">
        <v>42</v>
      </c>
      <c r="E222">
        <v>2016</v>
      </c>
      <c r="F222">
        <v>2</v>
      </c>
      <c r="G222">
        <v>29</v>
      </c>
      <c r="H222">
        <v>5</v>
      </c>
      <c r="I222">
        <v>4</v>
      </c>
      <c r="J222">
        <v>4</v>
      </c>
      <c r="K222" s="13">
        <v>45567</v>
      </c>
      <c r="L222">
        <v>45</v>
      </c>
      <c r="M222">
        <v>37</v>
      </c>
      <c r="N222">
        <f t="shared" si="3"/>
        <v>0.82222222222222219</v>
      </c>
    </row>
    <row r="223" spans="1:14" x14ac:dyDescent="0.35">
      <c r="A223" t="s">
        <v>34</v>
      </c>
      <c r="D223" t="s">
        <v>36</v>
      </c>
      <c r="E223">
        <v>1984</v>
      </c>
      <c r="F223">
        <v>2</v>
      </c>
      <c r="G223">
        <v>30</v>
      </c>
      <c r="H223">
        <v>6</v>
      </c>
      <c r="I223">
        <v>4</v>
      </c>
      <c r="J223">
        <v>4</v>
      </c>
      <c r="K223" s="13">
        <v>45567</v>
      </c>
      <c r="L223">
        <v>48</v>
      </c>
      <c r="M223">
        <v>12</v>
      </c>
      <c r="N223">
        <f t="shared" si="3"/>
        <v>0.25</v>
      </c>
    </row>
    <row r="224" spans="1:14" x14ac:dyDescent="0.35">
      <c r="A224" t="s">
        <v>34</v>
      </c>
      <c r="D224" t="s">
        <v>41</v>
      </c>
      <c r="E224">
        <v>2008</v>
      </c>
      <c r="F224">
        <v>2</v>
      </c>
      <c r="G224">
        <v>31</v>
      </c>
      <c r="H224">
        <v>7</v>
      </c>
      <c r="I224">
        <v>4</v>
      </c>
      <c r="J224">
        <v>4</v>
      </c>
      <c r="K224" s="13">
        <v>45567</v>
      </c>
      <c r="L224">
        <v>61</v>
      </c>
      <c r="M224">
        <v>61</v>
      </c>
      <c r="N224">
        <f t="shared" si="3"/>
        <v>1</v>
      </c>
    </row>
    <row r="225" spans="1:14" x14ac:dyDescent="0.35">
      <c r="A225" t="s">
        <v>34</v>
      </c>
      <c r="D225" t="s">
        <v>37</v>
      </c>
      <c r="E225">
        <v>1989</v>
      </c>
      <c r="F225">
        <v>2</v>
      </c>
      <c r="G225">
        <v>32</v>
      </c>
      <c r="H225">
        <v>8</v>
      </c>
      <c r="I225">
        <v>4</v>
      </c>
      <c r="J225">
        <v>4</v>
      </c>
      <c r="K225" s="13">
        <v>45567</v>
      </c>
      <c r="L225">
        <v>64</v>
      </c>
      <c r="M225">
        <v>27</v>
      </c>
      <c r="N225">
        <f t="shared" si="3"/>
        <v>0.421875</v>
      </c>
    </row>
    <row r="226" spans="1:14" x14ac:dyDescent="0.35">
      <c r="A226" t="s">
        <v>24</v>
      </c>
      <c r="D226" t="s">
        <v>336</v>
      </c>
      <c r="E226">
        <v>2002</v>
      </c>
      <c r="F226">
        <v>3</v>
      </c>
      <c r="G226">
        <v>33</v>
      </c>
      <c r="H226">
        <v>1</v>
      </c>
      <c r="I226">
        <v>5</v>
      </c>
      <c r="J226">
        <v>4</v>
      </c>
      <c r="K226" s="13">
        <v>45567</v>
      </c>
      <c r="L226">
        <v>34</v>
      </c>
      <c r="M226">
        <v>8</v>
      </c>
      <c r="N226">
        <f t="shared" si="3"/>
        <v>0.23529411764705882</v>
      </c>
    </row>
    <row r="227" spans="1:14" x14ac:dyDescent="0.35">
      <c r="A227" t="s">
        <v>24</v>
      </c>
      <c r="D227" t="s">
        <v>337</v>
      </c>
      <c r="E227">
        <v>2016</v>
      </c>
      <c r="F227">
        <v>3</v>
      </c>
      <c r="G227">
        <v>34</v>
      </c>
      <c r="H227">
        <v>2</v>
      </c>
      <c r="I227">
        <v>5</v>
      </c>
      <c r="J227">
        <v>4</v>
      </c>
      <c r="K227" s="13">
        <v>45567</v>
      </c>
      <c r="L227">
        <v>61</v>
      </c>
      <c r="M227">
        <v>3</v>
      </c>
      <c r="N227">
        <f t="shared" si="3"/>
        <v>4.9180327868852458E-2</v>
      </c>
    </row>
    <row r="228" spans="1:14" x14ac:dyDescent="0.35">
      <c r="A228" t="s">
        <v>24</v>
      </c>
      <c r="D228" t="s">
        <v>32</v>
      </c>
      <c r="E228">
        <v>2018</v>
      </c>
      <c r="F228">
        <v>3</v>
      </c>
      <c r="G228">
        <v>35</v>
      </c>
      <c r="H228">
        <v>3</v>
      </c>
      <c r="I228">
        <v>5</v>
      </c>
      <c r="J228">
        <v>4</v>
      </c>
      <c r="K228" s="13">
        <v>45567</v>
      </c>
      <c r="L228">
        <v>36</v>
      </c>
      <c r="M228">
        <v>2</v>
      </c>
      <c r="N228">
        <f t="shared" si="3"/>
        <v>5.5555555555555552E-2</v>
      </c>
    </row>
    <row r="229" spans="1:14" x14ac:dyDescent="0.35">
      <c r="A229" t="s">
        <v>24</v>
      </c>
      <c r="D229" t="s">
        <v>28</v>
      </c>
      <c r="E229">
        <v>1998</v>
      </c>
      <c r="F229">
        <v>3</v>
      </c>
      <c r="G229">
        <v>36</v>
      </c>
      <c r="H229">
        <v>4</v>
      </c>
      <c r="I229">
        <v>5</v>
      </c>
      <c r="J229">
        <v>4</v>
      </c>
      <c r="K229" s="13">
        <v>45567</v>
      </c>
      <c r="L229">
        <v>44</v>
      </c>
      <c r="M229">
        <v>44</v>
      </c>
      <c r="N229">
        <f t="shared" si="3"/>
        <v>1</v>
      </c>
    </row>
    <row r="230" spans="1:14" x14ac:dyDescent="0.35">
      <c r="A230" t="s">
        <v>24</v>
      </c>
      <c r="D230" t="s">
        <v>27</v>
      </c>
      <c r="E230">
        <v>1985</v>
      </c>
      <c r="F230">
        <v>3</v>
      </c>
      <c r="G230">
        <v>37</v>
      </c>
      <c r="H230">
        <v>5</v>
      </c>
      <c r="I230">
        <v>5</v>
      </c>
      <c r="J230">
        <v>4</v>
      </c>
      <c r="K230" s="13">
        <v>45567</v>
      </c>
      <c r="L230">
        <v>62</v>
      </c>
      <c r="M230">
        <v>1</v>
      </c>
      <c r="N230">
        <f t="shared" si="3"/>
        <v>1.6129032258064516E-2</v>
      </c>
    </row>
    <row r="231" spans="1:14" x14ac:dyDescent="0.35">
      <c r="A231" t="s">
        <v>24</v>
      </c>
      <c r="D231" t="s">
        <v>335</v>
      </c>
      <c r="E231">
        <v>2023</v>
      </c>
      <c r="F231">
        <v>3</v>
      </c>
      <c r="G231">
        <v>38</v>
      </c>
      <c r="H231">
        <v>6</v>
      </c>
      <c r="I231">
        <v>5</v>
      </c>
      <c r="J231">
        <v>4</v>
      </c>
      <c r="K231" s="13">
        <v>45567</v>
      </c>
      <c r="L231">
        <v>38</v>
      </c>
      <c r="M231">
        <v>38</v>
      </c>
      <c r="N231">
        <f t="shared" si="3"/>
        <v>1</v>
      </c>
    </row>
    <row r="232" spans="1:14" x14ac:dyDescent="0.35">
      <c r="A232" t="s">
        <v>24</v>
      </c>
      <c r="D232" t="s">
        <v>29</v>
      </c>
      <c r="E232">
        <v>1999</v>
      </c>
      <c r="F232">
        <v>3</v>
      </c>
      <c r="G232">
        <v>39</v>
      </c>
      <c r="H232">
        <v>7</v>
      </c>
      <c r="I232">
        <v>5</v>
      </c>
      <c r="J232">
        <v>4</v>
      </c>
      <c r="K232" s="13">
        <v>45567</v>
      </c>
      <c r="L232">
        <v>50</v>
      </c>
      <c r="M232">
        <v>14</v>
      </c>
      <c r="N232">
        <f t="shared" si="3"/>
        <v>0.28000000000000003</v>
      </c>
    </row>
    <row r="233" spans="1:14" x14ac:dyDescent="0.35">
      <c r="A233" t="s">
        <v>24</v>
      </c>
      <c r="D233" t="s">
        <v>26</v>
      </c>
      <c r="E233">
        <v>1983</v>
      </c>
      <c r="F233">
        <v>3</v>
      </c>
      <c r="G233">
        <v>40</v>
      </c>
      <c r="H233">
        <v>8</v>
      </c>
      <c r="I233">
        <v>5</v>
      </c>
      <c r="J233">
        <v>4</v>
      </c>
      <c r="K233" s="13">
        <v>45567</v>
      </c>
      <c r="L233">
        <v>80</v>
      </c>
      <c r="M233">
        <v>26</v>
      </c>
      <c r="N233">
        <f t="shared" si="3"/>
        <v>0.32500000000000001</v>
      </c>
    </row>
    <row r="234" spans="1:14" x14ac:dyDescent="0.35">
      <c r="A234" t="s">
        <v>34</v>
      </c>
      <c r="D234" t="s">
        <v>41</v>
      </c>
      <c r="E234">
        <v>2008</v>
      </c>
      <c r="F234">
        <v>3</v>
      </c>
      <c r="G234">
        <v>41</v>
      </c>
      <c r="H234">
        <v>1</v>
      </c>
      <c r="I234">
        <v>6</v>
      </c>
      <c r="J234">
        <v>4</v>
      </c>
      <c r="K234" s="13">
        <v>45567</v>
      </c>
      <c r="L234">
        <v>65</v>
      </c>
      <c r="M234">
        <v>65</v>
      </c>
      <c r="N234">
        <f t="shared" si="3"/>
        <v>1</v>
      </c>
    </row>
    <row r="235" spans="1:14" x14ac:dyDescent="0.35">
      <c r="A235" t="s">
        <v>34</v>
      </c>
      <c r="D235" t="s">
        <v>36</v>
      </c>
      <c r="E235">
        <v>1984</v>
      </c>
      <c r="F235">
        <v>3</v>
      </c>
      <c r="G235">
        <v>42</v>
      </c>
      <c r="H235">
        <v>2</v>
      </c>
      <c r="I235">
        <v>6</v>
      </c>
      <c r="J235">
        <v>4</v>
      </c>
      <c r="K235" s="13">
        <v>45567</v>
      </c>
      <c r="L235">
        <v>37</v>
      </c>
      <c r="M235">
        <v>2</v>
      </c>
      <c r="N235">
        <f t="shared" si="3"/>
        <v>5.4054054054054057E-2</v>
      </c>
    </row>
    <row r="236" spans="1:14" x14ac:dyDescent="0.35">
      <c r="A236" t="s">
        <v>34</v>
      </c>
      <c r="D236" t="s">
        <v>37</v>
      </c>
      <c r="E236">
        <v>1989</v>
      </c>
      <c r="F236">
        <v>3</v>
      </c>
      <c r="G236">
        <v>43</v>
      </c>
      <c r="H236">
        <v>3</v>
      </c>
      <c r="I236">
        <v>6</v>
      </c>
      <c r="J236">
        <v>4</v>
      </c>
      <c r="K236" s="13">
        <v>45567</v>
      </c>
      <c r="L236">
        <v>46</v>
      </c>
      <c r="M236">
        <v>16</v>
      </c>
      <c r="N236">
        <f t="shared" si="3"/>
        <v>0.34782608695652173</v>
      </c>
    </row>
    <row r="237" spans="1:14" x14ac:dyDescent="0.35">
      <c r="A237" t="s">
        <v>34</v>
      </c>
      <c r="D237" t="s">
        <v>42</v>
      </c>
      <c r="E237">
        <v>2016</v>
      </c>
      <c r="F237">
        <v>3</v>
      </c>
      <c r="G237">
        <v>44</v>
      </c>
      <c r="H237">
        <v>4</v>
      </c>
      <c r="I237">
        <v>6</v>
      </c>
      <c r="J237">
        <v>4</v>
      </c>
      <c r="K237" s="13">
        <v>45567</v>
      </c>
      <c r="L237">
        <v>44</v>
      </c>
      <c r="M237">
        <v>32</v>
      </c>
      <c r="N237">
        <f t="shared" si="3"/>
        <v>0.72727272727272729</v>
      </c>
    </row>
    <row r="238" spans="1:14" x14ac:dyDescent="0.35">
      <c r="A238" t="s">
        <v>34</v>
      </c>
      <c r="D238" t="s">
        <v>43</v>
      </c>
      <c r="E238">
        <v>2020</v>
      </c>
      <c r="F238">
        <v>3</v>
      </c>
      <c r="G238">
        <v>45</v>
      </c>
      <c r="H238">
        <v>5</v>
      </c>
      <c r="I238">
        <v>6</v>
      </c>
      <c r="J238">
        <v>4</v>
      </c>
      <c r="K238" s="13">
        <v>45567</v>
      </c>
      <c r="L238">
        <v>48</v>
      </c>
      <c r="M238">
        <v>14</v>
      </c>
      <c r="N238">
        <f t="shared" si="3"/>
        <v>0.29166666666666669</v>
      </c>
    </row>
    <row r="239" spans="1:14" x14ac:dyDescent="0.35">
      <c r="A239" t="s">
        <v>34</v>
      </c>
      <c r="D239" t="s">
        <v>39</v>
      </c>
      <c r="E239">
        <v>2001</v>
      </c>
      <c r="F239">
        <v>3</v>
      </c>
      <c r="G239">
        <v>46</v>
      </c>
      <c r="H239">
        <v>6</v>
      </c>
      <c r="I239">
        <v>6</v>
      </c>
      <c r="J239">
        <v>4</v>
      </c>
      <c r="K239" s="13">
        <v>45567</v>
      </c>
      <c r="L239">
        <v>58</v>
      </c>
      <c r="M239">
        <v>43</v>
      </c>
      <c r="N239">
        <f t="shared" si="3"/>
        <v>0.74137931034482762</v>
      </c>
    </row>
    <row r="240" spans="1:14" x14ac:dyDescent="0.35">
      <c r="A240" t="s">
        <v>34</v>
      </c>
      <c r="D240" t="s">
        <v>38</v>
      </c>
      <c r="E240">
        <v>1999</v>
      </c>
      <c r="F240">
        <v>3</v>
      </c>
      <c r="G240">
        <v>47</v>
      </c>
      <c r="H240">
        <v>7</v>
      </c>
      <c r="I240">
        <v>6</v>
      </c>
      <c r="J240">
        <v>4</v>
      </c>
      <c r="K240" s="13">
        <v>45567</v>
      </c>
      <c r="L240">
        <v>57</v>
      </c>
      <c r="M240">
        <v>1</v>
      </c>
      <c r="N240">
        <f t="shared" si="3"/>
        <v>1.7543859649122806E-2</v>
      </c>
    </row>
    <row r="241" spans="1:14" x14ac:dyDescent="0.35">
      <c r="A241" t="s">
        <v>34</v>
      </c>
      <c r="D241" t="s">
        <v>343</v>
      </c>
      <c r="E241">
        <v>2004</v>
      </c>
      <c r="F241">
        <v>3</v>
      </c>
      <c r="G241">
        <v>48</v>
      </c>
      <c r="H241">
        <v>8</v>
      </c>
      <c r="I241">
        <v>6</v>
      </c>
      <c r="J241">
        <v>4</v>
      </c>
      <c r="K241" s="13">
        <v>45567</v>
      </c>
      <c r="L241">
        <v>49</v>
      </c>
      <c r="M241">
        <v>13</v>
      </c>
      <c r="N241">
        <f t="shared" si="3"/>
        <v>0.26530612244897961</v>
      </c>
    </row>
    <row r="242" spans="1:14" x14ac:dyDescent="0.35">
      <c r="A242" t="s">
        <v>24</v>
      </c>
      <c r="D242" t="s">
        <v>32</v>
      </c>
      <c r="E242">
        <v>2018</v>
      </c>
      <c r="F242">
        <v>4</v>
      </c>
      <c r="G242">
        <v>49</v>
      </c>
      <c r="H242">
        <v>1</v>
      </c>
      <c r="I242">
        <v>7</v>
      </c>
      <c r="J242">
        <v>4</v>
      </c>
      <c r="K242" s="13">
        <v>45567</v>
      </c>
      <c r="L242">
        <v>50</v>
      </c>
      <c r="M242">
        <v>10</v>
      </c>
      <c r="N242">
        <f t="shared" si="3"/>
        <v>0.2</v>
      </c>
    </row>
    <row r="243" spans="1:14" x14ac:dyDescent="0.35">
      <c r="A243" t="s">
        <v>24</v>
      </c>
      <c r="D243" t="s">
        <v>29</v>
      </c>
      <c r="E243">
        <v>1999</v>
      </c>
      <c r="F243">
        <v>4</v>
      </c>
      <c r="G243">
        <v>50</v>
      </c>
      <c r="H243">
        <v>2</v>
      </c>
      <c r="I243">
        <v>7</v>
      </c>
      <c r="J243">
        <v>4</v>
      </c>
      <c r="K243" s="13">
        <v>45567</v>
      </c>
      <c r="L243">
        <v>66</v>
      </c>
      <c r="M243">
        <v>6</v>
      </c>
      <c r="N243">
        <f t="shared" si="3"/>
        <v>9.0909090909090912E-2</v>
      </c>
    </row>
    <row r="244" spans="1:14" x14ac:dyDescent="0.35">
      <c r="A244" t="s">
        <v>24</v>
      </c>
      <c r="D244" t="s">
        <v>337</v>
      </c>
      <c r="E244">
        <v>2016</v>
      </c>
      <c r="F244">
        <v>4</v>
      </c>
      <c r="G244">
        <v>51</v>
      </c>
      <c r="H244">
        <v>3</v>
      </c>
      <c r="I244">
        <v>7</v>
      </c>
      <c r="J244">
        <v>4</v>
      </c>
      <c r="K244" s="13">
        <v>45567</v>
      </c>
      <c r="L244">
        <v>60</v>
      </c>
      <c r="M244">
        <v>0</v>
      </c>
      <c r="N244">
        <f t="shared" si="3"/>
        <v>0</v>
      </c>
    </row>
    <row r="245" spans="1:14" x14ac:dyDescent="0.35">
      <c r="A245" t="s">
        <v>24</v>
      </c>
      <c r="D245" t="s">
        <v>27</v>
      </c>
      <c r="E245">
        <v>1985</v>
      </c>
      <c r="F245">
        <v>4</v>
      </c>
      <c r="G245">
        <v>52</v>
      </c>
      <c r="H245">
        <v>4</v>
      </c>
      <c r="I245">
        <v>7</v>
      </c>
      <c r="J245">
        <v>4</v>
      </c>
      <c r="K245" s="13">
        <v>45567</v>
      </c>
      <c r="L245">
        <v>77</v>
      </c>
      <c r="M245">
        <v>1</v>
      </c>
      <c r="N245">
        <f t="shared" si="3"/>
        <v>1.2987012987012988E-2</v>
      </c>
    </row>
    <row r="246" spans="1:14" x14ac:dyDescent="0.35">
      <c r="A246" t="s">
        <v>24</v>
      </c>
      <c r="D246" t="s">
        <v>28</v>
      </c>
      <c r="E246">
        <v>1998</v>
      </c>
      <c r="F246">
        <v>4</v>
      </c>
      <c r="G246">
        <v>53</v>
      </c>
      <c r="H246">
        <v>5</v>
      </c>
      <c r="I246">
        <v>7</v>
      </c>
      <c r="J246">
        <v>4</v>
      </c>
      <c r="K246" s="13">
        <v>45567</v>
      </c>
      <c r="L246">
        <v>64</v>
      </c>
      <c r="M246">
        <v>44</v>
      </c>
      <c r="N246">
        <f t="shared" si="3"/>
        <v>0.6875</v>
      </c>
    </row>
    <row r="247" spans="1:14" x14ac:dyDescent="0.35">
      <c r="A247" t="s">
        <v>24</v>
      </c>
      <c r="D247" t="s">
        <v>26</v>
      </c>
      <c r="E247">
        <v>1983</v>
      </c>
      <c r="F247">
        <v>4</v>
      </c>
      <c r="G247">
        <v>54</v>
      </c>
      <c r="H247">
        <v>6</v>
      </c>
      <c r="I247">
        <v>7</v>
      </c>
      <c r="J247">
        <v>4</v>
      </c>
      <c r="K247" s="13">
        <v>45567</v>
      </c>
      <c r="L247">
        <v>74</v>
      </c>
      <c r="M247">
        <v>20</v>
      </c>
      <c r="N247">
        <f t="shared" si="3"/>
        <v>0.27027027027027029</v>
      </c>
    </row>
    <row r="248" spans="1:14" x14ac:dyDescent="0.35">
      <c r="A248" t="s">
        <v>24</v>
      </c>
      <c r="D248" t="s">
        <v>335</v>
      </c>
      <c r="E248">
        <v>2023</v>
      </c>
      <c r="F248">
        <v>4</v>
      </c>
      <c r="G248">
        <v>55</v>
      </c>
      <c r="H248">
        <v>7</v>
      </c>
      <c r="I248">
        <v>7</v>
      </c>
      <c r="J248">
        <v>4</v>
      </c>
      <c r="K248" s="13">
        <v>45567</v>
      </c>
      <c r="L248">
        <v>59</v>
      </c>
      <c r="M248">
        <v>26</v>
      </c>
      <c r="N248">
        <f t="shared" si="3"/>
        <v>0.44067796610169491</v>
      </c>
    </row>
    <row r="249" spans="1:14" x14ac:dyDescent="0.35">
      <c r="A249" t="s">
        <v>24</v>
      </c>
      <c r="D249" t="s">
        <v>336</v>
      </c>
      <c r="E249">
        <v>2002</v>
      </c>
      <c r="F249">
        <v>4</v>
      </c>
      <c r="G249">
        <v>56</v>
      </c>
      <c r="H249">
        <v>8</v>
      </c>
      <c r="I249">
        <v>7</v>
      </c>
      <c r="J249">
        <v>4</v>
      </c>
      <c r="K249" s="13">
        <v>45567</v>
      </c>
      <c r="L249">
        <v>60</v>
      </c>
      <c r="M249">
        <v>3</v>
      </c>
      <c r="N249">
        <f t="shared" si="3"/>
        <v>0.05</v>
      </c>
    </row>
    <row r="250" spans="1:14" x14ac:dyDescent="0.35">
      <c r="A250" t="s">
        <v>34</v>
      </c>
      <c r="D250" t="s">
        <v>39</v>
      </c>
      <c r="E250">
        <v>2001</v>
      </c>
      <c r="F250">
        <v>4</v>
      </c>
      <c r="G250">
        <v>57</v>
      </c>
      <c r="H250">
        <v>1</v>
      </c>
      <c r="I250">
        <v>8</v>
      </c>
      <c r="J250">
        <v>4</v>
      </c>
      <c r="K250" s="13">
        <v>45567</v>
      </c>
      <c r="L250">
        <v>48</v>
      </c>
      <c r="M250">
        <v>33</v>
      </c>
      <c r="N250">
        <f t="shared" si="3"/>
        <v>0.6875</v>
      </c>
    </row>
    <row r="251" spans="1:14" x14ac:dyDescent="0.35">
      <c r="A251" t="s">
        <v>34</v>
      </c>
      <c r="D251" t="s">
        <v>37</v>
      </c>
      <c r="E251">
        <v>1989</v>
      </c>
      <c r="F251">
        <v>4</v>
      </c>
      <c r="G251">
        <v>58</v>
      </c>
      <c r="H251">
        <v>2</v>
      </c>
      <c r="I251">
        <v>8</v>
      </c>
      <c r="J251">
        <v>4</v>
      </c>
      <c r="K251" s="13">
        <v>45567</v>
      </c>
      <c r="L251">
        <v>67</v>
      </c>
      <c r="M251">
        <v>26</v>
      </c>
      <c r="N251">
        <f t="shared" si="3"/>
        <v>0.38805970149253732</v>
      </c>
    </row>
    <row r="252" spans="1:14" x14ac:dyDescent="0.35">
      <c r="A252" t="s">
        <v>34</v>
      </c>
      <c r="D252" t="s">
        <v>36</v>
      </c>
      <c r="E252">
        <v>1984</v>
      </c>
      <c r="F252">
        <v>4</v>
      </c>
      <c r="G252">
        <v>59</v>
      </c>
      <c r="H252">
        <v>3</v>
      </c>
      <c r="I252">
        <v>8</v>
      </c>
      <c r="J252">
        <v>4</v>
      </c>
      <c r="K252" s="13">
        <v>45567</v>
      </c>
      <c r="L252">
        <v>52</v>
      </c>
      <c r="M252">
        <v>2</v>
      </c>
      <c r="N252">
        <f t="shared" si="3"/>
        <v>3.8461538461538464E-2</v>
      </c>
    </row>
    <row r="253" spans="1:14" x14ac:dyDescent="0.35">
      <c r="A253" t="s">
        <v>34</v>
      </c>
      <c r="D253" t="s">
        <v>343</v>
      </c>
      <c r="E253">
        <v>2004</v>
      </c>
      <c r="F253">
        <v>4</v>
      </c>
      <c r="G253">
        <v>60</v>
      </c>
      <c r="H253">
        <v>4</v>
      </c>
      <c r="I253">
        <v>8</v>
      </c>
      <c r="J253">
        <v>4</v>
      </c>
      <c r="K253" s="13">
        <v>45567</v>
      </c>
      <c r="L253">
        <v>55</v>
      </c>
      <c r="M253">
        <v>16</v>
      </c>
      <c r="N253">
        <f t="shared" si="3"/>
        <v>0.29090909090909089</v>
      </c>
    </row>
    <row r="254" spans="1:14" x14ac:dyDescent="0.35">
      <c r="A254" t="s">
        <v>34</v>
      </c>
      <c r="D254" t="s">
        <v>41</v>
      </c>
      <c r="E254">
        <v>2008</v>
      </c>
      <c r="F254">
        <v>4</v>
      </c>
      <c r="G254">
        <v>61</v>
      </c>
      <c r="H254">
        <v>5</v>
      </c>
      <c r="I254">
        <v>8</v>
      </c>
      <c r="J254">
        <v>4</v>
      </c>
      <c r="K254" s="13">
        <v>45567</v>
      </c>
      <c r="L254">
        <v>40</v>
      </c>
      <c r="M254">
        <v>40</v>
      </c>
      <c r="N254">
        <f t="shared" si="3"/>
        <v>1</v>
      </c>
    </row>
    <row r="255" spans="1:14" x14ac:dyDescent="0.35">
      <c r="A255" t="s">
        <v>34</v>
      </c>
      <c r="D255" t="s">
        <v>38</v>
      </c>
      <c r="E255">
        <v>1999</v>
      </c>
      <c r="F255">
        <v>4</v>
      </c>
      <c r="G255">
        <v>62</v>
      </c>
      <c r="H255">
        <v>6</v>
      </c>
      <c r="I255">
        <v>8</v>
      </c>
      <c r="J255">
        <v>4</v>
      </c>
      <c r="K255" s="13">
        <v>45567</v>
      </c>
      <c r="L255">
        <v>54</v>
      </c>
      <c r="M255">
        <v>8</v>
      </c>
      <c r="N255">
        <f t="shared" si="3"/>
        <v>0.14814814814814814</v>
      </c>
    </row>
    <row r="256" spans="1:14" x14ac:dyDescent="0.35">
      <c r="A256" t="s">
        <v>34</v>
      </c>
      <c r="D256" t="s">
        <v>42</v>
      </c>
      <c r="E256">
        <v>2016</v>
      </c>
      <c r="F256">
        <v>4</v>
      </c>
      <c r="G256">
        <v>63</v>
      </c>
      <c r="H256">
        <v>7</v>
      </c>
      <c r="I256">
        <v>8</v>
      </c>
      <c r="J256">
        <v>4</v>
      </c>
      <c r="K256" s="13">
        <v>45567</v>
      </c>
      <c r="L256">
        <v>42</v>
      </c>
      <c r="M256">
        <v>42</v>
      </c>
      <c r="N256">
        <f t="shared" si="3"/>
        <v>1</v>
      </c>
    </row>
    <row r="257" spans="1:14" x14ac:dyDescent="0.35">
      <c r="A257" t="s">
        <v>34</v>
      </c>
      <c r="D257" t="s">
        <v>43</v>
      </c>
      <c r="E257">
        <v>2020</v>
      </c>
      <c r="F257">
        <v>4</v>
      </c>
      <c r="G257">
        <v>64</v>
      </c>
      <c r="H257">
        <v>8</v>
      </c>
      <c r="I257">
        <v>8</v>
      </c>
      <c r="J257">
        <v>4</v>
      </c>
      <c r="K257" s="13">
        <v>45567</v>
      </c>
      <c r="L257">
        <v>38</v>
      </c>
      <c r="M257">
        <v>14</v>
      </c>
      <c r="N257">
        <f t="shared" si="3"/>
        <v>0.36842105263157893</v>
      </c>
    </row>
    <row r="258" spans="1:14" x14ac:dyDescent="0.35">
      <c r="A258" t="s">
        <v>24</v>
      </c>
      <c r="D258" t="s">
        <v>27</v>
      </c>
      <c r="E258">
        <v>1985</v>
      </c>
      <c r="F258">
        <v>1</v>
      </c>
      <c r="G258">
        <v>1</v>
      </c>
      <c r="H258">
        <v>1</v>
      </c>
      <c r="I258">
        <v>1</v>
      </c>
      <c r="J258">
        <v>5</v>
      </c>
      <c r="K258" s="13">
        <v>45571</v>
      </c>
      <c r="L258">
        <v>78</v>
      </c>
      <c r="M258">
        <v>31</v>
      </c>
      <c r="N258">
        <f t="shared" si="3"/>
        <v>0.39743589743589741</v>
      </c>
    </row>
    <row r="259" spans="1:14" x14ac:dyDescent="0.35">
      <c r="A259" t="s">
        <v>24</v>
      </c>
      <c r="D259" t="s">
        <v>26</v>
      </c>
      <c r="E259">
        <v>1983</v>
      </c>
      <c r="F259">
        <v>1</v>
      </c>
      <c r="G259">
        <v>2</v>
      </c>
      <c r="H259">
        <v>2</v>
      </c>
      <c r="I259">
        <v>1</v>
      </c>
      <c r="J259">
        <v>5</v>
      </c>
      <c r="K259" s="13">
        <v>45571</v>
      </c>
      <c r="L259">
        <v>63</v>
      </c>
      <c r="M259">
        <v>49</v>
      </c>
      <c r="N259">
        <f t="shared" si="3"/>
        <v>0.77777777777777779</v>
      </c>
    </row>
    <row r="260" spans="1:14" x14ac:dyDescent="0.35">
      <c r="A260" t="s">
        <v>24</v>
      </c>
      <c r="D260" t="s">
        <v>335</v>
      </c>
      <c r="E260">
        <v>2023</v>
      </c>
      <c r="F260">
        <v>1</v>
      </c>
      <c r="G260">
        <v>3</v>
      </c>
      <c r="H260">
        <v>3</v>
      </c>
      <c r="I260">
        <v>1</v>
      </c>
      <c r="J260">
        <v>5</v>
      </c>
      <c r="K260" s="13">
        <v>45571</v>
      </c>
      <c r="L260">
        <v>60</v>
      </c>
      <c r="M260">
        <v>60</v>
      </c>
      <c r="N260">
        <f t="shared" ref="N260:N323" si="4">M260/L260</f>
        <v>1</v>
      </c>
    </row>
    <row r="261" spans="1:14" x14ac:dyDescent="0.35">
      <c r="A261" t="s">
        <v>24</v>
      </c>
      <c r="D261" t="s">
        <v>29</v>
      </c>
      <c r="E261">
        <v>1999</v>
      </c>
      <c r="F261">
        <v>1</v>
      </c>
      <c r="G261">
        <v>4</v>
      </c>
      <c r="H261">
        <v>4</v>
      </c>
      <c r="I261">
        <v>1</v>
      </c>
      <c r="J261">
        <v>5</v>
      </c>
      <c r="K261" s="13">
        <v>45571</v>
      </c>
      <c r="L261">
        <v>108</v>
      </c>
      <c r="M261">
        <v>63</v>
      </c>
      <c r="N261">
        <f t="shared" si="4"/>
        <v>0.58333333333333337</v>
      </c>
    </row>
    <row r="262" spans="1:14" x14ac:dyDescent="0.35">
      <c r="A262" t="s">
        <v>24</v>
      </c>
      <c r="D262" t="s">
        <v>336</v>
      </c>
      <c r="E262">
        <v>2002</v>
      </c>
      <c r="F262">
        <v>1</v>
      </c>
      <c r="G262">
        <v>5</v>
      </c>
      <c r="H262">
        <v>5</v>
      </c>
      <c r="I262">
        <v>1</v>
      </c>
      <c r="J262">
        <v>5</v>
      </c>
      <c r="K262" s="13">
        <v>45571</v>
      </c>
      <c r="L262">
        <v>78</v>
      </c>
      <c r="M262">
        <v>24</v>
      </c>
      <c r="N262">
        <f t="shared" si="4"/>
        <v>0.30769230769230771</v>
      </c>
    </row>
    <row r="263" spans="1:14" x14ac:dyDescent="0.35">
      <c r="A263" t="s">
        <v>24</v>
      </c>
      <c r="D263" t="s">
        <v>32</v>
      </c>
      <c r="E263">
        <v>2018</v>
      </c>
      <c r="F263">
        <v>1</v>
      </c>
      <c r="G263">
        <v>6</v>
      </c>
      <c r="H263">
        <v>6</v>
      </c>
      <c r="I263">
        <v>1</v>
      </c>
      <c r="J263">
        <v>5</v>
      </c>
      <c r="K263" s="13">
        <v>45571</v>
      </c>
      <c r="L263">
        <v>74</v>
      </c>
      <c r="M263">
        <v>58</v>
      </c>
      <c r="N263">
        <f t="shared" si="4"/>
        <v>0.78378378378378377</v>
      </c>
    </row>
    <row r="264" spans="1:14" x14ac:dyDescent="0.35">
      <c r="A264" t="s">
        <v>24</v>
      </c>
      <c r="D264" t="s">
        <v>28</v>
      </c>
      <c r="E264">
        <v>1998</v>
      </c>
      <c r="F264">
        <v>1</v>
      </c>
      <c r="G264">
        <v>7</v>
      </c>
      <c r="H264">
        <v>7</v>
      </c>
      <c r="I264">
        <v>1</v>
      </c>
      <c r="J264">
        <v>5</v>
      </c>
      <c r="K264" s="13">
        <v>45571</v>
      </c>
      <c r="L264">
        <v>90</v>
      </c>
      <c r="M264">
        <v>90</v>
      </c>
      <c r="N264">
        <f t="shared" si="4"/>
        <v>1</v>
      </c>
    </row>
    <row r="265" spans="1:14" x14ac:dyDescent="0.35">
      <c r="A265" t="s">
        <v>24</v>
      </c>
      <c r="D265" t="s">
        <v>337</v>
      </c>
      <c r="E265">
        <v>2016</v>
      </c>
      <c r="F265">
        <v>1</v>
      </c>
      <c r="G265">
        <v>8</v>
      </c>
      <c r="H265">
        <v>8</v>
      </c>
      <c r="I265">
        <v>1</v>
      </c>
      <c r="J265">
        <v>5</v>
      </c>
      <c r="K265" s="13">
        <v>45571</v>
      </c>
      <c r="L265">
        <v>50</v>
      </c>
      <c r="M265">
        <v>11</v>
      </c>
      <c r="N265">
        <f t="shared" si="4"/>
        <v>0.22</v>
      </c>
    </row>
    <row r="266" spans="1:14" x14ac:dyDescent="0.35">
      <c r="A266" t="s">
        <v>34</v>
      </c>
      <c r="D266" t="s">
        <v>42</v>
      </c>
      <c r="E266">
        <v>2016</v>
      </c>
      <c r="F266">
        <v>1</v>
      </c>
      <c r="G266">
        <v>9</v>
      </c>
      <c r="H266">
        <v>1</v>
      </c>
      <c r="I266">
        <v>2</v>
      </c>
      <c r="J266">
        <v>5</v>
      </c>
      <c r="K266" s="13">
        <v>45571</v>
      </c>
      <c r="L266">
        <v>43</v>
      </c>
      <c r="M266">
        <v>43</v>
      </c>
      <c r="N266">
        <f t="shared" si="4"/>
        <v>1</v>
      </c>
    </row>
    <row r="267" spans="1:14" x14ac:dyDescent="0.35">
      <c r="A267" t="s">
        <v>34</v>
      </c>
      <c r="D267" t="s">
        <v>38</v>
      </c>
      <c r="E267">
        <v>1999</v>
      </c>
      <c r="F267">
        <v>1</v>
      </c>
      <c r="G267">
        <v>10</v>
      </c>
      <c r="H267">
        <v>2</v>
      </c>
      <c r="I267">
        <v>2</v>
      </c>
      <c r="J267">
        <v>5</v>
      </c>
      <c r="K267" s="13">
        <v>45571</v>
      </c>
      <c r="L267">
        <v>59</v>
      </c>
      <c r="M267">
        <v>23</v>
      </c>
      <c r="N267">
        <f t="shared" si="4"/>
        <v>0.38983050847457629</v>
      </c>
    </row>
    <row r="268" spans="1:14" x14ac:dyDescent="0.35">
      <c r="A268" t="s">
        <v>34</v>
      </c>
      <c r="D268" t="s">
        <v>43</v>
      </c>
      <c r="E268">
        <v>2020</v>
      </c>
      <c r="F268">
        <v>1</v>
      </c>
      <c r="G268">
        <v>11</v>
      </c>
      <c r="H268">
        <v>3</v>
      </c>
      <c r="I268">
        <v>2</v>
      </c>
      <c r="J268">
        <v>5</v>
      </c>
      <c r="K268" s="13">
        <v>45571</v>
      </c>
      <c r="L268">
        <v>42</v>
      </c>
      <c r="M268">
        <v>16</v>
      </c>
      <c r="N268">
        <f t="shared" si="4"/>
        <v>0.38095238095238093</v>
      </c>
    </row>
    <row r="269" spans="1:14" x14ac:dyDescent="0.35">
      <c r="A269" t="s">
        <v>34</v>
      </c>
      <c r="D269" t="s">
        <v>41</v>
      </c>
      <c r="E269">
        <v>2008</v>
      </c>
      <c r="F269">
        <v>1</v>
      </c>
      <c r="G269">
        <v>12</v>
      </c>
      <c r="H269">
        <v>4</v>
      </c>
      <c r="I269">
        <v>2</v>
      </c>
      <c r="J269">
        <v>5</v>
      </c>
      <c r="K269" s="13">
        <v>45571</v>
      </c>
      <c r="L269">
        <v>39</v>
      </c>
      <c r="M269">
        <v>39</v>
      </c>
      <c r="N269">
        <f t="shared" si="4"/>
        <v>1</v>
      </c>
    </row>
    <row r="270" spans="1:14" x14ac:dyDescent="0.35">
      <c r="A270" t="s">
        <v>34</v>
      </c>
      <c r="D270" t="s">
        <v>37</v>
      </c>
      <c r="E270">
        <v>1989</v>
      </c>
      <c r="F270">
        <v>1</v>
      </c>
      <c r="G270">
        <v>13</v>
      </c>
      <c r="H270">
        <v>5</v>
      </c>
      <c r="I270">
        <v>2</v>
      </c>
      <c r="J270">
        <v>5</v>
      </c>
      <c r="K270" s="13">
        <v>45571</v>
      </c>
      <c r="L270">
        <v>48</v>
      </c>
      <c r="M270">
        <v>42</v>
      </c>
      <c r="N270">
        <f t="shared" si="4"/>
        <v>0.875</v>
      </c>
    </row>
    <row r="271" spans="1:14" x14ac:dyDescent="0.35">
      <c r="A271" t="s">
        <v>34</v>
      </c>
      <c r="D271" t="s">
        <v>343</v>
      </c>
      <c r="E271">
        <v>2004</v>
      </c>
      <c r="F271">
        <v>1</v>
      </c>
      <c r="G271">
        <v>14</v>
      </c>
      <c r="H271">
        <v>6</v>
      </c>
      <c r="I271">
        <v>2</v>
      </c>
      <c r="J271">
        <v>5</v>
      </c>
      <c r="K271" s="13">
        <v>45571</v>
      </c>
      <c r="L271">
        <v>44</v>
      </c>
      <c r="M271">
        <v>38</v>
      </c>
      <c r="N271">
        <f t="shared" si="4"/>
        <v>0.86363636363636365</v>
      </c>
    </row>
    <row r="272" spans="1:14" x14ac:dyDescent="0.35">
      <c r="A272" t="s">
        <v>34</v>
      </c>
      <c r="D272" t="s">
        <v>36</v>
      </c>
      <c r="E272">
        <v>1984</v>
      </c>
      <c r="F272">
        <v>1</v>
      </c>
      <c r="G272">
        <v>15</v>
      </c>
      <c r="H272">
        <v>7</v>
      </c>
      <c r="I272">
        <v>2</v>
      </c>
      <c r="J272">
        <v>5</v>
      </c>
      <c r="K272" s="13">
        <v>45571</v>
      </c>
      <c r="L272">
        <v>44</v>
      </c>
      <c r="M272">
        <v>44</v>
      </c>
      <c r="N272">
        <f t="shared" si="4"/>
        <v>1</v>
      </c>
    </row>
    <row r="273" spans="1:14" x14ac:dyDescent="0.35">
      <c r="A273" t="s">
        <v>34</v>
      </c>
      <c r="D273" t="s">
        <v>39</v>
      </c>
      <c r="E273">
        <v>2001</v>
      </c>
      <c r="F273">
        <v>1</v>
      </c>
      <c r="G273">
        <v>16</v>
      </c>
      <c r="H273">
        <v>8</v>
      </c>
      <c r="I273">
        <v>2</v>
      </c>
      <c r="J273">
        <v>5</v>
      </c>
      <c r="K273" s="13">
        <v>45571</v>
      </c>
      <c r="L273">
        <v>56</v>
      </c>
      <c r="M273">
        <v>56</v>
      </c>
      <c r="N273">
        <f t="shared" si="4"/>
        <v>1</v>
      </c>
    </row>
    <row r="274" spans="1:14" x14ac:dyDescent="0.35">
      <c r="A274" t="s">
        <v>24</v>
      </c>
      <c r="D274" t="s">
        <v>335</v>
      </c>
      <c r="E274">
        <v>2023</v>
      </c>
      <c r="F274">
        <v>2</v>
      </c>
      <c r="G274">
        <v>17</v>
      </c>
      <c r="H274">
        <v>1</v>
      </c>
      <c r="I274">
        <v>3</v>
      </c>
      <c r="J274">
        <v>5</v>
      </c>
      <c r="K274" s="13">
        <v>45571</v>
      </c>
      <c r="L274">
        <v>55</v>
      </c>
      <c r="M274">
        <v>55</v>
      </c>
      <c r="N274">
        <f t="shared" si="4"/>
        <v>1</v>
      </c>
    </row>
    <row r="275" spans="1:14" x14ac:dyDescent="0.35">
      <c r="A275" t="s">
        <v>24</v>
      </c>
      <c r="D275" t="s">
        <v>28</v>
      </c>
      <c r="E275">
        <v>1998</v>
      </c>
      <c r="F275">
        <v>2</v>
      </c>
      <c r="G275">
        <v>18</v>
      </c>
      <c r="H275">
        <v>2</v>
      </c>
      <c r="I275">
        <v>3</v>
      </c>
      <c r="J275">
        <v>5</v>
      </c>
      <c r="K275" s="13">
        <v>45571</v>
      </c>
      <c r="L275">
        <v>67</v>
      </c>
      <c r="M275">
        <v>67</v>
      </c>
      <c r="N275">
        <f t="shared" si="4"/>
        <v>1</v>
      </c>
    </row>
    <row r="276" spans="1:14" x14ac:dyDescent="0.35">
      <c r="A276" t="s">
        <v>24</v>
      </c>
      <c r="D276" t="s">
        <v>26</v>
      </c>
      <c r="E276">
        <v>1983</v>
      </c>
      <c r="F276">
        <v>2</v>
      </c>
      <c r="G276">
        <v>19</v>
      </c>
      <c r="H276">
        <v>3</v>
      </c>
      <c r="I276">
        <v>3</v>
      </c>
      <c r="J276">
        <v>5</v>
      </c>
      <c r="K276" s="13">
        <v>45571</v>
      </c>
      <c r="L276">
        <v>67</v>
      </c>
      <c r="M276">
        <v>49</v>
      </c>
      <c r="N276">
        <f t="shared" si="4"/>
        <v>0.73134328358208955</v>
      </c>
    </row>
    <row r="277" spans="1:14" x14ac:dyDescent="0.35">
      <c r="A277" t="s">
        <v>24</v>
      </c>
      <c r="D277" t="s">
        <v>336</v>
      </c>
      <c r="E277">
        <v>2002</v>
      </c>
      <c r="F277">
        <v>2</v>
      </c>
      <c r="G277">
        <v>20</v>
      </c>
      <c r="H277">
        <v>4</v>
      </c>
      <c r="I277">
        <v>3</v>
      </c>
      <c r="J277">
        <v>5</v>
      </c>
      <c r="K277" s="13">
        <v>45571</v>
      </c>
      <c r="L277">
        <v>53</v>
      </c>
      <c r="M277">
        <v>14</v>
      </c>
      <c r="N277">
        <f t="shared" si="4"/>
        <v>0.26415094339622641</v>
      </c>
    </row>
    <row r="278" spans="1:14" x14ac:dyDescent="0.35">
      <c r="A278" t="s">
        <v>24</v>
      </c>
      <c r="D278" t="s">
        <v>29</v>
      </c>
      <c r="E278">
        <v>1999</v>
      </c>
      <c r="F278">
        <v>2</v>
      </c>
      <c r="G278">
        <v>21</v>
      </c>
      <c r="H278">
        <v>5</v>
      </c>
      <c r="I278">
        <v>3</v>
      </c>
      <c r="J278">
        <v>5</v>
      </c>
      <c r="K278" s="13">
        <v>45571</v>
      </c>
      <c r="L278">
        <v>63</v>
      </c>
      <c r="M278">
        <v>50</v>
      </c>
      <c r="N278">
        <f t="shared" si="4"/>
        <v>0.79365079365079361</v>
      </c>
    </row>
    <row r="279" spans="1:14" x14ac:dyDescent="0.35">
      <c r="A279" t="s">
        <v>24</v>
      </c>
      <c r="D279" t="s">
        <v>337</v>
      </c>
      <c r="E279">
        <v>2016</v>
      </c>
      <c r="F279">
        <v>2</v>
      </c>
      <c r="G279">
        <v>22</v>
      </c>
      <c r="H279">
        <v>6</v>
      </c>
      <c r="I279">
        <v>3</v>
      </c>
      <c r="J279">
        <v>5</v>
      </c>
      <c r="K279" s="13">
        <v>45571</v>
      </c>
      <c r="L279">
        <v>63</v>
      </c>
      <c r="M279">
        <v>11</v>
      </c>
      <c r="N279">
        <f t="shared" si="4"/>
        <v>0.17460317460317459</v>
      </c>
    </row>
    <row r="280" spans="1:14" x14ac:dyDescent="0.35">
      <c r="A280" t="s">
        <v>24</v>
      </c>
      <c r="D280" t="s">
        <v>32</v>
      </c>
      <c r="E280">
        <v>2018</v>
      </c>
      <c r="F280">
        <v>2</v>
      </c>
      <c r="G280">
        <v>23</v>
      </c>
      <c r="H280">
        <v>7</v>
      </c>
      <c r="I280">
        <v>3</v>
      </c>
      <c r="J280">
        <v>5</v>
      </c>
      <c r="K280" s="13">
        <v>45571</v>
      </c>
      <c r="L280">
        <v>53</v>
      </c>
      <c r="M280">
        <v>44</v>
      </c>
      <c r="N280">
        <f t="shared" si="4"/>
        <v>0.83018867924528306</v>
      </c>
    </row>
    <row r="281" spans="1:14" x14ac:dyDescent="0.35">
      <c r="A281" t="s">
        <v>24</v>
      </c>
      <c r="D281" t="s">
        <v>27</v>
      </c>
      <c r="E281">
        <v>1985</v>
      </c>
      <c r="F281">
        <v>2</v>
      </c>
      <c r="G281">
        <v>24</v>
      </c>
      <c r="H281">
        <v>8</v>
      </c>
      <c r="I281">
        <v>3</v>
      </c>
      <c r="J281">
        <v>5</v>
      </c>
      <c r="K281" s="13">
        <v>45571</v>
      </c>
      <c r="L281">
        <v>65</v>
      </c>
      <c r="M281">
        <v>33</v>
      </c>
      <c r="N281">
        <f t="shared" si="4"/>
        <v>0.50769230769230766</v>
      </c>
    </row>
    <row r="282" spans="1:14" x14ac:dyDescent="0.35">
      <c r="A282" t="s">
        <v>34</v>
      </c>
      <c r="D282" t="s">
        <v>343</v>
      </c>
      <c r="E282">
        <v>2004</v>
      </c>
      <c r="F282">
        <v>2</v>
      </c>
      <c r="G282">
        <v>25</v>
      </c>
      <c r="H282">
        <v>1</v>
      </c>
      <c r="I282">
        <v>4</v>
      </c>
      <c r="J282">
        <v>5</v>
      </c>
      <c r="K282" s="13">
        <v>45571</v>
      </c>
      <c r="L282">
        <v>55</v>
      </c>
      <c r="M282">
        <v>32</v>
      </c>
      <c r="N282">
        <f t="shared" si="4"/>
        <v>0.58181818181818179</v>
      </c>
    </row>
    <row r="283" spans="1:14" x14ac:dyDescent="0.35">
      <c r="A283" t="s">
        <v>34</v>
      </c>
      <c r="D283" t="s">
        <v>43</v>
      </c>
      <c r="E283">
        <v>2020</v>
      </c>
      <c r="F283">
        <v>2</v>
      </c>
      <c r="G283">
        <v>26</v>
      </c>
      <c r="H283">
        <v>2</v>
      </c>
      <c r="I283">
        <v>4</v>
      </c>
      <c r="J283">
        <v>5</v>
      </c>
      <c r="K283" s="13">
        <v>45571</v>
      </c>
      <c r="L283">
        <v>49</v>
      </c>
      <c r="M283">
        <v>25</v>
      </c>
      <c r="N283">
        <f t="shared" si="4"/>
        <v>0.51020408163265307</v>
      </c>
    </row>
    <row r="284" spans="1:14" x14ac:dyDescent="0.35">
      <c r="A284" t="s">
        <v>34</v>
      </c>
      <c r="D284" t="s">
        <v>38</v>
      </c>
      <c r="E284">
        <v>1999</v>
      </c>
      <c r="F284">
        <v>2</v>
      </c>
      <c r="G284">
        <v>27</v>
      </c>
      <c r="H284">
        <v>3</v>
      </c>
      <c r="I284">
        <v>4</v>
      </c>
      <c r="J284">
        <v>5</v>
      </c>
      <c r="K284" s="13">
        <v>45571</v>
      </c>
      <c r="L284">
        <v>48</v>
      </c>
      <c r="M284">
        <v>17</v>
      </c>
      <c r="N284">
        <f t="shared" si="4"/>
        <v>0.35416666666666669</v>
      </c>
    </row>
    <row r="285" spans="1:14" x14ac:dyDescent="0.35">
      <c r="A285" t="s">
        <v>34</v>
      </c>
      <c r="D285" t="s">
        <v>39</v>
      </c>
      <c r="E285">
        <v>2001</v>
      </c>
      <c r="F285">
        <v>2</v>
      </c>
      <c r="G285">
        <v>28</v>
      </c>
      <c r="H285">
        <v>4</v>
      </c>
      <c r="I285">
        <v>4</v>
      </c>
      <c r="J285">
        <v>5</v>
      </c>
      <c r="K285" s="13">
        <v>45571</v>
      </c>
      <c r="L285">
        <v>36</v>
      </c>
      <c r="M285">
        <v>35</v>
      </c>
      <c r="N285">
        <f t="shared" si="4"/>
        <v>0.97222222222222221</v>
      </c>
    </row>
    <row r="286" spans="1:14" x14ac:dyDescent="0.35">
      <c r="A286" t="s">
        <v>34</v>
      </c>
      <c r="D286" t="s">
        <v>42</v>
      </c>
      <c r="E286">
        <v>2016</v>
      </c>
      <c r="F286">
        <v>2</v>
      </c>
      <c r="G286">
        <v>29</v>
      </c>
      <c r="H286">
        <v>5</v>
      </c>
      <c r="I286">
        <v>4</v>
      </c>
      <c r="J286">
        <v>5</v>
      </c>
      <c r="K286" s="13">
        <v>45571</v>
      </c>
      <c r="L286">
        <v>45</v>
      </c>
      <c r="M286">
        <v>45</v>
      </c>
      <c r="N286">
        <f t="shared" si="4"/>
        <v>1</v>
      </c>
    </row>
    <row r="287" spans="1:14" x14ac:dyDescent="0.35">
      <c r="A287" t="s">
        <v>34</v>
      </c>
      <c r="D287" t="s">
        <v>36</v>
      </c>
      <c r="E287">
        <v>1984</v>
      </c>
      <c r="F287">
        <v>2</v>
      </c>
      <c r="G287">
        <v>30</v>
      </c>
      <c r="H287">
        <v>6</v>
      </c>
      <c r="I287">
        <v>4</v>
      </c>
      <c r="J287">
        <v>5</v>
      </c>
      <c r="K287" s="13">
        <v>45571</v>
      </c>
      <c r="L287">
        <v>48</v>
      </c>
      <c r="M287">
        <v>44</v>
      </c>
      <c r="N287">
        <f t="shared" si="4"/>
        <v>0.91666666666666663</v>
      </c>
    </row>
    <row r="288" spans="1:14" x14ac:dyDescent="0.35">
      <c r="A288" t="s">
        <v>34</v>
      </c>
      <c r="D288" t="s">
        <v>41</v>
      </c>
      <c r="E288">
        <v>2008</v>
      </c>
      <c r="F288">
        <v>2</v>
      </c>
      <c r="G288">
        <v>31</v>
      </c>
      <c r="H288">
        <v>7</v>
      </c>
      <c r="I288">
        <v>4</v>
      </c>
      <c r="J288">
        <v>5</v>
      </c>
      <c r="K288" s="13">
        <v>45571</v>
      </c>
      <c r="L288">
        <v>61</v>
      </c>
      <c r="M288">
        <v>61</v>
      </c>
      <c r="N288">
        <f t="shared" si="4"/>
        <v>1</v>
      </c>
    </row>
    <row r="289" spans="1:14" x14ac:dyDescent="0.35">
      <c r="A289" t="s">
        <v>34</v>
      </c>
      <c r="D289" t="s">
        <v>37</v>
      </c>
      <c r="E289">
        <v>1989</v>
      </c>
      <c r="F289">
        <v>2</v>
      </c>
      <c r="G289">
        <v>32</v>
      </c>
      <c r="H289">
        <v>8</v>
      </c>
      <c r="I289">
        <v>4</v>
      </c>
      <c r="J289">
        <v>5</v>
      </c>
      <c r="K289" s="13">
        <v>45571</v>
      </c>
      <c r="L289">
        <v>64</v>
      </c>
      <c r="M289">
        <v>51</v>
      </c>
      <c r="N289">
        <f t="shared" si="4"/>
        <v>0.796875</v>
      </c>
    </row>
    <row r="290" spans="1:14" x14ac:dyDescent="0.35">
      <c r="A290" t="s">
        <v>24</v>
      </c>
      <c r="D290" t="s">
        <v>336</v>
      </c>
      <c r="E290">
        <v>2002</v>
      </c>
      <c r="F290">
        <v>3</v>
      </c>
      <c r="G290">
        <v>33</v>
      </c>
      <c r="H290">
        <v>1</v>
      </c>
      <c r="I290">
        <v>5</v>
      </c>
      <c r="J290">
        <v>5</v>
      </c>
      <c r="K290" s="13">
        <v>45571</v>
      </c>
      <c r="L290">
        <v>34</v>
      </c>
      <c r="M290">
        <v>24</v>
      </c>
      <c r="N290">
        <f t="shared" si="4"/>
        <v>0.70588235294117652</v>
      </c>
    </row>
    <row r="291" spans="1:14" x14ac:dyDescent="0.35">
      <c r="A291" t="s">
        <v>24</v>
      </c>
      <c r="D291" t="s">
        <v>337</v>
      </c>
      <c r="E291">
        <v>2016</v>
      </c>
      <c r="F291">
        <v>3</v>
      </c>
      <c r="G291">
        <v>34</v>
      </c>
      <c r="H291">
        <v>2</v>
      </c>
      <c r="I291">
        <v>5</v>
      </c>
      <c r="J291">
        <v>5</v>
      </c>
      <c r="K291" s="13">
        <v>45571</v>
      </c>
      <c r="L291">
        <v>61</v>
      </c>
      <c r="M291">
        <v>15</v>
      </c>
      <c r="N291">
        <f t="shared" si="4"/>
        <v>0.24590163934426229</v>
      </c>
    </row>
    <row r="292" spans="1:14" x14ac:dyDescent="0.35">
      <c r="A292" t="s">
        <v>24</v>
      </c>
      <c r="D292" t="s">
        <v>32</v>
      </c>
      <c r="E292">
        <v>2018</v>
      </c>
      <c r="F292">
        <v>3</v>
      </c>
      <c r="G292">
        <v>35</v>
      </c>
      <c r="H292">
        <v>3</v>
      </c>
      <c r="I292">
        <v>5</v>
      </c>
      <c r="J292">
        <v>5</v>
      </c>
      <c r="K292" s="13">
        <v>45571</v>
      </c>
      <c r="L292">
        <v>36</v>
      </c>
      <c r="M292">
        <v>27</v>
      </c>
      <c r="N292">
        <f t="shared" si="4"/>
        <v>0.75</v>
      </c>
    </row>
    <row r="293" spans="1:14" x14ac:dyDescent="0.35">
      <c r="A293" t="s">
        <v>24</v>
      </c>
      <c r="D293" t="s">
        <v>28</v>
      </c>
      <c r="E293">
        <v>1998</v>
      </c>
      <c r="F293">
        <v>3</v>
      </c>
      <c r="G293">
        <v>36</v>
      </c>
      <c r="H293">
        <v>4</v>
      </c>
      <c r="I293">
        <v>5</v>
      </c>
      <c r="J293">
        <v>5</v>
      </c>
      <c r="K293" s="13">
        <v>45571</v>
      </c>
      <c r="L293">
        <v>44</v>
      </c>
      <c r="M293">
        <v>44</v>
      </c>
      <c r="N293">
        <f t="shared" si="4"/>
        <v>1</v>
      </c>
    </row>
    <row r="294" spans="1:14" x14ac:dyDescent="0.35">
      <c r="A294" t="s">
        <v>24</v>
      </c>
      <c r="D294" t="s">
        <v>27</v>
      </c>
      <c r="E294">
        <v>1985</v>
      </c>
      <c r="F294">
        <v>3</v>
      </c>
      <c r="G294">
        <v>37</v>
      </c>
      <c r="H294">
        <v>5</v>
      </c>
      <c r="I294">
        <v>5</v>
      </c>
      <c r="J294">
        <v>5</v>
      </c>
      <c r="K294" s="13">
        <v>45571</v>
      </c>
      <c r="L294">
        <v>62</v>
      </c>
      <c r="M294">
        <v>31</v>
      </c>
      <c r="N294">
        <f t="shared" si="4"/>
        <v>0.5</v>
      </c>
    </row>
    <row r="295" spans="1:14" x14ac:dyDescent="0.35">
      <c r="A295" t="s">
        <v>24</v>
      </c>
      <c r="D295" t="s">
        <v>335</v>
      </c>
      <c r="E295">
        <v>2023</v>
      </c>
      <c r="F295">
        <v>3</v>
      </c>
      <c r="G295">
        <v>38</v>
      </c>
      <c r="H295">
        <v>6</v>
      </c>
      <c r="I295">
        <v>5</v>
      </c>
      <c r="J295">
        <v>5</v>
      </c>
      <c r="K295" s="13">
        <v>45571</v>
      </c>
      <c r="L295">
        <v>38</v>
      </c>
      <c r="M295">
        <v>38</v>
      </c>
      <c r="N295">
        <f t="shared" si="4"/>
        <v>1</v>
      </c>
    </row>
    <row r="296" spans="1:14" x14ac:dyDescent="0.35">
      <c r="A296" t="s">
        <v>24</v>
      </c>
      <c r="D296" t="s">
        <v>29</v>
      </c>
      <c r="E296">
        <v>1999</v>
      </c>
      <c r="F296">
        <v>3</v>
      </c>
      <c r="G296">
        <v>39</v>
      </c>
      <c r="H296">
        <v>7</v>
      </c>
      <c r="I296">
        <v>5</v>
      </c>
      <c r="J296">
        <v>5</v>
      </c>
      <c r="K296" s="13">
        <v>45571</v>
      </c>
      <c r="L296">
        <v>50</v>
      </c>
      <c r="M296">
        <v>37</v>
      </c>
      <c r="N296">
        <f t="shared" si="4"/>
        <v>0.74</v>
      </c>
    </row>
    <row r="297" spans="1:14" x14ac:dyDescent="0.35">
      <c r="A297" t="s">
        <v>24</v>
      </c>
      <c r="D297" t="s">
        <v>26</v>
      </c>
      <c r="E297">
        <v>1983</v>
      </c>
      <c r="F297">
        <v>3</v>
      </c>
      <c r="G297">
        <v>40</v>
      </c>
      <c r="H297">
        <v>8</v>
      </c>
      <c r="I297">
        <v>5</v>
      </c>
      <c r="J297">
        <v>5</v>
      </c>
      <c r="K297" s="13">
        <v>45571</v>
      </c>
      <c r="L297">
        <v>80</v>
      </c>
      <c r="M297">
        <v>64</v>
      </c>
      <c r="N297">
        <f t="shared" si="4"/>
        <v>0.8</v>
      </c>
    </row>
    <row r="298" spans="1:14" x14ac:dyDescent="0.35">
      <c r="A298" t="s">
        <v>34</v>
      </c>
      <c r="D298" t="s">
        <v>41</v>
      </c>
      <c r="E298">
        <v>2008</v>
      </c>
      <c r="F298">
        <v>3</v>
      </c>
      <c r="G298">
        <v>41</v>
      </c>
      <c r="H298">
        <v>1</v>
      </c>
      <c r="I298">
        <v>6</v>
      </c>
      <c r="J298">
        <v>5</v>
      </c>
      <c r="K298" s="13">
        <v>45571</v>
      </c>
      <c r="L298">
        <v>65</v>
      </c>
      <c r="M298">
        <v>65</v>
      </c>
      <c r="N298">
        <f t="shared" si="4"/>
        <v>1</v>
      </c>
    </row>
    <row r="299" spans="1:14" x14ac:dyDescent="0.35">
      <c r="A299" t="s">
        <v>34</v>
      </c>
      <c r="D299" t="s">
        <v>36</v>
      </c>
      <c r="E299">
        <v>1984</v>
      </c>
      <c r="F299">
        <v>3</v>
      </c>
      <c r="G299">
        <v>42</v>
      </c>
      <c r="H299">
        <v>2</v>
      </c>
      <c r="I299">
        <v>6</v>
      </c>
      <c r="J299">
        <v>5</v>
      </c>
      <c r="K299" s="13">
        <v>45571</v>
      </c>
      <c r="L299">
        <v>37</v>
      </c>
      <c r="M299">
        <v>19</v>
      </c>
      <c r="N299">
        <f t="shared" si="4"/>
        <v>0.51351351351351349</v>
      </c>
    </row>
    <row r="300" spans="1:14" x14ac:dyDescent="0.35">
      <c r="A300" t="s">
        <v>34</v>
      </c>
      <c r="D300" t="s">
        <v>37</v>
      </c>
      <c r="E300">
        <v>1989</v>
      </c>
      <c r="F300">
        <v>3</v>
      </c>
      <c r="G300">
        <v>43</v>
      </c>
      <c r="H300">
        <v>3</v>
      </c>
      <c r="I300">
        <v>6</v>
      </c>
      <c r="J300">
        <v>5</v>
      </c>
      <c r="K300" s="13">
        <v>45571</v>
      </c>
      <c r="L300">
        <v>46</v>
      </c>
      <c r="M300">
        <v>36</v>
      </c>
      <c r="N300">
        <f t="shared" si="4"/>
        <v>0.78260869565217395</v>
      </c>
    </row>
    <row r="301" spans="1:14" x14ac:dyDescent="0.35">
      <c r="A301" t="s">
        <v>34</v>
      </c>
      <c r="D301" t="s">
        <v>42</v>
      </c>
      <c r="E301">
        <v>2016</v>
      </c>
      <c r="F301">
        <v>3</v>
      </c>
      <c r="G301">
        <v>44</v>
      </c>
      <c r="H301">
        <v>4</v>
      </c>
      <c r="I301">
        <v>6</v>
      </c>
      <c r="J301">
        <v>5</v>
      </c>
      <c r="K301" s="13">
        <v>45571</v>
      </c>
      <c r="L301">
        <v>44</v>
      </c>
      <c r="M301">
        <v>42</v>
      </c>
      <c r="N301">
        <f t="shared" si="4"/>
        <v>0.95454545454545459</v>
      </c>
    </row>
    <row r="302" spans="1:14" x14ac:dyDescent="0.35">
      <c r="A302" t="s">
        <v>34</v>
      </c>
      <c r="D302" t="s">
        <v>43</v>
      </c>
      <c r="E302">
        <v>2020</v>
      </c>
      <c r="F302">
        <v>3</v>
      </c>
      <c r="G302">
        <v>45</v>
      </c>
      <c r="H302">
        <v>5</v>
      </c>
      <c r="I302">
        <v>6</v>
      </c>
      <c r="J302">
        <v>5</v>
      </c>
      <c r="K302" s="13">
        <v>45571</v>
      </c>
      <c r="L302">
        <v>48</v>
      </c>
      <c r="M302">
        <v>31</v>
      </c>
      <c r="N302">
        <f t="shared" si="4"/>
        <v>0.64583333333333337</v>
      </c>
    </row>
    <row r="303" spans="1:14" x14ac:dyDescent="0.35">
      <c r="A303" t="s">
        <v>34</v>
      </c>
      <c r="D303" t="s">
        <v>39</v>
      </c>
      <c r="E303">
        <v>2001</v>
      </c>
      <c r="F303">
        <v>3</v>
      </c>
      <c r="G303">
        <v>46</v>
      </c>
      <c r="H303">
        <v>6</v>
      </c>
      <c r="I303">
        <v>6</v>
      </c>
      <c r="J303">
        <v>5</v>
      </c>
      <c r="K303" s="13">
        <v>45571</v>
      </c>
      <c r="L303">
        <v>58</v>
      </c>
      <c r="M303">
        <v>57</v>
      </c>
      <c r="N303">
        <f t="shared" si="4"/>
        <v>0.98275862068965514</v>
      </c>
    </row>
    <row r="304" spans="1:14" x14ac:dyDescent="0.35">
      <c r="A304" t="s">
        <v>34</v>
      </c>
      <c r="D304" t="s">
        <v>38</v>
      </c>
      <c r="E304">
        <v>1999</v>
      </c>
      <c r="F304">
        <v>3</v>
      </c>
      <c r="G304">
        <v>47</v>
      </c>
      <c r="H304">
        <v>7</v>
      </c>
      <c r="I304">
        <v>6</v>
      </c>
      <c r="J304">
        <v>5</v>
      </c>
      <c r="K304" s="13">
        <v>45571</v>
      </c>
      <c r="L304">
        <v>57</v>
      </c>
      <c r="M304">
        <v>11</v>
      </c>
      <c r="N304">
        <f t="shared" si="4"/>
        <v>0.19298245614035087</v>
      </c>
    </row>
    <row r="305" spans="1:14" x14ac:dyDescent="0.35">
      <c r="A305" t="s">
        <v>34</v>
      </c>
      <c r="D305" t="s">
        <v>343</v>
      </c>
      <c r="E305">
        <v>2004</v>
      </c>
      <c r="F305">
        <v>3</v>
      </c>
      <c r="G305">
        <v>48</v>
      </c>
      <c r="H305">
        <v>8</v>
      </c>
      <c r="I305">
        <v>6</v>
      </c>
      <c r="J305">
        <v>5</v>
      </c>
      <c r="K305" s="13">
        <v>45571</v>
      </c>
      <c r="L305">
        <v>49</v>
      </c>
      <c r="M305">
        <v>35</v>
      </c>
      <c r="N305">
        <f t="shared" si="4"/>
        <v>0.7142857142857143</v>
      </c>
    </row>
    <row r="306" spans="1:14" x14ac:dyDescent="0.35">
      <c r="A306" t="s">
        <v>24</v>
      </c>
      <c r="D306" t="s">
        <v>32</v>
      </c>
      <c r="E306">
        <v>2018</v>
      </c>
      <c r="F306">
        <v>4</v>
      </c>
      <c r="G306">
        <v>49</v>
      </c>
      <c r="H306">
        <v>1</v>
      </c>
      <c r="I306">
        <v>7</v>
      </c>
      <c r="J306">
        <v>5</v>
      </c>
      <c r="K306" s="13">
        <v>45571</v>
      </c>
      <c r="L306">
        <v>50</v>
      </c>
      <c r="M306">
        <v>36</v>
      </c>
      <c r="N306">
        <f t="shared" si="4"/>
        <v>0.72</v>
      </c>
    </row>
    <row r="307" spans="1:14" x14ac:dyDescent="0.35">
      <c r="A307" t="s">
        <v>24</v>
      </c>
      <c r="D307" t="s">
        <v>29</v>
      </c>
      <c r="E307">
        <v>1999</v>
      </c>
      <c r="F307">
        <v>4</v>
      </c>
      <c r="G307">
        <v>50</v>
      </c>
      <c r="H307">
        <v>2</v>
      </c>
      <c r="I307">
        <v>7</v>
      </c>
      <c r="J307">
        <v>5</v>
      </c>
      <c r="K307" s="13">
        <v>45571</v>
      </c>
      <c r="L307">
        <v>66</v>
      </c>
      <c r="M307">
        <v>37</v>
      </c>
      <c r="N307">
        <f t="shared" si="4"/>
        <v>0.56060606060606055</v>
      </c>
    </row>
    <row r="308" spans="1:14" x14ac:dyDescent="0.35">
      <c r="A308" t="s">
        <v>24</v>
      </c>
      <c r="D308" t="s">
        <v>337</v>
      </c>
      <c r="E308">
        <v>2016</v>
      </c>
      <c r="F308">
        <v>4</v>
      </c>
      <c r="G308">
        <v>51</v>
      </c>
      <c r="H308">
        <v>3</v>
      </c>
      <c r="I308">
        <v>7</v>
      </c>
      <c r="J308">
        <v>5</v>
      </c>
      <c r="K308" s="13">
        <v>45571</v>
      </c>
      <c r="L308">
        <v>60</v>
      </c>
      <c r="M308">
        <v>10</v>
      </c>
      <c r="N308">
        <f t="shared" si="4"/>
        <v>0.16666666666666666</v>
      </c>
    </row>
    <row r="309" spans="1:14" x14ac:dyDescent="0.35">
      <c r="A309" t="s">
        <v>24</v>
      </c>
      <c r="D309" t="s">
        <v>27</v>
      </c>
      <c r="E309">
        <v>1985</v>
      </c>
      <c r="F309">
        <v>4</v>
      </c>
      <c r="G309">
        <v>52</v>
      </c>
      <c r="H309">
        <v>4</v>
      </c>
      <c r="I309">
        <v>7</v>
      </c>
      <c r="J309">
        <v>5</v>
      </c>
      <c r="K309" s="13">
        <v>45571</v>
      </c>
      <c r="L309">
        <v>77</v>
      </c>
      <c r="M309">
        <v>32</v>
      </c>
      <c r="N309">
        <f t="shared" si="4"/>
        <v>0.41558441558441561</v>
      </c>
    </row>
    <row r="310" spans="1:14" x14ac:dyDescent="0.35">
      <c r="A310" t="s">
        <v>24</v>
      </c>
      <c r="D310" t="s">
        <v>28</v>
      </c>
      <c r="E310">
        <v>1998</v>
      </c>
      <c r="F310">
        <v>4</v>
      </c>
      <c r="G310">
        <v>53</v>
      </c>
      <c r="H310">
        <v>5</v>
      </c>
      <c r="I310">
        <v>7</v>
      </c>
      <c r="J310">
        <v>5</v>
      </c>
      <c r="K310" s="13">
        <v>45571</v>
      </c>
      <c r="L310">
        <v>64</v>
      </c>
      <c r="M310">
        <v>58</v>
      </c>
      <c r="N310">
        <f t="shared" si="4"/>
        <v>0.90625</v>
      </c>
    </row>
    <row r="311" spans="1:14" x14ac:dyDescent="0.35">
      <c r="A311" t="s">
        <v>24</v>
      </c>
      <c r="D311" t="s">
        <v>26</v>
      </c>
      <c r="E311">
        <v>1983</v>
      </c>
      <c r="F311">
        <v>4</v>
      </c>
      <c r="G311">
        <v>54</v>
      </c>
      <c r="H311">
        <v>6</v>
      </c>
      <c r="I311">
        <v>7</v>
      </c>
      <c r="J311">
        <v>5</v>
      </c>
      <c r="K311" s="13">
        <v>45571</v>
      </c>
      <c r="L311">
        <v>74</v>
      </c>
      <c r="M311">
        <v>51</v>
      </c>
      <c r="N311">
        <f t="shared" si="4"/>
        <v>0.68918918918918914</v>
      </c>
    </row>
    <row r="312" spans="1:14" x14ac:dyDescent="0.35">
      <c r="A312" t="s">
        <v>24</v>
      </c>
      <c r="D312" t="s">
        <v>335</v>
      </c>
      <c r="E312">
        <v>2023</v>
      </c>
      <c r="F312">
        <v>4</v>
      </c>
      <c r="G312">
        <v>55</v>
      </c>
      <c r="H312">
        <v>7</v>
      </c>
      <c r="I312">
        <v>7</v>
      </c>
      <c r="J312">
        <v>5</v>
      </c>
      <c r="K312" s="13">
        <v>45571</v>
      </c>
      <c r="L312">
        <v>59</v>
      </c>
      <c r="M312">
        <v>47</v>
      </c>
      <c r="N312">
        <f t="shared" si="4"/>
        <v>0.79661016949152541</v>
      </c>
    </row>
    <row r="313" spans="1:14" x14ac:dyDescent="0.35">
      <c r="A313" t="s">
        <v>24</v>
      </c>
      <c r="D313" t="s">
        <v>336</v>
      </c>
      <c r="E313">
        <v>2002</v>
      </c>
      <c r="F313">
        <v>4</v>
      </c>
      <c r="G313">
        <v>56</v>
      </c>
      <c r="H313">
        <v>8</v>
      </c>
      <c r="I313">
        <v>7</v>
      </c>
      <c r="J313">
        <v>5</v>
      </c>
      <c r="K313" s="13">
        <v>45571</v>
      </c>
      <c r="L313">
        <v>60</v>
      </c>
      <c r="M313">
        <v>26</v>
      </c>
      <c r="N313">
        <f t="shared" si="4"/>
        <v>0.43333333333333335</v>
      </c>
    </row>
    <row r="314" spans="1:14" x14ac:dyDescent="0.35">
      <c r="A314" t="s">
        <v>34</v>
      </c>
      <c r="D314" t="s">
        <v>39</v>
      </c>
      <c r="E314">
        <v>2001</v>
      </c>
      <c r="F314">
        <v>4</v>
      </c>
      <c r="G314">
        <v>57</v>
      </c>
      <c r="H314">
        <v>1</v>
      </c>
      <c r="I314">
        <v>8</v>
      </c>
      <c r="J314">
        <v>5</v>
      </c>
      <c r="K314" s="13">
        <v>45571</v>
      </c>
      <c r="L314">
        <v>48</v>
      </c>
      <c r="M314">
        <v>48</v>
      </c>
      <c r="N314">
        <f t="shared" si="4"/>
        <v>1</v>
      </c>
    </row>
    <row r="315" spans="1:14" x14ac:dyDescent="0.35">
      <c r="A315" t="s">
        <v>34</v>
      </c>
      <c r="D315" t="s">
        <v>37</v>
      </c>
      <c r="E315">
        <v>1989</v>
      </c>
      <c r="F315">
        <v>4</v>
      </c>
      <c r="G315">
        <v>58</v>
      </c>
      <c r="H315">
        <v>2</v>
      </c>
      <c r="I315">
        <v>8</v>
      </c>
      <c r="J315">
        <v>5</v>
      </c>
      <c r="K315" s="13">
        <v>45571</v>
      </c>
      <c r="L315">
        <v>67</v>
      </c>
      <c r="M315">
        <v>46</v>
      </c>
      <c r="N315">
        <f t="shared" si="4"/>
        <v>0.68656716417910446</v>
      </c>
    </row>
    <row r="316" spans="1:14" x14ac:dyDescent="0.35">
      <c r="A316" t="s">
        <v>34</v>
      </c>
      <c r="D316" t="s">
        <v>36</v>
      </c>
      <c r="E316">
        <v>1984</v>
      </c>
      <c r="F316">
        <v>4</v>
      </c>
      <c r="G316">
        <v>59</v>
      </c>
      <c r="H316">
        <v>3</v>
      </c>
      <c r="I316">
        <v>8</v>
      </c>
      <c r="J316">
        <v>5</v>
      </c>
      <c r="K316" s="13">
        <v>45571</v>
      </c>
      <c r="L316">
        <v>52</v>
      </c>
      <c r="M316">
        <v>23</v>
      </c>
      <c r="N316">
        <f t="shared" si="4"/>
        <v>0.44230769230769229</v>
      </c>
    </row>
    <row r="317" spans="1:14" x14ac:dyDescent="0.35">
      <c r="A317" t="s">
        <v>34</v>
      </c>
      <c r="D317" t="s">
        <v>343</v>
      </c>
      <c r="E317">
        <v>2004</v>
      </c>
      <c r="F317">
        <v>4</v>
      </c>
      <c r="G317">
        <v>60</v>
      </c>
      <c r="H317">
        <v>4</v>
      </c>
      <c r="I317">
        <v>8</v>
      </c>
      <c r="J317">
        <v>5</v>
      </c>
      <c r="K317" s="13">
        <v>45571</v>
      </c>
      <c r="L317">
        <v>55</v>
      </c>
      <c r="M317">
        <v>35</v>
      </c>
      <c r="N317">
        <f t="shared" si="4"/>
        <v>0.63636363636363635</v>
      </c>
    </row>
    <row r="318" spans="1:14" x14ac:dyDescent="0.35">
      <c r="A318" t="s">
        <v>34</v>
      </c>
      <c r="D318" t="s">
        <v>41</v>
      </c>
      <c r="E318">
        <v>2008</v>
      </c>
      <c r="F318">
        <v>4</v>
      </c>
      <c r="G318">
        <v>61</v>
      </c>
      <c r="H318">
        <v>5</v>
      </c>
      <c r="I318">
        <v>8</v>
      </c>
      <c r="J318">
        <v>5</v>
      </c>
      <c r="K318" s="13">
        <v>45571</v>
      </c>
      <c r="L318">
        <v>40</v>
      </c>
      <c r="M318">
        <v>40</v>
      </c>
      <c r="N318">
        <f t="shared" si="4"/>
        <v>1</v>
      </c>
    </row>
    <row r="319" spans="1:14" x14ac:dyDescent="0.35">
      <c r="A319" t="s">
        <v>34</v>
      </c>
      <c r="D319" t="s">
        <v>38</v>
      </c>
      <c r="E319">
        <v>1999</v>
      </c>
      <c r="F319">
        <v>4</v>
      </c>
      <c r="G319">
        <v>62</v>
      </c>
      <c r="H319">
        <v>6</v>
      </c>
      <c r="I319">
        <v>8</v>
      </c>
      <c r="J319">
        <v>5</v>
      </c>
      <c r="K319" s="13">
        <v>45571</v>
      </c>
      <c r="L319">
        <v>54</v>
      </c>
      <c r="M319">
        <v>35</v>
      </c>
      <c r="N319">
        <f t="shared" si="4"/>
        <v>0.64814814814814814</v>
      </c>
    </row>
    <row r="320" spans="1:14" x14ac:dyDescent="0.35">
      <c r="A320" t="s">
        <v>34</v>
      </c>
      <c r="D320" t="s">
        <v>42</v>
      </c>
      <c r="E320">
        <v>2016</v>
      </c>
      <c r="F320">
        <v>4</v>
      </c>
      <c r="G320">
        <v>63</v>
      </c>
      <c r="H320">
        <v>7</v>
      </c>
      <c r="I320">
        <v>8</v>
      </c>
      <c r="J320">
        <v>5</v>
      </c>
      <c r="K320" s="13">
        <v>45571</v>
      </c>
      <c r="L320">
        <v>42</v>
      </c>
      <c r="M320">
        <v>42</v>
      </c>
      <c r="N320">
        <f t="shared" si="4"/>
        <v>1</v>
      </c>
    </row>
    <row r="321" spans="1:14" x14ac:dyDescent="0.35">
      <c r="A321" t="s">
        <v>34</v>
      </c>
      <c r="D321" t="s">
        <v>43</v>
      </c>
      <c r="E321">
        <v>2020</v>
      </c>
      <c r="F321">
        <v>4</v>
      </c>
      <c r="G321">
        <v>64</v>
      </c>
      <c r="H321">
        <v>8</v>
      </c>
      <c r="I321">
        <v>8</v>
      </c>
      <c r="J321">
        <v>5</v>
      </c>
      <c r="K321" s="13">
        <v>45571</v>
      </c>
      <c r="L321">
        <v>38</v>
      </c>
      <c r="M321">
        <v>35</v>
      </c>
      <c r="N321">
        <f t="shared" si="4"/>
        <v>0.92105263157894735</v>
      </c>
    </row>
    <row r="322" spans="1:14" x14ac:dyDescent="0.35">
      <c r="A322" t="s">
        <v>24</v>
      </c>
      <c r="D322" t="s">
        <v>27</v>
      </c>
      <c r="E322">
        <v>1985</v>
      </c>
      <c r="F322">
        <v>1</v>
      </c>
      <c r="G322">
        <v>1</v>
      </c>
      <c r="H322">
        <v>1</v>
      </c>
      <c r="I322">
        <v>1</v>
      </c>
      <c r="J322">
        <v>6</v>
      </c>
      <c r="K322" s="13">
        <v>45575</v>
      </c>
      <c r="L322">
        <v>78</v>
      </c>
      <c r="M322">
        <v>76</v>
      </c>
      <c r="N322">
        <f t="shared" si="4"/>
        <v>0.97435897435897434</v>
      </c>
    </row>
    <row r="323" spans="1:14" x14ac:dyDescent="0.35">
      <c r="A323" t="s">
        <v>24</v>
      </c>
      <c r="D323" t="s">
        <v>26</v>
      </c>
      <c r="E323">
        <v>1983</v>
      </c>
      <c r="F323">
        <v>1</v>
      </c>
      <c r="G323">
        <v>2</v>
      </c>
      <c r="H323">
        <v>2</v>
      </c>
      <c r="I323">
        <v>1</v>
      </c>
      <c r="J323">
        <v>6</v>
      </c>
      <c r="K323" s="13">
        <v>45575</v>
      </c>
      <c r="L323">
        <v>63</v>
      </c>
      <c r="M323">
        <v>63</v>
      </c>
      <c r="N323">
        <f t="shared" si="4"/>
        <v>1</v>
      </c>
    </row>
    <row r="324" spans="1:14" x14ac:dyDescent="0.35">
      <c r="A324" t="s">
        <v>24</v>
      </c>
      <c r="D324" t="s">
        <v>335</v>
      </c>
      <c r="E324">
        <v>2023</v>
      </c>
      <c r="F324">
        <v>1</v>
      </c>
      <c r="G324">
        <v>3</v>
      </c>
      <c r="H324">
        <v>3</v>
      </c>
      <c r="I324">
        <v>1</v>
      </c>
      <c r="J324">
        <v>6</v>
      </c>
      <c r="K324" s="13">
        <v>45575</v>
      </c>
      <c r="L324">
        <v>60</v>
      </c>
      <c r="M324">
        <v>60</v>
      </c>
      <c r="N324">
        <f t="shared" ref="N324:N387" si="5">M324/L324</f>
        <v>1</v>
      </c>
    </row>
    <row r="325" spans="1:14" x14ac:dyDescent="0.35">
      <c r="A325" t="s">
        <v>24</v>
      </c>
      <c r="D325" t="s">
        <v>29</v>
      </c>
      <c r="E325">
        <v>1999</v>
      </c>
      <c r="F325">
        <v>1</v>
      </c>
      <c r="G325">
        <v>4</v>
      </c>
      <c r="H325">
        <v>4</v>
      </c>
      <c r="I325">
        <v>1</v>
      </c>
      <c r="J325">
        <v>6</v>
      </c>
      <c r="K325" s="13">
        <v>45575</v>
      </c>
      <c r="L325">
        <v>108</v>
      </c>
      <c r="M325">
        <v>105</v>
      </c>
      <c r="N325">
        <f t="shared" si="5"/>
        <v>0.97222222222222221</v>
      </c>
    </row>
    <row r="326" spans="1:14" x14ac:dyDescent="0.35">
      <c r="A326" t="s">
        <v>24</v>
      </c>
      <c r="D326" t="s">
        <v>336</v>
      </c>
      <c r="E326">
        <v>2002</v>
      </c>
      <c r="F326">
        <v>1</v>
      </c>
      <c r="G326">
        <v>5</v>
      </c>
      <c r="H326">
        <v>5</v>
      </c>
      <c r="I326">
        <v>1</v>
      </c>
      <c r="J326">
        <v>6</v>
      </c>
      <c r="K326" s="13">
        <v>45575</v>
      </c>
      <c r="L326">
        <v>78</v>
      </c>
      <c r="M326">
        <v>74</v>
      </c>
      <c r="N326">
        <f t="shared" si="5"/>
        <v>0.94871794871794868</v>
      </c>
    </row>
    <row r="327" spans="1:14" x14ac:dyDescent="0.35">
      <c r="A327" t="s">
        <v>24</v>
      </c>
      <c r="D327" t="s">
        <v>32</v>
      </c>
      <c r="E327">
        <v>2018</v>
      </c>
      <c r="F327">
        <v>1</v>
      </c>
      <c r="G327">
        <v>6</v>
      </c>
      <c r="H327">
        <v>6</v>
      </c>
      <c r="I327">
        <v>1</v>
      </c>
      <c r="J327">
        <v>6</v>
      </c>
      <c r="K327" s="13">
        <v>45575</v>
      </c>
      <c r="L327">
        <v>74</v>
      </c>
      <c r="M327">
        <v>74</v>
      </c>
      <c r="N327">
        <f t="shared" si="5"/>
        <v>1</v>
      </c>
    </row>
    <row r="328" spans="1:14" x14ac:dyDescent="0.35">
      <c r="A328" t="s">
        <v>24</v>
      </c>
      <c r="D328" t="s">
        <v>28</v>
      </c>
      <c r="E328">
        <v>1998</v>
      </c>
      <c r="F328">
        <v>1</v>
      </c>
      <c r="G328">
        <v>7</v>
      </c>
      <c r="H328">
        <v>7</v>
      </c>
      <c r="I328">
        <v>1</v>
      </c>
      <c r="J328">
        <v>6</v>
      </c>
      <c r="K328" s="13">
        <v>45575</v>
      </c>
      <c r="L328">
        <v>90</v>
      </c>
      <c r="M328">
        <v>90</v>
      </c>
      <c r="N328">
        <f t="shared" si="5"/>
        <v>1</v>
      </c>
    </row>
    <row r="329" spans="1:14" x14ac:dyDescent="0.35">
      <c r="A329" t="s">
        <v>24</v>
      </c>
      <c r="D329" t="s">
        <v>337</v>
      </c>
      <c r="E329">
        <v>2016</v>
      </c>
      <c r="F329">
        <v>1</v>
      </c>
      <c r="G329">
        <v>8</v>
      </c>
      <c r="H329">
        <v>8</v>
      </c>
      <c r="I329">
        <v>1</v>
      </c>
      <c r="J329">
        <v>6</v>
      </c>
      <c r="K329" s="13">
        <v>45575</v>
      </c>
      <c r="L329">
        <v>50</v>
      </c>
      <c r="M329">
        <v>49</v>
      </c>
      <c r="N329">
        <f t="shared" si="5"/>
        <v>0.98</v>
      </c>
    </row>
    <row r="330" spans="1:14" x14ac:dyDescent="0.35">
      <c r="A330" t="s">
        <v>34</v>
      </c>
      <c r="D330" t="s">
        <v>42</v>
      </c>
      <c r="E330">
        <v>2016</v>
      </c>
      <c r="F330">
        <v>1</v>
      </c>
      <c r="G330">
        <v>9</v>
      </c>
      <c r="H330">
        <v>1</v>
      </c>
      <c r="I330">
        <v>2</v>
      </c>
      <c r="J330">
        <v>6</v>
      </c>
      <c r="K330" s="13">
        <v>45575</v>
      </c>
      <c r="L330">
        <v>43</v>
      </c>
      <c r="M330">
        <v>43</v>
      </c>
      <c r="N330">
        <f t="shared" si="5"/>
        <v>1</v>
      </c>
    </row>
    <row r="331" spans="1:14" x14ac:dyDescent="0.35">
      <c r="A331" t="s">
        <v>34</v>
      </c>
      <c r="D331" t="s">
        <v>38</v>
      </c>
      <c r="E331">
        <v>1999</v>
      </c>
      <c r="F331">
        <v>1</v>
      </c>
      <c r="G331">
        <v>10</v>
      </c>
      <c r="H331">
        <v>2</v>
      </c>
      <c r="I331">
        <v>2</v>
      </c>
      <c r="J331">
        <v>6</v>
      </c>
      <c r="K331" s="13">
        <v>45575</v>
      </c>
      <c r="L331">
        <v>59</v>
      </c>
      <c r="M331">
        <v>47</v>
      </c>
      <c r="N331">
        <f t="shared" si="5"/>
        <v>0.79661016949152541</v>
      </c>
    </row>
    <row r="332" spans="1:14" x14ac:dyDescent="0.35">
      <c r="A332" t="s">
        <v>34</v>
      </c>
      <c r="D332" t="s">
        <v>43</v>
      </c>
      <c r="E332">
        <v>2020</v>
      </c>
      <c r="F332">
        <v>1</v>
      </c>
      <c r="G332">
        <v>11</v>
      </c>
      <c r="H332">
        <v>3</v>
      </c>
      <c r="I332">
        <v>2</v>
      </c>
      <c r="J332">
        <v>6</v>
      </c>
      <c r="K332" s="13">
        <v>45575</v>
      </c>
      <c r="L332">
        <v>42</v>
      </c>
      <c r="M332">
        <v>35</v>
      </c>
      <c r="N332">
        <f t="shared" si="5"/>
        <v>0.83333333333333337</v>
      </c>
    </row>
    <row r="333" spans="1:14" x14ac:dyDescent="0.35">
      <c r="A333" t="s">
        <v>34</v>
      </c>
      <c r="D333" t="s">
        <v>41</v>
      </c>
      <c r="E333">
        <v>2008</v>
      </c>
      <c r="F333">
        <v>1</v>
      </c>
      <c r="G333">
        <v>12</v>
      </c>
      <c r="H333">
        <v>4</v>
      </c>
      <c r="I333">
        <v>2</v>
      </c>
      <c r="J333">
        <v>6</v>
      </c>
      <c r="K333" s="13">
        <v>45575</v>
      </c>
      <c r="L333">
        <v>39</v>
      </c>
      <c r="M333">
        <v>39</v>
      </c>
      <c r="N333">
        <f t="shared" si="5"/>
        <v>1</v>
      </c>
    </row>
    <row r="334" spans="1:14" x14ac:dyDescent="0.35">
      <c r="A334" t="s">
        <v>34</v>
      </c>
      <c r="D334" t="s">
        <v>37</v>
      </c>
      <c r="E334">
        <v>1989</v>
      </c>
      <c r="F334">
        <v>1</v>
      </c>
      <c r="G334">
        <v>13</v>
      </c>
      <c r="H334">
        <v>5</v>
      </c>
      <c r="I334">
        <v>2</v>
      </c>
      <c r="J334">
        <v>6</v>
      </c>
      <c r="K334" s="13">
        <v>45575</v>
      </c>
      <c r="L334">
        <v>48</v>
      </c>
      <c r="M334">
        <v>47</v>
      </c>
      <c r="N334">
        <f t="shared" si="5"/>
        <v>0.97916666666666663</v>
      </c>
    </row>
    <row r="335" spans="1:14" x14ac:dyDescent="0.35">
      <c r="A335" t="s">
        <v>34</v>
      </c>
      <c r="D335" t="s">
        <v>343</v>
      </c>
      <c r="E335">
        <v>2004</v>
      </c>
      <c r="F335">
        <v>1</v>
      </c>
      <c r="G335">
        <v>14</v>
      </c>
      <c r="H335">
        <v>6</v>
      </c>
      <c r="I335">
        <v>2</v>
      </c>
      <c r="J335">
        <v>6</v>
      </c>
      <c r="K335" s="13">
        <v>45575</v>
      </c>
      <c r="L335">
        <v>44</v>
      </c>
      <c r="M335">
        <v>43</v>
      </c>
      <c r="N335">
        <f t="shared" si="5"/>
        <v>0.97727272727272729</v>
      </c>
    </row>
    <row r="336" spans="1:14" x14ac:dyDescent="0.35">
      <c r="A336" t="s">
        <v>34</v>
      </c>
      <c r="D336" t="s">
        <v>36</v>
      </c>
      <c r="E336">
        <v>1984</v>
      </c>
      <c r="F336">
        <v>1</v>
      </c>
      <c r="G336">
        <v>15</v>
      </c>
      <c r="H336">
        <v>7</v>
      </c>
      <c r="I336">
        <v>2</v>
      </c>
      <c r="J336">
        <v>6</v>
      </c>
      <c r="K336" s="13">
        <v>45575</v>
      </c>
      <c r="L336">
        <v>44</v>
      </c>
      <c r="M336">
        <v>44</v>
      </c>
      <c r="N336">
        <f t="shared" si="5"/>
        <v>1</v>
      </c>
    </row>
    <row r="337" spans="1:14" x14ac:dyDescent="0.35">
      <c r="A337" t="s">
        <v>34</v>
      </c>
      <c r="D337" t="s">
        <v>39</v>
      </c>
      <c r="E337">
        <v>2001</v>
      </c>
      <c r="F337">
        <v>1</v>
      </c>
      <c r="G337">
        <v>16</v>
      </c>
      <c r="H337">
        <v>8</v>
      </c>
      <c r="I337">
        <v>2</v>
      </c>
      <c r="J337">
        <v>6</v>
      </c>
      <c r="K337" s="13">
        <v>45575</v>
      </c>
      <c r="L337">
        <v>56</v>
      </c>
      <c r="M337">
        <v>56</v>
      </c>
      <c r="N337">
        <f t="shared" si="5"/>
        <v>1</v>
      </c>
    </row>
    <row r="338" spans="1:14" x14ac:dyDescent="0.35">
      <c r="A338" t="s">
        <v>24</v>
      </c>
      <c r="D338" t="s">
        <v>335</v>
      </c>
      <c r="E338">
        <v>2023</v>
      </c>
      <c r="F338">
        <v>2</v>
      </c>
      <c r="G338">
        <v>17</v>
      </c>
      <c r="H338">
        <v>1</v>
      </c>
      <c r="I338">
        <v>3</v>
      </c>
      <c r="J338">
        <v>6</v>
      </c>
      <c r="K338" s="13">
        <v>45575</v>
      </c>
      <c r="L338">
        <v>55</v>
      </c>
      <c r="M338">
        <v>55</v>
      </c>
      <c r="N338">
        <f t="shared" si="5"/>
        <v>1</v>
      </c>
    </row>
    <row r="339" spans="1:14" x14ac:dyDescent="0.35">
      <c r="A339" t="s">
        <v>24</v>
      </c>
      <c r="D339" t="s">
        <v>28</v>
      </c>
      <c r="E339">
        <v>1998</v>
      </c>
      <c r="F339">
        <v>2</v>
      </c>
      <c r="G339">
        <v>18</v>
      </c>
      <c r="H339">
        <v>2</v>
      </c>
      <c r="I339">
        <v>3</v>
      </c>
      <c r="J339">
        <v>6</v>
      </c>
      <c r="K339" s="13">
        <v>45575</v>
      </c>
      <c r="L339">
        <v>67</v>
      </c>
      <c r="M339">
        <v>67</v>
      </c>
      <c r="N339">
        <f t="shared" si="5"/>
        <v>1</v>
      </c>
    </row>
    <row r="340" spans="1:14" x14ac:dyDescent="0.35">
      <c r="A340" t="s">
        <v>24</v>
      </c>
      <c r="D340" t="s">
        <v>26</v>
      </c>
      <c r="E340">
        <v>1983</v>
      </c>
      <c r="F340">
        <v>2</v>
      </c>
      <c r="G340">
        <v>19</v>
      </c>
      <c r="H340">
        <v>3</v>
      </c>
      <c r="I340">
        <v>3</v>
      </c>
      <c r="J340">
        <v>6</v>
      </c>
      <c r="K340" s="13">
        <v>45575</v>
      </c>
      <c r="L340">
        <v>67</v>
      </c>
      <c r="M340">
        <v>67</v>
      </c>
      <c r="N340">
        <f t="shared" si="5"/>
        <v>1</v>
      </c>
    </row>
    <row r="341" spans="1:14" x14ac:dyDescent="0.35">
      <c r="A341" t="s">
        <v>24</v>
      </c>
      <c r="D341" t="s">
        <v>336</v>
      </c>
      <c r="E341">
        <v>2002</v>
      </c>
      <c r="F341">
        <v>2</v>
      </c>
      <c r="G341">
        <v>20</v>
      </c>
      <c r="H341">
        <v>4</v>
      </c>
      <c r="I341">
        <v>3</v>
      </c>
      <c r="J341">
        <v>6</v>
      </c>
      <c r="K341" s="13">
        <v>45575</v>
      </c>
      <c r="L341">
        <v>53</v>
      </c>
      <c r="M341">
        <v>46</v>
      </c>
      <c r="N341">
        <f t="shared" si="5"/>
        <v>0.86792452830188682</v>
      </c>
    </row>
    <row r="342" spans="1:14" x14ac:dyDescent="0.35">
      <c r="A342" t="s">
        <v>24</v>
      </c>
      <c r="D342" t="s">
        <v>29</v>
      </c>
      <c r="E342">
        <v>1999</v>
      </c>
      <c r="F342">
        <v>2</v>
      </c>
      <c r="G342">
        <v>21</v>
      </c>
      <c r="H342">
        <v>5</v>
      </c>
      <c r="I342">
        <v>3</v>
      </c>
      <c r="J342">
        <v>6</v>
      </c>
      <c r="K342" s="13">
        <v>45575</v>
      </c>
      <c r="L342">
        <v>63</v>
      </c>
      <c r="M342">
        <v>63</v>
      </c>
      <c r="N342">
        <f t="shared" si="5"/>
        <v>1</v>
      </c>
    </row>
    <row r="343" spans="1:14" x14ac:dyDescent="0.35">
      <c r="A343" t="s">
        <v>24</v>
      </c>
      <c r="D343" t="s">
        <v>337</v>
      </c>
      <c r="E343">
        <v>2016</v>
      </c>
      <c r="F343">
        <v>2</v>
      </c>
      <c r="G343">
        <v>22</v>
      </c>
      <c r="H343">
        <v>6</v>
      </c>
      <c r="I343">
        <v>3</v>
      </c>
      <c r="J343">
        <v>6</v>
      </c>
      <c r="K343" s="13">
        <v>45575</v>
      </c>
      <c r="L343">
        <v>63</v>
      </c>
      <c r="M343">
        <v>61</v>
      </c>
      <c r="N343">
        <f t="shared" si="5"/>
        <v>0.96825396825396826</v>
      </c>
    </row>
    <row r="344" spans="1:14" x14ac:dyDescent="0.35">
      <c r="A344" t="s">
        <v>24</v>
      </c>
      <c r="D344" t="s">
        <v>32</v>
      </c>
      <c r="E344">
        <v>2018</v>
      </c>
      <c r="F344">
        <v>2</v>
      </c>
      <c r="G344">
        <v>23</v>
      </c>
      <c r="H344">
        <v>7</v>
      </c>
      <c r="I344">
        <v>3</v>
      </c>
      <c r="J344">
        <v>6</v>
      </c>
      <c r="K344" s="13">
        <v>45575</v>
      </c>
      <c r="L344">
        <v>53</v>
      </c>
      <c r="M344">
        <v>53</v>
      </c>
      <c r="N344">
        <f t="shared" si="5"/>
        <v>1</v>
      </c>
    </row>
    <row r="345" spans="1:14" x14ac:dyDescent="0.35">
      <c r="A345" t="s">
        <v>24</v>
      </c>
      <c r="D345" t="s">
        <v>27</v>
      </c>
      <c r="E345">
        <v>1985</v>
      </c>
      <c r="F345">
        <v>2</v>
      </c>
      <c r="G345">
        <v>24</v>
      </c>
      <c r="H345">
        <v>8</v>
      </c>
      <c r="I345">
        <v>3</v>
      </c>
      <c r="J345">
        <v>6</v>
      </c>
      <c r="K345" s="13">
        <v>45575</v>
      </c>
      <c r="L345">
        <v>65</v>
      </c>
      <c r="M345">
        <v>64</v>
      </c>
      <c r="N345">
        <f t="shared" si="5"/>
        <v>0.98461538461538467</v>
      </c>
    </row>
    <row r="346" spans="1:14" x14ac:dyDescent="0.35">
      <c r="A346" t="s">
        <v>34</v>
      </c>
      <c r="D346" t="s">
        <v>343</v>
      </c>
      <c r="E346">
        <v>2004</v>
      </c>
      <c r="F346">
        <v>2</v>
      </c>
      <c r="G346">
        <v>25</v>
      </c>
      <c r="H346">
        <v>1</v>
      </c>
      <c r="I346">
        <v>4</v>
      </c>
      <c r="J346">
        <v>6</v>
      </c>
      <c r="K346" s="13">
        <v>45575</v>
      </c>
      <c r="L346">
        <v>55</v>
      </c>
      <c r="M346">
        <v>54</v>
      </c>
      <c r="N346">
        <f t="shared" si="5"/>
        <v>0.98181818181818181</v>
      </c>
    </row>
    <row r="347" spans="1:14" x14ac:dyDescent="0.35">
      <c r="A347" t="s">
        <v>34</v>
      </c>
      <c r="D347" t="s">
        <v>43</v>
      </c>
      <c r="E347">
        <v>2020</v>
      </c>
      <c r="F347">
        <v>2</v>
      </c>
      <c r="G347">
        <v>26</v>
      </c>
      <c r="H347">
        <v>2</v>
      </c>
      <c r="I347">
        <v>4</v>
      </c>
      <c r="J347">
        <v>6</v>
      </c>
      <c r="K347" s="13">
        <v>45575</v>
      </c>
      <c r="L347">
        <v>49</v>
      </c>
      <c r="M347">
        <v>47</v>
      </c>
      <c r="N347">
        <f t="shared" si="5"/>
        <v>0.95918367346938771</v>
      </c>
    </row>
    <row r="348" spans="1:14" x14ac:dyDescent="0.35">
      <c r="A348" t="s">
        <v>34</v>
      </c>
      <c r="D348" t="s">
        <v>38</v>
      </c>
      <c r="E348">
        <v>1999</v>
      </c>
      <c r="F348">
        <v>2</v>
      </c>
      <c r="G348">
        <v>27</v>
      </c>
      <c r="H348">
        <v>3</v>
      </c>
      <c r="I348">
        <v>4</v>
      </c>
      <c r="J348">
        <v>6</v>
      </c>
      <c r="K348" s="13">
        <v>45575</v>
      </c>
      <c r="L348">
        <v>48</v>
      </c>
      <c r="M348">
        <v>45</v>
      </c>
      <c r="N348">
        <f t="shared" si="5"/>
        <v>0.9375</v>
      </c>
    </row>
    <row r="349" spans="1:14" x14ac:dyDescent="0.35">
      <c r="A349" t="s">
        <v>34</v>
      </c>
      <c r="D349" t="s">
        <v>39</v>
      </c>
      <c r="E349">
        <v>2001</v>
      </c>
      <c r="F349">
        <v>2</v>
      </c>
      <c r="G349">
        <v>28</v>
      </c>
      <c r="H349">
        <v>4</v>
      </c>
      <c r="I349">
        <v>4</v>
      </c>
      <c r="J349">
        <v>6</v>
      </c>
      <c r="K349" s="13">
        <v>45575</v>
      </c>
      <c r="L349">
        <v>36</v>
      </c>
      <c r="M349">
        <v>36</v>
      </c>
      <c r="N349">
        <f t="shared" si="5"/>
        <v>1</v>
      </c>
    </row>
    <row r="350" spans="1:14" x14ac:dyDescent="0.35">
      <c r="A350" t="s">
        <v>34</v>
      </c>
      <c r="D350" t="s">
        <v>42</v>
      </c>
      <c r="E350">
        <v>2016</v>
      </c>
      <c r="F350">
        <v>2</v>
      </c>
      <c r="G350">
        <v>29</v>
      </c>
      <c r="H350">
        <v>5</v>
      </c>
      <c r="I350">
        <v>4</v>
      </c>
      <c r="J350">
        <v>6</v>
      </c>
      <c r="K350" s="13">
        <v>45575</v>
      </c>
      <c r="L350">
        <v>45</v>
      </c>
      <c r="M350">
        <v>45</v>
      </c>
      <c r="N350">
        <f t="shared" si="5"/>
        <v>1</v>
      </c>
    </row>
    <row r="351" spans="1:14" x14ac:dyDescent="0.35">
      <c r="A351" t="s">
        <v>34</v>
      </c>
      <c r="D351" t="s">
        <v>36</v>
      </c>
      <c r="E351">
        <v>1984</v>
      </c>
      <c r="F351">
        <v>2</v>
      </c>
      <c r="G351">
        <v>30</v>
      </c>
      <c r="H351">
        <v>6</v>
      </c>
      <c r="I351">
        <v>4</v>
      </c>
      <c r="J351">
        <v>6</v>
      </c>
      <c r="K351" s="13">
        <v>45575</v>
      </c>
      <c r="L351">
        <v>48</v>
      </c>
      <c r="M351">
        <v>48</v>
      </c>
      <c r="N351">
        <f t="shared" si="5"/>
        <v>1</v>
      </c>
    </row>
    <row r="352" spans="1:14" x14ac:dyDescent="0.35">
      <c r="A352" t="s">
        <v>34</v>
      </c>
      <c r="D352" t="s">
        <v>41</v>
      </c>
      <c r="E352">
        <v>2008</v>
      </c>
      <c r="F352">
        <v>2</v>
      </c>
      <c r="G352">
        <v>31</v>
      </c>
      <c r="H352">
        <v>7</v>
      </c>
      <c r="I352">
        <v>4</v>
      </c>
      <c r="J352">
        <v>6</v>
      </c>
      <c r="K352" s="13">
        <v>45575</v>
      </c>
      <c r="L352">
        <v>61</v>
      </c>
      <c r="M352">
        <v>61</v>
      </c>
      <c r="N352">
        <f t="shared" si="5"/>
        <v>1</v>
      </c>
    </row>
    <row r="353" spans="1:14" x14ac:dyDescent="0.35">
      <c r="A353" t="s">
        <v>34</v>
      </c>
      <c r="D353" t="s">
        <v>37</v>
      </c>
      <c r="E353">
        <v>1989</v>
      </c>
      <c r="F353">
        <v>2</v>
      </c>
      <c r="G353">
        <v>32</v>
      </c>
      <c r="H353">
        <v>8</v>
      </c>
      <c r="I353">
        <v>4</v>
      </c>
      <c r="J353">
        <v>6</v>
      </c>
      <c r="K353" s="13">
        <v>45575</v>
      </c>
      <c r="L353">
        <v>64</v>
      </c>
      <c r="M353">
        <v>64</v>
      </c>
      <c r="N353">
        <f t="shared" si="5"/>
        <v>1</v>
      </c>
    </row>
    <row r="354" spans="1:14" x14ac:dyDescent="0.35">
      <c r="A354" t="s">
        <v>24</v>
      </c>
      <c r="D354" t="s">
        <v>336</v>
      </c>
      <c r="E354">
        <v>2002</v>
      </c>
      <c r="F354">
        <v>3</v>
      </c>
      <c r="G354">
        <v>33</v>
      </c>
      <c r="H354">
        <v>1</v>
      </c>
      <c r="I354">
        <v>5</v>
      </c>
      <c r="J354">
        <v>6</v>
      </c>
      <c r="K354" s="13">
        <v>45575</v>
      </c>
      <c r="L354">
        <v>34</v>
      </c>
      <c r="M354">
        <v>33</v>
      </c>
      <c r="N354">
        <f t="shared" si="5"/>
        <v>0.97058823529411764</v>
      </c>
    </row>
    <row r="355" spans="1:14" x14ac:dyDescent="0.35">
      <c r="A355" t="s">
        <v>24</v>
      </c>
      <c r="D355" t="s">
        <v>337</v>
      </c>
      <c r="E355">
        <v>2016</v>
      </c>
      <c r="F355">
        <v>3</v>
      </c>
      <c r="G355">
        <v>34</v>
      </c>
      <c r="H355">
        <v>2</v>
      </c>
      <c r="I355">
        <v>5</v>
      </c>
      <c r="J355">
        <v>6</v>
      </c>
      <c r="K355" s="13">
        <v>45575</v>
      </c>
      <c r="L355">
        <v>61</v>
      </c>
      <c r="M355">
        <v>58</v>
      </c>
      <c r="N355">
        <f t="shared" si="5"/>
        <v>0.95081967213114749</v>
      </c>
    </row>
    <row r="356" spans="1:14" x14ac:dyDescent="0.35">
      <c r="A356" t="s">
        <v>24</v>
      </c>
      <c r="D356" t="s">
        <v>32</v>
      </c>
      <c r="E356">
        <v>2018</v>
      </c>
      <c r="F356">
        <v>3</v>
      </c>
      <c r="G356">
        <v>35</v>
      </c>
      <c r="H356">
        <v>3</v>
      </c>
      <c r="I356">
        <v>5</v>
      </c>
      <c r="J356">
        <v>6</v>
      </c>
      <c r="K356" s="13">
        <v>45575</v>
      </c>
      <c r="L356">
        <v>36</v>
      </c>
      <c r="M356">
        <v>36</v>
      </c>
      <c r="N356">
        <f t="shared" si="5"/>
        <v>1</v>
      </c>
    </row>
    <row r="357" spans="1:14" x14ac:dyDescent="0.35">
      <c r="A357" t="s">
        <v>24</v>
      </c>
      <c r="D357" t="s">
        <v>28</v>
      </c>
      <c r="E357">
        <v>1998</v>
      </c>
      <c r="F357">
        <v>3</v>
      </c>
      <c r="G357">
        <v>36</v>
      </c>
      <c r="H357">
        <v>4</v>
      </c>
      <c r="I357">
        <v>5</v>
      </c>
      <c r="J357">
        <v>6</v>
      </c>
      <c r="K357" s="13">
        <v>45575</v>
      </c>
      <c r="L357">
        <v>44</v>
      </c>
      <c r="M357">
        <v>44</v>
      </c>
      <c r="N357">
        <f t="shared" si="5"/>
        <v>1</v>
      </c>
    </row>
    <row r="358" spans="1:14" x14ac:dyDescent="0.35">
      <c r="A358" t="s">
        <v>24</v>
      </c>
      <c r="D358" t="s">
        <v>27</v>
      </c>
      <c r="E358">
        <v>1985</v>
      </c>
      <c r="F358">
        <v>3</v>
      </c>
      <c r="G358">
        <v>37</v>
      </c>
      <c r="H358">
        <v>5</v>
      </c>
      <c r="I358">
        <v>5</v>
      </c>
      <c r="J358">
        <v>6</v>
      </c>
      <c r="K358" s="13">
        <v>45575</v>
      </c>
      <c r="L358">
        <v>62</v>
      </c>
      <c r="M358">
        <v>60</v>
      </c>
      <c r="N358">
        <f t="shared" si="5"/>
        <v>0.967741935483871</v>
      </c>
    </row>
    <row r="359" spans="1:14" x14ac:dyDescent="0.35">
      <c r="A359" t="s">
        <v>24</v>
      </c>
      <c r="D359" t="s">
        <v>335</v>
      </c>
      <c r="E359">
        <v>2023</v>
      </c>
      <c r="F359">
        <v>3</v>
      </c>
      <c r="G359">
        <v>38</v>
      </c>
      <c r="H359">
        <v>6</v>
      </c>
      <c r="I359">
        <v>5</v>
      </c>
      <c r="J359">
        <v>6</v>
      </c>
      <c r="K359" s="13">
        <v>45575</v>
      </c>
      <c r="L359">
        <v>38</v>
      </c>
      <c r="M359">
        <v>38</v>
      </c>
      <c r="N359">
        <f t="shared" si="5"/>
        <v>1</v>
      </c>
    </row>
    <row r="360" spans="1:14" x14ac:dyDescent="0.35">
      <c r="A360" t="s">
        <v>24</v>
      </c>
      <c r="D360" t="s">
        <v>29</v>
      </c>
      <c r="E360">
        <v>1999</v>
      </c>
      <c r="F360">
        <v>3</v>
      </c>
      <c r="G360">
        <v>39</v>
      </c>
      <c r="H360">
        <v>7</v>
      </c>
      <c r="I360">
        <v>5</v>
      </c>
      <c r="J360">
        <v>6</v>
      </c>
      <c r="K360" s="13">
        <v>45575</v>
      </c>
      <c r="L360">
        <v>50</v>
      </c>
      <c r="M360">
        <v>47</v>
      </c>
      <c r="N360">
        <f t="shared" si="5"/>
        <v>0.94</v>
      </c>
    </row>
    <row r="361" spans="1:14" x14ac:dyDescent="0.35">
      <c r="A361" t="s">
        <v>24</v>
      </c>
      <c r="D361" t="s">
        <v>26</v>
      </c>
      <c r="E361">
        <v>1983</v>
      </c>
      <c r="F361">
        <v>3</v>
      </c>
      <c r="G361">
        <v>40</v>
      </c>
      <c r="H361">
        <v>8</v>
      </c>
      <c r="I361">
        <v>5</v>
      </c>
      <c r="J361">
        <v>6</v>
      </c>
      <c r="K361" s="13">
        <v>45575</v>
      </c>
      <c r="L361">
        <v>80</v>
      </c>
      <c r="M361">
        <v>80</v>
      </c>
      <c r="N361">
        <f t="shared" si="5"/>
        <v>1</v>
      </c>
    </row>
    <row r="362" spans="1:14" x14ac:dyDescent="0.35">
      <c r="A362" t="s">
        <v>34</v>
      </c>
      <c r="D362" t="s">
        <v>41</v>
      </c>
      <c r="E362">
        <v>2008</v>
      </c>
      <c r="F362">
        <v>3</v>
      </c>
      <c r="G362">
        <v>41</v>
      </c>
      <c r="H362">
        <v>1</v>
      </c>
      <c r="I362">
        <v>6</v>
      </c>
      <c r="J362">
        <v>6</v>
      </c>
      <c r="K362" s="13">
        <v>45575</v>
      </c>
      <c r="L362">
        <v>65</v>
      </c>
      <c r="M362">
        <v>65</v>
      </c>
      <c r="N362">
        <f t="shared" si="5"/>
        <v>1</v>
      </c>
    </row>
    <row r="363" spans="1:14" x14ac:dyDescent="0.35">
      <c r="A363" t="s">
        <v>34</v>
      </c>
      <c r="D363" t="s">
        <v>36</v>
      </c>
      <c r="E363">
        <v>1984</v>
      </c>
      <c r="F363">
        <v>3</v>
      </c>
      <c r="G363">
        <v>42</v>
      </c>
      <c r="H363">
        <v>2</v>
      </c>
      <c r="I363">
        <v>6</v>
      </c>
      <c r="J363">
        <v>6</v>
      </c>
      <c r="K363" s="13">
        <v>45575</v>
      </c>
      <c r="L363">
        <v>37</v>
      </c>
      <c r="M363">
        <v>36</v>
      </c>
      <c r="N363">
        <f t="shared" si="5"/>
        <v>0.97297297297297303</v>
      </c>
    </row>
    <row r="364" spans="1:14" x14ac:dyDescent="0.35">
      <c r="A364" t="s">
        <v>34</v>
      </c>
      <c r="D364" t="s">
        <v>37</v>
      </c>
      <c r="E364">
        <v>1989</v>
      </c>
      <c r="F364">
        <v>3</v>
      </c>
      <c r="G364">
        <v>43</v>
      </c>
      <c r="H364">
        <v>3</v>
      </c>
      <c r="I364">
        <v>6</v>
      </c>
      <c r="J364">
        <v>6</v>
      </c>
      <c r="K364" s="13">
        <v>45575</v>
      </c>
      <c r="L364">
        <v>46</v>
      </c>
      <c r="M364">
        <v>46</v>
      </c>
      <c r="N364">
        <f t="shared" si="5"/>
        <v>1</v>
      </c>
    </row>
    <row r="365" spans="1:14" x14ac:dyDescent="0.35">
      <c r="A365" t="s">
        <v>34</v>
      </c>
      <c r="D365" t="s">
        <v>42</v>
      </c>
      <c r="E365">
        <v>2016</v>
      </c>
      <c r="F365">
        <v>3</v>
      </c>
      <c r="G365">
        <v>44</v>
      </c>
      <c r="H365">
        <v>4</v>
      </c>
      <c r="I365">
        <v>6</v>
      </c>
      <c r="J365">
        <v>6</v>
      </c>
      <c r="K365" s="13">
        <v>45575</v>
      </c>
      <c r="L365">
        <v>44</v>
      </c>
      <c r="M365">
        <v>44</v>
      </c>
      <c r="N365">
        <f t="shared" si="5"/>
        <v>1</v>
      </c>
    </row>
    <row r="366" spans="1:14" x14ac:dyDescent="0.35">
      <c r="A366" t="s">
        <v>34</v>
      </c>
      <c r="D366" t="s">
        <v>43</v>
      </c>
      <c r="E366">
        <v>2020</v>
      </c>
      <c r="F366">
        <v>3</v>
      </c>
      <c r="G366">
        <v>45</v>
      </c>
      <c r="H366">
        <v>5</v>
      </c>
      <c r="I366">
        <v>6</v>
      </c>
      <c r="J366">
        <v>6</v>
      </c>
      <c r="K366" s="13">
        <v>45575</v>
      </c>
      <c r="L366">
        <v>48</v>
      </c>
      <c r="M366">
        <v>47</v>
      </c>
      <c r="N366">
        <f t="shared" si="5"/>
        <v>0.97916666666666663</v>
      </c>
    </row>
    <row r="367" spans="1:14" x14ac:dyDescent="0.35">
      <c r="A367" t="s">
        <v>34</v>
      </c>
      <c r="D367" t="s">
        <v>39</v>
      </c>
      <c r="E367">
        <v>2001</v>
      </c>
      <c r="F367">
        <v>3</v>
      </c>
      <c r="G367">
        <v>46</v>
      </c>
      <c r="H367">
        <v>6</v>
      </c>
      <c r="I367">
        <v>6</v>
      </c>
      <c r="J367">
        <v>6</v>
      </c>
      <c r="K367" s="13">
        <v>45575</v>
      </c>
      <c r="L367">
        <v>58</v>
      </c>
      <c r="M367">
        <v>58</v>
      </c>
      <c r="N367">
        <f t="shared" si="5"/>
        <v>1</v>
      </c>
    </row>
    <row r="368" spans="1:14" x14ac:dyDescent="0.35">
      <c r="A368" t="s">
        <v>34</v>
      </c>
      <c r="D368" t="s">
        <v>38</v>
      </c>
      <c r="E368">
        <v>1999</v>
      </c>
      <c r="F368">
        <v>3</v>
      </c>
      <c r="G368">
        <v>47</v>
      </c>
      <c r="H368">
        <v>7</v>
      </c>
      <c r="I368">
        <v>6</v>
      </c>
      <c r="J368">
        <v>6</v>
      </c>
      <c r="K368" s="13">
        <v>45575</v>
      </c>
      <c r="L368">
        <v>57</v>
      </c>
      <c r="M368">
        <v>51</v>
      </c>
      <c r="N368">
        <f t="shared" si="5"/>
        <v>0.89473684210526316</v>
      </c>
    </row>
    <row r="369" spans="1:14" x14ac:dyDescent="0.35">
      <c r="A369" t="s">
        <v>34</v>
      </c>
      <c r="D369" t="s">
        <v>343</v>
      </c>
      <c r="E369">
        <v>2004</v>
      </c>
      <c r="F369">
        <v>3</v>
      </c>
      <c r="G369">
        <v>48</v>
      </c>
      <c r="H369">
        <v>8</v>
      </c>
      <c r="I369">
        <v>6</v>
      </c>
      <c r="J369">
        <v>6</v>
      </c>
      <c r="K369" s="13">
        <v>45575</v>
      </c>
      <c r="L369">
        <v>49</v>
      </c>
      <c r="M369">
        <v>49</v>
      </c>
      <c r="N369">
        <f t="shared" si="5"/>
        <v>1</v>
      </c>
    </row>
    <row r="370" spans="1:14" x14ac:dyDescent="0.35">
      <c r="A370" t="s">
        <v>24</v>
      </c>
      <c r="D370" t="s">
        <v>32</v>
      </c>
      <c r="E370">
        <v>2018</v>
      </c>
      <c r="F370">
        <v>4</v>
      </c>
      <c r="G370">
        <v>49</v>
      </c>
      <c r="H370">
        <v>1</v>
      </c>
      <c r="I370">
        <v>7</v>
      </c>
      <c r="J370">
        <v>6</v>
      </c>
      <c r="K370" s="13">
        <v>45575</v>
      </c>
      <c r="L370">
        <v>50</v>
      </c>
      <c r="M370">
        <v>49</v>
      </c>
      <c r="N370">
        <f t="shared" si="5"/>
        <v>0.98</v>
      </c>
    </row>
    <row r="371" spans="1:14" x14ac:dyDescent="0.35">
      <c r="A371" t="s">
        <v>24</v>
      </c>
      <c r="D371" t="s">
        <v>29</v>
      </c>
      <c r="E371">
        <v>1999</v>
      </c>
      <c r="F371">
        <v>4</v>
      </c>
      <c r="G371">
        <v>50</v>
      </c>
      <c r="H371">
        <v>2</v>
      </c>
      <c r="I371">
        <v>7</v>
      </c>
      <c r="J371">
        <v>6</v>
      </c>
      <c r="K371" s="13">
        <v>45575</v>
      </c>
      <c r="L371">
        <v>66</v>
      </c>
      <c r="M371">
        <v>65</v>
      </c>
      <c r="N371">
        <f t="shared" si="5"/>
        <v>0.98484848484848486</v>
      </c>
    </row>
    <row r="372" spans="1:14" x14ac:dyDescent="0.35">
      <c r="A372" t="s">
        <v>24</v>
      </c>
      <c r="D372" t="s">
        <v>337</v>
      </c>
      <c r="E372">
        <v>2016</v>
      </c>
      <c r="F372">
        <v>4</v>
      </c>
      <c r="G372">
        <v>51</v>
      </c>
      <c r="H372">
        <v>3</v>
      </c>
      <c r="I372">
        <v>7</v>
      </c>
      <c r="J372">
        <v>6</v>
      </c>
      <c r="K372" s="13">
        <v>45575</v>
      </c>
      <c r="L372">
        <v>60</v>
      </c>
      <c r="M372">
        <v>54</v>
      </c>
      <c r="N372">
        <f t="shared" si="5"/>
        <v>0.9</v>
      </c>
    </row>
    <row r="373" spans="1:14" x14ac:dyDescent="0.35">
      <c r="A373" t="s">
        <v>24</v>
      </c>
      <c r="D373" t="s">
        <v>27</v>
      </c>
      <c r="E373">
        <v>1985</v>
      </c>
      <c r="F373">
        <v>4</v>
      </c>
      <c r="G373">
        <v>52</v>
      </c>
      <c r="H373">
        <v>4</v>
      </c>
      <c r="I373">
        <v>7</v>
      </c>
      <c r="J373">
        <v>6</v>
      </c>
      <c r="K373" s="13">
        <v>45575</v>
      </c>
      <c r="L373">
        <v>77</v>
      </c>
      <c r="M373">
        <v>75</v>
      </c>
      <c r="N373">
        <f t="shared" si="5"/>
        <v>0.97402597402597402</v>
      </c>
    </row>
    <row r="374" spans="1:14" x14ac:dyDescent="0.35">
      <c r="A374" t="s">
        <v>24</v>
      </c>
      <c r="D374" t="s">
        <v>28</v>
      </c>
      <c r="E374">
        <v>1998</v>
      </c>
      <c r="F374">
        <v>4</v>
      </c>
      <c r="G374">
        <v>53</v>
      </c>
      <c r="H374">
        <v>5</v>
      </c>
      <c r="I374">
        <v>7</v>
      </c>
      <c r="J374">
        <v>6</v>
      </c>
      <c r="K374" s="13">
        <v>45575</v>
      </c>
      <c r="L374">
        <v>64</v>
      </c>
      <c r="M374">
        <v>64</v>
      </c>
      <c r="N374">
        <f t="shared" si="5"/>
        <v>1</v>
      </c>
    </row>
    <row r="375" spans="1:14" x14ac:dyDescent="0.35">
      <c r="A375" t="s">
        <v>24</v>
      </c>
      <c r="D375" t="s">
        <v>26</v>
      </c>
      <c r="E375">
        <v>1983</v>
      </c>
      <c r="F375">
        <v>4</v>
      </c>
      <c r="G375">
        <v>54</v>
      </c>
      <c r="H375">
        <v>6</v>
      </c>
      <c r="I375">
        <v>7</v>
      </c>
      <c r="J375">
        <v>6</v>
      </c>
      <c r="K375" s="13">
        <v>45575</v>
      </c>
      <c r="L375">
        <v>74</v>
      </c>
      <c r="M375">
        <v>73</v>
      </c>
      <c r="N375">
        <f t="shared" si="5"/>
        <v>0.98648648648648651</v>
      </c>
    </row>
    <row r="376" spans="1:14" x14ac:dyDescent="0.35">
      <c r="A376" t="s">
        <v>24</v>
      </c>
      <c r="D376" t="s">
        <v>335</v>
      </c>
      <c r="E376">
        <v>2023</v>
      </c>
      <c r="F376">
        <v>4</v>
      </c>
      <c r="G376">
        <v>55</v>
      </c>
      <c r="H376">
        <v>7</v>
      </c>
      <c r="I376">
        <v>7</v>
      </c>
      <c r="J376">
        <v>6</v>
      </c>
      <c r="K376" s="13">
        <v>45575</v>
      </c>
      <c r="L376">
        <v>59</v>
      </c>
      <c r="M376">
        <v>59</v>
      </c>
      <c r="N376">
        <f t="shared" si="5"/>
        <v>1</v>
      </c>
    </row>
    <row r="377" spans="1:14" x14ac:dyDescent="0.35">
      <c r="A377" t="s">
        <v>24</v>
      </c>
      <c r="D377" t="s">
        <v>336</v>
      </c>
      <c r="E377">
        <v>2002</v>
      </c>
      <c r="F377">
        <v>4</v>
      </c>
      <c r="G377">
        <v>56</v>
      </c>
      <c r="H377">
        <v>8</v>
      </c>
      <c r="I377">
        <v>7</v>
      </c>
      <c r="J377">
        <v>6</v>
      </c>
      <c r="K377" s="13">
        <v>45575</v>
      </c>
      <c r="L377">
        <v>60</v>
      </c>
      <c r="M377">
        <v>57</v>
      </c>
      <c r="N377">
        <f t="shared" si="5"/>
        <v>0.95</v>
      </c>
    </row>
    <row r="378" spans="1:14" x14ac:dyDescent="0.35">
      <c r="A378" t="s">
        <v>34</v>
      </c>
      <c r="D378" t="s">
        <v>39</v>
      </c>
      <c r="E378">
        <v>2001</v>
      </c>
      <c r="F378">
        <v>4</v>
      </c>
      <c r="G378">
        <v>57</v>
      </c>
      <c r="H378">
        <v>1</v>
      </c>
      <c r="I378">
        <v>8</v>
      </c>
      <c r="J378">
        <v>6</v>
      </c>
      <c r="K378" s="13">
        <v>45575</v>
      </c>
      <c r="L378">
        <v>48</v>
      </c>
      <c r="M378">
        <v>48</v>
      </c>
      <c r="N378">
        <f t="shared" si="5"/>
        <v>1</v>
      </c>
    </row>
    <row r="379" spans="1:14" x14ac:dyDescent="0.35">
      <c r="A379" t="s">
        <v>34</v>
      </c>
      <c r="D379" t="s">
        <v>37</v>
      </c>
      <c r="E379">
        <v>1989</v>
      </c>
      <c r="F379">
        <v>4</v>
      </c>
      <c r="G379">
        <v>58</v>
      </c>
      <c r="H379">
        <v>2</v>
      </c>
      <c r="I379">
        <v>8</v>
      </c>
      <c r="J379">
        <v>6</v>
      </c>
      <c r="K379" s="13">
        <v>45575</v>
      </c>
      <c r="L379">
        <v>67</v>
      </c>
      <c r="M379">
        <v>65</v>
      </c>
      <c r="N379">
        <f t="shared" si="5"/>
        <v>0.97014925373134331</v>
      </c>
    </row>
    <row r="380" spans="1:14" x14ac:dyDescent="0.35">
      <c r="A380" t="s">
        <v>34</v>
      </c>
      <c r="D380" t="s">
        <v>36</v>
      </c>
      <c r="E380">
        <v>1984</v>
      </c>
      <c r="F380">
        <v>4</v>
      </c>
      <c r="G380">
        <v>59</v>
      </c>
      <c r="H380">
        <v>3</v>
      </c>
      <c r="I380">
        <v>8</v>
      </c>
      <c r="J380">
        <v>6</v>
      </c>
      <c r="K380" s="13">
        <v>45575</v>
      </c>
      <c r="L380">
        <v>52</v>
      </c>
      <c r="M380">
        <v>48</v>
      </c>
      <c r="N380">
        <f t="shared" si="5"/>
        <v>0.92307692307692313</v>
      </c>
    </row>
    <row r="381" spans="1:14" x14ac:dyDescent="0.35">
      <c r="A381" t="s">
        <v>34</v>
      </c>
      <c r="D381" t="s">
        <v>343</v>
      </c>
      <c r="E381">
        <v>2004</v>
      </c>
      <c r="F381">
        <v>4</v>
      </c>
      <c r="G381">
        <v>60</v>
      </c>
      <c r="H381">
        <v>4</v>
      </c>
      <c r="I381">
        <v>8</v>
      </c>
      <c r="J381">
        <v>6</v>
      </c>
      <c r="K381" s="13">
        <v>45575</v>
      </c>
      <c r="L381">
        <v>55</v>
      </c>
      <c r="M381">
        <v>55</v>
      </c>
      <c r="N381">
        <f t="shared" si="5"/>
        <v>1</v>
      </c>
    </row>
    <row r="382" spans="1:14" x14ac:dyDescent="0.35">
      <c r="A382" t="s">
        <v>34</v>
      </c>
      <c r="D382" t="s">
        <v>41</v>
      </c>
      <c r="E382">
        <v>2008</v>
      </c>
      <c r="F382">
        <v>4</v>
      </c>
      <c r="G382">
        <v>61</v>
      </c>
      <c r="H382">
        <v>5</v>
      </c>
      <c r="I382">
        <v>8</v>
      </c>
      <c r="J382">
        <v>6</v>
      </c>
      <c r="K382" s="13">
        <v>45575</v>
      </c>
      <c r="L382">
        <v>40</v>
      </c>
      <c r="M382">
        <v>40</v>
      </c>
      <c r="N382">
        <f t="shared" si="5"/>
        <v>1</v>
      </c>
    </row>
    <row r="383" spans="1:14" x14ac:dyDescent="0.35">
      <c r="A383" t="s">
        <v>34</v>
      </c>
      <c r="D383" t="s">
        <v>38</v>
      </c>
      <c r="E383">
        <v>1999</v>
      </c>
      <c r="F383">
        <v>4</v>
      </c>
      <c r="G383">
        <v>62</v>
      </c>
      <c r="H383">
        <v>6</v>
      </c>
      <c r="I383">
        <v>8</v>
      </c>
      <c r="J383">
        <v>6</v>
      </c>
      <c r="K383" s="13">
        <v>45575</v>
      </c>
      <c r="L383">
        <v>54</v>
      </c>
      <c r="M383">
        <v>54</v>
      </c>
      <c r="N383">
        <f t="shared" si="5"/>
        <v>1</v>
      </c>
    </row>
    <row r="384" spans="1:14" x14ac:dyDescent="0.35">
      <c r="A384" t="s">
        <v>34</v>
      </c>
      <c r="D384" t="s">
        <v>42</v>
      </c>
      <c r="E384">
        <v>2016</v>
      </c>
      <c r="F384">
        <v>4</v>
      </c>
      <c r="G384">
        <v>63</v>
      </c>
      <c r="H384">
        <v>7</v>
      </c>
      <c r="I384">
        <v>8</v>
      </c>
      <c r="J384">
        <v>6</v>
      </c>
      <c r="K384" s="13">
        <v>45575</v>
      </c>
      <c r="L384">
        <v>42</v>
      </c>
      <c r="M384">
        <v>42</v>
      </c>
      <c r="N384">
        <f t="shared" si="5"/>
        <v>1</v>
      </c>
    </row>
    <row r="385" spans="1:14" x14ac:dyDescent="0.35">
      <c r="A385" t="s">
        <v>34</v>
      </c>
      <c r="D385" t="s">
        <v>43</v>
      </c>
      <c r="E385">
        <v>2020</v>
      </c>
      <c r="F385">
        <v>4</v>
      </c>
      <c r="G385">
        <v>64</v>
      </c>
      <c r="H385">
        <v>8</v>
      </c>
      <c r="I385">
        <v>8</v>
      </c>
      <c r="J385">
        <v>6</v>
      </c>
      <c r="K385" s="13">
        <v>45575</v>
      </c>
      <c r="L385">
        <v>38</v>
      </c>
      <c r="M385">
        <v>38</v>
      </c>
      <c r="N385">
        <f t="shared" si="5"/>
        <v>1</v>
      </c>
    </row>
    <row r="386" spans="1:14" x14ac:dyDescent="0.35">
      <c r="A386" t="s">
        <v>24</v>
      </c>
      <c r="D386" t="s">
        <v>27</v>
      </c>
      <c r="E386">
        <v>1985</v>
      </c>
      <c r="F386">
        <v>1</v>
      </c>
      <c r="G386">
        <v>1</v>
      </c>
      <c r="H386">
        <v>1</v>
      </c>
      <c r="I386">
        <v>1</v>
      </c>
      <c r="J386">
        <v>7</v>
      </c>
      <c r="K386" s="13">
        <v>45579</v>
      </c>
      <c r="L386">
        <v>78</v>
      </c>
      <c r="M386">
        <v>78</v>
      </c>
      <c r="N386">
        <f t="shared" si="5"/>
        <v>1</v>
      </c>
    </row>
    <row r="387" spans="1:14" x14ac:dyDescent="0.35">
      <c r="A387" t="s">
        <v>24</v>
      </c>
      <c r="D387" t="s">
        <v>26</v>
      </c>
      <c r="E387">
        <v>1983</v>
      </c>
      <c r="F387">
        <v>1</v>
      </c>
      <c r="G387">
        <v>2</v>
      </c>
      <c r="H387">
        <v>2</v>
      </c>
      <c r="I387">
        <v>1</v>
      </c>
      <c r="J387">
        <v>7</v>
      </c>
      <c r="K387" s="13">
        <v>45579</v>
      </c>
      <c r="L387">
        <v>63</v>
      </c>
      <c r="M387">
        <v>63</v>
      </c>
      <c r="N387">
        <f t="shared" si="5"/>
        <v>1</v>
      </c>
    </row>
    <row r="388" spans="1:14" x14ac:dyDescent="0.35">
      <c r="A388" t="s">
        <v>24</v>
      </c>
      <c r="D388" t="s">
        <v>335</v>
      </c>
      <c r="E388">
        <v>2023</v>
      </c>
      <c r="F388">
        <v>1</v>
      </c>
      <c r="G388">
        <v>3</v>
      </c>
      <c r="H388">
        <v>3</v>
      </c>
      <c r="I388">
        <v>1</v>
      </c>
      <c r="J388">
        <v>7</v>
      </c>
      <c r="K388" s="13">
        <v>45579</v>
      </c>
      <c r="L388">
        <v>60</v>
      </c>
      <c r="M388">
        <v>60</v>
      </c>
      <c r="N388">
        <f t="shared" ref="N388:N449" si="6">M388/L388</f>
        <v>1</v>
      </c>
    </row>
    <row r="389" spans="1:14" x14ac:dyDescent="0.35">
      <c r="A389" t="s">
        <v>24</v>
      </c>
      <c r="D389" t="s">
        <v>29</v>
      </c>
      <c r="E389">
        <v>1999</v>
      </c>
      <c r="F389">
        <v>1</v>
      </c>
      <c r="G389">
        <v>4</v>
      </c>
      <c r="H389">
        <v>4</v>
      </c>
      <c r="I389">
        <v>1</v>
      </c>
      <c r="J389">
        <v>7</v>
      </c>
      <c r="K389" s="13">
        <v>45579</v>
      </c>
      <c r="L389">
        <v>108</v>
      </c>
      <c r="M389">
        <v>108</v>
      </c>
      <c r="N389">
        <f t="shared" si="6"/>
        <v>1</v>
      </c>
    </row>
    <row r="390" spans="1:14" x14ac:dyDescent="0.35">
      <c r="A390" t="s">
        <v>24</v>
      </c>
      <c r="D390" t="s">
        <v>336</v>
      </c>
      <c r="E390">
        <v>2002</v>
      </c>
      <c r="F390">
        <v>1</v>
      </c>
      <c r="G390">
        <v>5</v>
      </c>
      <c r="H390">
        <v>5</v>
      </c>
      <c r="I390">
        <v>1</v>
      </c>
      <c r="J390">
        <v>7</v>
      </c>
      <c r="K390" s="13">
        <v>45579</v>
      </c>
      <c r="L390">
        <v>78</v>
      </c>
      <c r="M390">
        <v>78</v>
      </c>
      <c r="N390">
        <f t="shared" si="6"/>
        <v>1</v>
      </c>
    </row>
    <row r="391" spans="1:14" x14ac:dyDescent="0.35">
      <c r="A391" t="s">
        <v>24</v>
      </c>
      <c r="D391" t="s">
        <v>32</v>
      </c>
      <c r="E391">
        <v>2018</v>
      </c>
      <c r="F391">
        <v>1</v>
      </c>
      <c r="G391">
        <v>6</v>
      </c>
      <c r="H391">
        <v>6</v>
      </c>
      <c r="I391">
        <v>1</v>
      </c>
      <c r="J391">
        <v>7</v>
      </c>
      <c r="K391" s="13">
        <v>45579</v>
      </c>
      <c r="L391">
        <v>74</v>
      </c>
      <c r="M391">
        <v>74</v>
      </c>
      <c r="N391">
        <f t="shared" si="6"/>
        <v>1</v>
      </c>
    </row>
    <row r="392" spans="1:14" x14ac:dyDescent="0.35">
      <c r="A392" t="s">
        <v>24</v>
      </c>
      <c r="D392" t="s">
        <v>28</v>
      </c>
      <c r="E392">
        <v>1998</v>
      </c>
      <c r="F392">
        <v>1</v>
      </c>
      <c r="G392">
        <v>7</v>
      </c>
      <c r="H392">
        <v>7</v>
      </c>
      <c r="I392">
        <v>1</v>
      </c>
      <c r="J392">
        <v>7</v>
      </c>
      <c r="K392" s="13">
        <v>45579</v>
      </c>
      <c r="L392">
        <v>90</v>
      </c>
      <c r="M392">
        <v>90</v>
      </c>
      <c r="N392">
        <f t="shared" si="6"/>
        <v>1</v>
      </c>
    </row>
    <row r="393" spans="1:14" x14ac:dyDescent="0.35">
      <c r="A393" t="s">
        <v>24</v>
      </c>
      <c r="D393" t="s">
        <v>337</v>
      </c>
      <c r="E393">
        <v>2016</v>
      </c>
      <c r="F393">
        <v>1</v>
      </c>
      <c r="G393">
        <v>8</v>
      </c>
      <c r="H393">
        <v>8</v>
      </c>
      <c r="I393">
        <v>1</v>
      </c>
      <c r="J393">
        <v>7</v>
      </c>
      <c r="K393" s="13">
        <v>45579</v>
      </c>
      <c r="L393">
        <v>50</v>
      </c>
      <c r="M393">
        <v>50</v>
      </c>
      <c r="N393">
        <f t="shared" si="6"/>
        <v>1</v>
      </c>
    </row>
    <row r="394" spans="1:14" x14ac:dyDescent="0.35">
      <c r="A394" t="s">
        <v>34</v>
      </c>
      <c r="D394" t="s">
        <v>42</v>
      </c>
      <c r="E394">
        <v>2016</v>
      </c>
      <c r="F394">
        <v>1</v>
      </c>
      <c r="G394">
        <v>9</v>
      </c>
      <c r="H394">
        <v>1</v>
      </c>
      <c r="I394">
        <v>2</v>
      </c>
      <c r="J394">
        <v>7</v>
      </c>
      <c r="K394" s="13">
        <v>45579</v>
      </c>
      <c r="L394">
        <v>43</v>
      </c>
      <c r="M394">
        <v>43</v>
      </c>
      <c r="N394">
        <f t="shared" si="6"/>
        <v>1</v>
      </c>
    </row>
    <row r="395" spans="1:14" x14ac:dyDescent="0.35">
      <c r="A395" t="s">
        <v>34</v>
      </c>
      <c r="D395" t="s">
        <v>38</v>
      </c>
      <c r="E395">
        <v>1999</v>
      </c>
      <c r="F395">
        <v>1</v>
      </c>
      <c r="G395">
        <v>10</v>
      </c>
      <c r="H395">
        <v>2</v>
      </c>
      <c r="I395">
        <v>2</v>
      </c>
      <c r="J395">
        <v>7</v>
      </c>
      <c r="K395" s="13">
        <v>45579</v>
      </c>
      <c r="L395">
        <v>59</v>
      </c>
      <c r="M395">
        <v>59</v>
      </c>
      <c r="N395">
        <f t="shared" si="6"/>
        <v>1</v>
      </c>
    </row>
    <row r="396" spans="1:14" x14ac:dyDescent="0.35">
      <c r="A396" t="s">
        <v>34</v>
      </c>
      <c r="D396" t="s">
        <v>43</v>
      </c>
      <c r="E396">
        <v>2020</v>
      </c>
      <c r="F396">
        <v>1</v>
      </c>
      <c r="G396">
        <v>11</v>
      </c>
      <c r="H396">
        <v>3</v>
      </c>
      <c r="I396">
        <v>2</v>
      </c>
      <c r="J396">
        <v>7</v>
      </c>
      <c r="K396" s="13">
        <v>45579</v>
      </c>
      <c r="L396">
        <v>42</v>
      </c>
      <c r="M396">
        <v>43</v>
      </c>
      <c r="N396">
        <f t="shared" si="6"/>
        <v>1.0238095238095237</v>
      </c>
    </row>
    <row r="397" spans="1:14" x14ac:dyDescent="0.35">
      <c r="A397" t="s">
        <v>34</v>
      </c>
      <c r="D397" t="s">
        <v>41</v>
      </c>
      <c r="E397">
        <v>2008</v>
      </c>
      <c r="F397">
        <v>1</v>
      </c>
      <c r="G397">
        <v>12</v>
      </c>
      <c r="H397">
        <v>4</v>
      </c>
      <c r="I397">
        <v>2</v>
      </c>
      <c r="J397">
        <v>7</v>
      </c>
      <c r="K397" s="13">
        <v>45579</v>
      </c>
      <c r="L397">
        <v>39</v>
      </c>
      <c r="M397">
        <v>39</v>
      </c>
      <c r="N397">
        <f t="shared" si="6"/>
        <v>1</v>
      </c>
    </row>
    <row r="398" spans="1:14" x14ac:dyDescent="0.35">
      <c r="A398" t="s">
        <v>34</v>
      </c>
      <c r="D398" t="s">
        <v>37</v>
      </c>
      <c r="E398">
        <v>1989</v>
      </c>
      <c r="F398">
        <v>1</v>
      </c>
      <c r="G398">
        <v>13</v>
      </c>
      <c r="H398">
        <v>5</v>
      </c>
      <c r="I398">
        <v>2</v>
      </c>
      <c r="J398">
        <v>7</v>
      </c>
      <c r="K398" s="13">
        <v>45579</v>
      </c>
      <c r="L398">
        <v>48</v>
      </c>
      <c r="M398">
        <v>48</v>
      </c>
      <c r="N398">
        <f t="shared" si="6"/>
        <v>1</v>
      </c>
    </row>
    <row r="399" spans="1:14" x14ac:dyDescent="0.35">
      <c r="A399" t="s">
        <v>34</v>
      </c>
      <c r="D399" t="s">
        <v>343</v>
      </c>
      <c r="E399">
        <v>2004</v>
      </c>
      <c r="F399">
        <v>1</v>
      </c>
      <c r="G399">
        <v>14</v>
      </c>
      <c r="H399">
        <v>6</v>
      </c>
      <c r="I399">
        <v>2</v>
      </c>
      <c r="J399">
        <v>7</v>
      </c>
      <c r="K399" s="13">
        <v>45579</v>
      </c>
      <c r="L399">
        <v>44</v>
      </c>
      <c r="M399">
        <v>44</v>
      </c>
      <c r="N399">
        <f t="shared" si="6"/>
        <v>1</v>
      </c>
    </row>
    <row r="400" spans="1:14" x14ac:dyDescent="0.35">
      <c r="A400" t="s">
        <v>34</v>
      </c>
      <c r="D400" t="s">
        <v>36</v>
      </c>
      <c r="E400">
        <v>1984</v>
      </c>
      <c r="F400">
        <v>1</v>
      </c>
      <c r="G400">
        <v>15</v>
      </c>
      <c r="H400">
        <v>7</v>
      </c>
      <c r="I400">
        <v>2</v>
      </c>
      <c r="J400">
        <v>7</v>
      </c>
      <c r="K400" s="13">
        <v>45579</v>
      </c>
      <c r="L400">
        <v>44</v>
      </c>
      <c r="M400">
        <v>44</v>
      </c>
      <c r="N400">
        <f t="shared" si="6"/>
        <v>1</v>
      </c>
    </row>
    <row r="401" spans="1:14" x14ac:dyDescent="0.35">
      <c r="A401" t="s">
        <v>34</v>
      </c>
      <c r="D401" t="s">
        <v>39</v>
      </c>
      <c r="E401">
        <v>2001</v>
      </c>
      <c r="F401">
        <v>1</v>
      </c>
      <c r="G401">
        <v>16</v>
      </c>
      <c r="H401">
        <v>8</v>
      </c>
      <c r="I401">
        <v>2</v>
      </c>
      <c r="J401">
        <v>7</v>
      </c>
      <c r="K401" s="13">
        <v>45579</v>
      </c>
      <c r="L401">
        <v>56</v>
      </c>
      <c r="M401">
        <v>56</v>
      </c>
      <c r="N401">
        <f t="shared" si="6"/>
        <v>1</v>
      </c>
    </row>
    <row r="402" spans="1:14" x14ac:dyDescent="0.35">
      <c r="A402" t="s">
        <v>24</v>
      </c>
      <c r="D402" t="s">
        <v>335</v>
      </c>
      <c r="E402">
        <v>2023</v>
      </c>
      <c r="F402">
        <v>2</v>
      </c>
      <c r="G402">
        <v>17</v>
      </c>
      <c r="H402">
        <v>1</v>
      </c>
      <c r="I402">
        <v>3</v>
      </c>
      <c r="J402">
        <v>7</v>
      </c>
      <c r="K402" s="13">
        <v>45579</v>
      </c>
      <c r="L402">
        <v>55</v>
      </c>
      <c r="M402">
        <v>55</v>
      </c>
      <c r="N402">
        <f t="shared" si="6"/>
        <v>1</v>
      </c>
    </row>
    <row r="403" spans="1:14" x14ac:dyDescent="0.35">
      <c r="A403" t="s">
        <v>24</v>
      </c>
      <c r="D403" t="s">
        <v>28</v>
      </c>
      <c r="E403">
        <v>1998</v>
      </c>
      <c r="F403">
        <v>2</v>
      </c>
      <c r="G403">
        <v>18</v>
      </c>
      <c r="H403">
        <v>2</v>
      </c>
      <c r="I403">
        <v>3</v>
      </c>
      <c r="J403">
        <v>7</v>
      </c>
      <c r="K403" s="13">
        <v>45579</v>
      </c>
      <c r="L403">
        <v>67</v>
      </c>
      <c r="M403">
        <v>67</v>
      </c>
      <c r="N403">
        <f t="shared" si="6"/>
        <v>1</v>
      </c>
    </row>
    <row r="404" spans="1:14" x14ac:dyDescent="0.35">
      <c r="A404" t="s">
        <v>24</v>
      </c>
      <c r="D404" t="s">
        <v>26</v>
      </c>
      <c r="E404">
        <v>1983</v>
      </c>
      <c r="F404">
        <v>2</v>
      </c>
      <c r="G404">
        <v>19</v>
      </c>
      <c r="H404">
        <v>3</v>
      </c>
      <c r="I404">
        <v>3</v>
      </c>
      <c r="J404">
        <v>7</v>
      </c>
      <c r="K404" s="13">
        <v>45579</v>
      </c>
      <c r="L404">
        <v>67</v>
      </c>
      <c r="M404">
        <v>67</v>
      </c>
      <c r="N404">
        <f t="shared" si="6"/>
        <v>1</v>
      </c>
    </row>
    <row r="405" spans="1:14" x14ac:dyDescent="0.35">
      <c r="A405" t="s">
        <v>24</v>
      </c>
      <c r="D405" t="s">
        <v>336</v>
      </c>
      <c r="E405">
        <v>2002</v>
      </c>
      <c r="F405">
        <v>2</v>
      </c>
      <c r="G405">
        <v>20</v>
      </c>
      <c r="H405">
        <v>4</v>
      </c>
      <c r="I405">
        <v>3</v>
      </c>
      <c r="J405">
        <v>7</v>
      </c>
      <c r="K405" s="13">
        <v>45579</v>
      </c>
      <c r="L405">
        <v>53</v>
      </c>
      <c r="M405">
        <v>53</v>
      </c>
      <c r="N405">
        <f t="shared" si="6"/>
        <v>1</v>
      </c>
    </row>
    <row r="406" spans="1:14" x14ac:dyDescent="0.35">
      <c r="A406" t="s">
        <v>24</v>
      </c>
      <c r="D406" t="s">
        <v>29</v>
      </c>
      <c r="E406">
        <v>1999</v>
      </c>
      <c r="F406">
        <v>2</v>
      </c>
      <c r="G406">
        <v>21</v>
      </c>
      <c r="H406">
        <v>5</v>
      </c>
      <c r="I406">
        <v>3</v>
      </c>
      <c r="J406">
        <v>7</v>
      </c>
      <c r="K406" s="13">
        <v>45579</v>
      </c>
      <c r="L406">
        <v>63</v>
      </c>
      <c r="M406">
        <v>63</v>
      </c>
      <c r="N406">
        <f t="shared" si="6"/>
        <v>1</v>
      </c>
    </row>
    <row r="407" spans="1:14" x14ac:dyDescent="0.35">
      <c r="A407" t="s">
        <v>24</v>
      </c>
      <c r="D407" t="s">
        <v>337</v>
      </c>
      <c r="E407">
        <v>2016</v>
      </c>
      <c r="F407">
        <v>2</v>
      </c>
      <c r="G407">
        <v>22</v>
      </c>
      <c r="H407">
        <v>6</v>
      </c>
      <c r="I407">
        <v>3</v>
      </c>
      <c r="J407">
        <v>7</v>
      </c>
      <c r="K407" s="13">
        <v>45579</v>
      </c>
      <c r="L407">
        <v>63</v>
      </c>
      <c r="M407">
        <v>64</v>
      </c>
      <c r="N407">
        <f t="shared" si="6"/>
        <v>1.0158730158730158</v>
      </c>
    </row>
    <row r="408" spans="1:14" x14ac:dyDescent="0.35">
      <c r="A408" t="s">
        <v>24</v>
      </c>
      <c r="D408" t="s">
        <v>32</v>
      </c>
      <c r="E408">
        <v>2018</v>
      </c>
      <c r="F408">
        <v>2</v>
      </c>
      <c r="G408">
        <v>23</v>
      </c>
      <c r="H408">
        <v>7</v>
      </c>
      <c r="I408">
        <v>3</v>
      </c>
      <c r="J408">
        <v>7</v>
      </c>
      <c r="K408" s="13">
        <v>45579</v>
      </c>
      <c r="L408">
        <v>53</v>
      </c>
      <c r="M408">
        <v>53</v>
      </c>
      <c r="N408">
        <f t="shared" si="6"/>
        <v>1</v>
      </c>
    </row>
    <row r="409" spans="1:14" x14ac:dyDescent="0.35">
      <c r="A409" t="s">
        <v>24</v>
      </c>
      <c r="D409" t="s">
        <v>27</v>
      </c>
      <c r="E409">
        <v>1985</v>
      </c>
      <c r="F409">
        <v>2</v>
      </c>
      <c r="G409">
        <v>24</v>
      </c>
      <c r="H409">
        <v>8</v>
      </c>
      <c r="I409">
        <v>3</v>
      </c>
      <c r="J409">
        <v>7</v>
      </c>
      <c r="K409" s="13">
        <v>45579</v>
      </c>
      <c r="L409">
        <v>65</v>
      </c>
      <c r="M409">
        <v>65</v>
      </c>
      <c r="N409">
        <f t="shared" si="6"/>
        <v>1</v>
      </c>
    </row>
    <row r="410" spans="1:14" x14ac:dyDescent="0.35">
      <c r="A410" t="s">
        <v>34</v>
      </c>
      <c r="D410" t="s">
        <v>343</v>
      </c>
      <c r="E410">
        <v>2004</v>
      </c>
      <c r="F410">
        <v>2</v>
      </c>
      <c r="G410">
        <v>25</v>
      </c>
      <c r="H410">
        <v>1</v>
      </c>
      <c r="I410">
        <v>4</v>
      </c>
      <c r="J410">
        <v>7</v>
      </c>
      <c r="K410" s="13">
        <v>45579</v>
      </c>
      <c r="L410">
        <v>55</v>
      </c>
      <c r="M410">
        <v>55</v>
      </c>
      <c r="N410">
        <f t="shared" si="6"/>
        <v>1</v>
      </c>
    </row>
    <row r="411" spans="1:14" x14ac:dyDescent="0.35">
      <c r="A411" t="s">
        <v>34</v>
      </c>
      <c r="D411" t="s">
        <v>43</v>
      </c>
      <c r="E411">
        <v>2020</v>
      </c>
      <c r="F411">
        <v>2</v>
      </c>
      <c r="G411">
        <v>26</v>
      </c>
      <c r="H411">
        <v>2</v>
      </c>
      <c r="I411">
        <v>4</v>
      </c>
      <c r="J411">
        <v>7</v>
      </c>
      <c r="K411" s="13">
        <v>45579</v>
      </c>
      <c r="L411">
        <v>49</v>
      </c>
      <c r="M411">
        <v>49</v>
      </c>
      <c r="N411">
        <f t="shared" si="6"/>
        <v>1</v>
      </c>
    </row>
    <row r="412" spans="1:14" x14ac:dyDescent="0.35">
      <c r="A412" t="s">
        <v>34</v>
      </c>
      <c r="D412" t="s">
        <v>38</v>
      </c>
      <c r="E412">
        <v>1999</v>
      </c>
      <c r="F412">
        <v>2</v>
      </c>
      <c r="G412">
        <v>27</v>
      </c>
      <c r="H412">
        <v>3</v>
      </c>
      <c r="I412">
        <v>4</v>
      </c>
      <c r="J412">
        <v>7</v>
      </c>
      <c r="K412" s="13">
        <v>45579</v>
      </c>
      <c r="L412">
        <v>48</v>
      </c>
      <c r="M412">
        <v>48</v>
      </c>
      <c r="N412">
        <f t="shared" si="6"/>
        <v>1</v>
      </c>
    </row>
    <row r="413" spans="1:14" x14ac:dyDescent="0.35">
      <c r="A413" t="s">
        <v>34</v>
      </c>
      <c r="D413" t="s">
        <v>39</v>
      </c>
      <c r="E413">
        <v>2001</v>
      </c>
      <c r="F413">
        <v>2</v>
      </c>
      <c r="G413">
        <v>28</v>
      </c>
      <c r="H413">
        <v>4</v>
      </c>
      <c r="I413">
        <v>4</v>
      </c>
      <c r="J413">
        <v>7</v>
      </c>
      <c r="K413" s="13">
        <v>45579</v>
      </c>
      <c r="L413">
        <v>36</v>
      </c>
      <c r="M413">
        <v>36</v>
      </c>
      <c r="N413">
        <f t="shared" si="6"/>
        <v>1</v>
      </c>
    </row>
    <row r="414" spans="1:14" x14ac:dyDescent="0.35">
      <c r="A414" t="s">
        <v>34</v>
      </c>
      <c r="D414" t="s">
        <v>42</v>
      </c>
      <c r="E414">
        <v>2016</v>
      </c>
      <c r="F414">
        <v>2</v>
      </c>
      <c r="G414">
        <v>29</v>
      </c>
      <c r="H414">
        <v>5</v>
      </c>
      <c r="I414">
        <v>4</v>
      </c>
      <c r="J414">
        <v>7</v>
      </c>
      <c r="K414" s="13">
        <v>45579</v>
      </c>
      <c r="L414">
        <v>45</v>
      </c>
      <c r="M414">
        <v>45</v>
      </c>
      <c r="N414">
        <f t="shared" si="6"/>
        <v>1</v>
      </c>
    </row>
    <row r="415" spans="1:14" x14ac:dyDescent="0.35">
      <c r="A415" t="s">
        <v>34</v>
      </c>
      <c r="D415" t="s">
        <v>36</v>
      </c>
      <c r="E415">
        <v>1984</v>
      </c>
      <c r="F415">
        <v>2</v>
      </c>
      <c r="G415">
        <v>30</v>
      </c>
      <c r="H415">
        <v>6</v>
      </c>
      <c r="I415">
        <v>4</v>
      </c>
      <c r="J415">
        <v>7</v>
      </c>
      <c r="K415" s="13">
        <v>45579</v>
      </c>
      <c r="L415">
        <v>48</v>
      </c>
      <c r="M415">
        <v>48</v>
      </c>
      <c r="N415">
        <f t="shared" si="6"/>
        <v>1</v>
      </c>
    </row>
    <row r="416" spans="1:14" x14ac:dyDescent="0.35">
      <c r="A416" t="s">
        <v>34</v>
      </c>
      <c r="D416" t="s">
        <v>41</v>
      </c>
      <c r="E416">
        <v>2008</v>
      </c>
      <c r="F416">
        <v>2</v>
      </c>
      <c r="G416">
        <v>31</v>
      </c>
      <c r="H416">
        <v>7</v>
      </c>
      <c r="I416">
        <v>4</v>
      </c>
      <c r="J416">
        <v>7</v>
      </c>
      <c r="K416" s="13">
        <v>45579</v>
      </c>
      <c r="L416">
        <v>61</v>
      </c>
      <c r="M416">
        <v>61</v>
      </c>
      <c r="N416">
        <f t="shared" si="6"/>
        <v>1</v>
      </c>
    </row>
    <row r="417" spans="1:14" x14ac:dyDescent="0.35">
      <c r="A417" t="s">
        <v>34</v>
      </c>
      <c r="D417" t="s">
        <v>37</v>
      </c>
      <c r="E417">
        <v>1989</v>
      </c>
      <c r="F417">
        <v>2</v>
      </c>
      <c r="G417">
        <v>32</v>
      </c>
      <c r="H417">
        <v>8</v>
      </c>
      <c r="I417">
        <v>4</v>
      </c>
      <c r="J417">
        <v>7</v>
      </c>
      <c r="K417" s="13">
        <v>45579</v>
      </c>
      <c r="L417">
        <v>64</v>
      </c>
      <c r="M417">
        <v>64</v>
      </c>
      <c r="N417">
        <f t="shared" si="6"/>
        <v>1</v>
      </c>
    </row>
    <row r="418" spans="1:14" x14ac:dyDescent="0.35">
      <c r="A418" t="s">
        <v>24</v>
      </c>
      <c r="D418" t="s">
        <v>336</v>
      </c>
      <c r="E418">
        <v>2002</v>
      </c>
      <c r="F418">
        <v>3</v>
      </c>
      <c r="G418">
        <v>33</v>
      </c>
      <c r="H418">
        <v>1</v>
      </c>
      <c r="I418">
        <v>5</v>
      </c>
      <c r="J418">
        <v>7</v>
      </c>
      <c r="K418" s="13">
        <v>45579</v>
      </c>
      <c r="L418">
        <v>34</v>
      </c>
      <c r="M418">
        <v>34</v>
      </c>
      <c r="N418">
        <f t="shared" si="6"/>
        <v>1</v>
      </c>
    </row>
    <row r="419" spans="1:14" x14ac:dyDescent="0.35">
      <c r="A419" t="s">
        <v>24</v>
      </c>
      <c r="D419" t="s">
        <v>337</v>
      </c>
      <c r="E419">
        <v>2016</v>
      </c>
      <c r="F419">
        <v>3</v>
      </c>
      <c r="G419">
        <v>34</v>
      </c>
      <c r="H419">
        <v>2</v>
      </c>
      <c r="I419">
        <v>5</v>
      </c>
      <c r="J419">
        <v>7</v>
      </c>
      <c r="K419" s="13">
        <v>45579</v>
      </c>
      <c r="L419">
        <v>61</v>
      </c>
      <c r="M419">
        <v>61</v>
      </c>
      <c r="N419">
        <f t="shared" si="6"/>
        <v>1</v>
      </c>
    </row>
    <row r="420" spans="1:14" x14ac:dyDescent="0.35">
      <c r="A420" t="s">
        <v>24</v>
      </c>
      <c r="D420" t="s">
        <v>32</v>
      </c>
      <c r="E420">
        <v>2018</v>
      </c>
      <c r="F420">
        <v>3</v>
      </c>
      <c r="G420">
        <v>35</v>
      </c>
      <c r="H420">
        <v>3</v>
      </c>
      <c r="I420">
        <v>5</v>
      </c>
      <c r="J420">
        <v>7</v>
      </c>
      <c r="K420" s="13">
        <v>45579</v>
      </c>
      <c r="L420">
        <v>36</v>
      </c>
      <c r="M420">
        <v>36</v>
      </c>
      <c r="N420">
        <f t="shared" si="6"/>
        <v>1</v>
      </c>
    </row>
    <row r="421" spans="1:14" x14ac:dyDescent="0.35">
      <c r="A421" t="s">
        <v>24</v>
      </c>
      <c r="D421" t="s">
        <v>28</v>
      </c>
      <c r="E421">
        <v>1998</v>
      </c>
      <c r="F421">
        <v>3</v>
      </c>
      <c r="G421">
        <v>36</v>
      </c>
      <c r="H421">
        <v>4</v>
      </c>
      <c r="I421">
        <v>5</v>
      </c>
      <c r="J421">
        <v>7</v>
      </c>
      <c r="K421" s="13">
        <v>45579</v>
      </c>
      <c r="L421">
        <v>44</v>
      </c>
      <c r="M421">
        <v>44</v>
      </c>
      <c r="N421">
        <f t="shared" si="6"/>
        <v>1</v>
      </c>
    </row>
    <row r="422" spans="1:14" x14ac:dyDescent="0.35">
      <c r="A422" t="s">
        <v>24</v>
      </c>
      <c r="D422" t="s">
        <v>27</v>
      </c>
      <c r="E422">
        <v>1985</v>
      </c>
      <c r="F422">
        <v>3</v>
      </c>
      <c r="G422">
        <v>37</v>
      </c>
      <c r="H422">
        <v>5</v>
      </c>
      <c r="I422">
        <v>5</v>
      </c>
      <c r="J422">
        <v>7</v>
      </c>
      <c r="K422" s="13">
        <v>45579</v>
      </c>
      <c r="L422">
        <v>62</v>
      </c>
      <c r="M422">
        <v>62</v>
      </c>
      <c r="N422">
        <f t="shared" si="6"/>
        <v>1</v>
      </c>
    </row>
    <row r="423" spans="1:14" x14ac:dyDescent="0.35">
      <c r="A423" t="s">
        <v>24</v>
      </c>
      <c r="D423" t="s">
        <v>335</v>
      </c>
      <c r="E423">
        <v>2023</v>
      </c>
      <c r="F423">
        <v>3</v>
      </c>
      <c r="G423">
        <v>38</v>
      </c>
      <c r="H423">
        <v>6</v>
      </c>
      <c r="I423">
        <v>5</v>
      </c>
      <c r="J423">
        <v>7</v>
      </c>
      <c r="K423" s="13">
        <v>45579</v>
      </c>
      <c r="L423">
        <v>38</v>
      </c>
      <c r="M423">
        <v>38</v>
      </c>
      <c r="N423">
        <f t="shared" si="6"/>
        <v>1</v>
      </c>
    </row>
    <row r="424" spans="1:14" x14ac:dyDescent="0.35">
      <c r="A424" t="s">
        <v>24</v>
      </c>
      <c r="D424" t="s">
        <v>29</v>
      </c>
      <c r="E424">
        <v>1999</v>
      </c>
      <c r="F424">
        <v>3</v>
      </c>
      <c r="G424">
        <v>39</v>
      </c>
      <c r="H424">
        <v>7</v>
      </c>
      <c r="I424">
        <v>5</v>
      </c>
      <c r="J424">
        <v>7</v>
      </c>
      <c r="K424" s="13">
        <v>45579</v>
      </c>
      <c r="L424">
        <v>50</v>
      </c>
      <c r="M424">
        <v>50</v>
      </c>
      <c r="N424">
        <f t="shared" si="6"/>
        <v>1</v>
      </c>
    </row>
    <row r="425" spans="1:14" x14ac:dyDescent="0.35">
      <c r="A425" t="s">
        <v>24</v>
      </c>
      <c r="D425" t="s">
        <v>26</v>
      </c>
      <c r="E425">
        <v>1983</v>
      </c>
      <c r="F425">
        <v>3</v>
      </c>
      <c r="G425">
        <v>40</v>
      </c>
      <c r="H425">
        <v>8</v>
      </c>
      <c r="I425">
        <v>5</v>
      </c>
      <c r="J425">
        <v>7</v>
      </c>
      <c r="K425" s="13">
        <v>45579</v>
      </c>
      <c r="L425">
        <v>80</v>
      </c>
      <c r="M425">
        <v>80</v>
      </c>
      <c r="N425">
        <f t="shared" si="6"/>
        <v>1</v>
      </c>
    </row>
    <row r="426" spans="1:14" x14ac:dyDescent="0.35">
      <c r="A426" t="s">
        <v>34</v>
      </c>
      <c r="D426" t="s">
        <v>41</v>
      </c>
      <c r="E426">
        <v>2008</v>
      </c>
      <c r="F426">
        <v>3</v>
      </c>
      <c r="G426">
        <v>41</v>
      </c>
      <c r="H426">
        <v>1</v>
      </c>
      <c r="I426">
        <v>6</v>
      </c>
      <c r="J426">
        <v>7</v>
      </c>
      <c r="K426" s="13">
        <v>45579</v>
      </c>
      <c r="L426">
        <v>65</v>
      </c>
      <c r="M426">
        <v>65</v>
      </c>
      <c r="N426">
        <f t="shared" si="6"/>
        <v>1</v>
      </c>
    </row>
    <row r="427" spans="1:14" x14ac:dyDescent="0.35">
      <c r="A427" t="s">
        <v>34</v>
      </c>
      <c r="D427" t="s">
        <v>36</v>
      </c>
      <c r="E427">
        <v>1984</v>
      </c>
      <c r="F427">
        <v>3</v>
      </c>
      <c r="G427">
        <v>42</v>
      </c>
      <c r="H427">
        <v>2</v>
      </c>
      <c r="I427">
        <v>6</v>
      </c>
      <c r="J427">
        <v>7</v>
      </c>
      <c r="K427" s="13">
        <v>45579</v>
      </c>
      <c r="L427">
        <v>37</v>
      </c>
      <c r="M427">
        <v>37</v>
      </c>
      <c r="N427">
        <f t="shared" si="6"/>
        <v>1</v>
      </c>
    </row>
    <row r="428" spans="1:14" x14ac:dyDescent="0.35">
      <c r="A428" t="s">
        <v>34</v>
      </c>
      <c r="D428" t="s">
        <v>37</v>
      </c>
      <c r="E428">
        <v>1989</v>
      </c>
      <c r="F428">
        <v>3</v>
      </c>
      <c r="G428">
        <v>43</v>
      </c>
      <c r="H428">
        <v>3</v>
      </c>
      <c r="I428">
        <v>6</v>
      </c>
      <c r="J428">
        <v>7</v>
      </c>
      <c r="K428" s="13">
        <v>45579</v>
      </c>
      <c r="L428">
        <v>46</v>
      </c>
      <c r="M428">
        <v>46</v>
      </c>
      <c r="N428">
        <f t="shared" si="6"/>
        <v>1</v>
      </c>
    </row>
    <row r="429" spans="1:14" x14ac:dyDescent="0.35">
      <c r="A429" t="s">
        <v>34</v>
      </c>
      <c r="D429" t="s">
        <v>42</v>
      </c>
      <c r="E429">
        <v>2016</v>
      </c>
      <c r="F429">
        <v>3</v>
      </c>
      <c r="G429">
        <v>44</v>
      </c>
      <c r="H429">
        <v>4</v>
      </c>
      <c r="I429">
        <v>6</v>
      </c>
      <c r="J429">
        <v>7</v>
      </c>
      <c r="K429" s="13">
        <v>45579</v>
      </c>
      <c r="L429">
        <v>44</v>
      </c>
      <c r="M429">
        <v>44</v>
      </c>
      <c r="N429">
        <f t="shared" si="6"/>
        <v>1</v>
      </c>
    </row>
    <row r="430" spans="1:14" x14ac:dyDescent="0.35">
      <c r="A430" t="s">
        <v>34</v>
      </c>
      <c r="D430" t="s">
        <v>43</v>
      </c>
      <c r="E430">
        <v>2020</v>
      </c>
      <c r="F430">
        <v>3</v>
      </c>
      <c r="G430">
        <v>45</v>
      </c>
      <c r="H430">
        <v>5</v>
      </c>
      <c r="I430">
        <v>6</v>
      </c>
      <c r="J430">
        <v>7</v>
      </c>
      <c r="K430" s="13">
        <v>45579</v>
      </c>
      <c r="L430">
        <v>48</v>
      </c>
      <c r="M430">
        <v>48</v>
      </c>
      <c r="N430">
        <f t="shared" si="6"/>
        <v>1</v>
      </c>
    </row>
    <row r="431" spans="1:14" x14ac:dyDescent="0.35">
      <c r="A431" t="s">
        <v>34</v>
      </c>
      <c r="D431" t="s">
        <v>39</v>
      </c>
      <c r="E431">
        <v>2001</v>
      </c>
      <c r="F431">
        <v>3</v>
      </c>
      <c r="G431">
        <v>46</v>
      </c>
      <c r="H431">
        <v>6</v>
      </c>
      <c r="I431">
        <v>6</v>
      </c>
      <c r="J431">
        <v>7</v>
      </c>
      <c r="K431" s="13">
        <v>45579</v>
      </c>
      <c r="L431">
        <v>58</v>
      </c>
      <c r="M431">
        <v>58</v>
      </c>
      <c r="N431">
        <f t="shared" si="6"/>
        <v>1</v>
      </c>
    </row>
    <row r="432" spans="1:14" x14ac:dyDescent="0.35">
      <c r="A432" t="s">
        <v>34</v>
      </c>
      <c r="D432" t="s">
        <v>38</v>
      </c>
      <c r="E432">
        <v>1999</v>
      </c>
      <c r="F432">
        <v>3</v>
      </c>
      <c r="G432">
        <v>47</v>
      </c>
      <c r="H432">
        <v>7</v>
      </c>
      <c r="I432">
        <v>6</v>
      </c>
      <c r="J432">
        <v>7</v>
      </c>
      <c r="K432" s="13">
        <v>45579</v>
      </c>
      <c r="L432">
        <v>57</v>
      </c>
      <c r="M432">
        <v>57</v>
      </c>
      <c r="N432">
        <f t="shared" si="6"/>
        <v>1</v>
      </c>
    </row>
    <row r="433" spans="1:14" x14ac:dyDescent="0.35">
      <c r="A433" t="s">
        <v>34</v>
      </c>
      <c r="D433" t="s">
        <v>343</v>
      </c>
      <c r="E433">
        <v>2004</v>
      </c>
      <c r="F433">
        <v>3</v>
      </c>
      <c r="G433">
        <v>48</v>
      </c>
      <c r="H433">
        <v>8</v>
      </c>
      <c r="I433">
        <v>6</v>
      </c>
      <c r="J433">
        <v>7</v>
      </c>
      <c r="K433" s="13">
        <v>45579</v>
      </c>
      <c r="L433">
        <v>49</v>
      </c>
      <c r="M433">
        <v>49</v>
      </c>
      <c r="N433">
        <f t="shared" si="6"/>
        <v>1</v>
      </c>
    </row>
    <row r="434" spans="1:14" x14ac:dyDescent="0.35">
      <c r="A434" t="s">
        <v>24</v>
      </c>
      <c r="D434" t="s">
        <v>32</v>
      </c>
      <c r="E434">
        <v>2018</v>
      </c>
      <c r="F434">
        <v>4</v>
      </c>
      <c r="G434">
        <v>49</v>
      </c>
      <c r="H434">
        <v>1</v>
      </c>
      <c r="I434">
        <v>7</v>
      </c>
      <c r="J434">
        <v>7</v>
      </c>
      <c r="K434" s="13">
        <v>45579</v>
      </c>
      <c r="L434">
        <v>50</v>
      </c>
      <c r="M434">
        <v>50</v>
      </c>
      <c r="N434">
        <f t="shared" si="6"/>
        <v>1</v>
      </c>
    </row>
    <row r="435" spans="1:14" x14ac:dyDescent="0.35">
      <c r="A435" t="s">
        <v>24</v>
      </c>
      <c r="D435" t="s">
        <v>29</v>
      </c>
      <c r="E435">
        <v>1999</v>
      </c>
      <c r="F435">
        <v>4</v>
      </c>
      <c r="G435">
        <v>50</v>
      </c>
      <c r="H435">
        <v>2</v>
      </c>
      <c r="I435">
        <v>7</v>
      </c>
      <c r="J435">
        <v>7</v>
      </c>
      <c r="K435" s="13">
        <v>45579</v>
      </c>
      <c r="L435">
        <v>66</v>
      </c>
      <c r="M435">
        <v>66</v>
      </c>
      <c r="N435">
        <f t="shared" si="6"/>
        <v>1</v>
      </c>
    </row>
    <row r="436" spans="1:14" x14ac:dyDescent="0.35">
      <c r="A436" t="s">
        <v>24</v>
      </c>
      <c r="D436" t="s">
        <v>337</v>
      </c>
      <c r="E436">
        <v>2016</v>
      </c>
      <c r="F436">
        <v>4</v>
      </c>
      <c r="G436">
        <v>51</v>
      </c>
      <c r="H436">
        <v>3</v>
      </c>
      <c r="I436">
        <v>7</v>
      </c>
      <c r="J436">
        <v>7</v>
      </c>
      <c r="K436" s="13">
        <v>45579</v>
      </c>
      <c r="L436">
        <v>60</v>
      </c>
      <c r="M436">
        <v>60</v>
      </c>
      <c r="N436">
        <f t="shared" si="6"/>
        <v>1</v>
      </c>
    </row>
    <row r="437" spans="1:14" x14ac:dyDescent="0.35">
      <c r="A437" t="s">
        <v>24</v>
      </c>
      <c r="D437" t="s">
        <v>27</v>
      </c>
      <c r="E437">
        <v>1985</v>
      </c>
      <c r="F437">
        <v>4</v>
      </c>
      <c r="G437">
        <v>52</v>
      </c>
      <c r="H437">
        <v>4</v>
      </c>
      <c r="I437">
        <v>7</v>
      </c>
      <c r="J437">
        <v>7</v>
      </c>
      <c r="K437" s="13">
        <v>45579</v>
      </c>
      <c r="L437">
        <v>77</v>
      </c>
      <c r="M437">
        <v>77</v>
      </c>
      <c r="N437">
        <f t="shared" si="6"/>
        <v>1</v>
      </c>
    </row>
    <row r="438" spans="1:14" x14ac:dyDescent="0.35">
      <c r="A438" t="s">
        <v>24</v>
      </c>
      <c r="D438" t="s">
        <v>28</v>
      </c>
      <c r="E438">
        <v>1998</v>
      </c>
      <c r="F438">
        <v>4</v>
      </c>
      <c r="G438">
        <v>53</v>
      </c>
      <c r="H438">
        <v>5</v>
      </c>
      <c r="I438">
        <v>7</v>
      </c>
      <c r="J438">
        <v>7</v>
      </c>
      <c r="K438" s="13">
        <v>45579</v>
      </c>
      <c r="L438">
        <v>64</v>
      </c>
      <c r="M438">
        <v>64</v>
      </c>
      <c r="N438">
        <f t="shared" si="6"/>
        <v>1</v>
      </c>
    </row>
    <row r="439" spans="1:14" x14ac:dyDescent="0.35">
      <c r="A439" t="s">
        <v>24</v>
      </c>
      <c r="D439" t="s">
        <v>26</v>
      </c>
      <c r="E439">
        <v>1983</v>
      </c>
      <c r="F439">
        <v>4</v>
      </c>
      <c r="G439">
        <v>54</v>
      </c>
      <c r="H439">
        <v>6</v>
      </c>
      <c r="I439">
        <v>7</v>
      </c>
      <c r="J439">
        <v>7</v>
      </c>
      <c r="K439" s="13">
        <v>45579</v>
      </c>
      <c r="L439">
        <v>74</v>
      </c>
      <c r="M439">
        <v>74</v>
      </c>
      <c r="N439">
        <f t="shared" si="6"/>
        <v>1</v>
      </c>
    </row>
    <row r="440" spans="1:14" x14ac:dyDescent="0.35">
      <c r="A440" t="s">
        <v>24</v>
      </c>
      <c r="D440" t="s">
        <v>335</v>
      </c>
      <c r="E440">
        <v>2023</v>
      </c>
      <c r="F440">
        <v>4</v>
      </c>
      <c r="G440">
        <v>55</v>
      </c>
      <c r="H440">
        <v>7</v>
      </c>
      <c r="I440">
        <v>7</v>
      </c>
      <c r="J440">
        <v>7</v>
      </c>
      <c r="K440" s="13">
        <v>45579</v>
      </c>
      <c r="L440">
        <v>59</v>
      </c>
      <c r="M440">
        <v>59</v>
      </c>
      <c r="N440">
        <f t="shared" si="6"/>
        <v>1</v>
      </c>
    </row>
    <row r="441" spans="1:14" x14ac:dyDescent="0.35">
      <c r="A441" t="s">
        <v>24</v>
      </c>
      <c r="D441" t="s">
        <v>336</v>
      </c>
      <c r="E441">
        <v>2002</v>
      </c>
      <c r="F441">
        <v>4</v>
      </c>
      <c r="G441">
        <v>56</v>
      </c>
      <c r="H441">
        <v>8</v>
      </c>
      <c r="I441">
        <v>7</v>
      </c>
      <c r="J441">
        <v>7</v>
      </c>
      <c r="K441" s="13">
        <v>45579</v>
      </c>
      <c r="L441">
        <v>60</v>
      </c>
      <c r="M441">
        <v>60</v>
      </c>
      <c r="N441">
        <f t="shared" si="6"/>
        <v>1</v>
      </c>
    </row>
    <row r="442" spans="1:14" x14ac:dyDescent="0.35">
      <c r="A442" t="s">
        <v>34</v>
      </c>
      <c r="D442" t="s">
        <v>39</v>
      </c>
      <c r="E442">
        <v>2001</v>
      </c>
      <c r="F442">
        <v>4</v>
      </c>
      <c r="G442">
        <v>57</v>
      </c>
      <c r="H442">
        <v>1</v>
      </c>
      <c r="I442">
        <v>8</v>
      </c>
      <c r="J442">
        <v>7</v>
      </c>
      <c r="K442" s="13">
        <v>45579</v>
      </c>
      <c r="L442">
        <v>48</v>
      </c>
      <c r="M442">
        <v>48</v>
      </c>
      <c r="N442">
        <f t="shared" si="6"/>
        <v>1</v>
      </c>
    </row>
    <row r="443" spans="1:14" x14ac:dyDescent="0.35">
      <c r="A443" t="s">
        <v>34</v>
      </c>
      <c r="D443" t="s">
        <v>37</v>
      </c>
      <c r="E443">
        <v>1989</v>
      </c>
      <c r="F443">
        <v>4</v>
      </c>
      <c r="G443">
        <v>58</v>
      </c>
      <c r="H443">
        <v>2</v>
      </c>
      <c r="I443">
        <v>8</v>
      </c>
      <c r="J443">
        <v>7</v>
      </c>
      <c r="K443" s="13">
        <v>45579</v>
      </c>
      <c r="L443">
        <v>67</v>
      </c>
      <c r="M443">
        <v>67</v>
      </c>
      <c r="N443">
        <f t="shared" si="6"/>
        <v>1</v>
      </c>
    </row>
    <row r="444" spans="1:14" x14ac:dyDescent="0.35">
      <c r="A444" t="s">
        <v>34</v>
      </c>
      <c r="D444" t="s">
        <v>36</v>
      </c>
      <c r="E444">
        <v>1984</v>
      </c>
      <c r="F444">
        <v>4</v>
      </c>
      <c r="G444">
        <v>59</v>
      </c>
      <c r="H444">
        <v>3</v>
      </c>
      <c r="I444">
        <v>8</v>
      </c>
      <c r="J444">
        <v>7</v>
      </c>
      <c r="K444" s="13">
        <v>45579</v>
      </c>
      <c r="L444">
        <v>52</v>
      </c>
      <c r="M444">
        <v>52</v>
      </c>
      <c r="N444">
        <f t="shared" si="6"/>
        <v>1</v>
      </c>
    </row>
    <row r="445" spans="1:14" x14ac:dyDescent="0.35">
      <c r="A445" t="s">
        <v>34</v>
      </c>
      <c r="D445" t="s">
        <v>343</v>
      </c>
      <c r="E445">
        <v>2004</v>
      </c>
      <c r="F445">
        <v>4</v>
      </c>
      <c r="G445">
        <v>60</v>
      </c>
      <c r="H445">
        <v>4</v>
      </c>
      <c r="I445">
        <v>8</v>
      </c>
      <c r="J445">
        <v>7</v>
      </c>
      <c r="K445" s="13">
        <v>45579</v>
      </c>
      <c r="L445">
        <v>55</v>
      </c>
      <c r="M445">
        <v>55</v>
      </c>
      <c r="N445">
        <f t="shared" si="6"/>
        <v>1</v>
      </c>
    </row>
    <row r="446" spans="1:14" x14ac:dyDescent="0.35">
      <c r="A446" t="s">
        <v>34</v>
      </c>
      <c r="D446" t="s">
        <v>41</v>
      </c>
      <c r="E446">
        <v>2008</v>
      </c>
      <c r="F446">
        <v>4</v>
      </c>
      <c r="G446">
        <v>61</v>
      </c>
      <c r="H446">
        <v>5</v>
      </c>
      <c r="I446">
        <v>8</v>
      </c>
      <c r="J446">
        <v>7</v>
      </c>
      <c r="K446" s="13">
        <v>45579</v>
      </c>
      <c r="L446">
        <v>40</v>
      </c>
      <c r="M446">
        <v>40</v>
      </c>
      <c r="N446">
        <f t="shared" si="6"/>
        <v>1</v>
      </c>
    </row>
    <row r="447" spans="1:14" x14ac:dyDescent="0.35">
      <c r="A447" t="s">
        <v>34</v>
      </c>
      <c r="D447" t="s">
        <v>38</v>
      </c>
      <c r="E447">
        <v>1999</v>
      </c>
      <c r="F447">
        <v>4</v>
      </c>
      <c r="G447">
        <v>62</v>
      </c>
      <c r="H447">
        <v>6</v>
      </c>
      <c r="I447">
        <v>8</v>
      </c>
      <c r="J447">
        <v>7</v>
      </c>
      <c r="K447" s="13">
        <v>45579</v>
      </c>
      <c r="L447">
        <v>54</v>
      </c>
      <c r="M447">
        <v>54</v>
      </c>
      <c r="N447">
        <f t="shared" si="6"/>
        <v>1</v>
      </c>
    </row>
    <row r="448" spans="1:14" x14ac:dyDescent="0.35">
      <c r="A448" t="s">
        <v>34</v>
      </c>
      <c r="D448" t="s">
        <v>42</v>
      </c>
      <c r="E448">
        <v>2016</v>
      </c>
      <c r="F448">
        <v>4</v>
      </c>
      <c r="G448">
        <v>63</v>
      </c>
      <c r="H448">
        <v>7</v>
      </c>
      <c r="I448">
        <v>8</v>
      </c>
      <c r="J448">
        <v>7</v>
      </c>
      <c r="K448" s="13">
        <v>45579</v>
      </c>
      <c r="L448">
        <v>42</v>
      </c>
      <c r="M448">
        <v>42</v>
      </c>
      <c r="N448">
        <f t="shared" si="6"/>
        <v>1</v>
      </c>
    </row>
    <row r="449" spans="1:14" x14ac:dyDescent="0.35">
      <c r="A449" t="s">
        <v>34</v>
      </c>
      <c r="D449" t="s">
        <v>43</v>
      </c>
      <c r="E449">
        <v>2020</v>
      </c>
      <c r="F449">
        <v>4</v>
      </c>
      <c r="G449">
        <v>64</v>
      </c>
      <c r="H449">
        <v>8</v>
      </c>
      <c r="I449">
        <v>8</v>
      </c>
      <c r="J449">
        <v>7</v>
      </c>
      <c r="K449" s="13">
        <v>45579</v>
      </c>
      <c r="L449">
        <v>38</v>
      </c>
      <c r="M449">
        <v>38</v>
      </c>
      <c r="N449">
        <f t="shared" si="6"/>
        <v>1</v>
      </c>
    </row>
  </sheetData>
  <pageMargins left="0.7" right="0.7" top="0.75" bottom="0.75" header="0.3" footer="0.3"/>
  <pageSetup paperSize="9" orientation="portrait" horizontalDpi="360" verticalDpi="360"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7938-F2B0-4A80-BF12-C20ABA15568A}">
  <sheetPr>
    <tabColor theme="9" tint="0.79998168889431442"/>
  </sheetPr>
  <dimension ref="A1:CM538"/>
  <sheetViews>
    <sheetView tabSelected="1" topLeftCell="BG1" workbookViewId="0">
      <selection activeCell="BJ5" sqref="BJ5"/>
    </sheetView>
  </sheetViews>
  <sheetFormatPr defaultRowHeight="14.5" x14ac:dyDescent="0.35"/>
  <cols>
    <col min="5" max="11" width="9.1796875" style="6"/>
    <col min="12" max="12" width="10.54296875" style="5" bestFit="1" customWidth="1"/>
    <col min="13" max="13" width="8.54296875" style="5"/>
    <col min="14" max="17" width="8.54296875" style="47"/>
    <col min="18" max="44" width="8.54296875" style="5"/>
    <col min="45" max="45" width="8.54296875" style="25"/>
    <col min="46" max="47" width="8.54296875" style="5"/>
    <col min="48" max="48" width="9.1796875" style="5"/>
    <col min="49" max="50" width="11.453125" style="5" customWidth="1"/>
    <col min="51" max="51" width="9.54296875" style="5" customWidth="1"/>
    <col min="52" max="53" width="8.54296875" style="5"/>
    <col min="54" max="54" width="8.54296875" style="25"/>
    <col min="55" max="55" width="8.54296875" style="5"/>
    <col min="56" max="57" width="8.81640625" style="5"/>
    <col min="58" max="58" width="10.54296875" style="24" customWidth="1"/>
    <col min="59" max="59" width="9.54296875" style="24" customWidth="1"/>
    <col min="60" max="60" width="10.453125" style="24" customWidth="1"/>
    <col min="61" max="61" width="9.54296875" style="24" customWidth="1"/>
    <col min="62" max="62" width="13.1796875" style="42" customWidth="1"/>
    <col min="63" max="63" width="8.54296875" style="24"/>
    <col min="64" max="64" width="8.54296875" style="5"/>
    <col min="65" max="65" width="14.54296875" style="5" bestFit="1" customWidth="1"/>
    <col min="66" max="66" width="9.1796875" style="5" bestFit="1" customWidth="1"/>
    <col min="67" max="67" width="9.1796875" style="8" bestFit="1" customWidth="1"/>
    <col min="68" max="69" width="9.1796875" style="21" bestFit="1" customWidth="1"/>
    <col min="70" max="70" width="10.54296875" style="21" bestFit="1" customWidth="1"/>
    <col min="71" max="75" width="9.453125" style="8"/>
    <col min="76" max="76" width="8.54296875" style="8"/>
    <col min="77" max="77" width="10.453125" style="8" customWidth="1"/>
    <col min="78" max="79" width="9.1796875" style="8"/>
    <col min="81" max="81" width="9" customWidth="1"/>
    <col min="82" max="82" width="7.453125" customWidth="1"/>
    <col min="83" max="83" width="9.26953125" customWidth="1"/>
    <col min="84" max="84" width="8.1796875" customWidth="1"/>
    <col min="85" max="85" width="9.7265625" customWidth="1"/>
    <col min="86" max="86" width="7.26953125" customWidth="1"/>
    <col min="87" max="87" width="10.26953125" customWidth="1"/>
    <col min="88" max="89" width="10.453125" customWidth="1"/>
    <col min="90" max="90" width="32.54296875" bestFit="1" customWidth="1"/>
    <col min="91" max="91" width="37.453125" bestFit="1" customWidth="1"/>
    <col min="92" max="92" width="26.54296875" customWidth="1"/>
    <col min="93" max="95" width="45.453125" bestFit="1" customWidth="1"/>
    <col min="96" max="96" width="39.453125" bestFit="1" customWidth="1"/>
    <col min="97" max="97" width="49.54296875" bestFit="1" customWidth="1"/>
    <col min="98" max="98" width="36.54296875" bestFit="1" customWidth="1"/>
  </cols>
  <sheetData>
    <row r="1" spans="1:79" ht="96" customHeight="1" x14ac:dyDescent="0.35">
      <c r="A1" s="70" t="s">
        <v>44</v>
      </c>
      <c r="B1" s="70" t="s">
        <v>45</v>
      </c>
      <c r="C1" s="70" t="s">
        <v>46</v>
      </c>
      <c r="D1" s="70" t="s">
        <v>47</v>
      </c>
      <c r="E1" s="70" t="s">
        <v>48</v>
      </c>
      <c r="F1" s="70" t="s">
        <v>49</v>
      </c>
      <c r="G1" s="70" t="s">
        <v>50</v>
      </c>
      <c r="H1" s="70" t="s">
        <v>51</v>
      </c>
      <c r="I1" s="4" t="s">
        <v>53</v>
      </c>
      <c r="J1" s="4" t="s">
        <v>52</v>
      </c>
      <c r="K1" s="70" t="s">
        <v>54</v>
      </c>
      <c r="L1" s="4" t="s">
        <v>156</v>
      </c>
      <c r="M1" s="4" t="s">
        <v>183</v>
      </c>
      <c r="N1" s="46" t="s">
        <v>184</v>
      </c>
      <c r="O1" s="46" t="s">
        <v>185</v>
      </c>
      <c r="P1" s="46" t="s">
        <v>186</v>
      </c>
      <c r="Q1" s="46" t="s">
        <v>187</v>
      </c>
      <c r="R1" s="4" t="s">
        <v>188</v>
      </c>
      <c r="S1" s="4" t="s">
        <v>189</v>
      </c>
      <c r="T1" s="4" t="s">
        <v>190</v>
      </c>
      <c r="U1" s="4" t="s">
        <v>191</v>
      </c>
      <c r="V1" s="4" t="s">
        <v>192</v>
      </c>
      <c r="W1" s="4" t="s">
        <v>193</v>
      </c>
      <c r="X1" s="4" t="s">
        <v>194</v>
      </c>
      <c r="Y1" s="4" t="s">
        <v>195</v>
      </c>
      <c r="Z1" s="4" t="s">
        <v>196</v>
      </c>
      <c r="AA1" s="4" t="s">
        <v>197</v>
      </c>
      <c r="AB1" s="4" t="s">
        <v>198</v>
      </c>
      <c r="AC1" s="4" t="s">
        <v>199</v>
      </c>
      <c r="AD1" s="4" t="s">
        <v>200</v>
      </c>
      <c r="AE1" s="4" t="s">
        <v>201</v>
      </c>
      <c r="AF1" s="4" t="s">
        <v>202</v>
      </c>
      <c r="AG1" s="4" t="s">
        <v>203</v>
      </c>
      <c r="AH1" s="4" t="s">
        <v>204</v>
      </c>
      <c r="AI1" s="4" t="s">
        <v>205</v>
      </c>
      <c r="AJ1" s="4" t="s">
        <v>206</v>
      </c>
      <c r="AK1" s="4" t="s">
        <v>207</v>
      </c>
      <c r="AL1" s="4" t="s">
        <v>208</v>
      </c>
      <c r="AM1" s="4" t="s">
        <v>209</v>
      </c>
      <c r="AN1" s="4" t="s">
        <v>210</v>
      </c>
      <c r="AO1" s="4" t="s">
        <v>211</v>
      </c>
      <c r="AP1" s="4" t="s">
        <v>163</v>
      </c>
      <c r="AQ1" s="4" t="s">
        <v>212</v>
      </c>
      <c r="AR1" s="4" t="s">
        <v>213</v>
      </c>
      <c r="AS1" s="11" t="s">
        <v>214</v>
      </c>
      <c r="AT1" s="4" t="s">
        <v>215</v>
      </c>
      <c r="AU1" s="4" t="s">
        <v>216</v>
      </c>
      <c r="AV1" s="4" t="s">
        <v>744</v>
      </c>
      <c r="AW1" s="34" t="s">
        <v>217</v>
      </c>
      <c r="AX1" s="34" t="s">
        <v>218</v>
      </c>
      <c r="AY1" s="34" t="s">
        <v>219</v>
      </c>
      <c r="AZ1" s="4" t="s">
        <v>220</v>
      </c>
      <c r="BA1" s="4" t="s">
        <v>221</v>
      </c>
      <c r="BB1" s="4" t="s">
        <v>222</v>
      </c>
      <c r="BC1" s="4" t="s">
        <v>223</v>
      </c>
      <c r="BD1" s="4" t="s">
        <v>245</v>
      </c>
      <c r="BE1" s="4" t="s">
        <v>246</v>
      </c>
      <c r="BF1" s="4" t="s">
        <v>224</v>
      </c>
      <c r="BG1" s="23" t="s">
        <v>225</v>
      </c>
      <c r="BH1" s="23" t="s">
        <v>227</v>
      </c>
      <c r="BI1" s="4" t="s">
        <v>228</v>
      </c>
      <c r="BJ1" s="10" t="s">
        <v>778</v>
      </c>
      <c r="BK1" s="23" t="s">
        <v>230</v>
      </c>
      <c r="BL1" s="23" t="s">
        <v>231</v>
      </c>
      <c r="BM1" s="23" t="s">
        <v>232</v>
      </c>
      <c r="BN1" s="23" t="s">
        <v>233</v>
      </c>
      <c r="BO1" s="10" t="s">
        <v>234</v>
      </c>
      <c r="BP1" s="10" t="s">
        <v>235</v>
      </c>
      <c r="BQ1" s="10" t="s">
        <v>236</v>
      </c>
      <c r="BR1" s="10" t="s">
        <v>237</v>
      </c>
      <c r="BS1" s="10" t="s">
        <v>238</v>
      </c>
      <c r="BT1" s="10" t="s">
        <v>239</v>
      </c>
      <c r="BU1" s="10" t="s">
        <v>240</v>
      </c>
      <c r="BV1" s="10" t="s">
        <v>241</v>
      </c>
      <c r="BW1" s="10" t="s">
        <v>242</v>
      </c>
      <c r="BX1" s="10" t="s">
        <v>773</v>
      </c>
      <c r="BY1" s="10"/>
      <c r="BZ1" s="10" t="s">
        <v>247</v>
      </c>
      <c r="CA1" s="10"/>
    </row>
    <row r="2" spans="1:79" x14ac:dyDescent="0.35">
      <c r="A2" t="s">
        <v>24</v>
      </c>
      <c r="D2" t="s">
        <v>27</v>
      </c>
      <c r="E2">
        <v>1985</v>
      </c>
      <c r="F2">
        <v>1</v>
      </c>
      <c r="G2">
        <v>1</v>
      </c>
      <c r="H2">
        <v>1</v>
      </c>
      <c r="I2"/>
      <c r="J2"/>
      <c r="K2">
        <v>1</v>
      </c>
      <c r="L2"/>
      <c r="M2">
        <v>0.88107999999999997</v>
      </c>
      <c r="N2">
        <v>1.7868906572581E-2</v>
      </c>
      <c r="O2">
        <v>2.8936038852592993E-2</v>
      </c>
      <c r="P2">
        <v>6.5141233366344253E-2</v>
      </c>
      <c r="Q2">
        <v>0.24577837224445087</v>
      </c>
      <c r="R2">
        <v>0.982131093427419</v>
      </c>
      <c r="S2">
        <v>0.97106396114740701</v>
      </c>
      <c r="T2">
        <v>0.93485876663365575</v>
      </c>
      <c r="U2">
        <v>0.75422162775554913</v>
      </c>
      <c r="V2"/>
      <c r="W2"/>
      <c r="X2"/>
      <c r="Y2"/>
      <c r="Z2"/>
      <c r="AA2"/>
      <c r="AB2"/>
      <c r="AC2"/>
      <c r="AD2"/>
      <c r="AE2"/>
      <c r="AF2"/>
      <c r="AG2"/>
      <c r="AH2"/>
      <c r="AI2"/>
      <c r="AJ2"/>
      <c r="AK2"/>
      <c r="AL2"/>
      <c r="AM2"/>
      <c r="AN2"/>
      <c r="AO2"/>
      <c r="AP2">
        <v>90</v>
      </c>
      <c r="AQ2">
        <v>0.5</v>
      </c>
      <c r="AR2">
        <v>2111.5</v>
      </c>
      <c r="AS2">
        <f>AR2/AQ2</f>
        <v>4223</v>
      </c>
      <c r="AT2">
        <v>237.5</v>
      </c>
      <c r="AU2">
        <v>36</v>
      </c>
      <c r="AV2">
        <f>AT2/AU2</f>
        <v>6.5972222222222223</v>
      </c>
      <c r="AW2">
        <f>AV2*30</f>
        <v>197.91666666666666</v>
      </c>
      <c r="AX2"/>
      <c r="AY2">
        <v>20</v>
      </c>
      <c r="AZ2">
        <v>7.72</v>
      </c>
      <c r="BA2">
        <v>9.68</v>
      </c>
      <c r="BB2">
        <v>22.33</v>
      </c>
      <c r="BC2">
        <v>6.97</v>
      </c>
      <c r="BD2"/>
      <c r="BE2">
        <f>SUM(BK2:BN2)</f>
        <v>1</v>
      </c>
      <c r="BF2">
        <f>SUM(AZ2:BC2)</f>
        <v>46.699999999999996</v>
      </c>
      <c r="BG2">
        <f>BF2/20</f>
        <v>2.335</v>
      </c>
      <c r="BH2">
        <f>BG2/AV2</f>
        <v>0.35393684210526316</v>
      </c>
      <c r="BI2">
        <f>AR2*BH2</f>
        <v>747.33764210526317</v>
      </c>
      <c r="BJ2" s="1">
        <f>BI2/AQ2</f>
        <v>1494.6752842105263</v>
      </c>
      <c r="BK2">
        <f>AZ2/BF2</f>
        <v>0.16531049250535332</v>
      </c>
      <c r="BL2">
        <f>BA2/BF2</f>
        <v>0.20728051391862956</v>
      </c>
      <c r="BM2">
        <f>BB2/BF2</f>
        <v>0.47815845824411135</v>
      </c>
      <c r="BN2">
        <f>BC2/BF2</f>
        <v>0.1492505353319058</v>
      </c>
      <c r="BO2">
        <f>BJ2*BK2</f>
        <v>247.08550736842105</v>
      </c>
      <c r="BP2">
        <f>BJ2*BL2</f>
        <v>309.81706105263157</v>
      </c>
      <c r="BQ2">
        <f>BJ2*BM2</f>
        <v>714.6916294736842</v>
      </c>
      <c r="BR2">
        <f>BJ2*BN2</f>
        <v>223.08108631578949</v>
      </c>
      <c r="BS2">
        <v>6.55</v>
      </c>
      <c r="BT2">
        <v>22.900000000000002</v>
      </c>
      <c r="BU2">
        <v>28.174999999999997</v>
      </c>
      <c r="BV2">
        <v>47.150000000000006</v>
      </c>
      <c r="BW2"/>
      <c r="BX2"/>
      <c r="BY2"/>
      <c r="BZ2"/>
      <c r="CA2"/>
    </row>
    <row r="3" spans="1:79" x14ac:dyDescent="0.35">
      <c r="A3" t="s">
        <v>24</v>
      </c>
      <c r="D3" t="s">
        <v>26</v>
      </c>
      <c r="E3">
        <v>1983</v>
      </c>
      <c r="F3">
        <v>1</v>
      </c>
      <c r="G3">
        <v>2</v>
      </c>
      <c r="H3">
        <v>1</v>
      </c>
      <c r="I3"/>
      <c r="J3"/>
      <c r="K3">
        <v>2</v>
      </c>
      <c r="L3"/>
      <c r="M3">
        <v>0.87670000000000003</v>
      </c>
      <c r="N3">
        <v>1.5705933251644155E-2</v>
      </c>
      <c r="O3">
        <v>2.6801245054575817E-2</v>
      </c>
      <c r="P3">
        <v>6.1798809449135073E-2</v>
      </c>
      <c r="Q3">
        <v>0.29689042663343435</v>
      </c>
      <c r="R3">
        <v>0.98429406674835584</v>
      </c>
      <c r="S3">
        <v>0.97319875494542418</v>
      </c>
      <c r="T3">
        <v>0.93820119055086493</v>
      </c>
      <c r="U3">
        <v>0.70310957336656565</v>
      </c>
      <c r="V3"/>
      <c r="W3"/>
      <c r="X3"/>
      <c r="Y3"/>
      <c r="Z3"/>
      <c r="AA3"/>
      <c r="AB3"/>
      <c r="AC3"/>
      <c r="AD3"/>
      <c r="AE3"/>
      <c r="AF3"/>
      <c r="AG3"/>
      <c r="AH3"/>
      <c r="AI3"/>
      <c r="AJ3"/>
      <c r="AK3"/>
      <c r="AL3"/>
      <c r="AM3"/>
      <c r="AN3"/>
      <c r="AO3"/>
      <c r="AP3">
        <v>96</v>
      </c>
      <c r="AQ3">
        <v>0.5</v>
      </c>
      <c r="AR3">
        <v>2355.4999999999995</v>
      </c>
      <c r="AS3">
        <f t="shared" ref="AS3:AS65" si="0">AR3/AQ3</f>
        <v>4710.9999999999991</v>
      </c>
      <c r="AT3">
        <v>179.7</v>
      </c>
      <c r="AU3">
        <v>33</v>
      </c>
      <c r="AV3">
        <f t="shared" ref="AV3:AV65" si="1">AT3/AU3</f>
        <v>5.4454545454545453</v>
      </c>
      <c r="AW3">
        <f t="shared" ref="AW3:AW65" si="2">AV3*30</f>
        <v>163.36363636363637</v>
      </c>
      <c r="AX3"/>
      <c r="AY3">
        <v>20</v>
      </c>
      <c r="AZ3">
        <v>5.08</v>
      </c>
      <c r="BA3">
        <v>4.13</v>
      </c>
      <c r="BB3">
        <v>19.89</v>
      </c>
      <c r="BC3">
        <v>7.12</v>
      </c>
      <c r="BD3"/>
      <c r="BE3">
        <f t="shared" ref="BE3:BE65" si="3">SUM(BK3:BN3)</f>
        <v>1</v>
      </c>
      <c r="BF3">
        <f t="shared" ref="BF3:BF65" si="4">SUM(AZ3:BC3)</f>
        <v>36.22</v>
      </c>
      <c r="BG3">
        <f t="shared" ref="BG3:BG65" si="5">BF3/20</f>
        <v>1.8109999999999999</v>
      </c>
      <c r="BH3">
        <f t="shared" ref="BH3:BH65" si="6">BG3/AV3</f>
        <v>0.3325709515859766</v>
      </c>
      <c r="BI3">
        <f t="shared" ref="BI3:BI65" si="7">AR3*BH3</f>
        <v>783.3708764607677</v>
      </c>
      <c r="BJ3" s="1">
        <f t="shared" ref="BJ3:BJ65" si="8">BI3/AQ3</f>
        <v>1566.7417529215354</v>
      </c>
      <c r="BK3">
        <f t="shared" ref="BK3:BK65" si="9">AZ3/BF3</f>
        <v>0.14025400331308671</v>
      </c>
      <c r="BL3">
        <f t="shared" ref="BL3:BL65" si="10">BA3/BF3</f>
        <v>0.11402540033130867</v>
      </c>
      <c r="BM3">
        <f t="shared" ref="BM3:BM65" si="11">BB3/BF3</f>
        <v>0.54914411927112095</v>
      </c>
      <c r="BN3">
        <f t="shared" ref="BN3:BN65" si="12">BC3/BF3</f>
        <v>0.19657647708448373</v>
      </c>
      <c r="BO3">
        <f t="shared" ref="BO3:BO65" si="13">BJ3*BK3</f>
        <v>219.74180300500831</v>
      </c>
      <c r="BP3">
        <f t="shared" ref="BP3:BP65" si="14">BJ3*BL3</f>
        <v>178.64835559265438</v>
      </c>
      <c r="BQ3">
        <f t="shared" ref="BQ3:BQ65" si="15">BJ3*BM3</f>
        <v>860.36702003338871</v>
      </c>
      <c r="BR3">
        <f t="shared" ref="BR3:BR65" si="16">BJ3*BN3</f>
        <v>307.98457429048409</v>
      </c>
      <c r="BS3">
        <v>4.9249999999999998</v>
      </c>
      <c r="BT3">
        <v>7.8500000000000014</v>
      </c>
      <c r="BU3">
        <v>29.925000000000001</v>
      </c>
      <c r="BV3">
        <v>45.674999999999997</v>
      </c>
      <c r="BW3"/>
      <c r="BX3"/>
      <c r="BY3"/>
      <c r="BZ3"/>
      <c r="CA3"/>
    </row>
    <row r="4" spans="1:79" s="36" customFormat="1" x14ac:dyDescent="0.35">
      <c r="A4" t="s">
        <v>24</v>
      </c>
      <c r="B4"/>
      <c r="C4"/>
      <c r="D4" t="s">
        <v>335</v>
      </c>
      <c r="E4">
        <v>2023</v>
      </c>
      <c r="F4">
        <v>1</v>
      </c>
      <c r="G4">
        <v>3</v>
      </c>
      <c r="H4">
        <v>1</v>
      </c>
      <c r="I4"/>
      <c r="J4"/>
      <c r="K4">
        <v>3</v>
      </c>
      <c r="M4" s="36">
        <v>0.89200000000000002</v>
      </c>
      <c r="N4" s="36">
        <v>1.255094028027226E-2</v>
      </c>
      <c r="O4" s="36">
        <v>1.6634888790446056E-2</v>
      </c>
      <c r="P4" s="36">
        <v>3.5966296636453787E-2</v>
      </c>
      <c r="Q4" s="36">
        <v>0.18436291680975692</v>
      </c>
      <c r="R4" s="36">
        <v>0.98744905971972774</v>
      </c>
      <c r="S4" s="36">
        <v>0.98336511120955394</v>
      </c>
      <c r="T4" s="36">
        <v>0.96403370336354621</v>
      </c>
      <c r="U4" s="36">
        <v>0.81563708319024308</v>
      </c>
      <c r="AP4" s="36">
        <v>86</v>
      </c>
      <c r="AQ4">
        <v>0.5</v>
      </c>
      <c r="AR4" s="36">
        <v>2758</v>
      </c>
      <c r="AS4">
        <f t="shared" si="0"/>
        <v>5516</v>
      </c>
      <c r="AT4">
        <v>266.68</v>
      </c>
      <c r="AU4" s="36">
        <v>35</v>
      </c>
      <c r="AV4">
        <f t="shared" si="1"/>
        <v>7.6194285714285712</v>
      </c>
      <c r="AW4">
        <f t="shared" si="2"/>
        <v>228.58285714285714</v>
      </c>
      <c r="AY4">
        <v>20</v>
      </c>
      <c r="AZ4" s="36">
        <v>6.95</v>
      </c>
      <c r="BA4" s="36">
        <v>6.27</v>
      </c>
      <c r="BB4" s="36">
        <v>23.13</v>
      </c>
      <c r="BC4" s="36">
        <v>7.46</v>
      </c>
      <c r="BE4">
        <f t="shared" si="3"/>
        <v>1.0000000000000002</v>
      </c>
      <c r="BF4">
        <f t="shared" si="4"/>
        <v>43.809999999999995</v>
      </c>
      <c r="BG4">
        <f t="shared" si="5"/>
        <v>2.1904999999999997</v>
      </c>
      <c r="BH4">
        <f t="shared" si="6"/>
        <v>0.28748875056247186</v>
      </c>
      <c r="BI4">
        <f t="shared" si="7"/>
        <v>792.89397405129739</v>
      </c>
      <c r="BJ4" s="1">
        <f t="shared" si="8"/>
        <v>1585.7879481025948</v>
      </c>
      <c r="BK4">
        <f t="shared" si="9"/>
        <v>0.15863958000456518</v>
      </c>
      <c r="BL4">
        <f t="shared" si="10"/>
        <v>0.14311800958685233</v>
      </c>
      <c r="BM4">
        <f t="shared" si="11"/>
        <v>0.5279616525907328</v>
      </c>
      <c r="BN4">
        <f t="shared" si="12"/>
        <v>0.17028075781784982</v>
      </c>
      <c r="BO4">
        <f t="shared" si="13"/>
        <v>251.56873406329686</v>
      </c>
      <c r="BP4">
        <f t="shared" si="14"/>
        <v>226.95481475926206</v>
      </c>
      <c r="BQ4">
        <f t="shared" si="15"/>
        <v>837.23522573871321</v>
      </c>
      <c r="BR4">
        <f t="shared" si="16"/>
        <v>270.02917354132296</v>
      </c>
      <c r="BS4">
        <v>9.0750000000000011</v>
      </c>
      <c r="BT4" s="36">
        <v>6.3249999999999993</v>
      </c>
      <c r="BU4" s="36">
        <v>30.675000000000001</v>
      </c>
      <c r="BV4" s="36">
        <v>46.9</v>
      </c>
    </row>
    <row r="5" spans="1:79" x14ac:dyDescent="0.35">
      <c r="A5" t="s">
        <v>24</v>
      </c>
      <c r="D5" t="s">
        <v>29</v>
      </c>
      <c r="E5">
        <v>1999</v>
      </c>
      <c r="F5">
        <v>1</v>
      </c>
      <c r="G5">
        <v>4</v>
      </c>
      <c r="H5">
        <v>1</v>
      </c>
      <c r="I5"/>
      <c r="J5"/>
      <c r="K5">
        <v>4</v>
      </c>
      <c r="L5"/>
      <c r="M5">
        <v>0.86719999999999997</v>
      </c>
      <c r="N5">
        <v>1.6819143906929734E-2</v>
      </c>
      <c r="O5">
        <v>2.1876448352923683E-2</v>
      </c>
      <c r="P5">
        <v>5.6525291388810239E-2</v>
      </c>
      <c r="Q5">
        <v>0.18407724309739137</v>
      </c>
      <c r="R5">
        <v>0.98318085609307027</v>
      </c>
      <c r="S5">
        <v>0.97812355164707632</v>
      </c>
      <c r="T5">
        <v>0.94347470861118976</v>
      </c>
      <c r="U5">
        <v>0.81592275690260863</v>
      </c>
      <c r="V5"/>
      <c r="W5"/>
      <c r="X5"/>
      <c r="Y5"/>
      <c r="Z5"/>
      <c r="AA5"/>
      <c r="AB5"/>
      <c r="AC5"/>
      <c r="AD5"/>
      <c r="AE5"/>
      <c r="AF5"/>
      <c r="AG5"/>
      <c r="AH5"/>
      <c r="AI5"/>
      <c r="AJ5"/>
      <c r="AK5"/>
      <c r="AL5"/>
      <c r="AM5"/>
      <c r="AN5"/>
      <c r="AO5"/>
      <c r="AP5">
        <v>88</v>
      </c>
      <c r="AQ5">
        <v>0.5</v>
      </c>
      <c r="AR5">
        <v>2308.9999999999995</v>
      </c>
      <c r="AS5">
        <f t="shared" si="0"/>
        <v>4617.9999999999991</v>
      </c>
      <c r="AT5">
        <v>229.3</v>
      </c>
      <c r="AU5">
        <v>41</v>
      </c>
      <c r="AV5">
        <f t="shared" si="1"/>
        <v>5.5926829268292684</v>
      </c>
      <c r="AW5">
        <f t="shared" si="2"/>
        <v>167.78048780487805</v>
      </c>
      <c r="AX5"/>
      <c r="AY5">
        <v>20</v>
      </c>
      <c r="AZ5">
        <v>7.14</v>
      </c>
      <c r="BA5">
        <v>8.81</v>
      </c>
      <c r="BB5">
        <v>20.63</v>
      </c>
      <c r="BC5">
        <v>6.49</v>
      </c>
      <c r="BD5"/>
      <c r="BE5">
        <f t="shared" si="3"/>
        <v>1</v>
      </c>
      <c r="BF5">
        <f t="shared" si="4"/>
        <v>43.07</v>
      </c>
      <c r="BG5">
        <f t="shared" si="5"/>
        <v>2.1535000000000002</v>
      </c>
      <c r="BH5">
        <f t="shared" si="6"/>
        <v>0.38505669428696032</v>
      </c>
      <c r="BI5">
        <f t="shared" si="7"/>
        <v>889.09590710859118</v>
      </c>
      <c r="BJ5" s="1">
        <f t="shared" si="8"/>
        <v>1778.1918142171824</v>
      </c>
      <c r="BK5">
        <f t="shared" si="9"/>
        <v>0.16577664267471556</v>
      </c>
      <c r="BL5">
        <f t="shared" si="10"/>
        <v>0.20455073136754123</v>
      </c>
      <c r="BM5">
        <f t="shared" si="11"/>
        <v>0.47898769445089384</v>
      </c>
      <c r="BN5">
        <f t="shared" si="12"/>
        <v>0.15068493150684931</v>
      </c>
      <c r="BO5">
        <f t="shared" si="13"/>
        <v>294.78266899258603</v>
      </c>
      <c r="BP5">
        <f t="shared" si="14"/>
        <v>363.73043610989964</v>
      </c>
      <c r="BQ5">
        <f t="shared" si="15"/>
        <v>851.73199738334029</v>
      </c>
      <c r="BR5">
        <f t="shared" si="16"/>
        <v>267.94671173135623</v>
      </c>
      <c r="BS5">
        <v>6.125</v>
      </c>
      <c r="BT5">
        <v>25.174999999999997</v>
      </c>
      <c r="BU5">
        <v>30.525000000000002</v>
      </c>
      <c r="BV5">
        <v>43.05</v>
      </c>
      <c r="BW5" t="s">
        <v>247</v>
      </c>
      <c r="BX5"/>
      <c r="BY5"/>
      <c r="BZ5"/>
      <c r="CA5"/>
    </row>
    <row r="6" spans="1:79" x14ac:dyDescent="0.35">
      <c r="A6" t="s">
        <v>24</v>
      </c>
      <c r="D6" t="s">
        <v>336</v>
      </c>
      <c r="E6">
        <v>2002</v>
      </c>
      <c r="F6">
        <v>1</v>
      </c>
      <c r="G6">
        <v>5</v>
      </c>
      <c r="H6">
        <v>1</v>
      </c>
      <c r="I6"/>
      <c r="J6"/>
      <c r="K6">
        <v>5</v>
      </c>
      <c r="L6"/>
      <c r="M6">
        <v>0.90844999999999998</v>
      </c>
      <c r="N6">
        <v>2.3905745917172094E-2</v>
      </c>
      <c r="O6">
        <v>2.491065894502964E-2</v>
      </c>
      <c r="P6">
        <v>6.1609198496495376E-2</v>
      </c>
      <c r="Q6">
        <v>0.18363977997947356</v>
      </c>
      <c r="R6">
        <v>0.97609425408282791</v>
      </c>
      <c r="S6">
        <v>0.97508934105497036</v>
      </c>
      <c r="T6">
        <v>0.93839080150350462</v>
      </c>
      <c r="U6">
        <v>0.81636022002052644</v>
      </c>
      <c r="V6"/>
      <c r="W6"/>
      <c r="X6"/>
      <c r="Y6"/>
      <c r="Z6"/>
      <c r="AA6"/>
      <c r="AB6"/>
      <c r="AC6"/>
      <c r="AD6"/>
      <c r="AE6"/>
      <c r="AF6"/>
      <c r="AG6"/>
      <c r="AH6"/>
      <c r="AI6"/>
      <c r="AJ6"/>
      <c r="AK6"/>
      <c r="AL6"/>
      <c r="AM6"/>
      <c r="AN6"/>
      <c r="AO6"/>
      <c r="AP6">
        <v>84</v>
      </c>
      <c r="AQ6">
        <v>0.5</v>
      </c>
      <c r="AR6">
        <v>2655.9999999999995</v>
      </c>
      <c r="AS6">
        <f t="shared" si="0"/>
        <v>5311.9999999999991</v>
      </c>
      <c r="AT6">
        <v>309.14</v>
      </c>
      <c r="AU6">
        <v>36</v>
      </c>
      <c r="AV6">
        <f t="shared" si="1"/>
        <v>8.5872222222222216</v>
      </c>
      <c r="AW6">
        <f t="shared" si="2"/>
        <v>257.61666666666667</v>
      </c>
      <c r="AX6"/>
      <c r="AY6">
        <v>20</v>
      </c>
      <c r="AZ6">
        <v>10.23</v>
      </c>
      <c r="BA6">
        <v>6.39</v>
      </c>
      <c r="BB6">
        <v>27.08</v>
      </c>
      <c r="BC6">
        <v>9.52</v>
      </c>
      <c r="BD6"/>
      <c r="BE6">
        <f t="shared" si="3"/>
        <v>1</v>
      </c>
      <c r="BF6">
        <f t="shared" si="4"/>
        <v>53.22</v>
      </c>
      <c r="BG6">
        <f t="shared" si="5"/>
        <v>2.661</v>
      </c>
      <c r="BH6">
        <f t="shared" si="6"/>
        <v>0.30987901921459537</v>
      </c>
      <c r="BI6">
        <f t="shared" si="7"/>
        <v>823.03867503396521</v>
      </c>
      <c r="BJ6" s="1">
        <f t="shared" si="8"/>
        <v>1646.0773500679304</v>
      </c>
      <c r="BK6">
        <f t="shared" si="9"/>
        <v>0.19222096956031567</v>
      </c>
      <c r="BL6">
        <f t="shared" si="10"/>
        <v>0.12006764374295377</v>
      </c>
      <c r="BM6">
        <f t="shared" si="11"/>
        <v>0.50883126644118748</v>
      </c>
      <c r="BN6">
        <f t="shared" si="12"/>
        <v>0.17888012025554303</v>
      </c>
      <c r="BO6">
        <f t="shared" si="13"/>
        <v>316.41058420133277</v>
      </c>
      <c r="BP6">
        <f t="shared" si="14"/>
        <v>197.64062884130166</v>
      </c>
      <c r="BQ6">
        <f t="shared" si="15"/>
        <v>837.57562269521895</v>
      </c>
      <c r="BR6">
        <f t="shared" si="16"/>
        <v>294.450514330077</v>
      </c>
      <c r="BS6">
        <v>3.7249999999999996</v>
      </c>
      <c r="BT6">
        <v>16.150000000000002</v>
      </c>
      <c r="BU6">
        <v>31.874999999999996</v>
      </c>
      <c r="BV6">
        <v>51.875</v>
      </c>
      <c r="BW6"/>
      <c r="BX6"/>
      <c r="BY6"/>
      <c r="BZ6"/>
      <c r="CA6"/>
    </row>
    <row r="7" spans="1:79" x14ac:dyDescent="0.35">
      <c r="A7" t="s">
        <v>24</v>
      </c>
      <c r="D7" t="s">
        <v>32</v>
      </c>
      <c r="E7">
        <v>2018</v>
      </c>
      <c r="F7">
        <v>1</v>
      </c>
      <c r="G7">
        <v>6</v>
      </c>
      <c r="H7">
        <v>1</v>
      </c>
      <c r="I7"/>
      <c r="J7"/>
      <c r="K7">
        <v>6</v>
      </c>
      <c r="L7"/>
      <c r="M7">
        <v>0.84199999999999997</v>
      </c>
      <c r="N7">
        <v>5.2841468142634684E-2</v>
      </c>
      <c r="O7">
        <v>6.2532504572686776E-2</v>
      </c>
      <c r="P7">
        <v>0.12659675589573349</v>
      </c>
      <c r="Q7">
        <v>0.22918730140234955</v>
      </c>
      <c r="R7">
        <v>0.94715853185736532</v>
      </c>
      <c r="S7">
        <v>0.93746749542731322</v>
      </c>
      <c r="T7">
        <v>0.87340324410426651</v>
      </c>
      <c r="U7">
        <v>0.77081269859765045</v>
      </c>
      <c r="V7"/>
      <c r="W7"/>
      <c r="X7"/>
      <c r="Y7"/>
      <c r="Z7"/>
      <c r="AA7"/>
      <c r="AB7"/>
      <c r="AC7"/>
      <c r="AD7"/>
      <c r="AE7"/>
      <c r="AF7"/>
      <c r="AG7"/>
      <c r="AH7"/>
      <c r="AI7"/>
      <c r="AJ7"/>
      <c r="AK7"/>
      <c r="AL7"/>
      <c r="AM7"/>
      <c r="AN7"/>
      <c r="AO7"/>
      <c r="AP7">
        <v>78</v>
      </c>
      <c r="AQ7">
        <v>0.5</v>
      </c>
      <c r="AR7">
        <v>2078.9999999999995</v>
      </c>
      <c r="AS7">
        <f t="shared" si="0"/>
        <v>4157.9999999999991</v>
      </c>
      <c r="AT7">
        <v>193.3</v>
      </c>
      <c r="AU7">
        <v>27</v>
      </c>
      <c r="AV7">
        <f t="shared" si="1"/>
        <v>7.1592592592592599</v>
      </c>
      <c r="AW7">
        <f t="shared" si="2"/>
        <v>214.7777777777778</v>
      </c>
      <c r="AX7"/>
      <c r="AY7">
        <v>20</v>
      </c>
      <c r="AZ7">
        <v>8.84</v>
      </c>
      <c r="BA7"/>
      <c r="BB7">
        <v>23.62</v>
      </c>
      <c r="BC7">
        <v>9.2799999999999994</v>
      </c>
      <c r="BD7"/>
      <c r="BE7">
        <f t="shared" si="3"/>
        <v>1</v>
      </c>
      <c r="BF7">
        <f t="shared" si="4"/>
        <v>41.74</v>
      </c>
      <c r="BG7">
        <f t="shared" si="5"/>
        <v>2.0870000000000002</v>
      </c>
      <c r="BH7">
        <f t="shared" si="6"/>
        <v>0.29151060527677186</v>
      </c>
      <c r="BI7">
        <f t="shared" si="7"/>
        <v>606.05054837040859</v>
      </c>
      <c r="BJ7" s="1">
        <f t="shared" si="8"/>
        <v>1212.1010967408172</v>
      </c>
      <c r="BK7">
        <f t="shared" si="9"/>
        <v>0.21178725443219931</v>
      </c>
      <c r="BL7"/>
      <c r="BM7">
        <f t="shared" si="11"/>
        <v>0.56588404408241499</v>
      </c>
      <c r="BN7">
        <f t="shared" si="12"/>
        <v>0.22232870148538569</v>
      </c>
      <c r="BO7">
        <f t="shared" si="13"/>
        <v>256.70756337299531</v>
      </c>
      <c r="BP7"/>
      <c r="BQ7">
        <f t="shared" si="15"/>
        <v>685.9086704604241</v>
      </c>
      <c r="BR7">
        <f t="shared" si="16"/>
        <v>269.48486290739777</v>
      </c>
      <c r="BS7">
        <v>3.4249999999999998</v>
      </c>
      <c r="BT7">
        <v>21.05</v>
      </c>
      <c r="BU7">
        <v>34.9</v>
      </c>
      <c r="BV7">
        <v>43.875</v>
      </c>
      <c r="BW7"/>
      <c r="BX7"/>
      <c r="BY7"/>
      <c r="BZ7"/>
      <c r="CA7"/>
    </row>
    <row r="8" spans="1:79" x14ac:dyDescent="0.35">
      <c r="A8" t="s">
        <v>24</v>
      </c>
      <c r="D8" t="s">
        <v>28</v>
      </c>
      <c r="E8">
        <v>1998</v>
      </c>
      <c r="F8">
        <v>1</v>
      </c>
      <c r="G8">
        <v>7</v>
      </c>
      <c r="H8">
        <v>1</v>
      </c>
      <c r="I8"/>
      <c r="J8"/>
      <c r="K8">
        <v>7</v>
      </c>
      <c r="L8"/>
      <c r="M8">
        <v>0.86511000000000005</v>
      </c>
      <c r="N8">
        <v>2.6363457207209118E-2</v>
      </c>
      <c r="O8">
        <v>3.4189138374630335E-2</v>
      </c>
      <c r="P8">
        <v>7.8866198455474823E-2</v>
      </c>
      <c r="Q8">
        <v>0.28268920583148305</v>
      </c>
      <c r="R8">
        <v>0.97363654279279088</v>
      </c>
      <c r="S8">
        <v>0.96581086162536967</v>
      </c>
      <c r="T8">
        <v>0.92113380154452518</v>
      </c>
      <c r="U8">
        <v>0.71731079416851695</v>
      </c>
      <c r="V8"/>
      <c r="W8"/>
      <c r="X8"/>
      <c r="Y8"/>
      <c r="Z8"/>
      <c r="AA8"/>
      <c r="AB8"/>
      <c r="AC8"/>
      <c r="AD8"/>
      <c r="AE8"/>
      <c r="AF8"/>
      <c r="AG8"/>
      <c r="AH8"/>
      <c r="AI8"/>
      <c r="AJ8"/>
      <c r="AK8"/>
      <c r="AL8"/>
      <c r="AM8"/>
      <c r="AN8"/>
      <c r="AO8"/>
      <c r="AP8">
        <v>83</v>
      </c>
      <c r="AQ8">
        <v>0.5</v>
      </c>
      <c r="AR8">
        <v>2498</v>
      </c>
      <c r="AS8">
        <f t="shared" si="0"/>
        <v>4996</v>
      </c>
      <c r="AT8">
        <v>149.99</v>
      </c>
      <c r="AU8">
        <v>20</v>
      </c>
      <c r="AV8">
        <f t="shared" si="1"/>
        <v>7.4995000000000003</v>
      </c>
      <c r="AW8">
        <f t="shared" si="2"/>
        <v>224.98500000000001</v>
      </c>
      <c r="AX8"/>
      <c r="AY8">
        <v>20</v>
      </c>
      <c r="AZ8">
        <v>7.51</v>
      </c>
      <c r="BA8">
        <v>4.08</v>
      </c>
      <c r="BB8">
        <v>22.67</v>
      </c>
      <c r="BC8">
        <v>7.86</v>
      </c>
      <c r="BD8"/>
      <c r="BE8">
        <f t="shared" si="3"/>
        <v>0.99999999999999989</v>
      </c>
      <c r="BF8">
        <f t="shared" si="4"/>
        <v>42.120000000000005</v>
      </c>
      <c r="BG8">
        <f t="shared" si="5"/>
        <v>2.1060000000000003</v>
      </c>
      <c r="BH8">
        <f t="shared" si="6"/>
        <v>0.28081872124808321</v>
      </c>
      <c r="BI8">
        <f t="shared" si="7"/>
        <v>701.48516567771185</v>
      </c>
      <c r="BJ8" s="1">
        <f t="shared" si="8"/>
        <v>1402.9703313554237</v>
      </c>
      <c r="BK8">
        <f t="shared" si="9"/>
        <v>0.17830009496676161</v>
      </c>
      <c r="BL8">
        <f t="shared" si="10"/>
        <v>9.686609686609686E-2</v>
      </c>
      <c r="BM8">
        <f t="shared" si="11"/>
        <v>0.53822412155745492</v>
      </c>
      <c r="BN8">
        <f t="shared" si="12"/>
        <v>0.1866096866096866</v>
      </c>
      <c r="BO8">
        <f t="shared" si="13"/>
        <v>250.14974331622105</v>
      </c>
      <c r="BP8">
        <f t="shared" si="14"/>
        <v>135.90026001733449</v>
      </c>
      <c r="BQ8">
        <f t="shared" si="15"/>
        <v>755.11247416494439</v>
      </c>
      <c r="BR8">
        <f t="shared" si="16"/>
        <v>261.80785385692377</v>
      </c>
      <c r="BS8">
        <v>4.3250000000000002</v>
      </c>
      <c r="BT8">
        <v>8.8000000000000007</v>
      </c>
      <c r="BU8">
        <v>38</v>
      </c>
      <c r="BV8">
        <v>41.924999999999997</v>
      </c>
      <c r="BW8"/>
      <c r="BX8"/>
      <c r="BY8"/>
      <c r="BZ8"/>
      <c r="CA8"/>
    </row>
    <row r="9" spans="1:79" x14ac:dyDescent="0.35">
      <c r="A9" t="s">
        <v>24</v>
      </c>
      <c r="D9" t="s">
        <v>337</v>
      </c>
      <c r="E9">
        <v>2016</v>
      </c>
      <c r="F9">
        <v>1</v>
      </c>
      <c r="G9">
        <v>8</v>
      </c>
      <c r="H9">
        <v>1</v>
      </c>
      <c r="I9"/>
      <c r="J9"/>
      <c r="K9">
        <v>8</v>
      </c>
      <c r="L9"/>
      <c r="M9">
        <v>0.84199999999999997</v>
      </c>
      <c r="N9">
        <v>4.2354423345179804E-2</v>
      </c>
      <c r="O9">
        <v>3.9002663770481005E-2</v>
      </c>
      <c r="P9">
        <v>0.10266228411939049</v>
      </c>
      <c r="Q9">
        <v>0.30862365876328735</v>
      </c>
      <c r="R9">
        <v>0.9576455766548202</v>
      </c>
      <c r="S9">
        <v>0.96099733622951899</v>
      </c>
      <c r="T9">
        <v>0.89733771588060951</v>
      </c>
      <c r="U9">
        <v>0.69137634123671265</v>
      </c>
      <c r="V9"/>
      <c r="W9"/>
      <c r="X9"/>
      <c r="Y9"/>
      <c r="Z9"/>
      <c r="AA9"/>
      <c r="AB9"/>
      <c r="AC9"/>
      <c r="AD9"/>
      <c r="AE9"/>
      <c r="AF9"/>
      <c r="AG9"/>
      <c r="AH9"/>
      <c r="AI9"/>
      <c r="AJ9"/>
      <c r="AK9"/>
      <c r="AL9"/>
      <c r="AM9"/>
      <c r="AN9"/>
      <c r="AO9"/>
      <c r="AP9">
        <v>85</v>
      </c>
      <c r="AQ9">
        <v>0.5</v>
      </c>
      <c r="AR9">
        <v>2203.9999999999995</v>
      </c>
      <c r="AS9">
        <f t="shared" si="0"/>
        <v>4407.9999999999991</v>
      </c>
      <c r="AT9">
        <v>312.61</v>
      </c>
      <c r="AU9">
        <v>33</v>
      </c>
      <c r="AV9">
        <f t="shared" si="1"/>
        <v>9.4730303030303027</v>
      </c>
      <c r="AW9">
        <f t="shared" si="2"/>
        <v>284.19090909090909</v>
      </c>
      <c r="AX9"/>
      <c r="AY9">
        <v>20</v>
      </c>
      <c r="AZ9">
        <v>8.91</v>
      </c>
      <c r="BA9">
        <v>5.69</v>
      </c>
      <c r="BB9">
        <v>32.299999999999997</v>
      </c>
      <c r="BC9">
        <v>10.83</v>
      </c>
      <c r="BD9"/>
      <c r="BE9">
        <f t="shared" si="3"/>
        <v>1</v>
      </c>
      <c r="BF9">
        <f t="shared" si="4"/>
        <v>57.73</v>
      </c>
      <c r="BG9">
        <f t="shared" si="5"/>
        <v>2.8864999999999998</v>
      </c>
      <c r="BH9">
        <f t="shared" si="6"/>
        <v>0.30470714308563385</v>
      </c>
      <c r="BI9">
        <f t="shared" si="7"/>
        <v>671.57454336073681</v>
      </c>
      <c r="BJ9" s="1">
        <f t="shared" si="8"/>
        <v>1343.1490867214736</v>
      </c>
      <c r="BK9">
        <f t="shared" si="9"/>
        <v>0.15433916507881518</v>
      </c>
      <c r="BL9">
        <f t="shared" si="10"/>
        <v>9.85622726485363E-2</v>
      </c>
      <c r="BM9">
        <f t="shared" si="11"/>
        <v>0.55950112593105839</v>
      </c>
      <c r="BN9">
        <f t="shared" si="12"/>
        <v>0.18759743634159018</v>
      </c>
      <c r="BO9">
        <f t="shared" si="13"/>
        <v>207.30050862096536</v>
      </c>
      <c r="BP9">
        <f t="shared" si="14"/>
        <v>132.38382649307442</v>
      </c>
      <c r="BQ9">
        <f t="shared" si="15"/>
        <v>751.49342631393722</v>
      </c>
      <c r="BR9">
        <f t="shared" si="16"/>
        <v>251.97132529349665</v>
      </c>
      <c r="BS9">
        <v>6.875</v>
      </c>
      <c r="BT9">
        <v>27.925000000000001</v>
      </c>
      <c r="BU9">
        <v>16.850000000000001</v>
      </c>
      <c r="BV9">
        <v>45.274999999999999</v>
      </c>
      <c r="BW9"/>
      <c r="BX9"/>
      <c r="BY9"/>
      <c r="BZ9"/>
      <c r="CA9"/>
    </row>
    <row r="10" spans="1:79" x14ac:dyDescent="0.35">
      <c r="A10" t="s">
        <v>34</v>
      </c>
      <c r="D10" t="s">
        <v>42</v>
      </c>
      <c r="E10">
        <v>2016</v>
      </c>
      <c r="F10">
        <v>1</v>
      </c>
      <c r="G10">
        <v>1</v>
      </c>
      <c r="H10">
        <v>2</v>
      </c>
      <c r="I10"/>
      <c r="J10"/>
      <c r="K10">
        <v>9</v>
      </c>
      <c r="L10"/>
      <c r="M10">
        <v>0.88837999999999995</v>
      </c>
      <c r="N10">
        <v>3.6879845152046675E-2</v>
      </c>
      <c r="O10">
        <v>4.14805484655969E-2</v>
      </c>
      <c r="P10">
        <v>8.6613382716645759E-2</v>
      </c>
      <c r="Q10">
        <v>0.25017761568403785</v>
      </c>
      <c r="R10">
        <v>0.96312015484795332</v>
      </c>
      <c r="S10">
        <v>0.9585194515344031</v>
      </c>
      <c r="T10">
        <v>0.91338661728335424</v>
      </c>
      <c r="U10">
        <v>0.74982238431596215</v>
      </c>
      <c r="V10"/>
      <c r="W10"/>
      <c r="X10"/>
      <c r="Y10"/>
      <c r="Z10"/>
      <c r="AA10"/>
      <c r="AB10"/>
      <c r="AC10"/>
      <c r="AD10"/>
      <c r="AE10"/>
      <c r="AF10"/>
      <c r="AG10"/>
      <c r="AH10"/>
      <c r="AI10"/>
      <c r="AJ10"/>
      <c r="AK10"/>
      <c r="AL10"/>
      <c r="AM10"/>
      <c r="AN10"/>
      <c r="AO10"/>
      <c r="AP10">
        <v>84</v>
      </c>
      <c r="AQ10">
        <v>0.5</v>
      </c>
      <c r="AR10">
        <v>2439</v>
      </c>
      <c r="AS10">
        <f t="shared" si="0"/>
        <v>4878</v>
      </c>
      <c r="AT10">
        <v>277.26</v>
      </c>
      <c r="AU10">
        <v>37</v>
      </c>
      <c r="AV10">
        <f t="shared" si="1"/>
        <v>7.4935135135135136</v>
      </c>
      <c r="AW10">
        <f t="shared" si="2"/>
        <v>224.80540540540539</v>
      </c>
      <c r="AX10"/>
      <c r="AY10">
        <v>20</v>
      </c>
      <c r="AZ10">
        <v>7.03</v>
      </c>
      <c r="BA10">
        <v>2.54</v>
      </c>
      <c r="BB10">
        <v>24.95</v>
      </c>
      <c r="BC10">
        <v>7.85</v>
      </c>
      <c r="BD10"/>
      <c r="BE10">
        <f t="shared" si="3"/>
        <v>1</v>
      </c>
      <c r="BF10">
        <f t="shared" si="4"/>
        <v>42.37</v>
      </c>
      <c r="BG10">
        <f t="shared" si="5"/>
        <v>2.1185</v>
      </c>
      <c r="BH10">
        <f t="shared" si="6"/>
        <v>0.28271117362764192</v>
      </c>
      <c r="BI10">
        <f t="shared" si="7"/>
        <v>689.53255247781863</v>
      </c>
      <c r="BJ10" s="1">
        <f t="shared" si="8"/>
        <v>1379.0651049556373</v>
      </c>
      <c r="BK10">
        <f t="shared" si="9"/>
        <v>0.16591928251121077</v>
      </c>
      <c r="BL10">
        <f t="shared" si="10"/>
        <v>5.9948076469199911E-2</v>
      </c>
      <c r="BM10">
        <f t="shared" si="11"/>
        <v>0.58886004248288881</v>
      </c>
      <c r="BN10">
        <f t="shared" si="12"/>
        <v>0.1852725985367005</v>
      </c>
      <c r="BO10">
        <f t="shared" si="13"/>
        <v>228.81349275048692</v>
      </c>
      <c r="BP10">
        <f t="shared" si="14"/>
        <v>82.67230036788574</v>
      </c>
      <c r="BQ10">
        <f t="shared" si="15"/>
        <v>812.07633629084603</v>
      </c>
      <c r="BR10">
        <f t="shared" si="16"/>
        <v>255.50297554641853</v>
      </c>
      <c r="BS10">
        <v>4.2249999999999996</v>
      </c>
      <c r="BT10">
        <v>15.3</v>
      </c>
      <c r="BU10">
        <v>35.524999999999999</v>
      </c>
      <c r="BV10">
        <v>52.066666666666663</v>
      </c>
      <c r="BW10"/>
      <c r="BX10"/>
      <c r="BY10"/>
      <c r="BZ10"/>
      <c r="CA10"/>
    </row>
    <row r="11" spans="1:79" x14ac:dyDescent="0.35">
      <c r="A11" t="s">
        <v>34</v>
      </c>
      <c r="D11" t="s">
        <v>38</v>
      </c>
      <c r="E11">
        <v>1999</v>
      </c>
      <c r="F11">
        <v>1</v>
      </c>
      <c r="G11">
        <v>2</v>
      </c>
      <c r="H11">
        <v>2</v>
      </c>
      <c r="I11"/>
      <c r="J11"/>
      <c r="K11">
        <v>10</v>
      </c>
      <c r="L11"/>
      <c r="M11">
        <v>0.90549999999999997</v>
      </c>
      <c r="N11">
        <v>0.10701930445111618</v>
      </c>
      <c r="O11">
        <v>8.8405454920517101E-2</v>
      </c>
      <c r="P11">
        <v>0.11034304171598808</v>
      </c>
      <c r="Q11">
        <v>0.19316791577277403</v>
      </c>
      <c r="R11">
        <v>0.89298069554888382</v>
      </c>
      <c r="S11">
        <v>0.9115945450794829</v>
      </c>
      <c r="T11">
        <v>0.88965695828401192</v>
      </c>
      <c r="U11">
        <v>0.80683208422722597</v>
      </c>
      <c r="V11"/>
      <c r="W11"/>
      <c r="X11"/>
      <c r="Y11"/>
      <c r="Z11"/>
      <c r="AA11"/>
      <c r="AB11"/>
      <c r="AC11"/>
      <c r="AD11"/>
      <c r="AE11"/>
      <c r="AF11"/>
      <c r="AG11"/>
      <c r="AH11"/>
      <c r="AI11"/>
      <c r="AJ11"/>
      <c r="AK11"/>
      <c r="AL11"/>
      <c r="AM11"/>
      <c r="AN11"/>
      <c r="AO11"/>
      <c r="AP11">
        <v>87</v>
      </c>
      <c r="AQ11">
        <v>0.5</v>
      </c>
      <c r="AR11">
        <v>2126</v>
      </c>
      <c r="AS11">
        <f t="shared" si="0"/>
        <v>4252</v>
      </c>
      <c r="AT11">
        <v>261.12</v>
      </c>
      <c r="AU11">
        <v>36</v>
      </c>
      <c r="AV11">
        <f t="shared" si="1"/>
        <v>7.2533333333333339</v>
      </c>
      <c r="AW11">
        <f t="shared" si="2"/>
        <v>217.60000000000002</v>
      </c>
      <c r="AX11"/>
      <c r="AY11">
        <v>20</v>
      </c>
      <c r="AZ11">
        <v>7.82</v>
      </c>
      <c r="BA11">
        <v>3.21</v>
      </c>
      <c r="BB11">
        <v>19.95</v>
      </c>
      <c r="BC11">
        <v>6.5</v>
      </c>
      <c r="BD11"/>
      <c r="BE11">
        <f t="shared" si="3"/>
        <v>1</v>
      </c>
      <c r="BF11">
        <f t="shared" si="4"/>
        <v>37.480000000000004</v>
      </c>
      <c r="BG11">
        <f t="shared" si="5"/>
        <v>1.8740000000000001</v>
      </c>
      <c r="BH11">
        <f t="shared" si="6"/>
        <v>0.25836397058823529</v>
      </c>
      <c r="BI11">
        <f t="shared" si="7"/>
        <v>549.28180147058822</v>
      </c>
      <c r="BJ11" s="1">
        <f t="shared" si="8"/>
        <v>1098.5636029411764</v>
      </c>
      <c r="BK11">
        <f t="shared" si="9"/>
        <v>0.20864461045891142</v>
      </c>
      <c r="BL11">
        <f t="shared" si="10"/>
        <v>8.5645677694770536E-2</v>
      </c>
      <c r="BM11">
        <f t="shared" si="11"/>
        <v>0.53228388473852717</v>
      </c>
      <c r="BN11">
        <f t="shared" si="12"/>
        <v>0.17342582710779081</v>
      </c>
      <c r="BO11">
        <f t="shared" si="13"/>
        <v>229.20937499999999</v>
      </c>
      <c r="BP11">
        <f t="shared" si="14"/>
        <v>94.087224264705867</v>
      </c>
      <c r="BQ11">
        <f t="shared" si="15"/>
        <v>584.74770220588232</v>
      </c>
      <c r="BR11">
        <f t="shared" si="16"/>
        <v>190.5193014705882</v>
      </c>
      <c r="BS11">
        <v>4.3499999999999996</v>
      </c>
      <c r="BT11">
        <v>4.3250000000000002</v>
      </c>
      <c r="BU11">
        <v>33.125</v>
      </c>
      <c r="BV11">
        <v>44.724999999999994</v>
      </c>
      <c r="BW11"/>
      <c r="BX11"/>
      <c r="BY11"/>
      <c r="BZ11"/>
      <c r="CA11"/>
    </row>
    <row r="12" spans="1:79" x14ac:dyDescent="0.35">
      <c r="A12" t="s">
        <v>34</v>
      </c>
      <c r="D12" t="s">
        <v>43</v>
      </c>
      <c r="E12">
        <v>2020</v>
      </c>
      <c r="F12">
        <v>1</v>
      </c>
      <c r="G12">
        <v>3</v>
      </c>
      <c r="H12">
        <v>2</v>
      </c>
      <c r="I12"/>
      <c r="J12"/>
      <c r="K12">
        <v>11</v>
      </c>
      <c r="L12"/>
      <c r="M12">
        <v>0.92108999999999996</v>
      </c>
      <c r="N12">
        <v>3.8599767726191003E-2</v>
      </c>
      <c r="O12">
        <v>6.2779429962875666E-2</v>
      </c>
      <c r="P12">
        <v>0.11092389452804641</v>
      </c>
      <c r="Q12">
        <v>0.3145409209026826</v>
      </c>
      <c r="R12">
        <v>0.961400232273809</v>
      </c>
      <c r="S12">
        <v>0.93722057003712433</v>
      </c>
      <c r="T12">
        <v>0.88907610547195359</v>
      </c>
      <c r="U12">
        <v>0.6854590790973174</v>
      </c>
      <c r="V12"/>
      <c r="W12"/>
      <c r="X12"/>
      <c r="Y12"/>
      <c r="Z12"/>
      <c r="AA12"/>
      <c r="AB12"/>
      <c r="AC12"/>
      <c r="AD12"/>
      <c r="AE12"/>
      <c r="AF12"/>
      <c r="AG12"/>
      <c r="AH12"/>
      <c r="AI12"/>
      <c r="AJ12"/>
      <c r="AK12"/>
      <c r="AL12"/>
      <c r="AM12"/>
      <c r="AN12"/>
      <c r="AO12"/>
      <c r="AP12">
        <v>83</v>
      </c>
      <c r="AQ12">
        <v>0.5</v>
      </c>
      <c r="AR12">
        <v>2358.5</v>
      </c>
      <c r="AS12">
        <f t="shared" si="0"/>
        <v>4717</v>
      </c>
      <c r="AT12">
        <v>275.60000000000002</v>
      </c>
      <c r="AU12">
        <v>33</v>
      </c>
      <c r="AV12">
        <f t="shared" si="1"/>
        <v>8.3515151515151516</v>
      </c>
      <c r="AW12">
        <f t="shared" si="2"/>
        <v>250.54545454545456</v>
      </c>
      <c r="AX12"/>
      <c r="AY12">
        <v>20</v>
      </c>
      <c r="AZ12">
        <v>12.22</v>
      </c>
      <c r="BA12">
        <v>2.64</v>
      </c>
      <c r="BB12">
        <v>31.61</v>
      </c>
      <c r="BC12">
        <v>9.6300000000000008</v>
      </c>
      <c r="BD12"/>
      <c r="BE12">
        <f t="shared" si="3"/>
        <v>1</v>
      </c>
      <c r="BF12">
        <f t="shared" si="4"/>
        <v>56.1</v>
      </c>
      <c r="BG12">
        <f t="shared" si="5"/>
        <v>2.8050000000000002</v>
      </c>
      <c r="BH12">
        <f t="shared" si="6"/>
        <v>0.33586719883889699</v>
      </c>
      <c r="BI12">
        <f t="shared" si="7"/>
        <v>792.14278846153854</v>
      </c>
      <c r="BJ12" s="1">
        <f t="shared" si="8"/>
        <v>1584.2855769230771</v>
      </c>
      <c r="BK12">
        <f t="shared" si="9"/>
        <v>0.21782531194295901</v>
      </c>
      <c r="BL12">
        <f t="shared" si="10"/>
        <v>4.7058823529411764E-2</v>
      </c>
      <c r="BM12">
        <f t="shared" si="11"/>
        <v>0.56345811051693406</v>
      </c>
      <c r="BN12">
        <f t="shared" si="12"/>
        <v>0.17165775401069519</v>
      </c>
      <c r="BO12">
        <f t="shared" si="13"/>
        <v>345.09750000000003</v>
      </c>
      <c r="BP12">
        <f t="shared" si="14"/>
        <v>74.554615384615389</v>
      </c>
      <c r="BQ12">
        <f t="shared" si="15"/>
        <v>892.67855769230778</v>
      </c>
      <c r="BR12">
        <f t="shared" si="16"/>
        <v>271.95490384615385</v>
      </c>
      <c r="BS12">
        <v>5.3250000000000002</v>
      </c>
      <c r="BT12">
        <v>18.675000000000001</v>
      </c>
      <c r="BU12">
        <v>38.75</v>
      </c>
      <c r="BV12">
        <v>54.424999999999997</v>
      </c>
      <c r="BW12"/>
      <c r="BX12"/>
      <c r="BY12"/>
      <c r="BZ12"/>
      <c r="CA12"/>
    </row>
    <row r="13" spans="1:79" x14ac:dyDescent="0.35">
      <c r="A13" t="s">
        <v>34</v>
      </c>
      <c r="D13" t="s">
        <v>41</v>
      </c>
      <c r="E13">
        <v>2008</v>
      </c>
      <c r="F13">
        <v>1</v>
      </c>
      <c r="G13">
        <v>4</v>
      </c>
      <c r="H13">
        <v>2</v>
      </c>
      <c r="I13"/>
      <c r="J13"/>
      <c r="K13">
        <v>12</v>
      </c>
      <c r="L13"/>
      <c r="M13">
        <v>0.88200000000000001</v>
      </c>
      <c r="N13">
        <v>2.6218676648768979E-2</v>
      </c>
      <c r="O13">
        <v>3.463380309084374E-2</v>
      </c>
      <c r="P13">
        <v>7.9694601215993255E-2</v>
      </c>
      <c r="Q13">
        <v>0.19305025736502501</v>
      </c>
      <c r="R13">
        <v>0.97378132335123102</v>
      </c>
      <c r="S13">
        <v>0.96536619690915626</v>
      </c>
      <c r="T13">
        <v>0.92030539878400675</v>
      </c>
      <c r="U13">
        <v>0.80694974263497499</v>
      </c>
      <c r="V13" s="62"/>
      <c r="W13"/>
      <c r="X13"/>
      <c r="Y13"/>
      <c r="Z13"/>
      <c r="AA13"/>
      <c r="AB13"/>
      <c r="AC13"/>
      <c r="AD13"/>
      <c r="AE13"/>
      <c r="AF13"/>
      <c r="AG13"/>
      <c r="AH13"/>
      <c r="AI13"/>
      <c r="AJ13"/>
      <c r="AK13"/>
      <c r="AL13"/>
      <c r="AM13"/>
      <c r="AN13"/>
      <c r="AO13"/>
      <c r="AP13">
        <v>82</v>
      </c>
      <c r="AQ13">
        <v>0.5</v>
      </c>
      <c r="AR13">
        <v>2634</v>
      </c>
      <c r="AS13">
        <f t="shared" si="0"/>
        <v>5268</v>
      </c>
      <c r="AT13">
        <v>308.5</v>
      </c>
      <c r="AU13">
        <v>43</v>
      </c>
      <c r="AV13">
        <f t="shared" si="1"/>
        <v>7.1744186046511631</v>
      </c>
      <c r="AW13">
        <f t="shared" si="2"/>
        <v>215.23255813953489</v>
      </c>
      <c r="AX13"/>
      <c r="AY13">
        <v>20</v>
      </c>
      <c r="AZ13">
        <v>6.67</v>
      </c>
      <c r="BA13">
        <v>2.62</v>
      </c>
      <c r="BB13">
        <v>20.61</v>
      </c>
      <c r="BC13">
        <v>6.96</v>
      </c>
      <c r="BD13"/>
      <c r="BE13">
        <f t="shared" si="3"/>
        <v>1</v>
      </c>
      <c r="BF13">
        <f t="shared" si="4"/>
        <v>36.86</v>
      </c>
      <c r="BG13">
        <f t="shared" si="5"/>
        <v>1.843</v>
      </c>
      <c r="BH13">
        <f t="shared" si="6"/>
        <v>0.25688492706645055</v>
      </c>
      <c r="BI13">
        <f t="shared" si="7"/>
        <v>676.63489789303071</v>
      </c>
      <c r="BJ13" s="1">
        <f t="shared" si="8"/>
        <v>1353.2697957860614</v>
      </c>
      <c r="BK13">
        <f t="shared" si="9"/>
        <v>0.18095496473141617</v>
      </c>
      <c r="BL13">
        <f t="shared" si="10"/>
        <v>7.1079761258817153E-2</v>
      </c>
      <c r="BM13">
        <f t="shared" si="11"/>
        <v>0.55914270211611505</v>
      </c>
      <c r="BN13">
        <f t="shared" si="12"/>
        <v>0.18882257189365165</v>
      </c>
      <c r="BO13">
        <f t="shared" si="13"/>
        <v>244.8808881685575</v>
      </c>
      <c r="BP13">
        <f t="shared" si="14"/>
        <v>96.190094003241484</v>
      </c>
      <c r="BQ13">
        <f t="shared" si="15"/>
        <v>756.6709303079416</v>
      </c>
      <c r="BR13">
        <f t="shared" si="16"/>
        <v>255.52788330632086</v>
      </c>
      <c r="BS13">
        <v>6.5</v>
      </c>
      <c r="BT13">
        <v>5.8999999999999995</v>
      </c>
      <c r="BU13">
        <v>44.400000000000006</v>
      </c>
      <c r="BV13">
        <v>48.349999999999994</v>
      </c>
      <c r="BW13"/>
      <c r="BX13"/>
      <c r="BY13"/>
      <c r="BZ13"/>
      <c r="CA13"/>
    </row>
    <row r="14" spans="1:79" x14ac:dyDescent="0.35">
      <c r="A14" t="s">
        <v>34</v>
      </c>
      <c r="D14" t="s">
        <v>37</v>
      </c>
      <c r="E14">
        <v>1989</v>
      </c>
      <c r="F14">
        <v>1</v>
      </c>
      <c r="G14">
        <v>5</v>
      </c>
      <c r="H14">
        <v>2</v>
      </c>
      <c r="I14"/>
      <c r="J14"/>
      <c r="K14">
        <v>13</v>
      </c>
      <c r="L14"/>
      <c r="M14">
        <v>0.90973000000000004</v>
      </c>
      <c r="N14">
        <v>2.8691548776814346E-2</v>
      </c>
      <c r="O14">
        <v>4.329139176284369E-2</v>
      </c>
      <c r="P14">
        <v>5.2462518424173377E-2</v>
      </c>
      <c r="Q14">
        <v>0.19843756808213464</v>
      </c>
      <c r="R14">
        <v>0.97130845122318565</v>
      </c>
      <c r="S14">
        <v>0.95670860823715631</v>
      </c>
      <c r="T14">
        <v>0.94753748157582662</v>
      </c>
      <c r="U14">
        <v>0.80156243191786536</v>
      </c>
      <c r="V14" s="62"/>
      <c r="W14"/>
      <c r="X14"/>
      <c r="Y14"/>
      <c r="Z14"/>
      <c r="AA14"/>
      <c r="AB14"/>
      <c r="AC14"/>
      <c r="AD14"/>
      <c r="AE14"/>
      <c r="AF14"/>
      <c r="AG14"/>
      <c r="AH14"/>
      <c r="AI14"/>
      <c r="AJ14"/>
      <c r="AK14"/>
      <c r="AL14"/>
      <c r="AM14"/>
      <c r="AN14"/>
      <c r="AO14"/>
      <c r="AP14">
        <v>84</v>
      </c>
      <c r="AQ14">
        <v>0.5</v>
      </c>
      <c r="AR14">
        <v>2169</v>
      </c>
      <c r="AS14">
        <f t="shared" si="0"/>
        <v>4338</v>
      </c>
      <c r="AT14">
        <v>203.3</v>
      </c>
      <c r="AU14">
        <v>27</v>
      </c>
      <c r="AV14">
        <f t="shared" si="1"/>
        <v>7.5296296296296301</v>
      </c>
      <c r="AW14">
        <f t="shared" si="2"/>
        <v>225.88888888888891</v>
      </c>
      <c r="AX14"/>
      <c r="AY14">
        <v>20</v>
      </c>
      <c r="AZ14">
        <v>7.44</v>
      </c>
      <c r="BA14">
        <v>4.8499999999999996</v>
      </c>
      <c r="BB14">
        <v>24.63</v>
      </c>
      <c r="BC14">
        <v>8.7899999999999991</v>
      </c>
      <c r="BD14"/>
      <c r="BE14">
        <f t="shared" si="3"/>
        <v>0.99999999999999989</v>
      </c>
      <c r="BF14">
        <f t="shared" si="4"/>
        <v>45.71</v>
      </c>
      <c r="BG14">
        <f t="shared" si="5"/>
        <v>2.2854999999999999</v>
      </c>
      <c r="BH14">
        <f t="shared" si="6"/>
        <v>0.30353418593212</v>
      </c>
      <c r="BI14">
        <f t="shared" si="7"/>
        <v>658.3656492867683</v>
      </c>
      <c r="BJ14" s="1">
        <f t="shared" si="8"/>
        <v>1316.7312985735366</v>
      </c>
      <c r="BK14">
        <f t="shared" si="9"/>
        <v>0.16276525924305404</v>
      </c>
      <c r="BL14">
        <f t="shared" si="10"/>
        <v>0.10610369722161452</v>
      </c>
      <c r="BM14">
        <f t="shared" si="11"/>
        <v>0.53883176547801348</v>
      </c>
      <c r="BN14">
        <f t="shared" si="12"/>
        <v>0.19229927805731786</v>
      </c>
      <c r="BO14">
        <f t="shared" si="13"/>
        <v>214.31811116576489</v>
      </c>
      <c r="BP14">
        <f t="shared" si="14"/>
        <v>139.71005902606984</v>
      </c>
      <c r="BQ14">
        <f t="shared" si="15"/>
        <v>709.49665027053607</v>
      </c>
      <c r="BR14">
        <f t="shared" si="16"/>
        <v>253.20647811116575</v>
      </c>
      <c r="BS14">
        <v>7.7749999999999995</v>
      </c>
      <c r="BT14">
        <v>13.175000000000001</v>
      </c>
      <c r="BU14">
        <v>45.125</v>
      </c>
      <c r="BV14">
        <v>50.775000000000006</v>
      </c>
      <c r="BW14"/>
      <c r="BX14"/>
      <c r="BY14"/>
      <c r="BZ14"/>
      <c r="CA14"/>
    </row>
    <row r="15" spans="1:79" x14ac:dyDescent="0.35">
      <c r="A15" t="s">
        <v>34</v>
      </c>
      <c r="D15" t="s">
        <v>343</v>
      </c>
      <c r="E15">
        <v>2004</v>
      </c>
      <c r="F15">
        <v>1</v>
      </c>
      <c r="G15">
        <v>6</v>
      </c>
      <c r="H15">
        <v>2</v>
      </c>
      <c r="I15"/>
      <c r="J15"/>
      <c r="K15">
        <v>14</v>
      </c>
      <c r="L15"/>
      <c r="M15">
        <v>0.91439999999999999</v>
      </c>
      <c r="N15">
        <v>1.4357967637669611E-2</v>
      </c>
      <c r="O15">
        <v>2.5052757084410571E-2</v>
      </c>
      <c r="P15">
        <v>3.4686632316585642E-2</v>
      </c>
      <c r="Q15">
        <v>0.13455138287135238</v>
      </c>
      <c r="R15">
        <v>0.98564203236233039</v>
      </c>
      <c r="S15">
        <v>0.97494724291558943</v>
      </c>
      <c r="T15">
        <v>0.96531336768341436</v>
      </c>
      <c r="U15">
        <v>0.86544861712864762</v>
      </c>
      <c r="V15" s="62"/>
      <c r="W15"/>
      <c r="X15"/>
      <c r="Y15"/>
      <c r="Z15"/>
      <c r="AA15"/>
      <c r="AB15"/>
      <c r="AC15"/>
      <c r="AD15"/>
      <c r="AE15"/>
      <c r="AF15"/>
      <c r="AG15"/>
      <c r="AH15"/>
      <c r="AI15"/>
      <c r="AJ15"/>
      <c r="AK15"/>
      <c r="AL15"/>
      <c r="AM15"/>
      <c r="AN15"/>
      <c r="AO15"/>
      <c r="AP15">
        <v>93</v>
      </c>
      <c r="AQ15">
        <v>0.5</v>
      </c>
      <c r="AR15">
        <v>1903</v>
      </c>
      <c r="AS15">
        <f t="shared" si="0"/>
        <v>3806</v>
      </c>
      <c r="AT15">
        <v>282.3</v>
      </c>
      <c r="AU15">
        <v>43</v>
      </c>
      <c r="AV15">
        <f t="shared" si="1"/>
        <v>6.5651162790697679</v>
      </c>
      <c r="AW15">
        <f t="shared" si="2"/>
        <v>196.95348837209303</v>
      </c>
      <c r="AX15"/>
      <c r="AY15">
        <v>20</v>
      </c>
      <c r="AZ15">
        <v>7.88</v>
      </c>
      <c r="BA15">
        <v>2.69</v>
      </c>
      <c r="BB15">
        <v>28.21</v>
      </c>
      <c r="BC15">
        <v>7.83</v>
      </c>
      <c r="BD15"/>
      <c r="BE15">
        <f t="shared" si="3"/>
        <v>1</v>
      </c>
      <c r="BF15">
        <f t="shared" si="4"/>
        <v>46.61</v>
      </c>
      <c r="BG15">
        <f t="shared" si="5"/>
        <v>2.3304999999999998</v>
      </c>
      <c r="BH15">
        <f t="shared" si="6"/>
        <v>0.35498228834573142</v>
      </c>
      <c r="BI15">
        <f t="shared" si="7"/>
        <v>675.53129472192688</v>
      </c>
      <c r="BJ15" s="1">
        <f t="shared" si="8"/>
        <v>1351.0625894438538</v>
      </c>
      <c r="BK15">
        <f t="shared" si="9"/>
        <v>0.16906243295430165</v>
      </c>
      <c r="BL15">
        <f t="shared" si="10"/>
        <v>5.7712937137953231E-2</v>
      </c>
      <c r="BM15">
        <f t="shared" si="11"/>
        <v>0.60523492812701141</v>
      </c>
      <c r="BN15">
        <f t="shared" si="12"/>
        <v>0.16798970178073375</v>
      </c>
      <c r="BO15">
        <f t="shared" si="13"/>
        <v>228.41392844491671</v>
      </c>
      <c r="BP15">
        <f t="shared" si="14"/>
        <v>77.97379029401344</v>
      </c>
      <c r="BQ15">
        <f t="shared" si="15"/>
        <v>817.71026921714474</v>
      </c>
      <c r="BR15">
        <f t="shared" si="16"/>
        <v>226.96460148777891</v>
      </c>
      <c r="BS15">
        <v>8.4250000000000007</v>
      </c>
      <c r="BT15">
        <v>18.625</v>
      </c>
      <c r="BU15">
        <v>44.199999999999996</v>
      </c>
      <c r="BV15">
        <v>49.775000000000006</v>
      </c>
      <c r="BW15"/>
      <c r="BX15"/>
      <c r="BY15"/>
      <c r="BZ15"/>
      <c r="CA15"/>
    </row>
    <row r="16" spans="1:79" x14ac:dyDescent="0.35">
      <c r="A16" t="s">
        <v>34</v>
      </c>
      <c r="D16" t="s">
        <v>36</v>
      </c>
      <c r="E16">
        <v>1984</v>
      </c>
      <c r="F16">
        <v>1</v>
      </c>
      <c r="G16">
        <v>7</v>
      </c>
      <c r="H16">
        <v>2</v>
      </c>
      <c r="I16"/>
      <c r="J16"/>
      <c r="K16">
        <v>15</v>
      </c>
      <c r="L16"/>
      <c r="M16">
        <v>0.87890999999999997</v>
      </c>
      <c r="N16">
        <v>5.8590826207922553E-2</v>
      </c>
      <c r="O16">
        <v>6.2293476897535949E-2</v>
      </c>
      <c r="P16">
        <v>0.10691494134883317</v>
      </c>
      <c r="Q16">
        <v>0.2325807728350171</v>
      </c>
      <c r="R16">
        <v>0.94140917379207745</v>
      </c>
      <c r="S16">
        <v>0.93770652310246405</v>
      </c>
      <c r="T16">
        <v>0.89308505865116683</v>
      </c>
      <c r="U16">
        <v>0.7674192271649829</v>
      </c>
      <c r="V16" s="62"/>
      <c r="W16"/>
      <c r="X16"/>
      <c r="Y16"/>
      <c r="Z16"/>
      <c r="AA16"/>
      <c r="AB16"/>
      <c r="AC16"/>
      <c r="AD16"/>
      <c r="AE16"/>
      <c r="AF16"/>
      <c r="AG16"/>
      <c r="AH16"/>
      <c r="AI16"/>
      <c r="AJ16"/>
      <c r="AK16"/>
      <c r="AL16"/>
      <c r="AM16"/>
      <c r="AN16"/>
      <c r="AO16"/>
      <c r="AP16">
        <v>82</v>
      </c>
      <c r="AQ16">
        <v>0.5</v>
      </c>
      <c r="AR16">
        <v>2048</v>
      </c>
      <c r="AS16">
        <f t="shared" si="0"/>
        <v>4096</v>
      </c>
      <c r="AT16">
        <v>265.5</v>
      </c>
      <c r="AU16">
        <v>35</v>
      </c>
      <c r="AV16">
        <f t="shared" si="1"/>
        <v>7.5857142857142854</v>
      </c>
      <c r="AW16">
        <f t="shared" si="2"/>
        <v>227.57142857142856</v>
      </c>
      <c r="AX16"/>
      <c r="AY16">
        <v>20</v>
      </c>
      <c r="AZ16">
        <v>8.9600000000000009</v>
      </c>
      <c r="BA16">
        <v>3.43</v>
      </c>
      <c r="BB16">
        <v>24.94</v>
      </c>
      <c r="BC16">
        <v>7.85</v>
      </c>
      <c r="BD16"/>
      <c r="BE16">
        <f t="shared" si="3"/>
        <v>1</v>
      </c>
      <c r="BF16">
        <f t="shared" si="4"/>
        <v>45.18</v>
      </c>
      <c r="BG16">
        <f t="shared" si="5"/>
        <v>2.2589999999999999</v>
      </c>
      <c r="BH16">
        <f t="shared" si="6"/>
        <v>0.29779661016949155</v>
      </c>
      <c r="BI16">
        <f t="shared" si="7"/>
        <v>609.88745762711869</v>
      </c>
      <c r="BJ16" s="1">
        <f t="shared" si="8"/>
        <v>1219.7749152542374</v>
      </c>
      <c r="BK16">
        <f t="shared" si="9"/>
        <v>0.19831783975210271</v>
      </c>
      <c r="BL16">
        <f t="shared" si="10"/>
        <v>7.5918548030101812E-2</v>
      </c>
      <c r="BM16">
        <f t="shared" si="11"/>
        <v>0.55201416555998228</v>
      </c>
      <c r="BN16">
        <f t="shared" si="12"/>
        <v>0.17374944665781319</v>
      </c>
      <c r="BO16">
        <f t="shared" si="13"/>
        <v>241.90312617702452</v>
      </c>
      <c r="BP16">
        <f t="shared" si="14"/>
        <v>92.603540489642185</v>
      </c>
      <c r="BQ16">
        <f t="shared" si="15"/>
        <v>673.33303201506601</v>
      </c>
      <c r="BR16">
        <f t="shared" si="16"/>
        <v>211.93521657250471</v>
      </c>
      <c r="BS16">
        <v>7.4250000000000007</v>
      </c>
      <c r="BT16">
        <v>6.4250000000000007</v>
      </c>
      <c r="BU16">
        <v>36.9</v>
      </c>
      <c r="BV16">
        <v>47.174999999999997</v>
      </c>
      <c r="BW16"/>
      <c r="BX16"/>
      <c r="BY16"/>
      <c r="BZ16"/>
      <c r="CA16"/>
    </row>
    <row r="17" spans="1:79" x14ac:dyDescent="0.35">
      <c r="A17" t="s">
        <v>34</v>
      </c>
      <c r="D17" t="s">
        <v>39</v>
      </c>
      <c r="E17">
        <v>2001</v>
      </c>
      <c r="F17">
        <v>1</v>
      </c>
      <c r="G17">
        <v>8</v>
      </c>
      <c r="H17">
        <v>2</v>
      </c>
      <c r="I17"/>
      <c r="J17"/>
      <c r="K17">
        <v>16</v>
      </c>
      <c r="L17"/>
      <c r="M17">
        <v>0.85709999999999997</v>
      </c>
      <c r="N17">
        <v>5.164360693030845E-2</v>
      </c>
      <c r="O17">
        <v>6.7525214074289464E-2</v>
      </c>
      <c r="P17">
        <v>0.13570131100443961</v>
      </c>
      <c r="Q17">
        <v>0.29780055948028039</v>
      </c>
      <c r="R17">
        <v>0.94835639306969155</v>
      </c>
      <c r="S17">
        <v>0.93247478592571054</v>
      </c>
      <c r="T17">
        <v>0.86429868899556039</v>
      </c>
      <c r="U17">
        <v>0.70219944051971961</v>
      </c>
      <c r="V17" s="62"/>
      <c r="W17"/>
      <c r="X17"/>
      <c r="Y17"/>
      <c r="Z17"/>
      <c r="AA17"/>
      <c r="AB17"/>
      <c r="AC17"/>
      <c r="AD17"/>
      <c r="AE17"/>
      <c r="AF17"/>
      <c r="AG17"/>
      <c r="AH17"/>
      <c r="AI17"/>
      <c r="AJ17"/>
      <c r="AK17"/>
      <c r="AL17"/>
      <c r="AM17"/>
      <c r="AN17"/>
      <c r="AO17"/>
      <c r="AP17">
        <v>74</v>
      </c>
      <c r="AQ17">
        <v>0.5</v>
      </c>
      <c r="AR17">
        <v>2473</v>
      </c>
      <c r="AS17">
        <f t="shared" si="0"/>
        <v>4946</v>
      </c>
      <c r="AT17">
        <v>287.52</v>
      </c>
      <c r="AU17">
        <v>45</v>
      </c>
      <c r="AV17">
        <f t="shared" si="1"/>
        <v>6.3893333333333331</v>
      </c>
      <c r="AW17">
        <f t="shared" si="2"/>
        <v>191.68</v>
      </c>
      <c r="AX17"/>
      <c r="AY17">
        <v>20</v>
      </c>
      <c r="AZ17">
        <v>5.21</v>
      </c>
      <c r="BA17">
        <v>2.2400000000000002</v>
      </c>
      <c r="BB17">
        <v>16.47</v>
      </c>
      <c r="BC17">
        <v>5.68</v>
      </c>
      <c r="BD17"/>
      <c r="BE17">
        <f t="shared" si="3"/>
        <v>1</v>
      </c>
      <c r="BF17">
        <f t="shared" si="4"/>
        <v>29.599999999999998</v>
      </c>
      <c r="BG17">
        <f t="shared" si="5"/>
        <v>1.48</v>
      </c>
      <c r="BH17">
        <f t="shared" si="6"/>
        <v>0.23163606010016696</v>
      </c>
      <c r="BI17">
        <f t="shared" si="7"/>
        <v>572.83597662771285</v>
      </c>
      <c r="BJ17" s="1">
        <f t="shared" si="8"/>
        <v>1145.6719532554257</v>
      </c>
      <c r="BK17">
        <f t="shared" si="9"/>
        <v>0.17601351351351352</v>
      </c>
      <c r="BL17">
        <f t="shared" si="10"/>
        <v>7.5675675675675694E-2</v>
      </c>
      <c r="BM17">
        <f t="shared" si="11"/>
        <v>0.55641891891891893</v>
      </c>
      <c r="BN17">
        <f t="shared" si="12"/>
        <v>0.1918918918918919</v>
      </c>
      <c r="BO17">
        <f t="shared" si="13"/>
        <v>201.6537458263773</v>
      </c>
      <c r="BP17">
        <f t="shared" si="14"/>
        <v>86.699499165275483</v>
      </c>
      <c r="BQ17">
        <f t="shared" si="15"/>
        <v>637.47354966611022</v>
      </c>
      <c r="BR17">
        <f t="shared" si="16"/>
        <v>219.84515859766279</v>
      </c>
      <c r="BS17">
        <v>4.1000000000000005</v>
      </c>
      <c r="BT17">
        <v>24.175000000000001</v>
      </c>
      <c r="BU17">
        <v>39.200000000000003</v>
      </c>
      <c r="BV17">
        <v>44.625</v>
      </c>
      <c r="BW17"/>
      <c r="BX17"/>
      <c r="BY17"/>
      <c r="BZ17"/>
      <c r="CA17"/>
    </row>
    <row r="18" spans="1:79" x14ac:dyDescent="0.35">
      <c r="A18" t="s">
        <v>24</v>
      </c>
      <c r="D18" t="s">
        <v>335</v>
      </c>
      <c r="E18">
        <v>2023</v>
      </c>
      <c r="F18">
        <v>2</v>
      </c>
      <c r="G18">
        <v>1</v>
      </c>
      <c r="H18">
        <v>3</v>
      </c>
      <c r="I18"/>
      <c r="J18"/>
      <c r="K18">
        <v>17</v>
      </c>
      <c r="L18"/>
      <c r="M18">
        <v>0.90083000000000002</v>
      </c>
      <c r="N18">
        <v>2.2252061699961967E-2</v>
      </c>
      <c r="O18">
        <v>3.0311785399949054E-2</v>
      </c>
      <c r="P18">
        <v>8.1935995055061328E-2</v>
      </c>
      <c r="Q18">
        <v>0.24754916640852587</v>
      </c>
      <c r="R18">
        <v>0.97774793830003803</v>
      </c>
      <c r="S18">
        <v>0.96968821460005095</v>
      </c>
      <c r="T18">
        <v>0.91806400494493867</v>
      </c>
      <c r="U18">
        <v>0.75245083359147413</v>
      </c>
      <c r="V18" s="65"/>
      <c r="W18"/>
      <c r="X18"/>
      <c r="Y18"/>
      <c r="Z18"/>
      <c r="AA18"/>
      <c r="AB18"/>
      <c r="AC18"/>
      <c r="AD18"/>
      <c r="AE18"/>
      <c r="AF18"/>
      <c r="AG18"/>
      <c r="AH18"/>
      <c r="AI18"/>
      <c r="AJ18"/>
      <c r="AK18"/>
      <c r="AL18"/>
      <c r="AM18"/>
      <c r="AN18"/>
      <c r="AO18"/>
      <c r="AP18">
        <v>86</v>
      </c>
      <c r="AQ18">
        <v>0.5</v>
      </c>
      <c r="AR18">
        <v>2308.9999999999995</v>
      </c>
      <c r="AS18">
        <f t="shared" si="0"/>
        <v>4617.9999999999991</v>
      </c>
      <c r="AT18">
        <v>208.46</v>
      </c>
      <c r="AU18">
        <v>28</v>
      </c>
      <c r="AV18">
        <f t="shared" si="1"/>
        <v>7.4450000000000003</v>
      </c>
      <c r="AW18">
        <f t="shared" si="2"/>
        <v>223.35000000000002</v>
      </c>
      <c r="AX18"/>
      <c r="AY18">
        <v>20</v>
      </c>
      <c r="AZ18">
        <v>7.2</v>
      </c>
      <c r="BA18">
        <v>4.22</v>
      </c>
      <c r="BB18">
        <v>26.42</v>
      </c>
      <c r="BC18">
        <v>9.4</v>
      </c>
      <c r="BD18"/>
      <c r="BE18">
        <f t="shared" si="3"/>
        <v>1</v>
      </c>
      <c r="BF18">
        <f t="shared" si="4"/>
        <v>47.24</v>
      </c>
      <c r="BG18">
        <f t="shared" si="5"/>
        <v>2.3620000000000001</v>
      </c>
      <c r="BH18">
        <f t="shared" si="6"/>
        <v>0.31725990597716586</v>
      </c>
      <c r="BI18">
        <f t="shared" si="7"/>
        <v>732.55312290127586</v>
      </c>
      <c r="BJ18" s="1">
        <f t="shared" si="8"/>
        <v>1465.1062458025517</v>
      </c>
      <c r="BK18">
        <f t="shared" si="9"/>
        <v>0.15241320914479253</v>
      </c>
      <c r="BL18">
        <f t="shared" si="10"/>
        <v>8.9331075359864509E-2</v>
      </c>
      <c r="BM18">
        <f t="shared" si="11"/>
        <v>0.55927180355630823</v>
      </c>
      <c r="BN18">
        <f t="shared" si="12"/>
        <v>0.19898391193903472</v>
      </c>
      <c r="BO18">
        <f t="shared" si="13"/>
        <v>223.30154466084613</v>
      </c>
      <c r="BP18">
        <f t="shared" si="14"/>
        <v>130.87951645399593</v>
      </c>
      <c r="BQ18">
        <f t="shared" si="15"/>
        <v>819.39261249160495</v>
      </c>
      <c r="BR18">
        <f t="shared" si="16"/>
        <v>291.5325721961047</v>
      </c>
      <c r="BS18">
        <v>5.0750000000000002</v>
      </c>
      <c r="BT18">
        <v>8.5749999999999993</v>
      </c>
      <c r="BU18">
        <v>12.575000000000001</v>
      </c>
      <c r="BV18">
        <v>44.475000000000001</v>
      </c>
      <c r="BW18"/>
      <c r="BX18"/>
      <c r="BY18"/>
      <c r="BZ18"/>
      <c r="CA18"/>
    </row>
    <row r="19" spans="1:79" x14ac:dyDescent="0.35">
      <c r="A19" t="s">
        <v>24</v>
      </c>
      <c r="D19" t="s">
        <v>28</v>
      </c>
      <c r="E19">
        <v>1998</v>
      </c>
      <c r="F19">
        <v>2</v>
      </c>
      <c r="G19">
        <v>2</v>
      </c>
      <c r="H19">
        <v>3</v>
      </c>
      <c r="I19"/>
      <c r="J19"/>
      <c r="K19">
        <v>18</v>
      </c>
      <c r="L19"/>
      <c r="M19">
        <v>0.89622000000000002</v>
      </c>
      <c r="N19">
        <v>2.2678309527288776E-2</v>
      </c>
      <c r="O19">
        <v>3.1948136951907902E-2</v>
      </c>
      <c r="P19">
        <v>8.8565247037400874E-2</v>
      </c>
      <c r="Q19">
        <v>0.28507897014750538</v>
      </c>
      <c r="R19">
        <v>0.97732169047271122</v>
      </c>
      <c r="S19">
        <v>0.9680518630480921</v>
      </c>
      <c r="T19">
        <v>0.91143475296259913</v>
      </c>
      <c r="U19">
        <v>0.71492102985249462</v>
      </c>
      <c r="V19" s="65"/>
      <c r="W19"/>
      <c r="X19"/>
      <c r="Y19"/>
      <c r="Z19"/>
      <c r="AA19"/>
      <c r="AB19"/>
      <c r="AC19"/>
      <c r="AD19"/>
      <c r="AE19"/>
      <c r="AF19"/>
      <c r="AG19"/>
      <c r="AH19"/>
      <c r="AI19"/>
      <c r="AJ19"/>
      <c r="AK19"/>
      <c r="AL19"/>
      <c r="AM19"/>
      <c r="AN19"/>
      <c r="AO19"/>
      <c r="AP19">
        <v>85</v>
      </c>
      <c r="AQ19">
        <v>0.5</v>
      </c>
      <c r="AR19">
        <v>3082</v>
      </c>
      <c r="AS19">
        <f t="shared" si="0"/>
        <v>6164</v>
      </c>
      <c r="AT19">
        <v>283.08</v>
      </c>
      <c r="AU19">
        <v>38</v>
      </c>
      <c r="AV19">
        <f t="shared" si="1"/>
        <v>7.4494736842105258</v>
      </c>
      <c r="AW19">
        <f t="shared" si="2"/>
        <v>223.48421052631576</v>
      </c>
      <c r="AX19"/>
      <c r="AY19">
        <v>20</v>
      </c>
      <c r="AZ19">
        <v>6.52</v>
      </c>
      <c r="BA19">
        <v>4.67</v>
      </c>
      <c r="BB19">
        <v>23.73</v>
      </c>
      <c r="BC19">
        <v>7.49</v>
      </c>
      <c r="BD19"/>
      <c r="BE19">
        <f t="shared" si="3"/>
        <v>0.99999999999999978</v>
      </c>
      <c r="BF19">
        <f t="shared" si="4"/>
        <v>42.410000000000004</v>
      </c>
      <c r="BG19">
        <f t="shared" si="5"/>
        <v>2.1205000000000003</v>
      </c>
      <c r="BH19">
        <f t="shared" si="6"/>
        <v>0.28465098205454292</v>
      </c>
      <c r="BI19">
        <f t="shared" si="7"/>
        <v>877.29432669210132</v>
      </c>
      <c r="BJ19" s="1">
        <f t="shared" si="8"/>
        <v>1754.5886533842026</v>
      </c>
      <c r="BK19">
        <f t="shared" si="9"/>
        <v>0.15373732610233434</v>
      </c>
      <c r="BL19">
        <f t="shared" si="10"/>
        <v>0.11011553878802169</v>
      </c>
      <c r="BM19">
        <f t="shared" si="11"/>
        <v>0.55953784484791314</v>
      </c>
      <c r="BN19">
        <f t="shared" si="12"/>
        <v>0.17660929026173072</v>
      </c>
      <c r="BO19">
        <f t="shared" si="13"/>
        <v>269.74576798078283</v>
      </c>
      <c r="BP19">
        <f t="shared" si="14"/>
        <v>193.2074749187509</v>
      </c>
      <c r="BQ19">
        <f t="shared" si="15"/>
        <v>981.7587537091988</v>
      </c>
      <c r="BR19">
        <f t="shared" si="16"/>
        <v>309.87665677546988</v>
      </c>
      <c r="BS19">
        <v>7.3</v>
      </c>
      <c r="BT19">
        <v>14.450000000000001</v>
      </c>
      <c r="BU19">
        <v>13.125</v>
      </c>
      <c r="BV19">
        <v>46.850000000000009</v>
      </c>
      <c r="BW19"/>
      <c r="BX19"/>
      <c r="BY19"/>
      <c r="BZ19"/>
      <c r="CA19"/>
    </row>
    <row r="20" spans="1:79" x14ac:dyDescent="0.35">
      <c r="A20" t="s">
        <v>24</v>
      </c>
      <c r="D20" t="s">
        <v>26</v>
      </c>
      <c r="E20">
        <v>1983</v>
      </c>
      <c r="F20">
        <v>2</v>
      </c>
      <c r="G20">
        <v>3</v>
      </c>
      <c r="H20">
        <v>3</v>
      </c>
      <c r="I20"/>
      <c r="J20"/>
      <c r="K20">
        <v>19</v>
      </c>
      <c r="L20"/>
      <c r="M20">
        <v>0.88975000000000004</v>
      </c>
      <c r="N20">
        <v>9.839413357237925E-3</v>
      </c>
      <c r="O20">
        <v>1.7308103995870794E-2</v>
      </c>
      <c r="P20">
        <v>6.3876576717113109E-2</v>
      </c>
      <c r="Q20">
        <v>0.27188143969681311</v>
      </c>
      <c r="R20">
        <v>0.99016058664276208</v>
      </c>
      <c r="S20">
        <v>0.98269189600412921</v>
      </c>
      <c r="T20">
        <v>0.93612342328288689</v>
      </c>
      <c r="U20">
        <v>0.72811856030318689</v>
      </c>
      <c r="V20" s="65"/>
      <c r="W20"/>
      <c r="X20"/>
      <c r="Y20"/>
      <c r="Z20"/>
      <c r="AA20"/>
      <c r="AB20"/>
      <c r="AC20"/>
      <c r="AD20"/>
      <c r="AE20"/>
      <c r="AF20"/>
      <c r="AG20"/>
      <c r="AH20"/>
      <c r="AI20"/>
      <c r="AJ20"/>
      <c r="AK20"/>
      <c r="AL20"/>
      <c r="AM20"/>
      <c r="AN20"/>
      <c r="AO20"/>
      <c r="AP20">
        <v>87</v>
      </c>
      <c r="AQ20">
        <v>0.5</v>
      </c>
      <c r="AR20">
        <v>2205</v>
      </c>
      <c r="AS20">
        <f t="shared" si="0"/>
        <v>4410</v>
      </c>
      <c r="AT20">
        <v>159.69999999999999</v>
      </c>
      <c r="AU20">
        <v>32</v>
      </c>
      <c r="AV20">
        <f t="shared" si="1"/>
        <v>4.9906249999999996</v>
      </c>
      <c r="AW20">
        <f t="shared" si="2"/>
        <v>149.71875</v>
      </c>
      <c r="AX20"/>
      <c r="AY20">
        <v>20</v>
      </c>
      <c r="AZ20">
        <v>5.78</v>
      </c>
      <c r="BA20">
        <v>7.07</v>
      </c>
      <c r="BB20">
        <v>18.239999999999998</v>
      </c>
      <c r="BC20">
        <v>6.07</v>
      </c>
      <c r="BD20"/>
      <c r="BE20">
        <f t="shared" si="3"/>
        <v>1.0000000000000002</v>
      </c>
      <c r="BF20">
        <f t="shared" si="4"/>
        <v>37.159999999999997</v>
      </c>
      <c r="BG20">
        <f t="shared" si="5"/>
        <v>1.8579999999999999</v>
      </c>
      <c r="BH20">
        <f t="shared" si="6"/>
        <v>0.37229805886036316</v>
      </c>
      <c r="BI20">
        <f t="shared" si="7"/>
        <v>820.91721978710075</v>
      </c>
      <c r="BJ20" s="1">
        <f t="shared" si="8"/>
        <v>1641.8344395742015</v>
      </c>
      <c r="BK20">
        <f t="shared" si="9"/>
        <v>0.15554359526372447</v>
      </c>
      <c r="BL20">
        <f t="shared" si="10"/>
        <v>0.19025834230355224</v>
      </c>
      <c r="BM20">
        <f t="shared" si="11"/>
        <v>0.49085037674919269</v>
      </c>
      <c r="BN20">
        <f t="shared" si="12"/>
        <v>0.1633476856835307</v>
      </c>
      <c r="BO20">
        <f t="shared" si="13"/>
        <v>255.37683155917347</v>
      </c>
      <c r="BP20">
        <f t="shared" si="14"/>
        <v>312.3726988102693</v>
      </c>
      <c r="BQ20">
        <f t="shared" si="15"/>
        <v>805.89505322479647</v>
      </c>
      <c r="BR20">
        <f t="shared" si="16"/>
        <v>268.18985597996243</v>
      </c>
      <c r="BS20">
        <v>4.8250000000000002</v>
      </c>
      <c r="BT20">
        <v>16.25</v>
      </c>
      <c r="BU20">
        <v>44.8</v>
      </c>
      <c r="BV20">
        <v>50.35</v>
      </c>
      <c r="BW20"/>
      <c r="BX20"/>
      <c r="BY20"/>
      <c r="BZ20"/>
      <c r="CA20"/>
    </row>
    <row r="21" spans="1:79" x14ac:dyDescent="0.35">
      <c r="A21" t="s">
        <v>24</v>
      </c>
      <c r="D21" t="s">
        <v>336</v>
      </c>
      <c r="E21">
        <v>2002</v>
      </c>
      <c r="F21">
        <v>2</v>
      </c>
      <c r="G21">
        <v>4</v>
      </c>
      <c r="H21">
        <v>3</v>
      </c>
      <c r="I21"/>
      <c r="J21"/>
      <c r="K21">
        <v>20</v>
      </c>
      <c r="L21"/>
      <c r="M21">
        <v>0.86211000000000004</v>
      </c>
      <c r="N21">
        <v>2.1406448062688432E-2</v>
      </c>
      <c r="O21">
        <v>5.2775669831189087E-2</v>
      </c>
      <c r="P21">
        <v>6.400473217189373E-2</v>
      </c>
      <c r="Q21">
        <v>0.21912535351634088</v>
      </c>
      <c r="R21">
        <v>0.97859355193731157</v>
      </c>
      <c r="S21">
        <v>0.94722433016881091</v>
      </c>
      <c r="T21">
        <v>0.93599526782810627</v>
      </c>
      <c r="U21">
        <v>0.78087464648365912</v>
      </c>
      <c r="V21" s="65"/>
      <c r="W21"/>
      <c r="X21"/>
      <c r="Y21"/>
      <c r="Z21"/>
      <c r="AA21"/>
      <c r="AB21"/>
      <c r="AC21"/>
      <c r="AD21"/>
      <c r="AE21"/>
      <c r="AF21"/>
      <c r="AG21"/>
      <c r="AH21"/>
      <c r="AI21"/>
      <c r="AJ21"/>
      <c r="AK21"/>
      <c r="AL21"/>
      <c r="AM21"/>
      <c r="AN21"/>
      <c r="AO21"/>
      <c r="AP21">
        <v>85</v>
      </c>
      <c r="AQ21">
        <v>0.5</v>
      </c>
      <c r="AR21">
        <v>2645</v>
      </c>
      <c r="AS21">
        <f t="shared" si="0"/>
        <v>5290</v>
      </c>
      <c r="AT21">
        <v>310.92</v>
      </c>
      <c r="AU21">
        <v>45</v>
      </c>
      <c r="AV21">
        <f t="shared" si="1"/>
        <v>6.9093333333333335</v>
      </c>
      <c r="AW21">
        <f t="shared" si="2"/>
        <v>207.28</v>
      </c>
      <c r="AX21"/>
      <c r="AY21">
        <v>20</v>
      </c>
      <c r="AZ21">
        <v>8.7100000000000009</v>
      </c>
      <c r="BA21">
        <v>11.46</v>
      </c>
      <c r="BB21">
        <v>23.69</v>
      </c>
      <c r="BC21">
        <v>7.25</v>
      </c>
      <c r="BD21"/>
      <c r="BE21">
        <f t="shared" si="3"/>
        <v>1</v>
      </c>
      <c r="BF21">
        <f t="shared" si="4"/>
        <v>51.11</v>
      </c>
      <c r="BG21">
        <f t="shared" si="5"/>
        <v>2.5554999999999999</v>
      </c>
      <c r="BH21">
        <f t="shared" si="6"/>
        <v>0.36986202238517946</v>
      </c>
      <c r="BI21">
        <f t="shared" si="7"/>
        <v>978.28504920879971</v>
      </c>
      <c r="BJ21" s="1">
        <f t="shared" si="8"/>
        <v>1956.5700984175994</v>
      </c>
      <c r="BK21">
        <f t="shared" si="9"/>
        <v>0.17041674819017807</v>
      </c>
      <c r="BL21">
        <f t="shared" si="10"/>
        <v>0.22422226570142831</v>
      </c>
      <c r="BM21">
        <f t="shared" si="11"/>
        <v>0.46351007630600666</v>
      </c>
      <c r="BN21">
        <f t="shared" si="12"/>
        <v>0.14185090980238702</v>
      </c>
      <c r="BO21">
        <f t="shared" si="13"/>
        <v>333.43231377846399</v>
      </c>
      <c r="BP21">
        <f t="shared" si="14"/>
        <v>438.70658047086073</v>
      </c>
      <c r="BQ21">
        <f t="shared" si="15"/>
        <v>906.8899556155925</v>
      </c>
      <c r="BR21">
        <f t="shared" si="16"/>
        <v>277.54124855268236</v>
      </c>
      <c r="BS21">
        <v>6.7249999999999996</v>
      </c>
      <c r="BT21">
        <v>26.15</v>
      </c>
      <c r="BU21">
        <v>42.349999999999994</v>
      </c>
      <c r="BV21">
        <v>53.524999999999999</v>
      </c>
      <c r="BW21"/>
      <c r="BX21"/>
      <c r="BY21"/>
      <c r="BZ21"/>
      <c r="CA21"/>
    </row>
    <row r="22" spans="1:79" x14ac:dyDescent="0.35">
      <c r="A22" t="s">
        <v>24</v>
      </c>
      <c r="D22" t="s">
        <v>29</v>
      </c>
      <c r="E22">
        <v>1999</v>
      </c>
      <c r="F22">
        <v>2</v>
      </c>
      <c r="G22">
        <v>5</v>
      </c>
      <c r="H22">
        <v>3</v>
      </c>
      <c r="I22"/>
      <c r="J22"/>
      <c r="K22">
        <v>21</v>
      </c>
      <c r="L22"/>
      <c r="M22">
        <v>0.87844</v>
      </c>
      <c r="N22">
        <v>2.2849035490900782E-2</v>
      </c>
      <c r="O22">
        <v>2.9962488637492624E-2</v>
      </c>
      <c r="P22">
        <v>6.4772164434748536E-2</v>
      </c>
      <c r="Q22">
        <v>0.23119716579559579</v>
      </c>
      <c r="R22">
        <v>0.97715096450909922</v>
      </c>
      <c r="S22">
        <v>0.97003751136250738</v>
      </c>
      <c r="T22">
        <v>0.93522783556525146</v>
      </c>
      <c r="U22">
        <v>0.76880283420440421</v>
      </c>
      <c r="V22" s="65"/>
      <c r="W22"/>
      <c r="X22"/>
      <c r="Y22"/>
      <c r="Z22"/>
      <c r="AA22"/>
      <c r="AB22"/>
      <c r="AC22"/>
      <c r="AD22"/>
      <c r="AE22"/>
      <c r="AF22"/>
      <c r="AG22"/>
      <c r="AH22"/>
      <c r="AI22"/>
      <c r="AJ22"/>
      <c r="AK22"/>
      <c r="AL22"/>
      <c r="AM22"/>
      <c r="AN22"/>
      <c r="AO22"/>
      <c r="AP22">
        <v>85</v>
      </c>
      <c r="AQ22">
        <v>0.5</v>
      </c>
      <c r="AR22">
        <v>2098.9999999999995</v>
      </c>
      <c r="AS22">
        <f t="shared" si="0"/>
        <v>4197.9999999999991</v>
      </c>
      <c r="AT22">
        <v>242.7</v>
      </c>
      <c r="AU22">
        <v>39</v>
      </c>
      <c r="AV22">
        <f t="shared" si="1"/>
        <v>6.2230769230769232</v>
      </c>
      <c r="AW22">
        <f t="shared" si="2"/>
        <v>186.69230769230771</v>
      </c>
      <c r="AX22"/>
      <c r="AY22">
        <v>20</v>
      </c>
      <c r="AZ22">
        <v>5.44</v>
      </c>
      <c r="BA22">
        <v>7.38</v>
      </c>
      <c r="BB22">
        <v>20.05</v>
      </c>
      <c r="BC22">
        <v>5.78</v>
      </c>
      <c r="BD22"/>
      <c r="BE22">
        <f t="shared" si="3"/>
        <v>0.99999999999999978</v>
      </c>
      <c r="BF22">
        <f t="shared" si="4"/>
        <v>38.650000000000006</v>
      </c>
      <c r="BG22">
        <f t="shared" si="5"/>
        <v>1.9325000000000003</v>
      </c>
      <c r="BH22">
        <f t="shared" si="6"/>
        <v>0.31053770086526583</v>
      </c>
      <c r="BI22">
        <f t="shared" si="7"/>
        <v>651.81863411619281</v>
      </c>
      <c r="BJ22" s="1">
        <f t="shared" si="8"/>
        <v>1303.6372682323856</v>
      </c>
      <c r="BK22">
        <f t="shared" si="9"/>
        <v>0.14075032341526519</v>
      </c>
      <c r="BL22">
        <f t="shared" si="10"/>
        <v>0.19094437257438548</v>
      </c>
      <c r="BM22">
        <f t="shared" si="11"/>
        <v>0.51875808538162993</v>
      </c>
      <c r="BN22">
        <f t="shared" si="12"/>
        <v>0.14954721862871925</v>
      </c>
      <c r="BO22">
        <f t="shared" si="13"/>
        <v>183.48736711990111</v>
      </c>
      <c r="BP22">
        <f t="shared" si="14"/>
        <v>248.92220024721874</v>
      </c>
      <c r="BQ22">
        <f t="shared" si="15"/>
        <v>676.27237330037065</v>
      </c>
      <c r="BR22">
        <f t="shared" si="16"/>
        <v>194.9553275648949</v>
      </c>
      <c r="BS22">
        <v>5.5749999999999993</v>
      </c>
      <c r="BT22">
        <v>17.924999999999997</v>
      </c>
      <c r="BU22">
        <v>40.774999999999999</v>
      </c>
      <c r="BV22">
        <v>46.75</v>
      </c>
      <c r="BW22"/>
      <c r="BX22"/>
      <c r="BY22"/>
      <c r="BZ22"/>
      <c r="CA22"/>
    </row>
    <row r="23" spans="1:79" x14ac:dyDescent="0.35">
      <c r="A23" t="s">
        <v>24</v>
      </c>
      <c r="D23" t="s">
        <v>337</v>
      </c>
      <c r="E23">
        <v>2016</v>
      </c>
      <c r="F23">
        <v>2</v>
      </c>
      <c r="G23">
        <v>6</v>
      </c>
      <c r="H23">
        <v>3</v>
      </c>
      <c r="I23"/>
      <c r="J23"/>
      <c r="K23">
        <v>22</v>
      </c>
      <c r="L23"/>
      <c r="M23">
        <v>0.87566999999999995</v>
      </c>
      <c r="N23">
        <v>4.3369420212898246E-2</v>
      </c>
      <c r="O23">
        <v>6.3164687507339945E-2</v>
      </c>
      <c r="P23">
        <v>7.5874836964456627E-2</v>
      </c>
      <c r="Q23">
        <v>0.22682939003147706</v>
      </c>
      <c r="R23">
        <v>0.95663057978710175</v>
      </c>
      <c r="S23">
        <v>0.93683531249266006</v>
      </c>
      <c r="T23">
        <v>0.92412516303554337</v>
      </c>
      <c r="U23">
        <v>0.77317060996852294</v>
      </c>
      <c r="V23" s="65"/>
      <c r="W23"/>
      <c r="X23"/>
      <c r="Y23"/>
      <c r="Z23"/>
      <c r="AA23"/>
      <c r="AB23"/>
      <c r="AC23"/>
      <c r="AD23"/>
      <c r="AE23"/>
      <c r="AF23"/>
      <c r="AG23"/>
      <c r="AH23"/>
      <c r="AI23"/>
      <c r="AJ23"/>
      <c r="AK23"/>
      <c r="AL23"/>
      <c r="AM23"/>
      <c r="AN23"/>
      <c r="AO23"/>
      <c r="AP23">
        <v>85</v>
      </c>
      <c r="AQ23">
        <v>0.5</v>
      </c>
      <c r="AR23">
        <v>2131</v>
      </c>
      <c r="AS23">
        <f t="shared" si="0"/>
        <v>4262</v>
      </c>
      <c r="AT23">
        <v>242.73</v>
      </c>
      <c r="AU23">
        <v>35</v>
      </c>
      <c r="AV23">
        <f t="shared" si="1"/>
        <v>6.9351428571428571</v>
      </c>
      <c r="AW23">
        <f t="shared" si="2"/>
        <v>208.0542857142857</v>
      </c>
      <c r="AX23"/>
      <c r="AY23">
        <v>20</v>
      </c>
      <c r="AZ23">
        <v>8.0299999999999994</v>
      </c>
      <c r="BA23">
        <v>8.7100000000000009</v>
      </c>
      <c r="BB23">
        <v>22.56</v>
      </c>
      <c r="BC23">
        <v>8.34</v>
      </c>
      <c r="BD23"/>
      <c r="BE23">
        <f t="shared" si="3"/>
        <v>1</v>
      </c>
      <c r="BF23">
        <f t="shared" si="4"/>
        <v>47.64</v>
      </c>
      <c r="BG23">
        <f t="shared" si="5"/>
        <v>2.3820000000000001</v>
      </c>
      <c r="BH23">
        <f t="shared" si="6"/>
        <v>0.3434680509207762</v>
      </c>
      <c r="BI23">
        <f t="shared" si="7"/>
        <v>731.93041651217413</v>
      </c>
      <c r="BJ23" s="1">
        <f t="shared" si="8"/>
        <v>1463.8608330243483</v>
      </c>
      <c r="BK23">
        <f t="shared" si="9"/>
        <v>0.16855583543240973</v>
      </c>
      <c r="BL23">
        <f t="shared" si="10"/>
        <v>0.18282955499580186</v>
      </c>
      <c r="BM23">
        <f t="shared" si="11"/>
        <v>0.47355163727959693</v>
      </c>
      <c r="BN23">
        <f t="shared" si="12"/>
        <v>0.17506297229219142</v>
      </c>
      <c r="BO23">
        <f t="shared" si="13"/>
        <v>246.74228566720228</v>
      </c>
      <c r="BP23">
        <f t="shared" si="14"/>
        <v>267.63702467762539</v>
      </c>
      <c r="BQ23">
        <f t="shared" si="15"/>
        <v>693.21369422815474</v>
      </c>
      <c r="BR23">
        <f t="shared" si="16"/>
        <v>256.26782845136574</v>
      </c>
      <c r="BS23">
        <v>10.75</v>
      </c>
      <c r="BT23">
        <v>22.65</v>
      </c>
      <c r="BU23">
        <v>40.725000000000001</v>
      </c>
      <c r="BV23">
        <v>45.924999999999997</v>
      </c>
      <c r="BW23"/>
      <c r="BX23"/>
      <c r="BY23"/>
      <c r="BZ23"/>
      <c r="CA23"/>
    </row>
    <row r="24" spans="1:79" x14ac:dyDescent="0.35">
      <c r="A24" t="s">
        <v>24</v>
      </c>
      <c r="D24" t="s">
        <v>32</v>
      </c>
      <c r="E24">
        <v>2018</v>
      </c>
      <c r="F24">
        <v>2</v>
      </c>
      <c r="G24">
        <v>7</v>
      </c>
      <c r="H24">
        <v>3</v>
      </c>
      <c r="I24"/>
      <c r="J24"/>
      <c r="K24">
        <v>23</v>
      </c>
      <c r="L24"/>
      <c r="M24">
        <v>0.83199999999999996</v>
      </c>
      <c r="N24">
        <v>3.3715849965068045E-2</v>
      </c>
      <c r="O24">
        <v>7.4418937377311201E-2</v>
      </c>
      <c r="P24">
        <v>0.15263706288941403</v>
      </c>
      <c r="Q24">
        <v>0.26416520984907488</v>
      </c>
      <c r="R24">
        <v>0.96628415003493195</v>
      </c>
      <c r="S24">
        <v>0.9255810626226888</v>
      </c>
      <c r="T24">
        <v>0.84736293711058597</v>
      </c>
      <c r="U24">
        <v>0.73583479015092512</v>
      </c>
      <c r="V24" s="65"/>
      <c r="W24"/>
      <c r="X24"/>
      <c r="Y24"/>
      <c r="Z24"/>
      <c r="AA24"/>
      <c r="AB24"/>
      <c r="AC24"/>
      <c r="AD24"/>
      <c r="AE24"/>
      <c r="AF24"/>
      <c r="AG24"/>
      <c r="AH24"/>
      <c r="AI24"/>
      <c r="AJ24"/>
      <c r="AK24"/>
      <c r="AL24"/>
      <c r="AM24"/>
      <c r="AN24"/>
      <c r="AO24"/>
      <c r="AP24">
        <v>75</v>
      </c>
      <c r="AQ24">
        <v>0.5</v>
      </c>
      <c r="AR24">
        <v>1981.9999999999998</v>
      </c>
      <c r="AS24">
        <f t="shared" si="0"/>
        <v>3963.9999999999995</v>
      </c>
      <c r="AT24">
        <v>233.3</v>
      </c>
      <c r="AU24">
        <v>32</v>
      </c>
      <c r="AV24">
        <f t="shared" si="1"/>
        <v>7.2906250000000004</v>
      </c>
      <c r="AW24">
        <f t="shared" si="2"/>
        <v>218.71875</v>
      </c>
      <c r="AX24"/>
      <c r="AY24">
        <v>20</v>
      </c>
      <c r="AZ24">
        <v>8.9600000000000009</v>
      </c>
      <c r="BA24">
        <v>6.63</v>
      </c>
      <c r="BB24">
        <v>28.17</v>
      </c>
      <c r="BC24">
        <v>12.74</v>
      </c>
      <c r="BD24"/>
      <c r="BE24">
        <f t="shared" si="3"/>
        <v>1</v>
      </c>
      <c r="BF24">
        <f t="shared" si="4"/>
        <v>56.500000000000007</v>
      </c>
      <c r="BG24">
        <f t="shared" si="5"/>
        <v>2.8250000000000002</v>
      </c>
      <c r="BH24">
        <f t="shared" si="6"/>
        <v>0.38748392627518219</v>
      </c>
      <c r="BI24">
        <f t="shared" si="7"/>
        <v>767.99314187741106</v>
      </c>
      <c r="BJ24" s="1">
        <f t="shared" si="8"/>
        <v>1535.9862837548221</v>
      </c>
      <c r="BK24">
        <f t="shared" si="9"/>
        <v>0.15858407079646017</v>
      </c>
      <c r="BL24">
        <f t="shared" si="10"/>
        <v>0.11734513274336282</v>
      </c>
      <c r="BM24">
        <f t="shared" si="11"/>
        <v>0.49858407079646017</v>
      </c>
      <c r="BN24">
        <f t="shared" si="12"/>
        <v>0.2254867256637168</v>
      </c>
      <c r="BO24">
        <f t="shared" si="13"/>
        <v>243.58295756536646</v>
      </c>
      <c r="BP24">
        <f t="shared" si="14"/>
        <v>180.24051435919415</v>
      </c>
      <c r="BQ24">
        <f t="shared" si="15"/>
        <v>765.81829404200596</v>
      </c>
      <c r="BR24">
        <f t="shared" si="16"/>
        <v>346.34451778825547</v>
      </c>
      <c r="BS24">
        <v>3.1500000000000004</v>
      </c>
      <c r="BT24">
        <v>4.875</v>
      </c>
      <c r="BU24">
        <v>19.875</v>
      </c>
      <c r="BV24">
        <v>43.6</v>
      </c>
      <c r="BW24"/>
      <c r="BX24"/>
      <c r="BY24"/>
      <c r="BZ24"/>
      <c r="CA24"/>
    </row>
    <row r="25" spans="1:79" x14ac:dyDescent="0.35">
      <c r="A25" t="s">
        <v>24</v>
      </c>
      <c r="D25" t="s">
        <v>27</v>
      </c>
      <c r="E25">
        <v>1985</v>
      </c>
      <c r="F25">
        <v>2</v>
      </c>
      <c r="G25">
        <v>8</v>
      </c>
      <c r="H25">
        <v>3</v>
      </c>
      <c r="I25"/>
      <c r="J25"/>
      <c r="K25">
        <v>24</v>
      </c>
      <c r="L25"/>
      <c r="M25">
        <v>0.86717999999999995</v>
      </c>
      <c r="N25">
        <v>2.2003479570726459E-2</v>
      </c>
      <c r="O25">
        <v>3.2231214456641233E-2</v>
      </c>
      <c r="P25">
        <v>6.2066972484798311E-2</v>
      </c>
      <c r="Q25">
        <v>0.300774880393747</v>
      </c>
      <c r="R25">
        <v>0.97799652042927354</v>
      </c>
      <c r="S25">
        <v>0.96776878554335877</v>
      </c>
      <c r="T25">
        <v>0.93793302751520169</v>
      </c>
      <c r="U25">
        <v>0.699225119606253</v>
      </c>
      <c r="V25" s="65"/>
      <c r="W25"/>
      <c r="X25"/>
      <c r="Y25"/>
      <c r="Z25"/>
      <c r="AA25"/>
      <c r="AB25"/>
      <c r="AC25"/>
      <c r="AD25"/>
      <c r="AE25"/>
      <c r="AF25"/>
      <c r="AG25"/>
      <c r="AH25"/>
      <c r="AI25"/>
      <c r="AJ25"/>
      <c r="AK25"/>
      <c r="AL25"/>
      <c r="AM25"/>
      <c r="AN25"/>
      <c r="AO25"/>
      <c r="AP25">
        <v>90</v>
      </c>
      <c r="AQ25">
        <v>0.5</v>
      </c>
      <c r="AR25">
        <v>2055.5</v>
      </c>
      <c r="AS25">
        <f t="shared" si="0"/>
        <v>4111</v>
      </c>
      <c r="AT25">
        <v>193.1</v>
      </c>
      <c r="AU25">
        <v>36</v>
      </c>
      <c r="AV25">
        <f t="shared" si="1"/>
        <v>5.3638888888888889</v>
      </c>
      <c r="AW25">
        <f t="shared" si="2"/>
        <v>160.91666666666666</v>
      </c>
      <c r="AX25"/>
      <c r="AY25">
        <v>20</v>
      </c>
      <c r="AZ25">
        <v>8.01</v>
      </c>
      <c r="BA25">
        <v>6.55</v>
      </c>
      <c r="BB25">
        <v>23.96</v>
      </c>
      <c r="BC25">
        <v>8.33</v>
      </c>
      <c r="BD25"/>
      <c r="BE25">
        <f t="shared" si="3"/>
        <v>1.0000000000000002</v>
      </c>
      <c r="BF25">
        <f t="shared" si="4"/>
        <v>46.849999999999994</v>
      </c>
      <c r="BG25">
        <f t="shared" si="5"/>
        <v>2.3424999999999998</v>
      </c>
      <c r="BH25">
        <f t="shared" si="6"/>
        <v>0.43671672708441217</v>
      </c>
      <c r="BI25">
        <f t="shared" si="7"/>
        <v>897.67123252200918</v>
      </c>
      <c r="BJ25" s="1">
        <f t="shared" si="8"/>
        <v>1795.3424650440184</v>
      </c>
      <c r="BK25">
        <f t="shared" si="9"/>
        <v>0.17097118463180364</v>
      </c>
      <c r="BL25">
        <f t="shared" si="10"/>
        <v>0.13980789754535752</v>
      </c>
      <c r="BM25">
        <f t="shared" si="11"/>
        <v>0.51141942369263615</v>
      </c>
      <c r="BN25">
        <f t="shared" si="12"/>
        <v>0.1778014941302028</v>
      </c>
      <c r="BO25">
        <f t="shared" si="13"/>
        <v>306.95182806835834</v>
      </c>
      <c r="BP25">
        <f t="shared" si="14"/>
        <v>251.00305541170374</v>
      </c>
      <c r="BQ25">
        <f t="shared" si="15"/>
        <v>918.17300880372864</v>
      </c>
      <c r="BR25">
        <f t="shared" si="16"/>
        <v>319.21457276022784</v>
      </c>
      <c r="BS25">
        <v>3.7750000000000004</v>
      </c>
      <c r="BT25">
        <v>4.75</v>
      </c>
      <c r="BU25">
        <v>33.875</v>
      </c>
      <c r="BV25">
        <v>48</v>
      </c>
      <c r="BW25"/>
      <c r="BX25"/>
      <c r="BY25"/>
      <c r="BZ25"/>
      <c r="CA25"/>
    </row>
    <row r="26" spans="1:79" x14ac:dyDescent="0.35">
      <c r="A26" t="s">
        <v>34</v>
      </c>
      <c r="D26" t="s">
        <v>343</v>
      </c>
      <c r="E26">
        <v>2004</v>
      </c>
      <c r="F26">
        <v>2</v>
      </c>
      <c r="G26">
        <v>1</v>
      </c>
      <c r="H26">
        <v>4</v>
      </c>
      <c r="I26"/>
      <c r="J26"/>
      <c r="K26">
        <v>25</v>
      </c>
      <c r="L26"/>
      <c r="M26">
        <v>0.876</v>
      </c>
      <c r="N26">
        <v>4.1501908606386806E-2</v>
      </c>
      <c r="O26">
        <v>6.1561592863304093E-2</v>
      </c>
      <c r="P26">
        <v>9.7332145040434859E-2</v>
      </c>
      <c r="Q26">
        <v>0.2013657095070982</v>
      </c>
      <c r="R26">
        <v>0.95849809139361319</v>
      </c>
      <c r="S26">
        <v>0.93843840713669591</v>
      </c>
      <c r="T26">
        <v>0.90266785495956514</v>
      </c>
      <c r="U26">
        <v>0.7986342904929018</v>
      </c>
      <c r="V26" s="65"/>
      <c r="W26"/>
      <c r="X26"/>
      <c r="Y26"/>
      <c r="Z26"/>
      <c r="AA26"/>
      <c r="AB26"/>
      <c r="AC26"/>
      <c r="AD26"/>
      <c r="AE26"/>
      <c r="AF26"/>
      <c r="AG26"/>
      <c r="AH26"/>
      <c r="AI26"/>
      <c r="AJ26"/>
      <c r="AK26"/>
      <c r="AL26"/>
      <c r="AM26"/>
      <c r="AN26"/>
      <c r="AO26"/>
      <c r="AP26">
        <v>93</v>
      </c>
      <c r="AQ26">
        <v>0.5</v>
      </c>
      <c r="AR26">
        <v>1892.9999999999998</v>
      </c>
      <c r="AS26">
        <f t="shared" si="0"/>
        <v>3785.9999999999995</v>
      </c>
      <c r="AT26">
        <v>253.9</v>
      </c>
      <c r="AU26">
        <v>36</v>
      </c>
      <c r="AV26">
        <f t="shared" si="1"/>
        <v>7.052777777777778</v>
      </c>
      <c r="AW26">
        <f t="shared" si="2"/>
        <v>211.58333333333334</v>
      </c>
      <c r="AX26"/>
      <c r="AY26">
        <v>20</v>
      </c>
      <c r="AZ26">
        <v>8.86</v>
      </c>
      <c r="BA26">
        <v>2.54</v>
      </c>
      <c r="BB26">
        <v>24.96</v>
      </c>
      <c r="BC26">
        <v>8.57</v>
      </c>
      <c r="BD26"/>
      <c r="BE26">
        <f t="shared" si="3"/>
        <v>1</v>
      </c>
      <c r="BF26">
        <f t="shared" si="4"/>
        <v>44.93</v>
      </c>
      <c r="BG26">
        <f t="shared" si="5"/>
        <v>2.2465000000000002</v>
      </c>
      <c r="BH26">
        <f t="shared" si="6"/>
        <v>0.31852697912564004</v>
      </c>
      <c r="BI26">
        <f t="shared" si="7"/>
        <v>602.97157148483655</v>
      </c>
      <c r="BJ26" s="1">
        <f t="shared" si="8"/>
        <v>1205.9431429696731</v>
      </c>
      <c r="BK26">
        <f t="shared" si="9"/>
        <v>0.19719563765858</v>
      </c>
      <c r="BL26">
        <f t="shared" si="10"/>
        <v>5.6532383707990207E-2</v>
      </c>
      <c r="BM26">
        <f t="shared" si="11"/>
        <v>0.55553082572891166</v>
      </c>
      <c r="BN26">
        <f t="shared" si="12"/>
        <v>0.19074115290451815</v>
      </c>
      <c r="BO26">
        <f t="shared" si="13"/>
        <v>237.80672705789681</v>
      </c>
      <c r="BP26">
        <f t="shared" si="14"/>
        <v>68.17484048838125</v>
      </c>
      <c r="BQ26">
        <f t="shared" si="15"/>
        <v>669.93858999606141</v>
      </c>
      <c r="BR26">
        <f t="shared" si="16"/>
        <v>230.02298542733362</v>
      </c>
      <c r="BS26">
        <v>10.875</v>
      </c>
      <c r="BT26">
        <v>13.2</v>
      </c>
      <c r="BU26">
        <v>40.075000000000003</v>
      </c>
      <c r="BV26">
        <v>43.25</v>
      </c>
      <c r="BW26"/>
      <c r="BX26"/>
      <c r="BY26"/>
      <c r="BZ26"/>
      <c r="CA26"/>
    </row>
    <row r="27" spans="1:79" x14ac:dyDescent="0.35">
      <c r="A27" t="s">
        <v>34</v>
      </c>
      <c r="D27" t="s">
        <v>43</v>
      </c>
      <c r="E27">
        <v>2020</v>
      </c>
      <c r="F27">
        <v>2</v>
      </c>
      <c r="G27">
        <v>2</v>
      </c>
      <c r="H27">
        <v>4</v>
      </c>
      <c r="I27"/>
      <c r="J27"/>
      <c r="K27">
        <v>26</v>
      </c>
      <c r="L27"/>
      <c r="M27">
        <v>0.91549999999999998</v>
      </c>
      <c r="N27">
        <v>7.4761978440597177E-2</v>
      </c>
      <c r="O27">
        <v>8.5420110961381801E-2</v>
      </c>
      <c r="P27">
        <v>0.15606953933262557</v>
      </c>
      <c r="Q27">
        <v>0.30368385252560648</v>
      </c>
      <c r="R27">
        <v>0.92523802155940282</v>
      </c>
      <c r="S27">
        <v>0.9145798890386182</v>
      </c>
      <c r="T27">
        <v>0.84393046066737443</v>
      </c>
      <c r="U27">
        <v>0.69631614747439352</v>
      </c>
      <c r="V27" s="65"/>
      <c r="W27"/>
      <c r="X27"/>
      <c r="Y27"/>
      <c r="Z27"/>
      <c r="AA27"/>
      <c r="AB27"/>
      <c r="AC27"/>
      <c r="AD27"/>
      <c r="AE27"/>
      <c r="AF27"/>
      <c r="AG27"/>
      <c r="AH27"/>
      <c r="AI27"/>
      <c r="AJ27"/>
      <c r="AK27"/>
      <c r="AL27"/>
      <c r="AM27"/>
      <c r="AN27"/>
      <c r="AO27"/>
      <c r="AP27">
        <v>84</v>
      </c>
      <c r="AQ27">
        <v>0.5</v>
      </c>
      <c r="AR27">
        <v>2062.9999999999995</v>
      </c>
      <c r="AS27">
        <f t="shared" si="0"/>
        <v>4125.9999999999991</v>
      </c>
      <c r="AT27">
        <v>337.6</v>
      </c>
      <c r="AU27">
        <v>38</v>
      </c>
      <c r="AV27">
        <f t="shared" si="1"/>
        <v>8.8842105263157904</v>
      </c>
      <c r="AW27">
        <f t="shared" si="2"/>
        <v>266.5263157894737</v>
      </c>
      <c r="AX27"/>
      <c r="AY27">
        <v>20</v>
      </c>
      <c r="AZ27">
        <v>11.54</v>
      </c>
      <c r="BA27">
        <v>3.36</v>
      </c>
      <c r="BB27">
        <v>34.19</v>
      </c>
      <c r="BC27">
        <v>10.54</v>
      </c>
      <c r="BD27"/>
      <c r="BE27">
        <f t="shared" si="3"/>
        <v>1</v>
      </c>
      <c r="BF27">
        <f t="shared" si="4"/>
        <v>59.629999999999995</v>
      </c>
      <c r="BG27">
        <f t="shared" si="5"/>
        <v>2.9814999999999996</v>
      </c>
      <c r="BH27">
        <f t="shared" si="6"/>
        <v>0.33559537914691934</v>
      </c>
      <c r="BI27">
        <f t="shared" si="7"/>
        <v>692.33326718009448</v>
      </c>
      <c r="BJ27" s="1">
        <f t="shared" si="8"/>
        <v>1384.666534360189</v>
      </c>
      <c r="BK27">
        <f t="shared" si="9"/>
        <v>0.19352674828106659</v>
      </c>
      <c r="BL27">
        <f t="shared" si="10"/>
        <v>5.6347476102632903E-2</v>
      </c>
      <c r="BM27">
        <f t="shared" si="11"/>
        <v>0.57336910950863662</v>
      </c>
      <c r="BN27">
        <f t="shared" si="12"/>
        <v>0.17675666610766394</v>
      </c>
      <c r="BO27">
        <f t="shared" si="13"/>
        <v>267.97001184834113</v>
      </c>
      <c r="BP27">
        <f t="shared" si="14"/>
        <v>78.022464454976273</v>
      </c>
      <c r="BQ27">
        <f t="shared" si="15"/>
        <v>793.92501777251152</v>
      </c>
      <c r="BR27">
        <f t="shared" si="16"/>
        <v>244.74904028436009</v>
      </c>
      <c r="BS27">
        <v>8.6000000000000014</v>
      </c>
      <c r="BT27">
        <v>21.900000000000002</v>
      </c>
      <c r="BU27">
        <v>46.075000000000003</v>
      </c>
      <c r="BV27">
        <v>41.866666666666667</v>
      </c>
      <c r="BW27"/>
      <c r="BX27"/>
      <c r="BY27"/>
      <c r="BZ27"/>
      <c r="CA27"/>
    </row>
    <row r="28" spans="1:79" x14ac:dyDescent="0.35">
      <c r="A28" t="s">
        <v>34</v>
      </c>
      <c r="D28" t="s">
        <v>38</v>
      </c>
      <c r="E28">
        <v>1999</v>
      </c>
      <c r="F28">
        <v>2</v>
      </c>
      <c r="G28">
        <v>3</v>
      </c>
      <c r="H28">
        <v>4</v>
      </c>
      <c r="I28"/>
      <c r="J28"/>
      <c r="K28">
        <v>27</v>
      </c>
      <c r="L28"/>
      <c r="M28">
        <v>0.91049999999999998</v>
      </c>
      <c r="N28">
        <v>0.12946984917575088</v>
      </c>
      <c r="O28">
        <v>0.13488437438305756</v>
      </c>
      <c r="P28">
        <v>0.16331510310131647</v>
      </c>
      <c r="Q28">
        <v>0.23114028250741814</v>
      </c>
      <c r="R28">
        <v>0.87053015082424912</v>
      </c>
      <c r="S28">
        <v>0.86511562561694244</v>
      </c>
      <c r="T28">
        <v>0.83668489689868353</v>
      </c>
      <c r="U28">
        <v>0.76885971749258186</v>
      </c>
      <c r="V28" s="65"/>
      <c r="W28"/>
      <c r="X28"/>
      <c r="Y28"/>
      <c r="Z28"/>
      <c r="AA28"/>
      <c r="AB28"/>
      <c r="AC28"/>
      <c r="AD28"/>
      <c r="AE28"/>
      <c r="AF28"/>
      <c r="AG28"/>
      <c r="AH28"/>
      <c r="AI28"/>
      <c r="AJ28"/>
      <c r="AK28"/>
      <c r="AL28"/>
      <c r="AM28"/>
      <c r="AN28"/>
      <c r="AO28"/>
      <c r="AP28">
        <v>89</v>
      </c>
      <c r="AQ28">
        <v>0.5</v>
      </c>
      <c r="AR28">
        <v>2375</v>
      </c>
      <c r="AS28">
        <f t="shared" si="0"/>
        <v>4750</v>
      </c>
      <c r="AT28">
        <v>292.22000000000003</v>
      </c>
      <c r="AU28">
        <v>41</v>
      </c>
      <c r="AV28">
        <f t="shared" si="1"/>
        <v>7.1273170731707323</v>
      </c>
      <c r="AW28">
        <f t="shared" si="2"/>
        <v>213.81951219512197</v>
      </c>
      <c r="AX28"/>
      <c r="AY28">
        <v>20</v>
      </c>
      <c r="AZ28">
        <v>6.9</v>
      </c>
      <c r="BA28">
        <v>5.55</v>
      </c>
      <c r="BB28">
        <v>22.8</v>
      </c>
      <c r="BC28">
        <v>7.75</v>
      </c>
      <c r="BD28"/>
      <c r="BE28">
        <f t="shared" si="3"/>
        <v>1</v>
      </c>
      <c r="BF28">
        <f t="shared" si="4"/>
        <v>43</v>
      </c>
      <c r="BG28">
        <f t="shared" si="5"/>
        <v>2.15</v>
      </c>
      <c r="BH28">
        <f t="shared" si="6"/>
        <v>0.30165628635959207</v>
      </c>
      <c r="BI28">
        <f t="shared" si="7"/>
        <v>716.43368010403117</v>
      </c>
      <c r="BJ28" s="1">
        <f t="shared" si="8"/>
        <v>1432.8673602080623</v>
      </c>
      <c r="BK28">
        <f t="shared" si="9"/>
        <v>0.16046511627906979</v>
      </c>
      <c r="BL28">
        <f t="shared" si="10"/>
        <v>0.12906976744186047</v>
      </c>
      <c r="BM28">
        <f t="shared" si="11"/>
        <v>0.53023255813953485</v>
      </c>
      <c r="BN28">
        <f t="shared" si="12"/>
        <v>0.18023255813953487</v>
      </c>
      <c r="BO28">
        <f t="shared" si="13"/>
        <v>229.92522756827049</v>
      </c>
      <c r="BP28">
        <f t="shared" si="14"/>
        <v>184.93985695708713</v>
      </c>
      <c r="BQ28">
        <f t="shared" si="15"/>
        <v>759.75292587776323</v>
      </c>
      <c r="BR28">
        <f t="shared" si="16"/>
        <v>258.24934980494146</v>
      </c>
      <c r="BS28">
        <v>4.3</v>
      </c>
      <c r="BT28">
        <v>28.55</v>
      </c>
      <c r="BU28">
        <v>36.225000000000001</v>
      </c>
      <c r="BV28">
        <v>51.45</v>
      </c>
      <c r="BW28"/>
      <c r="BX28"/>
      <c r="BY28"/>
      <c r="BZ28"/>
      <c r="CA28"/>
    </row>
    <row r="29" spans="1:79" x14ac:dyDescent="0.35">
      <c r="A29" t="s">
        <v>34</v>
      </c>
      <c r="D29" t="s">
        <v>39</v>
      </c>
      <c r="E29">
        <v>2001</v>
      </c>
      <c r="F29">
        <v>2</v>
      </c>
      <c r="G29">
        <v>4</v>
      </c>
      <c r="H29">
        <v>4</v>
      </c>
      <c r="I29"/>
      <c r="J29"/>
      <c r="K29">
        <v>28</v>
      </c>
      <c r="L29"/>
      <c r="M29">
        <v>0.77049999999999996</v>
      </c>
      <c r="N29">
        <v>3.5673018376855881E-2</v>
      </c>
      <c r="O29">
        <v>4.1287540972539727E-2</v>
      </c>
      <c r="P29">
        <v>9.223866404967318E-2</v>
      </c>
      <c r="Q29">
        <v>0.21672278719882254</v>
      </c>
      <c r="R29">
        <v>0.96432698162314412</v>
      </c>
      <c r="S29">
        <v>0.95871245902746027</v>
      </c>
      <c r="T29">
        <v>0.90776133595032682</v>
      </c>
      <c r="U29">
        <v>0.78327721280117746</v>
      </c>
      <c r="V29"/>
      <c r="W29"/>
      <c r="X29"/>
      <c r="Y29"/>
      <c r="Z29"/>
      <c r="AA29"/>
      <c r="AB29"/>
      <c r="AC29"/>
      <c r="AD29"/>
      <c r="AE29"/>
      <c r="AF29"/>
      <c r="AG29"/>
      <c r="AH29"/>
      <c r="AI29"/>
      <c r="AJ29"/>
      <c r="AK29"/>
      <c r="AL29"/>
      <c r="AM29"/>
      <c r="AN29"/>
      <c r="AO29"/>
      <c r="AP29">
        <v>76</v>
      </c>
      <c r="AQ29">
        <v>0.5</v>
      </c>
      <c r="AR29">
        <v>2473.9999999999995</v>
      </c>
      <c r="AS29">
        <f t="shared" si="0"/>
        <v>4947.9999999999991</v>
      </c>
      <c r="AT29">
        <v>135.75</v>
      </c>
      <c r="AU29">
        <v>24</v>
      </c>
      <c r="AV29">
        <f t="shared" si="1"/>
        <v>5.65625</v>
      </c>
      <c r="AW29">
        <f t="shared" si="2"/>
        <v>169.6875</v>
      </c>
      <c r="AX29"/>
      <c r="AY29">
        <v>20</v>
      </c>
      <c r="AZ29">
        <v>6.12</v>
      </c>
      <c r="BA29">
        <v>1.91</v>
      </c>
      <c r="BB29">
        <v>15.19</v>
      </c>
      <c r="BC29">
        <v>4.6399999999999997</v>
      </c>
      <c r="BD29"/>
      <c r="BE29">
        <f t="shared" si="3"/>
        <v>0.99999999999999989</v>
      </c>
      <c r="BF29">
        <f t="shared" si="4"/>
        <v>27.86</v>
      </c>
      <c r="BG29">
        <f t="shared" si="5"/>
        <v>1.393</v>
      </c>
      <c r="BH29">
        <f t="shared" si="6"/>
        <v>0.24627624309392265</v>
      </c>
      <c r="BI29">
        <f t="shared" si="7"/>
        <v>609.28742541436452</v>
      </c>
      <c r="BJ29" s="1">
        <f t="shared" si="8"/>
        <v>1218.574850828729</v>
      </c>
      <c r="BK29">
        <f t="shared" si="9"/>
        <v>0.21966977745872218</v>
      </c>
      <c r="BL29">
        <f t="shared" si="10"/>
        <v>6.8557071069633879E-2</v>
      </c>
      <c r="BM29">
        <f t="shared" si="11"/>
        <v>0.54522613065326631</v>
      </c>
      <c r="BN29">
        <f t="shared" si="12"/>
        <v>0.16654702081837761</v>
      </c>
      <c r="BO29">
        <f t="shared" si="13"/>
        <v>267.68406629834249</v>
      </c>
      <c r="BP29">
        <f t="shared" si="14"/>
        <v>83.541922651933675</v>
      </c>
      <c r="BQ29">
        <f t="shared" si="15"/>
        <v>664.39885082872911</v>
      </c>
      <c r="BR29">
        <f t="shared" si="16"/>
        <v>202.95001104972371</v>
      </c>
      <c r="BS29">
        <v>4.1333333333333329</v>
      </c>
      <c r="BT29">
        <v>14.75</v>
      </c>
      <c r="BU29">
        <v>35.974999999999994</v>
      </c>
      <c r="BV29">
        <v>47.075000000000003</v>
      </c>
      <c r="BW29"/>
      <c r="BX29"/>
      <c r="BY29"/>
      <c r="BZ29"/>
      <c r="CA29"/>
    </row>
    <row r="30" spans="1:79" x14ac:dyDescent="0.35">
      <c r="A30" t="s">
        <v>34</v>
      </c>
      <c r="D30" t="s">
        <v>42</v>
      </c>
      <c r="E30">
        <v>2016</v>
      </c>
      <c r="F30">
        <v>2</v>
      </c>
      <c r="G30">
        <v>5</v>
      </c>
      <c r="H30">
        <v>4</v>
      </c>
      <c r="I30"/>
      <c r="J30"/>
      <c r="K30">
        <v>29</v>
      </c>
      <c r="L30"/>
      <c r="M30">
        <v>0.86860000000000004</v>
      </c>
      <c r="N30">
        <v>3.8278063199115975E-2</v>
      </c>
      <c r="O30">
        <v>4.6869999323019829E-2</v>
      </c>
      <c r="P30">
        <v>0.11778637884671228</v>
      </c>
      <c r="Q30">
        <v>0.33133761488185409</v>
      </c>
      <c r="R30">
        <v>0.96172193680088403</v>
      </c>
      <c r="S30">
        <v>0.95313000067698017</v>
      </c>
      <c r="T30">
        <v>0.88221362115328772</v>
      </c>
      <c r="U30">
        <v>0.66866238511814591</v>
      </c>
      <c r="V30"/>
      <c r="W30"/>
      <c r="X30"/>
      <c r="Y30"/>
      <c r="Z30"/>
      <c r="AA30"/>
      <c r="AB30"/>
      <c r="AC30"/>
      <c r="AD30"/>
      <c r="AE30"/>
      <c r="AF30"/>
      <c r="AG30"/>
      <c r="AH30"/>
      <c r="AI30"/>
      <c r="AJ30"/>
      <c r="AK30"/>
      <c r="AL30"/>
      <c r="AM30"/>
      <c r="AN30"/>
      <c r="AO30"/>
      <c r="AP30">
        <v>79</v>
      </c>
      <c r="AQ30">
        <v>0.5</v>
      </c>
      <c r="AR30">
        <v>2556.5</v>
      </c>
      <c r="AS30">
        <f t="shared" si="0"/>
        <v>5113</v>
      </c>
      <c r="AT30">
        <v>272.51</v>
      </c>
      <c r="AU30">
        <v>36</v>
      </c>
      <c r="AV30">
        <f t="shared" si="1"/>
        <v>7.5697222222222216</v>
      </c>
      <c r="AW30">
        <f t="shared" si="2"/>
        <v>227.09166666666664</v>
      </c>
      <c r="AX30"/>
      <c r="AY30">
        <v>20</v>
      </c>
      <c r="AZ30">
        <v>6.22</v>
      </c>
      <c r="BA30">
        <v>2.95</v>
      </c>
      <c r="BB30">
        <v>25.62</v>
      </c>
      <c r="BC30">
        <v>7.68</v>
      </c>
      <c r="BD30"/>
      <c r="BE30">
        <f t="shared" si="3"/>
        <v>1</v>
      </c>
      <c r="BF30">
        <f t="shared" si="4"/>
        <v>42.47</v>
      </c>
      <c r="BG30">
        <f t="shared" si="5"/>
        <v>2.1234999999999999</v>
      </c>
      <c r="BH30">
        <f t="shared" si="6"/>
        <v>0.28052548530329163</v>
      </c>
      <c r="BI30">
        <f t="shared" si="7"/>
        <v>717.16340317786501</v>
      </c>
      <c r="BJ30" s="1">
        <f t="shared" si="8"/>
        <v>1434.32680635573</v>
      </c>
      <c r="BK30">
        <f t="shared" si="9"/>
        <v>0.14645632210972451</v>
      </c>
      <c r="BL30">
        <f t="shared" si="10"/>
        <v>6.9460795855898289E-2</v>
      </c>
      <c r="BM30">
        <f t="shared" si="11"/>
        <v>0.60324935248410649</v>
      </c>
      <c r="BN30">
        <f t="shared" si="12"/>
        <v>0.18083352955027077</v>
      </c>
      <c r="BO30">
        <f t="shared" si="13"/>
        <v>210.06622876224725</v>
      </c>
      <c r="BP30">
        <f t="shared" si="14"/>
        <v>99.629481486917925</v>
      </c>
      <c r="BQ30">
        <f t="shared" si="15"/>
        <v>865.2567171846905</v>
      </c>
      <c r="BR30">
        <f t="shared" si="16"/>
        <v>259.37437892187438</v>
      </c>
      <c r="BS30">
        <v>9.5</v>
      </c>
      <c r="BT30">
        <v>6.3999999999999995</v>
      </c>
      <c r="BU30">
        <v>40.774999999999999</v>
      </c>
      <c r="BV30">
        <v>48.699999999999996</v>
      </c>
      <c r="BW30"/>
      <c r="BX30"/>
      <c r="BY30"/>
      <c r="BZ30"/>
      <c r="CA30"/>
    </row>
    <row r="31" spans="1:79" x14ac:dyDescent="0.35">
      <c r="A31" t="s">
        <v>34</v>
      </c>
      <c r="D31" t="s">
        <v>36</v>
      </c>
      <c r="E31">
        <v>1984</v>
      </c>
      <c r="F31">
        <v>2</v>
      </c>
      <c r="G31">
        <v>6</v>
      </c>
      <c r="H31">
        <v>4</v>
      </c>
      <c r="I31"/>
      <c r="J31"/>
      <c r="K31">
        <v>30</v>
      </c>
      <c r="L31"/>
      <c r="M31">
        <v>0.90024999999999999</v>
      </c>
      <c r="N31">
        <v>9.2885466270304251E-2</v>
      </c>
      <c r="O31">
        <v>9.6427383748912798E-2</v>
      </c>
      <c r="P31">
        <v>0.12841601305484884</v>
      </c>
      <c r="Q31">
        <v>0.26691760476144477</v>
      </c>
      <c r="R31" s="30">
        <v>0.90711453372969575</v>
      </c>
      <c r="S31" s="30">
        <v>0.9035726162510872</v>
      </c>
      <c r="T31" s="30">
        <v>0.87158398694515116</v>
      </c>
      <c r="U31" s="30">
        <v>0.73308239523855523</v>
      </c>
      <c r="V31"/>
      <c r="W31"/>
      <c r="X31"/>
      <c r="Y31"/>
      <c r="Z31"/>
      <c r="AA31"/>
      <c r="AB31"/>
      <c r="AC31"/>
      <c r="AD31"/>
      <c r="AE31"/>
      <c r="AF31"/>
      <c r="AG31"/>
      <c r="AH31"/>
      <c r="AI31"/>
      <c r="AJ31"/>
      <c r="AK31"/>
      <c r="AL31"/>
      <c r="AM31"/>
      <c r="AN31"/>
      <c r="AO31"/>
      <c r="AP31">
        <v>79</v>
      </c>
      <c r="AQ31">
        <v>0.5</v>
      </c>
      <c r="AR31">
        <v>1527.4999999999998</v>
      </c>
      <c r="AS31">
        <f t="shared" si="0"/>
        <v>3054.9999999999995</v>
      </c>
      <c r="AT31">
        <v>179.4</v>
      </c>
      <c r="AU31">
        <v>30</v>
      </c>
      <c r="AV31">
        <f t="shared" si="1"/>
        <v>5.98</v>
      </c>
      <c r="AW31">
        <f t="shared" si="2"/>
        <v>179.4</v>
      </c>
      <c r="AX31"/>
      <c r="AY31">
        <v>20</v>
      </c>
      <c r="AZ31">
        <v>8</v>
      </c>
      <c r="BA31">
        <v>3.26</v>
      </c>
      <c r="BB31">
        <v>24.57</v>
      </c>
      <c r="BC31">
        <v>8.0299999999999994</v>
      </c>
      <c r="BD31"/>
      <c r="BE31">
        <f t="shared" si="3"/>
        <v>1</v>
      </c>
      <c r="BF31">
        <f t="shared" si="4"/>
        <v>43.86</v>
      </c>
      <c r="BG31">
        <f t="shared" si="5"/>
        <v>2.1930000000000001</v>
      </c>
      <c r="BH31">
        <f t="shared" si="6"/>
        <v>0.36672240802675582</v>
      </c>
      <c r="BI31">
        <f t="shared" si="7"/>
        <v>560.16847826086939</v>
      </c>
      <c r="BJ31" s="1">
        <f t="shared" si="8"/>
        <v>1120.3369565217388</v>
      </c>
      <c r="BK31">
        <f t="shared" si="9"/>
        <v>0.1823985408116735</v>
      </c>
      <c r="BL31">
        <f t="shared" si="10"/>
        <v>7.4327405380756953E-2</v>
      </c>
      <c r="BM31">
        <f t="shared" si="11"/>
        <v>0.56019151846785231</v>
      </c>
      <c r="BN31">
        <f t="shared" si="12"/>
        <v>0.18308253533971727</v>
      </c>
      <c r="BO31">
        <f t="shared" si="13"/>
        <v>204.34782608695645</v>
      </c>
      <c r="BP31">
        <f t="shared" si="14"/>
        <v>83.271739130434753</v>
      </c>
      <c r="BQ31">
        <f t="shared" si="15"/>
        <v>627.60326086956513</v>
      </c>
      <c r="BR31">
        <f t="shared" si="16"/>
        <v>205.11413043478254</v>
      </c>
      <c r="BS31">
        <v>4.1000000000000005</v>
      </c>
      <c r="BT31">
        <v>11.975</v>
      </c>
      <c r="BU31">
        <v>36.85</v>
      </c>
      <c r="BV31">
        <v>48.774999999999999</v>
      </c>
      <c r="BW31"/>
      <c r="BX31"/>
      <c r="BY31"/>
      <c r="BZ31"/>
      <c r="CA31"/>
    </row>
    <row r="32" spans="1:79" x14ac:dyDescent="0.35">
      <c r="A32" t="s">
        <v>34</v>
      </c>
      <c r="D32" t="s">
        <v>41</v>
      </c>
      <c r="E32">
        <v>2008</v>
      </c>
      <c r="F32">
        <v>2</v>
      </c>
      <c r="G32">
        <v>7</v>
      </c>
      <c r="H32">
        <v>4</v>
      </c>
      <c r="I32"/>
      <c r="J32"/>
      <c r="K32">
        <v>31</v>
      </c>
      <c r="L32"/>
      <c r="M32">
        <v>0.82874999999999999</v>
      </c>
      <c r="N32">
        <v>4.2086309174961478E-2</v>
      </c>
      <c r="O32">
        <v>5.3080210641336167E-2</v>
      </c>
      <c r="P32">
        <v>9.8075878824563478E-2</v>
      </c>
      <c r="Q32">
        <v>0.22669042734311451</v>
      </c>
      <c r="R32">
        <v>0.95791369082503852</v>
      </c>
      <c r="S32">
        <v>0.94691978935866383</v>
      </c>
      <c r="T32">
        <v>0.90192412117543652</v>
      </c>
      <c r="U32">
        <v>0.77330957265688549</v>
      </c>
      <c r="V32"/>
      <c r="W32"/>
      <c r="X32"/>
      <c r="Y32"/>
      <c r="Z32"/>
      <c r="AA32"/>
      <c r="AB32"/>
      <c r="AC32"/>
      <c r="AD32"/>
      <c r="AE32"/>
      <c r="AF32"/>
      <c r="AG32"/>
      <c r="AH32"/>
      <c r="AI32"/>
      <c r="AJ32"/>
      <c r="AK32"/>
      <c r="AL32"/>
      <c r="AM32"/>
      <c r="AN32"/>
      <c r="AO32"/>
      <c r="AP32">
        <v>81</v>
      </c>
      <c r="AQ32">
        <v>0.5</v>
      </c>
      <c r="AR32">
        <v>2319</v>
      </c>
      <c r="AS32">
        <f t="shared" si="0"/>
        <v>4638</v>
      </c>
      <c r="AT32">
        <v>271.10000000000002</v>
      </c>
      <c r="AU32">
        <v>37</v>
      </c>
      <c r="AV32">
        <f t="shared" si="1"/>
        <v>7.3270270270270279</v>
      </c>
      <c r="AW32">
        <f t="shared" si="2"/>
        <v>219.81081081081084</v>
      </c>
      <c r="AX32"/>
      <c r="AY32">
        <v>20</v>
      </c>
      <c r="AZ32">
        <v>6.08</v>
      </c>
      <c r="BA32">
        <v>2.56</v>
      </c>
      <c r="BB32">
        <v>22.51</v>
      </c>
      <c r="BC32">
        <v>7.64</v>
      </c>
      <c r="BD32"/>
      <c r="BE32">
        <f t="shared" si="3"/>
        <v>1</v>
      </c>
      <c r="BF32">
        <f t="shared" si="4"/>
        <v>38.79</v>
      </c>
      <c r="BG32">
        <f t="shared" si="5"/>
        <v>1.9395</v>
      </c>
      <c r="BH32">
        <f t="shared" si="6"/>
        <v>0.26470490593876794</v>
      </c>
      <c r="BI32">
        <f t="shared" si="7"/>
        <v>613.85067687200285</v>
      </c>
      <c r="BJ32" s="1">
        <f t="shared" si="8"/>
        <v>1227.7013537440057</v>
      </c>
      <c r="BK32">
        <f t="shared" si="9"/>
        <v>0.15674142820314516</v>
      </c>
      <c r="BL32">
        <f t="shared" si="10"/>
        <v>6.5996390822376905E-2</v>
      </c>
      <c r="BM32">
        <f t="shared" si="11"/>
        <v>0.58030420211394695</v>
      </c>
      <c r="BN32">
        <f t="shared" si="12"/>
        <v>0.19695797886053107</v>
      </c>
      <c r="BO32">
        <f t="shared" si="13"/>
        <v>192.43166359277018</v>
      </c>
      <c r="BP32">
        <f t="shared" si="14"/>
        <v>81.023858354850603</v>
      </c>
      <c r="BQ32">
        <f t="shared" si="15"/>
        <v>712.44025451862774</v>
      </c>
      <c r="BR32">
        <f t="shared" si="16"/>
        <v>241.80557727775724</v>
      </c>
      <c r="BS32">
        <v>5.3249999999999993</v>
      </c>
      <c r="BT32">
        <v>8.4749999999999996</v>
      </c>
      <c r="BU32">
        <v>18.475000000000001</v>
      </c>
      <c r="BV32">
        <v>49.45</v>
      </c>
      <c r="BW32"/>
      <c r="BX32"/>
      <c r="BY32"/>
      <c r="BZ32"/>
      <c r="CA32"/>
    </row>
    <row r="33" spans="1:79" x14ac:dyDescent="0.35">
      <c r="A33" t="s">
        <v>34</v>
      </c>
      <c r="D33" t="s">
        <v>37</v>
      </c>
      <c r="E33">
        <v>1989</v>
      </c>
      <c r="F33">
        <v>2</v>
      </c>
      <c r="G33">
        <v>8</v>
      </c>
      <c r="H33">
        <v>4</v>
      </c>
      <c r="I33"/>
      <c r="J33"/>
      <c r="K33">
        <v>32</v>
      </c>
      <c r="L33"/>
      <c r="M33">
        <v>0.88266999999999995</v>
      </c>
      <c r="N33">
        <v>0.1061112884718779</v>
      </c>
      <c r="O33">
        <v>9.4507400492803484E-2</v>
      </c>
      <c r="P33">
        <v>0.15142919157156531</v>
      </c>
      <c r="Q33">
        <v>0.3340557655462123</v>
      </c>
      <c r="R33">
        <v>0.8938887115281221</v>
      </c>
      <c r="S33">
        <v>0.90549259950719652</v>
      </c>
      <c r="T33">
        <v>0.84857080842843469</v>
      </c>
      <c r="U33">
        <v>0.6659442344537877</v>
      </c>
      <c r="V33"/>
      <c r="W33"/>
      <c r="X33"/>
      <c r="Y33"/>
      <c r="Z33"/>
      <c r="AA33"/>
      <c r="AB33"/>
      <c r="AC33"/>
      <c r="AD33"/>
      <c r="AE33"/>
      <c r="AF33"/>
      <c r="AG33"/>
      <c r="AH33"/>
      <c r="AI33"/>
      <c r="AJ33"/>
      <c r="AK33"/>
      <c r="AL33"/>
      <c r="AM33"/>
      <c r="AN33"/>
      <c r="AO33"/>
      <c r="AP33">
        <v>83</v>
      </c>
      <c r="AQ33">
        <v>0.5</v>
      </c>
      <c r="AR33">
        <v>1879.5</v>
      </c>
      <c r="AS33">
        <f t="shared" si="0"/>
        <v>3759</v>
      </c>
      <c r="AT33">
        <v>227.2</v>
      </c>
      <c r="AU33"/>
      <c r="AV33"/>
      <c r="AW33"/>
      <c r="AX33"/>
      <c r="AY33">
        <v>20</v>
      </c>
      <c r="AZ33">
        <v>7.18</v>
      </c>
      <c r="BA33">
        <v>2.15</v>
      </c>
      <c r="BB33">
        <v>20.49</v>
      </c>
      <c r="BC33">
        <v>7.6</v>
      </c>
      <c r="BD33"/>
      <c r="BE33">
        <f t="shared" si="3"/>
        <v>0.99999999999999989</v>
      </c>
      <c r="BF33">
        <f t="shared" si="4"/>
        <v>37.42</v>
      </c>
      <c r="BG33">
        <f t="shared" si="5"/>
        <v>1.871</v>
      </c>
      <c r="BH33"/>
      <c r="BI33"/>
      <c r="BJ33" s="1"/>
      <c r="BK33">
        <f t="shared" si="9"/>
        <v>0.19187600213789416</v>
      </c>
      <c r="BL33">
        <f t="shared" si="10"/>
        <v>5.7455905932656329E-2</v>
      </c>
      <c r="BM33">
        <f t="shared" si="11"/>
        <v>0.54756814537680376</v>
      </c>
      <c r="BN33">
        <f t="shared" si="12"/>
        <v>0.20309994655264563</v>
      </c>
      <c r="BO33"/>
      <c r="BP33"/>
      <c r="BQ33"/>
      <c r="BR33"/>
      <c r="BS33">
        <v>10.700000000000001</v>
      </c>
      <c r="BT33">
        <v>28.433333333333337</v>
      </c>
      <c r="BU33">
        <v>48.05</v>
      </c>
      <c r="BV33">
        <v>47.266666666666673</v>
      </c>
      <c r="BW33"/>
      <c r="BX33"/>
      <c r="BY33"/>
      <c r="BZ33"/>
      <c r="CA33"/>
    </row>
    <row r="34" spans="1:79" x14ac:dyDescent="0.35">
      <c r="A34" t="s">
        <v>24</v>
      </c>
      <c r="D34" t="s">
        <v>336</v>
      </c>
      <c r="E34">
        <v>2002</v>
      </c>
      <c r="F34">
        <v>3</v>
      </c>
      <c r="G34">
        <v>1</v>
      </c>
      <c r="H34">
        <v>5</v>
      </c>
      <c r="I34"/>
      <c r="J34"/>
      <c r="K34">
        <v>33</v>
      </c>
      <c r="L34"/>
      <c r="M34">
        <v>0.89080000000000004</v>
      </c>
      <c r="N34">
        <v>4.5364917867993237E-2</v>
      </c>
      <c r="O34">
        <v>7.2052519441395235E-2</v>
      </c>
      <c r="P34">
        <v>0.1043143756935524</v>
      </c>
      <c r="Q34">
        <v>0.2336492903482621</v>
      </c>
      <c r="R34">
        <v>0.95463508213200676</v>
      </c>
      <c r="S34">
        <v>0.92794748055860476</v>
      </c>
      <c r="T34">
        <v>0.8956856243064476</v>
      </c>
      <c r="U34">
        <v>0.7663507096517379</v>
      </c>
      <c r="V34"/>
      <c r="W34"/>
      <c r="X34"/>
      <c r="Y34"/>
      <c r="Z34"/>
      <c r="AA34"/>
      <c r="AB34"/>
      <c r="AC34"/>
      <c r="AD34"/>
      <c r="AE34"/>
      <c r="AF34"/>
      <c r="AG34"/>
      <c r="AH34"/>
      <c r="AI34"/>
      <c r="AJ34"/>
      <c r="AK34"/>
      <c r="AL34"/>
      <c r="AM34"/>
      <c r="AN34"/>
      <c r="AO34"/>
      <c r="AP34">
        <v>85</v>
      </c>
      <c r="AQ34">
        <v>0.5</v>
      </c>
      <c r="AR34">
        <v>2066</v>
      </c>
      <c r="AS34">
        <f t="shared" si="0"/>
        <v>4132</v>
      </c>
      <c r="AT34">
        <v>216.46</v>
      </c>
      <c r="AU34">
        <v>33</v>
      </c>
      <c r="AV34">
        <f t="shared" si="1"/>
        <v>6.5593939393939396</v>
      </c>
      <c r="AW34">
        <f t="shared" si="2"/>
        <v>196.78181818181818</v>
      </c>
      <c r="AX34"/>
      <c r="AY34">
        <v>20</v>
      </c>
      <c r="AZ34">
        <v>6.86</v>
      </c>
      <c r="BA34">
        <v>10.55</v>
      </c>
      <c r="BB34">
        <v>22.93</v>
      </c>
      <c r="BC34">
        <v>11.1</v>
      </c>
      <c r="BD34"/>
      <c r="BE34">
        <f t="shared" si="3"/>
        <v>1</v>
      </c>
      <c r="BF34">
        <f t="shared" si="4"/>
        <v>51.440000000000005</v>
      </c>
      <c r="BG34">
        <f t="shared" si="5"/>
        <v>2.5720000000000001</v>
      </c>
      <c r="BH34">
        <f t="shared" si="6"/>
        <v>0.39210939665527117</v>
      </c>
      <c r="BI34">
        <f t="shared" si="7"/>
        <v>810.09801348979022</v>
      </c>
      <c r="BJ34" s="1">
        <f t="shared" si="8"/>
        <v>1620.1960269795804</v>
      </c>
      <c r="BK34">
        <f t="shared" si="9"/>
        <v>0.1333592534992224</v>
      </c>
      <c r="BL34">
        <f t="shared" si="10"/>
        <v>0.20509331259720062</v>
      </c>
      <c r="BM34">
        <f t="shared" si="11"/>
        <v>0.44576205287713838</v>
      </c>
      <c r="BN34">
        <f t="shared" si="12"/>
        <v>0.21578538102643854</v>
      </c>
      <c r="BO34">
        <f t="shared" si="13"/>
        <v>216.06813268040284</v>
      </c>
      <c r="BP34">
        <f t="shared" si="14"/>
        <v>332.29137023006558</v>
      </c>
      <c r="BQ34">
        <f t="shared" si="15"/>
        <v>722.2219070498013</v>
      </c>
      <c r="BR34">
        <f t="shared" si="16"/>
        <v>349.61461701931069</v>
      </c>
      <c r="BS34">
        <v>4.125</v>
      </c>
      <c r="BT34">
        <v>11.425000000000001</v>
      </c>
      <c r="BU34">
        <v>31.974999999999998</v>
      </c>
      <c r="BV34">
        <v>52.65</v>
      </c>
      <c r="BW34"/>
      <c r="BX34"/>
      <c r="BY34"/>
      <c r="BZ34"/>
      <c r="CA34"/>
    </row>
    <row r="35" spans="1:79" x14ac:dyDescent="0.35">
      <c r="A35" t="s">
        <v>24</v>
      </c>
      <c r="D35" t="s">
        <v>337</v>
      </c>
      <c r="E35">
        <v>2016</v>
      </c>
      <c r="F35">
        <v>3</v>
      </c>
      <c r="G35">
        <v>2</v>
      </c>
      <c r="H35">
        <v>5</v>
      </c>
      <c r="I35"/>
      <c r="J35"/>
      <c r="K35">
        <v>34</v>
      </c>
      <c r="L35"/>
      <c r="M35">
        <v>0.87833000000000006</v>
      </c>
      <c r="N35">
        <v>5.3593648711894093E-2</v>
      </c>
      <c r="O35">
        <v>5.6101104669299628E-2</v>
      </c>
      <c r="P35">
        <v>7.4547819059045728E-2</v>
      </c>
      <c r="Q35">
        <v>0.20680410568606655</v>
      </c>
      <c r="R35">
        <v>0.94640635128810591</v>
      </c>
      <c r="S35">
        <v>0.94389889533070037</v>
      </c>
      <c r="T35">
        <v>0.92545218094095427</v>
      </c>
      <c r="U35">
        <v>0.79319589431393345</v>
      </c>
      <c r="V35"/>
      <c r="W35"/>
      <c r="X35"/>
      <c r="Y35"/>
      <c r="Z35"/>
      <c r="AA35"/>
      <c r="AB35"/>
      <c r="AC35"/>
      <c r="AD35"/>
      <c r="AE35"/>
      <c r="AF35"/>
      <c r="AG35"/>
      <c r="AH35"/>
      <c r="AI35"/>
      <c r="AJ35"/>
      <c r="AK35"/>
      <c r="AL35"/>
      <c r="AM35"/>
      <c r="AN35"/>
      <c r="AO35"/>
      <c r="AP35">
        <v>86</v>
      </c>
      <c r="AQ35">
        <v>0.5</v>
      </c>
      <c r="AR35">
        <v>2239.9999999999995</v>
      </c>
      <c r="AS35">
        <f t="shared" si="0"/>
        <v>4479.9999999999991</v>
      </c>
      <c r="AT35">
        <v>292.72000000000003</v>
      </c>
      <c r="AU35">
        <v>39</v>
      </c>
      <c r="AV35">
        <f t="shared" si="1"/>
        <v>7.505641025641026</v>
      </c>
      <c r="AW35">
        <f t="shared" si="2"/>
        <v>225.16923076923078</v>
      </c>
      <c r="AX35"/>
      <c r="AY35">
        <v>20</v>
      </c>
      <c r="AZ35">
        <v>7.96</v>
      </c>
      <c r="BA35">
        <v>7.68</v>
      </c>
      <c r="BB35">
        <v>29.48</v>
      </c>
      <c r="BC35">
        <v>10.220000000000001</v>
      </c>
      <c r="BD35"/>
      <c r="BE35">
        <f t="shared" si="3"/>
        <v>0.99999999999999989</v>
      </c>
      <c r="BF35">
        <f t="shared" si="4"/>
        <v>55.34</v>
      </c>
      <c r="BG35">
        <f t="shared" si="5"/>
        <v>2.7670000000000003</v>
      </c>
      <c r="BH35">
        <f t="shared" si="6"/>
        <v>0.36865605356654829</v>
      </c>
      <c r="BI35">
        <f t="shared" si="7"/>
        <v>825.78955998906804</v>
      </c>
      <c r="BJ35" s="1">
        <f t="shared" si="8"/>
        <v>1651.5791199781361</v>
      </c>
      <c r="BK35">
        <f t="shared" si="9"/>
        <v>0.14383809179616913</v>
      </c>
      <c r="BL35">
        <f t="shared" si="10"/>
        <v>0.13877846042645464</v>
      </c>
      <c r="BM35">
        <f t="shared" si="11"/>
        <v>0.5327069027827972</v>
      </c>
      <c r="BN35">
        <f t="shared" si="12"/>
        <v>0.18467654499457897</v>
      </c>
      <c r="BO35">
        <f t="shared" si="13"/>
        <v>237.55998906805138</v>
      </c>
      <c r="BP35">
        <f t="shared" si="14"/>
        <v>229.20360754304454</v>
      </c>
      <c r="BQ35">
        <f t="shared" si="15"/>
        <v>879.80759770429063</v>
      </c>
      <c r="BR35">
        <f t="shared" si="16"/>
        <v>305.00792566274941</v>
      </c>
      <c r="BS35">
        <v>7.8250000000000002</v>
      </c>
      <c r="BT35">
        <v>6.875</v>
      </c>
      <c r="BU35">
        <v>37.774999999999999</v>
      </c>
      <c r="BV35">
        <v>36.825000000000003</v>
      </c>
      <c r="BW35"/>
      <c r="BX35"/>
      <c r="BY35"/>
      <c r="BZ35"/>
      <c r="CA35"/>
    </row>
    <row r="36" spans="1:79" x14ac:dyDescent="0.35">
      <c r="A36" t="s">
        <v>24</v>
      </c>
      <c r="D36" t="s">
        <v>32</v>
      </c>
      <c r="E36">
        <v>2018</v>
      </c>
      <c r="F36">
        <v>3</v>
      </c>
      <c r="G36">
        <v>3</v>
      </c>
      <c r="H36">
        <v>5</v>
      </c>
      <c r="I36"/>
      <c r="J36"/>
      <c r="K36">
        <v>35</v>
      </c>
      <c r="L36"/>
      <c r="M36">
        <v>0.90469999999999995</v>
      </c>
      <c r="N36">
        <v>1.7710719099930383E-2</v>
      </c>
      <c r="O36">
        <v>2.5083380594688176E-2</v>
      </c>
      <c r="P36">
        <v>5.0428526355897896E-2</v>
      </c>
      <c r="Q36">
        <v>0.13139291821450994</v>
      </c>
      <c r="R36">
        <v>0.98228928090006962</v>
      </c>
      <c r="S36">
        <v>0.97491661940531182</v>
      </c>
      <c r="T36">
        <v>0.9495714736441021</v>
      </c>
      <c r="U36">
        <v>0.86860708178549006</v>
      </c>
      <c r="V36"/>
      <c r="W36"/>
      <c r="X36"/>
      <c r="Y36"/>
      <c r="Z36"/>
      <c r="AA36"/>
      <c r="AB36"/>
      <c r="AC36"/>
      <c r="AD36"/>
      <c r="AE36"/>
      <c r="AF36"/>
      <c r="AG36"/>
      <c r="AH36"/>
      <c r="AI36"/>
      <c r="AJ36"/>
      <c r="AK36"/>
      <c r="AL36"/>
      <c r="AM36"/>
      <c r="AN36"/>
      <c r="AO36"/>
      <c r="AP36">
        <v>80</v>
      </c>
      <c r="AQ36">
        <v>0.5</v>
      </c>
      <c r="AR36">
        <v>2190.5</v>
      </c>
      <c r="AS36">
        <f t="shared" si="0"/>
        <v>4381</v>
      </c>
      <c r="AT36">
        <v>234.7</v>
      </c>
      <c r="AU36">
        <v>34</v>
      </c>
      <c r="AV36">
        <f t="shared" si="1"/>
        <v>6.9029411764705877</v>
      </c>
      <c r="AW36">
        <f t="shared" si="2"/>
        <v>207.08823529411762</v>
      </c>
      <c r="AX36"/>
      <c r="AY36">
        <v>20</v>
      </c>
      <c r="AZ36">
        <v>8.8800000000000008</v>
      </c>
      <c r="BA36">
        <v>5.29</v>
      </c>
      <c r="BB36">
        <v>24.14</v>
      </c>
      <c r="BC36">
        <v>8.1199999999999992</v>
      </c>
      <c r="BD36"/>
      <c r="BE36">
        <f t="shared" si="3"/>
        <v>1</v>
      </c>
      <c r="BF36">
        <f t="shared" si="4"/>
        <v>46.43</v>
      </c>
      <c r="BG36">
        <f t="shared" si="5"/>
        <v>2.3214999999999999</v>
      </c>
      <c r="BH36">
        <f t="shared" si="6"/>
        <v>0.33630592245419688</v>
      </c>
      <c r="BI36">
        <f t="shared" si="7"/>
        <v>736.67812313591821</v>
      </c>
      <c r="BJ36" s="1">
        <f t="shared" si="8"/>
        <v>1473.3562462718364</v>
      </c>
      <c r="BK36">
        <f t="shared" si="9"/>
        <v>0.19125565367219471</v>
      </c>
      <c r="BL36">
        <f t="shared" si="10"/>
        <v>0.11393495584751238</v>
      </c>
      <c r="BM36">
        <f t="shared" si="11"/>
        <v>0.51992246392418695</v>
      </c>
      <c r="BN36">
        <f t="shared" si="12"/>
        <v>0.17488692655610594</v>
      </c>
      <c r="BO36">
        <f t="shared" si="13"/>
        <v>281.78771197273119</v>
      </c>
      <c r="BP36">
        <f t="shared" si="14"/>
        <v>167.86677886663827</v>
      </c>
      <c r="BQ36">
        <f t="shared" si="15"/>
        <v>766.03100979974442</v>
      </c>
      <c r="BR36">
        <f t="shared" si="16"/>
        <v>257.67074563272257</v>
      </c>
      <c r="BS36">
        <v>8.1750000000000007</v>
      </c>
      <c r="BT36">
        <v>12.074999999999999</v>
      </c>
      <c r="BU36">
        <v>39.875</v>
      </c>
      <c r="BV36">
        <v>52.4</v>
      </c>
      <c r="BW36"/>
      <c r="BX36"/>
      <c r="BY36"/>
      <c r="BZ36"/>
      <c r="CA36"/>
    </row>
    <row r="37" spans="1:79" x14ac:dyDescent="0.35">
      <c r="A37" t="s">
        <v>24</v>
      </c>
      <c r="D37" t="s">
        <v>28</v>
      </c>
      <c r="E37">
        <v>1998</v>
      </c>
      <c r="F37">
        <v>3</v>
      </c>
      <c r="G37">
        <v>4</v>
      </c>
      <c r="H37">
        <v>5</v>
      </c>
      <c r="I37"/>
      <c r="J37"/>
      <c r="K37">
        <v>36</v>
      </c>
      <c r="L37"/>
      <c r="M37">
        <v>0.92374999999999996</v>
      </c>
      <c r="N37">
        <v>2.1474984609634484E-2</v>
      </c>
      <c r="O37">
        <v>2.5512732561156604E-2</v>
      </c>
      <c r="P37">
        <v>6.8218234074725048E-2</v>
      </c>
      <c r="Q37">
        <v>0.24992096569592381</v>
      </c>
      <c r="R37">
        <v>0.97852501539036552</v>
      </c>
      <c r="S37">
        <v>0.9744872674388434</v>
      </c>
      <c r="T37">
        <v>0.93178176592527495</v>
      </c>
      <c r="U37">
        <v>0.75007903430407619</v>
      </c>
      <c r="V37"/>
      <c r="W37"/>
      <c r="X37"/>
      <c r="Y37"/>
      <c r="Z37"/>
      <c r="AA37"/>
      <c r="AB37"/>
      <c r="AC37"/>
      <c r="AD37"/>
      <c r="AE37"/>
      <c r="AF37"/>
      <c r="AG37"/>
      <c r="AH37"/>
      <c r="AI37"/>
      <c r="AJ37"/>
      <c r="AK37"/>
      <c r="AL37"/>
      <c r="AM37"/>
      <c r="AN37"/>
      <c r="AO37"/>
      <c r="AP37">
        <v>85</v>
      </c>
      <c r="AQ37">
        <v>0.5</v>
      </c>
      <c r="AR37">
        <v>2325.5</v>
      </c>
      <c r="AS37">
        <f t="shared" si="0"/>
        <v>4651</v>
      </c>
      <c r="AT37">
        <v>117.42</v>
      </c>
      <c r="AU37">
        <v>22</v>
      </c>
      <c r="AV37">
        <f t="shared" si="1"/>
        <v>5.3372727272727269</v>
      </c>
      <c r="AW37">
        <f t="shared" si="2"/>
        <v>160.1181818181818</v>
      </c>
      <c r="AX37"/>
      <c r="AY37">
        <v>20</v>
      </c>
      <c r="AZ37">
        <v>4.7699999999999996</v>
      </c>
      <c r="BA37">
        <v>4.59</v>
      </c>
      <c r="BB37">
        <v>16.260000000000002</v>
      </c>
      <c r="BC37">
        <v>5.39</v>
      </c>
      <c r="BD37"/>
      <c r="BE37">
        <f t="shared" si="3"/>
        <v>1</v>
      </c>
      <c r="BF37">
        <f t="shared" si="4"/>
        <v>31.01</v>
      </c>
      <c r="BG37">
        <f t="shared" si="5"/>
        <v>1.5505</v>
      </c>
      <c r="BH37">
        <f t="shared" si="6"/>
        <v>0.29050417305399423</v>
      </c>
      <c r="BI37">
        <f t="shared" si="7"/>
        <v>675.56745443706359</v>
      </c>
      <c r="BJ37" s="1">
        <f t="shared" si="8"/>
        <v>1351.1349088741272</v>
      </c>
      <c r="BK37">
        <f t="shared" si="9"/>
        <v>0.15382134795227345</v>
      </c>
      <c r="BL37">
        <f t="shared" si="10"/>
        <v>0.14801676878426312</v>
      </c>
      <c r="BM37">
        <f t="shared" si="11"/>
        <v>0.52434698484359887</v>
      </c>
      <c r="BN37">
        <f t="shared" si="12"/>
        <v>0.17381489841986453</v>
      </c>
      <c r="BO37">
        <f t="shared" si="13"/>
        <v>207.83339294839041</v>
      </c>
      <c r="BP37">
        <f t="shared" si="14"/>
        <v>199.99062340316812</v>
      </c>
      <c r="BQ37">
        <f t="shared" si="15"/>
        <v>708.46351558507934</v>
      </c>
      <c r="BR37">
        <f t="shared" si="16"/>
        <v>234.84737693748934</v>
      </c>
      <c r="BS37">
        <v>5.3250000000000002</v>
      </c>
      <c r="BT37">
        <v>1.45</v>
      </c>
      <c r="BU37">
        <v>24.4</v>
      </c>
      <c r="BV37">
        <v>39.774999999999999</v>
      </c>
      <c r="BW37"/>
      <c r="BX37"/>
      <c r="BY37"/>
      <c r="BZ37"/>
      <c r="CA37"/>
    </row>
    <row r="38" spans="1:79" x14ac:dyDescent="0.35">
      <c r="A38" t="s">
        <v>24</v>
      </c>
      <c r="D38" t="s">
        <v>27</v>
      </c>
      <c r="E38">
        <v>1985</v>
      </c>
      <c r="F38">
        <v>3</v>
      </c>
      <c r="G38">
        <v>5</v>
      </c>
      <c r="H38">
        <v>5</v>
      </c>
      <c r="I38"/>
      <c r="J38"/>
      <c r="K38">
        <v>37</v>
      </c>
      <c r="L38"/>
      <c r="M38">
        <v>0.90835999999999995</v>
      </c>
      <c r="N38">
        <v>2.0161949591534722E-2</v>
      </c>
      <c r="O38">
        <v>2.4766554555889941E-2</v>
      </c>
      <c r="P38">
        <v>6.4959433366852837E-2</v>
      </c>
      <c r="Q38">
        <v>0.20765421356908909</v>
      </c>
      <c r="R38">
        <v>0.97983805040846528</v>
      </c>
      <c r="S38">
        <v>0.97523344544411006</v>
      </c>
      <c r="T38">
        <v>0.93504056663314716</v>
      </c>
      <c r="U38">
        <v>0.79234578643091091</v>
      </c>
      <c r="V38"/>
      <c r="W38"/>
      <c r="X38"/>
      <c r="Y38"/>
      <c r="Z38"/>
      <c r="AA38"/>
      <c r="AB38"/>
      <c r="AC38"/>
      <c r="AD38"/>
      <c r="AE38"/>
      <c r="AF38"/>
      <c r="AG38"/>
      <c r="AH38"/>
      <c r="AI38"/>
      <c r="AJ38"/>
      <c r="AK38"/>
      <c r="AL38"/>
      <c r="AM38"/>
      <c r="AN38"/>
      <c r="AO38"/>
      <c r="AP38">
        <v>90</v>
      </c>
      <c r="AQ38">
        <v>0.5</v>
      </c>
      <c r="AR38">
        <v>2068</v>
      </c>
      <c r="AS38">
        <f t="shared" si="0"/>
        <v>4136</v>
      </c>
      <c r="AT38">
        <v>195.5</v>
      </c>
      <c r="AU38">
        <v>36</v>
      </c>
      <c r="AV38">
        <f t="shared" si="1"/>
        <v>5.4305555555555554</v>
      </c>
      <c r="AW38">
        <f t="shared" si="2"/>
        <v>162.91666666666666</v>
      </c>
      <c r="AX38"/>
      <c r="AY38">
        <v>20</v>
      </c>
      <c r="AZ38">
        <v>7.82</v>
      </c>
      <c r="BA38">
        <v>5.18</v>
      </c>
      <c r="BB38">
        <v>20.23</v>
      </c>
      <c r="BC38">
        <v>6.76</v>
      </c>
      <c r="BD38"/>
      <c r="BE38">
        <f t="shared" si="3"/>
        <v>1</v>
      </c>
      <c r="BF38">
        <f t="shared" si="4"/>
        <v>39.99</v>
      </c>
      <c r="BG38">
        <f t="shared" si="5"/>
        <v>1.9995000000000001</v>
      </c>
      <c r="BH38">
        <f t="shared" si="6"/>
        <v>0.36819437340153455</v>
      </c>
      <c r="BI38">
        <f t="shared" si="7"/>
        <v>761.42596419437348</v>
      </c>
      <c r="BJ38" s="1">
        <f t="shared" si="8"/>
        <v>1522.851928388747</v>
      </c>
      <c r="BK38">
        <f t="shared" si="9"/>
        <v>0.19554888722180544</v>
      </c>
      <c r="BL38">
        <f t="shared" si="10"/>
        <v>0.12953238309577392</v>
      </c>
      <c r="BM38">
        <f t="shared" si="11"/>
        <v>0.50587646911727935</v>
      </c>
      <c r="BN38">
        <f t="shared" si="12"/>
        <v>0.16904226056514127</v>
      </c>
      <c r="BO38">
        <f t="shared" si="13"/>
        <v>297.79200000000003</v>
      </c>
      <c r="BP38">
        <f t="shared" si="14"/>
        <v>197.25863938618923</v>
      </c>
      <c r="BQ38">
        <f t="shared" si="15"/>
        <v>770.37495652173925</v>
      </c>
      <c r="BR38">
        <f t="shared" si="16"/>
        <v>257.42633248081842</v>
      </c>
      <c r="BS38">
        <v>7.4249999999999998</v>
      </c>
      <c r="BT38">
        <v>9.4</v>
      </c>
      <c r="BU38">
        <v>32.549999999999997</v>
      </c>
      <c r="BV38">
        <v>48.174999999999997</v>
      </c>
      <c r="BW38"/>
      <c r="BX38"/>
      <c r="BY38"/>
      <c r="BZ38"/>
      <c r="CA38"/>
    </row>
    <row r="39" spans="1:79" x14ac:dyDescent="0.35">
      <c r="A39" t="s">
        <v>24</v>
      </c>
      <c r="D39" t="s">
        <v>335</v>
      </c>
      <c r="E39">
        <v>2023</v>
      </c>
      <c r="F39">
        <v>3</v>
      </c>
      <c r="G39">
        <v>6</v>
      </c>
      <c r="H39">
        <v>5</v>
      </c>
      <c r="I39"/>
      <c r="J39"/>
      <c r="K39">
        <v>38</v>
      </c>
      <c r="L39"/>
      <c r="M39">
        <v>0.92149999999999999</v>
      </c>
      <c r="N39">
        <v>1.5431642639971543E-2</v>
      </c>
      <c r="O39">
        <v>1.9309459962761455E-2</v>
      </c>
      <c r="P39">
        <v>4.6779099069051977E-2</v>
      </c>
      <c r="Q39">
        <v>0.21257224289841514</v>
      </c>
      <c r="R39">
        <v>0.98456835736002846</v>
      </c>
      <c r="S39">
        <v>0.98069054003723855</v>
      </c>
      <c r="T39">
        <v>0.95322090093094802</v>
      </c>
      <c r="U39">
        <v>0.78742775710158486</v>
      </c>
      <c r="V39"/>
      <c r="W39"/>
      <c r="X39"/>
      <c r="Y39"/>
      <c r="Z39"/>
      <c r="AA39"/>
      <c r="AB39"/>
      <c r="AC39"/>
      <c r="AD39"/>
      <c r="AE39"/>
      <c r="AF39"/>
      <c r="AG39"/>
      <c r="AH39"/>
      <c r="AI39"/>
      <c r="AJ39"/>
      <c r="AK39"/>
      <c r="AL39"/>
      <c r="AM39"/>
      <c r="AN39"/>
      <c r="AO39"/>
      <c r="AP39">
        <v>85</v>
      </c>
      <c r="AQ39">
        <v>0.5</v>
      </c>
      <c r="AR39">
        <v>2693</v>
      </c>
      <c r="AS39">
        <f t="shared" si="0"/>
        <v>5386</v>
      </c>
      <c r="AT39">
        <v>220.89</v>
      </c>
      <c r="AU39">
        <v>32</v>
      </c>
      <c r="AV39">
        <f t="shared" si="1"/>
        <v>6.9028124999999996</v>
      </c>
      <c r="AW39">
        <f t="shared" si="2"/>
        <v>207.08437499999999</v>
      </c>
      <c r="AX39"/>
      <c r="AY39">
        <v>20</v>
      </c>
      <c r="AZ39">
        <v>6.62</v>
      </c>
      <c r="BA39">
        <v>4.4000000000000004</v>
      </c>
      <c r="BB39">
        <v>24.75</v>
      </c>
      <c r="BC39">
        <v>7.41</v>
      </c>
      <c r="BD39"/>
      <c r="BE39">
        <f t="shared" si="3"/>
        <v>1.0000000000000002</v>
      </c>
      <c r="BF39">
        <f t="shared" si="4"/>
        <v>43.179999999999993</v>
      </c>
      <c r="BG39">
        <f t="shared" si="5"/>
        <v>2.1589999999999998</v>
      </c>
      <c r="BH39">
        <f t="shared" si="6"/>
        <v>0.31277106251980624</v>
      </c>
      <c r="BI39">
        <f t="shared" si="7"/>
        <v>842.2924713658382</v>
      </c>
      <c r="BJ39" s="1">
        <f t="shared" si="8"/>
        <v>1684.5849427316764</v>
      </c>
      <c r="BK39">
        <f t="shared" si="9"/>
        <v>0.1533117183881427</v>
      </c>
      <c r="BL39">
        <f t="shared" si="10"/>
        <v>0.10189902732746645</v>
      </c>
      <c r="BM39">
        <f t="shared" si="11"/>
        <v>0.57318202871699875</v>
      </c>
      <c r="BN39">
        <f t="shared" si="12"/>
        <v>0.17160722556739236</v>
      </c>
      <c r="BO39">
        <f t="shared" si="13"/>
        <v>258.26661234098424</v>
      </c>
      <c r="BP39">
        <f t="shared" si="14"/>
        <v>171.65756711485358</v>
      </c>
      <c r="BQ39">
        <f t="shared" si="15"/>
        <v>965.57381502105147</v>
      </c>
      <c r="BR39">
        <f t="shared" si="16"/>
        <v>289.0869482547875</v>
      </c>
      <c r="BS39">
        <v>6.3250000000000002</v>
      </c>
      <c r="BT39">
        <v>10.3</v>
      </c>
      <c r="BU39">
        <v>20.974999999999998</v>
      </c>
      <c r="BV39">
        <v>52.625</v>
      </c>
      <c r="BW39"/>
      <c r="BX39"/>
      <c r="BY39"/>
      <c r="BZ39"/>
      <c r="CA39"/>
    </row>
    <row r="40" spans="1:79" x14ac:dyDescent="0.35">
      <c r="A40" t="s">
        <v>24</v>
      </c>
      <c r="D40" t="s">
        <v>29</v>
      </c>
      <c r="E40">
        <v>1999</v>
      </c>
      <c r="F40">
        <v>3</v>
      </c>
      <c r="G40">
        <v>7</v>
      </c>
      <c r="H40">
        <v>5</v>
      </c>
      <c r="I40"/>
      <c r="J40"/>
      <c r="K40">
        <v>39</v>
      </c>
      <c r="L40"/>
      <c r="M40">
        <v>0.89510000000000001</v>
      </c>
      <c r="N40">
        <v>2.2023420577214514E-2</v>
      </c>
      <c r="O40">
        <v>2.6547117291572331E-2</v>
      </c>
      <c r="P40">
        <v>5.4418380191979976E-2</v>
      </c>
      <c r="Q40">
        <v>0.18991328659473994</v>
      </c>
      <c r="R40">
        <v>0.97797657942278549</v>
      </c>
      <c r="S40">
        <v>0.97345288270842767</v>
      </c>
      <c r="T40">
        <v>0.94558161980802002</v>
      </c>
      <c r="U40">
        <v>0.81008671340526006</v>
      </c>
      <c r="V40"/>
      <c r="W40"/>
      <c r="X40"/>
      <c r="Y40"/>
      <c r="Z40"/>
      <c r="AA40"/>
      <c r="AB40"/>
      <c r="AC40"/>
      <c r="AD40"/>
      <c r="AE40"/>
      <c r="AF40"/>
      <c r="AG40"/>
      <c r="AH40"/>
      <c r="AI40"/>
      <c r="AJ40"/>
      <c r="AK40"/>
      <c r="AL40"/>
      <c r="AM40"/>
      <c r="AN40"/>
      <c r="AO40"/>
      <c r="AP40">
        <v>90</v>
      </c>
      <c r="AQ40">
        <v>0.5</v>
      </c>
      <c r="AR40">
        <v>2195.9999999999995</v>
      </c>
      <c r="AS40">
        <f t="shared" si="0"/>
        <v>4391.9999999999991</v>
      </c>
      <c r="AT40">
        <v>203.3</v>
      </c>
      <c r="AU40">
        <v>32</v>
      </c>
      <c r="AV40">
        <f t="shared" si="1"/>
        <v>6.3531250000000004</v>
      </c>
      <c r="AW40">
        <f t="shared" si="2"/>
        <v>190.59375</v>
      </c>
      <c r="AX40"/>
      <c r="AY40">
        <v>20</v>
      </c>
      <c r="AZ40">
        <v>6.55</v>
      </c>
      <c r="BA40">
        <v>6.94</v>
      </c>
      <c r="BB40">
        <v>21.64</v>
      </c>
      <c r="BC40">
        <v>7.36</v>
      </c>
      <c r="BD40"/>
      <c r="BE40">
        <f t="shared" si="3"/>
        <v>1</v>
      </c>
      <c r="BF40">
        <f t="shared" si="4"/>
        <v>42.49</v>
      </c>
      <c r="BG40">
        <f t="shared" si="5"/>
        <v>2.1245000000000003</v>
      </c>
      <c r="BH40">
        <f t="shared" si="6"/>
        <v>0.33440236104279392</v>
      </c>
      <c r="BI40">
        <f t="shared" si="7"/>
        <v>734.34758484997531</v>
      </c>
      <c r="BJ40" s="1">
        <f t="shared" si="8"/>
        <v>1468.6951696999506</v>
      </c>
      <c r="BK40">
        <f t="shared" si="9"/>
        <v>0.15415391856907507</v>
      </c>
      <c r="BL40">
        <f t="shared" si="10"/>
        <v>0.16333254883502002</v>
      </c>
      <c r="BM40">
        <f t="shared" si="11"/>
        <v>0.50929630501294421</v>
      </c>
      <c r="BN40">
        <f t="shared" si="12"/>
        <v>0.17321722758296071</v>
      </c>
      <c r="BO40">
        <f t="shared" si="13"/>
        <v>226.40511559272008</v>
      </c>
      <c r="BP40">
        <f t="shared" si="14"/>
        <v>239.8857255287752</v>
      </c>
      <c r="BQ40">
        <f t="shared" si="15"/>
        <v>748.00102311854391</v>
      </c>
      <c r="BR40">
        <f t="shared" si="16"/>
        <v>254.40330545991145</v>
      </c>
      <c r="BS40">
        <v>9.5500000000000007</v>
      </c>
      <c r="BT40">
        <v>21.3</v>
      </c>
      <c r="BU40">
        <v>32.299999999999997</v>
      </c>
      <c r="BV40">
        <v>45.425000000000004</v>
      </c>
      <c r="BW40"/>
      <c r="BX40"/>
      <c r="BY40"/>
      <c r="BZ40"/>
      <c r="CA40"/>
    </row>
    <row r="41" spans="1:79" x14ac:dyDescent="0.35">
      <c r="A41" t="s">
        <v>24</v>
      </c>
      <c r="D41" t="s">
        <v>26</v>
      </c>
      <c r="E41">
        <v>1983</v>
      </c>
      <c r="F41">
        <v>3</v>
      </c>
      <c r="G41">
        <v>8</v>
      </c>
      <c r="H41">
        <v>5</v>
      </c>
      <c r="I41"/>
      <c r="J41"/>
      <c r="K41">
        <v>40</v>
      </c>
      <c r="L41"/>
      <c r="M41">
        <v>0.91764000000000001</v>
      </c>
      <c r="N41">
        <v>2.3800928246816566E-2</v>
      </c>
      <c r="O41">
        <v>4.5327460229377503E-2</v>
      </c>
      <c r="P41">
        <v>0.11563854540739382</v>
      </c>
      <c r="Q41">
        <v>0.3300655992586139</v>
      </c>
      <c r="R41">
        <v>0.97619907175318343</v>
      </c>
      <c r="S41">
        <v>0.9546725397706225</v>
      </c>
      <c r="T41">
        <v>0.88436145459260618</v>
      </c>
      <c r="U41">
        <v>0.6699344007413861</v>
      </c>
      <c r="V41"/>
      <c r="W41"/>
      <c r="X41"/>
      <c r="Y41"/>
      <c r="Z41"/>
      <c r="AA41"/>
      <c r="AB41"/>
      <c r="AC41"/>
      <c r="AD41"/>
      <c r="AE41"/>
      <c r="AF41"/>
      <c r="AG41"/>
      <c r="AH41"/>
      <c r="AI41"/>
      <c r="AJ41"/>
      <c r="AK41"/>
      <c r="AL41"/>
      <c r="AM41"/>
      <c r="AN41"/>
      <c r="AO41"/>
      <c r="AP41">
        <v>98</v>
      </c>
      <c r="AQ41">
        <v>0.5</v>
      </c>
      <c r="AR41">
        <v>2042.9999999999998</v>
      </c>
      <c r="AS41">
        <f t="shared" si="0"/>
        <v>4085.9999999999995</v>
      </c>
      <c r="AT41">
        <v>140.5</v>
      </c>
      <c r="AU41">
        <v>30</v>
      </c>
      <c r="AV41">
        <f t="shared" si="1"/>
        <v>4.6833333333333336</v>
      </c>
      <c r="AW41">
        <f t="shared" si="2"/>
        <v>140.5</v>
      </c>
      <c r="AX41"/>
      <c r="AY41">
        <v>20</v>
      </c>
      <c r="AZ41">
        <v>5.71</v>
      </c>
      <c r="BA41">
        <v>5.61</v>
      </c>
      <c r="BB41">
        <v>20.98</v>
      </c>
      <c r="BC41">
        <v>6.97</v>
      </c>
      <c r="BD41"/>
      <c r="BE41">
        <f t="shared" si="3"/>
        <v>1.0000000000000002</v>
      </c>
      <c r="BF41">
        <f t="shared" si="4"/>
        <v>39.269999999999996</v>
      </c>
      <c r="BG41">
        <f t="shared" si="5"/>
        <v>1.9634999999999998</v>
      </c>
      <c r="BH41">
        <f t="shared" si="6"/>
        <v>0.41925266903914582</v>
      </c>
      <c r="BI41">
        <f t="shared" si="7"/>
        <v>856.53320284697486</v>
      </c>
      <c r="BJ41" s="1">
        <f t="shared" si="8"/>
        <v>1713.0664056939497</v>
      </c>
      <c r="BK41">
        <f t="shared" si="9"/>
        <v>0.14540361599185131</v>
      </c>
      <c r="BL41">
        <f t="shared" si="10"/>
        <v>0.14285714285714288</v>
      </c>
      <c r="BM41">
        <f t="shared" si="11"/>
        <v>0.53425006366182848</v>
      </c>
      <c r="BN41">
        <f t="shared" si="12"/>
        <v>0.1774891774891775</v>
      </c>
      <c r="BO41">
        <f t="shared" si="13"/>
        <v>249.08604982206404</v>
      </c>
      <c r="BP41">
        <f t="shared" si="14"/>
        <v>244.72377224199286</v>
      </c>
      <c r="BQ41">
        <f t="shared" si="15"/>
        <v>915.20583629893235</v>
      </c>
      <c r="BR41">
        <f t="shared" si="16"/>
        <v>304.0507473309608</v>
      </c>
      <c r="BS41">
        <v>6.6999999999999993</v>
      </c>
      <c r="BT41">
        <v>27.524999999999999</v>
      </c>
      <c r="BU41">
        <v>28</v>
      </c>
      <c r="BV41">
        <v>46.575000000000003</v>
      </c>
      <c r="BW41"/>
      <c r="BX41"/>
      <c r="BY41"/>
      <c r="BZ41"/>
      <c r="CA41"/>
    </row>
    <row r="42" spans="1:79" x14ac:dyDescent="0.35">
      <c r="A42" t="s">
        <v>34</v>
      </c>
      <c r="D42" t="s">
        <v>41</v>
      </c>
      <c r="E42">
        <v>2008</v>
      </c>
      <c r="F42">
        <v>3</v>
      </c>
      <c r="G42">
        <v>1</v>
      </c>
      <c r="H42">
        <v>6</v>
      </c>
      <c r="I42"/>
      <c r="J42"/>
      <c r="K42">
        <v>41</v>
      </c>
      <c r="L42"/>
      <c r="M42">
        <v>0.90200000000000002</v>
      </c>
      <c r="N42">
        <v>1.8904590497664131E-2</v>
      </c>
      <c r="O42">
        <v>2.1185896849601704E-2</v>
      </c>
      <c r="P42">
        <v>5.9709557527868329E-2</v>
      </c>
      <c r="Q42">
        <v>0.21016878293927577</v>
      </c>
      <c r="R42">
        <v>0.98109540950233587</v>
      </c>
      <c r="S42">
        <v>0.9788141031503983</v>
      </c>
      <c r="T42">
        <v>0.94029044247213167</v>
      </c>
      <c r="U42">
        <v>0.78983121706072423</v>
      </c>
      <c r="V42"/>
      <c r="W42"/>
      <c r="X42"/>
      <c r="Y42"/>
      <c r="Z42"/>
      <c r="AA42"/>
      <c r="AB42"/>
      <c r="AC42"/>
      <c r="AD42"/>
      <c r="AE42"/>
      <c r="AF42"/>
      <c r="AG42"/>
      <c r="AH42"/>
      <c r="AI42"/>
      <c r="AJ42"/>
      <c r="AK42"/>
      <c r="AL42"/>
      <c r="AM42"/>
      <c r="AN42"/>
      <c r="AO42"/>
      <c r="AP42">
        <v>85</v>
      </c>
      <c r="AQ42">
        <v>0.5</v>
      </c>
      <c r="AR42">
        <v>2694.5</v>
      </c>
      <c r="AS42">
        <f t="shared" si="0"/>
        <v>5389</v>
      </c>
      <c r="AT42">
        <v>255.5</v>
      </c>
      <c r="AU42">
        <v>33</v>
      </c>
      <c r="AV42">
        <f t="shared" si="1"/>
        <v>7.7424242424242422</v>
      </c>
      <c r="AW42">
        <f t="shared" si="2"/>
        <v>232.27272727272725</v>
      </c>
      <c r="AX42"/>
      <c r="AY42">
        <v>20</v>
      </c>
      <c r="AZ42">
        <v>6.88</v>
      </c>
      <c r="BA42">
        <v>3.23</v>
      </c>
      <c r="BB42">
        <v>22.2</v>
      </c>
      <c r="BC42">
        <v>6.72</v>
      </c>
      <c r="BD42"/>
      <c r="BE42">
        <f t="shared" si="3"/>
        <v>1</v>
      </c>
      <c r="BF42">
        <f t="shared" si="4"/>
        <v>39.03</v>
      </c>
      <c r="BG42">
        <f t="shared" si="5"/>
        <v>1.9515</v>
      </c>
      <c r="BH42">
        <f t="shared" si="6"/>
        <v>0.25205283757338554</v>
      </c>
      <c r="BI42">
        <f t="shared" si="7"/>
        <v>679.15637084148727</v>
      </c>
      <c r="BJ42" s="1">
        <f t="shared" si="8"/>
        <v>1358.3127416829745</v>
      </c>
      <c r="BK42">
        <f t="shared" si="9"/>
        <v>0.17627466051755059</v>
      </c>
      <c r="BL42">
        <f t="shared" si="10"/>
        <v>8.2756853702280295E-2</v>
      </c>
      <c r="BM42">
        <f t="shared" si="11"/>
        <v>0.56879323597232889</v>
      </c>
      <c r="BN42">
        <f t="shared" si="12"/>
        <v>0.1721752498078401</v>
      </c>
      <c r="BO42">
        <f t="shared" si="13"/>
        <v>239.43611741682972</v>
      </c>
      <c r="BP42">
        <f t="shared" si="14"/>
        <v>112.40968884540116</v>
      </c>
      <c r="BQ42">
        <f t="shared" si="15"/>
        <v>772.59909980430518</v>
      </c>
      <c r="BR42">
        <f t="shared" si="16"/>
        <v>233.86783561643833</v>
      </c>
      <c r="BS42">
        <v>6.625</v>
      </c>
      <c r="BT42">
        <v>6.9749999999999996</v>
      </c>
      <c r="BU42">
        <v>20.45</v>
      </c>
      <c r="BV42">
        <v>42.524999999999999</v>
      </c>
      <c r="BW42"/>
      <c r="BX42"/>
      <c r="BY42"/>
      <c r="BZ42"/>
      <c r="CA42"/>
    </row>
    <row r="43" spans="1:79" x14ac:dyDescent="0.35">
      <c r="A43" t="s">
        <v>34</v>
      </c>
      <c r="D43" t="s">
        <v>36</v>
      </c>
      <c r="E43">
        <v>1984</v>
      </c>
      <c r="F43">
        <v>3</v>
      </c>
      <c r="G43">
        <v>2</v>
      </c>
      <c r="H43">
        <v>6</v>
      </c>
      <c r="I43"/>
      <c r="J43"/>
      <c r="K43">
        <v>42</v>
      </c>
      <c r="L43"/>
      <c r="M43">
        <v>0.89692000000000005</v>
      </c>
      <c r="N43">
        <v>5.4601939624300821E-2</v>
      </c>
      <c r="O43">
        <v>6.101431669860502E-2</v>
      </c>
      <c r="P43">
        <v>9.8002450330733404E-2</v>
      </c>
      <c r="Q43">
        <v>0.22761228019954416</v>
      </c>
      <c r="R43">
        <v>0.94539806037569918</v>
      </c>
      <c r="S43">
        <v>0.93898568330139498</v>
      </c>
      <c r="T43">
        <v>0.9019975496692666</v>
      </c>
      <c r="U43">
        <v>0.77238771980045584</v>
      </c>
      <c r="V43"/>
      <c r="W43"/>
      <c r="X43"/>
      <c r="Y43"/>
      <c r="Z43"/>
      <c r="AA43"/>
      <c r="AB43"/>
      <c r="AC43"/>
      <c r="AD43"/>
      <c r="AE43"/>
      <c r="AF43"/>
      <c r="AG43"/>
      <c r="AH43"/>
      <c r="AI43"/>
      <c r="AJ43"/>
      <c r="AK43"/>
      <c r="AL43"/>
      <c r="AM43"/>
      <c r="AN43"/>
      <c r="AO43"/>
      <c r="AP43">
        <v>71</v>
      </c>
      <c r="AQ43">
        <v>0.5</v>
      </c>
      <c r="AR43">
        <v>1991.4999999999998</v>
      </c>
      <c r="AS43">
        <f t="shared" si="0"/>
        <v>3982.9999999999995</v>
      </c>
      <c r="AT43">
        <v>220.1</v>
      </c>
      <c r="AU43">
        <v>37</v>
      </c>
      <c r="AV43">
        <f t="shared" si="1"/>
        <v>5.9486486486486481</v>
      </c>
      <c r="AW43">
        <f t="shared" si="2"/>
        <v>178.45945945945945</v>
      </c>
      <c r="AX43"/>
      <c r="AY43">
        <v>20</v>
      </c>
      <c r="AZ43">
        <v>7.61</v>
      </c>
      <c r="BA43">
        <v>4.18</v>
      </c>
      <c r="BB43">
        <v>21.59</v>
      </c>
      <c r="BC43">
        <v>8.2100000000000009</v>
      </c>
      <c r="BD43"/>
      <c r="BE43">
        <f t="shared" si="3"/>
        <v>1</v>
      </c>
      <c r="BF43">
        <f t="shared" si="4"/>
        <v>41.589999999999996</v>
      </c>
      <c r="BG43">
        <f t="shared" si="5"/>
        <v>2.0794999999999999</v>
      </c>
      <c r="BH43">
        <f t="shared" si="6"/>
        <v>0.34957519309404816</v>
      </c>
      <c r="BI43">
        <f t="shared" si="7"/>
        <v>696.17899704679689</v>
      </c>
      <c r="BJ43" s="1">
        <f t="shared" si="8"/>
        <v>1392.3579940935938</v>
      </c>
      <c r="BK43">
        <f t="shared" si="9"/>
        <v>0.18297667708583795</v>
      </c>
      <c r="BL43">
        <f t="shared" si="10"/>
        <v>0.10050492906948787</v>
      </c>
      <c r="BM43">
        <f t="shared" si="11"/>
        <v>0.51911517191632606</v>
      </c>
      <c r="BN43">
        <f t="shared" si="12"/>
        <v>0.19740322192834819</v>
      </c>
      <c r="BO43">
        <f t="shared" si="13"/>
        <v>254.76903907314858</v>
      </c>
      <c r="BP43">
        <f t="shared" si="14"/>
        <v>139.93884143571105</v>
      </c>
      <c r="BQ43">
        <f t="shared" si="15"/>
        <v>722.79415947296684</v>
      </c>
      <c r="BR43">
        <f t="shared" si="16"/>
        <v>274.8559541117674</v>
      </c>
      <c r="BS43">
        <v>4.05</v>
      </c>
      <c r="BT43">
        <v>29.074999999999999</v>
      </c>
      <c r="BU43">
        <v>44.75</v>
      </c>
      <c r="BV43">
        <v>49.3</v>
      </c>
      <c r="BW43"/>
      <c r="BX43"/>
      <c r="BY43"/>
      <c r="BZ43"/>
      <c r="CA43"/>
    </row>
    <row r="44" spans="1:79" x14ac:dyDescent="0.35">
      <c r="A44" t="s">
        <v>34</v>
      </c>
      <c r="D44" t="s">
        <v>37</v>
      </c>
      <c r="E44">
        <v>1989</v>
      </c>
      <c r="F44">
        <v>3</v>
      </c>
      <c r="G44">
        <v>3</v>
      </c>
      <c r="H44">
        <v>6</v>
      </c>
      <c r="I44"/>
      <c r="J44"/>
      <c r="K44">
        <v>43</v>
      </c>
      <c r="L44"/>
      <c r="M44">
        <v>0.92600000000000005</v>
      </c>
      <c r="N44">
        <v>2.8746601961940454E-2</v>
      </c>
      <c r="O44">
        <v>5.3808165351328041E-2</v>
      </c>
      <c r="P44">
        <v>9.527056356814867E-2</v>
      </c>
      <c r="Q44">
        <v>0.21071486974660003</v>
      </c>
      <c r="R44">
        <v>0.97125339803805955</v>
      </c>
      <c r="S44">
        <v>0.94619183464867196</v>
      </c>
      <c r="T44">
        <v>0.90472943643185133</v>
      </c>
      <c r="U44">
        <v>0.78928513025339997</v>
      </c>
      <c r="V44"/>
      <c r="W44"/>
      <c r="X44"/>
      <c r="Y44"/>
      <c r="Z44"/>
      <c r="AA44"/>
      <c r="AB44"/>
      <c r="AC44"/>
      <c r="AD44"/>
      <c r="AE44"/>
      <c r="AF44"/>
      <c r="AG44"/>
      <c r="AH44"/>
      <c r="AI44"/>
      <c r="AJ44"/>
      <c r="AK44"/>
      <c r="AL44"/>
      <c r="AM44"/>
      <c r="AN44"/>
      <c r="AO44"/>
      <c r="AP44">
        <v>76</v>
      </c>
      <c r="AQ44">
        <v>0.5</v>
      </c>
      <c r="AR44">
        <v>2234</v>
      </c>
      <c r="AS44">
        <f t="shared" si="0"/>
        <v>4468</v>
      </c>
      <c r="AT44">
        <v>237.5</v>
      </c>
      <c r="AU44">
        <v>31</v>
      </c>
      <c r="AV44">
        <f t="shared" si="1"/>
        <v>7.661290322580645</v>
      </c>
      <c r="AW44">
        <f t="shared" si="2"/>
        <v>229.83870967741936</v>
      </c>
      <c r="AX44"/>
      <c r="AY44">
        <v>20</v>
      </c>
      <c r="AZ44"/>
      <c r="BA44">
        <v>3.63</v>
      </c>
      <c r="BB44">
        <v>23.02</v>
      </c>
      <c r="BC44">
        <v>7.76</v>
      </c>
      <c r="BD44"/>
      <c r="BE44">
        <f t="shared" si="3"/>
        <v>1</v>
      </c>
      <c r="BF44">
        <f t="shared" si="4"/>
        <v>34.409999999999997</v>
      </c>
      <c r="BG44">
        <f t="shared" si="5"/>
        <v>1.7204999999999999</v>
      </c>
      <c r="BH44">
        <f t="shared" si="6"/>
        <v>0.22457052631578947</v>
      </c>
      <c r="BI44">
        <f t="shared" si="7"/>
        <v>501.69055578947365</v>
      </c>
      <c r="BJ44" s="1">
        <f t="shared" si="8"/>
        <v>1003.3811115789473</v>
      </c>
      <c r="BK44"/>
      <c r="BL44">
        <f t="shared" si="10"/>
        <v>0.10549258936355711</v>
      </c>
      <c r="BM44">
        <f t="shared" si="11"/>
        <v>0.6689915722173787</v>
      </c>
      <c r="BN44">
        <f t="shared" si="12"/>
        <v>0.22551583841906425</v>
      </c>
      <c r="BO44"/>
      <c r="BP44">
        <f t="shared" si="14"/>
        <v>105.84927157894737</v>
      </c>
      <c r="BQ44">
        <f t="shared" si="15"/>
        <v>671.25350736842108</v>
      </c>
      <c r="BR44">
        <f t="shared" si="16"/>
        <v>226.27833263157896</v>
      </c>
      <c r="BS44">
        <v>4.8000000000000007</v>
      </c>
      <c r="BT44">
        <v>34.65</v>
      </c>
      <c r="BU44">
        <v>25.325000000000003</v>
      </c>
      <c r="BV44">
        <v>43.924999999999997</v>
      </c>
      <c r="BW44"/>
      <c r="BX44"/>
      <c r="BY44"/>
      <c r="BZ44"/>
      <c r="CA44"/>
    </row>
    <row r="45" spans="1:79" x14ac:dyDescent="0.35">
      <c r="A45" t="s">
        <v>34</v>
      </c>
      <c r="D45" t="s">
        <v>42</v>
      </c>
      <c r="E45">
        <v>2016</v>
      </c>
      <c r="F45">
        <v>3</v>
      </c>
      <c r="G45">
        <v>4</v>
      </c>
      <c r="H45">
        <v>6</v>
      </c>
      <c r="I45"/>
      <c r="J45"/>
      <c r="K45">
        <v>44</v>
      </c>
      <c r="L45"/>
      <c r="M45">
        <v>0.89914000000000005</v>
      </c>
      <c r="N45">
        <v>3.9818957986777148E-2</v>
      </c>
      <c r="O45">
        <v>4.6811947929521258E-2</v>
      </c>
      <c r="P45">
        <v>9.8690137447132953E-2</v>
      </c>
      <c r="Q45">
        <v>0.28535939002798161</v>
      </c>
      <c r="R45">
        <v>0.96018104201322285</v>
      </c>
      <c r="S45">
        <v>0.95318805207047874</v>
      </c>
      <c r="T45">
        <v>0.90130986255286705</v>
      </c>
      <c r="U45">
        <v>0.71464060997201839</v>
      </c>
      <c r="V45"/>
      <c r="W45"/>
      <c r="X45"/>
      <c r="Y45"/>
      <c r="Z45"/>
      <c r="AA45"/>
      <c r="AB45"/>
      <c r="AC45"/>
      <c r="AD45"/>
      <c r="AE45"/>
      <c r="AF45"/>
      <c r="AG45"/>
      <c r="AH45"/>
      <c r="AI45"/>
      <c r="AJ45"/>
      <c r="AK45"/>
      <c r="AL45"/>
      <c r="AM45"/>
      <c r="AN45"/>
      <c r="AO45"/>
      <c r="AP45">
        <v>78</v>
      </c>
      <c r="AQ45">
        <v>0.5</v>
      </c>
      <c r="AR45">
        <v>2714</v>
      </c>
      <c r="AS45">
        <f t="shared" si="0"/>
        <v>5428</v>
      </c>
      <c r="AT45">
        <v>185.42</v>
      </c>
      <c r="AU45">
        <v>22</v>
      </c>
      <c r="AV45">
        <f t="shared" si="1"/>
        <v>8.4281818181818178</v>
      </c>
      <c r="AW45">
        <f t="shared" si="2"/>
        <v>252.84545454545454</v>
      </c>
      <c r="AX45"/>
      <c r="AY45">
        <v>20</v>
      </c>
      <c r="AZ45">
        <v>8.56</v>
      </c>
      <c r="BA45">
        <v>2.83</v>
      </c>
      <c r="BB45">
        <v>25.58</v>
      </c>
      <c r="BC45">
        <v>7.33</v>
      </c>
      <c r="BD45"/>
      <c r="BE45">
        <f t="shared" si="3"/>
        <v>1</v>
      </c>
      <c r="BF45">
        <f t="shared" si="4"/>
        <v>44.3</v>
      </c>
      <c r="BG45">
        <f t="shared" si="5"/>
        <v>2.2149999999999999</v>
      </c>
      <c r="BH45">
        <f t="shared" si="6"/>
        <v>0.2628087584942293</v>
      </c>
      <c r="BI45">
        <f t="shared" si="7"/>
        <v>713.26297055333828</v>
      </c>
      <c r="BJ45" s="1">
        <f t="shared" si="8"/>
        <v>1426.5259411066766</v>
      </c>
      <c r="BK45">
        <f t="shared" si="9"/>
        <v>0.19322799097065466</v>
      </c>
      <c r="BL45">
        <f t="shared" si="10"/>
        <v>6.3882618510158015E-2</v>
      </c>
      <c r="BM45">
        <f t="shared" si="11"/>
        <v>0.57742663656884874</v>
      </c>
      <c r="BN45">
        <f t="shared" si="12"/>
        <v>0.1654627539503386</v>
      </c>
      <c r="BO45">
        <f t="shared" si="13"/>
        <v>275.64474166756554</v>
      </c>
      <c r="BP45">
        <f t="shared" si="14"/>
        <v>91.130212490561959</v>
      </c>
      <c r="BQ45">
        <f t="shared" si="15"/>
        <v>823.71407615143983</v>
      </c>
      <c r="BR45">
        <f t="shared" si="16"/>
        <v>236.03691079710924</v>
      </c>
      <c r="BS45">
        <v>14.325000000000001</v>
      </c>
      <c r="BT45">
        <v>13.675000000000001</v>
      </c>
      <c r="BU45">
        <v>39.899999999999991</v>
      </c>
      <c r="BV45">
        <v>48.974999999999994</v>
      </c>
      <c r="BW45"/>
      <c r="BX45"/>
      <c r="BY45"/>
      <c r="BZ45"/>
      <c r="CA45"/>
    </row>
    <row r="46" spans="1:79" x14ac:dyDescent="0.35">
      <c r="A46" t="s">
        <v>34</v>
      </c>
      <c r="D46" t="s">
        <v>43</v>
      </c>
      <c r="E46">
        <v>2020</v>
      </c>
      <c r="F46">
        <v>3</v>
      </c>
      <c r="G46">
        <v>5</v>
      </c>
      <c r="H46">
        <v>6</v>
      </c>
      <c r="I46"/>
      <c r="J46"/>
      <c r="K46">
        <v>45</v>
      </c>
      <c r="L46"/>
      <c r="M46">
        <v>0.92244999999999999</v>
      </c>
      <c r="N46">
        <v>6.1893447849942884E-2</v>
      </c>
      <c r="O46">
        <v>6.8529003524043897E-2</v>
      </c>
      <c r="P46">
        <v>0.11908709792835981</v>
      </c>
      <c r="Q46">
        <v>0.29925278153581281</v>
      </c>
      <c r="R46">
        <v>0.93810655215005712</v>
      </c>
      <c r="S46">
        <v>0.9314709964759561</v>
      </c>
      <c r="T46">
        <v>0.88091290207164019</v>
      </c>
      <c r="U46">
        <v>0.70074721846418719</v>
      </c>
      <c r="V46"/>
      <c r="W46"/>
      <c r="X46"/>
      <c r="Y46"/>
      <c r="Z46"/>
      <c r="AA46"/>
      <c r="AB46"/>
      <c r="AC46"/>
      <c r="AD46"/>
      <c r="AE46"/>
      <c r="AF46"/>
      <c r="AG46"/>
      <c r="AH46"/>
      <c r="AI46"/>
      <c r="AJ46"/>
      <c r="AK46"/>
      <c r="AL46"/>
      <c r="AM46"/>
      <c r="AN46"/>
      <c r="AO46"/>
      <c r="AP46">
        <v>75</v>
      </c>
      <c r="AQ46">
        <v>0.5</v>
      </c>
      <c r="AR46">
        <v>1826.4999999999998</v>
      </c>
      <c r="AS46">
        <f t="shared" si="0"/>
        <v>3652.9999999999995</v>
      </c>
      <c r="AT46">
        <v>292.60000000000002</v>
      </c>
      <c r="AU46">
        <v>36</v>
      </c>
      <c r="AV46">
        <f t="shared" si="1"/>
        <v>8.1277777777777782</v>
      </c>
      <c r="AW46">
        <f t="shared" si="2"/>
        <v>243.83333333333334</v>
      </c>
      <c r="AX46"/>
      <c r="AY46">
        <v>20</v>
      </c>
      <c r="AZ46">
        <v>10.62</v>
      </c>
      <c r="BA46">
        <v>2.61</v>
      </c>
      <c r="BB46">
        <v>26.2</v>
      </c>
      <c r="BC46">
        <v>7.9</v>
      </c>
      <c r="BD46"/>
      <c r="BE46">
        <f t="shared" si="3"/>
        <v>1</v>
      </c>
      <c r="BF46">
        <f t="shared" si="4"/>
        <v>47.33</v>
      </c>
      <c r="BG46">
        <f t="shared" si="5"/>
        <v>2.3664999999999998</v>
      </c>
      <c r="BH46">
        <f t="shared" si="6"/>
        <v>0.29116199589883796</v>
      </c>
      <c r="BI46">
        <f t="shared" si="7"/>
        <v>531.80738550922752</v>
      </c>
      <c r="BJ46" s="1">
        <f t="shared" si="8"/>
        <v>1063.614771018455</v>
      </c>
      <c r="BK46">
        <f t="shared" si="9"/>
        <v>0.22438199873230508</v>
      </c>
      <c r="BL46">
        <f t="shared" si="10"/>
        <v>5.5144728502007183E-2</v>
      </c>
      <c r="BM46">
        <f t="shared" si="11"/>
        <v>0.55356010986689208</v>
      </c>
      <c r="BN46">
        <f t="shared" si="12"/>
        <v>0.16691316289879571</v>
      </c>
      <c r="BO46">
        <f t="shared" si="13"/>
        <v>238.65600820232393</v>
      </c>
      <c r="BP46">
        <f t="shared" si="14"/>
        <v>58.65274777853724</v>
      </c>
      <c r="BQ46">
        <f t="shared" si="15"/>
        <v>588.7747095010252</v>
      </c>
      <c r="BR46">
        <f t="shared" si="16"/>
        <v>177.53130553656868</v>
      </c>
      <c r="BS46">
        <v>5.7</v>
      </c>
      <c r="BT46">
        <v>29.4</v>
      </c>
      <c r="BU46">
        <v>47.400000000000006</v>
      </c>
      <c r="BV46">
        <v>48.7</v>
      </c>
      <c r="BW46"/>
      <c r="BX46"/>
      <c r="BY46"/>
      <c r="BZ46"/>
      <c r="CA46"/>
    </row>
    <row r="47" spans="1:79" x14ac:dyDescent="0.35">
      <c r="A47" t="s">
        <v>34</v>
      </c>
      <c r="D47" t="s">
        <v>39</v>
      </c>
      <c r="E47">
        <v>2001</v>
      </c>
      <c r="F47">
        <v>3</v>
      </c>
      <c r="G47">
        <v>6</v>
      </c>
      <c r="H47">
        <v>6</v>
      </c>
      <c r="I47"/>
      <c r="J47"/>
      <c r="K47">
        <v>46</v>
      </c>
      <c r="L47"/>
      <c r="M47">
        <v>0.86729999999999996</v>
      </c>
      <c r="N47">
        <v>3.9522870598717841E-2</v>
      </c>
      <c r="O47">
        <v>5.2209328156953672E-2</v>
      </c>
      <c r="P47">
        <v>0.11231781672832652</v>
      </c>
      <c r="Q47">
        <v>0.2768434514777367</v>
      </c>
      <c r="R47">
        <v>0.96047712940128216</v>
      </c>
      <c r="S47">
        <v>0.94779067184304633</v>
      </c>
      <c r="T47">
        <v>0.88768218327167348</v>
      </c>
      <c r="U47">
        <v>0.7231565485222633</v>
      </c>
      <c r="V47"/>
      <c r="W47"/>
      <c r="X47"/>
      <c r="Y47"/>
      <c r="Z47"/>
      <c r="AA47"/>
      <c r="AB47"/>
      <c r="AC47"/>
      <c r="AD47"/>
      <c r="AE47"/>
      <c r="AF47"/>
      <c r="AG47"/>
      <c r="AH47"/>
      <c r="AI47"/>
      <c r="AJ47"/>
      <c r="AK47"/>
      <c r="AL47"/>
      <c r="AM47"/>
      <c r="AN47"/>
      <c r="AO47"/>
      <c r="AP47">
        <v>73</v>
      </c>
      <c r="AQ47">
        <v>0.5</v>
      </c>
      <c r="AR47">
        <v>2303</v>
      </c>
      <c r="AS47">
        <f t="shared" si="0"/>
        <v>4606</v>
      </c>
      <c r="AT47">
        <v>183.86</v>
      </c>
      <c r="AU47">
        <v>24</v>
      </c>
      <c r="AV47">
        <f t="shared" si="1"/>
        <v>7.6608333333333336</v>
      </c>
      <c r="AW47">
        <f t="shared" si="2"/>
        <v>229.82500000000002</v>
      </c>
      <c r="AX47"/>
      <c r="AY47">
        <v>20</v>
      </c>
      <c r="AZ47">
        <v>8.34</v>
      </c>
      <c r="BA47">
        <v>2.44</v>
      </c>
      <c r="BB47">
        <v>25.08</v>
      </c>
      <c r="BC47">
        <v>8.25</v>
      </c>
      <c r="BD47"/>
      <c r="BE47">
        <f t="shared" si="3"/>
        <v>1</v>
      </c>
      <c r="BF47">
        <f t="shared" si="4"/>
        <v>44.11</v>
      </c>
      <c r="BG47">
        <f t="shared" si="5"/>
        <v>2.2054999999999998</v>
      </c>
      <c r="BH47">
        <f t="shared" si="6"/>
        <v>0.28789296203633197</v>
      </c>
      <c r="BI47">
        <f t="shared" si="7"/>
        <v>663.01749156967253</v>
      </c>
      <c r="BJ47" s="1">
        <f t="shared" si="8"/>
        <v>1326.0349831393451</v>
      </c>
      <c r="BK47">
        <f t="shared" si="9"/>
        <v>0.18907277261391975</v>
      </c>
      <c r="BL47">
        <f t="shared" si="10"/>
        <v>5.53162548175017E-2</v>
      </c>
      <c r="BM47">
        <f t="shared" si="11"/>
        <v>0.5685785536159601</v>
      </c>
      <c r="BN47">
        <f t="shared" si="12"/>
        <v>0.18703241895261846</v>
      </c>
      <c r="BO47">
        <f t="shared" si="13"/>
        <v>250.71711084520828</v>
      </c>
      <c r="BP47">
        <f t="shared" si="14"/>
        <v>73.351289024257582</v>
      </c>
      <c r="BQ47">
        <f t="shared" si="15"/>
        <v>753.95505275753283</v>
      </c>
      <c r="BR47">
        <f t="shared" si="16"/>
        <v>248.01153051234635</v>
      </c>
      <c r="BS47">
        <v>6.65</v>
      </c>
      <c r="BT47">
        <v>19.375</v>
      </c>
      <c r="BU47">
        <v>34.125</v>
      </c>
      <c r="BV47">
        <v>47.025000000000006</v>
      </c>
      <c r="BW47"/>
      <c r="BX47"/>
      <c r="BY47"/>
      <c r="BZ47"/>
      <c r="CA47"/>
    </row>
    <row r="48" spans="1:79" x14ac:dyDescent="0.35">
      <c r="A48" t="s">
        <v>34</v>
      </c>
      <c r="D48" t="s">
        <v>38</v>
      </c>
      <c r="E48">
        <v>1999</v>
      </c>
      <c r="F48">
        <v>3</v>
      </c>
      <c r="G48">
        <v>7</v>
      </c>
      <c r="H48">
        <v>6</v>
      </c>
      <c r="I48"/>
      <c r="J48"/>
      <c r="K48">
        <v>47</v>
      </c>
      <c r="L48"/>
      <c r="M48">
        <v>0.89800000000000002</v>
      </c>
      <c r="N48">
        <v>0.12243644602332848</v>
      </c>
      <c r="O48">
        <v>0.10778475951162036</v>
      </c>
      <c r="P48">
        <v>0.16543530487094971</v>
      </c>
      <c r="Q48">
        <v>0.28897128115757598</v>
      </c>
      <c r="R48">
        <v>0.87756355397667152</v>
      </c>
      <c r="S48">
        <v>0.89221524048837964</v>
      </c>
      <c r="T48">
        <v>0.83456469512905029</v>
      </c>
      <c r="U48">
        <v>0.71102871884242402</v>
      </c>
      <c r="V48"/>
      <c r="W48"/>
      <c r="X48"/>
      <c r="Y48"/>
      <c r="Z48"/>
      <c r="AA48"/>
      <c r="AB48"/>
      <c r="AC48"/>
      <c r="AD48"/>
      <c r="AE48"/>
      <c r="AF48"/>
      <c r="AG48"/>
      <c r="AH48"/>
      <c r="AI48"/>
      <c r="AJ48"/>
      <c r="AK48"/>
      <c r="AL48"/>
      <c r="AM48"/>
      <c r="AN48"/>
      <c r="AO48"/>
      <c r="AP48">
        <v>73</v>
      </c>
      <c r="AQ48">
        <v>0.5</v>
      </c>
      <c r="AR48">
        <v>1982.5</v>
      </c>
      <c r="AS48">
        <f t="shared" si="0"/>
        <v>3965</v>
      </c>
      <c r="AT48">
        <v>274.89</v>
      </c>
      <c r="AU48">
        <v>39</v>
      </c>
      <c r="AV48">
        <f t="shared" si="1"/>
        <v>7.0484615384615381</v>
      </c>
      <c r="AW48">
        <f t="shared" si="2"/>
        <v>211.45384615384614</v>
      </c>
      <c r="AX48"/>
      <c r="AY48">
        <v>20</v>
      </c>
      <c r="AZ48">
        <v>6.82</v>
      </c>
      <c r="BA48">
        <v>3.79</v>
      </c>
      <c r="BB48">
        <v>24.89</v>
      </c>
      <c r="BC48">
        <v>8.41</v>
      </c>
      <c r="BD48"/>
      <c r="BE48">
        <f t="shared" si="3"/>
        <v>1.0000000000000002</v>
      </c>
      <c r="BF48">
        <f t="shared" si="4"/>
        <v>43.91</v>
      </c>
      <c r="BG48">
        <f t="shared" si="5"/>
        <v>2.1955</v>
      </c>
      <c r="BH48">
        <f t="shared" si="6"/>
        <v>0.31148641274691696</v>
      </c>
      <c r="BI48">
        <f t="shared" si="7"/>
        <v>617.52181327076289</v>
      </c>
      <c r="BJ48" s="1">
        <f t="shared" si="8"/>
        <v>1235.0436265415258</v>
      </c>
      <c r="BK48">
        <f t="shared" si="9"/>
        <v>0.15531769528581191</v>
      </c>
      <c r="BL48">
        <f t="shared" si="10"/>
        <v>8.6312912776133011E-2</v>
      </c>
      <c r="BM48">
        <f t="shared" si="11"/>
        <v>0.56684126622637221</v>
      </c>
      <c r="BN48">
        <f t="shared" si="12"/>
        <v>0.19152812571168301</v>
      </c>
      <c r="BO48">
        <f t="shared" si="13"/>
        <v>191.82412965186077</v>
      </c>
      <c r="BP48">
        <f t="shared" si="14"/>
        <v>106.6002128123977</v>
      </c>
      <c r="BQ48">
        <f t="shared" si="15"/>
        <v>700.07369311360924</v>
      </c>
      <c r="BR48">
        <f t="shared" si="16"/>
        <v>236.54559096365824</v>
      </c>
      <c r="BS48">
        <v>4.5249999999999995</v>
      </c>
      <c r="BT48">
        <v>36.275000000000006</v>
      </c>
      <c r="BU48">
        <v>29.074999999999999</v>
      </c>
      <c r="BV48">
        <v>41.575000000000003</v>
      </c>
      <c r="BW48"/>
      <c r="BX48"/>
      <c r="BY48"/>
      <c r="BZ48"/>
      <c r="CA48"/>
    </row>
    <row r="49" spans="1:79" x14ac:dyDescent="0.35">
      <c r="A49" t="s">
        <v>34</v>
      </c>
      <c r="D49" t="s">
        <v>343</v>
      </c>
      <c r="E49">
        <v>2004</v>
      </c>
      <c r="F49">
        <v>3</v>
      </c>
      <c r="G49">
        <v>8</v>
      </c>
      <c r="H49">
        <v>6</v>
      </c>
      <c r="I49"/>
      <c r="J49"/>
      <c r="K49">
        <v>48</v>
      </c>
      <c r="L49"/>
      <c r="M49">
        <v>0.88832999999999995</v>
      </c>
      <c r="N49">
        <v>5.2179960258412539E-2</v>
      </c>
      <c r="O49">
        <v>4.8529926783318467E-2</v>
      </c>
      <c r="P49">
        <v>9.0037996010812638E-2</v>
      </c>
      <c r="Q49">
        <v>0.22773180790356617</v>
      </c>
      <c r="R49">
        <v>0.94782003974158746</v>
      </c>
      <c r="S49">
        <v>0.95147007321668153</v>
      </c>
      <c r="T49">
        <v>0.90996200398918736</v>
      </c>
      <c r="U49">
        <v>0.77226819209643383</v>
      </c>
      <c r="V49"/>
      <c r="W49"/>
      <c r="X49"/>
      <c r="Y49"/>
      <c r="Z49"/>
      <c r="AA49"/>
      <c r="AB49"/>
      <c r="AC49"/>
      <c r="AD49"/>
      <c r="AE49"/>
      <c r="AF49"/>
      <c r="AG49"/>
      <c r="AH49"/>
      <c r="AI49"/>
      <c r="AJ49"/>
      <c r="AK49"/>
      <c r="AL49"/>
      <c r="AM49"/>
      <c r="AN49"/>
      <c r="AO49"/>
      <c r="AP49">
        <v>75</v>
      </c>
      <c r="AQ49">
        <v>0.5</v>
      </c>
      <c r="AR49">
        <v>2086.5</v>
      </c>
      <c r="AS49">
        <f t="shared" si="0"/>
        <v>4173</v>
      </c>
      <c r="AT49">
        <v>350.5</v>
      </c>
      <c r="AU49">
        <v>37</v>
      </c>
      <c r="AV49">
        <f t="shared" si="1"/>
        <v>9.4729729729729737</v>
      </c>
      <c r="AW49">
        <f t="shared" si="2"/>
        <v>284.18918918918922</v>
      </c>
      <c r="AX49"/>
      <c r="AY49">
        <v>20</v>
      </c>
      <c r="AZ49">
        <v>11.79</v>
      </c>
      <c r="BA49">
        <v>1.21</v>
      </c>
      <c r="BB49">
        <v>39.92</v>
      </c>
      <c r="BC49">
        <v>14.47</v>
      </c>
      <c r="BD49"/>
      <c r="BE49">
        <f t="shared" si="3"/>
        <v>1</v>
      </c>
      <c r="BF49">
        <f t="shared" si="4"/>
        <v>67.39</v>
      </c>
      <c r="BG49">
        <f t="shared" si="5"/>
        <v>3.3694999999999999</v>
      </c>
      <c r="BH49">
        <f t="shared" si="6"/>
        <v>0.35569614835948643</v>
      </c>
      <c r="BI49">
        <f t="shared" si="7"/>
        <v>742.16001355206845</v>
      </c>
      <c r="BJ49" s="1">
        <f t="shared" si="8"/>
        <v>1484.3200271041369</v>
      </c>
      <c r="BK49">
        <f t="shared" si="9"/>
        <v>0.17495177326012759</v>
      </c>
      <c r="BL49">
        <f t="shared" si="10"/>
        <v>1.7955186229410891E-2</v>
      </c>
      <c r="BM49">
        <f t="shared" si="11"/>
        <v>0.59237275560172131</v>
      </c>
      <c r="BN49">
        <f t="shared" si="12"/>
        <v>0.21472028490874018</v>
      </c>
      <c r="BO49">
        <f t="shared" si="13"/>
        <v>259.68442082738937</v>
      </c>
      <c r="BP49">
        <f t="shared" si="14"/>
        <v>26.651242510698999</v>
      </c>
      <c r="BQ49">
        <f t="shared" si="15"/>
        <v>879.2707446504993</v>
      </c>
      <c r="BR49">
        <f t="shared" si="16"/>
        <v>318.71361911554919</v>
      </c>
      <c r="BS49">
        <v>14.725</v>
      </c>
      <c r="BT49">
        <v>29.474999999999998</v>
      </c>
      <c r="BU49">
        <v>47.575000000000003</v>
      </c>
      <c r="BV49">
        <v>50.05</v>
      </c>
      <c r="BW49"/>
      <c r="BX49"/>
      <c r="BY49"/>
      <c r="BZ49"/>
      <c r="CA49"/>
    </row>
    <row r="50" spans="1:79" x14ac:dyDescent="0.35">
      <c r="A50" t="s">
        <v>24</v>
      </c>
      <c r="D50" t="s">
        <v>32</v>
      </c>
      <c r="E50">
        <v>2018</v>
      </c>
      <c r="F50">
        <v>4</v>
      </c>
      <c r="G50">
        <v>1</v>
      </c>
      <c r="H50">
        <v>7</v>
      </c>
      <c r="I50"/>
      <c r="J50"/>
      <c r="K50">
        <v>49</v>
      </c>
      <c r="L50"/>
      <c r="M50">
        <v>0.93930000000000002</v>
      </c>
      <c r="N50">
        <v>1.9134945257927471E-2</v>
      </c>
      <c r="O50">
        <v>2.6777647206275845E-2</v>
      </c>
      <c r="P50">
        <v>5.3627943264827005E-2</v>
      </c>
      <c r="Q50">
        <v>0.1698765900662591</v>
      </c>
      <c r="R50">
        <v>0.98086505474207253</v>
      </c>
      <c r="S50">
        <v>0.97322235279372415</v>
      </c>
      <c r="T50">
        <v>0.946372056735173</v>
      </c>
      <c r="U50">
        <v>0.8301234099337409</v>
      </c>
      <c r="V50"/>
      <c r="W50"/>
      <c r="X50"/>
      <c r="Y50"/>
      <c r="Z50"/>
      <c r="AA50"/>
      <c r="AB50"/>
      <c r="AC50"/>
      <c r="AD50"/>
      <c r="AE50"/>
      <c r="AF50"/>
      <c r="AG50"/>
      <c r="AH50"/>
      <c r="AI50"/>
      <c r="AJ50"/>
      <c r="AK50"/>
      <c r="AL50"/>
      <c r="AM50"/>
      <c r="AN50"/>
      <c r="AO50"/>
      <c r="AP50">
        <v>79</v>
      </c>
      <c r="AQ50">
        <v>0.5</v>
      </c>
      <c r="AR50">
        <v>2421.9999999999995</v>
      </c>
      <c r="AS50">
        <f t="shared" si="0"/>
        <v>4843.9999999999991</v>
      </c>
      <c r="AT50">
        <v>266.39999999999998</v>
      </c>
      <c r="AU50">
        <v>34</v>
      </c>
      <c r="AV50">
        <f t="shared" si="1"/>
        <v>7.8352941176470585</v>
      </c>
      <c r="AW50">
        <f t="shared" si="2"/>
        <v>235.05882352941177</v>
      </c>
      <c r="AX50"/>
      <c r="AY50">
        <v>20</v>
      </c>
      <c r="AZ50">
        <v>9.0500000000000007</v>
      </c>
      <c r="BA50">
        <v>6.72</v>
      </c>
      <c r="BB50">
        <v>26.43</v>
      </c>
      <c r="BC50">
        <v>10.88</v>
      </c>
      <c r="BD50"/>
      <c r="BE50">
        <f t="shared" si="3"/>
        <v>0.99999999999999989</v>
      </c>
      <c r="BF50">
        <f t="shared" si="4"/>
        <v>53.080000000000005</v>
      </c>
      <c r="BG50">
        <f t="shared" si="5"/>
        <v>2.6540000000000004</v>
      </c>
      <c r="BH50">
        <f t="shared" si="6"/>
        <v>0.33872372372372378</v>
      </c>
      <c r="BI50">
        <f t="shared" si="7"/>
        <v>820.38885885885884</v>
      </c>
      <c r="BJ50" s="1">
        <f t="shared" si="8"/>
        <v>1640.7777177177177</v>
      </c>
      <c r="BK50">
        <f t="shared" si="9"/>
        <v>0.17049736247174077</v>
      </c>
      <c r="BL50">
        <f t="shared" si="10"/>
        <v>0.12660135644310472</v>
      </c>
      <c r="BM50">
        <f t="shared" si="11"/>
        <v>0.49792765636774672</v>
      </c>
      <c r="BN50">
        <f t="shared" si="12"/>
        <v>0.20497362471740768</v>
      </c>
      <c r="BO50">
        <f t="shared" si="13"/>
        <v>279.7482732732733</v>
      </c>
      <c r="BP50">
        <f t="shared" si="14"/>
        <v>207.72468468468463</v>
      </c>
      <c r="BQ50">
        <f t="shared" si="15"/>
        <v>816.98860360360345</v>
      </c>
      <c r="BR50">
        <f t="shared" si="16"/>
        <v>336.31615615615613</v>
      </c>
      <c r="BS50">
        <v>7.85</v>
      </c>
      <c r="BT50">
        <v>13.65</v>
      </c>
      <c r="BU50">
        <v>24.125000000000004</v>
      </c>
      <c r="BV50">
        <v>48.05</v>
      </c>
      <c r="BW50"/>
      <c r="BX50"/>
      <c r="BY50"/>
      <c r="BZ50"/>
      <c r="CA50"/>
    </row>
    <row r="51" spans="1:79" x14ac:dyDescent="0.35">
      <c r="A51" t="s">
        <v>24</v>
      </c>
      <c r="D51" t="s">
        <v>29</v>
      </c>
      <c r="E51">
        <v>1999</v>
      </c>
      <c r="F51">
        <v>4</v>
      </c>
      <c r="G51">
        <v>2</v>
      </c>
      <c r="H51">
        <v>7</v>
      </c>
      <c r="I51"/>
      <c r="J51"/>
      <c r="K51">
        <v>50</v>
      </c>
      <c r="L51"/>
      <c r="M51">
        <v>0.91356000000000004</v>
      </c>
      <c r="N51">
        <v>1.0300260504832237E-2</v>
      </c>
      <c r="O51">
        <v>1.5461155191058729E-2</v>
      </c>
      <c r="P51">
        <v>4.3707839612705079E-2</v>
      </c>
      <c r="Q51">
        <v>0.19871294006312934</v>
      </c>
      <c r="R51">
        <v>0.98969973949516776</v>
      </c>
      <c r="S51">
        <v>0.98453884480894127</v>
      </c>
      <c r="T51">
        <v>0.95629216038729492</v>
      </c>
      <c r="U51">
        <v>0.80128705993687066</v>
      </c>
      <c r="V51"/>
      <c r="W51"/>
      <c r="X51"/>
      <c r="Y51"/>
      <c r="Z51"/>
      <c r="AA51"/>
      <c r="AB51"/>
      <c r="AC51"/>
      <c r="AD51"/>
      <c r="AE51"/>
      <c r="AF51"/>
      <c r="AG51"/>
      <c r="AH51"/>
      <c r="AI51"/>
      <c r="AJ51"/>
      <c r="AK51"/>
      <c r="AL51"/>
      <c r="AM51"/>
      <c r="AN51"/>
      <c r="AO51"/>
      <c r="AP51">
        <v>89</v>
      </c>
      <c r="AQ51">
        <v>0.5</v>
      </c>
      <c r="AR51">
        <v>2175.9999999999995</v>
      </c>
      <c r="AS51">
        <f t="shared" si="0"/>
        <v>4351.9999999999991</v>
      </c>
      <c r="AT51">
        <v>208.1</v>
      </c>
      <c r="AU51">
        <v>36</v>
      </c>
      <c r="AV51">
        <f t="shared" si="1"/>
        <v>5.780555555555555</v>
      </c>
      <c r="AW51">
        <f t="shared" si="2"/>
        <v>173.41666666666666</v>
      </c>
      <c r="AX51"/>
      <c r="AY51">
        <v>20</v>
      </c>
      <c r="AZ51">
        <v>6.14</v>
      </c>
      <c r="BA51">
        <v>8.06</v>
      </c>
      <c r="BB51">
        <v>19.86</v>
      </c>
      <c r="BC51">
        <v>6.48</v>
      </c>
      <c r="BD51"/>
      <c r="BE51">
        <f t="shared" si="3"/>
        <v>0.99999999999999989</v>
      </c>
      <c r="BF51">
        <f t="shared" si="4"/>
        <v>40.540000000000006</v>
      </c>
      <c r="BG51">
        <f t="shared" si="5"/>
        <v>2.0270000000000001</v>
      </c>
      <c r="BH51">
        <f t="shared" si="6"/>
        <v>0.35065833733781843</v>
      </c>
      <c r="BI51">
        <f t="shared" si="7"/>
        <v>763.03254204709276</v>
      </c>
      <c r="BJ51" s="1">
        <f t="shared" si="8"/>
        <v>1526.0650840941855</v>
      </c>
      <c r="BK51">
        <f t="shared" si="9"/>
        <v>0.15145535273803648</v>
      </c>
      <c r="BL51">
        <f t="shared" si="10"/>
        <v>0.19881598421312283</v>
      </c>
      <c r="BM51">
        <f t="shared" si="11"/>
        <v>0.48988653182042419</v>
      </c>
      <c r="BN51">
        <f t="shared" si="12"/>
        <v>0.15984213122841637</v>
      </c>
      <c r="BO51">
        <f t="shared" si="13"/>
        <v>231.13072561268618</v>
      </c>
      <c r="BP51">
        <f t="shared" si="14"/>
        <v>303.40613166746755</v>
      </c>
      <c r="BQ51">
        <f t="shared" si="15"/>
        <v>747.59873137914451</v>
      </c>
      <c r="BR51">
        <f t="shared" si="16"/>
        <v>243.92949543488706</v>
      </c>
      <c r="BS51">
        <v>2.875</v>
      </c>
      <c r="BT51">
        <v>16.149999999999999</v>
      </c>
      <c r="BU51">
        <v>38.774999999999999</v>
      </c>
      <c r="BV51">
        <v>53.349999999999994</v>
      </c>
      <c r="BW51"/>
      <c r="BX51"/>
      <c r="BY51"/>
      <c r="BZ51"/>
      <c r="CA51"/>
    </row>
    <row r="52" spans="1:79" x14ac:dyDescent="0.35">
      <c r="A52" t="s">
        <v>24</v>
      </c>
      <c r="D52" t="s">
        <v>337</v>
      </c>
      <c r="E52">
        <v>2016</v>
      </c>
      <c r="F52">
        <v>4</v>
      </c>
      <c r="G52">
        <v>3</v>
      </c>
      <c r="H52">
        <v>7</v>
      </c>
      <c r="I52"/>
      <c r="J52"/>
      <c r="K52">
        <v>51</v>
      </c>
      <c r="L52"/>
      <c r="M52">
        <v>0.90239999999999998</v>
      </c>
      <c r="N52">
        <v>1.916649323455033E-2</v>
      </c>
      <c r="O52">
        <v>3.7358201431182181E-2</v>
      </c>
      <c r="P52">
        <v>6.2233008481539454E-2</v>
      </c>
      <c r="Q52">
        <v>0.18824707828150211</v>
      </c>
      <c r="R52">
        <v>0.98083350676544967</v>
      </c>
      <c r="S52">
        <v>0.96264179856881782</v>
      </c>
      <c r="T52">
        <v>0.93776699151846055</v>
      </c>
      <c r="U52">
        <v>0.81175292171849789</v>
      </c>
      <c r="V52"/>
      <c r="W52"/>
      <c r="X52"/>
      <c r="Y52"/>
      <c r="Z52"/>
      <c r="AA52"/>
      <c r="AB52"/>
      <c r="AC52"/>
      <c r="AD52"/>
      <c r="AE52"/>
      <c r="AF52"/>
      <c r="AG52"/>
      <c r="AH52"/>
      <c r="AI52"/>
      <c r="AJ52"/>
      <c r="AK52"/>
      <c r="AL52"/>
      <c r="AM52"/>
      <c r="AN52"/>
      <c r="AO52"/>
      <c r="AP52">
        <v>88</v>
      </c>
      <c r="AQ52">
        <v>0.5</v>
      </c>
      <c r="AR52">
        <v>2518.5</v>
      </c>
      <c r="AS52">
        <f t="shared" si="0"/>
        <v>5037</v>
      </c>
      <c r="AT52">
        <v>303.89999999999998</v>
      </c>
      <c r="AU52">
        <v>35</v>
      </c>
      <c r="AV52">
        <f t="shared" si="1"/>
        <v>8.6828571428571415</v>
      </c>
      <c r="AW52">
        <f t="shared" si="2"/>
        <v>260.48571428571427</v>
      </c>
      <c r="AX52"/>
      <c r="AY52">
        <v>20</v>
      </c>
      <c r="AZ52">
        <v>8.59</v>
      </c>
      <c r="BA52">
        <v>9.39</v>
      </c>
      <c r="BB52">
        <v>27.62</v>
      </c>
      <c r="BC52">
        <v>10.52</v>
      </c>
      <c r="BD52"/>
      <c r="BE52">
        <f t="shared" si="3"/>
        <v>1</v>
      </c>
      <c r="BF52">
        <f t="shared" si="4"/>
        <v>56.120000000000005</v>
      </c>
      <c r="BG52">
        <f t="shared" si="5"/>
        <v>2.806</v>
      </c>
      <c r="BH52">
        <f t="shared" si="6"/>
        <v>0.32316551497203033</v>
      </c>
      <c r="BI52">
        <f t="shared" si="7"/>
        <v>813.89234945705834</v>
      </c>
      <c r="BJ52" s="1">
        <f t="shared" si="8"/>
        <v>1627.7846989141167</v>
      </c>
      <c r="BK52">
        <f t="shared" si="9"/>
        <v>0.15306486101211689</v>
      </c>
      <c r="BL52">
        <f t="shared" si="10"/>
        <v>0.16732002851033501</v>
      </c>
      <c r="BM52">
        <f t="shared" si="11"/>
        <v>0.49215965787598004</v>
      </c>
      <c r="BN52">
        <f t="shared" si="12"/>
        <v>0.18745545260156804</v>
      </c>
      <c r="BO52">
        <f t="shared" si="13"/>
        <v>249.15663869693981</v>
      </c>
      <c r="BP52">
        <f t="shared" si="14"/>
        <v>272.36098223099708</v>
      </c>
      <c r="BQ52">
        <f t="shared" si="15"/>
        <v>801.12996051332686</v>
      </c>
      <c r="BR52">
        <f t="shared" si="16"/>
        <v>305.13711747285288</v>
      </c>
      <c r="BS52">
        <v>4.6500000000000004</v>
      </c>
      <c r="BT52">
        <v>15.25</v>
      </c>
      <c r="BU52">
        <v>33.25</v>
      </c>
      <c r="BV52">
        <v>44.45</v>
      </c>
      <c r="BW52"/>
      <c r="BX52"/>
      <c r="BY52"/>
      <c r="BZ52"/>
      <c r="CA52"/>
    </row>
    <row r="53" spans="1:79" x14ac:dyDescent="0.35">
      <c r="A53" t="s">
        <v>24</v>
      </c>
      <c r="D53" t="s">
        <v>27</v>
      </c>
      <c r="E53">
        <v>1985</v>
      </c>
      <c r="F53">
        <v>4</v>
      </c>
      <c r="G53">
        <v>4</v>
      </c>
      <c r="H53">
        <v>7</v>
      </c>
      <c r="I53"/>
      <c r="J53"/>
      <c r="K53">
        <v>52</v>
      </c>
      <c r="L53"/>
      <c r="M53">
        <v>0.92025000000000001</v>
      </c>
      <c r="N53">
        <v>1.1809062187100983E-2</v>
      </c>
      <c r="O53">
        <v>1.5003209224389469E-2</v>
      </c>
      <c r="P53">
        <v>4.2922853413790429E-2</v>
      </c>
      <c r="Q53">
        <v>0.20093279444796597</v>
      </c>
      <c r="R53">
        <v>0.98819093781289902</v>
      </c>
      <c r="S53">
        <v>0.98499679077561053</v>
      </c>
      <c r="T53">
        <v>0.95707714658620957</v>
      </c>
      <c r="U53">
        <v>0.79906720555203403</v>
      </c>
      <c r="V53"/>
      <c r="W53"/>
      <c r="X53"/>
      <c r="Y53"/>
      <c r="Z53"/>
      <c r="AA53"/>
      <c r="AB53"/>
      <c r="AC53"/>
      <c r="AD53"/>
      <c r="AE53"/>
      <c r="AF53"/>
      <c r="AG53"/>
      <c r="AH53"/>
      <c r="AI53"/>
      <c r="AJ53"/>
      <c r="AK53"/>
      <c r="AL53"/>
      <c r="AM53"/>
      <c r="AN53"/>
      <c r="AO53"/>
      <c r="AP53">
        <v>91</v>
      </c>
      <c r="AQ53">
        <v>0.5</v>
      </c>
      <c r="AR53">
        <v>2312</v>
      </c>
      <c r="AS53">
        <f t="shared" si="0"/>
        <v>4624</v>
      </c>
      <c r="AT53">
        <v>264.89999999999998</v>
      </c>
      <c r="AU53">
        <v>43</v>
      </c>
      <c r="AV53">
        <f t="shared" si="1"/>
        <v>6.1604651162790693</v>
      </c>
      <c r="AW53">
        <f t="shared" si="2"/>
        <v>184.81395348837208</v>
      </c>
      <c r="AX53"/>
      <c r="AY53">
        <v>20</v>
      </c>
      <c r="AZ53">
        <v>7.39</v>
      </c>
      <c r="BA53">
        <v>7.68</v>
      </c>
      <c r="BB53">
        <v>21.66</v>
      </c>
      <c r="BC53">
        <v>7</v>
      </c>
      <c r="BD53"/>
      <c r="BE53">
        <f t="shared" si="3"/>
        <v>1</v>
      </c>
      <c r="BF53">
        <f t="shared" si="4"/>
        <v>43.730000000000004</v>
      </c>
      <c r="BG53">
        <f t="shared" si="5"/>
        <v>2.1865000000000001</v>
      </c>
      <c r="BH53">
        <f t="shared" si="6"/>
        <v>0.35492449981124957</v>
      </c>
      <c r="BI53">
        <f t="shared" si="7"/>
        <v>820.58544356360903</v>
      </c>
      <c r="BJ53" s="1">
        <f t="shared" si="8"/>
        <v>1641.1708871272181</v>
      </c>
      <c r="BK53">
        <f t="shared" si="9"/>
        <v>0.1689915389892522</v>
      </c>
      <c r="BL53">
        <f t="shared" si="10"/>
        <v>0.17562314200777496</v>
      </c>
      <c r="BM53">
        <f t="shared" si="11"/>
        <v>0.49531214269380286</v>
      </c>
      <c r="BN53">
        <f t="shared" si="12"/>
        <v>0.1600731763091699</v>
      </c>
      <c r="BO53">
        <f t="shared" si="13"/>
        <v>277.34399395998491</v>
      </c>
      <c r="BP53">
        <f t="shared" si="14"/>
        <v>288.22758776896944</v>
      </c>
      <c r="BQ53">
        <f t="shared" si="15"/>
        <v>812.89186862967165</v>
      </c>
      <c r="BR53">
        <f t="shared" si="16"/>
        <v>262.70743676859195</v>
      </c>
      <c r="BS53">
        <v>4.9249999999999998</v>
      </c>
      <c r="BT53">
        <v>24.25</v>
      </c>
      <c r="BU53">
        <v>31.574999999999996</v>
      </c>
      <c r="BV53">
        <v>49.875</v>
      </c>
      <c r="BW53"/>
      <c r="BX53"/>
      <c r="BY53"/>
      <c r="BZ53"/>
      <c r="CA53"/>
    </row>
    <row r="54" spans="1:79" x14ac:dyDescent="0.35">
      <c r="A54" t="s">
        <v>24</v>
      </c>
      <c r="D54" t="s">
        <v>28</v>
      </c>
      <c r="E54">
        <v>1998</v>
      </c>
      <c r="F54">
        <v>4</v>
      </c>
      <c r="G54">
        <v>5</v>
      </c>
      <c r="H54">
        <v>7</v>
      </c>
      <c r="I54"/>
      <c r="J54"/>
      <c r="K54">
        <v>53</v>
      </c>
      <c r="L54"/>
      <c r="M54">
        <v>0.90429000000000004</v>
      </c>
      <c r="N54">
        <v>1.1171731531817275E-2</v>
      </c>
      <c r="O54">
        <v>1.5464263869287009E-2</v>
      </c>
      <c r="P54">
        <v>4.7986257970614288E-2</v>
      </c>
      <c r="Q54">
        <v>0.23617151611605236</v>
      </c>
      <c r="R54">
        <v>0.98882826846818273</v>
      </c>
      <c r="S54">
        <v>0.98453573613071299</v>
      </c>
      <c r="T54">
        <v>0.95201374202938571</v>
      </c>
      <c r="U54">
        <v>0.76382848388394764</v>
      </c>
      <c r="V54"/>
      <c r="W54"/>
      <c r="X54"/>
      <c r="Y54"/>
      <c r="Z54"/>
      <c r="AA54"/>
      <c r="AB54"/>
      <c r="AC54"/>
      <c r="AD54"/>
      <c r="AE54"/>
      <c r="AF54"/>
      <c r="AG54"/>
      <c r="AH54"/>
      <c r="AI54"/>
      <c r="AJ54"/>
      <c r="AK54"/>
      <c r="AL54"/>
      <c r="AM54"/>
      <c r="AN54"/>
      <c r="AO54"/>
      <c r="AP54">
        <v>88</v>
      </c>
      <c r="AQ54">
        <v>0.5</v>
      </c>
      <c r="AR54">
        <v>2984</v>
      </c>
      <c r="AS54">
        <f t="shared" si="0"/>
        <v>5968</v>
      </c>
      <c r="AT54">
        <v>153.44999999999999</v>
      </c>
      <c r="AU54">
        <v>20</v>
      </c>
      <c r="AV54">
        <f t="shared" si="1"/>
        <v>7.6724999999999994</v>
      </c>
      <c r="AW54">
        <f t="shared" si="2"/>
        <v>230.17499999999998</v>
      </c>
      <c r="AX54"/>
      <c r="AY54">
        <v>20</v>
      </c>
      <c r="AZ54">
        <v>7.45</v>
      </c>
      <c r="BA54">
        <v>4.47</v>
      </c>
      <c r="BB54">
        <v>24.94</v>
      </c>
      <c r="BC54">
        <v>8.3699999999999992</v>
      </c>
      <c r="BD54"/>
      <c r="BE54">
        <f t="shared" si="3"/>
        <v>1</v>
      </c>
      <c r="BF54">
        <f t="shared" si="4"/>
        <v>45.23</v>
      </c>
      <c r="BG54">
        <f t="shared" si="5"/>
        <v>2.2614999999999998</v>
      </c>
      <c r="BH54">
        <f t="shared" si="6"/>
        <v>0.2947539915281851</v>
      </c>
      <c r="BI54">
        <f t="shared" si="7"/>
        <v>879.5459107201043</v>
      </c>
      <c r="BJ54" s="1">
        <f t="shared" si="8"/>
        <v>1759.0918214402086</v>
      </c>
      <c r="BK54">
        <f t="shared" si="9"/>
        <v>0.16471368560689809</v>
      </c>
      <c r="BL54">
        <f t="shared" si="10"/>
        <v>9.8828211364138843E-2</v>
      </c>
      <c r="BM54">
        <f t="shared" si="11"/>
        <v>0.55140393544107902</v>
      </c>
      <c r="BN54">
        <f t="shared" si="12"/>
        <v>0.18505416758788415</v>
      </c>
      <c r="BO54">
        <f t="shared" si="13"/>
        <v>289.74649723036822</v>
      </c>
      <c r="BP54">
        <f t="shared" si="14"/>
        <v>173.84789833822092</v>
      </c>
      <c r="BQ54">
        <f t="shared" si="15"/>
        <v>969.97015314434691</v>
      </c>
      <c r="BR54">
        <f t="shared" si="16"/>
        <v>325.52727272727276</v>
      </c>
      <c r="BS54">
        <v>12.875000000000002</v>
      </c>
      <c r="BT54">
        <v>5.4749999999999996</v>
      </c>
      <c r="BU54">
        <v>30.150000000000002</v>
      </c>
      <c r="BV54">
        <v>43.4</v>
      </c>
      <c r="BW54"/>
      <c r="BX54"/>
      <c r="BY54"/>
      <c r="BZ54"/>
      <c r="CA54"/>
    </row>
    <row r="55" spans="1:79" x14ac:dyDescent="0.35">
      <c r="A55" t="s">
        <v>24</v>
      </c>
      <c r="D55" t="s">
        <v>26</v>
      </c>
      <c r="E55">
        <v>1983</v>
      </c>
      <c r="F55">
        <v>4</v>
      </c>
      <c r="G55">
        <v>6</v>
      </c>
      <c r="H55">
        <v>7</v>
      </c>
      <c r="I55"/>
      <c r="J55"/>
      <c r="K55">
        <v>54</v>
      </c>
      <c r="L55"/>
      <c r="M55">
        <v>0.89981999999999995</v>
      </c>
      <c r="N55">
        <v>1.623258615913159E-2</v>
      </c>
      <c r="O55">
        <v>2.3672242072293126E-2</v>
      </c>
      <c r="P55">
        <v>5.0577224525020337E-2</v>
      </c>
      <c r="Q55">
        <v>0.21523724251829335</v>
      </c>
      <c r="R55">
        <v>0.98376741384086841</v>
      </c>
      <c r="S55">
        <v>0.97632775792770687</v>
      </c>
      <c r="T55">
        <v>0.94942277547497966</v>
      </c>
      <c r="U55">
        <v>0.78476275748170665</v>
      </c>
      <c r="V55"/>
      <c r="W55"/>
      <c r="X55"/>
      <c r="Y55"/>
      <c r="Z55"/>
      <c r="AA55"/>
      <c r="AB55"/>
      <c r="AC55"/>
      <c r="AD55"/>
      <c r="AE55"/>
      <c r="AF55"/>
      <c r="AG55"/>
      <c r="AH55"/>
      <c r="AI55"/>
      <c r="AJ55"/>
      <c r="AK55"/>
      <c r="AL55"/>
      <c r="AM55"/>
      <c r="AN55"/>
      <c r="AO55"/>
      <c r="AP55">
        <v>93</v>
      </c>
      <c r="AQ55">
        <v>0.5</v>
      </c>
      <c r="AR55">
        <v>2331</v>
      </c>
      <c r="AS55">
        <f t="shared" si="0"/>
        <v>4662</v>
      </c>
      <c r="AT55">
        <v>270.10000000000002</v>
      </c>
      <c r="AU55">
        <v>52</v>
      </c>
      <c r="AV55">
        <f t="shared" si="1"/>
        <v>5.1942307692307699</v>
      </c>
      <c r="AW55">
        <f t="shared" si="2"/>
        <v>155.82692307692309</v>
      </c>
      <c r="AX55"/>
      <c r="AY55">
        <v>20</v>
      </c>
      <c r="AZ55">
        <v>7.11</v>
      </c>
      <c r="BA55">
        <v>4.6100000000000003</v>
      </c>
      <c r="BB55">
        <v>19.98</v>
      </c>
      <c r="BC55">
        <v>6.38</v>
      </c>
      <c r="BD55"/>
      <c r="BE55">
        <f t="shared" si="3"/>
        <v>0.99999999999999989</v>
      </c>
      <c r="BF55">
        <f t="shared" si="4"/>
        <v>38.080000000000005</v>
      </c>
      <c r="BG55">
        <f t="shared" si="5"/>
        <v>1.9040000000000004</v>
      </c>
      <c r="BH55">
        <f t="shared" si="6"/>
        <v>0.36656053313587561</v>
      </c>
      <c r="BI55">
        <f t="shared" si="7"/>
        <v>854.4526027397261</v>
      </c>
      <c r="BJ55" s="1">
        <f t="shared" si="8"/>
        <v>1708.9052054794522</v>
      </c>
      <c r="BK55">
        <f t="shared" si="9"/>
        <v>0.18671218487394955</v>
      </c>
      <c r="BL55">
        <f t="shared" si="10"/>
        <v>0.12106092436974789</v>
      </c>
      <c r="BM55">
        <f t="shared" si="11"/>
        <v>0.52468487394957974</v>
      </c>
      <c r="BN55">
        <f t="shared" si="12"/>
        <v>0.16754201680672265</v>
      </c>
      <c r="BO55">
        <f t="shared" si="13"/>
        <v>319.07342465753425</v>
      </c>
      <c r="BP55">
        <f t="shared" si="14"/>
        <v>206.88164383561644</v>
      </c>
      <c r="BQ55">
        <f t="shared" si="15"/>
        <v>896.63671232876709</v>
      </c>
      <c r="BR55">
        <f t="shared" si="16"/>
        <v>286.3134246575342</v>
      </c>
      <c r="BS55">
        <v>8.5</v>
      </c>
      <c r="BT55">
        <v>18.45</v>
      </c>
      <c r="BU55">
        <v>35.349999999999994</v>
      </c>
      <c r="BV55">
        <v>47.15</v>
      </c>
      <c r="BW55"/>
      <c r="BX55"/>
      <c r="BY55"/>
      <c r="BZ55"/>
      <c r="CA55"/>
    </row>
    <row r="56" spans="1:79" x14ac:dyDescent="0.35">
      <c r="A56" t="s">
        <v>24</v>
      </c>
      <c r="D56" t="s">
        <v>335</v>
      </c>
      <c r="E56">
        <v>2023</v>
      </c>
      <c r="F56">
        <v>4</v>
      </c>
      <c r="G56">
        <v>7</v>
      </c>
      <c r="H56">
        <v>7</v>
      </c>
      <c r="I56"/>
      <c r="J56"/>
      <c r="K56">
        <v>55</v>
      </c>
      <c r="L56"/>
      <c r="M56">
        <v>0.92356000000000005</v>
      </c>
      <c r="N56">
        <v>1.6525741091988011E-2</v>
      </c>
      <c r="O56">
        <v>2.0278948680935382E-2</v>
      </c>
      <c r="P56">
        <v>4.0341543819455761E-2</v>
      </c>
      <c r="Q56">
        <v>0.18851991127314061</v>
      </c>
      <c r="R56">
        <v>0.98347425890801199</v>
      </c>
      <c r="S56">
        <v>0.97972105131906462</v>
      </c>
      <c r="T56">
        <v>0.95965845618054424</v>
      </c>
      <c r="U56">
        <v>0.81148008872685939</v>
      </c>
      <c r="V56"/>
      <c r="W56"/>
      <c r="X56"/>
      <c r="Y56"/>
      <c r="Z56"/>
      <c r="AA56"/>
      <c r="AB56"/>
      <c r="AC56"/>
      <c r="AD56"/>
      <c r="AE56"/>
      <c r="AF56"/>
      <c r="AG56"/>
      <c r="AH56"/>
      <c r="AI56"/>
      <c r="AJ56"/>
      <c r="AK56"/>
      <c r="AL56"/>
      <c r="AM56"/>
      <c r="AN56"/>
      <c r="AO56"/>
      <c r="AP56">
        <v>84</v>
      </c>
      <c r="AQ56">
        <v>0.5</v>
      </c>
      <c r="AR56">
        <v>2481</v>
      </c>
      <c r="AS56">
        <f t="shared" si="0"/>
        <v>4962</v>
      </c>
      <c r="AT56">
        <v>184.77</v>
      </c>
      <c r="AU56">
        <v>24</v>
      </c>
      <c r="AV56">
        <f t="shared" si="1"/>
        <v>7.6987500000000004</v>
      </c>
      <c r="AW56">
        <f t="shared" si="2"/>
        <v>230.96250000000001</v>
      </c>
      <c r="AX56"/>
      <c r="AY56">
        <v>20</v>
      </c>
      <c r="AZ56">
        <v>7</v>
      </c>
      <c r="BA56">
        <v>3.66</v>
      </c>
      <c r="BB56">
        <v>25.35</v>
      </c>
      <c r="BC56">
        <v>8.4600000000000009</v>
      </c>
      <c r="BD56"/>
      <c r="BE56">
        <f t="shared" si="3"/>
        <v>1</v>
      </c>
      <c r="BF56">
        <f t="shared" si="4"/>
        <v>44.470000000000006</v>
      </c>
      <c r="BG56">
        <f t="shared" si="5"/>
        <v>2.2235000000000005</v>
      </c>
      <c r="BH56">
        <f t="shared" si="6"/>
        <v>0.2888131190128268</v>
      </c>
      <c r="BI56">
        <f t="shared" si="7"/>
        <v>716.5453482708233</v>
      </c>
      <c r="BJ56" s="1">
        <f t="shared" si="8"/>
        <v>1433.0906965416466</v>
      </c>
      <c r="BK56">
        <f t="shared" si="9"/>
        <v>0.15740948954351247</v>
      </c>
      <c r="BL56">
        <f t="shared" si="10"/>
        <v>8.2302675961322236E-2</v>
      </c>
      <c r="BM56">
        <f t="shared" si="11"/>
        <v>0.57004722284686304</v>
      </c>
      <c r="BN56">
        <f t="shared" si="12"/>
        <v>0.19024061164830222</v>
      </c>
      <c r="BO56">
        <f t="shared" si="13"/>
        <v>225.58207501217731</v>
      </c>
      <c r="BP56">
        <f t="shared" si="14"/>
        <v>117.94719922065272</v>
      </c>
      <c r="BQ56">
        <f t="shared" si="15"/>
        <v>816.92937165124215</v>
      </c>
      <c r="BR56">
        <f t="shared" si="16"/>
        <v>272.63205065757433</v>
      </c>
      <c r="BS56">
        <v>9.4249999999999989</v>
      </c>
      <c r="BT56">
        <v>3.6999999999999997</v>
      </c>
      <c r="BU56">
        <v>7.75</v>
      </c>
      <c r="BV56">
        <v>47.274999999999999</v>
      </c>
      <c r="BW56"/>
      <c r="BX56"/>
      <c r="BY56"/>
      <c r="BZ56"/>
      <c r="CA56"/>
    </row>
    <row r="57" spans="1:79" x14ac:dyDescent="0.35">
      <c r="A57" t="s">
        <v>24</v>
      </c>
      <c r="D57" t="s">
        <v>336</v>
      </c>
      <c r="E57">
        <v>2002</v>
      </c>
      <c r="F57">
        <v>4</v>
      </c>
      <c r="G57">
        <v>8</v>
      </c>
      <c r="H57">
        <v>7</v>
      </c>
      <c r="I57"/>
      <c r="J57"/>
      <c r="K57">
        <v>56</v>
      </c>
      <c r="L57"/>
      <c r="M57">
        <v>0.92425000000000002</v>
      </c>
      <c r="N57">
        <v>2.8356247432341886E-2</v>
      </c>
      <c r="O57">
        <v>2.0190548649329343E-2</v>
      </c>
      <c r="P57">
        <v>7.5340723561965861E-2</v>
      </c>
      <c r="Q57">
        <v>0.23929387331929175</v>
      </c>
      <c r="R57">
        <v>0.97164375256765811</v>
      </c>
      <c r="S57">
        <v>0.97980945135067066</v>
      </c>
      <c r="T57">
        <v>0.92465927643803414</v>
      </c>
      <c r="U57">
        <v>0.76070612668070825</v>
      </c>
      <c r="V57"/>
      <c r="W57"/>
      <c r="X57"/>
      <c r="Y57"/>
      <c r="Z57"/>
      <c r="AA57"/>
      <c r="AB57"/>
      <c r="AC57"/>
      <c r="AD57"/>
      <c r="AE57"/>
      <c r="AF57"/>
      <c r="AG57"/>
      <c r="AH57"/>
      <c r="AI57"/>
      <c r="AJ57"/>
      <c r="AK57"/>
      <c r="AL57"/>
      <c r="AM57"/>
      <c r="AN57"/>
      <c r="AO57"/>
      <c r="AP57">
        <v>86</v>
      </c>
      <c r="AQ57">
        <v>0.5</v>
      </c>
      <c r="AR57">
        <v>2492</v>
      </c>
      <c r="AS57">
        <f t="shared" si="0"/>
        <v>4984</v>
      </c>
      <c r="AT57">
        <v>311.52999999999997</v>
      </c>
      <c r="AU57">
        <v>38</v>
      </c>
      <c r="AV57">
        <f t="shared" si="1"/>
        <v>8.1981578947368412</v>
      </c>
      <c r="AW57">
        <f t="shared" si="2"/>
        <v>245.94473684210524</v>
      </c>
      <c r="AX57"/>
      <c r="AY57">
        <v>20</v>
      </c>
      <c r="AZ57">
        <v>9.42</v>
      </c>
      <c r="BA57">
        <v>4.53</v>
      </c>
      <c r="BB57">
        <v>28.98</v>
      </c>
      <c r="BC57">
        <v>11.71</v>
      </c>
      <c r="BD57"/>
      <c r="BE57">
        <f t="shared" si="3"/>
        <v>1</v>
      </c>
      <c r="BF57">
        <f t="shared" si="4"/>
        <v>54.64</v>
      </c>
      <c r="BG57">
        <f t="shared" si="5"/>
        <v>2.7320000000000002</v>
      </c>
      <c r="BH57">
        <f t="shared" si="6"/>
        <v>0.33324559432478418</v>
      </c>
      <c r="BI57">
        <f t="shared" si="7"/>
        <v>830.44802105736221</v>
      </c>
      <c r="BJ57" s="1">
        <f t="shared" si="8"/>
        <v>1660.8960421147244</v>
      </c>
      <c r="BK57">
        <f t="shared" si="9"/>
        <v>0.17240117130307467</v>
      </c>
      <c r="BL57">
        <f t="shared" si="10"/>
        <v>8.290629575402636E-2</v>
      </c>
      <c r="BM57">
        <f t="shared" si="11"/>
        <v>0.53038067349926798</v>
      </c>
      <c r="BN57">
        <f t="shared" si="12"/>
        <v>0.21431185944363104</v>
      </c>
      <c r="BO57">
        <f t="shared" si="13"/>
        <v>286.34042307321931</v>
      </c>
      <c r="BP57">
        <f t="shared" si="14"/>
        <v>137.69873848425516</v>
      </c>
      <c r="BQ57">
        <f t="shared" si="15"/>
        <v>880.90716142907615</v>
      </c>
      <c r="BR57">
        <f t="shared" si="16"/>
        <v>355.94971912817391</v>
      </c>
      <c r="BS57">
        <v>7.75</v>
      </c>
      <c r="BT57">
        <v>16.974999999999998</v>
      </c>
      <c r="BU57">
        <v>32.4</v>
      </c>
      <c r="BV57">
        <v>51.024999999999999</v>
      </c>
      <c r="BW57"/>
      <c r="BX57"/>
      <c r="BY57"/>
      <c r="BZ57"/>
      <c r="CA57"/>
    </row>
    <row r="58" spans="1:79" x14ac:dyDescent="0.35">
      <c r="A58" t="s">
        <v>34</v>
      </c>
      <c r="D58" t="s">
        <v>39</v>
      </c>
      <c r="E58">
        <v>2001</v>
      </c>
      <c r="F58">
        <v>4</v>
      </c>
      <c r="G58">
        <v>1</v>
      </c>
      <c r="H58">
        <v>8</v>
      </c>
      <c r="I58"/>
      <c r="J58"/>
      <c r="K58">
        <v>57</v>
      </c>
      <c r="L58"/>
      <c r="M58">
        <v>0.82825000000000004</v>
      </c>
      <c r="N58">
        <v>5.7954274934211791E-2</v>
      </c>
      <c r="O58">
        <v>7.299095367426145E-2</v>
      </c>
      <c r="P58">
        <v>0.14442560612074051</v>
      </c>
      <c r="Q58">
        <v>0.32646412317261875</v>
      </c>
      <c r="R58">
        <v>0.94204572506578821</v>
      </c>
      <c r="S58">
        <v>0.92700904632573855</v>
      </c>
      <c r="T58">
        <v>0.85557439387925949</v>
      </c>
      <c r="U58">
        <v>0.67353587682738125</v>
      </c>
      <c r="V58"/>
      <c r="W58"/>
      <c r="X58"/>
      <c r="Y58"/>
      <c r="Z58"/>
      <c r="AA58"/>
      <c r="AB58"/>
      <c r="AC58"/>
      <c r="AD58"/>
      <c r="AE58"/>
      <c r="AF58"/>
      <c r="AG58"/>
      <c r="AH58"/>
      <c r="AI58"/>
      <c r="AJ58"/>
      <c r="AK58"/>
      <c r="AL58"/>
      <c r="AM58"/>
      <c r="AN58"/>
      <c r="AO58"/>
      <c r="AP58"/>
      <c r="AQ58">
        <v>0.5</v>
      </c>
      <c r="AR58">
        <v>2739</v>
      </c>
      <c r="AS58">
        <f t="shared" si="0"/>
        <v>5478</v>
      </c>
      <c r="AT58">
        <v>262.05</v>
      </c>
      <c r="AU58">
        <v>33</v>
      </c>
      <c r="AV58">
        <f t="shared" si="1"/>
        <v>7.9409090909090914</v>
      </c>
      <c r="AW58">
        <f t="shared" si="2"/>
        <v>238.22727272727275</v>
      </c>
      <c r="AX58"/>
      <c r="AY58">
        <v>20</v>
      </c>
      <c r="AZ58">
        <v>8.24</v>
      </c>
      <c r="BA58">
        <v>0.65</v>
      </c>
      <c r="BB58">
        <v>21.95</v>
      </c>
      <c r="BC58">
        <v>7.08</v>
      </c>
      <c r="BD58"/>
      <c r="BE58">
        <f t="shared" si="3"/>
        <v>0.99999999999999989</v>
      </c>
      <c r="BF58">
        <f t="shared" si="4"/>
        <v>37.92</v>
      </c>
      <c r="BG58">
        <f t="shared" si="5"/>
        <v>1.8960000000000001</v>
      </c>
      <c r="BH58">
        <f t="shared" si="6"/>
        <v>0.23876359473382944</v>
      </c>
      <c r="BI58">
        <f t="shared" si="7"/>
        <v>653.97348597595885</v>
      </c>
      <c r="BJ58" s="1">
        <f t="shared" si="8"/>
        <v>1307.9469719519177</v>
      </c>
      <c r="BK58">
        <f t="shared" si="9"/>
        <v>0.21729957805907171</v>
      </c>
      <c r="BL58">
        <f t="shared" si="10"/>
        <v>1.7141350210970463E-2</v>
      </c>
      <c r="BM58">
        <f t="shared" si="11"/>
        <v>0.57885021097046407</v>
      </c>
      <c r="BN58">
        <f t="shared" si="12"/>
        <v>0.18670886075949367</v>
      </c>
      <c r="BO58">
        <f t="shared" si="13"/>
        <v>284.21632512879222</v>
      </c>
      <c r="BP58">
        <f t="shared" si="14"/>
        <v>22.419977103606183</v>
      </c>
      <c r="BQ58">
        <f t="shared" si="15"/>
        <v>757.10538065254718</v>
      </c>
      <c r="BR58">
        <f t="shared" si="16"/>
        <v>244.20528906697197</v>
      </c>
      <c r="BS58">
        <v>12.324999999999999</v>
      </c>
      <c r="BT58">
        <v>21.4</v>
      </c>
      <c r="BU58">
        <v>35.775000000000006</v>
      </c>
      <c r="BV58">
        <v>37.174999999999997</v>
      </c>
      <c r="BW58"/>
      <c r="BX58"/>
      <c r="BY58"/>
      <c r="BZ58"/>
      <c r="CA58"/>
    </row>
    <row r="59" spans="1:79" x14ac:dyDescent="0.35">
      <c r="A59" t="s">
        <v>34</v>
      </c>
      <c r="D59" t="s">
        <v>37</v>
      </c>
      <c r="E59">
        <v>1989</v>
      </c>
      <c r="F59">
        <v>4</v>
      </c>
      <c r="G59">
        <v>2</v>
      </c>
      <c r="H59">
        <v>8</v>
      </c>
      <c r="I59"/>
      <c r="J59"/>
      <c r="K59">
        <v>58</v>
      </c>
      <c r="L59"/>
      <c r="M59">
        <v>0.92600000000000005</v>
      </c>
      <c r="N59">
        <v>6.2165881264100498E-2</v>
      </c>
      <c r="O59">
        <v>8.5588468013189978E-2</v>
      </c>
      <c r="P59">
        <v>0.10104278413405343</v>
      </c>
      <c r="Q59">
        <v>0.32372107881186762</v>
      </c>
      <c r="R59">
        <v>0.9378341187358995</v>
      </c>
      <c r="S59">
        <v>0.91441153198681002</v>
      </c>
      <c r="T59">
        <v>0.89895721586594657</v>
      </c>
      <c r="U59">
        <v>0.67627892118813238</v>
      </c>
      <c r="V59"/>
      <c r="W59"/>
      <c r="X59"/>
      <c r="Y59"/>
      <c r="Z59"/>
      <c r="AA59"/>
      <c r="AB59"/>
      <c r="AC59"/>
      <c r="AD59"/>
      <c r="AE59"/>
      <c r="AF59"/>
      <c r="AG59"/>
      <c r="AH59"/>
      <c r="AI59"/>
      <c r="AJ59"/>
      <c r="AK59"/>
      <c r="AL59"/>
      <c r="AM59"/>
      <c r="AN59"/>
      <c r="AO59"/>
      <c r="AP59"/>
      <c r="AQ59">
        <v>0.5</v>
      </c>
      <c r="AR59">
        <v>2155.9999999999995</v>
      </c>
      <c r="AS59">
        <f t="shared" si="0"/>
        <v>4311.9999999999991</v>
      </c>
      <c r="AT59">
        <v>235.6</v>
      </c>
      <c r="AU59">
        <v>31</v>
      </c>
      <c r="AV59">
        <f t="shared" si="1"/>
        <v>7.6</v>
      </c>
      <c r="AW59">
        <f t="shared" si="2"/>
        <v>228</v>
      </c>
      <c r="AX59"/>
      <c r="AY59">
        <v>20</v>
      </c>
      <c r="AZ59">
        <v>8.16</v>
      </c>
      <c r="BA59">
        <v>4.22</v>
      </c>
      <c r="BB59">
        <v>26.26</v>
      </c>
      <c r="BC59">
        <v>8.4499999999999993</v>
      </c>
      <c r="BD59"/>
      <c r="BE59">
        <f t="shared" si="3"/>
        <v>0.99999999999999989</v>
      </c>
      <c r="BF59">
        <f t="shared" si="4"/>
        <v>47.09</v>
      </c>
      <c r="BG59">
        <f t="shared" si="5"/>
        <v>2.3545000000000003</v>
      </c>
      <c r="BH59">
        <f t="shared" si="6"/>
        <v>0.30980263157894744</v>
      </c>
      <c r="BI59">
        <f t="shared" si="7"/>
        <v>667.9344736842105</v>
      </c>
      <c r="BJ59" s="1">
        <f t="shared" si="8"/>
        <v>1335.868947368421</v>
      </c>
      <c r="BK59">
        <f t="shared" si="9"/>
        <v>0.17328519855595667</v>
      </c>
      <c r="BL59">
        <f t="shared" si="10"/>
        <v>8.9615629645359934E-2</v>
      </c>
      <c r="BM59">
        <f t="shared" si="11"/>
        <v>0.55765555319600768</v>
      </c>
      <c r="BN59">
        <f t="shared" si="12"/>
        <v>0.17944361860267569</v>
      </c>
      <c r="BO59">
        <f t="shared" si="13"/>
        <v>231.48631578947368</v>
      </c>
      <c r="BP59">
        <f t="shared" si="14"/>
        <v>119.71473684210524</v>
      </c>
      <c r="BQ59">
        <f t="shared" si="15"/>
        <v>744.95473684210526</v>
      </c>
      <c r="BR59">
        <f t="shared" si="16"/>
        <v>239.71315789473678</v>
      </c>
      <c r="BS59">
        <v>8.9</v>
      </c>
      <c r="BT59">
        <v>24.499999999999996</v>
      </c>
      <c r="BU59">
        <v>45.050000000000004</v>
      </c>
      <c r="BV59">
        <v>47.925000000000004</v>
      </c>
      <c r="BW59"/>
      <c r="BX59"/>
      <c r="BY59"/>
      <c r="BZ59"/>
      <c r="CA59"/>
    </row>
    <row r="60" spans="1:79" x14ac:dyDescent="0.35">
      <c r="A60" t="s">
        <v>34</v>
      </c>
      <c r="D60" t="s">
        <v>36</v>
      </c>
      <c r="E60">
        <v>1984</v>
      </c>
      <c r="F60">
        <v>4</v>
      </c>
      <c r="G60">
        <v>3</v>
      </c>
      <c r="H60">
        <v>8</v>
      </c>
      <c r="I60"/>
      <c r="J60"/>
      <c r="K60">
        <v>59</v>
      </c>
      <c r="L60"/>
      <c r="M60">
        <v>0.90036000000000005</v>
      </c>
      <c r="N60">
        <v>7.2622830403306748E-2</v>
      </c>
      <c r="O60">
        <v>5.3436034430405899E-2</v>
      </c>
      <c r="P60">
        <v>8.9533228681662025E-2</v>
      </c>
      <c r="Q60">
        <v>0.24475922257638572</v>
      </c>
      <c r="R60">
        <v>0.92737716959669325</v>
      </c>
      <c r="S60">
        <v>0.9465639655695941</v>
      </c>
      <c r="T60">
        <v>0.91046677131833798</v>
      </c>
      <c r="U60">
        <v>0.75524077742361428</v>
      </c>
      <c r="V60"/>
      <c r="W60"/>
      <c r="X60"/>
      <c r="Y60"/>
      <c r="Z60"/>
      <c r="AA60"/>
      <c r="AB60"/>
      <c r="AC60"/>
      <c r="AD60"/>
      <c r="AE60"/>
      <c r="AF60"/>
      <c r="AG60"/>
      <c r="AH60"/>
      <c r="AI60"/>
      <c r="AJ60"/>
      <c r="AK60"/>
      <c r="AL60"/>
      <c r="AM60"/>
      <c r="AN60"/>
      <c r="AO60"/>
      <c r="AP60"/>
      <c r="AQ60">
        <v>0.5</v>
      </c>
      <c r="AR60">
        <v>1939.4999999999998</v>
      </c>
      <c r="AS60">
        <f t="shared" si="0"/>
        <v>3878.9999999999995</v>
      </c>
      <c r="AT60">
        <v>244.8</v>
      </c>
      <c r="AU60">
        <v>38</v>
      </c>
      <c r="AV60">
        <f t="shared" si="1"/>
        <v>6.4421052631578952</v>
      </c>
      <c r="AW60">
        <f t="shared" si="2"/>
        <v>193.26315789473685</v>
      </c>
      <c r="AX60"/>
      <c r="AY60">
        <v>20</v>
      </c>
      <c r="AZ60">
        <v>8.31</v>
      </c>
      <c r="BA60">
        <v>1.48</v>
      </c>
      <c r="BB60">
        <v>21.17</v>
      </c>
      <c r="BC60">
        <v>7.74</v>
      </c>
      <c r="BD60"/>
      <c r="BE60">
        <f t="shared" si="3"/>
        <v>1</v>
      </c>
      <c r="BF60">
        <f t="shared" si="4"/>
        <v>38.700000000000003</v>
      </c>
      <c r="BG60">
        <f t="shared" si="5"/>
        <v>1.9350000000000001</v>
      </c>
      <c r="BH60">
        <f t="shared" si="6"/>
        <v>0.30036764705882352</v>
      </c>
      <c r="BI60">
        <f t="shared" si="7"/>
        <v>582.56305147058811</v>
      </c>
      <c r="BJ60" s="1">
        <f t="shared" si="8"/>
        <v>1165.1261029411762</v>
      </c>
      <c r="BK60">
        <f t="shared" si="9"/>
        <v>0.21472868217054264</v>
      </c>
      <c r="BL60">
        <f t="shared" si="10"/>
        <v>3.824289405684754E-2</v>
      </c>
      <c r="BM60">
        <f t="shared" si="11"/>
        <v>0.54702842377260985</v>
      </c>
      <c r="BN60">
        <f t="shared" si="12"/>
        <v>0.19999999999999998</v>
      </c>
      <c r="BO60">
        <f t="shared" si="13"/>
        <v>250.18599264705878</v>
      </c>
      <c r="BP60">
        <f t="shared" si="14"/>
        <v>44.557794117647042</v>
      </c>
      <c r="BQ60">
        <f t="shared" si="15"/>
        <v>637.35709558823521</v>
      </c>
      <c r="BR60">
        <f t="shared" si="16"/>
        <v>233.02522058823521</v>
      </c>
      <c r="BS60">
        <v>14</v>
      </c>
      <c r="BT60">
        <v>29.975000000000001</v>
      </c>
      <c r="BU60">
        <v>38.325000000000003</v>
      </c>
      <c r="BV60">
        <v>44.3</v>
      </c>
      <c r="BW60"/>
      <c r="BX60"/>
      <c r="BY60"/>
      <c r="BZ60"/>
      <c r="CA60"/>
    </row>
    <row r="61" spans="1:79" x14ac:dyDescent="0.35">
      <c r="A61" t="s">
        <v>34</v>
      </c>
      <c r="D61" t="s">
        <v>343</v>
      </c>
      <c r="E61">
        <v>2004</v>
      </c>
      <c r="F61">
        <v>4</v>
      </c>
      <c r="G61">
        <v>4</v>
      </c>
      <c r="H61">
        <v>8</v>
      </c>
      <c r="I61"/>
      <c r="J61"/>
      <c r="K61">
        <v>60</v>
      </c>
      <c r="L61"/>
      <c r="M61">
        <v>0.90800000000000003</v>
      </c>
      <c r="N61">
        <v>2.8224406197716045E-2</v>
      </c>
      <c r="O61">
        <v>3.8500542245738623E-2</v>
      </c>
      <c r="P61">
        <v>6.8123963408022403E-2</v>
      </c>
      <c r="Q61">
        <v>0.19534390755114028</v>
      </c>
      <c r="R61">
        <v>0.97177559380228395</v>
      </c>
      <c r="S61">
        <v>0.96149945775426138</v>
      </c>
      <c r="T61">
        <v>0.9318760365919776</v>
      </c>
      <c r="U61">
        <v>0.80465609244885972</v>
      </c>
      <c r="V61"/>
      <c r="W61"/>
      <c r="X61"/>
      <c r="Y61"/>
      <c r="Z61"/>
      <c r="AA61"/>
      <c r="AB61"/>
      <c r="AC61"/>
      <c r="AD61"/>
      <c r="AE61"/>
      <c r="AF61"/>
      <c r="AG61"/>
      <c r="AH61"/>
      <c r="AI61"/>
      <c r="AJ61"/>
      <c r="AK61"/>
      <c r="AL61"/>
      <c r="AM61"/>
      <c r="AN61"/>
      <c r="AO61"/>
      <c r="AP61"/>
      <c r="AQ61">
        <v>0.5</v>
      </c>
      <c r="AR61">
        <v>1981.9999999999998</v>
      </c>
      <c r="AS61">
        <f t="shared" si="0"/>
        <v>3963.9999999999995</v>
      </c>
      <c r="AT61">
        <v>258.5</v>
      </c>
      <c r="AU61">
        <v>36</v>
      </c>
      <c r="AV61">
        <f t="shared" si="1"/>
        <v>7.1805555555555554</v>
      </c>
      <c r="AW61">
        <f t="shared" si="2"/>
        <v>215.41666666666666</v>
      </c>
      <c r="AX61"/>
      <c r="AY61">
        <v>20</v>
      </c>
      <c r="AZ61">
        <v>8.59</v>
      </c>
      <c r="BA61">
        <v>2.3199999999999998</v>
      </c>
      <c r="BB61">
        <v>23.61</v>
      </c>
      <c r="BC61">
        <v>8.2799999999999994</v>
      </c>
      <c r="BD61"/>
      <c r="BE61">
        <f t="shared" si="3"/>
        <v>1</v>
      </c>
      <c r="BF61">
        <f t="shared" si="4"/>
        <v>42.8</v>
      </c>
      <c r="BG61">
        <f t="shared" si="5"/>
        <v>2.1399999999999997</v>
      </c>
      <c r="BH61">
        <f t="shared" si="6"/>
        <v>0.298027079303675</v>
      </c>
      <c r="BI61">
        <f t="shared" si="7"/>
        <v>590.68967117988382</v>
      </c>
      <c r="BJ61" s="1">
        <f t="shared" si="8"/>
        <v>1181.3793423597676</v>
      </c>
      <c r="BK61">
        <f t="shared" si="9"/>
        <v>0.20070093457943927</v>
      </c>
      <c r="BL61">
        <f t="shared" si="10"/>
        <v>5.4205607476635512E-2</v>
      </c>
      <c r="BM61">
        <f t="shared" si="11"/>
        <v>0.5516355140186916</v>
      </c>
      <c r="BN61">
        <f t="shared" si="12"/>
        <v>0.19345794392523363</v>
      </c>
      <c r="BO61">
        <f t="shared" si="13"/>
        <v>237.1039381044487</v>
      </c>
      <c r="BP61">
        <f t="shared" si="14"/>
        <v>64.037384912959368</v>
      </c>
      <c r="BQ61">
        <f t="shared" si="15"/>
        <v>651.69080077369426</v>
      </c>
      <c r="BR61">
        <f t="shared" si="16"/>
        <v>228.5472185686653</v>
      </c>
      <c r="BS61">
        <v>4.4000000000000004</v>
      </c>
      <c r="BT61">
        <v>39.65</v>
      </c>
      <c r="BU61">
        <v>36.200000000000003</v>
      </c>
      <c r="BV61">
        <v>45.875</v>
      </c>
      <c r="BW61"/>
      <c r="BX61"/>
      <c r="BY61"/>
      <c r="BZ61"/>
      <c r="CA61"/>
    </row>
    <row r="62" spans="1:79" x14ac:dyDescent="0.35">
      <c r="A62" t="s">
        <v>34</v>
      </c>
      <c r="D62" t="s">
        <v>41</v>
      </c>
      <c r="E62">
        <v>2008</v>
      </c>
      <c r="F62">
        <v>4</v>
      </c>
      <c r="G62">
        <v>5</v>
      </c>
      <c r="H62">
        <v>8</v>
      </c>
      <c r="I62"/>
      <c r="J62"/>
      <c r="K62">
        <v>61</v>
      </c>
      <c r="L62"/>
      <c r="M62">
        <v>0.86938000000000004</v>
      </c>
      <c r="N62">
        <v>4.0758414370328899E-2</v>
      </c>
      <c r="O62">
        <v>5.9350772495763149E-2</v>
      </c>
      <c r="P62">
        <v>0.10603584088358231</v>
      </c>
      <c r="Q62">
        <v>0.3131699960101868</v>
      </c>
      <c r="R62">
        <v>0.9592415856296711</v>
      </c>
      <c r="S62">
        <v>0.94064922750423685</v>
      </c>
      <c r="T62">
        <v>0.89396415911641769</v>
      </c>
      <c r="U62">
        <v>0.6868300039898132</v>
      </c>
      <c r="V62"/>
      <c r="W62"/>
      <c r="X62"/>
      <c r="Y62"/>
      <c r="Z62"/>
      <c r="AA62"/>
      <c r="AB62"/>
      <c r="AC62"/>
      <c r="AD62"/>
      <c r="AE62"/>
      <c r="AF62"/>
      <c r="AG62"/>
      <c r="AH62"/>
      <c r="AI62"/>
      <c r="AJ62"/>
      <c r="AK62"/>
      <c r="AL62"/>
      <c r="AM62"/>
      <c r="AN62"/>
      <c r="AO62"/>
      <c r="AP62"/>
      <c r="AQ62">
        <v>0.5</v>
      </c>
      <c r="AR62">
        <v>2468</v>
      </c>
      <c r="AS62">
        <f t="shared" si="0"/>
        <v>4936</v>
      </c>
      <c r="AT62">
        <v>312.10000000000002</v>
      </c>
      <c r="AU62">
        <v>43</v>
      </c>
      <c r="AV62">
        <f t="shared" si="1"/>
        <v>7.2581395348837212</v>
      </c>
      <c r="AW62">
        <f t="shared" si="2"/>
        <v>217.74418604651163</v>
      </c>
      <c r="AX62"/>
      <c r="AY62">
        <v>20</v>
      </c>
      <c r="AZ62">
        <v>6.11</v>
      </c>
      <c r="BA62">
        <v>2.16</v>
      </c>
      <c r="BB62">
        <v>19.48</v>
      </c>
      <c r="BC62">
        <v>6.23</v>
      </c>
      <c r="BD62"/>
      <c r="BE62">
        <f t="shared" si="3"/>
        <v>0.99999999999999989</v>
      </c>
      <c r="BF62">
        <f t="shared" si="4"/>
        <v>33.980000000000004</v>
      </c>
      <c r="BG62">
        <f t="shared" si="5"/>
        <v>1.6990000000000003</v>
      </c>
      <c r="BH62">
        <f t="shared" si="6"/>
        <v>0.23408202499198977</v>
      </c>
      <c r="BI62">
        <f t="shared" si="7"/>
        <v>577.71443768023073</v>
      </c>
      <c r="BJ62" s="1">
        <f t="shared" si="8"/>
        <v>1155.4288753604615</v>
      </c>
      <c r="BK62">
        <f t="shared" si="9"/>
        <v>0.17981165391406709</v>
      </c>
      <c r="BL62">
        <f t="shared" si="10"/>
        <v>6.356680400235433E-2</v>
      </c>
      <c r="BM62">
        <f t="shared" si="11"/>
        <v>0.57327839905826949</v>
      </c>
      <c r="BN62">
        <f t="shared" si="12"/>
        <v>0.18334314302530899</v>
      </c>
      <c r="BO62">
        <f t="shared" si="13"/>
        <v>207.75957705863505</v>
      </c>
      <c r="BP62">
        <f t="shared" si="14"/>
        <v>73.446920858699144</v>
      </c>
      <c r="BQ62">
        <f t="shared" si="15"/>
        <v>662.38241589234212</v>
      </c>
      <c r="BR62">
        <f t="shared" si="16"/>
        <v>211.83996155078501</v>
      </c>
      <c r="BS62">
        <v>4.9749999999999996</v>
      </c>
      <c r="BT62">
        <v>7.1000000000000005</v>
      </c>
      <c r="BU62">
        <v>16.924999999999997</v>
      </c>
      <c r="BV62">
        <v>46.4</v>
      </c>
      <c r="BW62"/>
      <c r="BX62"/>
      <c r="BY62"/>
      <c r="BZ62"/>
      <c r="CA62"/>
    </row>
    <row r="63" spans="1:79" x14ac:dyDescent="0.35">
      <c r="A63" t="s">
        <v>34</v>
      </c>
      <c r="D63" t="s">
        <v>38</v>
      </c>
      <c r="E63">
        <v>1999</v>
      </c>
      <c r="F63">
        <v>4</v>
      </c>
      <c r="G63">
        <v>6</v>
      </c>
      <c r="H63">
        <v>8</v>
      </c>
      <c r="I63"/>
      <c r="J63"/>
      <c r="K63">
        <v>62</v>
      </c>
      <c r="L63"/>
      <c r="M63">
        <v>0.91830000000000001</v>
      </c>
      <c r="N63">
        <v>0.12795370104713932</v>
      </c>
      <c r="O63">
        <v>0.13373622055502765</v>
      </c>
      <c r="P63">
        <v>0.16407788258751765</v>
      </c>
      <c r="Q63">
        <v>0.28479423606782128</v>
      </c>
      <c r="R63">
        <v>0.87204629895286068</v>
      </c>
      <c r="S63">
        <v>0.86626377944497235</v>
      </c>
      <c r="T63">
        <v>0.83592211741248235</v>
      </c>
      <c r="U63">
        <v>0.71520576393217872</v>
      </c>
      <c r="V63"/>
      <c r="W63"/>
      <c r="X63"/>
      <c r="Y63"/>
      <c r="Z63"/>
      <c r="AA63"/>
      <c r="AB63"/>
      <c r="AC63"/>
      <c r="AD63"/>
      <c r="AE63"/>
      <c r="AF63"/>
      <c r="AG63"/>
      <c r="AH63"/>
      <c r="AI63"/>
      <c r="AJ63"/>
      <c r="AK63"/>
      <c r="AL63"/>
      <c r="AM63"/>
      <c r="AN63"/>
      <c r="AO63"/>
      <c r="AP63"/>
      <c r="AQ63">
        <v>0.5</v>
      </c>
      <c r="AR63">
        <v>2024.4999999999998</v>
      </c>
      <c r="AS63">
        <f t="shared" si="0"/>
        <v>4048.9999999999995</v>
      </c>
      <c r="AT63">
        <v>380.8</v>
      </c>
      <c r="AU63">
        <v>46</v>
      </c>
      <c r="AV63">
        <f t="shared" si="1"/>
        <v>8.2782608695652176</v>
      </c>
      <c r="AW63">
        <f t="shared" si="2"/>
        <v>248.34782608695653</v>
      </c>
      <c r="AX63"/>
      <c r="AY63">
        <v>20</v>
      </c>
      <c r="AZ63">
        <v>7.35</v>
      </c>
      <c r="BA63">
        <v>4.3899999999999997</v>
      </c>
      <c r="BB63">
        <v>18.84</v>
      </c>
      <c r="BC63">
        <v>6.46</v>
      </c>
      <c r="BD63"/>
      <c r="BE63">
        <f t="shared" si="3"/>
        <v>1</v>
      </c>
      <c r="BF63">
        <f t="shared" si="4"/>
        <v>37.04</v>
      </c>
      <c r="BG63">
        <f t="shared" si="5"/>
        <v>1.8519999999999999</v>
      </c>
      <c r="BH63">
        <f t="shared" si="6"/>
        <v>0.22371848739495795</v>
      </c>
      <c r="BI63">
        <f t="shared" si="7"/>
        <v>452.9180777310923</v>
      </c>
      <c r="BJ63" s="1">
        <f t="shared" si="8"/>
        <v>905.83615546218459</v>
      </c>
      <c r="BK63">
        <f t="shared" si="9"/>
        <v>0.19843412526997839</v>
      </c>
      <c r="BL63">
        <f t="shared" si="10"/>
        <v>0.11852051835853131</v>
      </c>
      <c r="BM63">
        <f t="shared" si="11"/>
        <v>0.50863930885529163</v>
      </c>
      <c r="BN63">
        <f t="shared" si="12"/>
        <v>0.1744060475161987</v>
      </c>
      <c r="BO63">
        <f t="shared" si="13"/>
        <v>179.74880514705876</v>
      </c>
      <c r="BP63">
        <f t="shared" si="14"/>
        <v>107.36017069327727</v>
      </c>
      <c r="BQ63">
        <f t="shared" si="15"/>
        <v>460.74387605042006</v>
      </c>
      <c r="BR63">
        <f t="shared" si="16"/>
        <v>157.98330357142854</v>
      </c>
      <c r="BS63">
        <v>2.5499999999999998</v>
      </c>
      <c r="BT63">
        <v>16.825000000000003</v>
      </c>
      <c r="BU63">
        <v>47.25</v>
      </c>
      <c r="BV63">
        <v>48.35</v>
      </c>
      <c r="BW63"/>
      <c r="BX63"/>
      <c r="BY63"/>
      <c r="BZ63"/>
      <c r="CA63"/>
    </row>
    <row r="64" spans="1:79" x14ac:dyDescent="0.35">
      <c r="A64" t="s">
        <v>34</v>
      </c>
      <c r="D64" t="s">
        <v>42</v>
      </c>
      <c r="E64">
        <v>2016</v>
      </c>
      <c r="F64">
        <v>4</v>
      </c>
      <c r="G64">
        <v>7</v>
      </c>
      <c r="H64">
        <v>8</v>
      </c>
      <c r="I64"/>
      <c r="J64"/>
      <c r="K64">
        <v>63</v>
      </c>
      <c r="L64"/>
      <c r="M64">
        <v>0.92342999999999997</v>
      </c>
      <c r="N64">
        <v>3.3016416788116953E-2</v>
      </c>
      <c r="O64">
        <v>4.0184276215141645E-2</v>
      </c>
      <c r="P64">
        <v>8.1267668524091174E-2</v>
      </c>
      <c r="Q64">
        <v>0.27272939269980767</v>
      </c>
      <c r="R64">
        <v>0.96698358321188305</v>
      </c>
      <c r="S64">
        <v>0.95981572378485835</v>
      </c>
      <c r="T64">
        <v>0.91873233147590883</v>
      </c>
      <c r="U64">
        <v>0.72727060730019233</v>
      </c>
      <c r="V64"/>
      <c r="W64"/>
      <c r="X64"/>
      <c r="Y64"/>
      <c r="Z64"/>
      <c r="AA64"/>
      <c r="AB64"/>
      <c r="AC64"/>
      <c r="AD64"/>
      <c r="AE64"/>
      <c r="AF64"/>
      <c r="AG64"/>
      <c r="AH64"/>
      <c r="AI64"/>
      <c r="AJ64"/>
      <c r="AK64"/>
      <c r="AL64"/>
      <c r="AM64"/>
      <c r="AN64"/>
      <c r="AO64"/>
      <c r="AP64"/>
      <c r="AQ64">
        <v>0.5</v>
      </c>
      <c r="AR64">
        <v>2630</v>
      </c>
      <c r="AS64">
        <f t="shared" si="0"/>
        <v>5260</v>
      </c>
      <c r="AT64">
        <v>399.58</v>
      </c>
      <c r="AU64">
        <v>38</v>
      </c>
      <c r="AV64">
        <f t="shared" si="1"/>
        <v>10.515263157894736</v>
      </c>
      <c r="AW64">
        <f t="shared" si="2"/>
        <v>315.45789473684209</v>
      </c>
      <c r="AX64"/>
      <c r="AY64">
        <v>20</v>
      </c>
      <c r="AZ64">
        <v>10.29</v>
      </c>
      <c r="BA64">
        <v>2.2400000000000002</v>
      </c>
      <c r="BB64">
        <v>35.68</v>
      </c>
      <c r="BC64">
        <v>11.9</v>
      </c>
      <c r="BD64"/>
      <c r="BE64">
        <f t="shared" si="3"/>
        <v>1</v>
      </c>
      <c r="BF64">
        <f t="shared" si="4"/>
        <v>60.11</v>
      </c>
      <c r="BG64">
        <f t="shared" si="5"/>
        <v>3.0055000000000001</v>
      </c>
      <c r="BH64">
        <f t="shared" si="6"/>
        <v>0.28582261374443169</v>
      </c>
      <c r="BI64">
        <f t="shared" si="7"/>
        <v>751.71347414785532</v>
      </c>
      <c r="BJ64" s="1">
        <f t="shared" si="8"/>
        <v>1503.4269482957106</v>
      </c>
      <c r="BK64">
        <f t="shared" si="9"/>
        <v>0.17118615870903342</v>
      </c>
      <c r="BL64">
        <f t="shared" si="10"/>
        <v>3.726501414074198E-2</v>
      </c>
      <c r="BM64">
        <f t="shared" si="11"/>
        <v>0.59357843952753286</v>
      </c>
      <c r="BN64">
        <f t="shared" si="12"/>
        <v>0.19797038762269173</v>
      </c>
      <c r="BO64">
        <f t="shared" si="13"/>
        <v>257.36588417838732</v>
      </c>
      <c r="BP64">
        <f t="shared" si="14"/>
        <v>56.025226487812219</v>
      </c>
      <c r="BQ64">
        <f t="shared" si="15"/>
        <v>892.4018219130088</v>
      </c>
      <c r="BR64">
        <f t="shared" si="16"/>
        <v>297.63401571650235</v>
      </c>
      <c r="BS64">
        <v>7.5750000000000002</v>
      </c>
      <c r="BT64">
        <v>7</v>
      </c>
      <c r="BU64">
        <v>25.925000000000001</v>
      </c>
      <c r="BV64">
        <v>55.674999999999997</v>
      </c>
      <c r="BW64"/>
      <c r="BX64"/>
      <c r="BY64"/>
      <c r="BZ64"/>
      <c r="CA64"/>
    </row>
    <row r="65" spans="1:79" x14ac:dyDescent="0.35">
      <c r="A65" t="s">
        <v>34</v>
      </c>
      <c r="D65" t="s">
        <v>43</v>
      </c>
      <c r="E65">
        <v>2020</v>
      </c>
      <c r="F65">
        <v>4</v>
      </c>
      <c r="G65">
        <v>8</v>
      </c>
      <c r="H65">
        <v>8</v>
      </c>
      <c r="I65"/>
      <c r="J65"/>
      <c r="K65">
        <v>64</v>
      </c>
      <c r="L65"/>
      <c r="M65">
        <v>0.91232999999999997</v>
      </c>
      <c r="N65">
        <v>4.8208593167947122E-2</v>
      </c>
      <c r="O65">
        <v>7.3198533037132973E-2</v>
      </c>
      <c r="P65">
        <v>0.1464459966060635</v>
      </c>
      <c r="Q65">
        <v>0.35998287660696526</v>
      </c>
      <c r="R65">
        <v>0.95179140683205288</v>
      </c>
      <c r="S65">
        <v>0.92680146696286703</v>
      </c>
      <c r="T65">
        <v>0.8535540033939365</v>
      </c>
      <c r="U65">
        <v>0.64001712339303474</v>
      </c>
      <c r="V65"/>
      <c r="W65"/>
      <c r="X65"/>
      <c r="Y65"/>
      <c r="Z65"/>
      <c r="AA65"/>
      <c r="AB65"/>
      <c r="AC65"/>
      <c r="AD65"/>
      <c r="AE65"/>
      <c r="AF65"/>
      <c r="AG65"/>
      <c r="AH65"/>
      <c r="AI65"/>
      <c r="AJ65"/>
      <c r="AK65"/>
      <c r="AL65"/>
      <c r="AM65"/>
      <c r="AN65"/>
      <c r="AO65"/>
      <c r="AP65"/>
      <c r="AQ65">
        <v>0.5</v>
      </c>
      <c r="AR65">
        <v>2170</v>
      </c>
      <c r="AS65">
        <f t="shared" si="0"/>
        <v>4340</v>
      </c>
      <c r="AT65">
        <v>342.8</v>
      </c>
      <c r="AU65">
        <v>33</v>
      </c>
      <c r="AV65">
        <f t="shared" si="1"/>
        <v>10.387878787878789</v>
      </c>
      <c r="AW65">
        <f t="shared" si="2"/>
        <v>311.63636363636368</v>
      </c>
      <c r="AX65"/>
      <c r="AY65">
        <v>20</v>
      </c>
      <c r="AZ65">
        <v>14</v>
      </c>
      <c r="BA65">
        <v>0.73</v>
      </c>
      <c r="BB65">
        <v>36.5</v>
      </c>
      <c r="BC65">
        <v>11.96</v>
      </c>
      <c r="BD65"/>
      <c r="BE65">
        <f t="shared" si="3"/>
        <v>0.99999999999999989</v>
      </c>
      <c r="BF65">
        <f t="shared" si="4"/>
        <v>63.190000000000005</v>
      </c>
      <c r="BG65">
        <f t="shared" si="5"/>
        <v>3.1595000000000004</v>
      </c>
      <c r="BH65">
        <f t="shared" si="6"/>
        <v>0.30415256709451577</v>
      </c>
      <c r="BI65">
        <f t="shared" si="7"/>
        <v>660.01107059509923</v>
      </c>
      <c r="BJ65" s="1">
        <f t="shared" si="8"/>
        <v>1320.0221411901985</v>
      </c>
      <c r="BK65">
        <f t="shared" si="9"/>
        <v>0.22155404336129134</v>
      </c>
      <c r="BL65">
        <f t="shared" si="10"/>
        <v>1.155246083241019E-2</v>
      </c>
      <c r="BM65">
        <f t="shared" si="11"/>
        <v>0.57762304162050948</v>
      </c>
      <c r="BN65">
        <f t="shared" si="12"/>
        <v>0.18927045418578889</v>
      </c>
      <c r="BO65">
        <f t="shared" si="13"/>
        <v>292.45624270711784</v>
      </c>
      <c r="BP65">
        <f t="shared" si="14"/>
        <v>15.249504084014001</v>
      </c>
      <c r="BQ65">
        <f t="shared" si="15"/>
        <v>762.47520420070009</v>
      </c>
      <c r="BR65">
        <f t="shared" si="16"/>
        <v>249.84119019836641</v>
      </c>
      <c r="BS65">
        <v>5.1999999999999993</v>
      </c>
      <c r="BT65">
        <v>18.324999999999999</v>
      </c>
      <c r="BU65">
        <v>40.625</v>
      </c>
      <c r="BV65">
        <v>53.2</v>
      </c>
      <c r="BW65"/>
      <c r="BX65"/>
      <c r="BY65"/>
      <c r="BZ65"/>
      <c r="CA65"/>
    </row>
    <row r="66" spans="1:79" x14ac:dyDescent="0.35">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s="1"/>
      <c r="BK66"/>
      <c r="BL66"/>
      <c r="BM66"/>
      <c r="BN66"/>
      <c r="BO66"/>
      <c r="BP66"/>
      <c r="BQ66"/>
      <c r="BR66"/>
      <c r="BS66"/>
      <c r="BT66"/>
      <c r="BU66"/>
      <c r="BV66"/>
      <c r="BW66"/>
      <c r="BX66"/>
      <c r="BY66"/>
      <c r="BZ66"/>
      <c r="CA66"/>
    </row>
    <row r="67" spans="1:79" x14ac:dyDescent="0.35">
      <c r="E67" s="79"/>
      <c r="F67" s="79"/>
      <c r="G67" s="79"/>
      <c r="H67" s="79"/>
      <c r="I67" s="79"/>
      <c r="J67" s="79"/>
      <c r="K67" s="79"/>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s="1"/>
      <c r="BK67"/>
      <c r="BL67"/>
      <c r="BM67"/>
      <c r="BN67"/>
      <c r="BO67"/>
      <c r="BP67"/>
      <c r="BQ67"/>
      <c r="BR67"/>
      <c r="BS67"/>
      <c r="BT67"/>
      <c r="BU67"/>
      <c r="BV67"/>
      <c r="BW67"/>
      <c r="BX67"/>
      <c r="BY67"/>
      <c r="BZ67"/>
      <c r="CA67"/>
    </row>
    <row r="68" spans="1:79" x14ac:dyDescent="0.35">
      <c r="E68" s="79"/>
      <c r="F68" s="79"/>
      <c r="G68" s="79"/>
      <c r="H68" s="79"/>
      <c r="I68" s="79"/>
      <c r="J68" s="79"/>
      <c r="K68" s="79"/>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s="1"/>
      <c r="BK68"/>
      <c r="BL68"/>
      <c r="BM68"/>
      <c r="BN68"/>
      <c r="BO68"/>
      <c r="BP68"/>
      <c r="BQ68"/>
      <c r="BR68"/>
      <c r="BS68"/>
      <c r="BT68"/>
      <c r="BU68"/>
      <c r="BV68"/>
      <c r="BW68"/>
      <c r="BX68"/>
      <c r="BY68"/>
      <c r="BZ68"/>
      <c r="CA68"/>
    </row>
    <row r="69" spans="1:79" x14ac:dyDescent="0.35">
      <c r="E69" s="79"/>
      <c r="F69" s="79"/>
      <c r="G69" s="79"/>
      <c r="H69" s="79"/>
      <c r="I69" s="79"/>
      <c r="J69" s="79"/>
      <c r="K69" s="7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s="1"/>
      <c r="BK69"/>
      <c r="BL69"/>
      <c r="BM69"/>
      <c r="BN69"/>
      <c r="BO69"/>
      <c r="BP69"/>
      <c r="BQ69"/>
      <c r="BR69"/>
      <c r="BS69"/>
      <c r="BT69"/>
      <c r="BU69"/>
      <c r="BV69"/>
      <c r="BW69"/>
      <c r="BX69"/>
      <c r="BY69"/>
      <c r="BZ69"/>
      <c r="CA69"/>
    </row>
    <row r="70" spans="1:79" x14ac:dyDescent="0.35">
      <c r="E70" s="79"/>
      <c r="F70" s="79"/>
      <c r="G70" s="79"/>
      <c r="H70" s="79"/>
      <c r="I70" s="79"/>
      <c r="J70" s="79"/>
      <c r="K70" s="79"/>
    </row>
    <row r="71" spans="1:79" x14ac:dyDescent="0.35">
      <c r="E71" s="79"/>
      <c r="F71" s="79"/>
      <c r="G71" s="79"/>
      <c r="H71" s="79"/>
      <c r="I71" s="79"/>
      <c r="J71" s="79"/>
      <c r="K71" s="79"/>
    </row>
    <row r="72" spans="1:79" x14ac:dyDescent="0.35">
      <c r="E72" s="79"/>
      <c r="F72" s="79"/>
      <c r="G72" s="79"/>
      <c r="H72" s="79"/>
      <c r="I72" s="79"/>
      <c r="J72" s="79"/>
      <c r="K72" s="79"/>
    </row>
    <row r="73" spans="1:79" x14ac:dyDescent="0.35">
      <c r="E73" s="79"/>
      <c r="F73" s="79"/>
      <c r="G73" s="79"/>
      <c r="H73" s="79"/>
      <c r="I73" s="79"/>
      <c r="J73" s="79"/>
      <c r="K73" s="79"/>
    </row>
    <row r="78" spans="1:79" x14ac:dyDescent="0.35">
      <c r="BK78"/>
      <c r="BL78"/>
      <c r="BM78"/>
      <c r="BN78"/>
      <c r="BO78"/>
      <c r="BP78"/>
      <c r="BQ78"/>
      <c r="BR78"/>
      <c r="BS78"/>
    </row>
    <row r="79" spans="1:79" x14ac:dyDescent="0.35">
      <c r="BK79"/>
      <c r="BL79"/>
      <c r="BM79"/>
      <c r="BN79"/>
      <c r="BO79"/>
      <c r="BP79"/>
      <c r="BQ79"/>
      <c r="BR79"/>
      <c r="BS79"/>
    </row>
    <row r="80" spans="1:79" x14ac:dyDescent="0.35">
      <c r="BK80"/>
      <c r="BL80"/>
      <c r="BM80"/>
      <c r="BN80"/>
      <c r="BO80"/>
      <c r="BP80"/>
      <c r="BQ80"/>
      <c r="BR80"/>
      <c r="BS80" s="12"/>
      <c r="BT80" s="24"/>
    </row>
    <row r="81" spans="5:72" x14ac:dyDescent="0.35">
      <c r="BK81"/>
      <c r="BL81"/>
      <c r="BM81"/>
      <c r="BN81"/>
      <c r="BO81"/>
      <c r="BP81"/>
      <c r="BQ81"/>
      <c r="BR81"/>
      <c r="BS81" s="12"/>
      <c r="BT81" s="24"/>
    </row>
    <row r="82" spans="5:72" x14ac:dyDescent="0.35">
      <c r="E82" s="79"/>
      <c r="F82" s="79"/>
      <c r="G82" s="79"/>
      <c r="H82" s="79"/>
      <c r="I82" s="79"/>
      <c r="J82" s="79"/>
      <c r="K82" s="79"/>
      <c r="BK82"/>
      <c r="BL82"/>
      <c r="BM82"/>
      <c r="BN82"/>
      <c r="BO82"/>
      <c r="BP82"/>
      <c r="BQ82"/>
      <c r="BR82"/>
      <c r="BS82" s="12"/>
      <c r="BT82" s="24"/>
    </row>
    <row r="83" spans="5:72" x14ac:dyDescent="0.35">
      <c r="E83" s="79"/>
      <c r="F83" s="79"/>
      <c r="G83" s="79"/>
      <c r="H83" s="79"/>
      <c r="I83" s="79"/>
      <c r="J83" s="79"/>
      <c r="K83" s="79"/>
      <c r="BK83"/>
      <c r="BL83"/>
      <c r="BM83"/>
      <c r="BN83"/>
      <c r="BO83"/>
      <c r="BP83"/>
      <c r="BQ83"/>
      <c r="BR83"/>
      <c r="BS83" s="12"/>
      <c r="BT83" s="24"/>
    </row>
    <row r="84" spans="5:72" x14ac:dyDescent="0.35">
      <c r="E84" s="79"/>
      <c r="F84" s="79"/>
      <c r="G84" s="79"/>
      <c r="H84" s="79"/>
      <c r="I84" s="79"/>
      <c r="J84" s="79"/>
      <c r="K84" s="79"/>
      <c r="BK84"/>
      <c r="BL84"/>
      <c r="BM84"/>
      <c r="BN84"/>
      <c r="BO84"/>
      <c r="BP84"/>
      <c r="BQ84"/>
      <c r="BR84"/>
      <c r="BS84" s="12"/>
      <c r="BT84" s="24"/>
    </row>
    <row r="85" spans="5:72" x14ac:dyDescent="0.35">
      <c r="E85" s="79"/>
      <c r="F85" s="79"/>
      <c r="G85" s="79"/>
      <c r="H85" s="79"/>
      <c r="I85" s="79"/>
      <c r="J85" s="79"/>
      <c r="K85" s="79"/>
      <c r="BK85"/>
      <c r="BL85"/>
      <c r="BM85"/>
      <c r="BN85"/>
      <c r="BO85"/>
      <c r="BP85"/>
      <c r="BQ85"/>
      <c r="BR85"/>
      <c r="BS85" s="12"/>
      <c r="BT85" s="24"/>
    </row>
    <row r="86" spans="5:72" x14ac:dyDescent="0.35">
      <c r="E86" s="79"/>
      <c r="F86" s="79"/>
      <c r="G86" s="79"/>
      <c r="H86" s="79"/>
      <c r="I86" s="79"/>
      <c r="J86" s="79"/>
      <c r="K86" s="79"/>
      <c r="BK86"/>
      <c r="BL86"/>
      <c r="BM86"/>
      <c r="BN86"/>
      <c r="BO86"/>
      <c r="BP86"/>
      <c r="BQ86"/>
      <c r="BR86"/>
      <c r="BS86" s="12"/>
      <c r="BT86" s="24"/>
    </row>
    <row r="87" spans="5:72" x14ac:dyDescent="0.35">
      <c r="E87" s="79"/>
      <c r="F87" s="79"/>
      <c r="G87" s="79"/>
      <c r="H87" s="79"/>
      <c r="I87" s="79"/>
      <c r="J87" s="79"/>
      <c r="K87" s="79"/>
      <c r="BK87"/>
      <c r="BL87"/>
      <c r="BM87"/>
      <c r="BN87"/>
      <c r="BO87"/>
      <c r="BP87"/>
      <c r="BQ87"/>
      <c r="BR87"/>
      <c r="BS87" s="12"/>
      <c r="BT87" s="24"/>
    </row>
    <row r="88" spans="5:72" x14ac:dyDescent="0.35">
      <c r="E88" s="79"/>
      <c r="F88" s="79"/>
      <c r="G88" s="79"/>
      <c r="H88" s="79"/>
      <c r="I88" s="79"/>
      <c r="J88" s="79"/>
      <c r="K88" s="79"/>
      <c r="BK88"/>
      <c r="BL88"/>
      <c r="BM88"/>
      <c r="BN88"/>
      <c r="BO88"/>
      <c r="BP88"/>
      <c r="BQ88"/>
      <c r="BR88"/>
      <c r="BS88" s="12"/>
      <c r="BT88" s="24"/>
    </row>
    <row r="89" spans="5:72" x14ac:dyDescent="0.35">
      <c r="E89" s="79"/>
      <c r="F89" s="79"/>
      <c r="G89" s="79"/>
      <c r="H89" s="79"/>
      <c r="I89" s="79"/>
      <c r="J89" s="79"/>
      <c r="K89" s="79"/>
      <c r="BK89"/>
      <c r="BL89"/>
      <c r="BM89"/>
      <c r="BN89"/>
      <c r="BO89"/>
      <c r="BP89"/>
      <c r="BQ89"/>
      <c r="BR89"/>
      <c r="BS89" s="12"/>
      <c r="BT89" s="24"/>
    </row>
    <row r="90" spans="5:72" x14ac:dyDescent="0.35">
      <c r="E90" s="71"/>
      <c r="F90" s="72"/>
      <c r="G90" s="72"/>
      <c r="H90" s="72"/>
      <c r="I90" s="72"/>
      <c r="J90" s="72"/>
      <c r="K90" s="72"/>
      <c r="BK90"/>
      <c r="BL90"/>
      <c r="BM90"/>
      <c r="BN90"/>
      <c r="BO90"/>
      <c r="BP90"/>
      <c r="BQ90"/>
      <c r="BR90"/>
      <c r="BS90" s="12"/>
      <c r="BT90" s="24"/>
    </row>
    <row r="91" spans="5:72" x14ac:dyDescent="0.35">
      <c r="BK91"/>
      <c r="BL91"/>
      <c r="BM91"/>
      <c r="BN91"/>
      <c r="BO91"/>
      <c r="BP91"/>
      <c r="BQ91"/>
      <c r="BR91"/>
      <c r="BS91" s="12"/>
      <c r="BT91" s="24"/>
    </row>
    <row r="92" spans="5:72" x14ac:dyDescent="0.35">
      <c r="BK92"/>
      <c r="BL92"/>
      <c r="BM92"/>
      <c r="BN92"/>
      <c r="BO92"/>
      <c r="BP92"/>
      <c r="BQ92"/>
      <c r="BR92"/>
      <c r="BS92" s="12"/>
      <c r="BT92" s="24"/>
    </row>
    <row r="93" spans="5:72" x14ac:dyDescent="0.35">
      <c r="BK93"/>
      <c r="BL93"/>
      <c r="BM93"/>
      <c r="BN93"/>
      <c r="BO93"/>
      <c r="BP93"/>
      <c r="BQ93"/>
      <c r="BR93"/>
      <c r="BS93" s="12"/>
      <c r="BT93" s="24"/>
    </row>
    <row r="94" spans="5:72" x14ac:dyDescent="0.35">
      <c r="BK94"/>
      <c r="BL94"/>
      <c r="BM94"/>
      <c r="BN94"/>
      <c r="BO94"/>
      <c r="BP94"/>
      <c r="BQ94"/>
      <c r="BR94"/>
      <c r="BS94" s="12"/>
      <c r="BT94" s="24"/>
    </row>
    <row r="95" spans="5:72" x14ac:dyDescent="0.35">
      <c r="BK95"/>
      <c r="BL95"/>
      <c r="BM95"/>
      <c r="BN95"/>
      <c r="BO95"/>
      <c r="BP95"/>
      <c r="BQ95"/>
      <c r="BR95"/>
      <c r="BS95" s="12"/>
      <c r="BT95" s="24"/>
    </row>
    <row r="98" spans="5:87" x14ac:dyDescent="0.35">
      <c r="E98" s="79"/>
      <c r="F98" s="79"/>
      <c r="G98" s="79"/>
      <c r="H98" s="79"/>
      <c r="I98" s="79"/>
      <c r="J98" s="79"/>
      <c r="K98" s="79"/>
    </row>
    <row r="99" spans="5:87" x14ac:dyDescent="0.35">
      <c r="E99" s="79"/>
      <c r="F99" s="79"/>
      <c r="G99" s="79"/>
      <c r="H99" s="79"/>
      <c r="I99" s="79"/>
      <c r="J99" s="79"/>
      <c r="K99" s="79"/>
    </row>
    <row r="100" spans="5:87" x14ac:dyDescent="0.35">
      <c r="E100" s="79"/>
      <c r="F100" s="79"/>
      <c r="G100" s="79"/>
      <c r="H100" s="79"/>
      <c r="I100" s="79"/>
      <c r="J100" s="79"/>
      <c r="K100" s="79"/>
      <c r="CC100" s="1"/>
      <c r="CD100" s="1"/>
      <c r="CF100" s="65"/>
      <c r="CG100" s="65"/>
      <c r="CH100" s="65"/>
      <c r="CI100" s="65"/>
    </row>
    <row r="101" spans="5:87" x14ac:dyDescent="0.35">
      <c r="E101" s="79"/>
      <c r="F101" s="79"/>
      <c r="G101" s="79"/>
      <c r="H101" s="79"/>
      <c r="I101" s="79"/>
      <c r="J101" s="79"/>
      <c r="K101" s="79"/>
      <c r="CC101" s="1"/>
      <c r="CD101" s="1"/>
      <c r="CF101" s="65"/>
      <c r="CG101" s="65"/>
      <c r="CH101" s="65"/>
      <c r="CI101" s="65"/>
    </row>
    <row r="102" spans="5:87" x14ac:dyDescent="0.35">
      <c r="E102" s="79"/>
      <c r="F102" s="79"/>
      <c r="G102" s="79"/>
      <c r="H102" s="79"/>
      <c r="I102" s="79"/>
      <c r="J102" s="79"/>
      <c r="K102" s="79"/>
      <c r="CC102" s="1"/>
      <c r="CD102" s="1"/>
      <c r="CF102" s="65"/>
      <c r="CG102" s="65"/>
      <c r="CH102" s="65"/>
      <c r="CI102" s="65"/>
    </row>
    <row r="103" spans="5:87" x14ac:dyDescent="0.35">
      <c r="E103" s="79"/>
      <c r="F103" s="79"/>
      <c r="G103" s="79"/>
      <c r="H103" s="79"/>
      <c r="I103" s="79"/>
      <c r="J103" s="79"/>
      <c r="K103" s="79"/>
      <c r="CC103" s="1"/>
      <c r="CD103" s="1"/>
      <c r="CF103" s="65"/>
      <c r="CG103" s="65"/>
      <c r="CH103" s="65"/>
      <c r="CI103" s="65"/>
    </row>
    <row r="104" spans="5:87" x14ac:dyDescent="0.35">
      <c r="E104" s="79"/>
      <c r="F104" s="79"/>
      <c r="G104" s="79"/>
      <c r="H104" s="79"/>
      <c r="I104" s="79"/>
      <c r="J104" s="79"/>
      <c r="K104" s="79"/>
      <c r="CC104" s="1"/>
      <c r="CD104" s="1"/>
      <c r="CF104" s="65"/>
      <c r="CG104" s="65"/>
      <c r="CH104" s="65"/>
      <c r="CI104" s="65"/>
    </row>
    <row r="105" spans="5:87" x14ac:dyDescent="0.35">
      <c r="E105" s="79"/>
      <c r="F105" s="79"/>
      <c r="G105" s="79"/>
      <c r="H105" s="79"/>
      <c r="I105" s="79"/>
      <c r="J105" s="79"/>
      <c r="K105" s="79"/>
      <c r="CC105" s="1"/>
      <c r="CD105" s="1"/>
      <c r="CF105" s="65"/>
      <c r="CG105" s="65"/>
      <c r="CH105" s="65"/>
      <c r="CI105" s="65"/>
    </row>
    <row r="106" spans="5:87" x14ac:dyDescent="0.35">
      <c r="CC106" s="1"/>
      <c r="CD106" s="1"/>
      <c r="CF106" s="65"/>
      <c r="CG106" s="65"/>
      <c r="CH106" s="65"/>
      <c r="CI106" s="65"/>
    </row>
    <row r="107" spans="5:87" x14ac:dyDescent="0.35">
      <c r="CC107" s="64"/>
      <c r="CD107" s="1"/>
      <c r="CF107" s="65"/>
      <c r="CG107" s="65"/>
      <c r="CH107" s="65"/>
      <c r="CI107" s="65"/>
    </row>
    <row r="108" spans="5:87" x14ac:dyDescent="0.35">
      <c r="CC108" s="1"/>
      <c r="CD108" s="1"/>
      <c r="CF108" s="65"/>
      <c r="CG108" s="65"/>
      <c r="CH108" s="65"/>
      <c r="CI108" s="65"/>
    </row>
    <row r="109" spans="5:87" x14ac:dyDescent="0.35">
      <c r="CC109" s="1"/>
      <c r="CD109" s="1"/>
      <c r="CF109" s="65"/>
      <c r="CG109" s="65"/>
      <c r="CH109" s="65"/>
      <c r="CI109" s="65"/>
    </row>
    <row r="110" spans="5:87" x14ac:dyDescent="0.35">
      <c r="CC110" s="1"/>
      <c r="CD110" s="1"/>
      <c r="CF110" s="65"/>
      <c r="CG110" s="65"/>
      <c r="CH110" s="65"/>
      <c r="CI110" s="65"/>
    </row>
    <row r="111" spans="5:87" x14ac:dyDescent="0.35">
      <c r="CC111" s="1"/>
      <c r="CD111" s="1"/>
      <c r="CF111" s="65"/>
      <c r="CG111" s="65"/>
      <c r="CH111" s="65"/>
      <c r="CI111" s="65"/>
    </row>
    <row r="112" spans="5:87" x14ac:dyDescent="0.35">
      <c r="CC112" s="1"/>
      <c r="CD112" s="1"/>
      <c r="CF112" s="65"/>
      <c r="CG112" s="65"/>
      <c r="CH112" s="65"/>
      <c r="CI112" s="65"/>
    </row>
    <row r="113" spans="5:87" x14ac:dyDescent="0.35">
      <c r="CC113" s="1"/>
      <c r="CD113" s="1"/>
      <c r="CF113" s="65"/>
      <c r="CG113" s="65"/>
      <c r="CH113" s="65"/>
      <c r="CI113" s="65"/>
    </row>
    <row r="114" spans="5:87" x14ac:dyDescent="0.35">
      <c r="E114" s="79"/>
      <c r="F114" s="79"/>
      <c r="G114" s="79"/>
      <c r="H114" s="79"/>
      <c r="I114" s="79"/>
      <c r="J114" s="79"/>
      <c r="K114" s="79"/>
      <c r="CC114" s="1"/>
      <c r="CD114" s="1"/>
      <c r="CF114" s="65"/>
      <c r="CG114" s="65"/>
      <c r="CH114" s="65"/>
      <c r="CI114" s="65"/>
    </row>
    <row r="115" spans="5:87" x14ac:dyDescent="0.35">
      <c r="E115" s="79"/>
      <c r="F115" s="79"/>
      <c r="G115" s="79"/>
      <c r="H115" s="79"/>
      <c r="I115" s="79"/>
      <c r="J115" s="79"/>
      <c r="K115" s="79"/>
      <c r="CC115" s="64"/>
      <c r="CD115" s="1"/>
      <c r="CF115" s="65"/>
      <c r="CG115" s="65"/>
      <c r="CH115" s="65"/>
      <c r="CI115" s="65"/>
    </row>
    <row r="116" spans="5:87" x14ac:dyDescent="0.35">
      <c r="E116" s="79"/>
      <c r="F116" s="79"/>
      <c r="G116" s="79"/>
      <c r="H116" s="79"/>
      <c r="I116" s="79"/>
      <c r="J116" s="79"/>
      <c r="K116" s="79"/>
    </row>
    <row r="117" spans="5:87" x14ac:dyDescent="0.35">
      <c r="E117" s="79"/>
      <c r="F117" s="79"/>
      <c r="G117" s="79"/>
      <c r="H117" s="79"/>
      <c r="I117" s="79"/>
      <c r="J117" s="79"/>
      <c r="K117" s="79"/>
    </row>
    <row r="118" spans="5:87" x14ac:dyDescent="0.35">
      <c r="E118" s="79"/>
      <c r="F118" s="79"/>
      <c r="G118" s="79"/>
      <c r="H118" s="79"/>
      <c r="I118" s="79"/>
      <c r="J118" s="79"/>
      <c r="K118" s="79"/>
    </row>
    <row r="119" spans="5:87" x14ac:dyDescent="0.35">
      <c r="E119" s="79"/>
      <c r="F119" s="79"/>
      <c r="G119" s="79"/>
      <c r="H119" s="79"/>
      <c r="I119" s="79"/>
      <c r="J119" s="79"/>
      <c r="K119" s="79"/>
    </row>
    <row r="120" spans="5:87" x14ac:dyDescent="0.35">
      <c r="E120" s="79"/>
      <c r="F120" s="79"/>
      <c r="G120" s="79"/>
      <c r="H120" s="79"/>
      <c r="I120" s="79"/>
      <c r="J120" s="79"/>
      <c r="K120" s="79"/>
    </row>
    <row r="121" spans="5:87" x14ac:dyDescent="0.35">
      <c r="E121" s="79"/>
      <c r="F121" s="79"/>
      <c r="G121" s="79"/>
      <c r="H121" s="79"/>
      <c r="I121" s="79"/>
      <c r="J121" s="79"/>
      <c r="K121" s="79"/>
    </row>
    <row r="151" spans="5:91" x14ac:dyDescent="0.35">
      <c r="CM151" t="s">
        <v>248</v>
      </c>
    </row>
    <row r="154" spans="5:91" x14ac:dyDescent="0.35">
      <c r="E154" s="71"/>
      <c r="F154" s="72"/>
      <c r="G154" s="72"/>
      <c r="H154" s="72"/>
      <c r="I154" s="72"/>
      <c r="J154" s="72"/>
      <c r="K154" s="72"/>
    </row>
    <row r="218" spans="5:11" x14ac:dyDescent="0.35">
      <c r="E218" s="71"/>
      <c r="F218" s="72"/>
      <c r="G218" s="72"/>
      <c r="H218" s="72"/>
      <c r="I218" s="72"/>
      <c r="J218" s="72"/>
      <c r="K218" s="72"/>
    </row>
    <row r="282" spans="5:11" x14ac:dyDescent="0.35">
      <c r="E282" s="71"/>
      <c r="F282" s="72"/>
      <c r="G282" s="72"/>
      <c r="H282" s="72"/>
      <c r="I282" s="72"/>
      <c r="J282" s="72"/>
      <c r="K282" s="72"/>
    </row>
    <row r="346" spans="5:11" x14ac:dyDescent="0.35">
      <c r="E346" s="71"/>
      <c r="F346" s="72"/>
      <c r="G346" s="72"/>
      <c r="H346" s="72"/>
      <c r="I346" s="72"/>
      <c r="J346" s="72"/>
      <c r="K346" s="72"/>
    </row>
    <row r="410" spans="5:11" x14ac:dyDescent="0.35">
      <c r="E410" s="71"/>
      <c r="F410" s="72"/>
      <c r="G410" s="72"/>
      <c r="H410" s="72"/>
      <c r="I410" s="72"/>
      <c r="J410" s="72"/>
      <c r="K410" s="72"/>
    </row>
    <row r="474" spans="5:11" x14ac:dyDescent="0.35">
      <c r="E474" s="71"/>
      <c r="F474" s="72"/>
      <c r="G474" s="72"/>
      <c r="H474" s="72"/>
      <c r="I474" s="72"/>
      <c r="J474" s="72"/>
      <c r="K474" s="72"/>
    </row>
    <row r="538" spans="5:11" x14ac:dyDescent="0.35">
      <c r="E538" s="71"/>
      <c r="F538" s="72"/>
      <c r="G538" s="72"/>
      <c r="H538" s="72"/>
      <c r="I538" s="72"/>
      <c r="J538" s="72"/>
      <c r="K538" s="72"/>
    </row>
  </sheetData>
  <sortState xmlns:xlrd2="http://schemas.microsoft.com/office/spreadsheetml/2017/richdata2" ref="L11:S30">
    <sortCondition ref="M12"/>
  </sortState>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887-ADBB-41FF-A916-70AEAC1C8B55}">
  <sheetPr>
    <tabColor theme="9" tint="0.59999389629810485"/>
  </sheetPr>
  <dimension ref="A1:AR538"/>
  <sheetViews>
    <sheetView workbookViewId="0">
      <selection activeCell="A19" sqref="A19"/>
    </sheetView>
  </sheetViews>
  <sheetFormatPr defaultRowHeight="14.5" x14ac:dyDescent="0.35"/>
  <cols>
    <col min="1" max="12" width="9.1796875" style="6"/>
    <col min="13" max="13" width="12.453125" style="47" customWidth="1"/>
    <col min="14" max="14" width="12.1796875" style="47" customWidth="1"/>
    <col min="15" max="16" width="12" style="47" customWidth="1"/>
    <col min="17" max="17" width="11.81640625" style="47" customWidth="1"/>
    <col min="18" max="19" width="12.453125" style="47" customWidth="1"/>
    <col min="20" max="20" width="12.1796875" style="47" customWidth="1"/>
    <col min="21" max="21" width="12.453125" style="47" customWidth="1"/>
    <col min="22" max="22" width="12.1796875" style="47" customWidth="1"/>
    <col min="23" max="24" width="9.54296875" style="47" customWidth="1"/>
    <col min="25" max="33" width="8.81640625" style="47"/>
    <col min="34" max="43" width="8.81640625" style="55"/>
    <col min="44" max="44" width="10.453125" style="140" customWidth="1"/>
    <col min="46" max="46" width="27.54296875" bestFit="1" customWidth="1"/>
    <col min="47" max="47" width="15.54296875" bestFit="1" customWidth="1"/>
    <col min="48" max="48" width="15.453125" bestFit="1" customWidth="1"/>
    <col min="49" max="52" width="9.453125" bestFit="1" customWidth="1"/>
    <col min="53" max="53" width="11.453125" bestFit="1" customWidth="1"/>
    <col min="54" max="54" width="10.54296875" bestFit="1" customWidth="1"/>
  </cols>
  <sheetData>
    <row r="1" spans="1:44" s="1" customFormat="1" ht="58.5" customHeight="1" x14ac:dyDescent="0.35">
      <c r="A1" s="70" t="s">
        <v>44</v>
      </c>
      <c r="B1" s="70" t="s">
        <v>45</v>
      </c>
      <c r="C1" s="70" t="s">
        <v>46</v>
      </c>
      <c r="D1" s="70" t="s">
        <v>47</v>
      </c>
      <c r="E1" s="70" t="s">
        <v>48</v>
      </c>
      <c r="F1" s="70" t="s">
        <v>49</v>
      </c>
      <c r="G1" s="70" t="s">
        <v>50</v>
      </c>
      <c r="H1" s="70" t="s">
        <v>51</v>
      </c>
      <c r="I1" s="4" t="s">
        <v>53</v>
      </c>
      <c r="J1" s="4" t="s">
        <v>52</v>
      </c>
      <c r="K1" s="70" t="s">
        <v>54</v>
      </c>
      <c r="L1" s="146" t="s">
        <v>774</v>
      </c>
      <c r="M1" s="46" t="s">
        <v>249</v>
      </c>
      <c r="N1" s="46" t="s">
        <v>250</v>
      </c>
      <c r="O1" s="46" t="s">
        <v>251</v>
      </c>
      <c r="P1" s="46" t="s">
        <v>252</v>
      </c>
      <c r="Q1" s="46" t="s">
        <v>253</v>
      </c>
      <c r="R1" s="46" t="s">
        <v>254</v>
      </c>
      <c r="S1" s="46" t="s">
        <v>255</v>
      </c>
      <c r="T1" s="46" t="s">
        <v>256</v>
      </c>
      <c r="U1" s="46" t="s">
        <v>257</v>
      </c>
      <c r="V1" s="46" t="s">
        <v>258</v>
      </c>
      <c r="W1" s="46" t="s">
        <v>746</v>
      </c>
      <c r="X1" s="46" t="s">
        <v>259</v>
      </c>
      <c r="Y1" s="46" t="s">
        <v>260</v>
      </c>
      <c r="Z1" s="46" t="s">
        <v>261</v>
      </c>
      <c r="AA1" s="46" t="s">
        <v>262</v>
      </c>
      <c r="AB1" s="46" t="s">
        <v>263</v>
      </c>
      <c r="AC1" s="46" t="s">
        <v>264</v>
      </c>
      <c r="AD1" s="46" t="s">
        <v>265</v>
      </c>
      <c r="AE1" s="46" t="s">
        <v>266</v>
      </c>
      <c r="AF1" s="46" t="s">
        <v>267</v>
      </c>
      <c r="AG1" s="46" t="s">
        <v>268</v>
      </c>
      <c r="AH1" s="74" t="s">
        <v>269</v>
      </c>
      <c r="AI1" s="74" t="s">
        <v>270</v>
      </c>
      <c r="AJ1" s="74" t="s">
        <v>271</v>
      </c>
      <c r="AK1" s="74" t="s">
        <v>272</v>
      </c>
      <c r="AL1" s="74" t="s">
        <v>273</v>
      </c>
      <c r="AM1" s="74" t="s">
        <v>274</v>
      </c>
      <c r="AN1" s="74" t="s">
        <v>275</v>
      </c>
      <c r="AO1" s="74" t="s">
        <v>276</v>
      </c>
      <c r="AP1" s="74" t="s">
        <v>277</v>
      </c>
      <c r="AQ1" s="74" t="s">
        <v>278</v>
      </c>
      <c r="AR1" s="74" t="s">
        <v>745</v>
      </c>
    </row>
    <row r="2" spans="1:44" ht="19.5" customHeight="1" x14ac:dyDescent="0.35">
      <c r="A2" s="79" t="s">
        <v>24</v>
      </c>
      <c r="B2" s="79"/>
      <c r="C2" s="79"/>
      <c r="D2" s="79" t="s">
        <v>27</v>
      </c>
      <c r="E2" s="79"/>
      <c r="F2" s="79">
        <v>1</v>
      </c>
      <c r="G2" s="79">
        <v>1</v>
      </c>
      <c r="H2" s="79">
        <v>1</v>
      </c>
      <c r="I2" s="79"/>
      <c r="J2" s="79"/>
      <c r="K2" s="47">
        <v>1</v>
      </c>
      <c r="L2" s="47"/>
      <c r="M2" s="47">
        <v>19</v>
      </c>
      <c r="N2" s="47">
        <v>19</v>
      </c>
      <c r="O2" s="47">
        <v>17</v>
      </c>
      <c r="P2" s="47">
        <v>15</v>
      </c>
      <c r="Q2" s="47">
        <v>15</v>
      </c>
      <c r="R2" s="47">
        <v>17</v>
      </c>
      <c r="S2" s="47">
        <v>16</v>
      </c>
      <c r="T2" s="47">
        <v>13</v>
      </c>
      <c r="U2" s="47">
        <v>14</v>
      </c>
      <c r="V2" s="47">
        <v>17</v>
      </c>
      <c r="W2" s="47">
        <f>AVERAGE(M2:V2)</f>
        <v>16.2</v>
      </c>
      <c r="X2" s="47">
        <v>1</v>
      </c>
      <c r="Y2" s="47">
        <v>2</v>
      </c>
      <c r="Z2" s="47">
        <v>1</v>
      </c>
      <c r="AA2" s="47">
        <v>2</v>
      </c>
      <c r="AB2" s="47">
        <v>0</v>
      </c>
      <c r="AC2" s="47">
        <v>0</v>
      </c>
      <c r="AD2" s="47">
        <v>0</v>
      </c>
      <c r="AE2" s="47">
        <v>0</v>
      </c>
      <c r="AF2" s="47">
        <v>1</v>
      </c>
      <c r="AG2" s="47">
        <v>0</v>
      </c>
      <c r="AH2" s="139">
        <f t="shared" ref="AH2:AQ3" si="0">X2/M2*100</f>
        <v>5.2631578947368416</v>
      </c>
      <c r="AI2" s="139">
        <f t="shared" si="0"/>
        <v>10.526315789473683</v>
      </c>
      <c r="AJ2" s="139">
        <f t="shared" si="0"/>
        <v>5.8823529411764701</v>
      </c>
      <c r="AK2" s="139">
        <f t="shared" si="0"/>
        <v>13.333333333333334</v>
      </c>
      <c r="AL2" s="139">
        <f t="shared" si="0"/>
        <v>0</v>
      </c>
      <c r="AM2" s="139">
        <f t="shared" si="0"/>
        <v>0</v>
      </c>
      <c r="AN2" s="139">
        <f t="shared" si="0"/>
        <v>0</v>
      </c>
      <c r="AO2" s="139">
        <f t="shared" si="0"/>
        <v>0</v>
      </c>
      <c r="AP2" s="139">
        <f t="shared" si="0"/>
        <v>7.1428571428571423</v>
      </c>
      <c r="AQ2" s="139">
        <f t="shared" si="0"/>
        <v>0</v>
      </c>
      <c r="AR2" s="140">
        <f>AVERAGE(AH2:AQ2)</f>
        <v>4.2148017101577464</v>
      </c>
    </row>
    <row r="3" spans="1:44" x14ac:dyDescent="0.35">
      <c r="A3" s="79" t="s">
        <v>24</v>
      </c>
      <c r="B3" s="79"/>
      <c r="C3" s="79"/>
      <c r="D3" s="79" t="s">
        <v>26</v>
      </c>
      <c r="E3" s="79"/>
      <c r="F3" s="79">
        <v>1</v>
      </c>
      <c r="G3" s="79">
        <v>2</v>
      </c>
      <c r="H3" s="79">
        <v>1</v>
      </c>
      <c r="I3" s="79"/>
      <c r="J3" s="79"/>
      <c r="K3" s="47">
        <v>2</v>
      </c>
      <c r="L3" s="47"/>
      <c r="M3" s="47">
        <v>13</v>
      </c>
      <c r="N3" s="47">
        <v>11</v>
      </c>
      <c r="O3" s="47">
        <v>12</v>
      </c>
      <c r="P3" s="47">
        <v>15</v>
      </c>
      <c r="Q3" s="47">
        <v>10</v>
      </c>
      <c r="R3" s="47">
        <v>20</v>
      </c>
      <c r="S3" s="47">
        <v>10</v>
      </c>
      <c r="T3" s="47">
        <v>13</v>
      </c>
      <c r="U3" s="47">
        <v>17</v>
      </c>
      <c r="V3" s="47">
        <v>18</v>
      </c>
      <c r="W3" s="47">
        <f t="shared" ref="W3:W65" si="1">AVERAGE(M3:V3)</f>
        <v>13.9</v>
      </c>
      <c r="X3" s="47">
        <v>0</v>
      </c>
      <c r="Y3" s="47">
        <v>2</v>
      </c>
      <c r="Z3" s="47">
        <v>2</v>
      </c>
      <c r="AA3" s="47">
        <v>2</v>
      </c>
      <c r="AB3" s="47">
        <v>3</v>
      </c>
      <c r="AC3" s="47">
        <v>2</v>
      </c>
      <c r="AD3" s="47">
        <v>2</v>
      </c>
      <c r="AE3" s="47">
        <v>4</v>
      </c>
      <c r="AF3" s="47">
        <v>1</v>
      </c>
      <c r="AG3" s="47">
        <v>2</v>
      </c>
      <c r="AH3" s="139">
        <f t="shared" si="0"/>
        <v>0</v>
      </c>
      <c r="AI3" s="139">
        <f t="shared" si="0"/>
        <v>18.181818181818183</v>
      </c>
      <c r="AJ3" s="139">
        <f t="shared" si="0"/>
        <v>16.666666666666664</v>
      </c>
      <c r="AK3" s="139">
        <f t="shared" si="0"/>
        <v>13.333333333333334</v>
      </c>
      <c r="AL3" s="139">
        <f t="shared" si="0"/>
        <v>30</v>
      </c>
      <c r="AM3" s="139">
        <f t="shared" si="0"/>
        <v>10</v>
      </c>
      <c r="AN3" s="139">
        <f t="shared" si="0"/>
        <v>20</v>
      </c>
      <c r="AO3" s="139">
        <f t="shared" si="0"/>
        <v>30.76923076923077</v>
      </c>
      <c r="AP3" s="139">
        <f t="shared" si="0"/>
        <v>5.8823529411764701</v>
      </c>
      <c r="AQ3" s="139">
        <f t="shared" si="0"/>
        <v>11.111111111111111</v>
      </c>
      <c r="AR3" s="140">
        <f t="shared" ref="AR3:AR65" si="2">AVERAGE(AH3:AQ3)</f>
        <v>15.594451300333654</v>
      </c>
    </row>
    <row r="4" spans="1:44" x14ac:dyDescent="0.35">
      <c r="A4" s="79" t="s">
        <v>24</v>
      </c>
      <c r="B4" s="79"/>
      <c r="C4" s="79"/>
      <c r="D4" s="79" t="s">
        <v>335</v>
      </c>
      <c r="E4" s="79"/>
      <c r="F4" s="79">
        <v>1</v>
      </c>
      <c r="G4" s="79">
        <v>3</v>
      </c>
      <c r="H4" s="79">
        <v>1</v>
      </c>
      <c r="I4" s="79"/>
      <c r="J4" s="79"/>
      <c r="K4" s="47">
        <v>3</v>
      </c>
      <c r="L4" s="47"/>
      <c r="M4" s="47">
        <v>13</v>
      </c>
      <c r="N4" s="47">
        <v>10</v>
      </c>
      <c r="O4" s="47">
        <v>10</v>
      </c>
      <c r="P4" s="47">
        <v>12</v>
      </c>
      <c r="Q4" s="47">
        <v>12</v>
      </c>
      <c r="R4" s="47">
        <v>15</v>
      </c>
      <c r="S4" s="47">
        <v>12</v>
      </c>
      <c r="T4" s="47">
        <v>16</v>
      </c>
      <c r="U4" s="47">
        <v>14</v>
      </c>
      <c r="V4" s="47">
        <v>14</v>
      </c>
      <c r="W4" s="47">
        <f t="shared" si="1"/>
        <v>12.8</v>
      </c>
      <c r="X4" s="47">
        <v>1</v>
      </c>
      <c r="Y4" s="47">
        <v>2</v>
      </c>
      <c r="Z4" s="47">
        <v>0</v>
      </c>
      <c r="AA4" s="47">
        <v>0</v>
      </c>
      <c r="AB4" s="47">
        <v>0</v>
      </c>
      <c r="AC4" s="47">
        <v>0</v>
      </c>
      <c r="AD4" s="47">
        <v>0</v>
      </c>
      <c r="AE4" s="47">
        <v>1</v>
      </c>
      <c r="AF4" s="47">
        <v>0</v>
      </c>
      <c r="AG4" s="47">
        <v>0</v>
      </c>
      <c r="AH4" s="139">
        <f t="shared" ref="AH4:AI65" si="3">X4/M4*100</f>
        <v>7.6923076923076925</v>
      </c>
      <c r="AI4" s="139">
        <f t="shared" si="3"/>
        <v>20</v>
      </c>
      <c r="AJ4" s="139">
        <f t="shared" ref="AJ4:AJ17" si="4">Z4/O4*100</f>
        <v>0</v>
      </c>
      <c r="AK4" s="139">
        <f t="shared" ref="AK4:AK17" si="5">AA4/P4*100</f>
        <v>0</v>
      </c>
      <c r="AL4" s="139">
        <f t="shared" ref="AL4:AL17" si="6">AB4/Q4*100</f>
        <v>0</v>
      </c>
      <c r="AM4" s="139">
        <f t="shared" ref="AM4:AM17" si="7">AC4/R4*100</f>
        <v>0</v>
      </c>
      <c r="AN4" s="139">
        <f t="shared" ref="AN4:AN17" si="8">AD4/S4*100</f>
        <v>0</v>
      </c>
      <c r="AO4" s="139">
        <f t="shared" ref="AO4:AO17" si="9">AE4/T4*100</f>
        <v>6.25</v>
      </c>
      <c r="AP4" s="140">
        <f t="shared" ref="AP4:AP48" si="10">AF4/U4*100</f>
        <v>0</v>
      </c>
      <c r="AQ4" s="139">
        <f t="shared" ref="AQ4:AQ48" si="11">AG4/V4*100</f>
        <v>0</v>
      </c>
      <c r="AR4" s="140">
        <f t="shared" si="2"/>
        <v>3.3942307692307692</v>
      </c>
    </row>
    <row r="5" spans="1:44" x14ac:dyDescent="0.35">
      <c r="A5" s="79" t="s">
        <v>24</v>
      </c>
      <c r="B5" s="79"/>
      <c r="C5" s="79"/>
      <c r="D5" s="79" t="s">
        <v>29</v>
      </c>
      <c r="E5" s="79"/>
      <c r="F5" s="79">
        <v>1</v>
      </c>
      <c r="G5" s="79">
        <v>4</v>
      </c>
      <c r="H5" s="79">
        <v>1</v>
      </c>
      <c r="I5" s="79"/>
      <c r="J5" s="79"/>
      <c r="K5" s="47">
        <v>4</v>
      </c>
      <c r="L5" s="47"/>
      <c r="M5" s="47">
        <v>16</v>
      </c>
      <c r="N5" s="47">
        <v>9</v>
      </c>
      <c r="O5" s="47">
        <v>6</v>
      </c>
      <c r="P5" s="47">
        <v>14</v>
      </c>
      <c r="Q5" s="47">
        <v>7</v>
      </c>
      <c r="R5" s="47">
        <v>8</v>
      </c>
      <c r="S5" s="47">
        <v>11</v>
      </c>
      <c r="T5" s="47">
        <v>6</v>
      </c>
      <c r="U5" s="47">
        <v>15</v>
      </c>
      <c r="V5" s="47">
        <v>10</v>
      </c>
      <c r="W5" s="47">
        <f t="shared" si="1"/>
        <v>10.199999999999999</v>
      </c>
      <c r="X5" s="47">
        <v>0</v>
      </c>
      <c r="Y5" s="47">
        <v>1</v>
      </c>
      <c r="Z5" s="47">
        <v>1</v>
      </c>
      <c r="AA5" s="47">
        <v>1</v>
      </c>
      <c r="AB5" s="47">
        <v>1</v>
      </c>
      <c r="AC5" s="47">
        <v>0</v>
      </c>
      <c r="AD5" s="47">
        <v>0</v>
      </c>
      <c r="AE5" s="47">
        <v>0</v>
      </c>
      <c r="AF5" s="47">
        <v>1</v>
      </c>
      <c r="AG5" s="47">
        <v>0</v>
      </c>
      <c r="AH5" s="139">
        <f t="shared" si="3"/>
        <v>0</v>
      </c>
      <c r="AI5" s="139">
        <f t="shared" si="3"/>
        <v>11.111111111111111</v>
      </c>
      <c r="AJ5" s="139">
        <f t="shared" si="4"/>
        <v>16.666666666666664</v>
      </c>
      <c r="AK5" s="139">
        <f t="shared" si="5"/>
        <v>7.1428571428571423</v>
      </c>
      <c r="AL5" s="139">
        <f t="shared" si="6"/>
        <v>14.285714285714285</v>
      </c>
      <c r="AM5" s="139">
        <f t="shared" si="7"/>
        <v>0</v>
      </c>
      <c r="AN5" s="139">
        <f t="shared" si="8"/>
        <v>0</v>
      </c>
      <c r="AO5" s="139">
        <f t="shared" si="9"/>
        <v>0</v>
      </c>
      <c r="AP5" s="139">
        <f t="shared" si="10"/>
        <v>6.666666666666667</v>
      </c>
      <c r="AQ5" s="139">
        <f t="shared" si="11"/>
        <v>0</v>
      </c>
      <c r="AR5" s="140">
        <f t="shared" si="2"/>
        <v>5.587301587301587</v>
      </c>
    </row>
    <row r="6" spans="1:44" x14ac:dyDescent="0.35">
      <c r="A6" s="79" t="s">
        <v>24</v>
      </c>
      <c r="B6" s="79"/>
      <c r="C6" s="79"/>
      <c r="D6" s="79" t="s">
        <v>336</v>
      </c>
      <c r="E6" s="79"/>
      <c r="F6" s="79">
        <v>1</v>
      </c>
      <c r="G6" s="79">
        <v>5</v>
      </c>
      <c r="H6" s="79">
        <v>1</v>
      </c>
      <c r="I6" s="79"/>
      <c r="J6" s="79"/>
      <c r="K6" s="47">
        <v>5</v>
      </c>
      <c r="L6" s="47"/>
      <c r="M6" s="47">
        <v>14</v>
      </c>
      <c r="N6" s="47">
        <v>16</v>
      </c>
      <c r="O6" s="47">
        <v>15</v>
      </c>
      <c r="P6" s="47">
        <v>13</v>
      </c>
      <c r="Q6" s="47">
        <v>11</v>
      </c>
      <c r="R6" s="47">
        <v>18</v>
      </c>
      <c r="S6" s="47">
        <v>12</v>
      </c>
      <c r="T6" s="47">
        <v>16</v>
      </c>
      <c r="U6" s="47">
        <v>18</v>
      </c>
      <c r="V6" s="47">
        <v>16</v>
      </c>
      <c r="W6" s="47">
        <f t="shared" si="1"/>
        <v>14.9</v>
      </c>
      <c r="X6" s="47">
        <v>1</v>
      </c>
      <c r="Y6" s="47">
        <v>1</v>
      </c>
      <c r="Z6" s="47">
        <v>0</v>
      </c>
      <c r="AA6" s="47">
        <v>0</v>
      </c>
      <c r="AB6" s="47">
        <v>1</v>
      </c>
      <c r="AC6" s="47">
        <v>0</v>
      </c>
      <c r="AD6" s="47">
        <v>0</v>
      </c>
      <c r="AE6" s="47">
        <v>1</v>
      </c>
      <c r="AF6" s="47">
        <v>0</v>
      </c>
      <c r="AG6" s="47">
        <v>0</v>
      </c>
      <c r="AH6" s="139">
        <f t="shared" si="3"/>
        <v>7.1428571428571423</v>
      </c>
      <c r="AI6" s="139">
        <f t="shared" si="3"/>
        <v>6.25</v>
      </c>
      <c r="AJ6" s="139">
        <f t="shared" si="4"/>
        <v>0</v>
      </c>
      <c r="AK6" s="139">
        <f t="shared" si="5"/>
        <v>0</v>
      </c>
      <c r="AL6" s="139">
        <f t="shared" si="6"/>
        <v>9.0909090909090917</v>
      </c>
      <c r="AM6" s="139">
        <f t="shared" si="7"/>
        <v>0</v>
      </c>
      <c r="AN6" s="139">
        <f t="shared" si="8"/>
        <v>0</v>
      </c>
      <c r="AO6" s="139">
        <f t="shared" si="9"/>
        <v>6.25</v>
      </c>
      <c r="AP6" s="139">
        <f t="shared" si="10"/>
        <v>0</v>
      </c>
      <c r="AQ6" s="139">
        <f t="shared" si="11"/>
        <v>0</v>
      </c>
      <c r="AR6" s="140">
        <f t="shared" si="2"/>
        <v>2.8733766233766231</v>
      </c>
    </row>
    <row r="7" spans="1:44" x14ac:dyDescent="0.35">
      <c r="A7" s="79" t="s">
        <v>24</v>
      </c>
      <c r="B7" s="79"/>
      <c r="C7" s="79"/>
      <c r="D7" s="79" t="s">
        <v>32</v>
      </c>
      <c r="E7" s="79"/>
      <c r="F7" s="79">
        <v>1</v>
      </c>
      <c r="G7" s="79">
        <v>6</v>
      </c>
      <c r="H7" s="79">
        <v>1</v>
      </c>
      <c r="I7" s="79"/>
      <c r="J7" s="79"/>
      <c r="K7" s="47">
        <v>6</v>
      </c>
      <c r="L7" s="47"/>
      <c r="M7" s="47">
        <v>15</v>
      </c>
      <c r="N7" s="47">
        <v>16</v>
      </c>
      <c r="O7" s="47">
        <v>18</v>
      </c>
      <c r="P7" s="47">
        <v>16</v>
      </c>
      <c r="Q7" s="47">
        <v>15</v>
      </c>
      <c r="R7" s="47">
        <v>16</v>
      </c>
      <c r="S7" s="47">
        <v>18</v>
      </c>
      <c r="T7" s="47">
        <v>13</v>
      </c>
      <c r="U7" s="47">
        <v>14</v>
      </c>
      <c r="V7" s="47">
        <v>15</v>
      </c>
      <c r="W7" s="47">
        <f t="shared" si="1"/>
        <v>15.6</v>
      </c>
      <c r="X7" s="47">
        <v>0</v>
      </c>
      <c r="Y7" s="47">
        <v>1</v>
      </c>
      <c r="Z7" s="47">
        <v>0</v>
      </c>
      <c r="AA7" s="47">
        <v>0</v>
      </c>
      <c r="AB7" s="47">
        <v>1</v>
      </c>
      <c r="AC7" s="47">
        <v>1</v>
      </c>
      <c r="AD7" s="47">
        <v>1</v>
      </c>
      <c r="AE7" s="47">
        <v>1</v>
      </c>
      <c r="AF7" s="47">
        <v>0</v>
      </c>
      <c r="AG7" s="47">
        <v>1</v>
      </c>
      <c r="AH7" s="139">
        <f t="shared" si="3"/>
        <v>0</v>
      </c>
      <c r="AI7" s="139">
        <f t="shared" si="3"/>
        <v>6.25</v>
      </c>
      <c r="AJ7" s="139">
        <f t="shared" si="4"/>
        <v>0</v>
      </c>
      <c r="AK7" s="139">
        <f t="shared" si="5"/>
        <v>0</v>
      </c>
      <c r="AL7" s="139">
        <f t="shared" si="6"/>
        <v>6.666666666666667</v>
      </c>
      <c r="AM7" s="139">
        <f t="shared" si="7"/>
        <v>6.25</v>
      </c>
      <c r="AN7" s="139">
        <f t="shared" si="8"/>
        <v>5.5555555555555554</v>
      </c>
      <c r="AO7" s="139">
        <f t="shared" si="9"/>
        <v>7.6923076923076925</v>
      </c>
      <c r="AP7" s="139">
        <f t="shared" si="10"/>
        <v>0</v>
      </c>
      <c r="AQ7" s="139">
        <f t="shared" si="11"/>
        <v>6.666666666666667</v>
      </c>
      <c r="AR7" s="140">
        <f t="shared" si="2"/>
        <v>3.908119658119658</v>
      </c>
    </row>
    <row r="8" spans="1:44" x14ac:dyDescent="0.35">
      <c r="A8" s="79" t="s">
        <v>24</v>
      </c>
      <c r="B8" s="79"/>
      <c r="C8" s="79"/>
      <c r="D8" s="79" t="s">
        <v>28</v>
      </c>
      <c r="E8" s="79"/>
      <c r="F8" s="79">
        <v>1</v>
      </c>
      <c r="G8" s="79">
        <v>7</v>
      </c>
      <c r="H8" s="79">
        <v>1</v>
      </c>
      <c r="I8" s="79"/>
      <c r="J8" s="79"/>
      <c r="K8" s="47">
        <v>7</v>
      </c>
      <c r="L8" s="47"/>
      <c r="M8" s="47">
        <v>9</v>
      </c>
      <c r="N8" s="47">
        <v>12</v>
      </c>
      <c r="O8" s="47">
        <v>9</v>
      </c>
      <c r="P8" s="47">
        <v>13</v>
      </c>
      <c r="Q8" s="47">
        <v>12</v>
      </c>
      <c r="R8" s="47">
        <v>14</v>
      </c>
      <c r="S8" s="47">
        <v>9</v>
      </c>
      <c r="T8" s="47">
        <v>10</v>
      </c>
      <c r="U8" s="47">
        <v>12</v>
      </c>
      <c r="V8" s="47">
        <v>9</v>
      </c>
      <c r="W8" s="47">
        <f t="shared" si="1"/>
        <v>10.9</v>
      </c>
      <c r="X8" s="47">
        <v>0</v>
      </c>
      <c r="Y8" s="47">
        <v>0</v>
      </c>
      <c r="Z8" s="47">
        <v>0</v>
      </c>
      <c r="AA8" s="47">
        <v>1</v>
      </c>
      <c r="AB8" s="47">
        <v>0</v>
      </c>
      <c r="AC8" s="47">
        <v>1</v>
      </c>
      <c r="AD8" s="47">
        <v>4</v>
      </c>
      <c r="AE8" s="47">
        <v>0</v>
      </c>
      <c r="AF8" s="47">
        <v>0</v>
      </c>
      <c r="AG8" s="47">
        <v>1</v>
      </c>
      <c r="AH8" s="139">
        <f t="shared" si="3"/>
        <v>0</v>
      </c>
      <c r="AI8" s="139">
        <f t="shared" si="3"/>
        <v>0</v>
      </c>
      <c r="AJ8" s="139">
        <f t="shared" si="4"/>
        <v>0</v>
      </c>
      <c r="AK8" s="139">
        <f t="shared" si="5"/>
        <v>7.6923076923076925</v>
      </c>
      <c r="AL8" s="139">
        <f t="shared" si="6"/>
        <v>0</v>
      </c>
      <c r="AM8" s="139">
        <f t="shared" si="7"/>
        <v>7.1428571428571423</v>
      </c>
      <c r="AN8" s="139">
        <f t="shared" si="8"/>
        <v>44.444444444444443</v>
      </c>
      <c r="AO8" s="139">
        <f t="shared" si="9"/>
        <v>0</v>
      </c>
      <c r="AP8" s="139">
        <f t="shared" si="10"/>
        <v>0</v>
      </c>
      <c r="AQ8" s="139">
        <f t="shared" si="11"/>
        <v>11.111111111111111</v>
      </c>
      <c r="AR8" s="140">
        <f t="shared" si="2"/>
        <v>7.0390720390720389</v>
      </c>
    </row>
    <row r="9" spans="1:44" x14ac:dyDescent="0.35">
      <c r="A9" s="79" t="s">
        <v>24</v>
      </c>
      <c r="B9" s="79"/>
      <c r="C9" s="79"/>
      <c r="D9" s="79" t="s">
        <v>337</v>
      </c>
      <c r="E9" s="79"/>
      <c r="F9" s="79">
        <v>1</v>
      </c>
      <c r="G9" s="79">
        <v>8</v>
      </c>
      <c r="H9" s="79">
        <v>1</v>
      </c>
      <c r="I9" s="79"/>
      <c r="J9" s="79"/>
      <c r="K9" s="47">
        <v>8</v>
      </c>
      <c r="L9" s="47"/>
      <c r="M9" s="47">
        <v>18</v>
      </c>
      <c r="N9" s="47">
        <v>16</v>
      </c>
      <c r="O9" s="47">
        <v>18</v>
      </c>
      <c r="P9" s="47">
        <v>14</v>
      </c>
      <c r="Q9" s="47">
        <v>12</v>
      </c>
      <c r="R9" s="47">
        <v>12</v>
      </c>
      <c r="S9" s="47">
        <v>11</v>
      </c>
      <c r="T9" s="47">
        <v>12</v>
      </c>
      <c r="U9" s="47">
        <v>15</v>
      </c>
      <c r="V9" s="47">
        <v>17</v>
      </c>
      <c r="W9" s="47">
        <f t="shared" si="1"/>
        <v>14.5</v>
      </c>
      <c r="X9" s="47">
        <v>0</v>
      </c>
      <c r="Y9" s="47">
        <v>1</v>
      </c>
      <c r="Z9" s="47">
        <v>1</v>
      </c>
      <c r="AA9" s="47">
        <v>0</v>
      </c>
      <c r="AB9" s="47">
        <v>1</v>
      </c>
      <c r="AC9" s="47">
        <v>1</v>
      </c>
      <c r="AD9" s="47">
        <v>7</v>
      </c>
      <c r="AE9" s="47">
        <v>4</v>
      </c>
      <c r="AF9" s="47">
        <v>1</v>
      </c>
      <c r="AG9" s="47">
        <v>1</v>
      </c>
      <c r="AH9" s="139">
        <f t="shared" si="3"/>
        <v>0</v>
      </c>
      <c r="AI9" s="139">
        <f t="shared" si="3"/>
        <v>6.25</v>
      </c>
      <c r="AJ9" s="139">
        <f t="shared" si="4"/>
        <v>5.5555555555555554</v>
      </c>
      <c r="AK9" s="139">
        <f t="shared" si="5"/>
        <v>0</v>
      </c>
      <c r="AL9" s="139">
        <f t="shared" si="6"/>
        <v>8.3333333333333321</v>
      </c>
      <c r="AM9" s="139">
        <f t="shared" si="7"/>
        <v>8.3333333333333321</v>
      </c>
      <c r="AN9" s="139">
        <f t="shared" si="8"/>
        <v>63.636363636363633</v>
      </c>
      <c r="AO9" s="139">
        <f t="shared" si="9"/>
        <v>33.333333333333329</v>
      </c>
      <c r="AP9" s="139">
        <f t="shared" si="10"/>
        <v>6.666666666666667</v>
      </c>
      <c r="AQ9" s="139">
        <f t="shared" si="11"/>
        <v>5.8823529411764701</v>
      </c>
      <c r="AR9" s="140">
        <f t="shared" si="2"/>
        <v>13.799093879976231</v>
      </c>
    </row>
    <row r="10" spans="1:44" x14ac:dyDescent="0.35">
      <c r="A10" s="6" t="s">
        <v>34</v>
      </c>
      <c r="D10" s="6" t="s">
        <v>42</v>
      </c>
      <c r="F10" s="6">
        <v>1</v>
      </c>
      <c r="G10" s="6">
        <v>1</v>
      </c>
      <c r="H10" s="6">
        <v>2</v>
      </c>
      <c r="K10" s="47">
        <v>9</v>
      </c>
      <c r="L10" s="47"/>
      <c r="M10" s="47">
        <v>13</v>
      </c>
      <c r="N10" s="47">
        <v>14</v>
      </c>
      <c r="O10" s="47">
        <v>16</v>
      </c>
      <c r="P10" s="47">
        <v>10</v>
      </c>
      <c r="Q10" s="47">
        <v>11</v>
      </c>
      <c r="R10" s="47">
        <v>11</v>
      </c>
      <c r="S10" s="47">
        <v>12</v>
      </c>
      <c r="T10" s="47">
        <v>15</v>
      </c>
      <c r="U10" s="47">
        <v>14</v>
      </c>
      <c r="V10" s="47">
        <v>12</v>
      </c>
      <c r="W10" s="47">
        <f t="shared" si="1"/>
        <v>12.8</v>
      </c>
      <c r="X10" s="47">
        <v>1</v>
      </c>
      <c r="Y10" s="47">
        <v>1</v>
      </c>
      <c r="Z10" s="47">
        <v>0</v>
      </c>
      <c r="AA10" s="47">
        <v>1</v>
      </c>
      <c r="AB10" s="47">
        <v>1</v>
      </c>
      <c r="AC10" s="47">
        <v>0</v>
      </c>
      <c r="AD10" s="47">
        <v>0</v>
      </c>
      <c r="AE10" s="47">
        <v>2</v>
      </c>
      <c r="AF10" s="47">
        <v>0</v>
      </c>
      <c r="AG10" s="47">
        <v>0</v>
      </c>
      <c r="AH10" s="139">
        <f t="shared" si="3"/>
        <v>7.6923076923076925</v>
      </c>
      <c r="AI10" s="139">
        <f t="shared" si="3"/>
        <v>7.1428571428571423</v>
      </c>
      <c r="AJ10" s="139">
        <f t="shared" si="4"/>
        <v>0</v>
      </c>
      <c r="AK10" s="139">
        <f t="shared" si="5"/>
        <v>10</v>
      </c>
      <c r="AL10" s="139">
        <f t="shared" si="6"/>
        <v>9.0909090909090917</v>
      </c>
      <c r="AM10" s="139">
        <f t="shared" si="7"/>
        <v>0</v>
      </c>
      <c r="AN10" s="139">
        <f t="shared" si="8"/>
        <v>0</v>
      </c>
      <c r="AO10" s="139">
        <f t="shared" si="9"/>
        <v>13.333333333333334</v>
      </c>
      <c r="AP10" s="139">
        <f t="shared" si="10"/>
        <v>0</v>
      </c>
      <c r="AQ10" s="139">
        <f t="shared" si="11"/>
        <v>0</v>
      </c>
      <c r="AR10" s="140">
        <f t="shared" si="2"/>
        <v>4.7259407259407258</v>
      </c>
    </row>
    <row r="11" spans="1:44" x14ac:dyDescent="0.35">
      <c r="A11" s="6" t="s">
        <v>34</v>
      </c>
      <c r="D11" s="6" t="s">
        <v>38</v>
      </c>
      <c r="F11" s="6">
        <v>1</v>
      </c>
      <c r="G11" s="6">
        <v>2</v>
      </c>
      <c r="H11" s="6">
        <v>2</v>
      </c>
      <c r="K11" s="47">
        <v>10</v>
      </c>
      <c r="L11" s="47"/>
      <c r="M11" s="47">
        <v>12</v>
      </c>
      <c r="N11" s="47">
        <v>16</v>
      </c>
      <c r="O11" s="47">
        <v>11</v>
      </c>
      <c r="P11" s="47">
        <v>9</v>
      </c>
      <c r="Q11" s="47">
        <v>15</v>
      </c>
      <c r="R11" s="47">
        <v>13</v>
      </c>
      <c r="S11" s="47">
        <v>16</v>
      </c>
      <c r="T11" s="47">
        <v>14</v>
      </c>
      <c r="U11" s="47">
        <v>11</v>
      </c>
      <c r="V11" s="47">
        <v>12</v>
      </c>
      <c r="W11" s="47">
        <f t="shared" si="1"/>
        <v>12.9</v>
      </c>
      <c r="X11" s="47">
        <v>0</v>
      </c>
      <c r="Y11" s="47">
        <v>1</v>
      </c>
      <c r="Z11" s="47">
        <v>0</v>
      </c>
      <c r="AA11" s="47">
        <v>1</v>
      </c>
      <c r="AB11" s="47">
        <v>1</v>
      </c>
      <c r="AC11" s="47">
        <v>1</v>
      </c>
      <c r="AD11" s="47">
        <v>13</v>
      </c>
      <c r="AE11" s="47">
        <v>1</v>
      </c>
      <c r="AF11" s="47">
        <v>0</v>
      </c>
      <c r="AG11" s="47">
        <v>1</v>
      </c>
      <c r="AH11" s="139">
        <f t="shared" si="3"/>
        <v>0</v>
      </c>
      <c r="AI11" s="139">
        <f t="shared" si="3"/>
        <v>6.25</v>
      </c>
      <c r="AJ11" s="139">
        <f t="shared" si="4"/>
        <v>0</v>
      </c>
      <c r="AK11" s="139">
        <f t="shared" si="5"/>
        <v>11.111111111111111</v>
      </c>
      <c r="AL11" s="139">
        <f t="shared" si="6"/>
        <v>6.666666666666667</v>
      </c>
      <c r="AM11" s="139">
        <f t="shared" si="7"/>
        <v>7.6923076923076925</v>
      </c>
      <c r="AN11" s="139">
        <f t="shared" si="8"/>
        <v>81.25</v>
      </c>
      <c r="AO11" s="139">
        <f t="shared" si="9"/>
        <v>7.1428571428571423</v>
      </c>
      <c r="AP11" s="139">
        <f t="shared" si="10"/>
        <v>0</v>
      </c>
      <c r="AQ11" s="139">
        <f t="shared" si="11"/>
        <v>8.3333333333333321</v>
      </c>
      <c r="AR11" s="140">
        <f t="shared" si="2"/>
        <v>12.844627594627596</v>
      </c>
    </row>
    <row r="12" spans="1:44" x14ac:dyDescent="0.35">
      <c r="A12" s="6" t="s">
        <v>34</v>
      </c>
      <c r="D12" s="6" t="s">
        <v>43</v>
      </c>
      <c r="F12" s="6">
        <v>1</v>
      </c>
      <c r="G12" s="6">
        <v>3</v>
      </c>
      <c r="H12" s="6">
        <v>2</v>
      </c>
      <c r="K12" s="47">
        <v>11</v>
      </c>
      <c r="L12" s="47"/>
      <c r="M12" s="47">
        <v>12</v>
      </c>
      <c r="N12" s="47">
        <v>16</v>
      </c>
      <c r="O12" s="47">
        <v>15</v>
      </c>
      <c r="P12" s="47">
        <v>13</v>
      </c>
      <c r="Q12" s="47">
        <v>14</v>
      </c>
      <c r="R12" s="47">
        <v>15</v>
      </c>
      <c r="S12" s="47">
        <v>18</v>
      </c>
      <c r="T12" s="47">
        <v>15</v>
      </c>
      <c r="U12" s="47">
        <v>13</v>
      </c>
      <c r="V12" s="47">
        <v>13</v>
      </c>
      <c r="W12" s="47">
        <f t="shared" si="1"/>
        <v>14.4</v>
      </c>
      <c r="X12" s="47">
        <v>9</v>
      </c>
      <c r="Y12" s="47">
        <v>0</v>
      </c>
      <c r="Z12" s="47">
        <v>1</v>
      </c>
      <c r="AA12" s="47">
        <v>1</v>
      </c>
      <c r="AB12" s="47">
        <v>1</v>
      </c>
      <c r="AC12" s="47">
        <v>1</v>
      </c>
      <c r="AD12" s="47">
        <v>0</v>
      </c>
      <c r="AE12" s="47">
        <v>0</v>
      </c>
      <c r="AF12" s="47">
        <v>2</v>
      </c>
      <c r="AG12" s="47">
        <v>1</v>
      </c>
      <c r="AH12" s="139">
        <f t="shared" si="3"/>
        <v>75</v>
      </c>
      <c r="AI12" s="139">
        <f t="shared" si="3"/>
        <v>0</v>
      </c>
      <c r="AJ12" s="139">
        <f t="shared" si="4"/>
        <v>6.666666666666667</v>
      </c>
      <c r="AK12" s="139">
        <f t="shared" si="5"/>
        <v>7.6923076923076925</v>
      </c>
      <c r="AL12" s="139">
        <f t="shared" si="6"/>
        <v>7.1428571428571423</v>
      </c>
      <c r="AM12" s="139">
        <f t="shared" si="7"/>
        <v>6.666666666666667</v>
      </c>
      <c r="AN12" s="139">
        <f t="shared" si="8"/>
        <v>0</v>
      </c>
      <c r="AO12" s="139">
        <f t="shared" si="9"/>
        <v>0</v>
      </c>
      <c r="AP12" s="139">
        <f t="shared" si="10"/>
        <v>15.384615384615385</v>
      </c>
      <c r="AQ12" s="139">
        <f t="shared" si="11"/>
        <v>7.6923076923076925</v>
      </c>
      <c r="AR12" s="140">
        <f t="shared" si="2"/>
        <v>12.624542124542126</v>
      </c>
    </row>
    <row r="13" spans="1:44" x14ac:dyDescent="0.35">
      <c r="A13" s="6" t="s">
        <v>34</v>
      </c>
      <c r="D13" s="6" t="s">
        <v>41</v>
      </c>
      <c r="F13" s="6">
        <v>1</v>
      </c>
      <c r="G13" s="6">
        <v>4</v>
      </c>
      <c r="H13" s="6">
        <v>2</v>
      </c>
      <c r="K13" s="47">
        <v>12</v>
      </c>
      <c r="L13" s="47"/>
      <c r="M13" s="47">
        <v>13</v>
      </c>
      <c r="N13" s="47">
        <v>15</v>
      </c>
      <c r="O13" s="47">
        <v>11</v>
      </c>
      <c r="P13" s="47">
        <v>11</v>
      </c>
      <c r="Q13" s="47">
        <v>14</v>
      </c>
      <c r="R13" s="47">
        <v>15</v>
      </c>
      <c r="S13" s="47">
        <v>16</v>
      </c>
      <c r="T13" s="47">
        <v>14</v>
      </c>
      <c r="U13" s="47">
        <v>13</v>
      </c>
      <c r="V13" s="47">
        <v>10</v>
      </c>
      <c r="W13" s="47">
        <f t="shared" si="1"/>
        <v>13.2</v>
      </c>
      <c r="X13" s="47">
        <v>2</v>
      </c>
      <c r="Y13" s="47">
        <v>1</v>
      </c>
      <c r="Z13" s="47">
        <v>1</v>
      </c>
      <c r="AA13" s="47">
        <v>3</v>
      </c>
      <c r="AB13" s="47">
        <v>0</v>
      </c>
      <c r="AC13" s="47">
        <v>4</v>
      </c>
      <c r="AD13" s="47">
        <v>5</v>
      </c>
      <c r="AE13" s="47">
        <v>0</v>
      </c>
      <c r="AF13" s="47">
        <v>0</v>
      </c>
      <c r="AG13" s="47">
        <v>1</v>
      </c>
      <c r="AH13" s="139">
        <f t="shared" si="3"/>
        <v>15.384615384615385</v>
      </c>
      <c r="AI13" s="139">
        <f t="shared" si="3"/>
        <v>6.666666666666667</v>
      </c>
      <c r="AJ13" s="139">
        <f t="shared" si="4"/>
        <v>9.0909090909090917</v>
      </c>
      <c r="AK13" s="139">
        <f t="shared" si="5"/>
        <v>27.27272727272727</v>
      </c>
      <c r="AL13" s="139">
        <f t="shared" si="6"/>
        <v>0</v>
      </c>
      <c r="AM13" s="139">
        <f t="shared" si="7"/>
        <v>26.666666666666668</v>
      </c>
      <c r="AN13" s="139">
        <f t="shared" si="8"/>
        <v>31.25</v>
      </c>
      <c r="AO13" s="139">
        <f t="shared" si="9"/>
        <v>0</v>
      </c>
      <c r="AP13" s="139">
        <f t="shared" si="10"/>
        <v>0</v>
      </c>
      <c r="AQ13" s="139">
        <f t="shared" si="11"/>
        <v>10</v>
      </c>
      <c r="AR13" s="140">
        <f t="shared" si="2"/>
        <v>12.633158508158509</v>
      </c>
    </row>
    <row r="14" spans="1:44" x14ac:dyDescent="0.35">
      <c r="A14" s="6" t="s">
        <v>34</v>
      </c>
      <c r="D14" s="6" t="s">
        <v>37</v>
      </c>
      <c r="F14" s="6">
        <v>1</v>
      </c>
      <c r="G14" s="6">
        <v>5</v>
      </c>
      <c r="H14" s="6">
        <v>2</v>
      </c>
      <c r="K14" s="47">
        <v>13</v>
      </c>
      <c r="L14" s="47"/>
      <c r="M14" s="47">
        <v>18</v>
      </c>
      <c r="N14" s="47">
        <v>14</v>
      </c>
      <c r="O14" s="47">
        <v>17</v>
      </c>
      <c r="P14" s="47">
        <v>14</v>
      </c>
      <c r="Q14" s="47">
        <v>14</v>
      </c>
      <c r="R14" s="47">
        <v>13</v>
      </c>
      <c r="S14" s="47">
        <v>12</v>
      </c>
      <c r="T14" s="47">
        <v>14</v>
      </c>
      <c r="U14" s="47">
        <v>15</v>
      </c>
      <c r="V14" s="47">
        <v>14</v>
      </c>
      <c r="W14" s="47">
        <f t="shared" si="1"/>
        <v>14.5</v>
      </c>
      <c r="X14" s="47">
        <v>1</v>
      </c>
      <c r="Y14" s="47">
        <v>0</v>
      </c>
      <c r="Z14" s="47">
        <v>0</v>
      </c>
      <c r="AA14" s="47">
        <v>0</v>
      </c>
      <c r="AB14" s="47">
        <v>1</v>
      </c>
      <c r="AC14" s="47">
        <v>0</v>
      </c>
      <c r="AD14" s="47">
        <v>1</v>
      </c>
      <c r="AE14" s="47">
        <v>0</v>
      </c>
      <c r="AF14" s="47">
        <v>0</v>
      </c>
      <c r="AG14" s="47">
        <v>0</v>
      </c>
      <c r="AH14" s="139">
        <f t="shared" si="3"/>
        <v>5.5555555555555554</v>
      </c>
      <c r="AI14" s="139">
        <f t="shared" si="3"/>
        <v>0</v>
      </c>
      <c r="AJ14" s="139">
        <f t="shared" si="4"/>
        <v>0</v>
      </c>
      <c r="AK14" s="139">
        <f t="shared" si="5"/>
        <v>0</v>
      </c>
      <c r="AL14" s="139">
        <f t="shared" si="6"/>
        <v>7.1428571428571423</v>
      </c>
      <c r="AM14" s="139">
        <f t="shared" si="7"/>
        <v>0</v>
      </c>
      <c r="AN14" s="139">
        <f t="shared" si="8"/>
        <v>8.3333333333333321</v>
      </c>
      <c r="AO14" s="139">
        <f t="shared" si="9"/>
        <v>0</v>
      </c>
      <c r="AP14" s="139">
        <f t="shared" si="10"/>
        <v>0</v>
      </c>
      <c r="AQ14" s="139">
        <f t="shared" si="11"/>
        <v>0</v>
      </c>
      <c r="AR14" s="140">
        <f t="shared" si="2"/>
        <v>2.1031746031746033</v>
      </c>
    </row>
    <row r="15" spans="1:44" x14ac:dyDescent="0.35">
      <c r="A15" s="6" t="s">
        <v>34</v>
      </c>
      <c r="D15" s="6" t="s">
        <v>343</v>
      </c>
      <c r="F15" s="6">
        <v>1</v>
      </c>
      <c r="G15" s="6">
        <v>6</v>
      </c>
      <c r="H15" s="6">
        <v>2</v>
      </c>
      <c r="K15" s="47">
        <v>14</v>
      </c>
      <c r="L15" s="47"/>
      <c r="M15" s="47">
        <v>8</v>
      </c>
      <c r="N15" s="47">
        <v>10</v>
      </c>
      <c r="O15" s="47">
        <v>12</v>
      </c>
      <c r="P15" s="47">
        <v>12</v>
      </c>
      <c r="Q15" s="47">
        <v>13</v>
      </c>
      <c r="R15" s="47">
        <v>12</v>
      </c>
      <c r="S15" s="47">
        <v>9</v>
      </c>
      <c r="T15" s="47">
        <v>11</v>
      </c>
      <c r="U15" s="47">
        <v>11</v>
      </c>
      <c r="V15" s="47">
        <v>11</v>
      </c>
      <c r="W15" s="47">
        <f t="shared" si="1"/>
        <v>10.9</v>
      </c>
      <c r="X15" s="47">
        <v>0</v>
      </c>
      <c r="Y15" s="47">
        <v>1</v>
      </c>
      <c r="Z15" s="47">
        <v>1</v>
      </c>
      <c r="AA15" s="47">
        <v>0</v>
      </c>
      <c r="AB15" s="47">
        <v>2</v>
      </c>
      <c r="AC15" s="47">
        <v>2</v>
      </c>
      <c r="AD15" s="47">
        <v>0</v>
      </c>
      <c r="AE15" s="47">
        <v>0</v>
      </c>
      <c r="AF15" s="47">
        <v>1</v>
      </c>
      <c r="AG15" s="47">
        <v>0</v>
      </c>
      <c r="AH15" s="139">
        <f t="shared" si="3"/>
        <v>0</v>
      </c>
      <c r="AI15" s="139">
        <f t="shared" si="3"/>
        <v>10</v>
      </c>
      <c r="AJ15" s="139">
        <f t="shared" si="4"/>
        <v>8.3333333333333321</v>
      </c>
      <c r="AK15" s="139">
        <f t="shared" si="5"/>
        <v>0</v>
      </c>
      <c r="AL15" s="139">
        <f t="shared" si="6"/>
        <v>15.384615384615385</v>
      </c>
      <c r="AM15" s="139">
        <f t="shared" si="7"/>
        <v>16.666666666666664</v>
      </c>
      <c r="AN15" s="139">
        <f t="shared" si="8"/>
        <v>0</v>
      </c>
      <c r="AO15" s="139">
        <f t="shared" si="9"/>
        <v>0</v>
      </c>
      <c r="AP15" s="139">
        <f t="shared" si="10"/>
        <v>9.0909090909090917</v>
      </c>
      <c r="AQ15" s="139">
        <f t="shared" si="11"/>
        <v>0</v>
      </c>
      <c r="AR15" s="140">
        <f t="shared" si="2"/>
        <v>5.9475524475524475</v>
      </c>
    </row>
    <row r="16" spans="1:44" x14ac:dyDescent="0.35">
      <c r="A16" s="6" t="s">
        <v>34</v>
      </c>
      <c r="D16" s="6" t="s">
        <v>36</v>
      </c>
      <c r="F16" s="6">
        <v>1</v>
      </c>
      <c r="G16" s="6">
        <v>7</v>
      </c>
      <c r="H16" s="6">
        <v>2</v>
      </c>
      <c r="K16" s="47">
        <v>15</v>
      </c>
      <c r="L16" s="47"/>
      <c r="M16" s="47">
        <v>11</v>
      </c>
      <c r="N16" s="47">
        <v>14</v>
      </c>
      <c r="O16" s="47">
        <v>11</v>
      </c>
      <c r="P16" s="47">
        <v>17</v>
      </c>
      <c r="Q16" s="47">
        <v>10</v>
      </c>
      <c r="R16" s="47">
        <v>16</v>
      </c>
      <c r="S16" s="47">
        <v>15</v>
      </c>
      <c r="T16" s="47">
        <v>16</v>
      </c>
      <c r="U16" s="47">
        <v>9</v>
      </c>
      <c r="V16" s="47">
        <v>11</v>
      </c>
      <c r="W16" s="47">
        <f t="shared" si="1"/>
        <v>13</v>
      </c>
      <c r="X16" s="47">
        <v>1</v>
      </c>
      <c r="Y16" s="47">
        <v>0</v>
      </c>
      <c r="Z16" s="47">
        <v>0</v>
      </c>
      <c r="AA16" s="47">
        <v>0</v>
      </c>
      <c r="AB16" s="47">
        <v>0</v>
      </c>
      <c r="AC16" s="47">
        <v>0</v>
      </c>
      <c r="AD16" s="47">
        <v>1</v>
      </c>
      <c r="AE16" s="47">
        <v>0</v>
      </c>
      <c r="AF16" s="47">
        <v>6</v>
      </c>
      <c r="AG16" s="47">
        <v>0</v>
      </c>
      <c r="AH16" s="139">
        <f t="shared" si="3"/>
        <v>9.0909090909090917</v>
      </c>
      <c r="AI16" s="139">
        <f t="shared" si="3"/>
        <v>0</v>
      </c>
      <c r="AJ16" s="139">
        <f t="shared" si="4"/>
        <v>0</v>
      </c>
      <c r="AK16" s="139">
        <f t="shared" si="5"/>
        <v>0</v>
      </c>
      <c r="AL16" s="139">
        <f t="shared" si="6"/>
        <v>0</v>
      </c>
      <c r="AM16" s="139">
        <f t="shared" si="7"/>
        <v>0</v>
      </c>
      <c r="AN16" s="139">
        <f t="shared" si="8"/>
        <v>6.666666666666667</v>
      </c>
      <c r="AO16" s="139">
        <f t="shared" si="9"/>
        <v>0</v>
      </c>
      <c r="AP16" s="139">
        <f t="shared" si="10"/>
        <v>66.666666666666657</v>
      </c>
      <c r="AQ16" s="139">
        <f t="shared" si="11"/>
        <v>0</v>
      </c>
      <c r="AR16" s="140">
        <f t="shared" si="2"/>
        <v>8.2424242424242404</v>
      </c>
    </row>
    <row r="17" spans="1:44" x14ac:dyDescent="0.35">
      <c r="A17" s="6" t="s">
        <v>34</v>
      </c>
      <c r="D17" s="6" t="s">
        <v>39</v>
      </c>
      <c r="F17" s="6">
        <v>1</v>
      </c>
      <c r="G17" s="6">
        <v>8</v>
      </c>
      <c r="H17" s="6">
        <v>2</v>
      </c>
      <c r="K17" s="47">
        <v>16</v>
      </c>
      <c r="L17" s="47"/>
      <c r="M17" s="47">
        <v>8</v>
      </c>
      <c r="N17" s="47">
        <v>11</v>
      </c>
      <c r="O17" s="47">
        <v>11</v>
      </c>
      <c r="P17" s="47">
        <v>12</v>
      </c>
      <c r="Q17" s="47">
        <v>11</v>
      </c>
      <c r="R17" s="47">
        <v>13</v>
      </c>
      <c r="S17" s="47">
        <v>15</v>
      </c>
      <c r="T17" s="47">
        <v>13</v>
      </c>
      <c r="U17" s="47">
        <v>12</v>
      </c>
      <c r="V17" s="47">
        <v>8</v>
      </c>
      <c r="W17" s="47">
        <f t="shared" si="1"/>
        <v>11.4</v>
      </c>
      <c r="X17" s="47">
        <v>0</v>
      </c>
      <c r="Y17" s="47">
        <v>0</v>
      </c>
      <c r="Z17" s="47">
        <v>1</v>
      </c>
      <c r="AA17" s="47">
        <v>0</v>
      </c>
      <c r="AB17" s="47">
        <v>1</v>
      </c>
      <c r="AC17" s="47">
        <v>0</v>
      </c>
      <c r="AD17" s="47">
        <v>1</v>
      </c>
      <c r="AE17" s="47">
        <v>5</v>
      </c>
      <c r="AF17" s="47">
        <v>1</v>
      </c>
      <c r="AG17" s="47">
        <v>2</v>
      </c>
      <c r="AH17" s="139">
        <f t="shared" si="3"/>
        <v>0</v>
      </c>
      <c r="AI17" s="139">
        <f t="shared" si="3"/>
        <v>0</v>
      </c>
      <c r="AJ17" s="139">
        <f t="shared" si="4"/>
        <v>9.0909090909090917</v>
      </c>
      <c r="AK17" s="139">
        <f t="shared" si="5"/>
        <v>0</v>
      </c>
      <c r="AL17" s="139">
        <f t="shared" si="6"/>
        <v>9.0909090909090917</v>
      </c>
      <c r="AM17" s="139">
        <f t="shared" si="7"/>
        <v>0</v>
      </c>
      <c r="AN17" s="139">
        <f t="shared" si="8"/>
        <v>6.666666666666667</v>
      </c>
      <c r="AO17" s="139">
        <f t="shared" si="9"/>
        <v>38.461538461538467</v>
      </c>
      <c r="AP17" s="139">
        <f t="shared" si="10"/>
        <v>8.3333333333333321</v>
      </c>
      <c r="AQ17" s="139">
        <f t="shared" si="11"/>
        <v>25</v>
      </c>
      <c r="AR17" s="140">
        <f t="shared" si="2"/>
        <v>9.664335664335665</v>
      </c>
    </row>
    <row r="18" spans="1:44" x14ac:dyDescent="0.35">
      <c r="A18" s="79" t="s">
        <v>24</v>
      </c>
      <c r="B18" s="79"/>
      <c r="C18" s="79"/>
      <c r="D18" s="79" t="s">
        <v>335</v>
      </c>
      <c r="E18" s="79"/>
      <c r="F18" s="79">
        <v>2</v>
      </c>
      <c r="G18" s="79">
        <v>1</v>
      </c>
      <c r="H18" s="79">
        <v>3</v>
      </c>
      <c r="I18" s="79"/>
      <c r="J18" s="79"/>
      <c r="K18" s="47">
        <v>17</v>
      </c>
      <c r="L18" s="47"/>
      <c r="M18" s="47">
        <v>14</v>
      </c>
      <c r="N18" s="47">
        <v>10</v>
      </c>
      <c r="O18" s="47">
        <v>15</v>
      </c>
      <c r="P18" s="47">
        <v>10</v>
      </c>
      <c r="Q18" s="47">
        <v>13</v>
      </c>
      <c r="R18" s="47">
        <v>10</v>
      </c>
      <c r="S18" s="47">
        <v>13</v>
      </c>
      <c r="T18" s="47">
        <v>15</v>
      </c>
      <c r="U18" s="47">
        <v>15</v>
      </c>
      <c r="V18" s="47">
        <v>11</v>
      </c>
      <c r="W18" s="47">
        <f t="shared" si="1"/>
        <v>12.6</v>
      </c>
      <c r="X18" s="47">
        <v>1</v>
      </c>
      <c r="Y18" s="47">
        <v>1</v>
      </c>
      <c r="Z18" s="47">
        <v>1</v>
      </c>
      <c r="AA18" s="47">
        <v>0</v>
      </c>
      <c r="AB18" s="47">
        <v>0</v>
      </c>
      <c r="AC18" s="47">
        <v>1</v>
      </c>
      <c r="AD18" s="47">
        <v>1</v>
      </c>
      <c r="AE18" s="47">
        <v>0</v>
      </c>
      <c r="AF18" s="47">
        <v>2</v>
      </c>
      <c r="AG18" s="47">
        <v>3</v>
      </c>
      <c r="AH18" s="139">
        <f t="shared" si="3"/>
        <v>7.1428571428571423</v>
      </c>
      <c r="AI18" s="139">
        <f t="shared" si="3"/>
        <v>10</v>
      </c>
      <c r="AJ18" s="139">
        <f t="shared" ref="AJ18:AJ48" si="12">Z18/O18*100</f>
        <v>6.666666666666667</v>
      </c>
      <c r="AK18" s="139">
        <f t="shared" ref="AK18:AK48" si="13">AA18/P18*100</f>
        <v>0</v>
      </c>
      <c r="AL18" s="139">
        <f t="shared" ref="AL18:AL48" si="14">AB18/Q18*100</f>
        <v>0</v>
      </c>
      <c r="AM18" s="139">
        <f t="shared" ref="AM18:AM48" si="15">AC18/R18*100</f>
        <v>10</v>
      </c>
      <c r="AN18" s="139">
        <f t="shared" ref="AN18:AN48" si="16">AD18/S18*100</f>
        <v>7.6923076923076925</v>
      </c>
      <c r="AO18" s="139">
        <f t="shared" ref="AO18:AO48" si="17">AE18/T18*100</f>
        <v>0</v>
      </c>
      <c r="AP18" s="139">
        <f t="shared" si="10"/>
        <v>13.333333333333334</v>
      </c>
      <c r="AQ18" s="139">
        <f t="shared" si="11"/>
        <v>27.27272727272727</v>
      </c>
      <c r="AR18" s="140">
        <f t="shared" si="2"/>
        <v>8.210789210789212</v>
      </c>
    </row>
    <row r="19" spans="1:44" x14ac:dyDescent="0.35">
      <c r="A19" s="79" t="s">
        <v>24</v>
      </c>
      <c r="B19" s="79"/>
      <c r="C19" s="79"/>
      <c r="D19" s="79" t="s">
        <v>28</v>
      </c>
      <c r="E19" s="79"/>
      <c r="F19" s="79">
        <v>2</v>
      </c>
      <c r="G19" s="79">
        <v>2</v>
      </c>
      <c r="H19" s="79">
        <v>3</v>
      </c>
      <c r="I19" s="79"/>
      <c r="J19" s="79"/>
      <c r="K19" s="47">
        <v>18</v>
      </c>
      <c r="L19" s="47"/>
      <c r="M19" s="47">
        <v>11</v>
      </c>
      <c r="N19" s="47">
        <v>16</v>
      </c>
      <c r="O19" s="47">
        <v>13</v>
      </c>
      <c r="P19" s="47">
        <v>14</v>
      </c>
      <c r="Q19" s="47">
        <v>12</v>
      </c>
      <c r="R19" s="47">
        <v>8</v>
      </c>
      <c r="S19" s="47">
        <v>12</v>
      </c>
      <c r="T19" s="47">
        <v>14</v>
      </c>
      <c r="U19" s="47">
        <v>14</v>
      </c>
      <c r="V19" s="47">
        <v>11</v>
      </c>
      <c r="W19" s="47">
        <f t="shared" si="1"/>
        <v>12.5</v>
      </c>
      <c r="X19" s="47">
        <v>0</v>
      </c>
      <c r="Y19" s="47">
        <v>0</v>
      </c>
      <c r="Z19" s="47">
        <v>1</v>
      </c>
      <c r="AA19" s="47">
        <v>0</v>
      </c>
      <c r="AB19" s="47">
        <v>2</v>
      </c>
      <c r="AC19" s="47">
        <v>1</v>
      </c>
      <c r="AD19" s="47">
        <v>1</v>
      </c>
      <c r="AE19" s="47">
        <v>2</v>
      </c>
      <c r="AF19" s="47">
        <v>1</v>
      </c>
      <c r="AG19" s="47">
        <v>0</v>
      </c>
      <c r="AH19" s="139">
        <f t="shared" si="3"/>
        <v>0</v>
      </c>
      <c r="AI19" s="139">
        <f t="shared" si="3"/>
        <v>0</v>
      </c>
      <c r="AJ19" s="139">
        <f t="shared" si="12"/>
        <v>7.6923076923076925</v>
      </c>
      <c r="AK19" s="139">
        <f t="shared" si="13"/>
        <v>0</v>
      </c>
      <c r="AL19" s="139">
        <f t="shared" si="14"/>
        <v>16.666666666666664</v>
      </c>
      <c r="AM19" s="139">
        <f t="shared" si="15"/>
        <v>12.5</v>
      </c>
      <c r="AN19" s="139">
        <f t="shared" si="16"/>
        <v>8.3333333333333321</v>
      </c>
      <c r="AO19" s="139">
        <f t="shared" si="17"/>
        <v>14.285714285714285</v>
      </c>
      <c r="AP19" s="139">
        <f t="shared" si="10"/>
        <v>7.1428571428571423</v>
      </c>
      <c r="AQ19" s="139">
        <f t="shared" si="11"/>
        <v>0</v>
      </c>
      <c r="AR19" s="140">
        <f t="shared" si="2"/>
        <v>6.6620879120879124</v>
      </c>
    </row>
    <row r="20" spans="1:44" x14ac:dyDescent="0.35">
      <c r="A20" s="79" t="s">
        <v>24</v>
      </c>
      <c r="B20" s="79"/>
      <c r="C20" s="79"/>
      <c r="D20" s="79" t="s">
        <v>26</v>
      </c>
      <c r="E20" s="79"/>
      <c r="F20" s="79">
        <v>2</v>
      </c>
      <c r="G20" s="79">
        <v>3</v>
      </c>
      <c r="H20" s="79">
        <v>3</v>
      </c>
      <c r="I20" s="79"/>
      <c r="J20" s="79"/>
      <c r="K20" s="47">
        <v>19</v>
      </c>
      <c r="L20" s="47"/>
      <c r="M20" s="47">
        <v>21</v>
      </c>
      <c r="N20" s="47">
        <v>18</v>
      </c>
      <c r="O20" s="47">
        <v>14</v>
      </c>
      <c r="P20" s="47">
        <v>14</v>
      </c>
      <c r="Q20" s="47">
        <v>19</v>
      </c>
      <c r="R20" s="47">
        <v>17</v>
      </c>
      <c r="S20" s="47">
        <v>15</v>
      </c>
      <c r="T20" s="47">
        <v>20</v>
      </c>
      <c r="U20" s="47">
        <v>17</v>
      </c>
      <c r="V20" s="47">
        <v>18</v>
      </c>
      <c r="W20" s="47">
        <f t="shared" si="1"/>
        <v>17.3</v>
      </c>
      <c r="X20" s="47">
        <v>1</v>
      </c>
      <c r="Y20" s="47">
        <v>0</v>
      </c>
      <c r="Z20" s="47">
        <v>0</v>
      </c>
      <c r="AA20" s="47">
        <v>1</v>
      </c>
      <c r="AB20" s="47">
        <v>5</v>
      </c>
      <c r="AC20" s="47">
        <v>2</v>
      </c>
      <c r="AD20" s="47">
        <v>2</v>
      </c>
      <c r="AE20" s="47">
        <v>20</v>
      </c>
      <c r="AF20" s="47">
        <v>1</v>
      </c>
      <c r="AG20" s="47">
        <v>10</v>
      </c>
      <c r="AH20" s="139">
        <f t="shared" si="3"/>
        <v>4.7619047619047619</v>
      </c>
      <c r="AI20" s="139">
        <f t="shared" si="3"/>
        <v>0</v>
      </c>
      <c r="AJ20" s="139">
        <f t="shared" si="12"/>
        <v>0</v>
      </c>
      <c r="AK20" s="139">
        <f t="shared" si="13"/>
        <v>7.1428571428571423</v>
      </c>
      <c r="AL20" s="139">
        <f t="shared" si="14"/>
        <v>26.315789473684209</v>
      </c>
      <c r="AM20" s="139">
        <f t="shared" si="15"/>
        <v>11.76470588235294</v>
      </c>
      <c r="AN20" s="139">
        <f t="shared" si="16"/>
        <v>13.333333333333334</v>
      </c>
      <c r="AO20" s="139">
        <f t="shared" si="17"/>
        <v>100</v>
      </c>
      <c r="AP20" s="139">
        <f t="shared" si="10"/>
        <v>5.8823529411764701</v>
      </c>
      <c r="AQ20" s="139">
        <f t="shared" si="11"/>
        <v>55.555555555555557</v>
      </c>
      <c r="AR20" s="140">
        <f t="shared" si="2"/>
        <v>22.475649909086439</v>
      </c>
    </row>
    <row r="21" spans="1:44" x14ac:dyDescent="0.35">
      <c r="A21" s="79" t="s">
        <v>24</v>
      </c>
      <c r="B21" s="79"/>
      <c r="C21" s="79"/>
      <c r="D21" s="79" t="s">
        <v>336</v>
      </c>
      <c r="E21" s="79"/>
      <c r="F21" s="79">
        <v>2</v>
      </c>
      <c r="G21" s="79">
        <v>4</v>
      </c>
      <c r="H21" s="79">
        <v>3</v>
      </c>
      <c r="I21" s="79"/>
      <c r="J21" s="79"/>
      <c r="K21" s="47">
        <v>20</v>
      </c>
      <c r="L21" s="47"/>
      <c r="M21" s="47">
        <v>14</v>
      </c>
      <c r="N21" s="47">
        <v>13</v>
      </c>
      <c r="O21" s="47">
        <v>14</v>
      </c>
      <c r="P21" s="47">
        <v>15</v>
      </c>
      <c r="Q21" s="47">
        <v>11</v>
      </c>
      <c r="R21" s="47">
        <v>13</v>
      </c>
      <c r="S21" s="47">
        <v>12</v>
      </c>
      <c r="T21" s="47">
        <v>13</v>
      </c>
      <c r="U21" s="47">
        <v>11</v>
      </c>
      <c r="V21" s="47">
        <v>14</v>
      </c>
      <c r="W21" s="47">
        <f t="shared" si="1"/>
        <v>13</v>
      </c>
      <c r="X21" s="47">
        <v>0</v>
      </c>
      <c r="Y21" s="47">
        <v>1</v>
      </c>
      <c r="Z21" s="47">
        <v>1</v>
      </c>
      <c r="AA21" s="47">
        <v>1</v>
      </c>
      <c r="AB21" s="47">
        <v>0</v>
      </c>
      <c r="AC21" s="47">
        <v>0</v>
      </c>
      <c r="AD21" s="47">
        <v>0</v>
      </c>
      <c r="AE21" s="47">
        <v>1</v>
      </c>
      <c r="AF21" s="47">
        <v>0</v>
      </c>
      <c r="AG21" s="47">
        <v>0</v>
      </c>
      <c r="AH21" s="139">
        <f t="shared" si="3"/>
        <v>0</v>
      </c>
      <c r="AI21" s="139">
        <f t="shared" si="3"/>
        <v>7.6923076923076925</v>
      </c>
      <c r="AJ21" s="139">
        <f t="shared" si="12"/>
        <v>7.1428571428571423</v>
      </c>
      <c r="AK21" s="139">
        <f t="shared" si="13"/>
        <v>6.666666666666667</v>
      </c>
      <c r="AL21" s="139">
        <f t="shared" si="14"/>
        <v>0</v>
      </c>
      <c r="AM21" s="139">
        <f t="shared" si="15"/>
        <v>0</v>
      </c>
      <c r="AN21" s="139">
        <f t="shared" si="16"/>
        <v>0</v>
      </c>
      <c r="AO21" s="139">
        <f t="shared" si="17"/>
        <v>7.6923076923076925</v>
      </c>
      <c r="AP21" s="139">
        <f t="shared" si="10"/>
        <v>0</v>
      </c>
      <c r="AQ21" s="139">
        <f t="shared" si="11"/>
        <v>0</v>
      </c>
      <c r="AR21" s="140">
        <f t="shared" si="2"/>
        <v>2.9194139194139197</v>
      </c>
    </row>
    <row r="22" spans="1:44" x14ac:dyDescent="0.35">
      <c r="A22" s="79" t="s">
        <v>24</v>
      </c>
      <c r="B22" s="79"/>
      <c r="C22" s="79"/>
      <c r="D22" s="79" t="s">
        <v>29</v>
      </c>
      <c r="E22" s="79"/>
      <c r="F22" s="79">
        <v>2</v>
      </c>
      <c r="G22" s="79">
        <v>5</v>
      </c>
      <c r="H22" s="79">
        <v>3</v>
      </c>
      <c r="I22" s="79"/>
      <c r="J22" s="79"/>
      <c r="K22" s="47">
        <v>21</v>
      </c>
      <c r="L22" s="47"/>
      <c r="M22" s="47">
        <v>14</v>
      </c>
      <c r="N22" s="47">
        <v>12</v>
      </c>
      <c r="O22" s="47">
        <v>17</v>
      </c>
      <c r="P22" s="47">
        <v>13</v>
      </c>
      <c r="Q22" s="47">
        <v>16</v>
      </c>
      <c r="R22" s="47">
        <v>16</v>
      </c>
      <c r="S22" s="47">
        <v>17</v>
      </c>
      <c r="T22" s="47">
        <v>16</v>
      </c>
      <c r="U22" s="47">
        <v>15</v>
      </c>
      <c r="V22" s="47">
        <v>16</v>
      </c>
      <c r="W22" s="47">
        <f t="shared" si="1"/>
        <v>15.2</v>
      </c>
      <c r="X22" s="47">
        <v>3</v>
      </c>
      <c r="Y22" s="47">
        <v>0</v>
      </c>
      <c r="Z22" s="47">
        <v>1</v>
      </c>
      <c r="AA22" s="47">
        <v>0</v>
      </c>
      <c r="AB22" s="47">
        <v>4</v>
      </c>
      <c r="AC22" s="47">
        <v>3</v>
      </c>
      <c r="AD22" s="47">
        <v>3</v>
      </c>
      <c r="AE22" s="47">
        <v>1</v>
      </c>
      <c r="AF22" s="47">
        <v>5</v>
      </c>
      <c r="AG22" s="47">
        <v>0</v>
      </c>
      <c r="AH22" s="139">
        <f t="shared" si="3"/>
        <v>21.428571428571427</v>
      </c>
      <c r="AI22" s="139">
        <f t="shared" si="3"/>
        <v>0</v>
      </c>
      <c r="AJ22" s="139">
        <f t="shared" si="12"/>
        <v>5.8823529411764701</v>
      </c>
      <c r="AK22" s="139">
        <f t="shared" si="13"/>
        <v>0</v>
      </c>
      <c r="AL22" s="139">
        <f t="shared" si="14"/>
        <v>25</v>
      </c>
      <c r="AM22" s="139">
        <f t="shared" si="15"/>
        <v>18.75</v>
      </c>
      <c r="AN22" s="139">
        <f t="shared" si="16"/>
        <v>17.647058823529413</v>
      </c>
      <c r="AO22" s="139">
        <f t="shared" si="17"/>
        <v>6.25</v>
      </c>
      <c r="AP22" s="139">
        <f t="shared" si="10"/>
        <v>33.333333333333329</v>
      </c>
      <c r="AQ22" s="139">
        <f t="shared" si="11"/>
        <v>0</v>
      </c>
      <c r="AR22" s="140">
        <f t="shared" si="2"/>
        <v>12.829131652661061</v>
      </c>
    </row>
    <row r="23" spans="1:44" x14ac:dyDescent="0.35">
      <c r="A23" s="79" t="s">
        <v>24</v>
      </c>
      <c r="B23" s="79"/>
      <c r="C23" s="79"/>
      <c r="D23" s="79" t="s">
        <v>337</v>
      </c>
      <c r="E23" s="79"/>
      <c r="F23" s="79">
        <v>2</v>
      </c>
      <c r="G23" s="79">
        <v>6</v>
      </c>
      <c r="H23" s="79">
        <v>3</v>
      </c>
      <c r="I23" s="79"/>
      <c r="J23" s="79"/>
      <c r="K23" s="47">
        <v>22</v>
      </c>
      <c r="L23" s="47"/>
      <c r="M23" s="47">
        <v>14</v>
      </c>
      <c r="N23" s="47">
        <v>15</v>
      </c>
      <c r="O23" s="47">
        <v>18</v>
      </c>
      <c r="P23" s="47">
        <v>17</v>
      </c>
      <c r="Q23" s="47">
        <v>17</v>
      </c>
      <c r="R23" s="47">
        <v>18</v>
      </c>
      <c r="S23" s="47">
        <v>12</v>
      </c>
      <c r="T23" s="47">
        <v>14</v>
      </c>
      <c r="U23" s="47">
        <v>15</v>
      </c>
      <c r="V23" s="47">
        <v>17</v>
      </c>
      <c r="W23" s="47">
        <f t="shared" si="1"/>
        <v>15.7</v>
      </c>
      <c r="X23" s="47">
        <v>2</v>
      </c>
      <c r="Y23" s="47">
        <v>1</v>
      </c>
      <c r="Z23" s="47">
        <v>2</v>
      </c>
      <c r="AA23" s="47">
        <v>0</v>
      </c>
      <c r="AB23" s="47">
        <v>3</v>
      </c>
      <c r="AC23" s="47">
        <v>1</v>
      </c>
      <c r="AD23" s="47">
        <v>5</v>
      </c>
      <c r="AE23" s="47">
        <v>0</v>
      </c>
      <c r="AF23" s="47">
        <v>0</v>
      </c>
      <c r="AG23" s="47">
        <v>2</v>
      </c>
      <c r="AH23" s="139">
        <f t="shared" si="3"/>
        <v>14.285714285714285</v>
      </c>
      <c r="AI23" s="139">
        <f t="shared" si="3"/>
        <v>6.666666666666667</v>
      </c>
      <c r="AJ23" s="139">
        <f t="shared" si="12"/>
        <v>11.111111111111111</v>
      </c>
      <c r="AK23" s="139">
        <f t="shared" si="13"/>
        <v>0</v>
      </c>
      <c r="AL23" s="139">
        <f t="shared" si="14"/>
        <v>17.647058823529413</v>
      </c>
      <c r="AM23" s="139">
        <f t="shared" si="15"/>
        <v>5.5555555555555554</v>
      </c>
      <c r="AN23" s="139">
        <f t="shared" si="16"/>
        <v>41.666666666666671</v>
      </c>
      <c r="AO23" s="139">
        <f t="shared" si="17"/>
        <v>0</v>
      </c>
      <c r="AP23" s="139">
        <f t="shared" si="10"/>
        <v>0</v>
      </c>
      <c r="AQ23" s="139">
        <f t="shared" si="11"/>
        <v>11.76470588235294</v>
      </c>
      <c r="AR23" s="140">
        <f t="shared" si="2"/>
        <v>10.869747899159664</v>
      </c>
    </row>
    <row r="24" spans="1:44" x14ac:dyDescent="0.35">
      <c r="A24" s="79" t="s">
        <v>24</v>
      </c>
      <c r="B24" s="79"/>
      <c r="C24" s="79"/>
      <c r="D24" s="79" t="s">
        <v>32</v>
      </c>
      <c r="E24" s="79"/>
      <c r="F24" s="79">
        <v>2</v>
      </c>
      <c r="G24" s="79">
        <v>7</v>
      </c>
      <c r="H24" s="79">
        <v>3</v>
      </c>
      <c r="I24" s="79"/>
      <c r="J24" s="79"/>
      <c r="K24" s="47">
        <v>23</v>
      </c>
      <c r="L24" s="47"/>
      <c r="M24" s="47">
        <v>15</v>
      </c>
      <c r="N24" s="47">
        <v>10</v>
      </c>
      <c r="O24" s="47">
        <v>15</v>
      </c>
      <c r="P24" s="47">
        <v>17</v>
      </c>
      <c r="Q24" s="47">
        <v>13</v>
      </c>
      <c r="R24" s="47">
        <v>20</v>
      </c>
      <c r="S24" s="47">
        <v>15</v>
      </c>
      <c r="T24" s="47">
        <v>12</v>
      </c>
      <c r="U24" s="47">
        <v>14</v>
      </c>
      <c r="V24" s="47">
        <v>12</v>
      </c>
      <c r="W24" s="47">
        <f t="shared" si="1"/>
        <v>14.3</v>
      </c>
      <c r="X24" s="47">
        <v>2</v>
      </c>
      <c r="Y24" s="47">
        <v>0</v>
      </c>
      <c r="Z24" s="47">
        <v>1</v>
      </c>
      <c r="AA24" s="47">
        <v>2</v>
      </c>
      <c r="AB24" s="47">
        <v>1</v>
      </c>
      <c r="AC24" s="47">
        <v>1</v>
      </c>
      <c r="AD24" s="47">
        <v>2</v>
      </c>
      <c r="AE24" s="47">
        <v>1</v>
      </c>
      <c r="AF24" s="47">
        <v>0</v>
      </c>
      <c r="AG24" s="47">
        <v>0</v>
      </c>
      <c r="AH24" s="139">
        <f t="shared" si="3"/>
        <v>13.333333333333334</v>
      </c>
      <c r="AI24" s="139">
        <f t="shared" si="3"/>
        <v>0</v>
      </c>
      <c r="AJ24" s="139">
        <f t="shared" si="12"/>
        <v>6.666666666666667</v>
      </c>
      <c r="AK24" s="139">
        <f t="shared" si="13"/>
        <v>11.76470588235294</v>
      </c>
      <c r="AL24" s="139">
        <f t="shared" si="14"/>
        <v>7.6923076923076925</v>
      </c>
      <c r="AM24" s="139">
        <f t="shared" si="15"/>
        <v>5</v>
      </c>
      <c r="AN24" s="139">
        <f t="shared" si="16"/>
        <v>13.333333333333334</v>
      </c>
      <c r="AO24" s="139">
        <f t="shared" si="17"/>
        <v>8.3333333333333321</v>
      </c>
      <c r="AP24" s="139">
        <f t="shared" si="10"/>
        <v>0</v>
      </c>
      <c r="AQ24" s="139">
        <f t="shared" si="11"/>
        <v>0</v>
      </c>
      <c r="AR24" s="140">
        <f t="shared" si="2"/>
        <v>6.6123680241327305</v>
      </c>
    </row>
    <row r="25" spans="1:44" x14ac:dyDescent="0.35">
      <c r="A25" s="79" t="s">
        <v>24</v>
      </c>
      <c r="B25" s="79"/>
      <c r="C25" s="79"/>
      <c r="D25" s="79" t="s">
        <v>27</v>
      </c>
      <c r="E25" s="79"/>
      <c r="F25" s="79">
        <v>2</v>
      </c>
      <c r="G25" s="79">
        <v>8</v>
      </c>
      <c r="H25" s="79">
        <v>3</v>
      </c>
      <c r="I25" s="79"/>
      <c r="J25" s="79"/>
      <c r="K25" s="47">
        <v>24</v>
      </c>
      <c r="L25" s="47"/>
      <c r="M25" s="47">
        <v>17</v>
      </c>
      <c r="N25" s="47">
        <v>20</v>
      </c>
      <c r="O25" s="47">
        <v>14</v>
      </c>
      <c r="P25" s="47">
        <v>16</v>
      </c>
      <c r="Q25" s="47">
        <v>13</v>
      </c>
      <c r="R25" s="47">
        <v>14</v>
      </c>
      <c r="S25" s="47">
        <v>10</v>
      </c>
      <c r="T25" s="47">
        <v>11</v>
      </c>
      <c r="U25" s="47">
        <v>12</v>
      </c>
      <c r="V25" s="47">
        <v>13</v>
      </c>
      <c r="W25" s="47">
        <f t="shared" si="1"/>
        <v>14</v>
      </c>
      <c r="X25" s="47">
        <v>1</v>
      </c>
      <c r="Y25" s="47">
        <v>1</v>
      </c>
      <c r="Z25" s="47">
        <v>1</v>
      </c>
      <c r="AA25" s="47">
        <v>3</v>
      </c>
      <c r="AB25" s="47">
        <v>3</v>
      </c>
      <c r="AC25" s="47">
        <v>0</v>
      </c>
      <c r="AD25" s="47">
        <v>1</v>
      </c>
      <c r="AE25" s="47">
        <v>3</v>
      </c>
      <c r="AF25" s="47">
        <v>2</v>
      </c>
      <c r="AG25" s="47">
        <v>2</v>
      </c>
      <c r="AH25" s="139">
        <f t="shared" si="3"/>
        <v>5.8823529411764701</v>
      </c>
      <c r="AI25" s="139">
        <f t="shared" si="3"/>
        <v>5</v>
      </c>
      <c r="AJ25" s="139">
        <f t="shared" si="12"/>
        <v>7.1428571428571423</v>
      </c>
      <c r="AK25" s="139">
        <f t="shared" si="13"/>
        <v>18.75</v>
      </c>
      <c r="AL25" s="139">
        <f t="shared" si="14"/>
        <v>23.076923076923077</v>
      </c>
      <c r="AM25" s="139">
        <f t="shared" si="15"/>
        <v>0</v>
      </c>
      <c r="AN25" s="139">
        <f t="shared" si="16"/>
        <v>10</v>
      </c>
      <c r="AO25" s="139">
        <f t="shared" si="17"/>
        <v>27.27272727272727</v>
      </c>
      <c r="AP25" s="139">
        <f t="shared" si="10"/>
        <v>16.666666666666664</v>
      </c>
      <c r="AQ25" s="139">
        <f t="shared" si="11"/>
        <v>15.384615384615385</v>
      </c>
      <c r="AR25" s="140">
        <f t="shared" si="2"/>
        <v>12.917614248496601</v>
      </c>
    </row>
    <row r="26" spans="1:44" x14ac:dyDescent="0.35">
      <c r="A26" s="71" t="s">
        <v>34</v>
      </c>
      <c r="B26" s="71"/>
      <c r="C26" s="72"/>
      <c r="D26" s="71" t="s">
        <v>343</v>
      </c>
      <c r="E26" s="71"/>
      <c r="F26" s="72">
        <v>2</v>
      </c>
      <c r="G26" s="72">
        <v>1</v>
      </c>
      <c r="H26" s="72">
        <v>4</v>
      </c>
      <c r="I26" s="72"/>
      <c r="J26" s="72"/>
      <c r="K26" s="47">
        <v>25</v>
      </c>
      <c r="L26" s="47"/>
      <c r="M26" s="47">
        <v>13</v>
      </c>
      <c r="N26" s="47">
        <v>14</v>
      </c>
      <c r="O26" s="47">
        <v>11</v>
      </c>
      <c r="P26" s="47">
        <v>9</v>
      </c>
      <c r="Q26" s="47">
        <v>8</v>
      </c>
      <c r="R26" s="47">
        <v>15</v>
      </c>
      <c r="S26" s="47">
        <v>11</v>
      </c>
      <c r="T26" s="47">
        <v>14</v>
      </c>
      <c r="U26" s="47">
        <v>10</v>
      </c>
      <c r="V26" s="47">
        <v>8</v>
      </c>
      <c r="W26" s="47">
        <f t="shared" si="1"/>
        <v>11.3</v>
      </c>
      <c r="X26" s="47">
        <v>1</v>
      </c>
      <c r="Y26" s="47">
        <v>1</v>
      </c>
      <c r="Z26" s="47">
        <v>0</v>
      </c>
      <c r="AA26" s="47">
        <v>0</v>
      </c>
      <c r="AB26" s="47">
        <v>0</v>
      </c>
      <c r="AC26" s="47">
        <v>0</v>
      </c>
      <c r="AD26" s="47">
        <v>0</v>
      </c>
      <c r="AE26" s="47">
        <v>2</v>
      </c>
      <c r="AF26" s="47">
        <v>0</v>
      </c>
      <c r="AG26" s="47">
        <v>0</v>
      </c>
      <c r="AH26" s="139">
        <f t="shared" si="3"/>
        <v>7.6923076923076925</v>
      </c>
      <c r="AI26" s="139">
        <f t="shared" si="3"/>
        <v>7.1428571428571423</v>
      </c>
      <c r="AJ26" s="139">
        <f t="shared" si="12"/>
        <v>0</v>
      </c>
      <c r="AK26" s="139">
        <f t="shared" si="13"/>
        <v>0</v>
      </c>
      <c r="AL26" s="139">
        <f t="shared" si="14"/>
        <v>0</v>
      </c>
      <c r="AM26" s="139">
        <f t="shared" si="15"/>
        <v>0</v>
      </c>
      <c r="AN26" s="139">
        <f t="shared" si="16"/>
        <v>0</v>
      </c>
      <c r="AO26" s="139">
        <f t="shared" si="17"/>
        <v>14.285714285714285</v>
      </c>
      <c r="AP26" s="139">
        <f t="shared" si="10"/>
        <v>0</v>
      </c>
      <c r="AQ26" s="139">
        <f t="shared" si="11"/>
        <v>0</v>
      </c>
      <c r="AR26" s="140">
        <f t="shared" si="2"/>
        <v>2.912087912087912</v>
      </c>
    </row>
    <row r="27" spans="1:44" x14ac:dyDescent="0.35">
      <c r="A27" s="6" t="s">
        <v>34</v>
      </c>
      <c r="D27" s="6" t="s">
        <v>43</v>
      </c>
      <c r="F27" s="6">
        <v>2</v>
      </c>
      <c r="G27" s="6">
        <v>2</v>
      </c>
      <c r="H27" s="6">
        <v>4</v>
      </c>
      <c r="K27" s="47">
        <v>26</v>
      </c>
      <c r="L27" s="47"/>
      <c r="M27" s="47">
        <v>16</v>
      </c>
      <c r="N27" s="47">
        <v>14</v>
      </c>
      <c r="O27" s="47">
        <v>16</v>
      </c>
      <c r="P27" s="47">
        <v>16</v>
      </c>
      <c r="Q27" s="47">
        <v>18</v>
      </c>
      <c r="R27" s="47">
        <v>12</v>
      </c>
      <c r="S27" s="47">
        <v>13</v>
      </c>
      <c r="T27" s="47">
        <v>15</v>
      </c>
      <c r="U27" s="47">
        <v>13</v>
      </c>
      <c r="V27" s="47">
        <v>11</v>
      </c>
      <c r="W27" s="47">
        <f t="shared" si="1"/>
        <v>14.4</v>
      </c>
      <c r="X27" s="47">
        <v>0</v>
      </c>
      <c r="Y27" s="47">
        <v>0</v>
      </c>
      <c r="Z27" s="47">
        <v>1</v>
      </c>
      <c r="AA27" s="47">
        <v>0</v>
      </c>
      <c r="AB27" s="47">
        <v>1</v>
      </c>
      <c r="AC27" s="47">
        <v>1</v>
      </c>
      <c r="AD27" s="47">
        <v>1</v>
      </c>
      <c r="AE27" s="47">
        <v>0</v>
      </c>
      <c r="AF27" s="47">
        <v>0</v>
      </c>
      <c r="AG27" s="47">
        <v>1</v>
      </c>
      <c r="AH27" s="139">
        <f t="shared" si="3"/>
        <v>0</v>
      </c>
      <c r="AI27" s="139">
        <f t="shared" si="3"/>
        <v>0</v>
      </c>
      <c r="AJ27" s="139">
        <f t="shared" si="12"/>
        <v>6.25</v>
      </c>
      <c r="AK27" s="139">
        <f t="shared" si="13"/>
        <v>0</v>
      </c>
      <c r="AL27" s="139">
        <f t="shared" si="14"/>
        <v>5.5555555555555554</v>
      </c>
      <c r="AM27" s="139">
        <f t="shared" si="15"/>
        <v>8.3333333333333321</v>
      </c>
      <c r="AN27" s="139">
        <f t="shared" si="16"/>
        <v>7.6923076923076925</v>
      </c>
      <c r="AO27" s="139">
        <f t="shared" si="17"/>
        <v>0</v>
      </c>
      <c r="AP27" s="139">
        <f t="shared" si="10"/>
        <v>0</v>
      </c>
      <c r="AQ27" s="139">
        <f t="shared" si="11"/>
        <v>9.0909090909090917</v>
      </c>
      <c r="AR27" s="140">
        <f t="shared" si="2"/>
        <v>3.6922105672105672</v>
      </c>
    </row>
    <row r="28" spans="1:44" x14ac:dyDescent="0.35">
      <c r="A28" s="6" t="s">
        <v>34</v>
      </c>
      <c r="D28" s="6" t="s">
        <v>38</v>
      </c>
      <c r="F28" s="6">
        <v>2</v>
      </c>
      <c r="G28" s="6">
        <v>3</v>
      </c>
      <c r="H28" s="6">
        <v>4</v>
      </c>
      <c r="K28" s="47">
        <v>27</v>
      </c>
      <c r="L28" s="47"/>
      <c r="M28" s="47">
        <v>11</v>
      </c>
      <c r="N28" s="47">
        <v>13</v>
      </c>
      <c r="O28" s="47">
        <v>10</v>
      </c>
      <c r="P28" s="47">
        <v>16</v>
      </c>
      <c r="Q28" s="47">
        <v>14</v>
      </c>
      <c r="R28" s="47">
        <v>14</v>
      </c>
      <c r="S28" s="47">
        <v>9</v>
      </c>
      <c r="T28" s="47">
        <v>9</v>
      </c>
      <c r="U28" s="47">
        <v>14</v>
      </c>
      <c r="V28" s="47">
        <v>17</v>
      </c>
      <c r="W28" s="47">
        <f t="shared" si="1"/>
        <v>12.7</v>
      </c>
      <c r="X28" s="47">
        <v>2</v>
      </c>
      <c r="Y28" s="47">
        <v>1</v>
      </c>
      <c r="Z28" s="47">
        <v>1</v>
      </c>
      <c r="AA28" s="47">
        <v>0</v>
      </c>
      <c r="AB28" s="47">
        <v>0</v>
      </c>
      <c r="AC28" s="47">
        <v>1</v>
      </c>
      <c r="AD28" s="47">
        <v>0</v>
      </c>
      <c r="AE28" s="47">
        <v>0</v>
      </c>
      <c r="AF28" s="47">
        <v>2</v>
      </c>
      <c r="AG28" s="47">
        <v>1</v>
      </c>
      <c r="AH28" s="139">
        <f t="shared" si="3"/>
        <v>18.181818181818183</v>
      </c>
      <c r="AI28" s="139">
        <f t="shared" si="3"/>
        <v>7.6923076923076925</v>
      </c>
      <c r="AJ28" s="139">
        <f t="shared" si="12"/>
        <v>10</v>
      </c>
      <c r="AK28" s="139">
        <f t="shared" si="13"/>
        <v>0</v>
      </c>
      <c r="AL28" s="139">
        <f t="shared" si="14"/>
        <v>0</v>
      </c>
      <c r="AM28" s="139">
        <f t="shared" si="15"/>
        <v>7.1428571428571423</v>
      </c>
      <c r="AN28" s="139">
        <f t="shared" si="16"/>
        <v>0</v>
      </c>
      <c r="AO28" s="139">
        <f t="shared" si="17"/>
        <v>0</v>
      </c>
      <c r="AP28" s="139">
        <f t="shared" si="10"/>
        <v>14.285714285714285</v>
      </c>
      <c r="AQ28" s="139">
        <f t="shared" si="11"/>
        <v>5.8823529411764701</v>
      </c>
      <c r="AR28" s="140">
        <f t="shared" si="2"/>
        <v>6.3185050243873775</v>
      </c>
    </row>
    <row r="29" spans="1:44" x14ac:dyDescent="0.35">
      <c r="A29" s="6" t="s">
        <v>34</v>
      </c>
      <c r="D29" s="6" t="s">
        <v>39</v>
      </c>
      <c r="F29" s="6">
        <v>2</v>
      </c>
      <c r="G29" s="6">
        <v>4</v>
      </c>
      <c r="H29" s="6">
        <v>4</v>
      </c>
      <c r="K29" s="47">
        <v>28</v>
      </c>
      <c r="L29" s="47"/>
      <c r="M29" s="47">
        <v>14</v>
      </c>
      <c r="N29" s="47">
        <v>9</v>
      </c>
      <c r="O29" s="47">
        <v>11</v>
      </c>
      <c r="P29" s="47">
        <v>17</v>
      </c>
      <c r="Q29" s="47">
        <v>13</v>
      </c>
      <c r="R29" s="47">
        <v>13</v>
      </c>
      <c r="S29" s="47">
        <v>14</v>
      </c>
      <c r="T29" s="47">
        <v>9</v>
      </c>
      <c r="U29" s="47">
        <v>9</v>
      </c>
      <c r="V29" s="47">
        <v>17</v>
      </c>
      <c r="W29" s="47">
        <f t="shared" si="1"/>
        <v>12.6</v>
      </c>
      <c r="X29" s="47">
        <v>2</v>
      </c>
      <c r="Y29" s="47">
        <v>2</v>
      </c>
      <c r="Z29" s="47">
        <v>1</v>
      </c>
      <c r="AA29" s="47">
        <v>0</v>
      </c>
      <c r="AB29" s="47">
        <v>0</v>
      </c>
      <c r="AC29" s="47">
        <v>3</v>
      </c>
      <c r="AD29" s="47">
        <v>0</v>
      </c>
      <c r="AE29" s="47">
        <v>3</v>
      </c>
      <c r="AF29" s="47">
        <v>1</v>
      </c>
      <c r="AG29" s="47">
        <v>6</v>
      </c>
      <c r="AH29" s="139">
        <f t="shared" si="3"/>
        <v>14.285714285714285</v>
      </c>
      <c r="AI29" s="139">
        <f t="shared" si="3"/>
        <v>22.222222222222221</v>
      </c>
      <c r="AJ29" s="139">
        <f t="shared" si="12"/>
        <v>9.0909090909090917</v>
      </c>
      <c r="AK29" s="139">
        <f t="shared" si="13"/>
        <v>0</v>
      </c>
      <c r="AL29" s="139">
        <f t="shared" si="14"/>
        <v>0</v>
      </c>
      <c r="AM29" s="139">
        <f t="shared" si="15"/>
        <v>23.076923076923077</v>
      </c>
      <c r="AN29" s="139">
        <f t="shared" si="16"/>
        <v>0</v>
      </c>
      <c r="AO29" s="139">
        <f t="shared" si="17"/>
        <v>33.333333333333329</v>
      </c>
      <c r="AP29" s="139">
        <f t="shared" si="10"/>
        <v>11.111111111111111</v>
      </c>
      <c r="AQ29" s="139">
        <f t="shared" si="11"/>
        <v>35.294117647058826</v>
      </c>
      <c r="AR29" s="140">
        <f t="shared" si="2"/>
        <v>14.841433076727196</v>
      </c>
    </row>
    <row r="30" spans="1:44" x14ac:dyDescent="0.35">
      <c r="A30" s="6" t="s">
        <v>34</v>
      </c>
      <c r="D30" s="6" t="s">
        <v>42</v>
      </c>
      <c r="F30" s="6">
        <v>2</v>
      </c>
      <c r="G30" s="6">
        <v>5</v>
      </c>
      <c r="H30" s="6">
        <v>4</v>
      </c>
      <c r="K30" s="47">
        <v>29</v>
      </c>
      <c r="L30" s="47"/>
      <c r="M30" s="47">
        <v>15</v>
      </c>
      <c r="N30" s="47">
        <v>13</v>
      </c>
      <c r="O30" s="47">
        <v>12</v>
      </c>
      <c r="P30" s="47">
        <v>13</v>
      </c>
      <c r="Q30" s="47">
        <v>14</v>
      </c>
      <c r="R30" s="47">
        <v>12</v>
      </c>
      <c r="S30" s="47">
        <v>15</v>
      </c>
      <c r="T30" s="47">
        <v>13</v>
      </c>
      <c r="U30" s="47">
        <v>7</v>
      </c>
      <c r="V30" s="47">
        <v>16</v>
      </c>
      <c r="W30" s="47">
        <f t="shared" si="1"/>
        <v>13</v>
      </c>
      <c r="X30" s="47">
        <v>0</v>
      </c>
      <c r="Y30" s="47">
        <v>0</v>
      </c>
      <c r="Z30" s="47">
        <v>1</v>
      </c>
      <c r="AA30" s="47">
        <v>1</v>
      </c>
      <c r="AB30" s="47">
        <v>1</v>
      </c>
      <c r="AC30" s="47">
        <v>1</v>
      </c>
      <c r="AD30" s="47">
        <v>1</v>
      </c>
      <c r="AE30" s="47">
        <v>0</v>
      </c>
      <c r="AF30" s="47">
        <v>0</v>
      </c>
      <c r="AG30" s="47">
        <v>1</v>
      </c>
      <c r="AH30" s="139">
        <f t="shared" si="3"/>
        <v>0</v>
      </c>
      <c r="AI30" s="139">
        <f t="shared" si="3"/>
        <v>0</v>
      </c>
      <c r="AJ30" s="139">
        <f t="shared" si="12"/>
        <v>8.3333333333333321</v>
      </c>
      <c r="AK30" s="139">
        <f t="shared" si="13"/>
        <v>7.6923076923076925</v>
      </c>
      <c r="AL30" s="139">
        <f t="shared" si="14"/>
        <v>7.1428571428571423</v>
      </c>
      <c r="AM30" s="139">
        <f t="shared" si="15"/>
        <v>8.3333333333333321</v>
      </c>
      <c r="AN30" s="139">
        <f t="shared" si="16"/>
        <v>6.666666666666667</v>
      </c>
      <c r="AO30" s="139">
        <f t="shared" si="17"/>
        <v>0</v>
      </c>
      <c r="AP30" s="139">
        <f t="shared" si="10"/>
        <v>0</v>
      </c>
      <c r="AQ30" s="139">
        <f t="shared" si="11"/>
        <v>6.25</v>
      </c>
      <c r="AR30" s="140">
        <f t="shared" si="2"/>
        <v>4.4418498168498166</v>
      </c>
    </row>
    <row r="31" spans="1:44" x14ac:dyDescent="0.35">
      <c r="A31" s="6" t="s">
        <v>34</v>
      </c>
      <c r="D31" s="6" t="s">
        <v>36</v>
      </c>
      <c r="F31" s="6">
        <v>2</v>
      </c>
      <c r="G31" s="6">
        <v>6</v>
      </c>
      <c r="H31" s="6">
        <v>4</v>
      </c>
      <c r="K31" s="47">
        <v>30</v>
      </c>
      <c r="L31" s="47"/>
      <c r="M31" s="47">
        <v>14</v>
      </c>
      <c r="N31" s="47">
        <v>9</v>
      </c>
      <c r="O31" s="47">
        <v>17</v>
      </c>
      <c r="P31" s="47">
        <v>18</v>
      </c>
      <c r="Q31" s="47">
        <v>16</v>
      </c>
      <c r="R31" s="47">
        <v>10</v>
      </c>
      <c r="S31" s="47">
        <v>12</v>
      </c>
      <c r="T31" s="47">
        <v>16</v>
      </c>
      <c r="U31" s="47">
        <v>9</v>
      </c>
      <c r="V31" s="47">
        <v>16</v>
      </c>
      <c r="W31" s="47">
        <f t="shared" si="1"/>
        <v>13.7</v>
      </c>
      <c r="X31" s="47">
        <v>1</v>
      </c>
      <c r="Y31" s="47">
        <v>0</v>
      </c>
      <c r="Z31" s="47">
        <v>2</v>
      </c>
      <c r="AA31" s="47">
        <v>0</v>
      </c>
      <c r="AB31" s="47">
        <v>0</v>
      </c>
      <c r="AC31" s="47">
        <v>0</v>
      </c>
      <c r="AD31" s="47">
        <v>2</v>
      </c>
      <c r="AE31" s="47">
        <v>0</v>
      </c>
      <c r="AF31" s="47">
        <v>0</v>
      </c>
      <c r="AG31" s="47">
        <v>0</v>
      </c>
      <c r="AH31" s="139">
        <f t="shared" si="3"/>
        <v>7.1428571428571423</v>
      </c>
      <c r="AI31" s="139">
        <f t="shared" si="3"/>
        <v>0</v>
      </c>
      <c r="AJ31" s="139">
        <f t="shared" si="12"/>
        <v>11.76470588235294</v>
      </c>
      <c r="AK31" s="139">
        <f t="shared" si="13"/>
        <v>0</v>
      </c>
      <c r="AL31" s="139">
        <f t="shared" si="14"/>
        <v>0</v>
      </c>
      <c r="AM31" s="139">
        <f t="shared" si="15"/>
        <v>0</v>
      </c>
      <c r="AN31" s="139">
        <f t="shared" si="16"/>
        <v>16.666666666666664</v>
      </c>
      <c r="AO31" s="139">
        <f t="shared" si="17"/>
        <v>0</v>
      </c>
      <c r="AP31" s="139">
        <f t="shared" si="10"/>
        <v>0</v>
      </c>
      <c r="AQ31" s="139">
        <f t="shared" si="11"/>
        <v>0</v>
      </c>
      <c r="AR31" s="140">
        <f t="shared" si="2"/>
        <v>3.5574229691876744</v>
      </c>
    </row>
    <row r="32" spans="1:44" x14ac:dyDescent="0.35">
      <c r="A32" s="6" t="s">
        <v>34</v>
      </c>
      <c r="D32" s="6" t="s">
        <v>41</v>
      </c>
      <c r="F32" s="6">
        <v>2</v>
      </c>
      <c r="G32" s="6">
        <v>7</v>
      </c>
      <c r="H32" s="6">
        <v>4</v>
      </c>
      <c r="K32" s="47">
        <v>31</v>
      </c>
      <c r="L32" s="47"/>
      <c r="M32" s="47">
        <v>14</v>
      </c>
      <c r="N32" s="47">
        <v>13</v>
      </c>
      <c r="O32" s="47">
        <v>11</v>
      </c>
      <c r="P32" s="47">
        <v>11</v>
      </c>
      <c r="Q32" s="47">
        <v>15</v>
      </c>
      <c r="R32" s="47">
        <v>17</v>
      </c>
      <c r="S32" s="47">
        <v>14</v>
      </c>
      <c r="T32" s="47">
        <v>16</v>
      </c>
      <c r="U32" s="47">
        <v>14</v>
      </c>
      <c r="V32" s="47">
        <v>14</v>
      </c>
      <c r="W32" s="47">
        <f t="shared" si="1"/>
        <v>13.9</v>
      </c>
      <c r="X32" s="47">
        <v>8</v>
      </c>
      <c r="Y32" s="47">
        <v>4</v>
      </c>
      <c r="Z32" s="47">
        <v>2</v>
      </c>
      <c r="AA32" s="47">
        <v>2</v>
      </c>
      <c r="AB32" s="47">
        <v>1</v>
      </c>
      <c r="AC32" s="47">
        <v>17</v>
      </c>
      <c r="AD32" s="47">
        <v>2</v>
      </c>
      <c r="AE32" s="47">
        <v>1</v>
      </c>
      <c r="AF32" s="47">
        <v>0</v>
      </c>
      <c r="AG32" s="47">
        <v>2</v>
      </c>
      <c r="AH32" s="139">
        <f t="shared" si="3"/>
        <v>57.142857142857139</v>
      </c>
      <c r="AI32" s="139">
        <f t="shared" si="3"/>
        <v>30.76923076923077</v>
      </c>
      <c r="AJ32" s="139">
        <f t="shared" si="12"/>
        <v>18.181818181818183</v>
      </c>
      <c r="AK32" s="139">
        <f t="shared" si="13"/>
        <v>18.181818181818183</v>
      </c>
      <c r="AL32" s="139">
        <f t="shared" si="14"/>
        <v>6.666666666666667</v>
      </c>
      <c r="AM32" s="139">
        <f t="shared" si="15"/>
        <v>100</v>
      </c>
      <c r="AN32" s="139">
        <f t="shared" si="16"/>
        <v>14.285714285714285</v>
      </c>
      <c r="AO32" s="139">
        <f t="shared" si="17"/>
        <v>6.25</v>
      </c>
      <c r="AP32" s="139">
        <f t="shared" si="10"/>
        <v>0</v>
      </c>
      <c r="AQ32" s="139">
        <f t="shared" si="11"/>
        <v>14.285714285714285</v>
      </c>
      <c r="AR32" s="140">
        <f t="shared" si="2"/>
        <v>26.576381951381951</v>
      </c>
    </row>
    <row r="33" spans="1:44" x14ac:dyDescent="0.35">
      <c r="A33" s="6" t="s">
        <v>34</v>
      </c>
      <c r="D33" s="6" t="s">
        <v>37</v>
      </c>
      <c r="F33" s="6">
        <v>2</v>
      </c>
      <c r="G33" s="6">
        <v>8</v>
      </c>
      <c r="H33" s="6">
        <v>4</v>
      </c>
      <c r="K33" s="47">
        <v>32</v>
      </c>
      <c r="L33" s="47"/>
      <c r="M33" s="47">
        <v>15</v>
      </c>
      <c r="N33" s="47">
        <v>14</v>
      </c>
      <c r="O33" s="47">
        <v>12</v>
      </c>
      <c r="P33" s="47">
        <v>9</v>
      </c>
      <c r="Q33" s="47">
        <v>12</v>
      </c>
      <c r="R33" s="47">
        <v>12</v>
      </c>
      <c r="S33" s="47">
        <v>12</v>
      </c>
      <c r="T33" s="47">
        <v>11</v>
      </c>
      <c r="U33" s="47">
        <v>6</v>
      </c>
      <c r="V33" s="47">
        <v>6</v>
      </c>
      <c r="W33" s="47">
        <f t="shared" si="1"/>
        <v>10.9</v>
      </c>
      <c r="X33" s="47">
        <v>1</v>
      </c>
      <c r="Y33" s="47">
        <v>0</v>
      </c>
      <c r="Z33" s="47">
        <v>0</v>
      </c>
      <c r="AA33" s="47">
        <v>0</v>
      </c>
      <c r="AB33" s="47">
        <v>1</v>
      </c>
      <c r="AC33" s="47">
        <v>0</v>
      </c>
      <c r="AD33" s="47">
        <v>0</v>
      </c>
      <c r="AE33" s="47">
        <v>0</v>
      </c>
      <c r="AF33" s="47">
        <v>0</v>
      </c>
      <c r="AG33" s="47">
        <v>0</v>
      </c>
      <c r="AH33" s="139">
        <f t="shared" si="3"/>
        <v>6.666666666666667</v>
      </c>
      <c r="AI33" s="139">
        <f t="shared" si="3"/>
        <v>0</v>
      </c>
      <c r="AJ33" s="139">
        <f t="shared" si="12"/>
        <v>0</v>
      </c>
      <c r="AK33" s="139">
        <f t="shared" si="13"/>
        <v>0</v>
      </c>
      <c r="AL33" s="139">
        <f t="shared" si="14"/>
        <v>8.3333333333333321</v>
      </c>
      <c r="AM33" s="139">
        <f t="shared" si="15"/>
        <v>0</v>
      </c>
      <c r="AN33" s="139">
        <f t="shared" si="16"/>
        <v>0</v>
      </c>
      <c r="AO33" s="139">
        <f t="shared" si="17"/>
        <v>0</v>
      </c>
      <c r="AP33" s="139">
        <f t="shared" si="10"/>
        <v>0</v>
      </c>
      <c r="AQ33" s="139">
        <f t="shared" si="11"/>
        <v>0</v>
      </c>
      <c r="AR33" s="140">
        <f t="shared" si="2"/>
        <v>1.5</v>
      </c>
    </row>
    <row r="34" spans="1:44" x14ac:dyDescent="0.35">
      <c r="A34" s="79" t="s">
        <v>24</v>
      </c>
      <c r="B34" s="79"/>
      <c r="C34" s="79"/>
      <c r="D34" s="79" t="s">
        <v>336</v>
      </c>
      <c r="E34" s="79"/>
      <c r="F34" s="79">
        <v>3</v>
      </c>
      <c r="G34" s="79">
        <v>1</v>
      </c>
      <c r="H34" s="79">
        <v>5</v>
      </c>
      <c r="I34" s="79"/>
      <c r="J34" s="79"/>
      <c r="K34" s="47">
        <v>33</v>
      </c>
      <c r="L34" s="47"/>
      <c r="M34" s="47">
        <v>10</v>
      </c>
      <c r="N34" s="47">
        <v>18</v>
      </c>
      <c r="O34" s="47">
        <v>10</v>
      </c>
      <c r="P34" s="47">
        <v>14</v>
      </c>
      <c r="Q34" s="47">
        <v>17</v>
      </c>
      <c r="R34" s="47">
        <v>13</v>
      </c>
      <c r="S34" s="47">
        <v>14</v>
      </c>
      <c r="T34" s="47">
        <v>17</v>
      </c>
      <c r="U34" s="47">
        <v>16</v>
      </c>
      <c r="V34" s="47">
        <v>14</v>
      </c>
      <c r="W34" s="47">
        <f t="shared" si="1"/>
        <v>14.3</v>
      </c>
      <c r="X34" s="47">
        <v>3</v>
      </c>
      <c r="Y34" s="47">
        <v>0</v>
      </c>
      <c r="Z34" s="47">
        <v>2</v>
      </c>
      <c r="AA34" s="47">
        <v>0</v>
      </c>
      <c r="AB34" s="47">
        <v>0</v>
      </c>
      <c r="AC34" s="47">
        <v>0</v>
      </c>
      <c r="AD34" s="47">
        <v>2</v>
      </c>
      <c r="AE34" s="47">
        <v>2</v>
      </c>
      <c r="AF34" s="47">
        <v>1</v>
      </c>
      <c r="AG34" s="47">
        <v>1</v>
      </c>
      <c r="AH34" s="139">
        <f t="shared" si="3"/>
        <v>30</v>
      </c>
      <c r="AI34" s="139">
        <f t="shared" si="3"/>
        <v>0</v>
      </c>
      <c r="AJ34" s="139">
        <f t="shared" si="12"/>
        <v>20</v>
      </c>
      <c r="AK34" s="139">
        <f t="shared" si="13"/>
        <v>0</v>
      </c>
      <c r="AL34" s="139">
        <f t="shared" si="14"/>
        <v>0</v>
      </c>
      <c r="AM34" s="139">
        <f t="shared" si="15"/>
        <v>0</v>
      </c>
      <c r="AN34" s="139">
        <f t="shared" si="16"/>
        <v>14.285714285714285</v>
      </c>
      <c r="AO34" s="139">
        <f t="shared" si="17"/>
        <v>11.76470588235294</v>
      </c>
      <c r="AP34" s="139">
        <f t="shared" si="10"/>
        <v>6.25</v>
      </c>
      <c r="AQ34" s="139">
        <f t="shared" si="11"/>
        <v>7.1428571428571423</v>
      </c>
      <c r="AR34" s="140">
        <f t="shared" si="2"/>
        <v>8.9443277310924358</v>
      </c>
    </row>
    <row r="35" spans="1:44" x14ac:dyDescent="0.35">
      <c r="A35" s="79" t="s">
        <v>24</v>
      </c>
      <c r="B35" s="79"/>
      <c r="C35" s="79"/>
      <c r="D35" s="79" t="s">
        <v>337</v>
      </c>
      <c r="E35" s="79"/>
      <c r="F35" s="79">
        <v>3</v>
      </c>
      <c r="G35" s="79">
        <v>2</v>
      </c>
      <c r="H35" s="79">
        <v>5</v>
      </c>
      <c r="I35" s="79"/>
      <c r="J35" s="79"/>
      <c r="K35" s="47">
        <v>34</v>
      </c>
      <c r="L35" s="47"/>
      <c r="M35" s="47">
        <v>15</v>
      </c>
      <c r="N35" s="47">
        <v>15</v>
      </c>
      <c r="O35" s="47">
        <v>12</v>
      </c>
      <c r="P35" s="47">
        <v>11</v>
      </c>
      <c r="Q35" s="47">
        <v>15</v>
      </c>
      <c r="R35" s="47">
        <v>20</v>
      </c>
      <c r="S35" s="47">
        <v>19</v>
      </c>
      <c r="T35" s="47">
        <v>16</v>
      </c>
      <c r="U35" s="47">
        <v>12</v>
      </c>
      <c r="V35" s="47">
        <v>19</v>
      </c>
      <c r="W35" s="47">
        <f t="shared" si="1"/>
        <v>15.4</v>
      </c>
      <c r="X35" s="47">
        <v>3</v>
      </c>
      <c r="Y35" s="47">
        <v>1</v>
      </c>
      <c r="Z35" s="47">
        <v>1</v>
      </c>
      <c r="AA35" s="47">
        <v>1</v>
      </c>
      <c r="AB35" s="47">
        <v>0</v>
      </c>
      <c r="AC35" s="47">
        <v>1</v>
      </c>
      <c r="AD35" s="47">
        <v>1</v>
      </c>
      <c r="AE35" s="47">
        <v>0</v>
      </c>
      <c r="AF35" s="47">
        <v>2</v>
      </c>
      <c r="AG35" s="47">
        <v>1</v>
      </c>
      <c r="AH35" s="139">
        <f t="shared" si="3"/>
        <v>20</v>
      </c>
      <c r="AI35" s="139">
        <f t="shared" si="3"/>
        <v>6.666666666666667</v>
      </c>
      <c r="AJ35" s="139">
        <f t="shared" si="12"/>
        <v>8.3333333333333321</v>
      </c>
      <c r="AK35" s="139">
        <f t="shared" si="13"/>
        <v>9.0909090909090917</v>
      </c>
      <c r="AL35" s="139">
        <f t="shared" si="14"/>
        <v>0</v>
      </c>
      <c r="AM35" s="139">
        <f t="shared" si="15"/>
        <v>5</v>
      </c>
      <c r="AN35" s="139">
        <f t="shared" si="16"/>
        <v>5.2631578947368416</v>
      </c>
      <c r="AO35" s="139">
        <f t="shared" si="17"/>
        <v>0</v>
      </c>
      <c r="AP35" s="139">
        <f t="shared" si="10"/>
        <v>16.666666666666664</v>
      </c>
      <c r="AQ35" s="139">
        <f t="shared" si="11"/>
        <v>5.2631578947368416</v>
      </c>
      <c r="AR35" s="140">
        <f t="shared" si="2"/>
        <v>7.6283891547049434</v>
      </c>
    </row>
    <row r="36" spans="1:44" x14ac:dyDescent="0.35">
      <c r="A36" s="79" t="s">
        <v>24</v>
      </c>
      <c r="B36" s="79"/>
      <c r="C36" s="79"/>
      <c r="D36" s="79" t="s">
        <v>32</v>
      </c>
      <c r="E36" s="79"/>
      <c r="F36" s="79">
        <v>3</v>
      </c>
      <c r="G36" s="79">
        <v>3</v>
      </c>
      <c r="H36" s="79">
        <v>5</v>
      </c>
      <c r="I36" s="79"/>
      <c r="J36" s="79"/>
      <c r="K36" s="47">
        <v>35</v>
      </c>
      <c r="L36" s="47"/>
      <c r="M36" s="47">
        <v>11</v>
      </c>
      <c r="N36" s="47">
        <v>16</v>
      </c>
      <c r="O36" s="47">
        <v>17</v>
      </c>
      <c r="P36" s="47">
        <v>9</v>
      </c>
      <c r="Q36" s="47">
        <v>16</v>
      </c>
      <c r="R36" s="47">
        <v>12</v>
      </c>
      <c r="S36" s="47">
        <v>11</v>
      </c>
      <c r="T36" s="47">
        <v>14</v>
      </c>
      <c r="U36" s="47">
        <v>11</v>
      </c>
      <c r="V36" s="47">
        <v>11</v>
      </c>
      <c r="W36" s="47">
        <f t="shared" si="1"/>
        <v>12.8</v>
      </c>
      <c r="X36" s="47">
        <v>0</v>
      </c>
      <c r="Y36" s="47">
        <v>1</v>
      </c>
      <c r="Z36" s="47">
        <v>0</v>
      </c>
      <c r="AA36" s="47">
        <v>0</v>
      </c>
      <c r="AB36" s="47">
        <v>0</v>
      </c>
      <c r="AC36" s="47">
        <v>0</v>
      </c>
      <c r="AD36" s="47">
        <v>0</v>
      </c>
      <c r="AE36" s="47">
        <v>1</v>
      </c>
      <c r="AF36" s="47">
        <v>2</v>
      </c>
      <c r="AG36" s="47">
        <v>0</v>
      </c>
      <c r="AH36" s="139">
        <f t="shared" si="3"/>
        <v>0</v>
      </c>
      <c r="AI36" s="139">
        <f t="shared" si="3"/>
        <v>6.25</v>
      </c>
      <c r="AJ36" s="139">
        <f t="shared" si="12"/>
        <v>0</v>
      </c>
      <c r="AK36" s="139">
        <f t="shared" si="13"/>
        <v>0</v>
      </c>
      <c r="AL36" s="139">
        <f t="shared" si="14"/>
        <v>0</v>
      </c>
      <c r="AM36" s="139">
        <f t="shared" si="15"/>
        <v>0</v>
      </c>
      <c r="AN36" s="139">
        <f t="shared" si="16"/>
        <v>0</v>
      </c>
      <c r="AO36" s="139">
        <f t="shared" si="17"/>
        <v>7.1428571428571423</v>
      </c>
      <c r="AP36" s="139">
        <f t="shared" si="10"/>
        <v>18.181818181818183</v>
      </c>
      <c r="AQ36" s="139">
        <f t="shared" si="11"/>
        <v>0</v>
      </c>
      <c r="AR36" s="140">
        <f t="shared" si="2"/>
        <v>3.1574675324675328</v>
      </c>
    </row>
    <row r="37" spans="1:44" x14ac:dyDescent="0.35">
      <c r="A37" s="79" t="s">
        <v>24</v>
      </c>
      <c r="B37" s="79"/>
      <c r="C37" s="79"/>
      <c r="D37" s="79" t="s">
        <v>28</v>
      </c>
      <c r="E37" s="79"/>
      <c r="F37" s="79">
        <v>3</v>
      </c>
      <c r="G37" s="79">
        <v>4</v>
      </c>
      <c r="H37" s="79">
        <v>5</v>
      </c>
      <c r="I37" s="79"/>
      <c r="J37" s="79"/>
      <c r="K37" s="47">
        <v>36</v>
      </c>
      <c r="L37" s="47"/>
      <c r="M37" s="47">
        <v>15</v>
      </c>
      <c r="N37" s="47">
        <v>16</v>
      </c>
      <c r="O37" s="47">
        <v>15</v>
      </c>
      <c r="P37" s="47">
        <v>16</v>
      </c>
      <c r="Q37" s="47">
        <v>13</v>
      </c>
      <c r="R37" s="47">
        <v>16</v>
      </c>
      <c r="S37" s="47">
        <v>13</v>
      </c>
      <c r="T37" s="47">
        <v>10</v>
      </c>
      <c r="U37" s="47">
        <v>9</v>
      </c>
      <c r="V37" s="47">
        <v>13</v>
      </c>
      <c r="W37" s="47">
        <f t="shared" si="1"/>
        <v>13.6</v>
      </c>
      <c r="X37" s="47">
        <v>0</v>
      </c>
      <c r="Y37" s="47">
        <v>0</v>
      </c>
      <c r="Z37" s="47">
        <v>0</v>
      </c>
      <c r="AA37" s="47">
        <v>0</v>
      </c>
      <c r="AB37" s="47">
        <v>1</v>
      </c>
      <c r="AC37" s="47">
        <v>0</v>
      </c>
      <c r="AD37" s="47">
        <v>0</v>
      </c>
      <c r="AE37" s="47">
        <v>0</v>
      </c>
      <c r="AF37" s="47">
        <v>1</v>
      </c>
      <c r="AG37" s="47">
        <v>0</v>
      </c>
      <c r="AH37" s="139">
        <f t="shared" si="3"/>
        <v>0</v>
      </c>
      <c r="AI37" s="139">
        <f t="shared" si="3"/>
        <v>0</v>
      </c>
      <c r="AJ37" s="139">
        <f t="shared" si="12"/>
        <v>0</v>
      </c>
      <c r="AK37" s="139">
        <f t="shared" si="13"/>
        <v>0</v>
      </c>
      <c r="AL37" s="139">
        <f t="shared" si="14"/>
        <v>7.6923076923076925</v>
      </c>
      <c r="AM37" s="139">
        <f t="shared" si="15"/>
        <v>0</v>
      </c>
      <c r="AN37" s="139">
        <f t="shared" si="16"/>
        <v>0</v>
      </c>
      <c r="AO37" s="139">
        <f t="shared" si="17"/>
        <v>0</v>
      </c>
      <c r="AP37" s="139">
        <f t="shared" si="10"/>
        <v>11.111111111111111</v>
      </c>
      <c r="AQ37" s="139">
        <f t="shared" si="11"/>
        <v>0</v>
      </c>
      <c r="AR37" s="140">
        <f t="shared" si="2"/>
        <v>1.8803418803418803</v>
      </c>
    </row>
    <row r="38" spans="1:44" x14ac:dyDescent="0.35">
      <c r="A38" s="79" t="s">
        <v>24</v>
      </c>
      <c r="B38" s="79"/>
      <c r="C38" s="79"/>
      <c r="D38" s="79" t="s">
        <v>27</v>
      </c>
      <c r="E38" s="79"/>
      <c r="F38" s="79">
        <v>3</v>
      </c>
      <c r="G38" s="79">
        <v>5</v>
      </c>
      <c r="H38" s="79">
        <v>5</v>
      </c>
      <c r="I38" s="79"/>
      <c r="J38" s="79"/>
      <c r="K38" s="47">
        <v>37</v>
      </c>
      <c r="L38" s="47"/>
      <c r="M38" s="47">
        <v>13</v>
      </c>
      <c r="N38" s="47">
        <v>14</v>
      </c>
      <c r="O38" s="47">
        <v>14</v>
      </c>
      <c r="P38" s="47">
        <v>11</v>
      </c>
      <c r="Q38" s="47">
        <v>9</v>
      </c>
      <c r="R38" s="47">
        <v>12</v>
      </c>
      <c r="S38" s="47">
        <v>16</v>
      </c>
      <c r="T38" s="47">
        <v>18</v>
      </c>
      <c r="U38" s="47">
        <v>12</v>
      </c>
      <c r="V38" s="47">
        <v>18</v>
      </c>
      <c r="W38" s="47">
        <f t="shared" si="1"/>
        <v>13.7</v>
      </c>
      <c r="X38" s="47">
        <v>0</v>
      </c>
      <c r="Y38" s="47">
        <v>0</v>
      </c>
      <c r="Z38" s="47">
        <v>1</v>
      </c>
      <c r="AA38" s="47">
        <v>0</v>
      </c>
      <c r="AB38" s="47">
        <v>0</v>
      </c>
      <c r="AC38" s="47">
        <v>1</v>
      </c>
      <c r="AD38" s="47">
        <v>1</v>
      </c>
      <c r="AE38" s="47">
        <v>0</v>
      </c>
      <c r="AF38" s="47">
        <v>1</v>
      </c>
      <c r="AG38" s="55">
        <v>3</v>
      </c>
      <c r="AH38" s="139">
        <f t="shared" si="3"/>
        <v>0</v>
      </c>
      <c r="AI38" s="139">
        <f t="shared" si="3"/>
        <v>0</v>
      </c>
      <c r="AJ38" s="139">
        <f t="shared" si="12"/>
        <v>7.1428571428571423</v>
      </c>
      <c r="AK38" s="139">
        <f t="shared" si="13"/>
        <v>0</v>
      </c>
      <c r="AL38" s="139">
        <f t="shared" si="14"/>
        <v>0</v>
      </c>
      <c r="AM38" s="139">
        <f t="shared" si="15"/>
        <v>8.3333333333333321</v>
      </c>
      <c r="AN38" s="139">
        <f t="shared" si="16"/>
        <v>6.25</v>
      </c>
      <c r="AO38" s="139">
        <f t="shared" si="17"/>
        <v>0</v>
      </c>
      <c r="AP38" s="139">
        <f t="shared" si="10"/>
        <v>8.3333333333333321</v>
      </c>
      <c r="AQ38" s="139">
        <f t="shared" si="11"/>
        <v>16.666666666666664</v>
      </c>
      <c r="AR38" s="140">
        <f t="shared" si="2"/>
        <v>4.6726190476190466</v>
      </c>
    </row>
    <row r="39" spans="1:44" x14ac:dyDescent="0.35">
      <c r="A39" s="79" t="s">
        <v>24</v>
      </c>
      <c r="B39" s="79"/>
      <c r="C39" s="79"/>
      <c r="D39" s="79" t="s">
        <v>335</v>
      </c>
      <c r="E39" s="79"/>
      <c r="F39" s="79">
        <v>3</v>
      </c>
      <c r="G39" s="79">
        <v>6</v>
      </c>
      <c r="H39" s="79">
        <v>5</v>
      </c>
      <c r="I39" s="79"/>
      <c r="J39" s="79"/>
      <c r="K39" s="47">
        <v>38</v>
      </c>
      <c r="L39" s="47"/>
      <c r="M39" s="47">
        <v>12</v>
      </c>
      <c r="N39" s="47">
        <v>13</v>
      </c>
      <c r="O39" s="47">
        <v>13</v>
      </c>
      <c r="P39" s="47">
        <v>12</v>
      </c>
      <c r="Q39" s="47">
        <v>14</v>
      </c>
      <c r="R39" s="47">
        <v>13</v>
      </c>
      <c r="S39" s="47">
        <v>10</v>
      </c>
      <c r="T39" s="47">
        <v>15</v>
      </c>
      <c r="U39" s="47">
        <v>14</v>
      </c>
      <c r="V39" s="47">
        <v>14</v>
      </c>
      <c r="W39" s="47">
        <f t="shared" si="1"/>
        <v>13</v>
      </c>
      <c r="X39" s="47">
        <v>0</v>
      </c>
      <c r="Y39" s="47">
        <v>0</v>
      </c>
      <c r="Z39" s="47">
        <v>0</v>
      </c>
      <c r="AA39" s="47">
        <v>2</v>
      </c>
      <c r="AB39" s="47">
        <v>1</v>
      </c>
      <c r="AC39" s="47">
        <v>0</v>
      </c>
      <c r="AD39" s="47">
        <v>0</v>
      </c>
      <c r="AE39" s="47">
        <v>1</v>
      </c>
      <c r="AF39" s="47">
        <v>0</v>
      </c>
      <c r="AG39" s="47">
        <v>0</v>
      </c>
      <c r="AH39" s="139">
        <f t="shared" si="3"/>
        <v>0</v>
      </c>
      <c r="AI39" s="139">
        <f t="shared" si="3"/>
        <v>0</v>
      </c>
      <c r="AJ39" s="139">
        <f t="shared" si="12"/>
        <v>0</v>
      </c>
      <c r="AK39" s="139">
        <f t="shared" si="13"/>
        <v>16.666666666666664</v>
      </c>
      <c r="AL39" s="139">
        <f t="shared" si="14"/>
        <v>7.1428571428571423</v>
      </c>
      <c r="AM39" s="139">
        <f t="shared" si="15"/>
        <v>0</v>
      </c>
      <c r="AN39" s="139">
        <f t="shared" si="16"/>
        <v>0</v>
      </c>
      <c r="AO39" s="139">
        <f t="shared" si="17"/>
        <v>6.666666666666667</v>
      </c>
      <c r="AP39" s="139">
        <f t="shared" si="10"/>
        <v>0</v>
      </c>
      <c r="AQ39" s="139">
        <f t="shared" si="11"/>
        <v>0</v>
      </c>
      <c r="AR39" s="140">
        <f t="shared" si="2"/>
        <v>3.0476190476190474</v>
      </c>
    </row>
    <row r="40" spans="1:44" x14ac:dyDescent="0.35">
      <c r="A40" s="79" t="s">
        <v>24</v>
      </c>
      <c r="B40" s="79"/>
      <c r="C40" s="79"/>
      <c r="D40" s="79" t="s">
        <v>29</v>
      </c>
      <c r="E40" s="79"/>
      <c r="F40" s="79">
        <v>3</v>
      </c>
      <c r="G40" s="79">
        <v>7</v>
      </c>
      <c r="H40" s="79">
        <v>5</v>
      </c>
      <c r="I40" s="79"/>
      <c r="J40" s="79"/>
      <c r="K40" s="47">
        <v>39</v>
      </c>
      <c r="L40" s="47"/>
      <c r="M40" s="47">
        <v>14</v>
      </c>
      <c r="N40" s="47">
        <v>12</v>
      </c>
      <c r="O40" s="47">
        <v>16</v>
      </c>
      <c r="P40" s="47">
        <v>15</v>
      </c>
      <c r="Q40" s="47">
        <v>11</v>
      </c>
      <c r="R40" s="47">
        <v>15</v>
      </c>
      <c r="S40" s="47">
        <v>17</v>
      </c>
      <c r="T40" s="47">
        <v>15</v>
      </c>
      <c r="U40" s="47">
        <v>9</v>
      </c>
      <c r="V40" s="47">
        <v>18</v>
      </c>
      <c r="W40" s="47">
        <f t="shared" si="1"/>
        <v>14.2</v>
      </c>
      <c r="X40" s="47">
        <v>0</v>
      </c>
      <c r="Y40" s="47">
        <v>1</v>
      </c>
      <c r="Z40" s="47">
        <v>1</v>
      </c>
      <c r="AA40" s="47">
        <v>1</v>
      </c>
      <c r="AB40" s="47">
        <v>0</v>
      </c>
      <c r="AC40" s="47">
        <v>2</v>
      </c>
      <c r="AD40" s="47">
        <v>1</v>
      </c>
      <c r="AE40" s="47">
        <v>6</v>
      </c>
      <c r="AF40" s="47">
        <v>1</v>
      </c>
      <c r="AG40" s="47">
        <v>1</v>
      </c>
      <c r="AH40" s="139">
        <f t="shared" si="3"/>
        <v>0</v>
      </c>
      <c r="AI40" s="139">
        <f t="shared" si="3"/>
        <v>8.3333333333333321</v>
      </c>
      <c r="AJ40" s="139">
        <f t="shared" si="12"/>
        <v>6.25</v>
      </c>
      <c r="AK40" s="139">
        <f t="shared" si="13"/>
        <v>6.666666666666667</v>
      </c>
      <c r="AL40" s="139">
        <f t="shared" si="14"/>
        <v>0</v>
      </c>
      <c r="AM40" s="139">
        <f t="shared" si="15"/>
        <v>13.333333333333334</v>
      </c>
      <c r="AN40" s="139">
        <f t="shared" si="16"/>
        <v>5.8823529411764701</v>
      </c>
      <c r="AO40" s="139">
        <f t="shared" si="17"/>
        <v>40</v>
      </c>
      <c r="AP40" s="139">
        <f t="shared" si="10"/>
        <v>11.111111111111111</v>
      </c>
      <c r="AQ40" s="139">
        <f t="shared" si="11"/>
        <v>5.5555555555555554</v>
      </c>
      <c r="AR40" s="140">
        <f t="shared" si="2"/>
        <v>9.7132352941176485</v>
      </c>
    </row>
    <row r="41" spans="1:44" x14ac:dyDescent="0.35">
      <c r="A41" s="79" t="s">
        <v>24</v>
      </c>
      <c r="B41" s="79"/>
      <c r="C41" s="79"/>
      <c r="D41" s="79" t="s">
        <v>26</v>
      </c>
      <c r="E41" s="79"/>
      <c r="F41" s="79">
        <v>3</v>
      </c>
      <c r="G41" s="79">
        <v>8</v>
      </c>
      <c r="H41" s="79">
        <v>5</v>
      </c>
      <c r="I41" s="79"/>
      <c r="J41" s="79"/>
      <c r="K41" s="47">
        <v>40</v>
      </c>
      <c r="L41" s="47"/>
      <c r="M41" s="47">
        <v>17</v>
      </c>
      <c r="N41" s="47">
        <v>14</v>
      </c>
      <c r="O41" s="47">
        <v>15</v>
      </c>
      <c r="P41" s="47">
        <v>16</v>
      </c>
      <c r="Q41" s="47">
        <v>11</v>
      </c>
      <c r="R41" s="47">
        <v>18</v>
      </c>
      <c r="S41" s="47">
        <v>15</v>
      </c>
      <c r="T41" s="47">
        <v>16</v>
      </c>
      <c r="U41" s="47">
        <v>14</v>
      </c>
      <c r="V41" s="47">
        <v>14</v>
      </c>
      <c r="W41" s="47">
        <f t="shared" si="1"/>
        <v>15</v>
      </c>
      <c r="X41" s="47">
        <v>1</v>
      </c>
      <c r="Y41" s="47">
        <v>2</v>
      </c>
      <c r="Z41" s="47">
        <v>1</v>
      </c>
      <c r="AA41" s="47">
        <v>2</v>
      </c>
      <c r="AB41" s="47">
        <v>1</v>
      </c>
      <c r="AC41" s="47">
        <v>0</v>
      </c>
      <c r="AD41" s="47">
        <v>2</v>
      </c>
      <c r="AE41" s="47">
        <v>1</v>
      </c>
      <c r="AF41" s="47">
        <v>0</v>
      </c>
      <c r="AG41" s="47">
        <v>2</v>
      </c>
      <c r="AH41" s="139">
        <f t="shared" si="3"/>
        <v>5.8823529411764701</v>
      </c>
      <c r="AI41" s="139">
        <f t="shared" si="3"/>
        <v>14.285714285714285</v>
      </c>
      <c r="AJ41" s="139">
        <f t="shared" si="12"/>
        <v>6.666666666666667</v>
      </c>
      <c r="AK41" s="139">
        <f t="shared" si="13"/>
        <v>12.5</v>
      </c>
      <c r="AL41" s="139">
        <f t="shared" si="14"/>
        <v>9.0909090909090917</v>
      </c>
      <c r="AM41" s="139">
        <f t="shared" si="15"/>
        <v>0</v>
      </c>
      <c r="AN41" s="139">
        <f t="shared" si="16"/>
        <v>13.333333333333334</v>
      </c>
      <c r="AO41" s="139">
        <f t="shared" si="17"/>
        <v>6.25</v>
      </c>
      <c r="AP41" s="139">
        <f t="shared" si="10"/>
        <v>0</v>
      </c>
      <c r="AQ41" s="139">
        <f t="shared" si="11"/>
        <v>14.285714285714285</v>
      </c>
      <c r="AR41" s="140">
        <f t="shared" si="2"/>
        <v>8.2294690603514145</v>
      </c>
    </row>
    <row r="42" spans="1:44" x14ac:dyDescent="0.35">
      <c r="A42" s="6" t="s">
        <v>34</v>
      </c>
      <c r="D42" s="6" t="s">
        <v>41</v>
      </c>
      <c r="F42" s="6">
        <v>3</v>
      </c>
      <c r="G42" s="6">
        <v>1</v>
      </c>
      <c r="H42" s="6">
        <v>6</v>
      </c>
      <c r="K42" s="47">
        <v>41</v>
      </c>
      <c r="L42" s="47"/>
      <c r="M42" s="47">
        <v>13</v>
      </c>
      <c r="N42" s="47">
        <v>14</v>
      </c>
      <c r="O42" s="47">
        <v>14</v>
      </c>
      <c r="P42" s="47">
        <v>13</v>
      </c>
      <c r="Q42" s="47">
        <v>16</v>
      </c>
      <c r="R42" s="47">
        <v>13</v>
      </c>
      <c r="S42" s="47">
        <v>14</v>
      </c>
      <c r="T42" s="47">
        <v>9</v>
      </c>
      <c r="U42" s="47">
        <v>15</v>
      </c>
      <c r="V42" s="47">
        <v>12</v>
      </c>
      <c r="W42" s="47">
        <f t="shared" si="1"/>
        <v>13.3</v>
      </c>
      <c r="X42" s="47">
        <v>0</v>
      </c>
      <c r="Y42" s="47">
        <v>0</v>
      </c>
      <c r="Z42" s="47">
        <v>1</v>
      </c>
      <c r="AA42" s="47">
        <v>1</v>
      </c>
      <c r="AB42" s="47">
        <v>1</v>
      </c>
      <c r="AC42" s="47">
        <v>3</v>
      </c>
      <c r="AD42" s="47">
        <v>0</v>
      </c>
      <c r="AE42" s="47">
        <v>2</v>
      </c>
      <c r="AF42" s="47">
        <v>2</v>
      </c>
      <c r="AG42" s="47">
        <v>1</v>
      </c>
      <c r="AH42" s="139">
        <f t="shared" si="3"/>
        <v>0</v>
      </c>
      <c r="AI42" s="139">
        <f t="shared" si="3"/>
        <v>0</v>
      </c>
      <c r="AJ42" s="139">
        <f t="shared" si="12"/>
        <v>7.1428571428571423</v>
      </c>
      <c r="AK42" s="139">
        <f t="shared" si="13"/>
        <v>7.6923076923076925</v>
      </c>
      <c r="AL42" s="139">
        <f t="shared" si="14"/>
        <v>6.25</v>
      </c>
      <c r="AM42" s="139">
        <f t="shared" si="15"/>
        <v>23.076923076923077</v>
      </c>
      <c r="AN42" s="139">
        <f t="shared" si="16"/>
        <v>0</v>
      </c>
      <c r="AO42" s="139">
        <f t="shared" si="17"/>
        <v>22.222222222222221</v>
      </c>
      <c r="AP42" s="139">
        <f t="shared" si="10"/>
        <v>13.333333333333334</v>
      </c>
      <c r="AQ42" s="139">
        <f t="shared" si="11"/>
        <v>8.3333333333333321</v>
      </c>
      <c r="AR42" s="140">
        <f t="shared" si="2"/>
        <v>8.8050976800976795</v>
      </c>
    </row>
    <row r="43" spans="1:44" x14ac:dyDescent="0.35">
      <c r="A43" s="6" t="s">
        <v>34</v>
      </c>
      <c r="D43" s="6" t="s">
        <v>36</v>
      </c>
      <c r="F43" s="6">
        <v>3</v>
      </c>
      <c r="G43" s="6">
        <v>2</v>
      </c>
      <c r="H43" s="6">
        <v>6</v>
      </c>
      <c r="K43" s="47">
        <v>42</v>
      </c>
      <c r="L43" s="47"/>
      <c r="M43" s="47">
        <v>12</v>
      </c>
      <c r="N43" s="47">
        <v>12</v>
      </c>
      <c r="O43" s="47">
        <v>16</v>
      </c>
      <c r="P43" s="47">
        <v>11</v>
      </c>
      <c r="Q43" s="47">
        <v>15</v>
      </c>
      <c r="R43" s="47">
        <v>15</v>
      </c>
      <c r="S43" s="47">
        <v>5</v>
      </c>
      <c r="T43" s="47">
        <v>15</v>
      </c>
      <c r="U43" s="47">
        <v>15</v>
      </c>
      <c r="V43" s="47">
        <v>16</v>
      </c>
      <c r="W43" s="47">
        <f t="shared" si="1"/>
        <v>13.2</v>
      </c>
      <c r="X43" s="47">
        <v>0</v>
      </c>
      <c r="Y43" s="47">
        <v>0</v>
      </c>
      <c r="Z43" s="47">
        <v>0</v>
      </c>
      <c r="AA43" s="47">
        <v>0</v>
      </c>
      <c r="AB43" s="47">
        <v>2</v>
      </c>
      <c r="AC43" s="47">
        <v>3</v>
      </c>
      <c r="AD43" s="47">
        <v>0</v>
      </c>
      <c r="AE43" s="47">
        <v>3</v>
      </c>
      <c r="AF43" s="47">
        <v>1</v>
      </c>
      <c r="AG43" s="47">
        <v>0</v>
      </c>
      <c r="AH43" s="139">
        <f t="shared" si="3"/>
        <v>0</v>
      </c>
      <c r="AI43" s="139">
        <f t="shared" si="3"/>
        <v>0</v>
      </c>
      <c r="AJ43" s="139">
        <f t="shared" si="12"/>
        <v>0</v>
      </c>
      <c r="AK43" s="139">
        <f t="shared" si="13"/>
        <v>0</v>
      </c>
      <c r="AL43" s="139">
        <f t="shared" si="14"/>
        <v>13.333333333333334</v>
      </c>
      <c r="AM43" s="139">
        <f t="shared" si="15"/>
        <v>20</v>
      </c>
      <c r="AN43" s="139">
        <f t="shared" si="16"/>
        <v>0</v>
      </c>
      <c r="AO43" s="139">
        <f t="shared" si="17"/>
        <v>20</v>
      </c>
      <c r="AP43" s="139">
        <f t="shared" si="10"/>
        <v>6.666666666666667</v>
      </c>
      <c r="AQ43" s="139">
        <f t="shared" si="11"/>
        <v>0</v>
      </c>
      <c r="AR43" s="140">
        <f t="shared" si="2"/>
        <v>6</v>
      </c>
    </row>
    <row r="44" spans="1:44" x14ac:dyDescent="0.35">
      <c r="A44" s="6" t="s">
        <v>34</v>
      </c>
      <c r="D44" s="6" t="s">
        <v>37</v>
      </c>
      <c r="F44" s="6">
        <v>3</v>
      </c>
      <c r="G44" s="6">
        <v>3</v>
      </c>
      <c r="H44" s="6">
        <v>6</v>
      </c>
      <c r="K44" s="47">
        <v>43</v>
      </c>
      <c r="L44" s="47"/>
      <c r="M44" s="47">
        <v>12</v>
      </c>
      <c r="N44" s="47">
        <v>17</v>
      </c>
      <c r="O44" s="47">
        <v>13</v>
      </c>
      <c r="P44" s="47">
        <v>9</v>
      </c>
      <c r="Q44" s="47">
        <v>11</v>
      </c>
      <c r="R44" s="47">
        <v>13</v>
      </c>
      <c r="S44" s="47">
        <v>11</v>
      </c>
      <c r="T44" s="47">
        <v>10</v>
      </c>
      <c r="U44" s="47">
        <v>14</v>
      </c>
      <c r="V44" s="47">
        <v>10</v>
      </c>
      <c r="W44" s="47">
        <f t="shared" si="1"/>
        <v>12</v>
      </c>
      <c r="X44" s="47">
        <v>1</v>
      </c>
      <c r="Y44" s="47">
        <v>0</v>
      </c>
      <c r="Z44" s="47">
        <v>0</v>
      </c>
      <c r="AA44" s="47">
        <v>0</v>
      </c>
      <c r="AB44" s="47">
        <v>0</v>
      </c>
      <c r="AC44" s="47">
        <v>0</v>
      </c>
      <c r="AD44" s="47">
        <v>0</v>
      </c>
      <c r="AE44" s="47">
        <v>0</v>
      </c>
      <c r="AF44" s="47">
        <v>1</v>
      </c>
      <c r="AG44" s="47">
        <v>0</v>
      </c>
      <c r="AH44" s="139">
        <f t="shared" si="3"/>
        <v>8.3333333333333321</v>
      </c>
      <c r="AI44" s="139">
        <f t="shared" si="3"/>
        <v>0</v>
      </c>
      <c r="AJ44" s="139">
        <f t="shared" si="12"/>
        <v>0</v>
      </c>
      <c r="AK44" s="139">
        <f t="shared" si="13"/>
        <v>0</v>
      </c>
      <c r="AL44" s="139">
        <f t="shared" si="14"/>
        <v>0</v>
      </c>
      <c r="AM44" s="139">
        <f t="shared" si="15"/>
        <v>0</v>
      </c>
      <c r="AN44" s="139">
        <f t="shared" si="16"/>
        <v>0</v>
      </c>
      <c r="AO44" s="139">
        <f t="shared" si="17"/>
        <v>0</v>
      </c>
      <c r="AP44" s="139">
        <f t="shared" si="10"/>
        <v>7.1428571428571423</v>
      </c>
      <c r="AQ44" s="139">
        <f t="shared" si="11"/>
        <v>0</v>
      </c>
      <c r="AR44" s="140">
        <f t="shared" si="2"/>
        <v>1.5476190476190474</v>
      </c>
    </row>
    <row r="45" spans="1:44" x14ac:dyDescent="0.35">
      <c r="A45" s="6" t="s">
        <v>34</v>
      </c>
      <c r="D45" s="6" t="s">
        <v>42</v>
      </c>
      <c r="F45" s="6">
        <v>3</v>
      </c>
      <c r="G45" s="6">
        <v>4</v>
      </c>
      <c r="H45" s="6">
        <v>6</v>
      </c>
      <c r="K45" s="47">
        <v>44</v>
      </c>
      <c r="L45" s="47"/>
      <c r="M45" s="47">
        <v>11</v>
      </c>
      <c r="N45" s="47">
        <v>15</v>
      </c>
      <c r="O45" s="47">
        <v>12</v>
      </c>
      <c r="P45" s="47">
        <v>16</v>
      </c>
      <c r="Q45" s="47">
        <v>11</v>
      </c>
      <c r="R45" s="47">
        <v>17</v>
      </c>
      <c r="S45" s="47">
        <v>10</v>
      </c>
      <c r="T45" s="47">
        <v>12</v>
      </c>
      <c r="U45" s="47">
        <v>11</v>
      </c>
      <c r="V45" s="47">
        <v>17</v>
      </c>
      <c r="W45" s="47">
        <f t="shared" si="1"/>
        <v>13.2</v>
      </c>
      <c r="X45" s="47">
        <v>1</v>
      </c>
      <c r="Y45" s="47">
        <v>0</v>
      </c>
      <c r="Z45" s="47">
        <v>0</v>
      </c>
      <c r="AA45" s="47">
        <v>8</v>
      </c>
      <c r="AB45" s="47">
        <v>0</v>
      </c>
      <c r="AC45" s="47">
        <v>0</v>
      </c>
      <c r="AD45" s="47">
        <v>0</v>
      </c>
      <c r="AE45" s="47">
        <v>0</v>
      </c>
      <c r="AF45" s="47">
        <v>0</v>
      </c>
      <c r="AG45" s="47">
        <v>0</v>
      </c>
      <c r="AH45" s="139">
        <f t="shared" si="3"/>
        <v>9.0909090909090917</v>
      </c>
      <c r="AI45" s="139">
        <f t="shared" si="3"/>
        <v>0</v>
      </c>
      <c r="AJ45" s="139">
        <f t="shared" si="12"/>
        <v>0</v>
      </c>
      <c r="AK45" s="139">
        <f t="shared" si="13"/>
        <v>50</v>
      </c>
      <c r="AL45" s="139">
        <f t="shared" si="14"/>
        <v>0</v>
      </c>
      <c r="AM45" s="139">
        <f t="shared" si="15"/>
        <v>0</v>
      </c>
      <c r="AN45" s="139">
        <f t="shared" si="16"/>
        <v>0</v>
      </c>
      <c r="AO45" s="139">
        <f t="shared" si="17"/>
        <v>0</v>
      </c>
      <c r="AP45" s="139">
        <f t="shared" si="10"/>
        <v>0</v>
      </c>
      <c r="AQ45" s="139">
        <f t="shared" si="11"/>
        <v>0</v>
      </c>
      <c r="AR45" s="140">
        <f t="shared" si="2"/>
        <v>5.9090909090909092</v>
      </c>
    </row>
    <row r="46" spans="1:44" x14ac:dyDescent="0.35">
      <c r="A46" s="6" t="s">
        <v>34</v>
      </c>
      <c r="D46" s="6" t="s">
        <v>43</v>
      </c>
      <c r="F46" s="6">
        <v>3</v>
      </c>
      <c r="G46" s="6">
        <v>5</v>
      </c>
      <c r="H46" s="6">
        <v>6</v>
      </c>
      <c r="K46" s="47">
        <v>45</v>
      </c>
      <c r="L46" s="47"/>
      <c r="M46" s="47">
        <v>16</v>
      </c>
      <c r="N46" s="47">
        <v>11</v>
      </c>
      <c r="O46" s="47">
        <v>13</v>
      </c>
      <c r="P46" s="47">
        <v>13</v>
      </c>
      <c r="Q46" s="47">
        <v>14</v>
      </c>
      <c r="R46" s="47">
        <v>14</v>
      </c>
      <c r="S46" s="47">
        <v>17</v>
      </c>
      <c r="T46" s="47">
        <v>16</v>
      </c>
      <c r="U46" s="47">
        <v>16</v>
      </c>
      <c r="V46" s="47">
        <v>15</v>
      </c>
      <c r="W46" s="47">
        <f t="shared" si="1"/>
        <v>14.5</v>
      </c>
      <c r="X46" s="47">
        <v>0</v>
      </c>
      <c r="Y46" s="47">
        <v>0</v>
      </c>
      <c r="Z46" s="47">
        <v>0</v>
      </c>
      <c r="AA46" s="47">
        <v>0</v>
      </c>
      <c r="AB46" s="47">
        <v>1</v>
      </c>
      <c r="AC46" s="47">
        <v>1</v>
      </c>
      <c r="AD46" s="47">
        <v>0</v>
      </c>
      <c r="AE46" s="47">
        <v>0</v>
      </c>
      <c r="AF46" s="47">
        <v>0</v>
      </c>
      <c r="AG46" s="47">
        <v>2</v>
      </c>
      <c r="AH46" s="139">
        <f t="shared" si="3"/>
        <v>0</v>
      </c>
      <c r="AI46" s="139">
        <f t="shared" si="3"/>
        <v>0</v>
      </c>
      <c r="AJ46" s="139">
        <f t="shared" si="12"/>
        <v>0</v>
      </c>
      <c r="AK46" s="139">
        <f t="shared" si="13"/>
        <v>0</v>
      </c>
      <c r="AL46" s="139">
        <f t="shared" si="14"/>
        <v>7.1428571428571423</v>
      </c>
      <c r="AM46" s="139">
        <f t="shared" si="15"/>
        <v>7.1428571428571423</v>
      </c>
      <c r="AN46" s="139">
        <f t="shared" si="16"/>
        <v>0</v>
      </c>
      <c r="AO46" s="139">
        <f t="shared" si="17"/>
        <v>0</v>
      </c>
      <c r="AP46" s="139">
        <f t="shared" si="10"/>
        <v>0</v>
      </c>
      <c r="AQ46" s="139">
        <f t="shared" si="11"/>
        <v>13.333333333333334</v>
      </c>
      <c r="AR46" s="140">
        <f t="shared" si="2"/>
        <v>2.7619047619047619</v>
      </c>
    </row>
    <row r="47" spans="1:44" x14ac:dyDescent="0.35">
      <c r="A47" s="6" t="s">
        <v>34</v>
      </c>
      <c r="D47" s="6" t="s">
        <v>39</v>
      </c>
      <c r="F47" s="6">
        <v>3</v>
      </c>
      <c r="G47" s="6">
        <v>6</v>
      </c>
      <c r="H47" s="6">
        <v>6</v>
      </c>
      <c r="K47" s="47">
        <v>46</v>
      </c>
      <c r="L47" s="47"/>
      <c r="M47" s="47">
        <v>15</v>
      </c>
      <c r="N47" s="47">
        <v>13</v>
      </c>
      <c r="O47" s="47">
        <v>11</v>
      </c>
      <c r="P47" s="47">
        <v>11</v>
      </c>
      <c r="Q47" s="47">
        <v>15</v>
      </c>
      <c r="R47" s="47">
        <v>12</v>
      </c>
      <c r="S47" s="47">
        <v>15</v>
      </c>
      <c r="T47" s="47">
        <v>13</v>
      </c>
      <c r="U47" s="47">
        <v>13</v>
      </c>
      <c r="V47" s="47">
        <v>15</v>
      </c>
      <c r="W47" s="47">
        <f t="shared" si="1"/>
        <v>13.3</v>
      </c>
      <c r="X47" s="47">
        <v>7</v>
      </c>
      <c r="Y47" s="47">
        <v>4</v>
      </c>
      <c r="Z47" s="47">
        <v>3</v>
      </c>
      <c r="AA47" s="47">
        <v>1</v>
      </c>
      <c r="AB47" s="47">
        <v>3</v>
      </c>
      <c r="AC47" s="47">
        <v>6</v>
      </c>
      <c r="AD47" s="47">
        <v>8</v>
      </c>
      <c r="AE47" s="47">
        <v>0</v>
      </c>
      <c r="AF47" s="47">
        <v>1</v>
      </c>
      <c r="AG47" s="47">
        <v>5</v>
      </c>
      <c r="AH47" s="139">
        <f t="shared" si="3"/>
        <v>46.666666666666664</v>
      </c>
      <c r="AI47" s="139">
        <f t="shared" si="3"/>
        <v>30.76923076923077</v>
      </c>
      <c r="AJ47" s="139">
        <f t="shared" si="12"/>
        <v>27.27272727272727</v>
      </c>
      <c r="AK47" s="139">
        <f t="shared" si="13"/>
        <v>9.0909090909090917</v>
      </c>
      <c r="AL47" s="139">
        <f t="shared" si="14"/>
        <v>20</v>
      </c>
      <c r="AM47" s="139">
        <f t="shared" si="15"/>
        <v>50</v>
      </c>
      <c r="AN47" s="139">
        <f t="shared" si="16"/>
        <v>53.333333333333336</v>
      </c>
      <c r="AO47" s="139">
        <f t="shared" si="17"/>
        <v>0</v>
      </c>
      <c r="AP47" s="139">
        <f t="shared" si="10"/>
        <v>7.6923076923076925</v>
      </c>
      <c r="AQ47" s="139">
        <f t="shared" si="11"/>
        <v>33.333333333333329</v>
      </c>
      <c r="AR47" s="140">
        <f t="shared" si="2"/>
        <v>27.815850815850816</v>
      </c>
    </row>
    <row r="48" spans="1:44" x14ac:dyDescent="0.35">
      <c r="A48" s="6" t="s">
        <v>34</v>
      </c>
      <c r="D48" s="6" t="s">
        <v>38</v>
      </c>
      <c r="F48" s="6">
        <v>3</v>
      </c>
      <c r="G48" s="6">
        <v>7</v>
      </c>
      <c r="H48" s="6">
        <v>6</v>
      </c>
      <c r="K48" s="47">
        <v>47</v>
      </c>
      <c r="L48" s="47"/>
      <c r="M48" s="47">
        <v>11</v>
      </c>
      <c r="N48" s="47">
        <v>10</v>
      </c>
      <c r="O48" s="47">
        <v>11</v>
      </c>
      <c r="P48" s="47">
        <v>13</v>
      </c>
      <c r="Q48" s="47">
        <v>13</v>
      </c>
      <c r="R48" s="47">
        <v>13</v>
      </c>
      <c r="S48" s="47">
        <v>11</v>
      </c>
      <c r="T48" s="47">
        <v>7</v>
      </c>
      <c r="U48" s="47">
        <v>12</v>
      </c>
      <c r="V48" s="47">
        <v>14</v>
      </c>
      <c r="W48" s="47">
        <f t="shared" si="1"/>
        <v>11.5</v>
      </c>
      <c r="X48" s="47">
        <v>0</v>
      </c>
      <c r="Y48" s="47">
        <v>1</v>
      </c>
      <c r="Z48" s="47">
        <v>0</v>
      </c>
      <c r="AA48" s="47">
        <v>2</v>
      </c>
      <c r="AB48" s="47">
        <v>1</v>
      </c>
      <c r="AC48" s="47">
        <v>1</v>
      </c>
      <c r="AD48" s="47">
        <v>0</v>
      </c>
      <c r="AE48" s="47">
        <v>1</v>
      </c>
      <c r="AF48" s="47">
        <v>0</v>
      </c>
      <c r="AG48" s="47">
        <v>0</v>
      </c>
      <c r="AH48" s="139">
        <f t="shared" si="3"/>
        <v>0</v>
      </c>
      <c r="AI48" s="139">
        <f t="shared" si="3"/>
        <v>10</v>
      </c>
      <c r="AJ48" s="139">
        <f t="shared" si="12"/>
        <v>0</v>
      </c>
      <c r="AK48" s="139">
        <f t="shared" si="13"/>
        <v>15.384615384615385</v>
      </c>
      <c r="AL48" s="139">
        <f t="shared" si="14"/>
        <v>7.6923076923076925</v>
      </c>
      <c r="AM48" s="139">
        <f t="shared" si="15"/>
        <v>7.6923076923076925</v>
      </c>
      <c r="AN48" s="139">
        <f t="shared" si="16"/>
        <v>0</v>
      </c>
      <c r="AO48" s="139">
        <f t="shared" si="17"/>
        <v>14.285714285714285</v>
      </c>
      <c r="AP48" s="139">
        <f t="shared" si="10"/>
        <v>0</v>
      </c>
      <c r="AQ48" s="139">
        <f t="shared" si="11"/>
        <v>0</v>
      </c>
      <c r="AR48" s="140">
        <f t="shared" si="2"/>
        <v>5.5054945054945055</v>
      </c>
    </row>
    <row r="49" spans="1:44" x14ac:dyDescent="0.35">
      <c r="A49" s="6" t="s">
        <v>34</v>
      </c>
      <c r="D49" s="6" t="s">
        <v>343</v>
      </c>
      <c r="F49" s="6">
        <v>3</v>
      </c>
      <c r="G49" s="6">
        <v>8</v>
      </c>
      <c r="H49" s="6">
        <v>6</v>
      </c>
      <c r="K49" s="47">
        <v>48</v>
      </c>
      <c r="L49" s="47"/>
      <c r="AH49" s="139"/>
      <c r="AI49" s="139"/>
      <c r="AJ49" s="139"/>
      <c r="AK49" s="139"/>
      <c r="AL49" s="139"/>
      <c r="AM49" s="139"/>
      <c r="AN49" s="139"/>
      <c r="AO49" s="139"/>
      <c r="AP49" s="139"/>
      <c r="AQ49" s="139"/>
    </row>
    <row r="50" spans="1:44" x14ac:dyDescent="0.35">
      <c r="A50" s="79" t="s">
        <v>24</v>
      </c>
      <c r="B50" s="79"/>
      <c r="C50" s="79"/>
      <c r="D50" s="79" t="s">
        <v>32</v>
      </c>
      <c r="E50" s="79"/>
      <c r="F50" s="79">
        <v>4</v>
      </c>
      <c r="G50" s="79">
        <v>1</v>
      </c>
      <c r="H50" s="79">
        <v>7</v>
      </c>
      <c r="I50" s="79"/>
      <c r="J50" s="79"/>
      <c r="K50" s="47">
        <v>49</v>
      </c>
      <c r="L50" s="47"/>
      <c r="M50" s="47">
        <v>12</v>
      </c>
      <c r="N50" s="47">
        <v>16</v>
      </c>
      <c r="O50" s="47">
        <v>14</v>
      </c>
      <c r="P50" s="47">
        <v>15</v>
      </c>
      <c r="Q50" s="47">
        <v>14</v>
      </c>
      <c r="R50" s="47">
        <v>12</v>
      </c>
      <c r="S50" s="47">
        <v>17</v>
      </c>
      <c r="T50" s="47">
        <v>20</v>
      </c>
      <c r="U50" s="47">
        <v>19</v>
      </c>
      <c r="V50" s="47">
        <v>18</v>
      </c>
      <c r="W50" s="47">
        <f t="shared" si="1"/>
        <v>15.7</v>
      </c>
      <c r="X50" s="47">
        <v>0</v>
      </c>
      <c r="Y50" s="47">
        <v>2</v>
      </c>
      <c r="Z50" s="47">
        <v>1</v>
      </c>
      <c r="AA50" s="47">
        <v>1</v>
      </c>
      <c r="AB50" s="47">
        <v>1</v>
      </c>
      <c r="AC50" s="47">
        <v>2</v>
      </c>
      <c r="AD50" s="47">
        <v>1</v>
      </c>
      <c r="AE50" s="47">
        <v>7</v>
      </c>
      <c r="AF50" s="47">
        <v>2</v>
      </c>
      <c r="AG50" s="47">
        <v>1</v>
      </c>
      <c r="AH50" s="139">
        <f t="shared" si="3"/>
        <v>0</v>
      </c>
      <c r="AI50" s="139">
        <f t="shared" si="3"/>
        <v>12.5</v>
      </c>
      <c r="AJ50" s="139">
        <f t="shared" ref="AJ50:AJ65" si="18">Z50/O50*100</f>
        <v>7.1428571428571423</v>
      </c>
      <c r="AK50" s="139">
        <f t="shared" ref="AK50:AK65" si="19">AA50/P50*100</f>
        <v>6.666666666666667</v>
      </c>
      <c r="AL50" s="139">
        <f t="shared" ref="AL50:AL65" si="20">AB50/Q50*100</f>
        <v>7.1428571428571423</v>
      </c>
      <c r="AM50" s="139">
        <f t="shared" ref="AM50:AM65" si="21">AC50/R50*100</f>
        <v>16.666666666666664</v>
      </c>
      <c r="AN50" s="139">
        <f t="shared" ref="AN50:AN65" si="22">AD50/S50*100</f>
        <v>5.8823529411764701</v>
      </c>
      <c r="AO50" s="139">
        <f t="shared" ref="AO50:AO65" si="23">AE50/T50*100</f>
        <v>35</v>
      </c>
      <c r="AP50" s="139">
        <f t="shared" ref="AP50:AP65" si="24">AF50/U50*100</f>
        <v>10.526315789473683</v>
      </c>
      <c r="AQ50" s="139">
        <f t="shared" ref="AQ50:AQ65" si="25">AG50/V50*100</f>
        <v>5.5555555555555554</v>
      </c>
      <c r="AR50" s="140">
        <f t="shared" si="2"/>
        <v>10.708327190525333</v>
      </c>
    </row>
    <row r="51" spans="1:44" x14ac:dyDescent="0.35">
      <c r="A51" s="79" t="s">
        <v>24</v>
      </c>
      <c r="B51" s="79"/>
      <c r="C51" s="79"/>
      <c r="D51" s="79" t="s">
        <v>29</v>
      </c>
      <c r="E51" s="79"/>
      <c r="F51" s="79">
        <v>4</v>
      </c>
      <c r="G51" s="79">
        <v>2</v>
      </c>
      <c r="H51" s="79">
        <v>7</v>
      </c>
      <c r="I51" s="79"/>
      <c r="J51" s="79"/>
      <c r="K51" s="47">
        <v>50</v>
      </c>
      <c r="L51" s="47"/>
      <c r="M51" s="47">
        <v>10</v>
      </c>
      <c r="N51" s="47">
        <v>10</v>
      </c>
      <c r="O51" s="47">
        <v>15</v>
      </c>
      <c r="P51" s="47">
        <v>14</v>
      </c>
      <c r="Q51" s="47">
        <v>11</v>
      </c>
      <c r="R51" s="47">
        <v>10</v>
      </c>
      <c r="S51" s="47">
        <v>16</v>
      </c>
      <c r="T51" s="47">
        <v>12</v>
      </c>
      <c r="U51" s="47">
        <v>8</v>
      </c>
      <c r="V51" s="47">
        <v>13</v>
      </c>
      <c r="W51" s="47">
        <f t="shared" si="1"/>
        <v>11.9</v>
      </c>
      <c r="X51" s="47">
        <v>0</v>
      </c>
      <c r="Y51" s="47">
        <v>0</v>
      </c>
      <c r="Z51" s="47">
        <v>0</v>
      </c>
      <c r="AA51" s="47">
        <v>1</v>
      </c>
      <c r="AB51" s="47">
        <v>0</v>
      </c>
      <c r="AC51" s="47">
        <v>0</v>
      </c>
      <c r="AD51" s="47">
        <v>0</v>
      </c>
      <c r="AE51" s="47">
        <v>0</v>
      </c>
      <c r="AF51" s="47">
        <v>0</v>
      </c>
      <c r="AG51" s="47">
        <v>0</v>
      </c>
      <c r="AH51" s="139">
        <f t="shared" si="3"/>
        <v>0</v>
      </c>
      <c r="AI51" s="139">
        <f t="shared" si="3"/>
        <v>0</v>
      </c>
      <c r="AJ51" s="139">
        <f t="shared" si="18"/>
        <v>0</v>
      </c>
      <c r="AK51" s="139">
        <f t="shared" si="19"/>
        <v>7.1428571428571423</v>
      </c>
      <c r="AL51" s="139">
        <f t="shared" si="20"/>
        <v>0</v>
      </c>
      <c r="AM51" s="139">
        <f t="shared" si="21"/>
        <v>0</v>
      </c>
      <c r="AN51" s="139">
        <f t="shared" si="22"/>
        <v>0</v>
      </c>
      <c r="AO51" s="139">
        <f t="shared" si="23"/>
        <v>0</v>
      </c>
      <c r="AP51" s="139">
        <f t="shared" si="24"/>
        <v>0</v>
      </c>
      <c r="AQ51" s="139">
        <f t="shared" si="25"/>
        <v>0</v>
      </c>
      <c r="AR51" s="140">
        <f t="shared" si="2"/>
        <v>0.71428571428571419</v>
      </c>
    </row>
    <row r="52" spans="1:44" x14ac:dyDescent="0.35">
      <c r="A52" s="79" t="s">
        <v>24</v>
      </c>
      <c r="B52" s="79"/>
      <c r="C52" s="79"/>
      <c r="D52" s="79" t="s">
        <v>337</v>
      </c>
      <c r="E52" s="79"/>
      <c r="F52" s="79">
        <v>4</v>
      </c>
      <c r="G52" s="79">
        <v>3</v>
      </c>
      <c r="H52" s="79">
        <v>7</v>
      </c>
      <c r="I52" s="79"/>
      <c r="J52" s="79"/>
      <c r="K52" s="47">
        <v>51</v>
      </c>
      <c r="L52" s="47"/>
      <c r="M52" s="47">
        <v>15</v>
      </c>
      <c r="N52" s="47">
        <v>14</v>
      </c>
      <c r="O52" s="47">
        <v>13</v>
      </c>
      <c r="P52" s="47">
        <v>15</v>
      </c>
      <c r="Q52" s="47">
        <v>10</v>
      </c>
      <c r="R52" s="47">
        <v>20</v>
      </c>
      <c r="S52" s="47">
        <v>16</v>
      </c>
      <c r="T52" s="47">
        <v>11</v>
      </c>
      <c r="U52" s="47">
        <v>11</v>
      </c>
      <c r="V52" s="47">
        <v>13</v>
      </c>
      <c r="W52" s="47">
        <f t="shared" si="1"/>
        <v>13.8</v>
      </c>
      <c r="X52" s="47">
        <v>2</v>
      </c>
      <c r="Y52" s="47">
        <v>0</v>
      </c>
      <c r="Z52" s="47">
        <v>6</v>
      </c>
      <c r="AA52" s="47">
        <v>2</v>
      </c>
      <c r="AB52" s="47">
        <v>4</v>
      </c>
      <c r="AC52" s="47">
        <v>1</v>
      </c>
      <c r="AD52" s="47">
        <v>3</v>
      </c>
      <c r="AE52" s="47">
        <v>2</v>
      </c>
      <c r="AF52" s="47">
        <v>0</v>
      </c>
      <c r="AG52" s="47">
        <v>2</v>
      </c>
      <c r="AH52" s="139">
        <f t="shared" si="3"/>
        <v>13.333333333333334</v>
      </c>
      <c r="AI52" s="139">
        <f t="shared" si="3"/>
        <v>0</v>
      </c>
      <c r="AJ52" s="139">
        <f t="shared" si="18"/>
        <v>46.153846153846153</v>
      </c>
      <c r="AK52" s="139">
        <f t="shared" si="19"/>
        <v>13.333333333333334</v>
      </c>
      <c r="AL52" s="139">
        <f t="shared" si="20"/>
        <v>40</v>
      </c>
      <c r="AM52" s="139">
        <f t="shared" si="21"/>
        <v>5</v>
      </c>
      <c r="AN52" s="139">
        <f t="shared" si="22"/>
        <v>18.75</v>
      </c>
      <c r="AO52" s="139">
        <f t="shared" si="23"/>
        <v>18.181818181818183</v>
      </c>
      <c r="AP52" s="139">
        <f t="shared" si="24"/>
        <v>0</v>
      </c>
      <c r="AQ52" s="139">
        <f t="shared" si="25"/>
        <v>15.384615384615385</v>
      </c>
      <c r="AR52" s="140">
        <f t="shared" si="2"/>
        <v>17.013694638694638</v>
      </c>
    </row>
    <row r="53" spans="1:44" x14ac:dyDescent="0.35">
      <c r="A53" s="79" t="s">
        <v>24</v>
      </c>
      <c r="B53" s="79"/>
      <c r="C53" s="79"/>
      <c r="D53" s="79" t="s">
        <v>27</v>
      </c>
      <c r="E53" s="79"/>
      <c r="F53" s="79">
        <v>4</v>
      </c>
      <c r="G53" s="79">
        <v>4</v>
      </c>
      <c r="H53" s="79">
        <v>7</v>
      </c>
      <c r="I53" s="79"/>
      <c r="J53" s="79"/>
      <c r="K53" s="47">
        <v>52</v>
      </c>
      <c r="L53" s="47"/>
      <c r="M53" s="47">
        <v>13</v>
      </c>
      <c r="N53" s="47">
        <v>16</v>
      </c>
      <c r="O53" s="47">
        <v>11</v>
      </c>
      <c r="P53" s="47">
        <v>12</v>
      </c>
      <c r="Q53" s="47">
        <v>18</v>
      </c>
      <c r="R53" s="47">
        <v>17</v>
      </c>
      <c r="S53" s="47">
        <v>14</v>
      </c>
      <c r="T53" s="47">
        <v>12</v>
      </c>
      <c r="U53" s="47">
        <v>18</v>
      </c>
      <c r="V53" s="47">
        <v>12</v>
      </c>
      <c r="W53" s="47">
        <f t="shared" si="1"/>
        <v>14.3</v>
      </c>
      <c r="X53" s="47">
        <v>0</v>
      </c>
      <c r="Y53" s="47">
        <v>0</v>
      </c>
      <c r="Z53" s="47">
        <v>0</v>
      </c>
      <c r="AA53" s="47">
        <v>0</v>
      </c>
      <c r="AB53" s="47">
        <v>1</v>
      </c>
      <c r="AC53" s="47">
        <v>1</v>
      </c>
      <c r="AD53" s="47">
        <v>1</v>
      </c>
      <c r="AE53" s="47">
        <v>1</v>
      </c>
      <c r="AF53" s="47">
        <v>0</v>
      </c>
      <c r="AG53" s="47">
        <v>1</v>
      </c>
      <c r="AH53" s="139">
        <f t="shared" si="3"/>
        <v>0</v>
      </c>
      <c r="AI53" s="139">
        <f t="shared" si="3"/>
        <v>0</v>
      </c>
      <c r="AJ53" s="139">
        <f t="shared" si="18"/>
        <v>0</v>
      </c>
      <c r="AK53" s="139">
        <f t="shared" si="19"/>
        <v>0</v>
      </c>
      <c r="AL53" s="139">
        <f t="shared" si="20"/>
        <v>5.5555555555555554</v>
      </c>
      <c r="AM53" s="139">
        <f t="shared" si="21"/>
        <v>5.8823529411764701</v>
      </c>
      <c r="AN53" s="139">
        <f t="shared" si="22"/>
        <v>7.1428571428571423</v>
      </c>
      <c r="AO53" s="139">
        <f t="shared" si="23"/>
        <v>8.3333333333333321</v>
      </c>
      <c r="AP53" s="139">
        <f t="shared" si="24"/>
        <v>0</v>
      </c>
      <c r="AQ53" s="139">
        <f t="shared" si="25"/>
        <v>8.3333333333333321</v>
      </c>
      <c r="AR53" s="140">
        <f t="shared" si="2"/>
        <v>3.524743230625583</v>
      </c>
    </row>
    <row r="54" spans="1:44" x14ac:dyDescent="0.35">
      <c r="A54" s="79" t="s">
        <v>24</v>
      </c>
      <c r="B54" s="79"/>
      <c r="C54" s="79"/>
      <c r="D54" s="79" t="s">
        <v>28</v>
      </c>
      <c r="E54" s="79"/>
      <c r="F54" s="79">
        <v>4</v>
      </c>
      <c r="G54" s="79">
        <v>5</v>
      </c>
      <c r="H54" s="79">
        <v>7</v>
      </c>
      <c r="I54" s="79"/>
      <c r="J54" s="79"/>
      <c r="K54" s="47">
        <v>53</v>
      </c>
      <c r="L54" s="47"/>
      <c r="M54" s="47">
        <v>14</v>
      </c>
      <c r="N54" s="47">
        <v>17</v>
      </c>
      <c r="O54" s="47">
        <v>15</v>
      </c>
      <c r="P54" s="47">
        <v>7</v>
      </c>
      <c r="Q54" s="47">
        <v>8</v>
      </c>
      <c r="R54" s="47">
        <v>16</v>
      </c>
      <c r="S54" s="47">
        <v>13</v>
      </c>
      <c r="T54" s="47">
        <v>12</v>
      </c>
      <c r="U54" s="47">
        <v>13</v>
      </c>
      <c r="V54" s="47">
        <v>13</v>
      </c>
      <c r="W54" s="47">
        <f t="shared" si="1"/>
        <v>12.8</v>
      </c>
      <c r="X54" s="47">
        <v>0</v>
      </c>
      <c r="Y54" s="47">
        <v>0</v>
      </c>
      <c r="Z54" s="47">
        <v>0</v>
      </c>
      <c r="AA54" s="47">
        <v>1</v>
      </c>
      <c r="AB54" s="47">
        <v>0</v>
      </c>
      <c r="AC54" s="47">
        <v>1</v>
      </c>
      <c r="AD54" s="47">
        <v>0</v>
      </c>
      <c r="AE54" s="47">
        <v>1</v>
      </c>
      <c r="AF54" s="47">
        <v>2</v>
      </c>
      <c r="AG54" s="47">
        <v>0</v>
      </c>
      <c r="AH54" s="139">
        <f t="shared" si="3"/>
        <v>0</v>
      </c>
      <c r="AI54" s="139">
        <f t="shared" si="3"/>
        <v>0</v>
      </c>
      <c r="AJ54" s="139">
        <f t="shared" si="18"/>
        <v>0</v>
      </c>
      <c r="AK54" s="139">
        <f t="shared" si="19"/>
        <v>14.285714285714285</v>
      </c>
      <c r="AL54" s="139">
        <f t="shared" si="20"/>
        <v>0</v>
      </c>
      <c r="AM54" s="139">
        <f t="shared" si="21"/>
        <v>6.25</v>
      </c>
      <c r="AN54" s="139">
        <f t="shared" si="22"/>
        <v>0</v>
      </c>
      <c r="AO54" s="139">
        <f t="shared" si="23"/>
        <v>8.3333333333333321</v>
      </c>
      <c r="AP54" s="139">
        <f t="shared" si="24"/>
        <v>15.384615384615385</v>
      </c>
      <c r="AQ54" s="139">
        <f t="shared" si="25"/>
        <v>0</v>
      </c>
      <c r="AR54" s="140">
        <f t="shared" si="2"/>
        <v>4.4253663003663002</v>
      </c>
    </row>
    <row r="55" spans="1:44" x14ac:dyDescent="0.35">
      <c r="A55" s="79" t="s">
        <v>24</v>
      </c>
      <c r="B55" s="79"/>
      <c r="C55" s="79"/>
      <c r="D55" s="79" t="s">
        <v>26</v>
      </c>
      <c r="E55" s="79"/>
      <c r="F55" s="79">
        <v>4</v>
      </c>
      <c r="G55" s="79">
        <v>6</v>
      </c>
      <c r="H55" s="79">
        <v>7</v>
      </c>
      <c r="I55" s="79"/>
      <c r="J55" s="79"/>
      <c r="K55" s="47">
        <v>54</v>
      </c>
      <c r="L55" s="47"/>
      <c r="M55" s="47">
        <v>13</v>
      </c>
      <c r="N55" s="47">
        <v>11</v>
      </c>
      <c r="O55" s="47">
        <v>8</v>
      </c>
      <c r="P55" s="47">
        <v>15</v>
      </c>
      <c r="Q55" s="47">
        <v>17</v>
      </c>
      <c r="R55" s="47">
        <v>18</v>
      </c>
      <c r="S55" s="47">
        <v>16</v>
      </c>
      <c r="T55" s="47">
        <v>18</v>
      </c>
      <c r="U55" s="47">
        <v>10</v>
      </c>
      <c r="V55" s="47">
        <v>16</v>
      </c>
      <c r="W55" s="47">
        <f t="shared" si="1"/>
        <v>14.2</v>
      </c>
      <c r="X55" s="47">
        <v>0</v>
      </c>
      <c r="Y55" s="47">
        <v>0</v>
      </c>
      <c r="Z55" s="47">
        <v>0</v>
      </c>
      <c r="AA55" s="47">
        <v>2</v>
      </c>
      <c r="AB55" s="47">
        <v>0</v>
      </c>
      <c r="AC55" s="47">
        <v>13</v>
      </c>
      <c r="AD55" s="47">
        <v>1</v>
      </c>
      <c r="AE55" s="47">
        <v>1</v>
      </c>
      <c r="AF55" s="47">
        <v>1</v>
      </c>
      <c r="AG55" s="47">
        <v>0</v>
      </c>
      <c r="AH55" s="139">
        <f t="shared" si="3"/>
        <v>0</v>
      </c>
      <c r="AI55" s="139">
        <f t="shared" si="3"/>
        <v>0</v>
      </c>
      <c r="AJ55" s="139">
        <f t="shared" si="18"/>
        <v>0</v>
      </c>
      <c r="AK55" s="139">
        <f t="shared" si="19"/>
        <v>13.333333333333334</v>
      </c>
      <c r="AL55" s="139">
        <f t="shared" si="20"/>
        <v>0</v>
      </c>
      <c r="AM55" s="139">
        <f t="shared" si="21"/>
        <v>72.222222222222214</v>
      </c>
      <c r="AN55" s="139">
        <f t="shared" si="22"/>
        <v>6.25</v>
      </c>
      <c r="AO55" s="139">
        <f t="shared" si="23"/>
        <v>5.5555555555555554</v>
      </c>
      <c r="AP55" s="139">
        <f t="shared" si="24"/>
        <v>10</v>
      </c>
      <c r="AQ55" s="139">
        <f t="shared" si="25"/>
        <v>0</v>
      </c>
      <c r="AR55" s="140">
        <f t="shared" si="2"/>
        <v>10.736111111111111</v>
      </c>
    </row>
    <row r="56" spans="1:44" x14ac:dyDescent="0.35">
      <c r="A56" s="79" t="s">
        <v>24</v>
      </c>
      <c r="B56" s="79"/>
      <c r="C56" s="79"/>
      <c r="D56" s="79" t="s">
        <v>335</v>
      </c>
      <c r="E56" s="79"/>
      <c r="F56" s="79">
        <v>4</v>
      </c>
      <c r="G56" s="79">
        <v>7</v>
      </c>
      <c r="H56" s="79">
        <v>7</v>
      </c>
      <c r="I56" s="79"/>
      <c r="J56" s="79"/>
      <c r="K56" s="47">
        <v>55</v>
      </c>
      <c r="L56" s="47"/>
      <c r="M56" s="47">
        <v>14</v>
      </c>
      <c r="N56" s="47">
        <v>17</v>
      </c>
      <c r="O56" s="47">
        <v>17</v>
      </c>
      <c r="P56" s="47">
        <v>14</v>
      </c>
      <c r="Q56" s="47">
        <v>16</v>
      </c>
      <c r="R56" s="47">
        <v>10</v>
      </c>
      <c r="S56" s="47">
        <v>14</v>
      </c>
      <c r="T56" s="47">
        <v>14</v>
      </c>
      <c r="U56" s="47">
        <v>14</v>
      </c>
      <c r="V56" s="47">
        <v>15</v>
      </c>
      <c r="W56" s="47">
        <f t="shared" si="1"/>
        <v>14.5</v>
      </c>
      <c r="X56" s="47">
        <v>0</v>
      </c>
      <c r="Y56" s="47">
        <v>0</v>
      </c>
      <c r="Z56" s="47">
        <v>1</v>
      </c>
      <c r="AA56" s="47">
        <v>2</v>
      </c>
      <c r="AB56" s="47">
        <v>0</v>
      </c>
      <c r="AC56" s="47">
        <v>1</v>
      </c>
      <c r="AD56" s="47">
        <v>0</v>
      </c>
      <c r="AE56" s="47">
        <v>0</v>
      </c>
      <c r="AF56" s="47">
        <v>1</v>
      </c>
      <c r="AG56" s="47">
        <v>1</v>
      </c>
      <c r="AH56" s="139">
        <f t="shared" si="3"/>
        <v>0</v>
      </c>
      <c r="AI56" s="139">
        <f t="shared" si="3"/>
        <v>0</v>
      </c>
      <c r="AJ56" s="139">
        <f t="shared" si="18"/>
        <v>5.8823529411764701</v>
      </c>
      <c r="AK56" s="139">
        <f t="shared" si="19"/>
        <v>14.285714285714285</v>
      </c>
      <c r="AL56" s="139">
        <f t="shared" si="20"/>
        <v>0</v>
      </c>
      <c r="AM56" s="139">
        <f t="shared" si="21"/>
        <v>10</v>
      </c>
      <c r="AN56" s="139">
        <f t="shared" si="22"/>
        <v>0</v>
      </c>
      <c r="AO56" s="139">
        <f t="shared" si="23"/>
        <v>0</v>
      </c>
      <c r="AP56" s="139">
        <f t="shared" si="24"/>
        <v>7.1428571428571423</v>
      </c>
      <c r="AQ56" s="139">
        <f t="shared" si="25"/>
        <v>6.666666666666667</v>
      </c>
      <c r="AR56" s="140">
        <f t="shared" si="2"/>
        <v>4.3977591036414561</v>
      </c>
    </row>
    <row r="57" spans="1:44" x14ac:dyDescent="0.35">
      <c r="A57" s="79" t="s">
        <v>24</v>
      </c>
      <c r="B57" s="79"/>
      <c r="C57" s="79"/>
      <c r="D57" s="79" t="s">
        <v>336</v>
      </c>
      <c r="E57" s="79"/>
      <c r="F57" s="79">
        <v>4</v>
      </c>
      <c r="G57" s="79">
        <v>8</v>
      </c>
      <c r="H57" s="79">
        <v>7</v>
      </c>
      <c r="I57" s="79"/>
      <c r="J57" s="79"/>
      <c r="K57" s="47">
        <v>56</v>
      </c>
      <c r="L57" s="47"/>
      <c r="M57" s="47">
        <v>12</v>
      </c>
      <c r="N57" s="47">
        <v>16</v>
      </c>
      <c r="O57" s="47">
        <v>13</v>
      </c>
      <c r="P57" s="47">
        <v>12</v>
      </c>
      <c r="Q57" s="47">
        <v>14</v>
      </c>
      <c r="R57" s="47">
        <v>15</v>
      </c>
      <c r="S57" s="47">
        <v>13</v>
      </c>
      <c r="T57" s="47">
        <v>18</v>
      </c>
      <c r="U57" s="47">
        <v>14</v>
      </c>
      <c r="V57" s="47">
        <v>11</v>
      </c>
      <c r="W57" s="47">
        <f t="shared" si="1"/>
        <v>13.8</v>
      </c>
      <c r="X57" s="47">
        <v>0</v>
      </c>
      <c r="Y57" s="47">
        <v>0</v>
      </c>
      <c r="Z57" s="47">
        <v>1</v>
      </c>
      <c r="AA57" s="47">
        <v>0</v>
      </c>
      <c r="AB57" s="47">
        <v>0</v>
      </c>
      <c r="AC57" s="47">
        <v>0</v>
      </c>
      <c r="AD57" s="47">
        <v>0</v>
      </c>
      <c r="AE57" s="47">
        <v>0</v>
      </c>
      <c r="AF57" s="47">
        <v>0</v>
      </c>
      <c r="AG57" s="47">
        <v>0</v>
      </c>
      <c r="AH57" s="139">
        <f t="shared" si="3"/>
        <v>0</v>
      </c>
      <c r="AI57" s="139">
        <f t="shared" si="3"/>
        <v>0</v>
      </c>
      <c r="AJ57" s="139">
        <f t="shared" si="18"/>
        <v>7.6923076923076925</v>
      </c>
      <c r="AK57" s="139">
        <f t="shared" si="19"/>
        <v>0</v>
      </c>
      <c r="AL57" s="139">
        <f t="shared" si="20"/>
        <v>0</v>
      </c>
      <c r="AM57" s="139">
        <f t="shared" si="21"/>
        <v>0</v>
      </c>
      <c r="AN57" s="139">
        <f t="shared" si="22"/>
        <v>0</v>
      </c>
      <c r="AO57" s="139">
        <f t="shared" si="23"/>
        <v>0</v>
      </c>
      <c r="AP57" s="139">
        <f t="shared" si="24"/>
        <v>0</v>
      </c>
      <c r="AQ57" s="139">
        <f t="shared" si="25"/>
        <v>0</v>
      </c>
      <c r="AR57" s="140">
        <f t="shared" si="2"/>
        <v>0.76923076923076927</v>
      </c>
    </row>
    <row r="58" spans="1:44" x14ac:dyDescent="0.35">
      <c r="A58" s="6" t="s">
        <v>34</v>
      </c>
      <c r="D58" s="6" t="s">
        <v>39</v>
      </c>
      <c r="F58" s="6">
        <v>4</v>
      </c>
      <c r="G58" s="6">
        <v>1</v>
      </c>
      <c r="H58" s="6">
        <v>8</v>
      </c>
      <c r="K58" s="47">
        <v>57</v>
      </c>
      <c r="L58" s="47"/>
      <c r="M58" s="47">
        <v>9</v>
      </c>
      <c r="N58" s="47">
        <v>15</v>
      </c>
      <c r="O58" s="47">
        <v>9</v>
      </c>
      <c r="P58" s="47">
        <v>11</v>
      </c>
      <c r="Q58" s="47">
        <v>12</v>
      </c>
      <c r="R58" s="47">
        <v>10</v>
      </c>
      <c r="S58" s="47">
        <v>14</v>
      </c>
      <c r="T58" s="47">
        <v>11</v>
      </c>
      <c r="U58" s="47">
        <v>11</v>
      </c>
      <c r="V58" s="47">
        <v>11</v>
      </c>
      <c r="W58" s="47">
        <f t="shared" si="1"/>
        <v>11.3</v>
      </c>
      <c r="X58" s="47">
        <v>0</v>
      </c>
      <c r="Y58" s="47">
        <v>2</v>
      </c>
      <c r="Z58" s="47">
        <v>3</v>
      </c>
      <c r="AA58" s="47">
        <v>0</v>
      </c>
      <c r="AB58" s="47">
        <v>2</v>
      </c>
      <c r="AC58" s="47">
        <v>0</v>
      </c>
      <c r="AD58" s="47">
        <v>9</v>
      </c>
      <c r="AE58" s="47">
        <v>1</v>
      </c>
      <c r="AF58" s="47">
        <v>1</v>
      </c>
      <c r="AG58" s="47">
        <v>4</v>
      </c>
      <c r="AH58" s="139">
        <f t="shared" si="3"/>
        <v>0</v>
      </c>
      <c r="AI58" s="139">
        <f t="shared" si="3"/>
        <v>13.333333333333334</v>
      </c>
      <c r="AJ58" s="139">
        <f t="shared" si="18"/>
        <v>33.333333333333329</v>
      </c>
      <c r="AK58" s="139">
        <f t="shared" si="19"/>
        <v>0</v>
      </c>
      <c r="AL58" s="139">
        <f t="shared" si="20"/>
        <v>16.666666666666664</v>
      </c>
      <c r="AM58" s="139">
        <f t="shared" si="21"/>
        <v>0</v>
      </c>
      <c r="AN58" s="139">
        <f t="shared" si="22"/>
        <v>64.285714285714292</v>
      </c>
      <c r="AO58" s="139">
        <f t="shared" si="23"/>
        <v>9.0909090909090917</v>
      </c>
      <c r="AP58" s="139">
        <f t="shared" si="24"/>
        <v>9.0909090909090917</v>
      </c>
      <c r="AQ58" s="139">
        <f t="shared" si="25"/>
        <v>36.363636363636367</v>
      </c>
      <c r="AR58" s="140">
        <f t="shared" si="2"/>
        <v>18.21645021645022</v>
      </c>
    </row>
    <row r="59" spans="1:44" x14ac:dyDescent="0.35">
      <c r="A59" s="6" t="s">
        <v>34</v>
      </c>
      <c r="D59" s="6" t="s">
        <v>37</v>
      </c>
      <c r="F59" s="6">
        <v>4</v>
      </c>
      <c r="G59" s="6">
        <v>2</v>
      </c>
      <c r="H59" s="6">
        <v>8</v>
      </c>
      <c r="K59" s="47">
        <v>58</v>
      </c>
      <c r="L59" s="47"/>
      <c r="M59" s="47">
        <v>13</v>
      </c>
      <c r="N59" s="47">
        <v>13</v>
      </c>
      <c r="O59" s="47">
        <v>16</v>
      </c>
      <c r="P59" s="47">
        <v>13</v>
      </c>
      <c r="Q59" s="47">
        <v>12</v>
      </c>
      <c r="R59" s="47">
        <v>11</v>
      </c>
      <c r="S59" s="47">
        <v>12</v>
      </c>
      <c r="T59" s="47">
        <v>14</v>
      </c>
      <c r="U59" s="47">
        <v>15</v>
      </c>
      <c r="V59" s="47">
        <v>14</v>
      </c>
      <c r="W59" s="47">
        <f t="shared" si="1"/>
        <v>13.3</v>
      </c>
      <c r="X59" s="47">
        <v>1</v>
      </c>
      <c r="Y59" s="47">
        <v>1</v>
      </c>
      <c r="Z59" s="47">
        <v>2</v>
      </c>
      <c r="AA59" s="47">
        <v>11</v>
      </c>
      <c r="AB59" s="47">
        <v>0</v>
      </c>
      <c r="AC59" s="47">
        <v>0</v>
      </c>
      <c r="AD59" s="47">
        <v>0</v>
      </c>
      <c r="AE59" s="47">
        <v>1</v>
      </c>
      <c r="AF59" s="47">
        <v>0</v>
      </c>
      <c r="AG59" s="47">
        <v>14</v>
      </c>
      <c r="AH59" s="139">
        <f t="shared" si="3"/>
        <v>7.6923076923076925</v>
      </c>
      <c r="AI59" s="139">
        <f t="shared" si="3"/>
        <v>7.6923076923076925</v>
      </c>
      <c r="AJ59" s="139">
        <f t="shared" si="18"/>
        <v>12.5</v>
      </c>
      <c r="AK59" s="139">
        <f t="shared" si="19"/>
        <v>84.615384615384613</v>
      </c>
      <c r="AL59" s="139">
        <f t="shared" si="20"/>
        <v>0</v>
      </c>
      <c r="AM59" s="139">
        <f t="shared" si="21"/>
        <v>0</v>
      </c>
      <c r="AN59" s="139">
        <f t="shared" si="22"/>
        <v>0</v>
      </c>
      <c r="AO59" s="139">
        <f t="shared" si="23"/>
        <v>7.1428571428571423</v>
      </c>
      <c r="AP59" s="139">
        <f t="shared" si="24"/>
        <v>0</v>
      </c>
      <c r="AQ59" s="139">
        <f t="shared" si="25"/>
        <v>100</v>
      </c>
      <c r="AR59" s="140">
        <f t="shared" si="2"/>
        <v>21.964285714285715</v>
      </c>
    </row>
    <row r="60" spans="1:44" x14ac:dyDescent="0.35">
      <c r="A60" s="6" t="s">
        <v>34</v>
      </c>
      <c r="D60" s="6" t="s">
        <v>36</v>
      </c>
      <c r="F60" s="6">
        <v>4</v>
      </c>
      <c r="G60" s="6">
        <v>3</v>
      </c>
      <c r="H60" s="6">
        <v>8</v>
      </c>
      <c r="K60" s="47">
        <v>59</v>
      </c>
      <c r="L60" s="47"/>
      <c r="M60" s="47">
        <v>11</v>
      </c>
      <c r="N60" s="47">
        <v>15</v>
      </c>
      <c r="O60" s="47">
        <v>15</v>
      </c>
      <c r="P60" s="47">
        <v>15</v>
      </c>
      <c r="Q60" s="47">
        <v>16</v>
      </c>
      <c r="R60" s="47">
        <v>17</v>
      </c>
      <c r="S60" s="47">
        <v>15</v>
      </c>
      <c r="T60" s="47">
        <v>10</v>
      </c>
      <c r="U60" s="47">
        <v>13</v>
      </c>
      <c r="V60" s="47">
        <v>16</v>
      </c>
      <c r="W60" s="47">
        <f t="shared" si="1"/>
        <v>14.3</v>
      </c>
      <c r="X60" s="47">
        <v>0</v>
      </c>
      <c r="Y60" s="47">
        <v>0</v>
      </c>
      <c r="Z60" s="47">
        <v>0</v>
      </c>
      <c r="AA60" s="47">
        <v>0</v>
      </c>
      <c r="AB60" s="47">
        <v>0</v>
      </c>
      <c r="AC60" s="47">
        <v>0</v>
      </c>
      <c r="AD60" s="47">
        <v>0</v>
      </c>
      <c r="AE60" s="47">
        <v>0</v>
      </c>
      <c r="AF60" s="47">
        <v>0</v>
      </c>
      <c r="AG60" s="47">
        <v>6</v>
      </c>
      <c r="AH60" s="139">
        <f t="shared" si="3"/>
        <v>0</v>
      </c>
      <c r="AI60" s="139">
        <f t="shared" si="3"/>
        <v>0</v>
      </c>
      <c r="AJ60" s="139">
        <f t="shared" si="18"/>
        <v>0</v>
      </c>
      <c r="AK60" s="139">
        <f t="shared" si="19"/>
        <v>0</v>
      </c>
      <c r="AL60" s="139">
        <f t="shared" si="20"/>
        <v>0</v>
      </c>
      <c r="AM60" s="139">
        <f t="shared" si="21"/>
        <v>0</v>
      </c>
      <c r="AN60" s="139">
        <f t="shared" si="22"/>
        <v>0</v>
      </c>
      <c r="AO60" s="139">
        <f t="shared" si="23"/>
        <v>0</v>
      </c>
      <c r="AP60" s="139">
        <f t="shared" si="24"/>
        <v>0</v>
      </c>
      <c r="AQ60" s="139">
        <f t="shared" si="25"/>
        <v>37.5</v>
      </c>
      <c r="AR60" s="140">
        <f t="shared" si="2"/>
        <v>3.75</v>
      </c>
    </row>
    <row r="61" spans="1:44" x14ac:dyDescent="0.35">
      <c r="A61" s="6" t="s">
        <v>34</v>
      </c>
      <c r="D61" s="6" t="s">
        <v>343</v>
      </c>
      <c r="F61" s="6">
        <v>4</v>
      </c>
      <c r="G61" s="6">
        <v>4</v>
      </c>
      <c r="H61" s="6">
        <v>8</v>
      </c>
      <c r="K61" s="47">
        <v>60</v>
      </c>
      <c r="L61" s="47"/>
      <c r="M61" s="47">
        <v>11</v>
      </c>
      <c r="N61" s="47">
        <v>14</v>
      </c>
      <c r="O61" s="47">
        <v>12</v>
      </c>
      <c r="P61" s="47">
        <v>11</v>
      </c>
      <c r="Q61" s="47">
        <v>16</v>
      </c>
      <c r="R61" s="47">
        <v>8</v>
      </c>
      <c r="S61" s="47">
        <v>14</v>
      </c>
      <c r="T61" s="47">
        <v>11</v>
      </c>
      <c r="U61" s="47">
        <v>15</v>
      </c>
      <c r="V61" s="47">
        <v>10</v>
      </c>
      <c r="W61" s="47">
        <f t="shared" si="1"/>
        <v>12.2</v>
      </c>
      <c r="X61" s="47">
        <v>0</v>
      </c>
      <c r="Y61" s="47">
        <v>1</v>
      </c>
      <c r="Z61" s="47">
        <v>0</v>
      </c>
      <c r="AA61" s="47">
        <v>0</v>
      </c>
      <c r="AB61" s="47">
        <v>0</v>
      </c>
      <c r="AC61" s="47">
        <v>0</v>
      </c>
      <c r="AD61" s="47">
        <v>0</v>
      </c>
      <c r="AE61" s="47">
        <v>0</v>
      </c>
      <c r="AF61" s="47">
        <v>0</v>
      </c>
      <c r="AG61" s="47">
        <v>0</v>
      </c>
      <c r="AH61" s="139">
        <f t="shared" si="3"/>
        <v>0</v>
      </c>
      <c r="AI61" s="139">
        <f t="shared" si="3"/>
        <v>7.1428571428571423</v>
      </c>
      <c r="AJ61" s="139">
        <f t="shared" si="18"/>
        <v>0</v>
      </c>
      <c r="AK61" s="139">
        <f t="shared" si="19"/>
        <v>0</v>
      </c>
      <c r="AL61" s="139">
        <f t="shared" si="20"/>
        <v>0</v>
      </c>
      <c r="AM61" s="139">
        <f t="shared" si="21"/>
        <v>0</v>
      </c>
      <c r="AN61" s="139">
        <f t="shared" si="22"/>
        <v>0</v>
      </c>
      <c r="AO61" s="139">
        <f t="shared" si="23"/>
        <v>0</v>
      </c>
      <c r="AP61" s="139">
        <f t="shared" si="24"/>
        <v>0</v>
      </c>
      <c r="AQ61" s="139">
        <f t="shared" si="25"/>
        <v>0</v>
      </c>
      <c r="AR61" s="140">
        <f t="shared" si="2"/>
        <v>0.71428571428571419</v>
      </c>
    </row>
    <row r="62" spans="1:44" x14ac:dyDescent="0.35">
      <c r="A62" s="6" t="s">
        <v>34</v>
      </c>
      <c r="D62" s="6" t="s">
        <v>41</v>
      </c>
      <c r="F62" s="6">
        <v>4</v>
      </c>
      <c r="G62" s="6">
        <v>5</v>
      </c>
      <c r="H62" s="6">
        <v>8</v>
      </c>
      <c r="K62" s="47">
        <v>61</v>
      </c>
      <c r="L62" s="47"/>
      <c r="M62" s="47">
        <v>13</v>
      </c>
      <c r="N62" s="47">
        <v>10</v>
      </c>
      <c r="O62" s="47">
        <v>15</v>
      </c>
      <c r="P62" s="47">
        <v>9</v>
      </c>
      <c r="Q62" s="47">
        <v>11</v>
      </c>
      <c r="R62" s="47">
        <v>11</v>
      </c>
      <c r="S62" s="47">
        <v>11</v>
      </c>
      <c r="T62" s="47">
        <v>12</v>
      </c>
      <c r="U62" s="47">
        <v>13</v>
      </c>
      <c r="V62" s="47">
        <v>10</v>
      </c>
      <c r="W62" s="47">
        <f t="shared" si="1"/>
        <v>11.5</v>
      </c>
      <c r="X62" s="47">
        <v>2</v>
      </c>
      <c r="Y62" s="47">
        <v>1</v>
      </c>
      <c r="Z62" s="47">
        <v>3</v>
      </c>
      <c r="AA62" s="47">
        <v>2</v>
      </c>
      <c r="AB62" s="47">
        <v>2</v>
      </c>
      <c r="AC62" s="47">
        <v>5</v>
      </c>
      <c r="AD62" s="47">
        <v>5</v>
      </c>
      <c r="AE62" s="47">
        <v>1</v>
      </c>
      <c r="AF62" s="47">
        <v>2</v>
      </c>
      <c r="AG62" s="47">
        <v>0</v>
      </c>
      <c r="AH62" s="139">
        <f t="shared" si="3"/>
        <v>15.384615384615385</v>
      </c>
      <c r="AI62" s="139">
        <f t="shared" si="3"/>
        <v>10</v>
      </c>
      <c r="AJ62" s="139">
        <f t="shared" si="18"/>
        <v>20</v>
      </c>
      <c r="AK62" s="139">
        <f t="shared" si="19"/>
        <v>22.222222222222221</v>
      </c>
      <c r="AL62" s="139">
        <f t="shared" si="20"/>
        <v>18.181818181818183</v>
      </c>
      <c r="AM62" s="139">
        <f t="shared" si="21"/>
        <v>45.454545454545453</v>
      </c>
      <c r="AN62" s="139">
        <f t="shared" si="22"/>
        <v>45.454545454545453</v>
      </c>
      <c r="AO62" s="139">
        <f t="shared" si="23"/>
        <v>8.3333333333333321</v>
      </c>
      <c r="AP62" s="139">
        <f t="shared" si="24"/>
        <v>15.384615384615385</v>
      </c>
      <c r="AQ62" s="139">
        <f t="shared" si="25"/>
        <v>0</v>
      </c>
      <c r="AR62" s="140">
        <f t="shared" si="2"/>
        <v>20.041569541569544</v>
      </c>
    </row>
    <row r="63" spans="1:44" x14ac:dyDescent="0.35">
      <c r="A63" s="6" t="s">
        <v>34</v>
      </c>
      <c r="D63" s="6" t="s">
        <v>38</v>
      </c>
      <c r="F63" s="6">
        <v>4</v>
      </c>
      <c r="G63" s="6">
        <v>6</v>
      </c>
      <c r="H63" s="6">
        <v>8</v>
      </c>
      <c r="K63" s="47">
        <v>62</v>
      </c>
      <c r="L63" s="47"/>
      <c r="M63" s="47">
        <v>16</v>
      </c>
      <c r="N63" s="47">
        <v>11</v>
      </c>
      <c r="O63" s="47">
        <v>13</v>
      </c>
      <c r="P63" s="47">
        <v>13</v>
      </c>
      <c r="Q63" s="47">
        <v>15</v>
      </c>
      <c r="R63" s="47">
        <v>9</v>
      </c>
      <c r="S63" s="47">
        <v>15</v>
      </c>
      <c r="T63" s="47">
        <v>12</v>
      </c>
      <c r="U63" s="47">
        <v>12</v>
      </c>
      <c r="V63" s="47">
        <v>14</v>
      </c>
      <c r="W63" s="47">
        <f t="shared" si="1"/>
        <v>13</v>
      </c>
      <c r="X63" s="47">
        <v>1</v>
      </c>
      <c r="Y63" s="47">
        <v>1</v>
      </c>
      <c r="Z63" s="47">
        <v>0</v>
      </c>
      <c r="AA63" s="47">
        <v>1</v>
      </c>
      <c r="AB63" s="47">
        <v>1</v>
      </c>
      <c r="AC63" s="47">
        <v>1</v>
      </c>
      <c r="AD63" s="47">
        <v>1</v>
      </c>
      <c r="AE63" s="47">
        <v>1</v>
      </c>
      <c r="AF63" s="47">
        <v>1</v>
      </c>
      <c r="AG63" s="47">
        <v>1</v>
      </c>
      <c r="AH63" s="139">
        <f t="shared" si="3"/>
        <v>6.25</v>
      </c>
      <c r="AI63" s="139">
        <f t="shared" si="3"/>
        <v>9.0909090909090917</v>
      </c>
      <c r="AJ63" s="139">
        <f t="shared" si="18"/>
        <v>0</v>
      </c>
      <c r="AK63" s="139">
        <f t="shared" si="19"/>
        <v>7.6923076923076925</v>
      </c>
      <c r="AL63" s="139">
        <f t="shared" si="20"/>
        <v>6.666666666666667</v>
      </c>
      <c r="AM63" s="139">
        <f t="shared" si="21"/>
        <v>11.111111111111111</v>
      </c>
      <c r="AN63" s="139">
        <f t="shared" si="22"/>
        <v>6.666666666666667</v>
      </c>
      <c r="AO63" s="139">
        <f t="shared" si="23"/>
        <v>8.3333333333333321</v>
      </c>
      <c r="AP63" s="139">
        <f t="shared" si="24"/>
        <v>8.3333333333333321</v>
      </c>
      <c r="AQ63" s="139">
        <f t="shared" si="25"/>
        <v>7.1428571428571423</v>
      </c>
      <c r="AR63" s="140">
        <f t="shared" si="2"/>
        <v>7.1287185037185026</v>
      </c>
    </row>
    <row r="64" spans="1:44" x14ac:dyDescent="0.35">
      <c r="A64" s="6" t="s">
        <v>34</v>
      </c>
      <c r="D64" s="6" t="s">
        <v>42</v>
      </c>
      <c r="F64" s="6">
        <v>4</v>
      </c>
      <c r="G64" s="6">
        <v>7</v>
      </c>
      <c r="H64" s="6">
        <v>8</v>
      </c>
      <c r="K64" s="47">
        <v>63</v>
      </c>
      <c r="L64" s="47"/>
      <c r="M64" s="47">
        <v>14</v>
      </c>
      <c r="N64" s="47">
        <v>16</v>
      </c>
      <c r="O64" s="47">
        <v>11</v>
      </c>
      <c r="P64" s="47">
        <v>10</v>
      </c>
      <c r="Q64" s="47">
        <v>15</v>
      </c>
      <c r="R64" s="47">
        <v>12</v>
      </c>
      <c r="S64" s="47">
        <v>15</v>
      </c>
      <c r="T64" s="47">
        <v>17</v>
      </c>
      <c r="U64" s="47">
        <v>15</v>
      </c>
      <c r="V64" s="47">
        <v>10</v>
      </c>
      <c r="W64" s="47">
        <f t="shared" si="1"/>
        <v>13.5</v>
      </c>
      <c r="X64" s="47">
        <v>2</v>
      </c>
      <c r="Y64" s="47">
        <v>3</v>
      </c>
      <c r="Z64" s="47">
        <v>1</v>
      </c>
      <c r="AA64" s="47">
        <v>0</v>
      </c>
      <c r="AB64" s="47">
        <v>1</v>
      </c>
      <c r="AC64" s="47">
        <v>1</v>
      </c>
      <c r="AD64" s="47">
        <v>1</v>
      </c>
      <c r="AE64" s="47">
        <v>0</v>
      </c>
      <c r="AF64" s="47">
        <v>5</v>
      </c>
      <c r="AG64" s="47">
        <v>1</v>
      </c>
      <c r="AH64" s="139">
        <f t="shared" si="3"/>
        <v>14.285714285714285</v>
      </c>
      <c r="AI64" s="139">
        <f t="shared" si="3"/>
        <v>18.75</v>
      </c>
      <c r="AJ64" s="139">
        <f t="shared" si="18"/>
        <v>9.0909090909090917</v>
      </c>
      <c r="AK64" s="139">
        <f t="shared" si="19"/>
        <v>0</v>
      </c>
      <c r="AL64" s="139">
        <f t="shared" si="20"/>
        <v>6.666666666666667</v>
      </c>
      <c r="AM64" s="139">
        <f t="shared" si="21"/>
        <v>8.3333333333333321</v>
      </c>
      <c r="AN64" s="139">
        <f t="shared" si="22"/>
        <v>6.666666666666667</v>
      </c>
      <c r="AO64" s="139">
        <f t="shared" si="23"/>
        <v>0</v>
      </c>
      <c r="AP64" s="139">
        <f t="shared" si="24"/>
        <v>33.333333333333329</v>
      </c>
      <c r="AQ64" s="139">
        <f t="shared" si="25"/>
        <v>10</v>
      </c>
      <c r="AR64" s="140">
        <f t="shared" si="2"/>
        <v>10.712662337662337</v>
      </c>
    </row>
    <row r="65" spans="1:44" x14ac:dyDescent="0.35">
      <c r="A65" s="6" t="s">
        <v>34</v>
      </c>
      <c r="D65" s="6" t="s">
        <v>43</v>
      </c>
      <c r="F65" s="6">
        <v>4</v>
      </c>
      <c r="G65" s="6">
        <v>8</v>
      </c>
      <c r="H65" s="6">
        <v>8</v>
      </c>
      <c r="K65" s="47">
        <v>64</v>
      </c>
      <c r="L65" s="47"/>
      <c r="M65" s="47">
        <v>15</v>
      </c>
      <c r="N65" s="47">
        <v>16</v>
      </c>
      <c r="O65" s="47">
        <v>15</v>
      </c>
      <c r="P65" s="47">
        <v>17</v>
      </c>
      <c r="Q65" s="47">
        <v>14</v>
      </c>
      <c r="R65" s="47">
        <v>19</v>
      </c>
      <c r="S65" s="47">
        <v>13</v>
      </c>
      <c r="T65" s="47">
        <v>13</v>
      </c>
      <c r="U65" s="47">
        <v>18</v>
      </c>
      <c r="V65" s="47">
        <v>15</v>
      </c>
      <c r="W65" s="47">
        <f t="shared" si="1"/>
        <v>15.5</v>
      </c>
      <c r="X65" s="47">
        <v>0</v>
      </c>
      <c r="Y65" s="47">
        <v>1</v>
      </c>
      <c r="Z65" s="47">
        <v>1</v>
      </c>
      <c r="AA65" s="47">
        <v>0</v>
      </c>
      <c r="AB65" s="47">
        <v>0</v>
      </c>
      <c r="AC65" s="47">
        <v>1</v>
      </c>
      <c r="AD65" s="47">
        <v>1</v>
      </c>
      <c r="AE65" s="47">
        <v>3</v>
      </c>
      <c r="AF65" s="47">
        <v>0</v>
      </c>
      <c r="AG65" s="47">
        <v>0</v>
      </c>
      <c r="AH65" s="139">
        <f t="shared" si="3"/>
        <v>0</v>
      </c>
      <c r="AI65" s="139">
        <f t="shared" si="3"/>
        <v>6.25</v>
      </c>
      <c r="AJ65" s="139">
        <f t="shared" si="18"/>
        <v>6.666666666666667</v>
      </c>
      <c r="AK65" s="139">
        <f t="shared" si="19"/>
        <v>0</v>
      </c>
      <c r="AL65" s="139">
        <f t="shared" si="20"/>
        <v>0</v>
      </c>
      <c r="AM65" s="139">
        <f t="shared" si="21"/>
        <v>5.2631578947368416</v>
      </c>
      <c r="AN65" s="139">
        <f t="shared" si="22"/>
        <v>7.6923076923076925</v>
      </c>
      <c r="AO65" s="139">
        <f t="shared" si="23"/>
        <v>23.076923076923077</v>
      </c>
      <c r="AP65" s="139">
        <f t="shared" si="24"/>
        <v>0</v>
      </c>
      <c r="AQ65" s="139">
        <f t="shared" si="25"/>
        <v>0</v>
      </c>
      <c r="AR65" s="140">
        <f t="shared" si="2"/>
        <v>4.8949055330634277</v>
      </c>
    </row>
    <row r="66" spans="1:44" x14ac:dyDescent="0.35">
      <c r="A66" s="79"/>
      <c r="B66" s="79"/>
      <c r="C66" s="79"/>
      <c r="D66" s="79"/>
      <c r="E66" s="79"/>
      <c r="F66" s="79"/>
      <c r="G66" s="79"/>
      <c r="H66" s="79"/>
      <c r="I66" s="79"/>
      <c r="J66" s="79"/>
      <c r="K66" s="79"/>
      <c r="L66" s="79"/>
    </row>
    <row r="67" spans="1:44" x14ac:dyDescent="0.35">
      <c r="A67" s="79"/>
      <c r="B67" s="79"/>
      <c r="C67" s="79"/>
      <c r="D67" s="79"/>
      <c r="E67" s="79"/>
      <c r="F67" s="79"/>
      <c r="G67" s="79"/>
      <c r="H67" s="79"/>
      <c r="I67" s="79"/>
      <c r="J67" s="79"/>
      <c r="K67" s="79"/>
      <c r="L67" s="79"/>
    </row>
    <row r="68" spans="1:44" x14ac:dyDescent="0.35">
      <c r="A68" s="79"/>
      <c r="B68" s="79"/>
      <c r="C68" s="79"/>
      <c r="D68" s="79"/>
      <c r="E68" s="79"/>
      <c r="F68" s="79"/>
      <c r="G68" s="79"/>
      <c r="H68" s="79"/>
      <c r="I68" s="79"/>
      <c r="J68" s="79"/>
      <c r="K68" s="79"/>
      <c r="L68" s="79"/>
    </row>
    <row r="69" spans="1:44" x14ac:dyDescent="0.35">
      <c r="A69" s="79"/>
      <c r="B69" s="79"/>
      <c r="C69" s="79"/>
      <c r="D69" s="79"/>
      <c r="E69" s="79"/>
      <c r="F69" s="79"/>
      <c r="G69" s="79"/>
      <c r="H69" s="79"/>
      <c r="I69" s="79"/>
      <c r="J69" s="79"/>
      <c r="K69" s="79"/>
      <c r="L69" s="79"/>
    </row>
    <row r="70" spans="1:44" x14ac:dyDescent="0.35">
      <c r="A70" s="79"/>
      <c r="B70" s="79"/>
      <c r="C70" s="79"/>
      <c r="D70" s="79"/>
      <c r="E70" s="79"/>
      <c r="F70" s="79"/>
      <c r="G70" s="79"/>
      <c r="H70" s="79"/>
      <c r="I70" s="79"/>
      <c r="J70" s="79"/>
      <c r="K70" s="79"/>
      <c r="L70" s="79"/>
    </row>
    <row r="71" spans="1:44" x14ac:dyDescent="0.35">
      <c r="A71" s="79"/>
      <c r="B71" s="79"/>
      <c r="C71" s="79"/>
      <c r="D71" s="79"/>
      <c r="E71" s="79"/>
      <c r="F71" s="79"/>
      <c r="G71" s="79"/>
      <c r="H71" s="79"/>
      <c r="I71" s="79"/>
      <c r="J71" s="79"/>
      <c r="K71" s="79"/>
      <c r="L71" s="79"/>
    </row>
    <row r="72" spans="1:44" x14ac:dyDescent="0.35">
      <c r="A72" s="79"/>
      <c r="B72" s="79"/>
      <c r="C72" s="79"/>
      <c r="D72" s="79"/>
      <c r="E72" s="79"/>
      <c r="F72" s="79"/>
      <c r="G72" s="79"/>
      <c r="H72" s="79"/>
      <c r="I72" s="79"/>
      <c r="J72" s="79"/>
      <c r="K72" s="79"/>
      <c r="L72" s="79"/>
    </row>
    <row r="73" spans="1:44" x14ac:dyDescent="0.35">
      <c r="A73" s="79"/>
      <c r="B73" s="79"/>
      <c r="C73" s="79"/>
      <c r="D73" s="79"/>
      <c r="E73" s="79"/>
      <c r="F73" s="79"/>
      <c r="G73" s="79"/>
      <c r="H73" s="79"/>
      <c r="I73" s="79"/>
      <c r="J73" s="79"/>
      <c r="K73" s="79"/>
      <c r="L73" s="79"/>
    </row>
    <row r="82" spans="1:12" x14ac:dyDescent="0.35">
      <c r="A82" s="79"/>
      <c r="B82" s="79"/>
      <c r="C82" s="79"/>
      <c r="D82" s="79"/>
      <c r="E82" s="79"/>
      <c r="F82" s="79"/>
      <c r="G82" s="79"/>
      <c r="H82" s="79"/>
      <c r="I82" s="79"/>
      <c r="J82" s="79"/>
      <c r="K82" s="79"/>
      <c r="L82" s="79"/>
    </row>
    <row r="83" spans="1:12" x14ac:dyDescent="0.35">
      <c r="A83" s="79"/>
      <c r="B83" s="79"/>
      <c r="C83" s="79"/>
      <c r="D83" s="79"/>
      <c r="E83" s="79"/>
      <c r="F83" s="79"/>
      <c r="G83" s="79"/>
      <c r="H83" s="79"/>
      <c r="I83" s="79"/>
      <c r="J83" s="79"/>
      <c r="K83" s="79"/>
      <c r="L83" s="79"/>
    </row>
    <row r="84" spans="1:12" x14ac:dyDescent="0.35">
      <c r="A84" s="79"/>
      <c r="B84" s="79"/>
      <c r="C84" s="79"/>
      <c r="D84" s="79"/>
      <c r="E84" s="79"/>
      <c r="F84" s="79"/>
      <c r="G84" s="79"/>
      <c r="H84" s="79"/>
      <c r="I84" s="79"/>
      <c r="J84" s="79"/>
      <c r="K84" s="79"/>
      <c r="L84" s="79"/>
    </row>
    <row r="85" spans="1:12" x14ac:dyDescent="0.35">
      <c r="A85" s="79"/>
      <c r="B85" s="79"/>
      <c r="C85" s="79"/>
      <c r="D85" s="79"/>
      <c r="E85" s="79"/>
      <c r="F85" s="79"/>
      <c r="G85" s="79"/>
      <c r="H85" s="79"/>
      <c r="I85" s="79"/>
      <c r="J85" s="79"/>
      <c r="K85" s="79"/>
      <c r="L85" s="79"/>
    </row>
    <row r="86" spans="1:12" x14ac:dyDescent="0.35">
      <c r="A86" s="79"/>
      <c r="B86" s="79"/>
      <c r="C86" s="79"/>
      <c r="D86" s="79"/>
      <c r="E86" s="79"/>
      <c r="F86" s="79"/>
      <c r="G86" s="79"/>
      <c r="H86" s="79"/>
      <c r="I86" s="79"/>
      <c r="J86" s="79"/>
      <c r="K86" s="79"/>
      <c r="L86" s="79"/>
    </row>
    <row r="87" spans="1:12" x14ac:dyDescent="0.35">
      <c r="A87" s="79"/>
      <c r="B87" s="79"/>
      <c r="C87" s="79"/>
      <c r="D87" s="79"/>
      <c r="E87" s="79"/>
      <c r="F87" s="79"/>
      <c r="G87" s="79"/>
      <c r="H87" s="79"/>
      <c r="I87" s="79"/>
      <c r="J87" s="79"/>
      <c r="K87" s="79"/>
      <c r="L87" s="79"/>
    </row>
    <row r="88" spans="1:12" x14ac:dyDescent="0.35">
      <c r="A88" s="79"/>
      <c r="B88" s="79"/>
      <c r="C88" s="79"/>
      <c r="D88" s="79"/>
      <c r="E88" s="79"/>
      <c r="F88" s="79"/>
      <c r="G88" s="79"/>
      <c r="H88" s="79"/>
      <c r="I88" s="79"/>
      <c r="J88" s="79"/>
      <c r="K88" s="79"/>
      <c r="L88" s="79"/>
    </row>
    <row r="89" spans="1:12" x14ac:dyDescent="0.35">
      <c r="A89" s="79"/>
      <c r="B89" s="79"/>
      <c r="C89" s="79"/>
      <c r="D89" s="79"/>
      <c r="E89" s="79"/>
      <c r="F89" s="79"/>
      <c r="G89" s="79"/>
      <c r="H89" s="79"/>
      <c r="I89" s="79"/>
      <c r="J89" s="79"/>
      <c r="K89" s="79"/>
      <c r="L89" s="79"/>
    </row>
    <row r="90" spans="1:12" x14ac:dyDescent="0.35">
      <c r="A90" s="71"/>
      <c r="B90" s="71"/>
      <c r="C90" s="72"/>
      <c r="D90" s="71"/>
      <c r="E90" s="71"/>
      <c r="F90" s="72"/>
      <c r="G90" s="72"/>
      <c r="H90" s="72"/>
      <c r="I90" s="72"/>
      <c r="J90" s="72"/>
      <c r="K90" s="72"/>
      <c r="L90" s="72"/>
    </row>
    <row r="98" spans="1:12" x14ac:dyDescent="0.35">
      <c r="A98" s="79"/>
      <c r="B98" s="79"/>
      <c r="C98" s="79"/>
      <c r="D98" s="79"/>
      <c r="E98" s="79"/>
      <c r="F98" s="79"/>
      <c r="G98" s="79"/>
      <c r="H98" s="79"/>
      <c r="I98" s="79"/>
      <c r="J98" s="79"/>
      <c r="K98" s="79"/>
      <c r="L98" s="79"/>
    </row>
    <row r="99" spans="1:12" x14ac:dyDescent="0.35">
      <c r="A99" s="79"/>
      <c r="B99" s="79"/>
      <c r="C99" s="79"/>
      <c r="D99" s="79"/>
      <c r="E99" s="79"/>
      <c r="F99" s="79"/>
      <c r="G99" s="79"/>
      <c r="H99" s="79"/>
      <c r="I99" s="79"/>
      <c r="J99" s="79"/>
      <c r="K99" s="79"/>
      <c r="L99" s="79"/>
    </row>
    <row r="100" spans="1:12" x14ac:dyDescent="0.35">
      <c r="A100" s="79"/>
      <c r="B100" s="79"/>
      <c r="C100" s="79"/>
      <c r="D100" s="79"/>
      <c r="E100" s="79"/>
      <c r="F100" s="79"/>
      <c r="G100" s="79"/>
      <c r="H100" s="79"/>
      <c r="I100" s="79"/>
      <c r="J100" s="79"/>
      <c r="K100" s="79"/>
      <c r="L100" s="79"/>
    </row>
    <row r="101" spans="1:12" x14ac:dyDescent="0.35">
      <c r="A101" s="79"/>
      <c r="B101" s="79"/>
      <c r="C101" s="79"/>
      <c r="D101" s="79"/>
      <c r="E101" s="79"/>
      <c r="F101" s="79"/>
      <c r="G101" s="79"/>
      <c r="H101" s="79"/>
      <c r="I101" s="79"/>
      <c r="J101" s="79"/>
      <c r="K101" s="79"/>
      <c r="L101" s="79"/>
    </row>
    <row r="102" spans="1:12" x14ac:dyDescent="0.35">
      <c r="A102" s="79"/>
      <c r="B102" s="79"/>
      <c r="C102" s="79"/>
      <c r="D102" s="79"/>
      <c r="E102" s="79"/>
      <c r="F102" s="79"/>
      <c r="G102" s="79"/>
      <c r="H102" s="79"/>
      <c r="I102" s="79"/>
      <c r="J102" s="79"/>
      <c r="K102" s="79"/>
      <c r="L102" s="79"/>
    </row>
    <row r="103" spans="1:12" x14ac:dyDescent="0.35">
      <c r="A103" s="79"/>
      <c r="B103" s="79"/>
      <c r="C103" s="79"/>
      <c r="D103" s="79"/>
      <c r="E103" s="79"/>
      <c r="F103" s="79"/>
      <c r="G103" s="79"/>
      <c r="H103" s="79"/>
      <c r="I103" s="79"/>
      <c r="J103" s="79"/>
      <c r="K103" s="79"/>
      <c r="L103" s="79"/>
    </row>
    <row r="104" spans="1:12" x14ac:dyDescent="0.35">
      <c r="A104" s="79"/>
      <c r="B104" s="79"/>
      <c r="C104" s="79"/>
      <c r="D104" s="79"/>
      <c r="E104" s="79"/>
      <c r="F104" s="79"/>
      <c r="G104" s="79"/>
      <c r="H104" s="79"/>
      <c r="I104" s="79"/>
      <c r="J104" s="79"/>
      <c r="K104" s="79"/>
      <c r="L104" s="79"/>
    </row>
    <row r="105" spans="1:12" x14ac:dyDescent="0.35">
      <c r="A105" s="79"/>
      <c r="B105" s="79"/>
      <c r="C105" s="79"/>
      <c r="D105" s="79"/>
      <c r="E105" s="79"/>
      <c r="F105" s="79"/>
      <c r="G105" s="79"/>
      <c r="H105" s="79"/>
      <c r="I105" s="79"/>
      <c r="J105" s="79"/>
      <c r="K105" s="79"/>
      <c r="L105" s="79"/>
    </row>
    <row r="114" spans="1:12" x14ac:dyDescent="0.35">
      <c r="A114" s="79"/>
      <c r="B114" s="79"/>
      <c r="C114" s="79"/>
      <c r="D114" s="79"/>
      <c r="E114" s="79"/>
      <c r="F114" s="79"/>
      <c r="G114" s="79"/>
      <c r="H114" s="79"/>
      <c r="I114" s="79"/>
      <c r="J114" s="79"/>
      <c r="K114" s="79"/>
      <c r="L114" s="79"/>
    </row>
    <row r="115" spans="1:12" x14ac:dyDescent="0.35">
      <c r="A115" s="79"/>
      <c r="B115" s="79"/>
      <c r="C115" s="79"/>
      <c r="D115" s="79"/>
      <c r="E115" s="79"/>
      <c r="F115" s="79"/>
      <c r="G115" s="79"/>
      <c r="H115" s="79"/>
      <c r="I115" s="79"/>
      <c r="J115" s="79"/>
      <c r="K115" s="79"/>
      <c r="L115" s="79"/>
    </row>
    <row r="116" spans="1:12" x14ac:dyDescent="0.35">
      <c r="A116" s="79"/>
      <c r="B116" s="79"/>
      <c r="C116" s="79"/>
      <c r="D116" s="79"/>
      <c r="E116" s="79"/>
      <c r="F116" s="79"/>
      <c r="G116" s="79"/>
      <c r="H116" s="79"/>
      <c r="I116" s="79"/>
      <c r="J116" s="79"/>
      <c r="K116" s="79"/>
      <c r="L116" s="79"/>
    </row>
    <row r="117" spans="1:12" x14ac:dyDescent="0.35">
      <c r="A117" s="79"/>
      <c r="B117" s="79"/>
      <c r="C117" s="79"/>
      <c r="D117" s="79"/>
      <c r="E117" s="79"/>
      <c r="F117" s="79"/>
      <c r="G117" s="79"/>
      <c r="H117" s="79"/>
      <c r="I117" s="79"/>
      <c r="J117" s="79"/>
      <c r="K117" s="79"/>
      <c r="L117" s="79"/>
    </row>
    <row r="118" spans="1:12" x14ac:dyDescent="0.35">
      <c r="A118" s="79"/>
      <c r="B118" s="79"/>
      <c r="C118" s="79"/>
      <c r="D118" s="79"/>
      <c r="E118" s="79"/>
      <c r="F118" s="79"/>
      <c r="G118" s="79"/>
      <c r="H118" s="79"/>
      <c r="I118" s="79"/>
      <c r="J118" s="79"/>
      <c r="K118" s="79"/>
      <c r="L118" s="79"/>
    </row>
    <row r="119" spans="1:12" x14ac:dyDescent="0.35">
      <c r="A119" s="79"/>
      <c r="B119" s="79"/>
      <c r="C119" s="79"/>
      <c r="D119" s="79"/>
      <c r="E119" s="79"/>
      <c r="F119" s="79"/>
      <c r="G119" s="79"/>
      <c r="H119" s="79"/>
      <c r="I119" s="79"/>
      <c r="J119" s="79"/>
      <c r="K119" s="79"/>
      <c r="L119" s="79"/>
    </row>
    <row r="120" spans="1:12" x14ac:dyDescent="0.35">
      <c r="A120" s="79"/>
      <c r="B120" s="79"/>
      <c r="C120" s="79"/>
      <c r="D120" s="79"/>
      <c r="E120" s="79"/>
      <c r="F120" s="79"/>
      <c r="G120" s="79"/>
      <c r="H120" s="79"/>
      <c r="I120" s="79"/>
      <c r="J120" s="79"/>
      <c r="K120" s="79"/>
      <c r="L120" s="79"/>
    </row>
    <row r="121" spans="1:12" x14ac:dyDescent="0.35">
      <c r="A121" s="79"/>
      <c r="B121" s="79"/>
      <c r="C121" s="79"/>
      <c r="D121" s="79"/>
      <c r="E121" s="79"/>
      <c r="F121" s="79"/>
      <c r="G121" s="79"/>
      <c r="H121" s="79"/>
      <c r="I121" s="79"/>
      <c r="J121" s="79"/>
      <c r="K121" s="79"/>
      <c r="L121" s="79"/>
    </row>
    <row r="154" spans="1:12" x14ac:dyDescent="0.35">
      <c r="A154" s="71"/>
      <c r="B154" s="71"/>
      <c r="C154" s="72"/>
      <c r="D154" s="71"/>
      <c r="E154" s="71"/>
      <c r="F154" s="72"/>
      <c r="G154" s="72"/>
      <c r="H154" s="72"/>
      <c r="I154" s="72"/>
      <c r="J154" s="72"/>
      <c r="K154" s="72"/>
      <c r="L154" s="72"/>
    </row>
    <row r="218" spans="1:12" x14ac:dyDescent="0.35">
      <c r="A218" s="71"/>
      <c r="B218" s="71"/>
      <c r="C218" s="72"/>
      <c r="D218" s="71"/>
      <c r="E218" s="71"/>
      <c r="F218" s="72"/>
      <c r="G218" s="72"/>
      <c r="H218" s="72"/>
      <c r="I218" s="72"/>
      <c r="J218" s="72"/>
      <c r="K218" s="72"/>
      <c r="L218" s="72"/>
    </row>
    <row r="282" spans="1:12" x14ac:dyDescent="0.35">
      <c r="A282" s="71"/>
      <c r="B282" s="71"/>
      <c r="C282" s="72"/>
      <c r="D282" s="71"/>
      <c r="E282" s="71"/>
      <c r="F282" s="72"/>
      <c r="G282" s="72"/>
      <c r="H282" s="72"/>
      <c r="I282" s="72"/>
      <c r="J282" s="72"/>
      <c r="K282" s="72"/>
      <c r="L282" s="72"/>
    </row>
    <row r="346" spans="1:12" x14ac:dyDescent="0.35">
      <c r="A346" s="71"/>
      <c r="B346" s="71"/>
      <c r="C346" s="72"/>
      <c r="D346" s="71"/>
      <c r="E346" s="71"/>
      <c r="F346" s="72"/>
      <c r="G346" s="72"/>
      <c r="H346" s="72"/>
      <c r="I346" s="72"/>
      <c r="J346" s="72"/>
      <c r="K346" s="72"/>
      <c r="L346" s="72"/>
    </row>
    <row r="410" spans="1:12" x14ac:dyDescent="0.35">
      <c r="A410" s="71"/>
      <c r="B410" s="71"/>
      <c r="C410" s="72"/>
      <c r="D410" s="71"/>
      <c r="E410" s="71"/>
      <c r="F410" s="72"/>
      <c r="G410" s="72"/>
      <c r="H410" s="72"/>
      <c r="I410" s="72"/>
      <c r="J410" s="72"/>
      <c r="K410" s="72"/>
      <c r="L410" s="72"/>
    </row>
    <row r="474" spans="1:12" x14ac:dyDescent="0.35">
      <c r="A474" s="71"/>
      <c r="B474" s="71"/>
      <c r="C474" s="72"/>
      <c r="D474" s="71"/>
      <c r="E474" s="71"/>
      <c r="F474" s="72"/>
      <c r="G474" s="72"/>
      <c r="H474" s="72"/>
      <c r="I474" s="72"/>
      <c r="J474" s="72"/>
      <c r="K474" s="72"/>
      <c r="L474" s="72"/>
    </row>
    <row r="538" spans="1:12" x14ac:dyDescent="0.35">
      <c r="A538" s="71"/>
      <c r="B538" s="71"/>
      <c r="C538" s="72"/>
      <c r="D538" s="71"/>
      <c r="E538" s="71"/>
      <c r="F538" s="72"/>
      <c r="G538" s="72"/>
      <c r="H538" s="72"/>
      <c r="I538" s="72"/>
      <c r="J538" s="72"/>
      <c r="K538" s="72"/>
      <c r="L538" s="72"/>
    </row>
  </sheetData>
  <phoneticPr fontId="6" type="noConversion"/>
  <pageMargins left="0.7" right="0.7" top="0.75" bottom="0.75" header="0.3" footer="0.3"/>
  <pageSetup paperSize="9" orientation="portrait"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5EA3A-F44F-4FF0-ACD1-306DF5B845D0}">
  <sheetPr>
    <tabColor theme="9" tint="0.79998168889431442"/>
  </sheetPr>
  <dimension ref="A1:CB538"/>
  <sheetViews>
    <sheetView topLeftCell="E1" zoomScale="85" zoomScaleNormal="85" workbookViewId="0">
      <selection activeCell="AL1" sqref="AL1"/>
    </sheetView>
  </sheetViews>
  <sheetFormatPr defaultRowHeight="14.5" x14ac:dyDescent="0.35"/>
  <cols>
    <col min="1" max="12" width="9.1796875" style="6"/>
    <col min="13" max="13" width="15.54296875" style="54" customWidth="1"/>
    <col min="14" max="15" width="8.54296875" style="35"/>
    <col min="16" max="16" width="9.1796875" style="35"/>
    <col min="17" max="17" width="12.453125" style="35" customWidth="1"/>
    <col min="18" max="18" width="9.1796875" style="35"/>
    <col min="19" max="19" width="12.453125" style="35" customWidth="1"/>
    <col min="20" max="21" width="12.453125" style="38" customWidth="1"/>
    <col min="22" max="27" width="8.54296875" style="35"/>
    <col min="28" max="28" width="9.1796875" style="35"/>
    <col min="29" max="30" width="8.54296875" style="35"/>
    <col min="31" max="31" width="8.54296875" style="31"/>
    <col min="32" max="32" width="9.54296875" style="142" customWidth="1"/>
    <col min="33" max="37" width="8.54296875" style="38"/>
    <col min="38" max="42" width="8.54296875" style="31"/>
    <col min="43" max="43" width="10" style="31" bestFit="1" customWidth="1"/>
    <col min="44" max="44" width="10" style="31" customWidth="1"/>
    <col min="45" max="46" width="9.1796875" style="20"/>
    <col min="47" max="47" width="11.54296875" style="143" customWidth="1"/>
    <col min="48" max="48" width="10.54296875" style="20" customWidth="1"/>
    <col min="49" max="49" width="11.453125" style="40" bestFit="1" customWidth="1"/>
    <col min="50" max="50" width="10.54296875" style="38" customWidth="1"/>
    <col min="51" max="54" width="10.54296875" style="69" customWidth="1"/>
    <col min="56" max="56" width="21.54296875" customWidth="1"/>
    <col min="57" max="57" width="14.54296875" customWidth="1"/>
    <col min="58" max="58" width="15.54296875" bestFit="1" customWidth="1"/>
    <col min="59" max="59" width="23.54296875" bestFit="1" customWidth="1"/>
    <col min="60" max="60" width="19.453125" customWidth="1"/>
    <col min="61" max="61" width="22.453125" customWidth="1"/>
    <col min="62" max="62" width="28" customWidth="1"/>
    <col min="63" max="63" width="24.81640625" customWidth="1"/>
    <col min="64" max="64" width="32" customWidth="1"/>
    <col min="65" max="65" width="22.81640625" bestFit="1" customWidth="1"/>
    <col min="66" max="66" width="24.54296875" bestFit="1" customWidth="1"/>
    <col min="67" max="67" width="14.54296875" bestFit="1" customWidth="1"/>
    <col min="68" max="71" width="9.453125" bestFit="1" customWidth="1"/>
    <col min="72" max="72" width="11.1796875" bestFit="1" customWidth="1"/>
    <col min="73" max="75" width="49.81640625" bestFit="1" customWidth="1"/>
    <col min="76" max="76" width="54.81640625" bestFit="1" customWidth="1"/>
    <col min="77" max="77" width="50.54296875" bestFit="1" customWidth="1"/>
    <col min="78" max="78" width="40.453125" bestFit="1" customWidth="1"/>
    <col min="79" max="79" width="41.81640625" bestFit="1" customWidth="1"/>
    <col min="80" max="80" width="42.54296875" bestFit="1" customWidth="1"/>
    <col min="81" max="81" width="27" bestFit="1" customWidth="1"/>
    <col min="82" max="82" width="7.81640625" customWidth="1"/>
    <col min="83" max="83" width="12.453125" customWidth="1"/>
    <col min="84" max="84" width="7.54296875" customWidth="1"/>
    <col min="85" max="85" width="14.453125" customWidth="1"/>
    <col min="86" max="86" width="27" bestFit="1" customWidth="1"/>
    <col min="87" max="87" width="40.453125" bestFit="1" customWidth="1"/>
    <col min="88" max="88" width="41.1796875" bestFit="1" customWidth="1"/>
    <col min="89" max="89" width="41.81640625" bestFit="1" customWidth="1"/>
    <col min="90" max="90" width="42.54296875" bestFit="1" customWidth="1"/>
    <col min="91" max="91" width="27" bestFit="1" customWidth="1"/>
    <col min="92" max="92" width="41.1796875" bestFit="1" customWidth="1"/>
    <col min="93" max="93" width="41.81640625" bestFit="1" customWidth="1"/>
    <col min="94" max="94" width="42.54296875" bestFit="1" customWidth="1"/>
    <col min="95" max="95" width="27" bestFit="1" customWidth="1"/>
  </cols>
  <sheetData>
    <row r="1" spans="1:54" ht="101.5" x14ac:dyDescent="0.35">
      <c r="A1" s="70" t="s">
        <v>44</v>
      </c>
      <c r="B1" s="70" t="s">
        <v>45</v>
      </c>
      <c r="C1" s="70" t="s">
        <v>46</v>
      </c>
      <c r="D1" s="70" t="s">
        <v>47</v>
      </c>
      <c r="E1" s="70" t="s">
        <v>48</v>
      </c>
      <c r="F1" s="70" t="s">
        <v>49</v>
      </c>
      <c r="G1" s="70" t="s">
        <v>50</v>
      </c>
      <c r="H1" s="70" t="s">
        <v>51</v>
      </c>
      <c r="I1" s="70" t="s">
        <v>54</v>
      </c>
      <c r="J1" s="146" t="s">
        <v>774</v>
      </c>
      <c r="K1" s="4" t="s">
        <v>53</v>
      </c>
      <c r="L1" s="4" t="s">
        <v>52</v>
      </c>
      <c r="M1" s="66" t="s">
        <v>279</v>
      </c>
      <c r="N1" s="34" t="s">
        <v>212</v>
      </c>
      <c r="O1" s="34" t="s">
        <v>213</v>
      </c>
      <c r="P1" s="34" t="s">
        <v>280</v>
      </c>
      <c r="Q1" s="34" t="s">
        <v>281</v>
      </c>
      <c r="R1" s="34" t="s">
        <v>282</v>
      </c>
      <c r="S1" s="34" t="s">
        <v>283</v>
      </c>
      <c r="T1" s="61" t="s">
        <v>284</v>
      </c>
      <c r="U1" s="61" t="s">
        <v>285</v>
      </c>
      <c r="V1" s="34" t="s">
        <v>216</v>
      </c>
      <c r="W1" s="34" t="s">
        <v>286</v>
      </c>
      <c r="X1" s="34" t="s">
        <v>287</v>
      </c>
      <c r="Y1" s="34" t="s">
        <v>288</v>
      </c>
      <c r="Z1" s="34" t="s">
        <v>289</v>
      </c>
      <c r="AA1" s="34" t="s">
        <v>290</v>
      </c>
      <c r="AB1" s="4" t="s">
        <v>775</v>
      </c>
      <c r="AC1" s="34" t="s">
        <v>291</v>
      </c>
      <c r="AD1" s="34" t="s">
        <v>292</v>
      </c>
      <c r="AE1" s="67" t="s">
        <v>225</v>
      </c>
      <c r="AF1" s="34" t="s">
        <v>293</v>
      </c>
      <c r="AG1" s="61" t="s">
        <v>231</v>
      </c>
      <c r="AH1" s="61" t="s">
        <v>232</v>
      </c>
      <c r="AI1" s="61" t="s">
        <v>233</v>
      </c>
      <c r="AJ1" s="61" t="s">
        <v>294</v>
      </c>
      <c r="AK1" s="61" t="s">
        <v>295</v>
      </c>
      <c r="AL1" s="67" t="s">
        <v>235</v>
      </c>
      <c r="AM1" s="67" t="s">
        <v>236</v>
      </c>
      <c r="AN1" s="67" t="s">
        <v>237</v>
      </c>
      <c r="AO1" s="67" t="s">
        <v>296</v>
      </c>
      <c r="AP1" s="67" t="s">
        <v>297</v>
      </c>
      <c r="AQ1" s="67" t="s">
        <v>298</v>
      </c>
      <c r="AR1" s="23" t="s">
        <v>284</v>
      </c>
      <c r="AS1" s="68" t="s">
        <v>299</v>
      </c>
      <c r="AT1" s="68" t="s">
        <v>300</v>
      </c>
      <c r="AU1" s="68" t="s">
        <v>301</v>
      </c>
      <c r="AV1" s="68" t="s">
        <v>302</v>
      </c>
      <c r="AW1" s="68"/>
      <c r="AX1" s="61"/>
      <c r="AY1" s="61"/>
      <c r="AZ1" s="61"/>
      <c r="BA1" s="61"/>
      <c r="BB1" s="61"/>
    </row>
    <row r="2" spans="1:54" x14ac:dyDescent="0.35">
      <c r="A2" s="79" t="s">
        <v>24</v>
      </c>
      <c r="B2" s="79"/>
      <c r="C2" s="79"/>
      <c r="D2" s="79" t="s">
        <v>27</v>
      </c>
      <c r="E2" s="79">
        <v>1985</v>
      </c>
      <c r="F2" s="79">
        <v>1</v>
      </c>
      <c r="G2" s="79">
        <v>1</v>
      </c>
      <c r="H2" s="79">
        <v>1</v>
      </c>
      <c r="I2" s="79">
        <v>1</v>
      </c>
      <c r="J2" s="79"/>
      <c r="K2" s="79"/>
      <c r="L2" s="79"/>
      <c r="M2" s="152" t="s">
        <v>747</v>
      </c>
      <c r="N2" s="35">
        <v>0.5</v>
      </c>
      <c r="O2" s="35">
        <v>973.5</v>
      </c>
      <c r="P2" s="35">
        <v>937.35967083281776</v>
      </c>
      <c r="Q2" s="35">
        <v>254.25</v>
      </c>
      <c r="R2" s="35">
        <v>754.69999999999993</v>
      </c>
      <c r="S2" s="35">
        <v>214.16</v>
      </c>
      <c r="T2" s="38">
        <f>Q2/P2</f>
        <v>0.2712406004987456</v>
      </c>
      <c r="U2" s="38">
        <f>S2/R2</f>
        <v>0.28376838478865779</v>
      </c>
      <c r="V2" s="20">
        <v>30</v>
      </c>
      <c r="W2" s="35">
        <v>14.92</v>
      </c>
      <c r="X2" s="35">
        <v>25.53</v>
      </c>
      <c r="Y2" s="35">
        <v>37.36</v>
      </c>
      <c r="Z2" s="35">
        <v>28.79</v>
      </c>
      <c r="AA2" s="35">
        <f>Y2-Z2</f>
        <v>8.57</v>
      </c>
      <c r="AC2" s="35">
        <v>7.2040000000000006</v>
      </c>
      <c r="AD2" s="35">
        <f>SUM(W2:Y2)</f>
        <v>77.81</v>
      </c>
      <c r="AE2" s="31">
        <f>AD2/V2</f>
        <v>2.5936666666666666</v>
      </c>
      <c r="AF2" s="142">
        <f>P2/N2</f>
        <v>1874.7193416656355</v>
      </c>
      <c r="AG2" s="38">
        <f>W2/AD2</f>
        <v>0.19174913250224906</v>
      </c>
      <c r="AH2" s="38">
        <f>X2/AD2</f>
        <v>0.32810692713018891</v>
      </c>
      <c r="AI2" s="38">
        <f>Y2/AD2</f>
        <v>0.48014394036756197</v>
      </c>
      <c r="AJ2" s="38">
        <f>Z2/AD2</f>
        <v>0.3700038555455597</v>
      </c>
      <c r="AK2" s="38">
        <f>AA2/AD2</f>
        <v>0.11014008482200231</v>
      </c>
      <c r="AL2" s="31">
        <f>AF2*AG2</f>
        <v>359.4758074495731</v>
      </c>
      <c r="AM2" s="31">
        <f>AF2*AH2</f>
        <v>615.10840242544236</v>
      </c>
      <c r="AN2" s="31">
        <f>AF2*AI2</f>
        <v>900.13513179061988</v>
      </c>
      <c r="AO2" s="31">
        <f>AF2*AJ2</f>
        <v>693.65338448211855</v>
      </c>
      <c r="AP2" s="31">
        <f>AF2*AK2</f>
        <v>206.48174730850144</v>
      </c>
      <c r="AQ2" s="31">
        <f>AF2*AJ2</f>
        <v>693.65338448211855</v>
      </c>
      <c r="AR2" s="38">
        <f>AQ2/AF2</f>
        <v>0.3700038555455597</v>
      </c>
      <c r="AS2" s="20">
        <f>100*((S2*2)-Q2)/Q2</f>
        <v>68.464110127826942</v>
      </c>
      <c r="AT2" s="20">
        <f>100*((R2*2)-P2)/P2</f>
        <v>61.026769869343788</v>
      </c>
      <c r="AU2" s="143">
        <f>AC2/200</f>
        <v>3.6020000000000003E-2</v>
      </c>
      <c r="AV2" s="20">
        <f>AQ2/AU2</f>
        <v>19257.450985067142</v>
      </c>
      <c r="AW2" s="20"/>
      <c r="AX2" s="20"/>
      <c r="AY2" s="41"/>
      <c r="BA2" s="41"/>
      <c r="BB2" s="41"/>
    </row>
    <row r="3" spans="1:54" s="28" customFormat="1" x14ac:dyDescent="0.35">
      <c r="A3" s="79" t="s">
        <v>24</v>
      </c>
      <c r="B3" s="79"/>
      <c r="C3" s="79"/>
      <c r="D3" s="79" t="s">
        <v>26</v>
      </c>
      <c r="E3" s="79">
        <v>1983</v>
      </c>
      <c r="F3" s="79">
        <v>1</v>
      </c>
      <c r="G3" s="79">
        <v>2</v>
      </c>
      <c r="H3" s="79">
        <v>1</v>
      </c>
      <c r="I3" s="79">
        <v>2</v>
      </c>
      <c r="J3" s="79"/>
      <c r="K3" s="79"/>
      <c r="L3" s="79"/>
      <c r="M3" s="54" t="s">
        <v>747</v>
      </c>
      <c r="N3" s="35">
        <v>0.5</v>
      </c>
      <c r="O3" s="35">
        <v>1011.83</v>
      </c>
      <c r="P3" s="35">
        <v>974.91438230736742</v>
      </c>
      <c r="Q3" s="35">
        <v>238.68</v>
      </c>
      <c r="R3" s="35">
        <v>625.1</v>
      </c>
      <c r="S3" s="35">
        <v>170.20999999999998</v>
      </c>
      <c r="T3" s="38">
        <f t="shared" ref="T3:T65" si="0">Q3/P3</f>
        <v>0.24482149851467661</v>
      </c>
      <c r="U3" s="38">
        <f>S3/R3</f>
        <v>0.27229243321068625</v>
      </c>
      <c r="V3" s="20">
        <v>30</v>
      </c>
      <c r="W3" s="35">
        <v>15.24</v>
      </c>
      <c r="X3" s="35">
        <v>26.02</v>
      </c>
      <c r="Y3" s="35">
        <v>27.14</v>
      </c>
      <c r="Z3" s="35">
        <v>20.11</v>
      </c>
      <c r="AA3" s="35">
        <f t="shared" ref="AA3:AA65" si="1">Y3-Z3</f>
        <v>7.0300000000000011</v>
      </c>
      <c r="AB3" s="35"/>
      <c r="AC3" s="35">
        <v>6.2640000000000002</v>
      </c>
      <c r="AD3" s="35">
        <f t="shared" ref="AD3:AD65" si="2">SUM(W3:Y3)</f>
        <v>68.400000000000006</v>
      </c>
      <c r="AE3" s="31">
        <f t="shared" ref="AE3:AE65" si="3">AD3/V3</f>
        <v>2.2800000000000002</v>
      </c>
      <c r="AF3" s="142">
        <f t="shared" ref="AF3:AF65" si="4">P3/N3</f>
        <v>1949.8287646147348</v>
      </c>
      <c r="AG3" s="38">
        <f t="shared" ref="AG3:AG65" si="5">W3/AD3</f>
        <v>0.22280701754385962</v>
      </c>
      <c r="AH3" s="38">
        <f t="shared" ref="AH3:AH65" si="6">X3/AD3</f>
        <v>0.38040935672514614</v>
      </c>
      <c r="AI3" s="38">
        <f t="shared" ref="AI3:AI65" si="7">Y3/AD3</f>
        <v>0.39678362573099413</v>
      </c>
      <c r="AJ3" s="38">
        <f t="shared" ref="AJ3:AJ65" si="8">Z3/AD3</f>
        <v>0.29400584795321633</v>
      </c>
      <c r="AK3" s="38">
        <f t="shared" ref="AK3:AK65" si="9">AA3/AD3</f>
        <v>0.10277777777777779</v>
      </c>
      <c r="AL3" s="31">
        <f t="shared" ref="AL3:AL65" si="10">AF3*AG3</f>
        <v>434.43553176503735</v>
      </c>
      <c r="AM3" s="31">
        <f t="shared" ref="AM3:AM65" si="11">AF3*AH3</f>
        <v>741.73310607127769</v>
      </c>
      <c r="AN3" s="31">
        <f t="shared" ref="AN3:AN65" si="12">AF3*AI3</f>
        <v>773.66012677841957</v>
      </c>
      <c r="AO3" s="31">
        <f t="shared" ref="AO3:AO65" si="13">AF3*AJ3</f>
        <v>573.26105930412734</v>
      </c>
      <c r="AP3" s="31">
        <f t="shared" ref="AP3:AP65" si="14">AF3*AK3</f>
        <v>200.39906747429222</v>
      </c>
      <c r="AQ3" s="31">
        <f t="shared" ref="AQ3:AQ65" si="15">AF3*AJ3</f>
        <v>573.26105930412734</v>
      </c>
      <c r="AR3" s="38">
        <f t="shared" ref="AR3:AR65" si="16">AQ3/AF3</f>
        <v>0.29400584795321633</v>
      </c>
      <c r="AS3" s="20">
        <f t="shared" ref="AS3:AS65" si="17">100*((S3*2)-Q3)/Q3</f>
        <v>42.626110273169076</v>
      </c>
      <c r="AT3" s="20">
        <f t="shared" ref="AT3:AT65" si="18">100*((R3*2)-P3)/P3</f>
        <v>28.236901895026264</v>
      </c>
      <c r="AU3" s="143">
        <f t="shared" ref="AU3:AU65" si="19">AC3/200</f>
        <v>3.1320000000000001E-2</v>
      </c>
      <c r="AV3" s="20">
        <f t="shared" ref="AV3:AV65" si="20">AQ3/AU3</f>
        <v>18303.354383912112</v>
      </c>
      <c r="AW3" s="20"/>
      <c r="AX3" s="20"/>
      <c r="AY3" s="41"/>
      <c r="AZ3" s="69"/>
      <c r="BA3" s="41"/>
      <c r="BB3" s="41"/>
    </row>
    <row r="4" spans="1:54" x14ac:dyDescent="0.35">
      <c r="A4" s="79" t="s">
        <v>24</v>
      </c>
      <c r="B4" s="79"/>
      <c r="C4" s="79"/>
      <c r="D4" s="79" t="s">
        <v>335</v>
      </c>
      <c r="E4" s="79">
        <v>2023</v>
      </c>
      <c r="F4" s="79">
        <v>1</v>
      </c>
      <c r="G4" s="79">
        <v>3</v>
      </c>
      <c r="H4" s="79">
        <v>1</v>
      </c>
      <c r="I4" s="79">
        <v>3</v>
      </c>
      <c r="J4" s="79"/>
      <c r="K4" s="79"/>
      <c r="L4" s="79"/>
      <c r="M4" s="54" t="s">
        <v>747</v>
      </c>
      <c r="N4" s="35">
        <v>0.5</v>
      </c>
      <c r="O4" s="35">
        <v>1025.7400000000002</v>
      </c>
      <c r="P4" s="35">
        <v>1023.1369135951663</v>
      </c>
      <c r="Q4" s="35">
        <v>321.12</v>
      </c>
      <c r="R4" s="35">
        <v>746.5</v>
      </c>
      <c r="S4" s="35">
        <v>273.27999999999997</v>
      </c>
      <c r="T4" s="38">
        <f t="shared" si="0"/>
        <v>0.31385828791146558</v>
      </c>
      <c r="U4" s="38">
        <f t="shared" ref="U4:U65" si="21">S4/R4</f>
        <v>0.36608171466845274</v>
      </c>
      <c r="V4" s="20">
        <v>30</v>
      </c>
      <c r="W4" s="35">
        <v>15.3</v>
      </c>
      <c r="X4" s="35">
        <v>26.08</v>
      </c>
      <c r="Y4" s="35">
        <v>41.16</v>
      </c>
      <c r="Z4" s="35">
        <v>32.590000000000003</v>
      </c>
      <c r="AA4" s="35">
        <f t="shared" si="1"/>
        <v>8.5699999999999932</v>
      </c>
      <c r="AC4" s="35">
        <v>7.823999999999999</v>
      </c>
      <c r="AD4" s="35">
        <f t="shared" si="2"/>
        <v>82.539999999999992</v>
      </c>
      <c r="AE4" s="31">
        <f t="shared" si="3"/>
        <v>2.7513333333333332</v>
      </c>
      <c r="AF4" s="142">
        <f t="shared" si="4"/>
        <v>2046.2738271903327</v>
      </c>
      <c r="AG4" s="38">
        <f t="shared" si="5"/>
        <v>0.18536467167433973</v>
      </c>
      <c r="AH4" s="38">
        <f t="shared" si="6"/>
        <v>0.31596801550763265</v>
      </c>
      <c r="AI4" s="38">
        <f t="shared" si="7"/>
        <v>0.49866731281802762</v>
      </c>
      <c r="AJ4" s="38">
        <f t="shared" si="8"/>
        <v>0.39483886600436158</v>
      </c>
      <c r="AK4" s="38">
        <f t="shared" si="9"/>
        <v>0.10382844681366603</v>
      </c>
      <c r="AL4" s="31">
        <f t="shared" si="10"/>
        <v>379.3068761329306</v>
      </c>
      <c r="AM4" s="31">
        <f t="shared" si="11"/>
        <v>646.55708036253782</v>
      </c>
      <c r="AN4" s="31">
        <f t="shared" si="12"/>
        <v>1020.4098706948643</v>
      </c>
      <c r="AO4" s="31">
        <f t="shared" si="13"/>
        <v>807.94843746223592</v>
      </c>
      <c r="AP4" s="31">
        <f t="shared" si="14"/>
        <v>212.46143323262828</v>
      </c>
      <c r="AQ4" s="31">
        <f t="shared" si="15"/>
        <v>807.94843746223592</v>
      </c>
      <c r="AR4" s="38">
        <f t="shared" si="16"/>
        <v>0.39483886600436158</v>
      </c>
      <c r="AS4" s="20">
        <f t="shared" si="17"/>
        <v>70.204285002491261</v>
      </c>
      <c r="AT4" s="20">
        <f t="shared" si="18"/>
        <v>45.923774243839723</v>
      </c>
      <c r="AU4" s="143">
        <f t="shared" si="19"/>
        <v>3.9119999999999995E-2</v>
      </c>
      <c r="AV4" s="20">
        <f t="shared" si="20"/>
        <v>20653.078667235073</v>
      </c>
      <c r="AW4" s="20"/>
      <c r="AX4" s="20"/>
      <c r="AY4" s="41"/>
      <c r="BA4" s="41"/>
      <c r="BB4" s="41"/>
    </row>
    <row r="5" spans="1:54" x14ac:dyDescent="0.35">
      <c r="A5" s="79" t="s">
        <v>24</v>
      </c>
      <c r="B5" s="79"/>
      <c r="C5" s="79"/>
      <c r="D5" s="79" t="s">
        <v>29</v>
      </c>
      <c r="E5" s="79">
        <v>1999</v>
      </c>
      <c r="F5" s="79">
        <v>1</v>
      </c>
      <c r="G5" s="79">
        <v>4</v>
      </c>
      <c r="H5" s="79">
        <v>1</v>
      </c>
      <c r="I5" s="79">
        <v>4</v>
      </c>
      <c r="J5" s="79"/>
      <c r="K5" s="79"/>
      <c r="L5" s="79"/>
      <c r="M5" s="54" t="s">
        <v>747</v>
      </c>
      <c r="N5" s="35">
        <v>0.5</v>
      </c>
      <c r="O5" s="35">
        <v>988.48</v>
      </c>
      <c r="P5" s="35">
        <v>965.75919171507962</v>
      </c>
      <c r="Q5" s="35">
        <v>276.49</v>
      </c>
      <c r="R5" s="35">
        <v>656.3</v>
      </c>
      <c r="S5" s="35">
        <v>211.01</v>
      </c>
      <c r="T5" s="38">
        <f t="shared" si="0"/>
        <v>0.28629290031294952</v>
      </c>
      <c r="U5" s="38">
        <f t="shared" si="21"/>
        <v>0.32151455127228401</v>
      </c>
      <c r="V5" s="20">
        <v>30</v>
      </c>
      <c r="W5" s="35">
        <v>10.11</v>
      </c>
      <c r="X5" s="35">
        <v>27.01</v>
      </c>
      <c r="Y5" s="35">
        <v>40.24</v>
      </c>
      <c r="Z5" s="35">
        <v>30.03</v>
      </c>
      <c r="AA5" s="35">
        <f t="shared" si="1"/>
        <v>10.210000000000001</v>
      </c>
      <c r="AC5" s="35">
        <v>7.4480000000000004</v>
      </c>
      <c r="AD5" s="35">
        <f t="shared" si="2"/>
        <v>77.360000000000014</v>
      </c>
      <c r="AE5" s="31">
        <f t="shared" si="3"/>
        <v>2.5786666666666673</v>
      </c>
      <c r="AF5" s="142">
        <f t="shared" si="4"/>
        <v>1931.5183834301592</v>
      </c>
      <c r="AG5" s="38">
        <f t="shared" si="5"/>
        <v>0.13068769389865562</v>
      </c>
      <c r="AH5" s="38">
        <f t="shared" si="6"/>
        <v>0.34914684591520162</v>
      </c>
      <c r="AI5" s="38">
        <f t="shared" si="7"/>
        <v>0.52016546018614263</v>
      </c>
      <c r="AJ5" s="38">
        <f t="shared" si="8"/>
        <v>0.38818510858324712</v>
      </c>
      <c r="AK5" s="38">
        <f t="shared" si="9"/>
        <v>0.13198035160289553</v>
      </c>
      <c r="AL5" s="31">
        <f t="shared" si="10"/>
        <v>252.42568325334679</v>
      </c>
      <c r="AM5" s="31">
        <f t="shared" si="11"/>
        <v>674.38355140186911</v>
      </c>
      <c r="AN5" s="31">
        <f t="shared" si="12"/>
        <v>1004.7091487749431</v>
      </c>
      <c r="AO5" s="31">
        <f t="shared" si="13"/>
        <v>749.78667340237428</v>
      </c>
      <c r="AP5" s="31">
        <f t="shared" si="14"/>
        <v>254.92247537256881</v>
      </c>
      <c r="AQ5" s="31">
        <f t="shared" si="15"/>
        <v>749.78667340237428</v>
      </c>
      <c r="AR5" s="38">
        <f t="shared" si="16"/>
        <v>0.38818510858324712</v>
      </c>
      <c r="AS5" s="20">
        <f t="shared" si="17"/>
        <v>52.634815002350884</v>
      </c>
      <c r="AT5" s="20">
        <f t="shared" si="18"/>
        <v>35.913798311250865</v>
      </c>
      <c r="AU5" s="143">
        <f t="shared" si="19"/>
        <v>3.7240000000000002E-2</v>
      </c>
      <c r="AV5" s="20">
        <f t="shared" si="20"/>
        <v>20133.906374929491</v>
      </c>
      <c r="AW5" s="20"/>
      <c r="AX5" s="20"/>
      <c r="AY5" s="41"/>
      <c r="BA5" s="41"/>
      <c r="BB5" s="41"/>
    </row>
    <row r="6" spans="1:54" x14ac:dyDescent="0.35">
      <c r="A6" s="79" t="s">
        <v>24</v>
      </c>
      <c r="B6" s="79"/>
      <c r="C6" s="79"/>
      <c r="D6" s="79" t="s">
        <v>336</v>
      </c>
      <c r="E6" s="79">
        <v>2002</v>
      </c>
      <c r="F6" s="79">
        <v>1</v>
      </c>
      <c r="G6" s="79">
        <v>5</v>
      </c>
      <c r="H6" s="79">
        <v>1</v>
      </c>
      <c r="I6" s="79">
        <v>5</v>
      </c>
      <c r="J6" s="79"/>
      <c r="K6" s="79"/>
      <c r="L6" s="79"/>
      <c r="M6" s="54" t="s">
        <v>747</v>
      </c>
      <c r="N6" s="35">
        <v>0.5</v>
      </c>
      <c r="O6" s="35">
        <v>970.08</v>
      </c>
      <c r="P6" s="35">
        <v>920.19121951219529</v>
      </c>
      <c r="Q6" s="35">
        <v>298.33</v>
      </c>
      <c r="R6" s="35">
        <v>775</v>
      </c>
      <c r="S6" s="35">
        <v>257.5</v>
      </c>
      <c r="T6" s="38">
        <f t="shared" si="0"/>
        <v>0.3242043541321209</v>
      </c>
      <c r="U6" s="38">
        <f t="shared" si="21"/>
        <v>0.33225806451612905</v>
      </c>
      <c r="V6" s="20">
        <v>30</v>
      </c>
      <c r="W6" s="35">
        <v>17.57</v>
      </c>
      <c r="X6" s="35">
        <v>32.799999999999997</v>
      </c>
      <c r="Y6" s="35">
        <v>49.97</v>
      </c>
      <c r="Z6" s="35">
        <v>36.85</v>
      </c>
      <c r="AA6" s="35">
        <f t="shared" si="1"/>
        <v>13.119999999999997</v>
      </c>
      <c r="AC6" s="35">
        <v>7.3840000000000003</v>
      </c>
      <c r="AD6" s="35">
        <f t="shared" si="2"/>
        <v>100.34</v>
      </c>
      <c r="AE6" s="31">
        <f t="shared" si="3"/>
        <v>3.3446666666666669</v>
      </c>
      <c r="AF6" s="142">
        <f t="shared" si="4"/>
        <v>1840.3824390243906</v>
      </c>
      <c r="AG6" s="38">
        <f t="shared" si="5"/>
        <v>0.17510464420968705</v>
      </c>
      <c r="AH6" s="38">
        <f t="shared" si="6"/>
        <v>0.32688857883197125</v>
      </c>
      <c r="AI6" s="38">
        <f t="shared" si="7"/>
        <v>0.49800677695834161</v>
      </c>
      <c r="AJ6" s="38">
        <f t="shared" si="8"/>
        <v>0.3672513454255531</v>
      </c>
      <c r="AK6" s="38">
        <f t="shared" si="9"/>
        <v>0.13075543153278849</v>
      </c>
      <c r="AL6" s="31">
        <f t="shared" si="10"/>
        <v>322.259512195122</v>
      </c>
      <c r="AM6" s="31">
        <f t="shared" si="11"/>
        <v>601.6</v>
      </c>
      <c r="AN6" s="31">
        <f t="shared" si="12"/>
        <v>916.52292682926839</v>
      </c>
      <c r="AO6" s="31">
        <f t="shared" si="13"/>
        <v>675.8829268292684</v>
      </c>
      <c r="AP6" s="31">
        <f t="shared" si="14"/>
        <v>240.64</v>
      </c>
      <c r="AQ6" s="31">
        <f t="shared" si="15"/>
        <v>675.8829268292684</v>
      </c>
      <c r="AR6" s="38">
        <f t="shared" si="16"/>
        <v>0.3672513454255531</v>
      </c>
      <c r="AS6" s="20">
        <f>100*((S6*2)-Q6)/Q6</f>
        <v>72.627627124325414</v>
      </c>
      <c r="AT6" s="20">
        <f t="shared" si="18"/>
        <v>68.443250395463906</v>
      </c>
      <c r="AU6" s="143">
        <f t="shared" si="19"/>
        <v>3.6920000000000001E-2</v>
      </c>
      <c r="AV6" s="20">
        <f t="shared" si="20"/>
        <v>18306.6881589726</v>
      </c>
      <c r="AW6" s="20"/>
      <c r="AX6" s="20"/>
      <c r="AY6" s="41"/>
      <c r="BA6" s="41"/>
      <c r="BB6" s="41"/>
    </row>
    <row r="7" spans="1:54" s="36" customFormat="1" x14ac:dyDescent="0.35">
      <c r="A7" s="79" t="s">
        <v>24</v>
      </c>
      <c r="B7" s="79"/>
      <c r="C7" s="79"/>
      <c r="D7" s="79" t="s">
        <v>32</v>
      </c>
      <c r="E7" s="79">
        <v>2018</v>
      </c>
      <c r="F7" s="79">
        <v>1</v>
      </c>
      <c r="G7" s="79">
        <v>6</v>
      </c>
      <c r="H7" s="79">
        <v>1</v>
      </c>
      <c r="I7" s="79">
        <v>6</v>
      </c>
      <c r="J7" s="79"/>
      <c r="K7" s="79"/>
      <c r="L7" s="79"/>
      <c r="M7" s="54" t="s">
        <v>747</v>
      </c>
      <c r="N7" s="35">
        <v>0.5</v>
      </c>
      <c r="O7" s="35">
        <v>914.72</v>
      </c>
      <c r="P7" s="35">
        <v>883.00022923749395</v>
      </c>
      <c r="Q7" s="35">
        <v>300.69</v>
      </c>
      <c r="R7" s="35">
        <v>746</v>
      </c>
      <c r="S7" s="35">
        <v>283.24</v>
      </c>
      <c r="T7" s="38">
        <f t="shared" si="0"/>
        <v>0.3405321879244107</v>
      </c>
      <c r="U7" s="38">
        <f t="shared" si="21"/>
        <v>0.37967828418230565</v>
      </c>
      <c r="V7" s="20">
        <v>30</v>
      </c>
      <c r="W7" s="35">
        <v>19.690000000000001</v>
      </c>
      <c r="X7" s="35">
        <v>28.97</v>
      </c>
      <c r="Y7" s="35">
        <v>50.72</v>
      </c>
      <c r="Z7" s="35">
        <v>38.800000000000004</v>
      </c>
      <c r="AA7" s="35">
        <f t="shared" si="1"/>
        <v>11.919999999999995</v>
      </c>
      <c r="AB7" s="35"/>
      <c r="AC7" s="35">
        <v>7.9840000000000009</v>
      </c>
      <c r="AD7" s="35">
        <f t="shared" si="2"/>
        <v>99.38</v>
      </c>
      <c r="AE7" s="31">
        <f t="shared" si="3"/>
        <v>3.3126666666666664</v>
      </c>
      <c r="AF7" s="142">
        <f t="shared" si="4"/>
        <v>1766.0004584749879</v>
      </c>
      <c r="AG7" s="38">
        <f t="shared" si="5"/>
        <v>0.19812839605554439</v>
      </c>
      <c r="AH7" s="38">
        <f t="shared" si="6"/>
        <v>0.29150734554236263</v>
      </c>
      <c r="AI7" s="38">
        <f t="shared" si="7"/>
        <v>0.51036425840209299</v>
      </c>
      <c r="AJ7" s="38">
        <f t="shared" si="8"/>
        <v>0.39042060776816268</v>
      </c>
      <c r="AK7" s="38">
        <f t="shared" si="9"/>
        <v>0.11994365063393032</v>
      </c>
      <c r="AL7" s="31">
        <f t="shared" si="10"/>
        <v>349.89483827100537</v>
      </c>
      <c r="AM7" s="31">
        <f t="shared" si="11"/>
        <v>514.80210587663908</v>
      </c>
      <c r="AN7" s="31">
        <f t="shared" si="12"/>
        <v>901.30351432734346</v>
      </c>
      <c r="AO7" s="31">
        <f t="shared" si="13"/>
        <v>689.48297231665867</v>
      </c>
      <c r="AP7" s="31">
        <f t="shared" si="14"/>
        <v>211.82054201068473</v>
      </c>
      <c r="AQ7" s="31">
        <f t="shared" si="15"/>
        <v>689.48297231665867</v>
      </c>
      <c r="AR7" s="38">
        <f>AQ7/AF7</f>
        <v>0.39042060776816268</v>
      </c>
      <c r="AS7" s="20">
        <f t="shared" si="17"/>
        <v>88.393361934217978</v>
      </c>
      <c r="AT7" s="20">
        <f t="shared" si="18"/>
        <v>68.969378557059002</v>
      </c>
      <c r="AU7" s="143">
        <f t="shared" si="19"/>
        <v>3.9920000000000004E-2</v>
      </c>
      <c r="AV7" s="20">
        <f t="shared" si="20"/>
        <v>17271.61754300247</v>
      </c>
      <c r="AW7" s="20"/>
      <c r="AX7" s="20"/>
      <c r="AY7" s="41"/>
      <c r="AZ7" s="69"/>
      <c r="BA7" s="41"/>
      <c r="BB7" s="41"/>
    </row>
    <row r="8" spans="1:54" x14ac:dyDescent="0.35">
      <c r="A8" s="79" t="s">
        <v>24</v>
      </c>
      <c r="B8" s="79"/>
      <c r="C8" s="79"/>
      <c r="D8" s="79" t="s">
        <v>28</v>
      </c>
      <c r="E8" s="79">
        <v>1998</v>
      </c>
      <c r="F8" s="79">
        <v>1</v>
      </c>
      <c r="G8" s="79">
        <v>7</v>
      </c>
      <c r="H8" s="79">
        <v>1</v>
      </c>
      <c r="I8" s="79">
        <v>7</v>
      </c>
      <c r="J8" s="79"/>
      <c r="K8" s="79"/>
      <c r="L8" s="79"/>
      <c r="M8" s="54" t="s">
        <v>747</v>
      </c>
      <c r="N8" s="35">
        <v>0.5</v>
      </c>
      <c r="O8" s="35">
        <v>926.18000000000006</v>
      </c>
      <c r="P8" s="35">
        <v>914.41407930193759</v>
      </c>
      <c r="Q8" s="35">
        <v>303.13</v>
      </c>
      <c r="R8" s="35">
        <v>711.6</v>
      </c>
      <c r="S8" s="35">
        <v>242.2</v>
      </c>
      <c r="T8" s="38">
        <f t="shared" si="0"/>
        <v>0.33150189488706144</v>
      </c>
      <c r="U8" s="38">
        <f t="shared" si="21"/>
        <v>0.34035975267003932</v>
      </c>
      <c r="V8" s="20">
        <v>30</v>
      </c>
      <c r="W8" s="35">
        <v>13.45</v>
      </c>
      <c r="X8" s="35">
        <v>25.25</v>
      </c>
      <c r="Y8" s="35">
        <v>38.24</v>
      </c>
      <c r="Z8" s="35">
        <v>27.82</v>
      </c>
      <c r="AA8" s="35">
        <f t="shared" si="1"/>
        <v>10.420000000000002</v>
      </c>
      <c r="AC8" s="31">
        <v>7.0880000000000001</v>
      </c>
      <c r="AD8" s="35">
        <f t="shared" si="2"/>
        <v>76.94</v>
      </c>
      <c r="AE8" s="31">
        <f t="shared" si="3"/>
        <v>2.5646666666666667</v>
      </c>
      <c r="AF8" s="142">
        <f t="shared" si="4"/>
        <v>1828.8281586038752</v>
      </c>
      <c r="AG8" s="38">
        <f t="shared" si="5"/>
        <v>0.1748115414608786</v>
      </c>
      <c r="AH8" s="38">
        <f t="shared" si="6"/>
        <v>0.32817780088380555</v>
      </c>
      <c r="AI8" s="38">
        <f t="shared" si="7"/>
        <v>0.49701065765531588</v>
      </c>
      <c r="AJ8" s="38">
        <f t="shared" si="8"/>
        <v>0.3615804523004939</v>
      </c>
      <c r="AK8" s="38">
        <f t="shared" si="9"/>
        <v>0.13543020535482198</v>
      </c>
      <c r="AL8" s="31">
        <f t="shared" si="10"/>
        <v>319.70026947260357</v>
      </c>
      <c r="AM8" s="31">
        <f t="shared" si="11"/>
        <v>600.18080328499934</v>
      </c>
      <c r="AN8" s="31">
        <f t="shared" si="12"/>
        <v>908.94708584627233</v>
      </c>
      <c r="AO8" s="31">
        <f t="shared" si="13"/>
        <v>661.26851276786863</v>
      </c>
      <c r="AP8" s="31">
        <f t="shared" si="14"/>
        <v>247.67857307840376</v>
      </c>
      <c r="AQ8" s="31">
        <f t="shared" si="15"/>
        <v>661.26851276786863</v>
      </c>
      <c r="AR8" s="38">
        <f t="shared" si="16"/>
        <v>0.3615804523004939</v>
      </c>
      <c r="AS8" s="20">
        <f t="shared" si="17"/>
        <v>59.79942598884967</v>
      </c>
      <c r="AT8" s="20">
        <f t="shared" si="18"/>
        <v>55.640648171829213</v>
      </c>
      <c r="AU8" s="143">
        <f t="shared" si="19"/>
        <v>3.5439999999999999E-2</v>
      </c>
      <c r="AV8" s="20">
        <f t="shared" si="20"/>
        <v>18658.818080357469</v>
      </c>
      <c r="AW8" s="41"/>
      <c r="AX8" s="69"/>
      <c r="AY8" s="41"/>
      <c r="AZ8" s="41"/>
      <c r="BA8"/>
      <c r="BB8"/>
    </row>
    <row r="9" spans="1:54" x14ac:dyDescent="0.35">
      <c r="A9" s="79" t="s">
        <v>24</v>
      </c>
      <c r="B9" s="79"/>
      <c r="C9" s="79"/>
      <c r="D9" s="79" t="s">
        <v>337</v>
      </c>
      <c r="E9" s="79">
        <v>2016</v>
      </c>
      <c r="F9" s="79">
        <v>1</v>
      </c>
      <c r="G9" s="79">
        <v>8</v>
      </c>
      <c r="H9" s="79">
        <v>1</v>
      </c>
      <c r="I9" s="79">
        <v>8</v>
      </c>
      <c r="J9" s="79"/>
      <c r="K9" s="79"/>
      <c r="L9" s="79"/>
      <c r="M9" s="54" t="s">
        <v>747</v>
      </c>
      <c r="N9" s="35">
        <v>0.5</v>
      </c>
      <c r="O9" s="35">
        <v>860.29</v>
      </c>
      <c r="P9" s="35">
        <v>841.35676797317115</v>
      </c>
      <c r="Q9" s="35">
        <v>268.43</v>
      </c>
      <c r="R9" s="35">
        <v>680.9</v>
      </c>
      <c r="S9" s="35">
        <v>208.20999999999998</v>
      </c>
      <c r="T9" s="38">
        <f t="shared" si="0"/>
        <v>0.31904420362202351</v>
      </c>
      <c r="U9" s="38">
        <f t="shared" si="21"/>
        <v>0.30578645909825231</v>
      </c>
      <c r="V9" s="20">
        <v>30</v>
      </c>
      <c r="W9" s="35">
        <v>18.28</v>
      </c>
      <c r="X9" s="35">
        <v>30.07</v>
      </c>
      <c r="Y9" s="35">
        <v>44.97</v>
      </c>
      <c r="Z9" s="35">
        <v>33.14</v>
      </c>
      <c r="AA9" s="35">
        <f t="shared" si="1"/>
        <v>11.829999999999998</v>
      </c>
      <c r="AC9" s="35">
        <v>8.0039999999999996</v>
      </c>
      <c r="AD9" s="35">
        <f t="shared" si="2"/>
        <v>93.32</v>
      </c>
      <c r="AE9" s="31">
        <f t="shared" si="3"/>
        <v>3.1106666666666665</v>
      </c>
      <c r="AF9" s="142">
        <f t="shared" si="4"/>
        <v>1682.7135359463423</v>
      </c>
      <c r="AG9" s="38">
        <f t="shared" si="5"/>
        <v>0.19588512644663525</v>
      </c>
      <c r="AH9" s="38">
        <f t="shared" si="6"/>
        <v>0.32222460351478788</v>
      </c>
      <c r="AI9" s="38">
        <f t="shared" si="7"/>
        <v>0.48189027003857698</v>
      </c>
      <c r="AJ9" s="38">
        <f t="shared" si="8"/>
        <v>0.35512216030861554</v>
      </c>
      <c r="AK9" s="38">
        <f t="shared" si="9"/>
        <v>0.12676810972996141</v>
      </c>
      <c r="AL9" s="31">
        <f t="shared" si="10"/>
        <v>329.61855376231398</v>
      </c>
      <c r="AM9" s="31">
        <f t="shared" si="11"/>
        <v>542.21170194927686</v>
      </c>
      <c r="AN9" s="31">
        <f t="shared" si="12"/>
        <v>810.88328023475162</v>
      </c>
      <c r="AO9" s="31">
        <f t="shared" si="13"/>
        <v>597.56886606581429</v>
      </c>
      <c r="AP9" s="31">
        <f t="shared" si="14"/>
        <v>213.3144141689373</v>
      </c>
      <c r="AQ9" s="31">
        <f t="shared" si="15"/>
        <v>597.56886606581429</v>
      </c>
      <c r="AR9" s="38">
        <f t="shared" si="16"/>
        <v>0.35512216030861554</v>
      </c>
      <c r="AS9" s="20">
        <f t="shared" si="17"/>
        <v>55.131691688708393</v>
      </c>
      <c r="AT9" s="20">
        <f t="shared" si="18"/>
        <v>61.857615204139471</v>
      </c>
      <c r="AU9" s="143">
        <f t="shared" si="19"/>
        <v>4.002E-2</v>
      </c>
      <c r="AV9" s="20">
        <f t="shared" si="20"/>
        <v>14931.755773758478</v>
      </c>
      <c r="AW9" s="20"/>
      <c r="AX9" s="20"/>
      <c r="AY9" s="41"/>
      <c r="BA9" s="41"/>
      <c r="BB9" s="41"/>
    </row>
    <row r="10" spans="1:54" x14ac:dyDescent="0.35">
      <c r="A10" s="6" t="s">
        <v>34</v>
      </c>
      <c r="D10" s="6" t="s">
        <v>42</v>
      </c>
      <c r="E10" s="6">
        <v>2016</v>
      </c>
      <c r="F10" s="6">
        <v>1</v>
      </c>
      <c r="G10" s="6">
        <v>1</v>
      </c>
      <c r="H10" s="6">
        <v>2</v>
      </c>
      <c r="I10" s="6">
        <v>9</v>
      </c>
      <c r="M10" s="54" t="s">
        <v>747</v>
      </c>
      <c r="N10" s="35">
        <v>0.5</v>
      </c>
      <c r="O10" s="35">
        <v>822.67</v>
      </c>
      <c r="P10" s="35">
        <v>777.75803702824578</v>
      </c>
      <c r="Q10" s="35">
        <v>283.11</v>
      </c>
      <c r="R10" s="35">
        <v>687.69999999999993</v>
      </c>
      <c r="S10" s="35">
        <v>266</v>
      </c>
      <c r="T10" s="38">
        <f t="shared" si="0"/>
        <v>0.36400781029758528</v>
      </c>
      <c r="U10" s="38">
        <f t="shared" si="21"/>
        <v>0.38679656827104847</v>
      </c>
      <c r="V10" s="20">
        <v>30</v>
      </c>
      <c r="W10" s="35">
        <v>12.1</v>
      </c>
      <c r="X10" s="35">
        <v>25.89</v>
      </c>
      <c r="Y10" s="35">
        <v>41.67</v>
      </c>
      <c r="Z10" s="35">
        <v>31.560000000000002</v>
      </c>
      <c r="AA10" s="35">
        <f t="shared" si="1"/>
        <v>10.11</v>
      </c>
      <c r="AC10" s="35">
        <v>7.2639999999999993</v>
      </c>
      <c r="AD10" s="35">
        <f t="shared" si="2"/>
        <v>79.66</v>
      </c>
      <c r="AE10" s="31">
        <f t="shared" si="3"/>
        <v>2.6553333333333331</v>
      </c>
      <c r="AF10" s="142">
        <f t="shared" si="4"/>
        <v>1555.5160740564916</v>
      </c>
      <c r="AG10" s="38">
        <f t="shared" si="5"/>
        <v>0.15189555611348229</v>
      </c>
      <c r="AH10" s="38">
        <f t="shared" si="6"/>
        <v>0.32500627667587245</v>
      </c>
      <c r="AI10" s="38">
        <f t="shared" si="7"/>
        <v>0.52309816721064528</v>
      </c>
      <c r="AJ10" s="38">
        <f t="shared" si="8"/>
        <v>0.3961837810695456</v>
      </c>
      <c r="AK10" s="38">
        <f t="shared" si="9"/>
        <v>0.12691438614109968</v>
      </c>
      <c r="AL10" s="31">
        <f t="shared" si="10"/>
        <v>236.2759791122715</v>
      </c>
      <c r="AM10" s="31">
        <f t="shared" si="11"/>
        <v>505.55248753857097</v>
      </c>
      <c r="AN10" s="31">
        <f t="shared" si="12"/>
        <v>813.68760740564915</v>
      </c>
      <c r="AO10" s="31">
        <f t="shared" si="13"/>
        <v>616.27023973415612</v>
      </c>
      <c r="AP10" s="31">
        <f t="shared" si="14"/>
        <v>197.41736767149297</v>
      </c>
      <c r="AQ10" s="31">
        <f t="shared" si="15"/>
        <v>616.27023973415612</v>
      </c>
      <c r="AR10" s="38">
        <f t="shared" si="16"/>
        <v>0.3961837810695456</v>
      </c>
      <c r="AS10" s="20">
        <f t="shared" si="17"/>
        <v>87.912825403553384</v>
      </c>
      <c r="AT10" s="20">
        <f t="shared" si="18"/>
        <v>76.84163126816388</v>
      </c>
      <c r="AU10" s="143">
        <f t="shared" si="19"/>
        <v>3.6319999999999998E-2</v>
      </c>
      <c r="AV10" s="20">
        <f t="shared" si="20"/>
        <v>16967.792944222361</v>
      </c>
      <c r="AW10" s="20"/>
      <c r="AX10" s="20"/>
      <c r="AY10" s="41"/>
      <c r="BA10" s="41"/>
      <c r="BB10" s="41"/>
    </row>
    <row r="11" spans="1:54" x14ac:dyDescent="0.35">
      <c r="A11" s="6" t="s">
        <v>34</v>
      </c>
      <c r="D11" s="6" t="s">
        <v>38</v>
      </c>
      <c r="E11" s="6">
        <v>1999</v>
      </c>
      <c r="F11" s="6">
        <v>1</v>
      </c>
      <c r="G11" s="6">
        <v>2</v>
      </c>
      <c r="H11" s="6">
        <v>2</v>
      </c>
      <c r="I11" s="6">
        <v>10</v>
      </c>
      <c r="M11" s="54" t="s">
        <v>747</v>
      </c>
      <c r="N11" s="35">
        <v>0.5</v>
      </c>
      <c r="O11" s="35">
        <v>843.60000000000014</v>
      </c>
      <c r="P11" s="35">
        <v>804.18135799464608</v>
      </c>
      <c r="Q11" s="35">
        <v>259.92</v>
      </c>
      <c r="R11" s="35">
        <v>740.6</v>
      </c>
      <c r="S11" s="35">
        <v>246.51999999999998</v>
      </c>
      <c r="T11" s="38">
        <f t="shared" si="0"/>
        <v>0.32321067557217664</v>
      </c>
      <c r="U11" s="38">
        <f t="shared" si="21"/>
        <v>0.33286524439643528</v>
      </c>
      <c r="V11" s="20">
        <v>30</v>
      </c>
      <c r="W11" s="35">
        <v>15.16</v>
      </c>
      <c r="X11" s="35">
        <v>27.26</v>
      </c>
      <c r="Y11" s="35">
        <v>35.92</v>
      </c>
      <c r="Z11" s="35">
        <v>26.060000000000002</v>
      </c>
      <c r="AA11" s="35">
        <f t="shared" si="1"/>
        <v>9.86</v>
      </c>
      <c r="AC11" s="35">
        <v>7.6959999999999997</v>
      </c>
      <c r="AD11" s="35">
        <f t="shared" si="2"/>
        <v>78.34</v>
      </c>
      <c r="AE11" s="31">
        <f t="shared" si="3"/>
        <v>2.6113333333333335</v>
      </c>
      <c r="AF11" s="142">
        <f t="shared" si="4"/>
        <v>1608.3627159892922</v>
      </c>
      <c r="AG11" s="38">
        <f t="shared" si="5"/>
        <v>0.19351544549400052</v>
      </c>
      <c r="AH11" s="38">
        <f t="shared" si="6"/>
        <v>0.34797038549910647</v>
      </c>
      <c r="AI11" s="38">
        <f t="shared" si="7"/>
        <v>0.45851416900689301</v>
      </c>
      <c r="AJ11" s="38">
        <f t="shared" si="8"/>
        <v>0.33265254020934393</v>
      </c>
      <c r="AK11" s="38">
        <f t="shared" si="9"/>
        <v>0.12586162879754914</v>
      </c>
      <c r="AL11" s="31">
        <f t="shared" si="10"/>
        <v>311.24302750060849</v>
      </c>
      <c r="AM11" s="31">
        <f t="shared" si="11"/>
        <v>559.66259430518392</v>
      </c>
      <c r="AN11" s="31">
        <f t="shared" si="12"/>
        <v>737.45709418349975</v>
      </c>
      <c r="AO11" s="31">
        <f t="shared" si="13"/>
        <v>535.02594305183766</v>
      </c>
      <c r="AP11" s="31">
        <f t="shared" si="14"/>
        <v>202.43115113166223</v>
      </c>
      <c r="AQ11" s="31">
        <f t="shared" si="15"/>
        <v>535.02594305183766</v>
      </c>
      <c r="AR11" s="38">
        <f t="shared" si="16"/>
        <v>0.33265254020934393</v>
      </c>
      <c r="AS11" s="20">
        <f t="shared" si="17"/>
        <v>89.689135118497987</v>
      </c>
      <c r="AT11" s="20">
        <f t="shared" si="18"/>
        <v>84.18730865555095</v>
      </c>
      <c r="AU11" s="143">
        <f t="shared" si="19"/>
        <v>3.848E-2</v>
      </c>
      <c r="AV11" s="20">
        <f t="shared" si="20"/>
        <v>13904.000599060229</v>
      </c>
      <c r="AW11" s="20"/>
      <c r="AX11" s="20"/>
      <c r="AY11" s="41"/>
      <c r="BA11" s="41"/>
      <c r="BB11" s="41"/>
    </row>
    <row r="12" spans="1:54" x14ac:dyDescent="0.35">
      <c r="A12" s="6" t="s">
        <v>34</v>
      </c>
      <c r="D12" s="6" t="s">
        <v>43</v>
      </c>
      <c r="E12" s="6">
        <v>2020</v>
      </c>
      <c r="F12" s="6">
        <v>1</v>
      </c>
      <c r="G12" s="6">
        <v>3</v>
      </c>
      <c r="H12" s="6">
        <v>2</v>
      </c>
      <c r="I12" s="6">
        <v>11</v>
      </c>
      <c r="M12" s="54" t="s">
        <v>747</v>
      </c>
      <c r="N12" s="35">
        <v>0.5</v>
      </c>
      <c r="O12" s="35">
        <v>843.52</v>
      </c>
      <c r="P12" s="35">
        <v>812.74376768428885</v>
      </c>
      <c r="Q12" s="35">
        <v>284.57</v>
      </c>
      <c r="R12" s="35">
        <v>671.6</v>
      </c>
      <c r="S12" s="35">
        <v>241.11</v>
      </c>
      <c r="T12" s="38">
        <f t="shared" si="0"/>
        <v>0.35013495189364713</v>
      </c>
      <c r="U12" s="38">
        <f t="shared" si="21"/>
        <v>0.35900833829660511</v>
      </c>
      <c r="V12" s="20">
        <v>30</v>
      </c>
      <c r="W12" s="35">
        <v>18.36</v>
      </c>
      <c r="X12" s="35">
        <v>32.83</v>
      </c>
      <c r="Y12" s="35">
        <v>52.33</v>
      </c>
      <c r="Z12" s="35">
        <v>40.480000000000004</v>
      </c>
      <c r="AA12" s="35">
        <f t="shared" si="1"/>
        <v>11.849999999999994</v>
      </c>
      <c r="AC12" s="35">
        <v>7.2560000000000002</v>
      </c>
      <c r="AD12" s="35">
        <f t="shared" si="2"/>
        <v>103.52</v>
      </c>
      <c r="AE12" s="31">
        <f t="shared" si="3"/>
        <v>3.4506666666666663</v>
      </c>
      <c r="AF12" s="142">
        <f t="shared" si="4"/>
        <v>1625.4875353685777</v>
      </c>
      <c r="AG12" s="38">
        <f t="shared" si="5"/>
        <v>0.17735703245749615</v>
      </c>
      <c r="AH12" s="38">
        <f t="shared" si="6"/>
        <v>0.31713678516228749</v>
      </c>
      <c r="AI12" s="38">
        <f t="shared" si="7"/>
        <v>0.50550618238021638</v>
      </c>
      <c r="AJ12" s="38">
        <f t="shared" si="8"/>
        <v>0.39103554868624424</v>
      </c>
      <c r="AK12" s="38">
        <f t="shared" si="9"/>
        <v>0.11447063369397213</v>
      </c>
      <c r="AL12" s="31">
        <f t="shared" si="10"/>
        <v>288.29164556962024</v>
      </c>
      <c r="AM12" s="31">
        <f t="shared" si="11"/>
        <v>515.50189128816078</v>
      </c>
      <c r="AN12" s="31">
        <f t="shared" si="12"/>
        <v>821.69399851079663</v>
      </c>
      <c r="AO12" s="31">
        <f t="shared" si="13"/>
        <v>635.62341027550258</v>
      </c>
      <c r="AP12" s="31">
        <f t="shared" si="14"/>
        <v>186.07058823529403</v>
      </c>
      <c r="AQ12" s="31">
        <f t="shared" si="15"/>
        <v>635.62341027550258</v>
      </c>
      <c r="AR12" s="38">
        <f t="shared" si="16"/>
        <v>0.39103554868624424</v>
      </c>
      <c r="AS12" s="20">
        <f t="shared" si="17"/>
        <v>69.45566995818254</v>
      </c>
      <c r="AT12" s="20">
        <f t="shared" si="18"/>
        <v>65.267339278049988</v>
      </c>
      <c r="AU12" s="143">
        <f t="shared" si="19"/>
        <v>3.628E-2</v>
      </c>
      <c r="AV12" s="20">
        <f t="shared" si="20"/>
        <v>17519.939643756963</v>
      </c>
      <c r="AW12" s="20"/>
      <c r="AX12" s="20"/>
      <c r="AY12" s="41"/>
      <c r="BA12" s="41"/>
      <c r="BB12" s="41"/>
    </row>
    <row r="13" spans="1:54" x14ac:dyDescent="0.35">
      <c r="A13" s="6" t="s">
        <v>34</v>
      </c>
      <c r="D13" s="6" t="s">
        <v>41</v>
      </c>
      <c r="E13" s="6">
        <v>2008</v>
      </c>
      <c r="F13" s="6">
        <v>1</v>
      </c>
      <c r="G13" s="6">
        <v>4</v>
      </c>
      <c r="H13" s="6">
        <v>2</v>
      </c>
      <c r="I13" s="6">
        <v>12</v>
      </c>
      <c r="M13" s="54" t="s">
        <v>747</v>
      </c>
      <c r="N13" s="35">
        <v>0.5</v>
      </c>
      <c r="O13" s="35">
        <v>784.75</v>
      </c>
      <c r="P13" s="35">
        <v>755.61753753054813</v>
      </c>
      <c r="Q13" s="35">
        <v>259.56</v>
      </c>
      <c r="R13" s="35">
        <v>720.9</v>
      </c>
      <c r="S13" s="35">
        <v>256.33</v>
      </c>
      <c r="T13" s="38">
        <f t="shared" si="0"/>
        <v>0.34350711452287658</v>
      </c>
      <c r="U13" s="38">
        <f t="shared" si="21"/>
        <v>0.35556942710500761</v>
      </c>
      <c r="V13" s="20">
        <v>30</v>
      </c>
      <c r="W13" s="35">
        <v>11.91</v>
      </c>
      <c r="X13" s="35">
        <v>25.48</v>
      </c>
      <c r="Y13" s="35">
        <v>45.35</v>
      </c>
      <c r="Z13" s="35">
        <v>35.270000000000003</v>
      </c>
      <c r="AA13" s="35">
        <f t="shared" si="1"/>
        <v>10.079999999999998</v>
      </c>
      <c r="AC13" s="35">
        <v>6.9599999999999991</v>
      </c>
      <c r="AD13" s="35">
        <f t="shared" si="2"/>
        <v>82.740000000000009</v>
      </c>
      <c r="AE13" s="31">
        <f t="shared" si="3"/>
        <v>2.7580000000000005</v>
      </c>
      <c r="AF13" s="142">
        <f t="shared" si="4"/>
        <v>1511.2350750610963</v>
      </c>
      <c r="AG13" s="38">
        <f t="shared" si="5"/>
        <v>0.14394488759970991</v>
      </c>
      <c r="AH13" s="38">
        <f t="shared" si="6"/>
        <v>0.30795262267343482</v>
      </c>
      <c r="AI13" s="38">
        <f t="shared" si="7"/>
        <v>0.54810248972685516</v>
      </c>
      <c r="AJ13" s="38">
        <f t="shared" si="8"/>
        <v>0.42627507855934249</v>
      </c>
      <c r="AK13" s="38">
        <f t="shared" si="9"/>
        <v>0.12182741116751265</v>
      </c>
      <c r="AL13" s="31">
        <f t="shared" si="10"/>
        <v>217.53456301640867</v>
      </c>
      <c r="AM13" s="31">
        <f t="shared" si="11"/>
        <v>465.38880484114975</v>
      </c>
      <c r="AN13" s="31">
        <f t="shared" si="12"/>
        <v>828.31170720353771</v>
      </c>
      <c r="AO13" s="31">
        <f t="shared" si="13"/>
        <v>644.20185034330268</v>
      </c>
      <c r="AP13" s="31">
        <f t="shared" si="14"/>
        <v>184.10985686023503</v>
      </c>
      <c r="AQ13" s="31">
        <f t="shared" si="15"/>
        <v>644.20185034330268</v>
      </c>
      <c r="AR13" s="38">
        <f t="shared" si="16"/>
        <v>0.42627507855934249</v>
      </c>
      <c r="AS13" s="20">
        <f t="shared" si="17"/>
        <v>97.511172753891188</v>
      </c>
      <c r="AT13" s="20">
        <f t="shared" si="18"/>
        <v>90.810817429142958</v>
      </c>
      <c r="AU13" s="143">
        <f t="shared" si="19"/>
        <v>3.4799999999999998E-2</v>
      </c>
      <c r="AV13" s="20">
        <f t="shared" si="20"/>
        <v>18511.547423658125</v>
      </c>
      <c r="AW13" s="20"/>
      <c r="AX13" s="20"/>
      <c r="AY13" s="41"/>
      <c r="BA13" s="41"/>
      <c r="BB13" s="41"/>
    </row>
    <row r="14" spans="1:54" x14ac:dyDescent="0.35">
      <c r="A14" s="6" t="s">
        <v>34</v>
      </c>
      <c r="D14" s="6" t="s">
        <v>37</v>
      </c>
      <c r="E14" s="6">
        <v>1989</v>
      </c>
      <c r="F14" s="6">
        <v>1</v>
      </c>
      <c r="G14" s="6">
        <v>5</v>
      </c>
      <c r="H14" s="6">
        <v>2</v>
      </c>
      <c r="I14" s="6">
        <v>13</v>
      </c>
      <c r="M14" s="54" t="s">
        <v>747</v>
      </c>
      <c r="N14" s="35">
        <v>0.5</v>
      </c>
      <c r="O14" s="35">
        <v>842.04000000000008</v>
      </c>
      <c r="P14" s="35">
        <v>830.8266011063306</v>
      </c>
      <c r="Q14" s="35">
        <v>238.02</v>
      </c>
      <c r="R14" s="35">
        <v>689.1</v>
      </c>
      <c r="S14" s="35">
        <v>227.20999999999998</v>
      </c>
      <c r="T14" s="38">
        <f t="shared" si="0"/>
        <v>0.28648577173991785</v>
      </c>
      <c r="U14" s="38">
        <f t="shared" si="21"/>
        <v>0.32971992453925408</v>
      </c>
      <c r="V14" s="20">
        <v>30</v>
      </c>
      <c r="W14" s="35">
        <v>12.9</v>
      </c>
      <c r="X14" s="35">
        <v>30.73</v>
      </c>
      <c r="Y14" s="35">
        <v>52.69</v>
      </c>
      <c r="Z14" s="35">
        <v>40.090000000000003</v>
      </c>
      <c r="AA14" s="35">
        <f t="shared" si="1"/>
        <v>12.599999999999994</v>
      </c>
      <c r="AC14" s="35">
        <v>6.2560000000000002</v>
      </c>
      <c r="AD14" s="35">
        <f t="shared" si="2"/>
        <v>96.32</v>
      </c>
      <c r="AE14" s="31">
        <f t="shared" si="3"/>
        <v>3.2106666666666666</v>
      </c>
      <c r="AF14" s="142">
        <f t="shared" si="4"/>
        <v>1661.6532022126612</v>
      </c>
      <c r="AG14" s="38">
        <f t="shared" si="5"/>
        <v>0.13392857142857145</v>
      </c>
      <c r="AH14" s="38">
        <f t="shared" si="6"/>
        <v>0.31904069767441862</v>
      </c>
      <c r="AI14" s="38">
        <f t="shared" si="7"/>
        <v>0.54703073089700993</v>
      </c>
      <c r="AJ14" s="38">
        <f t="shared" si="8"/>
        <v>0.41621677740863794</v>
      </c>
      <c r="AK14" s="38">
        <f t="shared" si="9"/>
        <v>0.13081395348837205</v>
      </c>
      <c r="AL14" s="31">
        <f t="shared" si="10"/>
        <v>222.54283958205289</v>
      </c>
      <c r="AM14" s="31">
        <f t="shared" si="11"/>
        <v>530.13499692685923</v>
      </c>
      <c r="AN14" s="31">
        <f t="shared" si="12"/>
        <v>908.97536570374905</v>
      </c>
      <c r="AO14" s="31">
        <f t="shared" si="13"/>
        <v>691.60794099569762</v>
      </c>
      <c r="AP14" s="31">
        <f t="shared" si="14"/>
        <v>217.36742470805154</v>
      </c>
      <c r="AQ14" s="31">
        <f t="shared" si="15"/>
        <v>691.60794099569762</v>
      </c>
      <c r="AR14" s="38">
        <f t="shared" si="16"/>
        <v>0.41621677740863794</v>
      </c>
      <c r="AS14" s="20">
        <f t="shared" si="17"/>
        <v>90.916729686580936</v>
      </c>
      <c r="AT14" s="20">
        <f t="shared" si="18"/>
        <v>65.882989081570784</v>
      </c>
      <c r="AU14" s="143">
        <f t="shared" si="19"/>
        <v>3.1280000000000002E-2</v>
      </c>
      <c r="AV14" s="20">
        <f t="shared" si="20"/>
        <v>22110.228292701329</v>
      </c>
      <c r="AW14" s="20"/>
      <c r="AX14" s="20"/>
      <c r="AY14" s="41"/>
      <c r="BA14" s="41"/>
      <c r="BB14" s="41"/>
    </row>
    <row r="15" spans="1:54" x14ac:dyDescent="0.35">
      <c r="A15" s="6" t="s">
        <v>34</v>
      </c>
      <c r="D15" s="6" t="s">
        <v>343</v>
      </c>
      <c r="E15" s="6">
        <v>2004</v>
      </c>
      <c r="F15" s="6">
        <v>1</v>
      </c>
      <c r="G15" s="6">
        <v>6</v>
      </c>
      <c r="H15" s="6">
        <v>2</v>
      </c>
      <c r="I15" s="6">
        <v>14</v>
      </c>
      <c r="M15" s="54" t="s">
        <v>747</v>
      </c>
      <c r="N15" s="35">
        <v>0.5</v>
      </c>
      <c r="O15" s="35">
        <v>869.12000000000012</v>
      </c>
      <c r="P15" s="35">
        <v>836.8588832487311</v>
      </c>
      <c r="Q15" s="35">
        <v>280.51</v>
      </c>
      <c r="R15" s="35">
        <v>751.1</v>
      </c>
      <c r="S15" s="35">
        <v>248.57999999999998</v>
      </c>
      <c r="T15" s="38">
        <f t="shared" si="0"/>
        <v>0.33519390857278725</v>
      </c>
      <c r="U15" s="38">
        <f t="shared" si="21"/>
        <v>0.33095459992011711</v>
      </c>
      <c r="V15" s="20">
        <v>30</v>
      </c>
      <c r="W15" s="35">
        <v>13.01</v>
      </c>
      <c r="X15" s="35">
        <v>31.78</v>
      </c>
      <c r="Y15" s="35">
        <v>46.26</v>
      </c>
      <c r="Z15" s="35">
        <v>35.160000000000004</v>
      </c>
      <c r="AA15" s="35">
        <f t="shared" si="1"/>
        <v>11.099999999999994</v>
      </c>
      <c r="AC15" s="35">
        <v>7.3760000000000003</v>
      </c>
      <c r="AD15" s="35">
        <f t="shared" si="2"/>
        <v>91.05</v>
      </c>
      <c r="AE15" s="31">
        <f t="shared" si="3"/>
        <v>3.0349999999999997</v>
      </c>
      <c r="AF15" s="142">
        <f t="shared" si="4"/>
        <v>1673.7177664974622</v>
      </c>
      <c r="AG15" s="38">
        <f t="shared" si="5"/>
        <v>0.14288852278967601</v>
      </c>
      <c r="AH15" s="38">
        <f t="shared" si="6"/>
        <v>0.34903898956617246</v>
      </c>
      <c r="AI15" s="38">
        <f t="shared" si="7"/>
        <v>0.50807248764415158</v>
      </c>
      <c r="AJ15" s="38">
        <f t="shared" si="8"/>
        <v>0.38616144975288308</v>
      </c>
      <c r="AK15" s="38">
        <f t="shared" si="9"/>
        <v>0.12191103789126848</v>
      </c>
      <c r="AL15" s="31">
        <f t="shared" si="10"/>
        <v>239.15505922165826</v>
      </c>
      <c r="AM15" s="31">
        <f t="shared" si="11"/>
        <v>584.19275803722519</v>
      </c>
      <c r="AN15" s="31">
        <f t="shared" si="12"/>
        <v>850.3699492385789</v>
      </c>
      <c r="AO15" s="31">
        <f t="shared" si="13"/>
        <v>646.3252791878175</v>
      </c>
      <c r="AP15" s="31">
        <f t="shared" si="14"/>
        <v>204.04467005076137</v>
      </c>
      <c r="AQ15" s="31">
        <f t="shared" si="15"/>
        <v>646.3252791878175</v>
      </c>
      <c r="AR15" s="38">
        <f t="shared" si="16"/>
        <v>0.38616144975288313</v>
      </c>
      <c r="AS15" s="20">
        <f t="shared" si="17"/>
        <v>77.234323197033959</v>
      </c>
      <c r="AT15" s="20">
        <f t="shared" si="18"/>
        <v>79.504577183715739</v>
      </c>
      <c r="AU15" s="143">
        <f t="shared" si="19"/>
        <v>3.6880000000000003E-2</v>
      </c>
      <c r="AV15" s="20">
        <f t="shared" si="20"/>
        <v>17525.088915070974</v>
      </c>
      <c r="AW15" s="20"/>
      <c r="AX15" s="20"/>
      <c r="AY15" s="41"/>
      <c r="BA15" s="41"/>
      <c r="BB15" s="41"/>
    </row>
    <row r="16" spans="1:54" x14ac:dyDescent="0.35">
      <c r="A16" s="6" t="s">
        <v>34</v>
      </c>
      <c r="D16" s="6" t="s">
        <v>36</v>
      </c>
      <c r="E16" s="6">
        <v>1984</v>
      </c>
      <c r="F16" s="6">
        <v>1</v>
      </c>
      <c r="G16" s="6">
        <v>7</v>
      </c>
      <c r="H16" s="6">
        <v>2</v>
      </c>
      <c r="I16" s="6">
        <v>15</v>
      </c>
      <c r="M16" s="54" t="s">
        <v>747</v>
      </c>
      <c r="N16" s="35">
        <v>0.5</v>
      </c>
      <c r="O16" s="35">
        <v>918.29</v>
      </c>
      <c r="P16" s="35">
        <v>888.09336772876736</v>
      </c>
      <c r="Q16" s="35">
        <v>295.37</v>
      </c>
      <c r="R16" s="35">
        <v>559.79999999999995</v>
      </c>
      <c r="S16" s="35">
        <v>180.5</v>
      </c>
      <c r="T16" s="38">
        <f t="shared" si="0"/>
        <v>0.3325889041997766</v>
      </c>
      <c r="U16" s="38">
        <f t="shared" si="21"/>
        <v>0.32243658449446233</v>
      </c>
      <c r="V16" s="20">
        <v>30</v>
      </c>
      <c r="W16" s="35">
        <v>12.34</v>
      </c>
      <c r="X16" s="35">
        <v>28.32</v>
      </c>
      <c r="Y16" s="35">
        <v>44.629999999999995</v>
      </c>
      <c r="Z16" s="35">
        <v>34.190000000000005</v>
      </c>
      <c r="AA16" s="35">
        <f t="shared" si="1"/>
        <v>10.439999999999991</v>
      </c>
      <c r="AC16" s="35">
        <v>6.3079999999999998</v>
      </c>
      <c r="AD16" s="35">
        <f t="shared" si="2"/>
        <v>85.289999999999992</v>
      </c>
      <c r="AE16" s="31">
        <f t="shared" si="3"/>
        <v>2.8429999999999995</v>
      </c>
      <c r="AF16" s="142">
        <f t="shared" si="4"/>
        <v>1776.1867354575347</v>
      </c>
      <c r="AG16" s="38">
        <f t="shared" si="5"/>
        <v>0.14468284675811938</v>
      </c>
      <c r="AH16" s="38">
        <f t="shared" si="6"/>
        <v>0.33204361589869857</v>
      </c>
      <c r="AI16" s="38">
        <f t="shared" si="7"/>
        <v>0.52327353734318205</v>
      </c>
      <c r="AJ16" s="38">
        <f t="shared" si="8"/>
        <v>0.40086762809239074</v>
      </c>
      <c r="AK16" s="38">
        <f t="shared" si="9"/>
        <v>0.12240590925079133</v>
      </c>
      <c r="AL16" s="31">
        <f t="shared" si="10"/>
        <v>256.98375326000684</v>
      </c>
      <c r="AM16" s="31">
        <f t="shared" si="11"/>
        <v>589.77146615262495</v>
      </c>
      <c r="AN16" s="31">
        <f t="shared" si="12"/>
        <v>929.43151604490288</v>
      </c>
      <c r="AO16" s="31">
        <f t="shared" si="13"/>
        <v>712.0157636920286</v>
      </c>
      <c r="AP16" s="31">
        <f t="shared" si="14"/>
        <v>217.41575235287431</v>
      </c>
      <c r="AQ16" s="31">
        <f t="shared" si="15"/>
        <v>712.0157636920286</v>
      </c>
      <c r="AR16" s="38">
        <f t="shared" si="16"/>
        <v>0.40086762809239074</v>
      </c>
      <c r="AS16" s="20">
        <f t="shared" si="17"/>
        <v>22.219588990080236</v>
      </c>
      <c r="AT16" s="20">
        <f t="shared" si="18"/>
        <v>26.067825825936918</v>
      </c>
      <c r="AU16" s="143">
        <f t="shared" si="19"/>
        <v>3.1539999999999999E-2</v>
      </c>
      <c r="AV16" s="20">
        <f t="shared" si="20"/>
        <v>22575.008360558928</v>
      </c>
      <c r="AW16" s="20"/>
      <c r="AX16" s="20"/>
      <c r="AY16" s="41"/>
      <c r="BA16" s="41"/>
      <c r="BB16" s="41"/>
    </row>
    <row r="17" spans="1:80" x14ac:dyDescent="0.35">
      <c r="A17" s="6" t="s">
        <v>34</v>
      </c>
      <c r="D17" s="6" t="s">
        <v>39</v>
      </c>
      <c r="E17" s="6">
        <v>2001</v>
      </c>
      <c r="F17" s="6">
        <v>1</v>
      </c>
      <c r="G17" s="6">
        <v>8</v>
      </c>
      <c r="H17" s="6">
        <v>2</v>
      </c>
      <c r="I17" s="6">
        <v>16</v>
      </c>
      <c r="M17" s="54" t="s">
        <v>747</v>
      </c>
      <c r="N17" s="35">
        <v>0.5</v>
      </c>
      <c r="O17" s="35">
        <v>904.52</v>
      </c>
      <c r="P17" s="35">
        <v>836.0209561020456</v>
      </c>
      <c r="Q17" s="35">
        <v>328.95</v>
      </c>
      <c r="R17" s="35">
        <v>728.8</v>
      </c>
      <c r="S17" s="35">
        <v>268.79000000000002</v>
      </c>
      <c r="T17" s="38">
        <f t="shared" si="0"/>
        <v>0.39347099806412988</v>
      </c>
      <c r="U17" s="38">
        <f t="shared" si="21"/>
        <v>0.36881174533479699</v>
      </c>
      <c r="V17" s="20">
        <v>30</v>
      </c>
      <c r="W17" s="35">
        <v>11.21</v>
      </c>
      <c r="X17" s="35">
        <v>27.76</v>
      </c>
      <c r="Y17" s="35">
        <v>41.46</v>
      </c>
      <c r="Z17" s="35">
        <v>30.970000000000006</v>
      </c>
      <c r="AA17" s="35">
        <f t="shared" si="1"/>
        <v>10.489999999999995</v>
      </c>
      <c r="AC17" s="35">
        <v>8.604000000000001</v>
      </c>
      <c r="AD17" s="35">
        <f t="shared" si="2"/>
        <v>80.430000000000007</v>
      </c>
      <c r="AE17" s="31">
        <f t="shared" si="3"/>
        <v>2.681</v>
      </c>
      <c r="AF17" s="142">
        <f t="shared" si="4"/>
        <v>1672.0419122040912</v>
      </c>
      <c r="AG17" s="38">
        <f t="shared" si="5"/>
        <v>0.13937585478055453</v>
      </c>
      <c r="AH17" s="38">
        <f t="shared" si="6"/>
        <v>0.34514484645032945</v>
      </c>
      <c r="AI17" s="38">
        <f t="shared" si="7"/>
        <v>0.51547929876911602</v>
      </c>
      <c r="AJ17" s="38">
        <f t="shared" si="8"/>
        <v>0.38505532761407441</v>
      </c>
      <c r="AK17" s="38">
        <f t="shared" si="9"/>
        <v>0.13042397115504159</v>
      </c>
      <c r="AL17" s="31">
        <f t="shared" si="10"/>
        <v>233.04227074235811</v>
      </c>
      <c r="AM17" s="31">
        <f t="shared" si="11"/>
        <v>577.09664904619626</v>
      </c>
      <c r="AN17" s="31">
        <f t="shared" si="12"/>
        <v>861.9029924155368</v>
      </c>
      <c r="AO17" s="31">
        <f t="shared" si="13"/>
        <v>643.82864628820982</v>
      </c>
      <c r="AP17" s="31">
        <f t="shared" si="14"/>
        <v>218.07434612732698</v>
      </c>
      <c r="AQ17" s="31">
        <f t="shared" si="15"/>
        <v>643.82864628820982</v>
      </c>
      <c r="AR17" s="38">
        <f t="shared" si="16"/>
        <v>0.38505532761407446</v>
      </c>
      <c r="AS17" s="20">
        <f t="shared" si="17"/>
        <v>63.423012615899083</v>
      </c>
      <c r="AT17" s="20">
        <f t="shared" si="18"/>
        <v>74.34969654302347</v>
      </c>
      <c r="AU17" s="143">
        <f t="shared" si="19"/>
        <v>4.3020000000000003E-2</v>
      </c>
      <c r="AV17" s="20">
        <f t="shared" si="20"/>
        <v>14965.798379549275</v>
      </c>
      <c r="AW17" s="20"/>
      <c r="AX17" s="20"/>
      <c r="AY17" s="41"/>
      <c r="BA17" s="41"/>
      <c r="BB17" s="41"/>
    </row>
    <row r="18" spans="1:80" x14ac:dyDescent="0.35">
      <c r="A18" s="79" t="s">
        <v>24</v>
      </c>
      <c r="B18" s="79"/>
      <c r="C18" s="79"/>
      <c r="D18" s="79" t="s">
        <v>335</v>
      </c>
      <c r="E18" s="79">
        <v>2023</v>
      </c>
      <c r="F18" s="79">
        <v>2</v>
      </c>
      <c r="G18" s="79">
        <v>1</v>
      </c>
      <c r="H18" s="79">
        <v>3</v>
      </c>
      <c r="I18" s="79">
        <v>17</v>
      </c>
      <c r="J18" s="79"/>
      <c r="K18" s="79"/>
      <c r="L18" s="79"/>
      <c r="M18" s="54" t="s">
        <v>747</v>
      </c>
      <c r="N18" s="35">
        <v>0.5</v>
      </c>
      <c r="O18" s="35">
        <v>926.27</v>
      </c>
      <c r="P18" s="35">
        <v>890.03425335934116</v>
      </c>
      <c r="Q18" s="35">
        <v>301.38</v>
      </c>
      <c r="R18" s="35">
        <v>712.6</v>
      </c>
      <c r="S18" s="35">
        <v>247.88</v>
      </c>
      <c r="T18" s="38">
        <f t="shared" si="0"/>
        <v>0.33861618118906406</v>
      </c>
      <c r="U18" s="38">
        <f t="shared" si="21"/>
        <v>0.34785293292169517</v>
      </c>
      <c r="V18" s="20">
        <v>30</v>
      </c>
      <c r="W18" s="35">
        <v>13.44</v>
      </c>
      <c r="X18" s="35">
        <v>29.48</v>
      </c>
      <c r="Y18" s="35">
        <v>45.75</v>
      </c>
      <c r="Z18" s="35">
        <v>34.96</v>
      </c>
      <c r="AA18" s="35">
        <f t="shared" si="1"/>
        <v>10.79</v>
      </c>
      <c r="AC18" s="35">
        <v>7.0040000000000004</v>
      </c>
      <c r="AD18" s="35">
        <f t="shared" si="2"/>
        <v>88.67</v>
      </c>
      <c r="AE18" s="31">
        <f t="shared" si="3"/>
        <v>2.9556666666666667</v>
      </c>
      <c r="AF18" s="142">
        <f t="shared" si="4"/>
        <v>1780.0685067186823</v>
      </c>
      <c r="AG18" s="38">
        <f t="shared" si="5"/>
        <v>0.1515732491259727</v>
      </c>
      <c r="AH18" s="38">
        <f t="shared" si="6"/>
        <v>0.33246870418405322</v>
      </c>
      <c r="AI18" s="38">
        <f t="shared" si="7"/>
        <v>0.51595804668997403</v>
      </c>
      <c r="AJ18" s="38">
        <f t="shared" si="8"/>
        <v>0.39427089207172661</v>
      </c>
      <c r="AK18" s="38">
        <f t="shared" si="9"/>
        <v>0.12168715461824742</v>
      </c>
      <c r="AL18" s="31">
        <f t="shared" si="10"/>
        <v>269.81076723016906</v>
      </c>
      <c r="AM18" s="31">
        <f t="shared" si="11"/>
        <v>591.81706978760292</v>
      </c>
      <c r="AN18" s="31">
        <f t="shared" si="12"/>
        <v>918.44066970091023</v>
      </c>
      <c r="AO18" s="31">
        <f t="shared" si="13"/>
        <v>701.8291980927612</v>
      </c>
      <c r="AP18" s="31">
        <f t="shared" si="14"/>
        <v>216.61147160814909</v>
      </c>
      <c r="AQ18" s="31">
        <f t="shared" si="15"/>
        <v>701.8291980927612</v>
      </c>
      <c r="AR18" s="38">
        <f t="shared" si="16"/>
        <v>0.39427089207172666</v>
      </c>
      <c r="AS18" s="20">
        <f t="shared" si="17"/>
        <v>64.496648749087527</v>
      </c>
      <c r="AT18" s="20">
        <f t="shared" si="18"/>
        <v>60.128668601318637</v>
      </c>
      <c r="AU18" s="143">
        <f t="shared" si="19"/>
        <v>3.5020000000000003E-2</v>
      </c>
      <c r="AV18" s="20">
        <f t="shared" si="20"/>
        <v>20040.810910701348</v>
      </c>
      <c r="AW18" s="20"/>
      <c r="AX18" s="20"/>
      <c r="AY18" s="41"/>
      <c r="BA18" s="41"/>
      <c r="BB18" s="41"/>
    </row>
    <row r="19" spans="1:80" x14ac:dyDescent="0.35">
      <c r="A19" s="79" t="s">
        <v>24</v>
      </c>
      <c r="B19" s="79"/>
      <c r="C19" s="79"/>
      <c r="D19" s="79" t="s">
        <v>28</v>
      </c>
      <c r="E19" s="79">
        <v>1998</v>
      </c>
      <c r="F19" s="79">
        <v>2</v>
      </c>
      <c r="G19" s="79">
        <v>2</v>
      </c>
      <c r="H19" s="79">
        <v>3</v>
      </c>
      <c r="I19" s="79">
        <v>18</v>
      </c>
      <c r="J19" s="79"/>
      <c r="K19" s="79"/>
      <c r="L19" s="79"/>
      <c r="M19" s="54" t="s">
        <v>747</v>
      </c>
      <c r="N19" s="35">
        <v>0.5</v>
      </c>
      <c r="O19" s="35">
        <v>1044.23</v>
      </c>
      <c r="P19" s="35">
        <v>1032.6101248473335</v>
      </c>
      <c r="Q19" s="35">
        <v>301.89999999999998</v>
      </c>
      <c r="R19" s="35">
        <v>697</v>
      </c>
      <c r="S19" s="35">
        <v>209.20999999999998</v>
      </c>
      <c r="T19" s="38">
        <f t="shared" si="0"/>
        <v>0.29236591113672689</v>
      </c>
      <c r="U19" s="38">
        <f t="shared" si="21"/>
        <v>0.30015781922525103</v>
      </c>
      <c r="V19" s="20">
        <v>30</v>
      </c>
      <c r="W19" s="35">
        <v>13.59</v>
      </c>
      <c r="X19" s="35">
        <v>23.82</v>
      </c>
      <c r="Y19" s="35">
        <v>35.46</v>
      </c>
      <c r="Z19" s="35">
        <v>26.18</v>
      </c>
      <c r="AA19" s="35">
        <f t="shared" si="1"/>
        <v>9.2800000000000011</v>
      </c>
      <c r="AC19" s="35">
        <v>6.5720000000000001</v>
      </c>
      <c r="AD19" s="35">
        <f t="shared" si="2"/>
        <v>72.87</v>
      </c>
      <c r="AE19" s="31">
        <f t="shared" si="3"/>
        <v>2.4290000000000003</v>
      </c>
      <c r="AF19" s="142">
        <f t="shared" si="4"/>
        <v>2065.220249694667</v>
      </c>
      <c r="AG19" s="38">
        <f t="shared" si="5"/>
        <v>0.18649650061753806</v>
      </c>
      <c r="AH19" s="38">
        <f t="shared" si="6"/>
        <v>0.32688349114862081</v>
      </c>
      <c r="AI19" s="38">
        <f t="shared" si="7"/>
        <v>0.48662000823384105</v>
      </c>
      <c r="AJ19" s="38">
        <f t="shared" si="8"/>
        <v>0.35926993275696445</v>
      </c>
      <c r="AK19" s="38">
        <f t="shared" si="9"/>
        <v>0.12735007547687663</v>
      </c>
      <c r="AL19" s="31">
        <f t="shared" si="10"/>
        <v>385.15634957253354</v>
      </c>
      <c r="AM19" s="31">
        <f t="shared" si="11"/>
        <v>675.08640521101916</v>
      </c>
      <c r="AN19" s="31">
        <f t="shared" si="12"/>
        <v>1004.9774949111141</v>
      </c>
      <c r="AO19" s="31">
        <f t="shared" si="13"/>
        <v>741.97154023612438</v>
      </c>
      <c r="AP19" s="31">
        <f t="shared" si="14"/>
        <v>263.00595467498982</v>
      </c>
      <c r="AQ19" s="31">
        <f t="shared" si="15"/>
        <v>741.97154023612438</v>
      </c>
      <c r="AR19" s="38">
        <f t="shared" si="16"/>
        <v>0.35926993275696445</v>
      </c>
      <c r="AS19" s="20">
        <f t="shared" si="17"/>
        <v>38.595561444186814</v>
      </c>
      <c r="AT19" s="20">
        <f t="shared" si="18"/>
        <v>34.997707891552608</v>
      </c>
      <c r="AU19" s="143">
        <f t="shared" si="19"/>
        <v>3.286E-2</v>
      </c>
      <c r="AV19" s="20">
        <f t="shared" si="20"/>
        <v>22579.779069875971</v>
      </c>
      <c r="AW19" s="20"/>
      <c r="AX19" s="20"/>
      <c r="AY19" s="41"/>
      <c r="BA19" s="41"/>
      <c r="BB19" s="41"/>
    </row>
    <row r="20" spans="1:80" x14ac:dyDescent="0.35">
      <c r="A20" s="79" t="s">
        <v>24</v>
      </c>
      <c r="B20" s="79"/>
      <c r="C20" s="79"/>
      <c r="D20" s="79" t="s">
        <v>26</v>
      </c>
      <c r="E20" s="79">
        <v>1983</v>
      </c>
      <c r="F20" s="79">
        <v>2</v>
      </c>
      <c r="G20" s="79">
        <v>3</v>
      </c>
      <c r="H20" s="79">
        <v>3</v>
      </c>
      <c r="I20" s="79">
        <v>19</v>
      </c>
      <c r="J20" s="79"/>
      <c r="K20" s="79"/>
      <c r="L20" s="79"/>
      <c r="M20" s="54" t="s">
        <v>747</v>
      </c>
      <c r="N20" s="35">
        <v>0.5</v>
      </c>
      <c r="O20" s="35">
        <v>936.47</v>
      </c>
      <c r="P20" s="35">
        <v>890.10436068820388</v>
      </c>
      <c r="Q20" s="35">
        <v>195.09</v>
      </c>
      <c r="R20" s="35">
        <v>917.6</v>
      </c>
      <c r="S20" s="35">
        <v>257.32</v>
      </c>
      <c r="T20" s="38">
        <f t="shared" si="0"/>
        <v>0.21917654672443337</v>
      </c>
      <c r="U20" s="38">
        <f t="shared" si="21"/>
        <v>0.28042720139494332</v>
      </c>
      <c r="V20" s="20">
        <v>30</v>
      </c>
      <c r="W20" s="35">
        <v>13.66</v>
      </c>
      <c r="X20" s="35">
        <v>29.59</v>
      </c>
      <c r="Y20" s="35">
        <v>33.54</v>
      </c>
      <c r="Z20" s="35">
        <v>24.950000000000003</v>
      </c>
      <c r="AA20" s="35">
        <f t="shared" si="1"/>
        <v>8.5899999999999963</v>
      </c>
      <c r="AC20" s="35">
        <v>6.1639999999999997</v>
      </c>
      <c r="AD20" s="35">
        <f t="shared" si="2"/>
        <v>76.789999999999992</v>
      </c>
      <c r="AE20" s="31">
        <f t="shared" si="3"/>
        <v>2.5596666666666663</v>
      </c>
      <c r="AF20" s="142">
        <f t="shared" si="4"/>
        <v>1780.2087213764078</v>
      </c>
      <c r="AG20" s="38">
        <f t="shared" si="5"/>
        <v>0.17788774580023442</v>
      </c>
      <c r="AH20" s="38">
        <f t="shared" si="6"/>
        <v>0.38533663237400706</v>
      </c>
      <c r="AI20" s="38">
        <f t="shared" si="7"/>
        <v>0.43677562182575858</v>
      </c>
      <c r="AJ20" s="38">
        <f t="shared" si="8"/>
        <v>0.32491209792941794</v>
      </c>
      <c r="AK20" s="38">
        <f t="shared" si="9"/>
        <v>0.11186352389634063</v>
      </c>
      <c r="AL20" s="31">
        <f t="shared" si="10"/>
        <v>316.67731649956676</v>
      </c>
      <c r="AM20" s="31">
        <f t="shared" si="11"/>
        <v>685.97963361802204</v>
      </c>
      <c r="AN20" s="31">
        <f t="shared" si="12"/>
        <v>777.55177125881914</v>
      </c>
      <c r="AO20" s="31">
        <f t="shared" si="13"/>
        <v>578.41135041465532</v>
      </c>
      <c r="AP20" s="31">
        <f t="shared" si="14"/>
        <v>199.1404208441638</v>
      </c>
      <c r="AQ20" s="31">
        <f t="shared" si="15"/>
        <v>578.41135041465532</v>
      </c>
      <c r="AR20" s="38">
        <f t="shared" si="16"/>
        <v>0.32491209792941794</v>
      </c>
      <c r="AS20" s="20">
        <f t="shared" si="17"/>
        <v>163.79619662719767</v>
      </c>
      <c r="AT20" s="20">
        <f t="shared" si="18"/>
        <v>106.17807091531093</v>
      </c>
      <c r="AU20" s="143">
        <f t="shared" si="19"/>
        <v>3.082E-2</v>
      </c>
      <c r="AV20" s="20">
        <f t="shared" si="20"/>
        <v>18767.402674064091</v>
      </c>
      <c r="AW20" s="20"/>
      <c r="AX20" s="20"/>
      <c r="AY20" s="41"/>
      <c r="BA20" s="41"/>
      <c r="BB20" s="41"/>
    </row>
    <row r="21" spans="1:80" x14ac:dyDescent="0.35">
      <c r="A21" s="79" t="s">
        <v>24</v>
      </c>
      <c r="B21" s="79"/>
      <c r="C21" s="79"/>
      <c r="D21" s="79" t="s">
        <v>336</v>
      </c>
      <c r="E21" s="79">
        <v>2002</v>
      </c>
      <c r="F21" s="79">
        <v>2</v>
      </c>
      <c r="G21" s="79">
        <v>4</v>
      </c>
      <c r="H21" s="79">
        <v>3</v>
      </c>
      <c r="I21" s="79">
        <v>20</v>
      </c>
      <c r="J21" s="79"/>
      <c r="K21" s="79"/>
      <c r="L21" s="79"/>
      <c r="M21" s="54" t="s">
        <v>747</v>
      </c>
      <c r="N21" s="35">
        <v>0.5</v>
      </c>
      <c r="O21" s="35">
        <v>950.22</v>
      </c>
      <c r="P21" s="35">
        <v>973.00623478883324</v>
      </c>
      <c r="Q21" s="35">
        <v>299.42</v>
      </c>
      <c r="R21" s="35">
        <v>756.5</v>
      </c>
      <c r="S21" s="35">
        <v>256.71999999999997</v>
      </c>
      <c r="T21" s="38">
        <f t="shared" si="0"/>
        <v>0.30772670235251026</v>
      </c>
      <c r="U21" s="38">
        <f t="shared" si="21"/>
        <v>0.33935228023793784</v>
      </c>
      <c r="V21" s="20">
        <v>30</v>
      </c>
      <c r="W21" s="35">
        <v>20.04</v>
      </c>
      <c r="X21" s="35">
        <v>24.57</v>
      </c>
      <c r="Y21" s="35">
        <v>41.22</v>
      </c>
      <c r="Z21" s="35">
        <v>31.64</v>
      </c>
      <c r="AA21" s="35">
        <f t="shared" si="1"/>
        <v>9.5799999999999983</v>
      </c>
      <c r="AC21" s="35">
        <v>7.5200000000000005</v>
      </c>
      <c r="AD21" s="35">
        <f t="shared" si="2"/>
        <v>85.83</v>
      </c>
      <c r="AE21" s="31">
        <f t="shared" si="3"/>
        <v>2.8609999999999998</v>
      </c>
      <c r="AF21" s="142">
        <f t="shared" si="4"/>
        <v>1946.0124695776665</v>
      </c>
      <c r="AG21" s="38">
        <f t="shared" si="5"/>
        <v>0.23348479552603985</v>
      </c>
      <c r="AH21" s="38">
        <f t="shared" si="6"/>
        <v>0.28626354421530936</v>
      </c>
      <c r="AI21" s="38">
        <f t="shared" si="7"/>
        <v>0.48025166025865079</v>
      </c>
      <c r="AJ21" s="38">
        <f t="shared" si="8"/>
        <v>0.36863567517185136</v>
      </c>
      <c r="AK21" s="38">
        <f t="shared" si="9"/>
        <v>0.11161598508679947</v>
      </c>
      <c r="AL21" s="31">
        <f t="shared" si="10"/>
        <v>454.36432355046531</v>
      </c>
      <c r="AM21" s="31">
        <f t="shared" si="11"/>
        <v>557.07242662848967</v>
      </c>
      <c r="AN21" s="31">
        <f t="shared" si="12"/>
        <v>934.5757193987115</v>
      </c>
      <c r="AO21" s="31">
        <f t="shared" si="13"/>
        <v>717.36962061560496</v>
      </c>
      <c r="AP21" s="31">
        <f t="shared" si="14"/>
        <v>217.20609878310663</v>
      </c>
      <c r="AQ21" s="31">
        <f t="shared" si="15"/>
        <v>717.36962061560496</v>
      </c>
      <c r="AR21" s="38">
        <f t="shared" si="16"/>
        <v>0.36863567517185136</v>
      </c>
      <c r="AS21" s="20">
        <f t="shared" si="17"/>
        <v>71.478191169594524</v>
      </c>
      <c r="AT21" s="20">
        <f t="shared" si="18"/>
        <v>55.497461979609923</v>
      </c>
      <c r="AU21" s="143">
        <f t="shared" si="19"/>
        <v>3.7600000000000001E-2</v>
      </c>
      <c r="AV21" s="20">
        <f t="shared" si="20"/>
        <v>19078.97927169162</v>
      </c>
      <c r="AW21" s="20"/>
      <c r="AX21" s="20"/>
      <c r="AY21" s="41"/>
      <c r="BA21" s="41"/>
      <c r="BB21" s="41"/>
    </row>
    <row r="22" spans="1:80" x14ac:dyDescent="0.35">
      <c r="A22" s="79" t="s">
        <v>24</v>
      </c>
      <c r="B22" s="79"/>
      <c r="C22" s="79"/>
      <c r="D22" s="79" t="s">
        <v>29</v>
      </c>
      <c r="E22" s="79">
        <v>1999</v>
      </c>
      <c r="F22" s="79">
        <v>2</v>
      </c>
      <c r="G22" s="79">
        <v>5</v>
      </c>
      <c r="H22" s="79">
        <v>3</v>
      </c>
      <c r="I22" s="79">
        <v>21</v>
      </c>
      <c r="J22" s="79"/>
      <c r="K22" s="79"/>
      <c r="L22" s="79"/>
      <c r="M22" s="54" t="s">
        <v>747</v>
      </c>
      <c r="N22" s="35">
        <v>0.5</v>
      </c>
      <c r="O22" s="35">
        <v>1022</v>
      </c>
      <c r="P22" s="35">
        <v>972.80373831775694</v>
      </c>
      <c r="Q22" s="35">
        <v>312.19</v>
      </c>
      <c r="R22" s="35">
        <v>767.5</v>
      </c>
      <c r="S22" s="35">
        <v>255.15999999999997</v>
      </c>
      <c r="T22" s="38">
        <f t="shared" si="0"/>
        <v>0.32091776347391682</v>
      </c>
      <c r="U22" s="38">
        <f t="shared" si="21"/>
        <v>0.33245602605863189</v>
      </c>
      <c r="V22" s="20">
        <v>30</v>
      </c>
      <c r="W22" s="35">
        <v>13.11</v>
      </c>
      <c r="X22" s="35">
        <v>25.65</v>
      </c>
      <c r="Y22" s="35">
        <v>35.589999999999996</v>
      </c>
      <c r="Z22" s="35">
        <v>26.940000000000005</v>
      </c>
      <c r="AA22" s="35">
        <f t="shared" si="1"/>
        <v>8.6499999999999915</v>
      </c>
      <c r="AC22" s="35">
        <v>6.7959999999999994</v>
      </c>
      <c r="AD22" s="35">
        <f t="shared" si="2"/>
        <v>74.349999999999994</v>
      </c>
      <c r="AE22" s="31">
        <f t="shared" si="3"/>
        <v>2.4783333333333331</v>
      </c>
      <c r="AF22" s="142">
        <f t="shared" si="4"/>
        <v>1945.6074766355139</v>
      </c>
      <c r="AG22" s="38">
        <f t="shared" si="5"/>
        <v>0.17632817753866847</v>
      </c>
      <c r="AH22" s="38">
        <f t="shared" si="6"/>
        <v>0.3449899125756557</v>
      </c>
      <c r="AI22" s="38">
        <f t="shared" si="7"/>
        <v>0.47868190988567583</v>
      </c>
      <c r="AJ22" s="38">
        <f t="shared" si="8"/>
        <v>0.36234028244788175</v>
      </c>
      <c r="AK22" s="38">
        <f t="shared" si="9"/>
        <v>0.11634162743779411</v>
      </c>
      <c r="AL22" s="31">
        <f t="shared" si="10"/>
        <v>343.06542056074767</v>
      </c>
      <c r="AM22" s="31">
        <f t="shared" si="11"/>
        <v>671.21495327102798</v>
      </c>
      <c r="AN22" s="31">
        <f t="shared" si="12"/>
        <v>931.32710280373817</v>
      </c>
      <c r="AO22" s="31">
        <f t="shared" si="13"/>
        <v>704.97196261682257</v>
      </c>
      <c r="AP22" s="31">
        <f t="shared" si="14"/>
        <v>226.35514018691566</v>
      </c>
      <c r="AQ22" s="31">
        <f t="shared" si="15"/>
        <v>704.97196261682257</v>
      </c>
      <c r="AR22" s="38">
        <f t="shared" si="16"/>
        <v>0.36234028244788175</v>
      </c>
      <c r="AS22" s="20">
        <f t="shared" si="17"/>
        <v>63.46455684038564</v>
      </c>
      <c r="AT22" s="20">
        <f t="shared" si="18"/>
        <v>57.791334422134703</v>
      </c>
      <c r="AU22" s="143">
        <f t="shared" si="19"/>
        <v>3.3979999999999996E-2</v>
      </c>
      <c r="AV22" s="20">
        <f t="shared" si="20"/>
        <v>20746.673414267883</v>
      </c>
      <c r="AW22" s="20"/>
      <c r="AX22" s="20"/>
      <c r="AY22" s="41"/>
      <c r="BA22" s="41"/>
      <c r="BB22" s="41"/>
    </row>
    <row r="23" spans="1:80" x14ac:dyDescent="0.35">
      <c r="A23" s="79" t="s">
        <v>24</v>
      </c>
      <c r="B23" s="79"/>
      <c r="C23" s="79"/>
      <c r="D23" s="79" t="s">
        <v>337</v>
      </c>
      <c r="E23" s="79">
        <v>2016</v>
      </c>
      <c r="F23" s="79">
        <v>2</v>
      </c>
      <c r="G23" s="79">
        <v>6</v>
      </c>
      <c r="H23" s="79">
        <v>3</v>
      </c>
      <c r="I23" s="79">
        <v>22</v>
      </c>
      <c r="J23" s="79"/>
      <c r="K23" s="79"/>
      <c r="L23" s="79"/>
      <c r="M23" s="54" t="s">
        <v>747</v>
      </c>
      <c r="N23" s="35">
        <v>0.5</v>
      </c>
      <c r="O23" s="35">
        <v>895.99</v>
      </c>
      <c r="P23" s="35">
        <v>880.70696304283888</v>
      </c>
      <c r="Q23" s="35">
        <v>250.29</v>
      </c>
      <c r="R23" s="35">
        <v>776</v>
      </c>
      <c r="S23" s="35">
        <v>244.77999999999997</v>
      </c>
      <c r="T23" s="38">
        <f t="shared" si="0"/>
        <v>0.28419214392861059</v>
      </c>
      <c r="U23" s="38">
        <f t="shared" si="21"/>
        <v>0.31543814432989686</v>
      </c>
      <c r="V23" s="20">
        <v>30</v>
      </c>
      <c r="W23" s="35">
        <v>22.88</v>
      </c>
      <c r="X23" s="35">
        <v>30.13</v>
      </c>
      <c r="Y23" s="35">
        <v>47.26</v>
      </c>
      <c r="Z23" s="35">
        <v>35.18</v>
      </c>
      <c r="AA23" s="35">
        <f t="shared" si="1"/>
        <v>12.079999999999998</v>
      </c>
      <c r="AC23" s="35">
        <v>7.8360000000000003</v>
      </c>
      <c r="AD23" s="35">
        <f t="shared" si="2"/>
        <v>100.27</v>
      </c>
      <c r="AE23" s="31">
        <f t="shared" si="3"/>
        <v>3.3423333333333334</v>
      </c>
      <c r="AF23" s="142">
        <f t="shared" si="4"/>
        <v>1761.4139260856778</v>
      </c>
      <c r="AG23" s="38">
        <f t="shared" si="5"/>
        <v>0.22818390346065623</v>
      </c>
      <c r="AH23" s="38">
        <f t="shared" si="6"/>
        <v>0.30048868056248129</v>
      </c>
      <c r="AI23" s="38">
        <f t="shared" si="7"/>
        <v>0.47132741597686245</v>
      </c>
      <c r="AJ23" s="38">
        <f t="shared" si="8"/>
        <v>0.35085269771616634</v>
      </c>
      <c r="AK23" s="38">
        <f t="shared" si="9"/>
        <v>0.12047471826069611</v>
      </c>
      <c r="AL23" s="31">
        <f t="shared" si="10"/>
        <v>401.92630526418975</v>
      </c>
      <c r="AM23" s="31">
        <f t="shared" si="11"/>
        <v>529.28494657386523</v>
      </c>
      <c r="AN23" s="31">
        <f t="shared" si="12"/>
        <v>830.20267424762267</v>
      </c>
      <c r="AO23" s="31">
        <f t="shared" si="13"/>
        <v>617.99682776198404</v>
      </c>
      <c r="AP23" s="31">
        <f t="shared" si="14"/>
        <v>212.20584648563863</v>
      </c>
      <c r="AQ23" s="31">
        <f t="shared" si="15"/>
        <v>617.99682776198404</v>
      </c>
      <c r="AR23" s="38">
        <f t="shared" si="16"/>
        <v>0.35085269771616634</v>
      </c>
      <c r="AS23" s="20">
        <f t="shared" si="17"/>
        <v>95.597107355467642</v>
      </c>
      <c r="AT23" s="20">
        <f t="shared" si="18"/>
        <v>76.222065355069574</v>
      </c>
      <c r="AU23" s="143">
        <f t="shared" si="19"/>
        <v>3.918E-2</v>
      </c>
      <c r="AV23" s="20">
        <f t="shared" si="20"/>
        <v>15773.272786166004</v>
      </c>
      <c r="AW23" s="20"/>
      <c r="AX23" s="20"/>
      <c r="AY23" s="41"/>
      <c r="BA23" s="41"/>
      <c r="BB23" s="41"/>
    </row>
    <row r="24" spans="1:80" x14ac:dyDescent="0.35">
      <c r="A24" s="79" t="s">
        <v>24</v>
      </c>
      <c r="B24" s="79"/>
      <c r="C24" s="79"/>
      <c r="D24" s="79" t="s">
        <v>32</v>
      </c>
      <c r="E24" s="79">
        <v>2018</v>
      </c>
      <c r="F24" s="79">
        <v>2</v>
      </c>
      <c r="G24" s="79">
        <v>7</v>
      </c>
      <c r="H24" s="79">
        <v>3</v>
      </c>
      <c r="I24" s="79">
        <v>23</v>
      </c>
      <c r="J24" s="79"/>
      <c r="K24" s="79"/>
      <c r="L24" s="79"/>
      <c r="M24" s="54" t="s">
        <v>747</v>
      </c>
      <c r="N24" s="35">
        <v>0.5</v>
      </c>
      <c r="O24" s="35">
        <v>1033.21</v>
      </c>
      <c r="P24" s="35">
        <v>1074.9836798844831</v>
      </c>
      <c r="Q24" s="35">
        <v>347.92</v>
      </c>
      <c r="R24" s="35">
        <v>723</v>
      </c>
      <c r="S24" s="35">
        <v>263.27999999999997</v>
      </c>
      <c r="T24" s="38">
        <f t="shared" si="0"/>
        <v>0.32365142514292611</v>
      </c>
      <c r="U24" s="38">
        <f t="shared" si="21"/>
        <v>0.36414937759336097</v>
      </c>
      <c r="V24" s="20">
        <v>30</v>
      </c>
      <c r="W24" s="35">
        <v>17.89</v>
      </c>
      <c r="X24" s="35">
        <v>25.71</v>
      </c>
      <c r="Y24" s="35">
        <v>50.07</v>
      </c>
      <c r="Z24" s="35">
        <v>37.630000000000003</v>
      </c>
      <c r="AA24" s="35">
        <f t="shared" si="1"/>
        <v>12.439999999999998</v>
      </c>
      <c r="AC24" s="35">
        <v>7.6840000000000002</v>
      </c>
      <c r="AD24" s="35">
        <f t="shared" si="2"/>
        <v>93.67</v>
      </c>
      <c r="AE24" s="31">
        <f t="shared" si="3"/>
        <v>3.1223333333333332</v>
      </c>
      <c r="AF24" s="142">
        <f t="shared" si="4"/>
        <v>2149.9673597689662</v>
      </c>
      <c r="AG24" s="38">
        <f t="shared" si="5"/>
        <v>0.19098964449663713</v>
      </c>
      <c r="AH24" s="38">
        <f t="shared" si="6"/>
        <v>0.27447421799935945</v>
      </c>
      <c r="AI24" s="38">
        <f t="shared" si="7"/>
        <v>0.53453613750400342</v>
      </c>
      <c r="AJ24" s="38">
        <f t="shared" si="8"/>
        <v>0.40172947581936586</v>
      </c>
      <c r="AK24" s="38">
        <f t="shared" si="9"/>
        <v>0.13280666168463753</v>
      </c>
      <c r="AL24" s="31">
        <f t="shared" si="10"/>
        <v>410.62150172164837</v>
      </c>
      <c r="AM24" s="31">
        <f t="shared" si="11"/>
        <v>590.11060979673448</v>
      </c>
      <c r="AN24" s="31">
        <f t="shared" si="12"/>
        <v>1149.2352482505833</v>
      </c>
      <c r="AO24" s="31">
        <f t="shared" si="13"/>
        <v>863.70526046873272</v>
      </c>
      <c r="AP24" s="31">
        <f t="shared" si="14"/>
        <v>285.52998778185048</v>
      </c>
      <c r="AQ24" s="31">
        <f t="shared" si="15"/>
        <v>863.70526046873272</v>
      </c>
      <c r="AR24" s="38">
        <f t="shared" si="16"/>
        <v>0.40172947581936586</v>
      </c>
      <c r="AS24" s="20">
        <f t="shared" si="17"/>
        <v>51.345136813060449</v>
      </c>
      <c r="AT24" s="20">
        <f t="shared" si="18"/>
        <v>34.513670026635758</v>
      </c>
      <c r="AU24" s="143">
        <f t="shared" si="19"/>
        <v>3.8420000000000003E-2</v>
      </c>
      <c r="AV24" s="20">
        <f t="shared" si="20"/>
        <v>22480.615837291323</v>
      </c>
      <c r="AW24" s="20"/>
      <c r="AX24" s="20"/>
      <c r="AY24" s="41"/>
      <c r="BA24" s="41"/>
      <c r="BB24" s="41"/>
    </row>
    <row r="25" spans="1:80" x14ac:dyDescent="0.35">
      <c r="A25" s="79" t="s">
        <v>24</v>
      </c>
      <c r="B25" s="79"/>
      <c r="C25" s="79"/>
      <c r="D25" s="79" t="s">
        <v>27</v>
      </c>
      <c r="E25" s="79">
        <v>1985</v>
      </c>
      <c r="F25" s="79">
        <v>2</v>
      </c>
      <c r="G25" s="79">
        <v>8</v>
      </c>
      <c r="H25" s="79">
        <v>3</v>
      </c>
      <c r="I25" s="79">
        <v>24</v>
      </c>
      <c r="J25" s="79"/>
      <c r="K25" s="79"/>
      <c r="L25" s="79"/>
      <c r="M25" s="54" t="s">
        <v>747</v>
      </c>
      <c r="N25" s="35">
        <v>0.5</v>
      </c>
      <c r="O25" s="35">
        <v>972.92000000000007</v>
      </c>
      <c r="P25" s="35">
        <v>905.87884912959396</v>
      </c>
      <c r="Q25" s="35">
        <v>266.97000000000003</v>
      </c>
      <c r="R25" s="35">
        <v>730.8</v>
      </c>
      <c r="S25" s="35">
        <v>229.7</v>
      </c>
      <c r="T25" s="38">
        <f t="shared" si="0"/>
        <v>0.2947082827427927</v>
      </c>
      <c r="U25" s="38">
        <f t="shared" si="21"/>
        <v>0.31431308155446086</v>
      </c>
      <c r="V25" s="20">
        <v>30</v>
      </c>
      <c r="W25" s="35">
        <v>10.98</v>
      </c>
      <c r="X25" s="35">
        <v>27.33</v>
      </c>
      <c r="Y25" s="35">
        <v>38.71</v>
      </c>
      <c r="Z25" s="35">
        <v>28.07</v>
      </c>
      <c r="AA25" s="35">
        <f t="shared" si="1"/>
        <v>10.64</v>
      </c>
      <c r="AC25" s="35">
        <v>6.98</v>
      </c>
      <c r="AD25" s="35">
        <f t="shared" si="2"/>
        <v>77.02000000000001</v>
      </c>
      <c r="AE25" s="31">
        <f t="shared" si="3"/>
        <v>2.5673333333333335</v>
      </c>
      <c r="AF25" s="142">
        <f t="shared" si="4"/>
        <v>1811.7576982591879</v>
      </c>
      <c r="AG25" s="38">
        <f t="shared" si="5"/>
        <v>0.14256037392884963</v>
      </c>
      <c r="AH25" s="38">
        <f t="shared" si="6"/>
        <v>0.3548428979485847</v>
      </c>
      <c r="AI25" s="38">
        <f t="shared" si="7"/>
        <v>0.50259672812256551</v>
      </c>
      <c r="AJ25" s="38">
        <f t="shared" si="8"/>
        <v>0.36445079200207736</v>
      </c>
      <c r="AK25" s="38">
        <f t="shared" si="9"/>
        <v>0.13814593612048817</v>
      </c>
      <c r="AL25" s="31">
        <f t="shared" si="10"/>
        <v>258.28485493230176</v>
      </c>
      <c r="AM25" s="31">
        <f t="shared" si="11"/>
        <v>642.88935203094775</v>
      </c>
      <c r="AN25" s="31">
        <f t="shared" si="12"/>
        <v>910.58349129593819</v>
      </c>
      <c r="AO25" s="31">
        <f t="shared" si="13"/>
        <v>660.29652804642171</v>
      </c>
      <c r="AP25" s="31">
        <f t="shared" si="14"/>
        <v>250.28696324951645</v>
      </c>
      <c r="AQ25" s="31">
        <f t="shared" si="15"/>
        <v>660.29652804642171</v>
      </c>
      <c r="AR25" s="38">
        <f t="shared" si="16"/>
        <v>0.36445079200207736</v>
      </c>
      <c r="AS25" s="20">
        <f t="shared" si="17"/>
        <v>72.079259841929783</v>
      </c>
      <c r="AT25" s="20">
        <f t="shared" si="18"/>
        <v>61.346078606909295</v>
      </c>
      <c r="AU25" s="143">
        <f t="shared" si="19"/>
        <v>3.49E-2</v>
      </c>
      <c r="AV25" s="20">
        <f t="shared" si="20"/>
        <v>18919.671290728416</v>
      </c>
      <c r="AW25" s="20"/>
      <c r="AX25" s="20"/>
      <c r="AY25" s="41"/>
      <c r="BA25" s="41"/>
      <c r="BB25" s="41"/>
    </row>
    <row r="26" spans="1:80" x14ac:dyDescent="0.35">
      <c r="A26" s="71" t="s">
        <v>34</v>
      </c>
      <c r="B26" s="71"/>
      <c r="C26" s="72"/>
      <c r="D26" s="71" t="s">
        <v>343</v>
      </c>
      <c r="E26" s="71">
        <v>2004</v>
      </c>
      <c r="F26" s="72">
        <v>2</v>
      </c>
      <c r="G26" s="72">
        <v>1</v>
      </c>
      <c r="H26" s="72">
        <v>4</v>
      </c>
      <c r="I26" s="72">
        <v>25</v>
      </c>
      <c r="J26" s="72"/>
      <c r="K26" s="72"/>
      <c r="L26" s="72"/>
      <c r="M26" s="54" t="s">
        <v>747</v>
      </c>
      <c r="N26" s="35">
        <v>0.5</v>
      </c>
      <c r="O26" s="35">
        <v>846.17000000000007</v>
      </c>
      <c r="P26" s="35">
        <v>812.93673716012086</v>
      </c>
      <c r="Q26" s="35">
        <v>284.98</v>
      </c>
      <c r="R26" s="35">
        <v>673.6</v>
      </c>
      <c r="S26" s="35">
        <v>251.84999999999997</v>
      </c>
      <c r="T26" s="38">
        <f t="shared" si="0"/>
        <v>0.35055618349287204</v>
      </c>
      <c r="U26" s="38">
        <f t="shared" si="21"/>
        <v>0.37388657957244648</v>
      </c>
      <c r="V26" s="20">
        <v>30</v>
      </c>
      <c r="W26" s="35">
        <v>9.15</v>
      </c>
      <c r="X26" s="35">
        <v>28.22</v>
      </c>
      <c r="Y26" s="35">
        <v>45.309999999999995</v>
      </c>
      <c r="Z26" s="35">
        <v>34.660000000000004</v>
      </c>
      <c r="AA26" s="35">
        <f t="shared" si="1"/>
        <v>10.649999999999991</v>
      </c>
      <c r="AC26" s="35">
        <v>7.0319999999999991</v>
      </c>
      <c r="AD26" s="35">
        <f t="shared" si="2"/>
        <v>82.679999999999993</v>
      </c>
      <c r="AE26" s="31">
        <f t="shared" si="3"/>
        <v>2.7559999999999998</v>
      </c>
      <c r="AF26" s="142">
        <f t="shared" si="4"/>
        <v>1625.8734743202417</v>
      </c>
      <c r="AG26" s="38">
        <f t="shared" si="5"/>
        <v>0.11066763425253992</v>
      </c>
      <c r="AH26" s="38">
        <f t="shared" si="6"/>
        <v>0.34131591678761491</v>
      </c>
      <c r="AI26" s="38">
        <f t="shared" si="7"/>
        <v>0.54801644895984514</v>
      </c>
      <c r="AJ26" s="38">
        <f t="shared" si="8"/>
        <v>0.41920657958393814</v>
      </c>
      <c r="AK26" s="38">
        <f t="shared" si="9"/>
        <v>0.12880986937590702</v>
      </c>
      <c r="AL26" s="31">
        <f t="shared" si="10"/>
        <v>179.93157099697888</v>
      </c>
      <c r="AM26" s="31">
        <f t="shared" si="11"/>
        <v>554.93649546827794</v>
      </c>
      <c r="AN26" s="31">
        <f t="shared" si="12"/>
        <v>891.00540785498481</v>
      </c>
      <c r="AO26" s="31">
        <f t="shared" si="13"/>
        <v>681.57685800604247</v>
      </c>
      <c r="AP26" s="31">
        <f t="shared" si="14"/>
        <v>209.42854984894245</v>
      </c>
      <c r="AQ26" s="31">
        <f t="shared" si="15"/>
        <v>681.57685800604247</v>
      </c>
      <c r="AR26" s="38">
        <f t="shared" si="16"/>
        <v>0.4192065795839382</v>
      </c>
      <c r="AS26" s="20">
        <f t="shared" si="17"/>
        <v>76.749245561091982</v>
      </c>
      <c r="AT26" s="20">
        <f t="shared" si="18"/>
        <v>65.720152432310059</v>
      </c>
      <c r="AU26" s="143">
        <f t="shared" si="19"/>
        <v>3.5159999999999997E-2</v>
      </c>
      <c r="AV26" s="20">
        <f t="shared" si="20"/>
        <v>19385.007338055817</v>
      </c>
      <c r="AW26" s="20"/>
      <c r="AX26" s="20"/>
      <c r="AY26" s="41"/>
      <c r="BA26" s="41"/>
      <c r="BB26" s="41"/>
    </row>
    <row r="27" spans="1:80" x14ac:dyDescent="0.35">
      <c r="A27" s="6" t="s">
        <v>34</v>
      </c>
      <c r="D27" s="6" t="s">
        <v>43</v>
      </c>
      <c r="E27" s="6">
        <v>2020</v>
      </c>
      <c r="F27" s="6">
        <v>2</v>
      </c>
      <c r="G27" s="6">
        <v>2</v>
      </c>
      <c r="H27" s="6">
        <v>4</v>
      </c>
      <c r="I27" s="6">
        <v>26</v>
      </c>
      <c r="M27" s="54" t="s">
        <v>747</v>
      </c>
      <c r="N27" s="35">
        <v>0.5</v>
      </c>
      <c r="O27" s="35">
        <v>939.32</v>
      </c>
      <c r="P27" s="35">
        <v>888.25234327712951</v>
      </c>
      <c r="Q27" s="35">
        <v>269.44</v>
      </c>
      <c r="R27" s="35">
        <v>747.19999999999993</v>
      </c>
      <c r="S27" s="35">
        <v>273.73</v>
      </c>
      <c r="T27" s="38">
        <f t="shared" si="0"/>
        <v>0.30333722397615598</v>
      </c>
      <c r="U27" s="38">
        <f t="shared" si="21"/>
        <v>0.36634100642398293</v>
      </c>
      <c r="V27" s="20">
        <v>30</v>
      </c>
      <c r="W27" s="35">
        <v>17.21</v>
      </c>
      <c r="X27" s="35">
        <v>29.5</v>
      </c>
      <c r="Y27" s="35">
        <v>40.78</v>
      </c>
      <c r="Z27" s="35">
        <v>30.240000000000002</v>
      </c>
      <c r="AA27" s="35">
        <f t="shared" si="1"/>
        <v>10.54</v>
      </c>
      <c r="AC27" s="35">
        <v>7.0319999999999991</v>
      </c>
      <c r="AD27" s="35">
        <f t="shared" si="2"/>
        <v>87.490000000000009</v>
      </c>
      <c r="AE27" s="31">
        <f t="shared" si="3"/>
        <v>2.9163333333333337</v>
      </c>
      <c r="AF27" s="142">
        <f t="shared" si="4"/>
        <v>1776.504686554259</v>
      </c>
      <c r="AG27" s="38">
        <f t="shared" si="5"/>
        <v>0.19670819522231112</v>
      </c>
      <c r="AH27" s="38">
        <f t="shared" si="6"/>
        <v>0.33718139215910387</v>
      </c>
      <c r="AI27" s="38">
        <f t="shared" si="7"/>
        <v>0.46611041261858494</v>
      </c>
      <c r="AJ27" s="38">
        <f t="shared" si="8"/>
        <v>0.34563950165733226</v>
      </c>
      <c r="AK27" s="38">
        <f t="shared" si="9"/>
        <v>0.12047091096125269</v>
      </c>
      <c r="AL27" s="31">
        <f t="shared" si="10"/>
        <v>349.45303069606581</v>
      </c>
      <c r="AM27" s="31">
        <f t="shared" si="11"/>
        <v>599.00432338953749</v>
      </c>
      <c r="AN27" s="31">
        <f t="shared" si="12"/>
        <v>828.04733246865555</v>
      </c>
      <c r="AO27" s="31">
        <f t="shared" si="13"/>
        <v>614.03019455252934</v>
      </c>
      <c r="AP27" s="31">
        <f t="shared" si="14"/>
        <v>214.01713791612625</v>
      </c>
      <c r="AQ27" s="31">
        <f t="shared" si="15"/>
        <v>614.03019455252934</v>
      </c>
      <c r="AR27" s="38">
        <f t="shared" si="16"/>
        <v>0.34563950165733226</v>
      </c>
      <c r="AS27" s="20">
        <f t="shared" si="17"/>
        <v>103.18438242280287</v>
      </c>
      <c r="AT27" s="20">
        <f t="shared" si="18"/>
        <v>68.24047933119337</v>
      </c>
      <c r="AU27" s="143">
        <f t="shared" si="19"/>
        <v>3.5159999999999997E-2</v>
      </c>
      <c r="AV27" s="20">
        <f t="shared" si="20"/>
        <v>17463.884941767046</v>
      </c>
      <c r="AW27" s="20"/>
      <c r="AX27" s="20"/>
      <c r="AY27" s="41"/>
      <c r="BA27" s="41"/>
      <c r="BB27" s="41"/>
    </row>
    <row r="28" spans="1:80" x14ac:dyDescent="0.35">
      <c r="A28" s="6" t="s">
        <v>34</v>
      </c>
      <c r="D28" s="6" t="s">
        <v>38</v>
      </c>
      <c r="E28" s="6">
        <v>1999</v>
      </c>
      <c r="F28" s="6">
        <v>2</v>
      </c>
      <c r="G28" s="6">
        <v>3</v>
      </c>
      <c r="H28" s="6">
        <v>4</v>
      </c>
      <c r="I28" s="6">
        <v>27</v>
      </c>
      <c r="M28" s="54" t="s">
        <v>747</v>
      </c>
      <c r="N28" s="35">
        <v>0.5</v>
      </c>
      <c r="O28" s="35">
        <v>851.31000000000006</v>
      </c>
      <c r="P28" s="35">
        <v>840.48298480585265</v>
      </c>
      <c r="Q28" s="35">
        <v>277.14</v>
      </c>
      <c r="R28" s="35">
        <v>669</v>
      </c>
      <c r="S28" s="35">
        <v>234.45</v>
      </c>
      <c r="T28" s="38">
        <f t="shared" si="0"/>
        <v>0.32973897748092773</v>
      </c>
      <c r="U28" s="38">
        <f t="shared" si="21"/>
        <v>0.35044843049327351</v>
      </c>
      <c r="V28" s="20">
        <v>30</v>
      </c>
      <c r="W28" s="35">
        <v>11.75</v>
      </c>
      <c r="X28" s="35">
        <v>29.8</v>
      </c>
      <c r="Y28" s="35">
        <v>46.17</v>
      </c>
      <c r="Z28" s="35">
        <v>34.75</v>
      </c>
      <c r="AA28" s="35">
        <f t="shared" si="1"/>
        <v>11.420000000000002</v>
      </c>
      <c r="AC28" s="35">
        <v>8.36</v>
      </c>
      <c r="AD28" s="35">
        <f t="shared" si="2"/>
        <v>87.72</v>
      </c>
      <c r="AE28" s="31">
        <f t="shared" si="3"/>
        <v>2.9239999999999999</v>
      </c>
      <c r="AF28" s="142">
        <f t="shared" si="4"/>
        <v>1680.9659696117053</v>
      </c>
      <c r="AG28" s="38">
        <f t="shared" si="5"/>
        <v>0.13394892840857273</v>
      </c>
      <c r="AH28" s="38">
        <f t="shared" si="6"/>
        <v>0.33971728226174192</v>
      </c>
      <c r="AI28" s="38">
        <f t="shared" si="7"/>
        <v>0.52633378932968544</v>
      </c>
      <c r="AJ28" s="38">
        <f t="shared" si="8"/>
        <v>0.3961468308253534</v>
      </c>
      <c r="AK28" s="38">
        <f t="shared" si="9"/>
        <v>0.13018695850433198</v>
      </c>
      <c r="AL28" s="31">
        <f t="shared" si="10"/>
        <v>225.16359032076534</v>
      </c>
      <c r="AM28" s="31">
        <f t="shared" si="11"/>
        <v>571.05319077096237</v>
      </c>
      <c r="AN28" s="31">
        <f t="shared" si="12"/>
        <v>884.74918851997768</v>
      </c>
      <c r="AO28" s="31">
        <f t="shared" si="13"/>
        <v>665.90934158694438</v>
      </c>
      <c r="AP28" s="31">
        <f t="shared" si="14"/>
        <v>218.83984693303327</v>
      </c>
      <c r="AQ28" s="31">
        <f t="shared" si="15"/>
        <v>665.90934158694438</v>
      </c>
      <c r="AR28" s="38">
        <f t="shared" si="16"/>
        <v>0.3961468308253534</v>
      </c>
      <c r="AS28" s="20">
        <f t="shared" si="17"/>
        <v>69.192465901710335</v>
      </c>
      <c r="AT28" s="20">
        <f t="shared" si="18"/>
        <v>59.194180511467614</v>
      </c>
      <c r="AU28" s="143">
        <f t="shared" si="19"/>
        <v>4.1799999999999997E-2</v>
      </c>
      <c r="AV28" s="20">
        <f t="shared" si="20"/>
        <v>15930.845492510633</v>
      </c>
      <c r="AW28" s="20"/>
      <c r="AX28" s="20"/>
      <c r="AY28" s="41"/>
      <c r="BA28" s="41"/>
      <c r="BB28" s="41"/>
    </row>
    <row r="29" spans="1:80" x14ac:dyDescent="0.35">
      <c r="A29" s="6" t="s">
        <v>34</v>
      </c>
      <c r="D29" s="6" t="s">
        <v>39</v>
      </c>
      <c r="E29" s="6">
        <v>2001</v>
      </c>
      <c r="F29" s="6">
        <v>2</v>
      </c>
      <c r="G29" s="6">
        <v>4</v>
      </c>
      <c r="H29" s="6">
        <v>4</v>
      </c>
      <c r="I29" s="6">
        <v>28</v>
      </c>
      <c r="M29" s="54" t="s">
        <v>747</v>
      </c>
      <c r="N29" s="35">
        <v>0.5</v>
      </c>
      <c r="O29" s="35">
        <v>729.87</v>
      </c>
      <c r="P29" s="35">
        <v>719.10268703898851</v>
      </c>
      <c r="Q29" s="35">
        <v>260.56</v>
      </c>
      <c r="R29" s="35">
        <v>627.9</v>
      </c>
      <c r="S29" s="35">
        <v>244.64</v>
      </c>
      <c r="T29" s="38">
        <f t="shared" si="0"/>
        <v>0.36234046221255867</v>
      </c>
      <c r="U29" s="38">
        <f t="shared" si="21"/>
        <v>0.38961618092052874</v>
      </c>
      <c r="V29" s="20">
        <v>30</v>
      </c>
      <c r="W29" s="35">
        <v>9.7100000000000009</v>
      </c>
      <c r="X29" s="35">
        <v>24.82</v>
      </c>
      <c r="Y29" s="35">
        <v>49.62</v>
      </c>
      <c r="Z29" s="35">
        <v>37.050000000000004</v>
      </c>
      <c r="AA29" s="35">
        <f t="shared" si="1"/>
        <v>12.569999999999993</v>
      </c>
      <c r="AC29" s="35">
        <v>8.1159999999999997</v>
      </c>
      <c r="AD29" s="35">
        <f t="shared" si="2"/>
        <v>84.15</v>
      </c>
      <c r="AE29" s="31">
        <f t="shared" si="3"/>
        <v>2.8050000000000002</v>
      </c>
      <c r="AF29" s="142">
        <f t="shared" si="4"/>
        <v>1438.205374077977</v>
      </c>
      <c r="AG29" s="38">
        <f t="shared" si="5"/>
        <v>0.11538918597742127</v>
      </c>
      <c r="AH29" s="38">
        <f t="shared" si="6"/>
        <v>0.29494949494949491</v>
      </c>
      <c r="AI29" s="38">
        <f t="shared" si="7"/>
        <v>0.58966131907308372</v>
      </c>
      <c r="AJ29" s="38">
        <f t="shared" si="8"/>
        <v>0.44028520499108736</v>
      </c>
      <c r="AK29" s="38">
        <f t="shared" si="9"/>
        <v>0.14937611408199633</v>
      </c>
      <c r="AL29" s="31">
        <f t="shared" si="10"/>
        <v>165.95334738321043</v>
      </c>
      <c r="AM29" s="31">
        <f t="shared" si="11"/>
        <v>424.19794871794869</v>
      </c>
      <c r="AN29" s="31">
        <f t="shared" si="12"/>
        <v>848.05407797681778</v>
      </c>
      <c r="AO29" s="31">
        <f t="shared" si="13"/>
        <v>633.22054794520557</v>
      </c>
      <c r="AP29" s="31">
        <f t="shared" si="14"/>
        <v>214.8335300316121</v>
      </c>
      <c r="AQ29" s="31">
        <f t="shared" si="15"/>
        <v>633.22054794520557</v>
      </c>
      <c r="AR29" s="38">
        <f t="shared" si="16"/>
        <v>0.44028520499108736</v>
      </c>
      <c r="AS29" s="20">
        <f t="shared" si="17"/>
        <v>87.78016579674545</v>
      </c>
      <c r="AT29" s="20">
        <f t="shared" si="18"/>
        <v>74.634307816445784</v>
      </c>
      <c r="AU29" s="143">
        <f t="shared" si="19"/>
        <v>4.0579999999999998E-2</v>
      </c>
      <c r="AV29" s="20">
        <f t="shared" si="20"/>
        <v>15604.252043992252</v>
      </c>
      <c r="AW29" s="20"/>
      <c r="AX29" s="20"/>
      <c r="AY29" s="41"/>
      <c r="BA29" s="41"/>
      <c r="BB29" s="41"/>
    </row>
    <row r="30" spans="1:80" s="28" customFormat="1" x14ac:dyDescent="0.35">
      <c r="A30" s="6" t="s">
        <v>34</v>
      </c>
      <c r="B30" s="6"/>
      <c r="C30" s="6"/>
      <c r="D30" s="6" t="s">
        <v>42</v>
      </c>
      <c r="E30" s="6">
        <v>2016</v>
      </c>
      <c r="F30" s="6">
        <v>2</v>
      </c>
      <c r="G30" s="6">
        <v>5</v>
      </c>
      <c r="H30" s="6">
        <v>4</v>
      </c>
      <c r="I30" s="6">
        <v>29</v>
      </c>
      <c r="J30" s="6"/>
      <c r="K30" s="6"/>
      <c r="L30" s="6"/>
      <c r="M30" s="54" t="s">
        <v>747</v>
      </c>
      <c r="N30" s="35">
        <v>0.5</v>
      </c>
      <c r="O30" s="35">
        <v>854.04</v>
      </c>
      <c r="P30" s="35">
        <v>894.31164158043271</v>
      </c>
      <c r="Q30" s="35">
        <v>321.10000000000002</v>
      </c>
      <c r="R30" s="35">
        <v>696.6</v>
      </c>
      <c r="S30" s="35">
        <v>267.09999999999997</v>
      </c>
      <c r="T30" s="38">
        <f t="shared" si="0"/>
        <v>0.35904709842818355</v>
      </c>
      <c r="U30" s="38">
        <f t="shared" si="21"/>
        <v>0.3834338214183175</v>
      </c>
      <c r="V30" s="20">
        <v>30</v>
      </c>
      <c r="W30" s="35">
        <v>11.56</v>
      </c>
      <c r="X30" s="35">
        <v>27.17</v>
      </c>
      <c r="Y30" s="35">
        <v>50.32</v>
      </c>
      <c r="Z30" s="35">
        <v>39.74</v>
      </c>
      <c r="AA30" s="35">
        <f t="shared" si="1"/>
        <v>10.579999999999998</v>
      </c>
      <c r="AB30" s="35"/>
      <c r="AC30" s="35">
        <v>8.1639999999999997</v>
      </c>
      <c r="AD30" s="35">
        <f t="shared" si="2"/>
        <v>89.050000000000011</v>
      </c>
      <c r="AE30" s="31">
        <f t="shared" si="3"/>
        <v>2.9683333333333337</v>
      </c>
      <c r="AF30" s="142">
        <f t="shared" si="4"/>
        <v>1788.6232831608654</v>
      </c>
      <c r="AG30" s="38">
        <f t="shared" si="5"/>
        <v>0.12981471083660864</v>
      </c>
      <c r="AH30" s="38">
        <f t="shared" si="6"/>
        <v>0.30510948905109486</v>
      </c>
      <c r="AI30" s="38">
        <f t="shared" si="7"/>
        <v>0.56507580011229641</v>
      </c>
      <c r="AJ30" s="38">
        <f t="shared" si="8"/>
        <v>0.44626614261650754</v>
      </c>
      <c r="AK30" s="38">
        <f t="shared" si="9"/>
        <v>0.11880965749578885</v>
      </c>
      <c r="AL30" s="31">
        <f t="shared" si="10"/>
        <v>232.18961429915333</v>
      </c>
      <c r="AM30" s="31">
        <f t="shared" si="11"/>
        <v>545.72593603010341</v>
      </c>
      <c r="AN30" s="31">
        <f t="shared" si="12"/>
        <v>1010.7077328316085</v>
      </c>
      <c r="AO30" s="31">
        <f t="shared" si="13"/>
        <v>798.20201317027272</v>
      </c>
      <c r="AP30" s="31">
        <f t="shared" si="14"/>
        <v>212.50571966133577</v>
      </c>
      <c r="AQ30" s="31">
        <f t="shared" si="15"/>
        <v>798.20201317027272</v>
      </c>
      <c r="AR30" s="38">
        <f t="shared" si="16"/>
        <v>0.44626614261650754</v>
      </c>
      <c r="AS30" s="20">
        <f t="shared" si="17"/>
        <v>66.365618187480507</v>
      </c>
      <c r="AT30" s="20">
        <f t="shared" si="18"/>
        <v>55.784620844019095</v>
      </c>
      <c r="AU30" s="143">
        <f t="shared" si="19"/>
        <v>4.0819999999999995E-2</v>
      </c>
      <c r="AV30" s="20">
        <f t="shared" si="20"/>
        <v>19554.189445621578</v>
      </c>
      <c r="AW30" s="20"/>
      <c r="AX30" s="20"/>
      <c r="AY30" s="41"/>
      <c r="AZ30" s="69"/>
      <c r="BA30" s="41"/>
      <c r="BB30" s="41"/>
      <c r="BD30"/>
      <c r="BE30"/>
      <c r="BF30"/>
      <c r="BG30"/>
      <c r="BH30"/>
      <c r="BI30"/>
      <c r="BJ30"/>
      <c r="BK30"/>
      <c r="BZ30" s="63"/>
      <c r="CA30" s="63"/>
      <c r="CB30" s="63"/>
    </row>
    <row r="31" spans="1:80" x14ac:dyDescent="0.35">
      <c r="A31" s="6" t="s">
        <v>34</v>
      </c>
      <c r="D31" s="6" t="s">
        <v>36</v>
      </c>
      <c r="E31" s="6">
        <v>1984</v>
      </c>
      <c r="F31" s="6">
        <v>2</v>
      </c>
      <c r="G31" s="6">
        <v>6</v>
      </c>
      <c r="H31" s="6">
        <v>4</v>
      </c>
      <c r="I31" s="6">
        <v>30</v>
      </c>
      <c r="M31" s="54" t="s">
        <v>747</v>
      </c>
      <c r="N31" s="35">
        <v>0.5</v>
      </c>
      <c r="O31" s="35">
        <v>754.85</v>
      </c>
      <c r="P31" s="35">
        <v>734.18199436619716</v>
      </c>
      <c r="Q31" s="35">
        <v>238.92</v>
      </c>
      <c r="R31" s="35">
        <v>688.8</v>
      </c>
      <c r="S31" s="35">
        <v>232.47</v>
      </c>
      <c r="T31" s="38">
        <f t="shared" si="0"/>
        <v>0.32542339887571647</v>
      </c>
      <c r="U31" s="38">
        <f t="shared" si="21"/>
        <v>0.33750000000000002</v>
      </c>
      <c r="V31" s="20">
        <v>30</v>
      </c>
      <c r="W31" s="35">
        <v>12.49</v>
      </c>
      <c r="X31" s="35">
        <v>27.51</v>
      </c>
      <c r="Y31" s="35">
        <v>46.32</v>
      </c>
      <c r="Z31" s="35">
        <v>34.270000000000003</v>
      </c>
      <c r="AA31" s="35">
        <f t="shared" si="1"/>
        <v>12.049999999999997</v>
      </c>
      <c r="AC31" s="35">
        <v>6.4920000000000009</v>
      </c>
      <c r="AD31" s="35">
        <f t="shared" si="2"/>
        <v>86.32</v>
      </c>
      <c r="AE31" s="31">
        <f t="shared" si="3"/>
        <v>2.8773333333333331</v>
      </c>
      <c r="AF31" s="142">
        <f t="shared" si="4"/>
        <v>1468.3639887323943</v>
      </c>
      <c r="AG31" s="38">
        <f t="shared" si="5"/>
        <v>0.14469416126042633</v>
      </c>
      <c r="AH31" s="38">
        <f t="shared" si="6"/>
        <v>0.31869786839666364</v>
      </c>
      <c r="AI31" s="38">
        <f t="shared" si="7"/>
        <v>0.53660797034291019</v>
      </c>
      <c r="AJ31" s="38">
        <f t="shared" si="8"/>
        <v>0.39701112140871186</v>
      </c>
      <c r="AK31" s="38">
        <f t="shared" si="9"/>
        <v>0.1395968489341983</v>
      </c>
      <c r="AL31" s="31">
        <f t="shared" si="10"/>
        <v>212.4636957746479</v>
      </c>
      <c r="AM31" s="31">
        <f t="shared" si="11"/>
        <v>467.9644732394367</v>
      </c>
      <c r="AN31" s="31">
        <f t="shared" si="12"/>
        <v>787.93581971830997</v>
      </c>
      <c r="AO31" s="31">
        <f t="shared" si="13"/>
        <v>582.95683380281707</v>
      </c>
      <c r="AP31" s="31">
        <f t="shared" si="14"/>
        <v>204.9789859154929</v>
      </c>
      <c r="AQ31" s="31">
        <f t="shared" si="15"/>
        <v>582.95683380281707</v>
      </c>
      <c r="AR31" s="38">
        <f t="shared" si="16"/>
        <v>0.39701112140871192</v>
      </c>
      <c r="AS31" s="20">
        <f t="shared" si="17"/>
        <v>94.600703164239079</v>
      </c>
      <c r="AT31" s="20">
        <f t="shared" si="18"/>
        <v>87.637399251292052</v>
      </c>
      <c r="AU31" s="143">
        <f t="shared" si="19"/>
        <v>3.2460000000000003E-2</v>
      </c>
      <c r="AV31" s="20">
        <f t="shared" si="20"/>
        <v>17959.237024116359</v>
      </c>
      <c r="AW31" s="20"/>
      <c r="AX31" s="20"/>
      <c r="AY31" s="41"/>
      <c r="BA31" s="41"/>
      <c r="BB31" s="41"/>
      <c r="BL31" s="21"/>
      <c r="BM31" s="21"/>
    </row>
    <row r="32" spans="1:80" x14ac:dyDescent="0.35">
      <c r="A32" s="6" t="s">
        <v>34</v>
      </c>
      <c r="D32" s="6" t="s">
        <v>41</v>
      </c>
      <c r="E32" s="6">
        <v>2008</v>
      </c>
      <c r="F32" s="6">
        <v>2</v>
      </c>
      <c r="G32" s="6">
        <v>7</v>
      </c>
      <c r="H32" s="6">
        <v>4</v>
      </c>
      <c r="I32" s="6">
        <v>31</v>
      </c>
      <c r="M32" s="54" t="s">
        <v>747</v>
      </c>
      <c r="N32" s="35">
        <v>0.5</v>
      </c>
      <c r="O32" s="35">
        <v>888.55</v>
      </c>
      <c r="P32" s="35">
        <v>836.38391394864664</v>
      </c>
      <c r="Q32" s="35">
        <v>314.52</v>
      </c>
      <c r="R32" s="35">
        <v>685.6</v>
      </c>
      <c r="S32" s="35">
        <v>260.45</v>
      </c>
      <c r="T32" s="38">
        <f t="shared" si="0"/>
        <v>0.37604740449289809</v>
      </c>
      <c r="U32" s="38">
        <f t="shared" si="21"/>
        <v>0.37988623103850638</v>
      </c>
      <c r="V32" s="20">
        <v>30</v>
      </c>
      <c r="W32" s="35">
        <v>7.91</v>
      </c>
      <c r="X32" s="35">
        <v>24.83</v>
      </c>
      <c r="Y32" s="35">
        <v>35.08</v>
      </c>
      <c r="Z32" s="35">
        <v>26.68</v>
      </c>
      <c r="AA32" s="35">
        <f t="shared" si="1"/>
        <v>8.3999999999999986</v>
      </c>
      <c r="AC32" s="35">
        <v>8.1599999999999984</v>
      </c>
      <c r="AD32" s="35">
        <f t="shared" si="2"/>
        <v>67.819999999999993</v>
      </c>
      <c r="AE32" s="31">
        <f t="shared" si="3"/>
        <v>2.2606666666666664</v>
      </c>
      <c r="AF32" s="142">
        <f t="shared" si="4"/>
        <v>1672.7678278972933</v>
      </c>
      <c r="AG32" s="38">
        <f t="shared" si="5"/>
        <v>0.11663226186965499</v>
      </c>
      <c r="AH32" s="38">
        <f t="shared" si="6"/>
        <v>0.36611618991447953</v>
      </c>
      <c r="AI32" s="38">
        <f t="shared" si="7"/>
        <v>0.51725154821586561</v>
      </c>
      <c r="AJ32" s="38">
        <f t="shared" si="8"/>
        <v>0.39339427897375406</v>
      </c>
      <c r="AK32" s="38">
        <f t="shared" si="9"/>
        <v>0.12385726924211146</v>
      </c>
      <c r="AL32" s="31">
        <f t="shared" si="10"/>
        <v>195.09869535045107</v>
      </c>
      <c r="AM32" s="31">
        <f t="shared" si="11"/>
        <v>612.42738376127681</v>
      </c>
      <c r="AN32" s="31">
        <f t="shared" si="12"/>
        <v>865.24174878556562</v>
      </c>
      <c r="AO32" s="31">
        <f t="shared" si="13"/>
        <v>658.05729354614846</v>
      </c>
      <c r="AP32" s="31">
        <f t="shared" si="14"/>
        <v>207.18445523941702</v>
      </c>
      <c r="AQ32" s="31">
        <f t="shared" si="15"/>
        <v>658.05729354614846</v>
      </c>
      <c r="AR32" s="38">
        <f t="shared" si="16"/>
        <v>0.39339427897375406</v>
      </c>
      <c r="AS32" s="20">
        <f t="shared" si="17"/>
        <v>65.61744881088643</v>
      </c>
      <c r="AT32" s="20">
        <f t="shared" si="18"/>
        <v>63.943851278348561</v>
      </c>
      <c r="AU32" s="143">
        <f t="shared" si="19"/>
        <v>4.0799999999999989E-2</v>
      </c>
      <c r="AV32" s="20">
        <f t="shared" si="20"/>
        <v>16128.855233974231</v>
      </c>
      <c r="AW32" s="20"/>
      <c r="AX32" s="20"/>
      <c r="AY32" s="41"/>
      <c r="BA32" s="41"/>
      <c r="BB32" s="41"/>
      <c r="BL32" s="21"/>
      <c r="BM32" s="21"/>
    </row>
    <row r="33" spans="1:65" x14ac:dyDescent="0.35">
      <c r="A33" s="6" t="s">
        <v>34</v>
      </c>
      <c r="D33" s="6" t="s">
        <v>37</v>
      </c>
      <c r="E33" s="6">
        <v>1989</v>
      </c>
      <c r="F33" s="6">
        <v>2</v>
      </c>
      <c r="G33" s="6">
        <v>8</v>
      </c>
      <c r="H33" s="6">
        <v>4</v>
      </c>
      <c r="I33" s="6">
        <v>32</v>
      </c>
      <c r="M33" s="54" t="s">
        <v>747</v>
      </c>
      <c r="N33" s="35">
        <v>0.5</v>
      </c>
      <c r="O33" s="35">
        <v>967.59</v>
      </c>
      <c r="P33" s="35">
        <v>934.48613767518543</v>
      </c>
      <c r="Q33" s="35">
        <v>271.43</v>
      </c>
      <c r="R33" s="35">
        <v>588</v>
      </c>
      <c r="S33" s="35">
        <v>193.31</v>
      </c>
      <c r="T33" s="38">
        <f t="shared" si="0"/>
        <v>0.29045909731230851</v>
      </c>
      <c r="U33" s="38">
        <f t="shared" si="21"/>
        <v>0.32875850340136054</v>
      </c>
      <c r="V33" s="20">
        <v>30</v>
      </c>
      <c r="W33" s="35">
        <v>10.36</v>
      </c>
      <c r="X33" s="35">
        <v>22.27</v>
      </c>
      <c r="Y33" s="35">
        <v>37.659999999999997</v>
      </c>
      <c r="Z33" s="35">
        <v>28.25</v>
      </c>
      <c r="AA33" s="35">
        <f t="shared" si="1"/>
        <v>9.4099999999999966</v>
      </c>
      <c r="AC33" s="35">
        <v>7.3079999999999989</v>
      </c>
      <c r="AD33" s="35">
        <f t="shared" si="2"/>
        <v>70.289999999999992</v>
      </c>
      <c r="AE33" s="31">
        <f t="shared" si="3"/>
        <v>2.3429999999999995</v>
      </c>
      <c r="AF33" s="142">
        <f t="shared" si="4"/>
        <v>1868.9722753503709</v>
      </c>
      <c r="AG33" s="38">
        <f t="shared" si="5"/>
        <v>0.14738938682600655</v>
      </c>
      <c r="AH33" s="38">
        <f t="shared" si="6"/>
        <v>0.3168302745767535</v>
      </c>
      <c r="AI33" s="38">
        <f t="shared" si="7"/>
        <v>0.53578033859724006</v>
      </c>
      <c r="AJ33" s="38">
        <f t="shared" si="8"/>
        <v>0.40190638782188082</v>
      </c>
      <c r="AK33" s="38">
        <f t="shared" si="9"/>
        <v>0.13387395077535919</v>
      </c>
      <c r="AL33" s="31">
        <f t="shared" si="10"/>
        <v>275.46667765869745</v>
      </c>
      <c r="AM33" s="31">
        <f t="shared" si="11"/>
        <v>592.14699917559778</v>
      </c>
      <c r="AN33" s="31">
        <f t="shared" si="12"/>
        <v>1001.3585985160759</v>
      </c>
      <c r="AO33" s="31">
        <f t="shared" si="13"/>
        <v>751.15189612530912</v>
      </c>
      <c r="AP33" s="31">
        <f t="shared" si="14"/>
        <v>250.20670239076659</v>
      </c>
      <c r="AQ33" s="31">
        <f t="shared" si="15"/>
        <v>751.15189612530912</v>
      </c>
      <c r="AR33" s="38">
        <f t="shared" si="16"/>
        <v>0.40190638782188076</v>
      </c>
      <c r="AS33" s="20">
        <f t="shared" si="17"/>
        <v>42.438197693696345</v>
      </c>
      <c r="AT33" s="20">
        <f t="shared" si="18"/>
        <v>25.844563400978078</v>
      </c>
      <c r="AU33" s="143">
        <f t="shared" si="19"/>
        <v>3.6539999999999996E-2</v>
      </c>
      <c r="AV33" s="20">
        <f t="shared" si="20"/>
        <v>20556.975810763797</v>
      </c>
      <c r="AW33" s="20"/>
      <c r="AX33" s="20"/>
      <c r="AY33" s="41"/>
      <c r="BA33" s="41"/>
      <c r="BB33" s="41"/>
      <c r="BL33" s="21"/>
      <c r="BM33" s="21"/>
    </row>
    <row r="34" spans="1:65" x14ac:dyDescent="0.35">
      <c r="A34" s="79" t="s">
        <v>24</v>
      </c>
      <c r="B34" s="79"/>
      <c r="C34" s="79"/>
      <c r="D34" s="79" t="s">
        <v>336</v>
      </c>
      <c r="E34" s="79">
        <v>2002</v>
      </c>
      <c r="F34" s="79">
        <v>3</v>
      </c>
      <c r="G34" s="79">
        <v>1</v>
      </c>
      <c r="H34" s="79">
        <v>5</v>
      </c>
      <c r="I34" s="79">
        <v>33</v>
      </c>
      <c r="J34" s="79"/>
      <c r="K34" s="79"/>
      <c r="L34" s="79"/>
      <c r="M34" s="54" t="s">
        <v>747</v>
      </c>
      <c r="N34" s="35">
        <v>0.5</v>
      </c>
      <c r="O34" s="35">
        <v>846.8</v>
      </c>
      <c r="P34" s="35">
        <v>831.62551378446119</v>
      </c>
      <c r="Q34" s="35">
        <v>269.95999999999998</v>
      </c>
      <c r="R34" s="35">
        <v>698.19999999999993</v>
      </c>
      <c r="S34" s="35">
        <v>229.48</v>
      </c>
      <c r="T34" s="38">
        <f t="shared" si="0"/>
        <v>0.32461726525380219</v>
      </c>
      <c r="U34" s="38">
        <f t="shared" si="21"/>
        <v>0.32867373245488402</v>
      </c>
      <c r="V34" s="20">
        <v>30</v>
      </c>
      <c r="W34" s="35">
        <v>15.91</v>
      </c>
      <c r="X34" s="35">
        <v>23.77</v>
      </c>
      <c r="Y34" s="35">
        <v>38.69</v>
      </c>
      <c r="Z34" s="35">
        <v>28.970000000000006</v>
      </c>
      <c r="AA34" s="35">
        <f t="shared" si="1"/>
        <v>9.7199999999999918</v>
      </c>
      <c r="AC34" s="35">
        <v>7.0760000000000005</v>
      </c>
      <c r="AD34" s="35">
        <f t="shared" si="2"/>
        <v>78.37</v>
      </c>
      <c r="AE34" s="31">
        <f t="shared" si="3"/>
        <v>2.6123333333333334</v>
      </c>
      <c r="AF34" s="142">
        <f t="shared" si="4"/>
        <v>1663.2510275689224</v>
      </c>
      <c r="AG34" s="38">
        <f t="shared" si="5"/>
        <v>0.20301135638637233</v>
      </c>
      <c r="AH34" s="38">
        <f t="shared" si="6"/>
        <v>0.30330483603419672</v>
      </c>
      <c r="AI34" s="38">
        <f t="shared" si="7"/>
        <v>0.49368380757943087</v>
      </c>
      <c r="AJ34" s="38">
        <f t="shared" si="8"/>
        <v>0.36965675641189238</v>
      </c>
      <c r="AK34" s="38">
        <f t="shared" si="9"/>
        <v>0.12402705116753848</v>
      </c>
      <c r="AL34" s="31">
        <f t="shared" si="10"/>
        <v>337.65884711779449</v>
      </c>
      <c r="AM34" s="31">
        <f t="shared" si="11"/>
        <v>504.47208020050124</v>
      </c>
      <c r="AN34" s="31">
        <f t="shared" si="12"/>
        <v>821.12010025062659</v>
      </c>
      <c r="AO34" s="31">
        <f t="shared" si="13"/>
        <v>614.83197994987484</v>
      </c>
      <c r="AP34" s="31">
        <f t="shared" si="14"/>
        <v>206.2881203007517</v>
      </c>
      <c r="AQ34" s="31">
        <f t="shared" si="15"/>
        <v>614.83197994987484</v>
      </c>
      <c r="AR34" s="38">
        <f t="shared" si="16"/>
        <v>0.36965675641189238</v>
      </c>
      <c r="AS34" s="20">
        <f t="shared" si="17"/>
        <v>70.010371906949189</v>
      </c>
      <c r="AT34" s="20">
        <f t="shared" si="18"/>
        <v>67.912116313679576</v>
      </c>
      <c r="AU34" s="143">
        <f t="shared" si="19"/>
        <v>3.5380000000000002E-2</v>
      </c>
      <c r="AV34" s="20">
        <f t="shared" si="20"/>
        <v>17377.953079419865</v>
      </c>
      <c r="AW34" s="20"/>
      <c r="AX34" s="20"/>
      <c r="AY34" s="41"/>
      <c r="BA34" s="41"/>
      <c r="BB34" s="41"/>
      <c r="BL34" s="21"/>
      <c r="BM34" s="21"/>
    </row>
    <row r="35" spans="1:65" x14ac:dyDescent="0.35">
      <c r="A35" s="79" t="s">
        <v>24</v>
      </c>
      <c r="B35" s="79"/>
      <c r="C35" s="79"/>
      <c r="D35" s="79" t="s">
        <v>337</v>
      </c>
      <c r="E35" s="79">
        <v>2016</v>
      </c>
      <c r="F35" s="79">
        <v>3</v>
      </c>
      <c r="G35" s="79">
        <v>2</v>
      </c>
      <c r="H35" s="79">
        <v>5</v>
      </c>
      <c r="I35" s="79">
        <v>34</v>
      </c>
      <c r="J35" s="79"/>
      <c r="K35" s="79"/>
      <c r="L35" s="79"/>
      <c r="M35" s="54" t="s">
        <v>747</v>
      </c>
      <c r="N35" s="35">
        <v>0.5</v>
      </c>
      <c r="O35" s="35">
        <v>985.19</v>
      </c>
      <c r="P35" s="35">
        <v>960.999327278843</v>
      </c>
      <c r="Q35" s="35">
        <v>279.67</v>
      </c>
      <c r="R35" s="35">
        <v>625.5</v>
      </c>
      <c r="S35" s="35">
        <v>194.63</v>
      </c>
      <c r="T35" s="38">
        <f t="shared" si="0"/>
        <v>0.29101997479218955</v>
      </c>
      <c r="U35" s="38">
        <f t="shared" si="21"/>
        <v>0.31115907274180654</v>
      </c>
      <c r="V35" s="20">
        <v>30</v>
      </c>
      <c r="W35" s="35">
        <v>19.59</v>
      </c>
      <c r="X35" s="35">
        <v>30.85</v>
      </c>
      <c r="Y35" s="35">
        <v>36.559999999999995</v>
      </c>
      <c r="Z35" s="35">
        <v>27.18</v>
      </c>
      <c r="AA35" s="35">
        <f t="shared" si="1"/>
        <v>9.3799999999999955</v>
      </c>
      <c r="AC35" s="35">
        <v>7.8599999999999985</v>
      </c>
      <c r="AD35" s="35">
        <f t="shared" si="2"/>
        <v>87</v>
      </c>
      <c r="AE35" s="31">
        <f t="shared" si="3"/>
        <v>2.9</v>
      </c>
      <c r="AF35" s="142">
        <f t="shared" si="4"/>
        <v>1921.998654557686</v>
      </c>
      <c r="AG35" s="38">
        <f t="shared" si="5"/>
        <v>0.22517241379310346</v>
      </c>
      <c r="AH35" s="38">
        <f t="shared" si="6"/>
        <v>0.35459770114942529</v>
      </c>
      <c r="AI35" s="38">
        <f t="shared" si="7"/>
        <v>0.42022988505747122</v>
      </c>
      <c r="AJ35" s="38">
        <f t="shared" si="8"/>
        <v>0.31241379310344825</v>
      </c>
      <c r="AK35" s="38">
        <f t="shared" si="9"/>
        <v>0.10781609195402293</v>
      </c>
      <c r="AL35" s="31">
        <f t="shared" si="10"/>
        <v>432.7810763538514</v>
      </c>
      <c r="AM35" s="31">
        <f t="shared" si="11"/>
        <v>681.53630451844379</v>
      </c>
      <c r="AN35" s="31">
        <f t="shared" si="12"/>
        <v>807.68127368539069</v>
      </c>
      <c r="AO35" s="31">
        <f t="shared" si="13"/>
        <v>600.45889001009084</v>
      </c>
      <c r="AP35" s="31">
        <f t="shared" si="14"/>
        <v>207.22238367529982</v>
      </c>
      <c r="AQ35" s="31">
        <f t="shared" si="15"/>
        <v>600.45889001009084</v>
      </c>
      <c r="AR35" s="38">
        <f t="shared" si="16"/>
        <v>0.31241379310344825</v>
      </c>
      <c r="AS35" s="20">
        <f t="shared" si="17"/>
        <v>39.185468587978683</v>
      </c>
      <c r="AT35" s="20">
        <f t="shared" si="18"/>
        <v>30.176990190234605</v>
      </c>
      <c r="AU35" s="143">
        <f t="shared" si="19"/>
        <v>3.9299999999999995E-2</v>
      </c>
      <c r="AV35" s="20">
        <f t="shared" si="20"/>
        <v>15278.85216310664</v>
      </c>
      <c r="AW35" s="20"/>
      <c r="AX35" s="20"/>
      <c r="AY35" s="41"/>
      <c r="BA35" s="41"/>
      <c r="BB35" s="41"/>
      <c r="BL35" s="21"/>
      <c r="BM35" s="21"/>
    </row>
    <row r="36" spans="1:65" x14ac:dyDescent="0.35">
      <c r="A36" s="79" t="s">
        <v>24</v>
      </c>
      <c r="B36" s="79"/>
      <c r="C36" s="79"/>
      <c r="D36" s="79" t="s">
        <v>32</v>
      </c>
      <c r="E36" s="79">
        <v>2018</v>
      </c>
      <c r="F36" s="79">
        <v>3</v>
      </c>
      <c r="G36" s="79">
        <v>3</v>
      </c>
      <c r="H36" s="79">
        <v>5</v>
      </c>
      <c r="I36" s="79">
        <v>35</v>
      </c>
      <c r="J36" s="79"/>
      <c r="K36" s="79"/>
      <c r="L36" s="79"/>
      <c r="M36" s="54" t="s">
        <v>747</v>
      </c>
      <c r="N36" s="35">
        <v>0.5</v>
      </c>
      <c r="O36" s="35">
        <v>917.30000000000007</v>
      </c>
      <c r="P36" s="35">
        <v>892.5107150368035</v>
      </c>
      <c r="Q36" s="35">
        <v>290.72000000000003</v>
      </c>
      <c r="R36" s="35">
        <v>742.1</v>
      </c>
      <c r="S36" s="35">
        <v>251.89999999999998</v>
      </c>
      <c r="T36" s="38">
        <f t="shared" si="0"/>
        <v>0.32573278404619704</v>
      </c>
      <c r="U36" s="38">
        <f t="shared" si="21"/>
        <v>0.33944212370300497</v>
      </c>
      <c r="V36" s="20">
        <v>30</v>
      </c>
      <c r="W36" s="35">
        <v>19.78</v>
      </c>
      <c r="X36" s="35">
        <v>28.33</v>
      </c>
      <c r="Y36" s="35">
        <v>44.42</v>
      </c>
      <c r="Z36" s="35">
        <v>33.870000000000005</v>
      </c>
      <c r="AA36" s="35">
        <f t="shared" si="1"/>
        <v>10.549999999999997</v>
      </c>
      <c r="AC36" s="35">
        <v>7.6879999999999988</v>
      </c>
      <c r="AD36" s="35">
        <f t="shared" si="2"/>
        <v>92.53</v>
      </c>
      <c r="AE36" s="31">
        <f t="shared" si="3"/>
        <v>3.0843333333333334</v>
      </c>
      <c r="AF36" s="142">
        <f t="shared" si="4"/>
        <v>1785.021430073607</v>
      </c>
      <c r="AG36" s="38">
        <f t="shared" si="5"/>
        <v>0.21376850751107751</v>
      </c>
      <c r="AH36" s="38">
        <f t="shared" si="6"/>
        <v>0.30617097157678591</v>
      </c>
      <c r="AI36" s="38">
        <f t="shared" si="7"/>
        <v>0.48006052091213663</v>
      </c>
      <c r="AJ36" s="38">
        <f t="shared" si="8"/>
        <v>0.36604344536906952</v>
      </c>
      <c r="AK36" s="38">
        <f t="shared" si="9"/>
        <v>0.11401707554306709</v>
      </c>
      <c r="AL36" s="31">
        <f t="shared" si="10"/>
        <v>381.58136698212417</v>
      </c>
      <c r="AM36" s="31">
        <f t="shared" si="11"/>
        <v>546.52174553102009</v>
      </c>
      <c r="AN36" s="31">
        <f t="shared" si="12"/>
        <v>856.91831756046281</v>
      </c>
      <c r="AO36" s="31">
        <f t="shared" si="13"/>
        <v>653.39539432176673</v>
      </c>
      <c r="AP36" s="31">
        <f t="shared" si="14"/>
        <v>203.52292323869608</v>
      </c>
      <c r="AQ36" s="31">
        <f t="shared" si="15"/>
        <v>653.39539432176673</v>
      </c>
      <c r="AR36" s="38">
        <f t="shared" si="16"/>
        <v>0.36604344536906952</v>
      </c>
      <c r="AS36" s="20">
        <f t="shared" si="17"/>
        <v>73.293891029168933</v>
      </c>
      <c r="AT36" s="20">
        <f t="shared" si="18"/>
        <v>66.29492228995791</v>
      </c>
      <c r="AU36" s="143">
        <f t="shared" si="19"/>
        <v>3.8439999999999995E-2</v>
      </c>
      <c r="AV36" s="20">
        <f t="shared" si="20"/>
        <v>16997.799019817034</v>
      </c>
      <c r="AW36" s="20"/>
      <c r="AX36" s="20"/>
      <c r="AY36" s="41"/>
      <c r="BA36" s="41"/>
      <c r="BB36" s="41"/>
      <c r="BL36" s="21"/>
      <c r="BM36" s="21"/>
    </row>
    <row r="37" spans="1:65" x14ac:dyDescent="0.35">
      <c r="A37" s="79" t="s">
        <v>24</v>
      </c>
      <c r="B37" s="79"/>
      <c r="C37" s="79"/>
      <c r="D37" s="79" t="s">
        <v>28</v>
      </c>
      <c r="E37" s="79">
        <v>1998</v>
      </c>
      <c r="F37" s="79">
        <v>3</v>
      </c>
      <c r="G37" s="79">
        <v>4</v>
      </c>
      <c r="H37" s="79">
        <v>5</v>
      </c>
      <c r="I37" s="79">
        <v>36</v>
      </c>
      <c r="J37" s="79"/>
      <c r="K37" s="79"/>
      <c r="L37" s="79"/>
      <c r="M37" s="54" t="s">
        <v>747</v>
      </c>
      <c r="N37" s="35">
        <v>0.5</v>
      </c>
      <c r="O37" s="35">
        <v>983.82000000000016</v>
      </c>
      <c r="P37" s="35">
        <v>968.09285968028439</v>
      </c>
      <c r="Q37" s="35">
        <v>277.8</v>
      </c>
      <c r="R37" s="35">
        <v>655.8</v>
      </c>
      <c r="S37" s="35">
        <v>205.62</v>
      </c>
      <c r="T37" s="38">
        <f t="shared" si="0"/>
        <v>0.28695594355663806</v>
      </c>
      <c r="U37" s="38">
        <f t="shared" si="21"/>
        <v>0.31354071363220498</v>
      </c>
      <c r="V37" s="20">
        <v>30</v>
      </c>
      <c r="W37" s="35">
        <v>14.13</v>
      </c>
      <c r="X37" s="35">
        <v>21.11</v>
      </c>
      <c r="Y37" s="35">
        <v>31.240000000000002</v>
      </c>
      <c r="Z37" s="35">
        <v>22.42</v>
      </c>
      <c r="AA37" s="35">
        <f t="shared" si="1"/>
        <v>8.82</v>
      </c>
      <c r="AC37" s="35">
        <v>6.6440000000000001</v>
      </c>
      <c r="AD37" s="35">
        <f t="shared" si="2"/>
        <v>66.48</v>
      </c>
      <c r="AE37" s="31">
        <f t="shared" si="3"/>
        <v>2.2160000000000002</v>
      </c>
      <c r="AF37" s="142">
        <f t="shared" si="4"/>
        <v>1936.1857193605688</v>
      </c>
      <c r="AG37" s="38">
        <f t="shared" si="5"/>
        <v>0.21254512635379061</v>
      </c>
      <c r="AH37" s="38">
        <f t="shared" si="6"/>
        <v>0.31753910950661851</v>
      </c>
      <c r="AI37" s="38">
        <f t="shared" si="7"/>
        <v>0.46991576413959085</v>
      </c>
      <c r="AJ37" s="38">
        <f t="shared" si="8"/>
        <v>0.33724428399518652</v>
      </c>
      <c r="AK37" s="38">
        <f t="shared" si="9"/>
        <v>0.13267148014440433</v>
      </c>
      <c r="AL37" s="31">
        <f t="shared" si="10"/>
        <v>411.52683836589705</v>
      </c>
      <c r="AM37" s="31">
        <f t="shared" si="11"/>
        <v>614.81468916518656</v>
      </c>
      <c r="AN37" s="31">
        <f t="shared" si="12"/>
        <v>909.84419182948511</v>
      </c>
      <c r="AO37" s="31">
        <f t="shared" si="13"/>
        <v>652.96756660746018</v>
      </c>
      <c r="AP37" s="31">
        <f t="shared" si="14"/>
        <v>256.87662522202493</v>
      </c>
      <c r="AQ37" s="31">
        <f t="shared" si="15"/>
        <v>652.96756660746018</v>
      </c>
      <c r="AR37" s="38">
        <f t="shared" si="16"/>
        <v>0.33724428399518652</v>
      </c>
      <c r="AS37" s="20">
        <f t="shared" si="17"/>
        <v>48.034557235421161</v>
      </c>
      <c r="AT37" s="20">
        <f t="shared" si="18"/>
        <v>35.482870975121109</v>
      </c>
      <c r="AU37" s="143">
        <f t="shared" si="19"/>
        <v>3.322E-2</v>
      </c>
      <c r="AV37" s="20">
        <f t="shared" si="20"/>
        <v>19655.856911723666</v>
      </c>
      <c r="AW37" s="20"/>
      <c r="AX37" s="20"/>
      <c r="AY37" s="41"/>
      <c r="BA37" s="41"/>
      <c r="BB37" s="41"/>
      <c r="BL37" s="21"/>
      <c r="BM37" s="21"/>
    </row>
    <row r="38" spans="1:65" x14ac:dyDescent="0.35">
      <c r="A38" s="79" t="s">
        <v>24</v>
      </c>
      <c r="B38" s="79"/>
      <c r="C38" s="79"/>
      <c r="D38" s="79" t="s">
        <v>27</v>
      </c>
      <c r="E38" s="79">
        <v>1985</v>
      </c>
      <c r="F38" s="79">
        <v>3</v>
      </c>
      <c r="G38" s="79">
        <v>5</v>
      </c>
      <c r="H38" s="79">
        <v>5</v>
      </c>
      <c r="I38" s="79">
        <v>37</v>
      </c>
      <c r="J38" s="79"/>
      <c r="K38" s="79"/>
      <c r="L38" s="79"/>
      <c r="M38" s="54" t="s">
        <v>747</v>
      </c>
      <c r="N38" s="35">
        <v>0.5</v>
      </c>
      <c r="O38" s="35">
        <v>977.7</v>
      </c>
      <c r="P38" s="35">
        <v>902.94785142857154</v>
      </c>
      <c r="Q38" s="35">
        <v>247.61</v>
      </c>
      <c r="R38" s="35">
        <v>833</v>
      </c>
      <c r="S38" s="35">
        <v>265.05</v>
      </c>
      <c r="T38" s="38">
        <f t="shared" si="0"/>
        <v>0.27422403144129681</v>
      </c>
      <c r="U38" s="38">
        <f t="shared" si="21"/>
        <v>0.31818727490996401</v>
      </c>
      <c r="V38" s="20">
        <v>30</v>
      </c>
      <c r="W38" s="35">
        <v>17.63</v>
      </c>
      <c r="X38" s="35">
        <v>29.12</v>
      </c>
      <c r="Y38" s="35">
        <v>34.059999999999995</v>
      </c>
      <c r="Z38" s="35">
        <v>25.160000000000004</v>
      </c>
      <c r="AA38" s="35">
        <f t="shared" si="1"/>
        <v>8.8999999999999915</v>
      </c>
      <c r="AC38" s="35">
        <v>6.7439999999999998</v>
      </c>
      <c r="AD38" s="35">
        <f t="shared" si="2"/>
        <v>80.81</v>
      </c>
      <c r="AE38" s="31">
        <f t="shared" si="3"/>
        <v>2.6936666666666667</v>
      </c>
      <c r="AF38" s="142">
        <f t="shared" si="4"/>
        <v>1805.8957028571431</v>
      </c>
      <c r="AG38" s="38">
        <f t="shared" si="5"/>
        <v>0.21816606855587178</v>
      </c>
      <c r="AH38" s="38">
        <f t="shared" si="6"/>
        <v>0.36035144165326072</v>
      </c>
      <c r="AI38" s="38">
        <f t="shared" si="7"/>
        <v>0.42148248979086739</v>
      </c>
      <c r="AJ38" s="38">
        <f t="shared" si="8"/>
        <v>0.31134760549436957</v>
      </c>
      <c r="AK38" s="38">
        <f t="shared" si="9"/>
        <v>0.11013488429649786</v>
      </c>
      <c r="AL38" s="31">
        <f t="shared" si="10"/>
        <v>393.98516571428576</v>
      </c>
      <c r="AM38" s="31">
        <f t="shared" si="11"/>
        <v>650.7571200000001</v>
      </c>
      <c r="AN38" s="31">
        <f t="shared" si="12"/>
        <v>761.15341714285705</v>
      </c>
      <c r="AO38" s="31">
        <f t="shared" si="13"/>
        <v>562.26130285714305</v>
      </c>
      <c r="AP38" s="31">
        <f t="shared" si="14"/>
        <v>198.89211428571411</v>
      </c>
      <c r="AQ38" s="31">
        <f t="shared" si="15"/>
        <v>562.26130285714305</v>
      </c>
      <c r="AR38" s="38">
        <f t="shared" si="16"/>
        <v>0.31134760549436957</v>
      </c>
      <c r="AS38" s="20">
        <f t="shared" si="17"/>
        <v>114.08666855135091</v>
      </c>
      <c r="AT38" s="20">
        <f t="shared" si="18"/>
        <v>84.506779363192308</v>
      </c>
      <c r="AU38" s="143">
        <f t="shared" si="19"/>
        <v>3.372E-2</v>
      </c>
      <c r="AV38" s="20">
        <f t="shared" si="20"/>
        <v>16674.41586171836</v>
      </c>
      <c r="AW38" s="20"/>
      <c r="AX38" s="20"/>
      <c r="AY38" s="41"/>
      <c r="BA38" s="41"/>
      <c r="BB38" s="41"/>
      <c r="BL38" s="21"/>
      <c r="BM38" s="21"/>
    </row>
    <row r="39" spans="1:65" x14ac:dyDescent="0.35">
      <c r="A39" s="79" t="s">
        <v>24</v>
      </c>
      <c r="B39" s="79"/>
      <c r="C39" s="79"/>
      <c r="D39" s="79" t="s">
        <v>335</v>
      </c>
      <c r="E39" s="79">
        <v>2023</v>
      </c>
      <c r="F39" s="79">
        <v>3</v>
      </c>
      <c r="G39" s="79">
        <v>6</v>
      </c>
      <c r="H39" s="79">
        <v>5</v>
      </c>
      <c r="I39" s="79">
        <v>38</v>
      </c>
      <c r="J39" s="79"/>
      <c r="K39" s="79"/>
      <c r="L39" s="79"/>
      <c r="M39" s="54" t="s">
        <v>747</v>
      </c>
      <c r="N39" s="35">
        <v>0.5</v>
      </c>
      <c r="O39" s="35">
        <v>968.28000000000009</v>
      </c>
      <c r="P39" s="35">
        <v>915.93060015193737</v>
      </c>
      <c r="Q39" s="35">
        <v>348.56</v>
      </c>
      <c r="R39" s="35">
        <v>655.8</v>
      </c>
      <c r="S39" s="35">
        <v>230.98</v>
      </c>
      <c r="T39" s="38">
        <f t="shared" si="0"/>
        <v>0.38055284968334918</v>
      </c>
      <c r="U39" s="38">
        <f t="shared" si="21"/>
        <v>0.35221103995120462</v>
      </c>
      <c r="V39" s="20">
        <v>30</v>
      </c>
      <c r="W39" s="35">
        <v>9.58</v>
      </c>
      <c r="X39" s="35">
        <v>26.31</v>
      </c>
      <c r="Y39" s="35">
        <v>38.82</v>
      </c>
      <c r="Z39" s="35">
        <v>29.580000000000005</v>
      </c>
      <c r="AA39" s="35">
        <f t="shared" si="1"/>
        <v>9.2399999999999949</v>
      </c>
      <c r="AC39" s="35">
        <v>7.4560000000000004</v>
      </c>
      <c r="AD39" s="35">
        <f t="shared" si="2"/>
        <v>74.710000000000008</v>
      </c>
      <c r="AE39" s="31">
        <f t="shared" si="3"/>
        <v>2.4903333333333335</v>
      </c>
      <c r="AF39" s="142">
        <f t="shared" si="4"/>
        <v>1831.8612003038747</v>
      </c>
      <c r="AG39" s="38">
        <f t="shared" si="5"/>
        <v>0.12822915272386559</v>
      </c>
      <c r="AH39" s="38">
        <f t="shared" si="6"/>
        <v>0.35216169187525093</v>
      </c>
      <c r="AI39" s="38">
        <f t="shared" si="7"/>
        <v>0.51960915540088337</v>
      </c>
      <c r="AJ39" s="38">
        <f t="shared" si="8"/>
        <v>0.39593093294070408</v>
      </c>
      <c r="AK39" s="38">
        <f t="shared" si="9"/>
        <v>0.12367822246017927</v>
      </c>
      <c r="AL39" s="31">
        <f t="shared" si="10"/>
        <v>234.8980096226893</v>
      </c>
      <c r="AM39" s="31">
        <f t="shared" si="11"/>
        <v>645.11133957964046</v>
      </c>
      <c r="AN39" s="31">
        <f t="shared" si="12"/>
        <v>951.85185110154475</v>
      </c>
      <c r="AO39" s="31">
        <f t="shared" si="13"/>
        <v>725.29051405419114</v>
      </c>
      <c r="AP39" s="31">
        <f t="shared" si="14"/>
        <v>226.56133704735365</v>
      </c>
      <c r="AQ39" s="31">
        <f t="shared" si="15"/>
        <v>725.29051405419114</v>
      </c>
      <c r="AR39" s="38">
        <f t="shared" si="16"/>
        <v>0.39593093294070408</v>
      </c>
      <c r="AS39" s="20">
        <f t="shared" si="17"/>
        <v>32.533853568969469</v>
      </c>
      <c r="AT39" s="20">
        <f t="shared" si="18"/>
        <v>43.198622229940533</v>
      </c>
      <c r="AU39" s="143">
        <f t="shared" si="19"/>
        <v>3.7280000000000001E-2</v>
      </c>
      <c r="AV39" s="20">
        <f t="shared" si="20"/>
        <v>19455.217651668216</v>
      </c>
      <c r="AW39" s="20"/>
      <c r="AX39" s="20"/>
      <c r="AY39" s="41"/>
      <c r="BA39" s="41"/>
      <c r="BB39" s="41"/>
      <c r="BL39" s="21"/>
      <c r="BM39" s="21"/>
    </row>
    <row r="40" spans="1:65" x14ac:dyDescent="0.35">
      <c r="A40" s="79" t="s">
        <v>24</v>
      </c>
      <c r="B40" s="79"/>
      <c r="C40" s="79"/>
      <c r="D40" s="79" t="s">
        <v>29</v>
      </c>
      <c r="E40" s="79">
        <v>1999</v>
      </c>
      <c r="F40" s="79">
        <v>3</v>
      </c>
      <c r="G40" s="79">
        <v>7</v>
      </c>
      <c r="H40" s="79">
        <v>5</v>
      </c>
      <c r="I40" s="79">
        <v>39</v>
      </c>
      <c r="J40" s="79"/>
      <c r="K40" s="79"/>
      <c r="L40" s="79"/>
      <c r="M40" s="54" t="s">
        <v>747</v>
      </c>
      <c r="N40" s="35">
        <v>0.5</v>
      </c>
      <c r="O40" s="35">
        <v>971.32</v>
      </c>
      <c r="P40" s="35">
        <v>936.47944345162114</v>
      </c>
      <c r="Q40" s="35">
        <v>281.47000000000003</v>
      </c>
      <c r="R40" s="35">
        <v>744.19999999999993</v>
      </c>
      <c r="S40" s="35">
        <v>242.17000000000002</v>
      </c>
      <c r="T40" s="38">
        <f t="shared" si="0"/>
        <v>0.30056185639545313</v>
      </c>
      <c r="U40" s="38">
        <f t="shared" si="21"/>
        <v>0.32540983606557383</v>
      </c>
      <c r="V40" s="20">
        <v>30</v>
      </c>
      <c r="W40" s="35">
        <v>11.49</v>
      </c>
      <c r="X40" s="35">
        <v>26.59</v>
      </c>
      <c r="Y40" s="35">
        <v>37.449999999999996</v>
      </c>
      <c r="Z40" s="35">
        <v>28.68</v>
      </c>
      <c r="AA40" s="35">
        <f t="shared" si="1"/>
        <v>8.769999999999996</v>
      </c>
      <c r="AC40" s="35">
        <v>7.4560000000000004</v>
      </c>
      <c r="AD40" s="35">
        <f t="shared" si="2"/>
        <v>75.53</v>
      </c>
      <c r="AE40" s="31">
        <f t="shared" si="3"/>
        <v>2.5176666666666665</v>
      </c>
      <c r="AF40" s="142">
        <f t="shared" si="4"/>
        <v>1872.9588869032423</v>
      </c>
      <c r="AG40" s="38">
        <f t="shared" si="5"/>
        <v>0.15212498345028466</v>
      </c>
      <c r="AH40" s="38">
        <f t="shared" si="6"/>
        <v>0.35204554481662914</v>
      </c>
      <c r="AI40" s="38">
        <f t="shared" si="7"/>
        <v>0.49582947173308611</v>
      </c>
      <c r="AJ40" s="38">
        <f t="shared" si="8"/>
        <v>0.37971666887329536</v>
      </c>
      <c r="AK40" s="38">
        <f t="shared" si="9"/>
        <v>0.11611280285979075</v>
      </c>
      <c r="AL40" s="31">
        <f t="shared" si="10"/>
        <v>284.92383967321933</v>
      </c>
      <c r="AM40" s="31">
        <f t="shared" si="11"/>
        <v>659.36683175899918</v>
      </c>
      <c r="AN40" s="31">
        <f t="shared" si="12"/>
        <v>928.66821547102359</v>
      </c>
      <c r="AO40" s="31">
        <f t="shared" si="13"/>
        <v>711.19370947153425</v>
      </c>
      <c r="AP40" s="31">
        <f t="shared" si="14"/>
        <v>217.47450599948931</v>
      </c>
      <c r="AQ40" s="31">
        <f t="shared" si="15"/>
        <v>711.19370947153425</v>
      </c>
      <c r="AR40" s="38">
        <f t="shared" si="16"/>
        <v>0.37971666887329536</v>
      </c>
      <c r="AS40" s="20">
        <f t="shared" si="17"/>
        <v>72.075176750630604</v>
      </c>
      <c r="AT40" s="20">
        <f t="shared" si="18"/>
        <v>58.935683042239802</v>
      </c>
      <c r="AU40" s="143">
        <f t="shared" si="19"/>
        <v>3.7280000000000001E-2</v>
      </c>
      <c r="AV40" s="20">
        <f t="shared" si="20"/>
        <v>19077.084481532569</v>
      </c>
      <c r="AW40" s="20"/>
      <c r="AX40" s="20"/>
      <c r="AY40" s="41"/>
      <c r="BA40" s="41"/>
      <c r="BB40" s="41"/>
      <c r="BL40" s="21"/>
      <c r="BM40" s="21"/>
    </row>
    <row r="41" spans="1:65" x14ac:dyDescent="0.35">
      <c r="A41" s="79" t="s">
        <v>24</v>
      </c>
      <c r="B41" s="79"/>
      <c r="C41" s="79"/>
      <c r="D41" s="79" t="s">
        <v>26</v>
      </c>
      <c r="E41" s="79">
        <v>1983</v>
      </c>
      <c r="F41" s="79">
        <v>3</v>
      </c>
      <c r="G41" s="79">
        <v>8</v>
      </c>
      <c r="H41" s="79">
        <v>5</v>
      </c>
      <c r="I41" s="79">
        <v>40</v>
      </c>
      <c r="J41" s="79"/>
      <c r="K41" s="79"/>
      <c r="L41" s="79"/>
      <c r="M41" s="54" t="s">
        <v>747</v>
      </c>
      <c r="N41" s="35">
        <v>0.5</v>
      </c>
      <c r="O41" s="35">
        <v>927.29</v>
      </c>
      <c r="P41" s="35">
        <v>922.30963565103798</v>
      </c>
      <c r="Q41" s="35">
        <v>204.56</v>
      </c>
      <c r="R41" s="35">
        <v>757.8</v>
      </c>
      <c r="S41" s="35">
        <v>218.68</v>
      </c>
      <c r="T41" s="38">
        <f t="shared" si="0"/>
        <v>0.22179102558719949</v>
      </c>
      <c r="U41" s="38">
        <f t="shared" si="21"/>
        <v>0.28857218263394036</v>
      </c>
      <c r="V41" s="20">
        <v>30</v>
      </c>
      <c r="W41" s="35">
        <v>11.69</v>
      </c>
      <c r="X41" s="35">
        <v>26.01</v>
      </c>
      <c r="Y41" s="35">
        <v>30.82</v>
      </c>
      <c r="Z41" s="35">
        <v>22.910000000000004</v>
      </c>
      <c r="AA41" s="35">
        <f t="shared" si="1"/>
        <v>7.9099999999999966</v>
      </c>
      <c r="AC41" s="35">
        <v>6.008</v>
      </c>
      <c r="AD41" s="35">
        <f t="shared" si="2"/>
        <v>68.52000000000001</v>
      </c>
      <c r="AE41" s="31">
        <f t="shared" si="3"/>
        <v>2.2840000000000003</v>
      </c>
      <c r="AF41" s="142">
        <f t="shared" si="4"/>
        <v>1844.619271302076</v>
      </c>
      <c r="AG41" s="38">
        <f t="shared" si="5"/>
        <v>0.17060712200817277</v>
      </c>
      <c r="AH41" s="38">
        <f t="shared" si="6"/>
        <v>0.37959719789842378</v>
      </c>
      <c r="AI41" s="38">
        <f t="shared" si="7"/>
        <v>0.44979568009340332</v>
      </c>
      <c r="AJ41" s="38">
        <f t="shared" si="8"/>
        <v>0.3343549328663164</v>
      </c>
      <c r="AK41" s="38">
        <f t="shared" si="9"/>
        <v>0.11544074722708692</v>
      </c>
      <c r="AL41" s="31">
        <f t="shared" si="10"/>
        <v>314.70518507766002</v>
      </c>
      <c r="AM41" s="31">
        <f t="shared" si="11"/>
        <v>700.21230657570038</v>
      </c>
      <c r="AN41" s="31">
        <f t="shared" si="12"/>
        <v>829.70177964871527</v>
      </c>
      <c r="AO41" s="31">
        <f t="shared" si="13"/>
        <v>616.7575526201191</v>
      </c>
      <c r="AP41" s="31">
        <f t="shared" si="14"/>
        <v>212.9442270285962</v>
      </c>
      <c r="AQ41" s="31">
        <f t="shared" si="15"/>
        <v>616.7575526201191</v>
      </c>
      <c r="AR41" s="38">
        <f t="shared" si="16"/>
        <v>0.3343549328663164</v>
      </c>
      <c r="AS41" s="20">
        <f t="shared" si="17"/>
        <v>113.80524051622996</v>
      </c>
      <c r="AT41" s="20">
        <f t="shared" si="18"/>
        <v>64.326592872487055</v>
      </c>
      <c r="AU41" s="143">
        <f t="shared" si="19"/>
        <v>3.0040000000000001E-2</v>
      </c>
      <c r="AV41" s="20">
        <f t="shared" si="20"/>
        <v>20531.210140483327</v>
      </c>
      <c r="AW41" s="20"/>
      <c r="AX41" s="20"/>
      <c r="AY41" s="41"/>
      <c r="BA41" s="41"/>
      <c r="BB41" s="41"/>
      <c r="BL41" s="21"/>
      <c r="BM41" s="21"/>
    </row>
    <row r="42" spans="1:65" x14ac:dyDescent="0.35">
      <c r="A42" s="6" t="s">
        <v>34</v>
      </c>
      <c r="D42" s="6" t="s">
        <v>41</v>
      </c>
      <c r="E42" s="6">
        <v>2008</v>
      </c>
      <c r="F42" s="6">
        <v>3</v>
      </c>
      <c r="G42" s="6">
        <v>1</v>
      </c>
      <c r="H42" s="6">
        <v>6</v>
      </c>
      <c r="I42" s="6">
        <v>41</v>
      </c>
      <c r="M42" s="54" t="s">
        <v>747</v>
      </c>
      <c r="N42" s="35">
        <v>0.5</v>
      </c>
      <c r="O42" s="35">
        <v>836.71</v>
      </c>
      <c r="P42" s="35">
        <v>813.93318334369167</v>
      </c>
      <c r="Q42" s="35">
        <v>282.83</v>
      </c>
      <c r="R42" s="35">
        <v>755.69999999999993</v>
      </c>
      <c r="S42" s="35">
        <v>271.8</v>
      </c>
      <c r="T42" s="38">
        <f t="shared" si="0"/>
        <v>0.34748552557854384</v>
      </c>
      <c r="U42" s="38">
        <f t="shared" si="21"/>
        <v>0.35966653433902346</v>
      </c>
      <c r="V42" s="20">
        <v>30</v>
      </c>
      <c r="W42" s="35">
        <v>10.52</v>
      </c>
      <c r="X42" s="35">
        <v>23.91</v>
      </c>
      <c r="Y42" s="35">
        <v>43.83</v>
      </c>
      <c r="Z42" s="35">
        <v>33.480000000000004</v>
      </c>
      <c r="AA42" s="35">
        <f t="shared" si="1"/>
        <v>10.349999999999994</v>
      </c>
      <c r="AC42" s="35">
        <v>7.4120000000000008</v>
      </c>
      <c r="AD42" s="35">
        <f t="shared" si="2"/>
        <v>78.259999999999991</v>
      </c>
      <c r="AE42" s="31">
        <f t="shared" si="3"/>
        <v>2.6086666666666662</v>
      </c>
      <c r="AF42" s="142">
        <f t="shared" si="4"/>
        <v>1627.8663666873833</v>
      </c>
      <c r="AG42" s="38">
        <f t="shared" si="5"/>
        <v>0.13442371581906468</v>
      </c>
      <c r="AH42" s="38">
        <f t="shared" si="6"/>
        <v>0.30552006133401488</v>
      </c>
      <c r="AI42" s="38">
        <f t="shared" si="7"/>
        <v>0.56005622284692058</v>
      </c>
      <c r="AJ42" s="38">
        <f t="shared" si="8"/>
        <v>0.42780475338614882</v>
      </c>
      <c r="AK42" s="38">
        <f t="shared" si="9"/>
        <v>0.13225146946077174</v>
      </c>
      <c r="AL42" s="31">
        <f t="shared" si="10"/>
        <v>218.82384586699814</v>
      </c>
      <c r="AM42" s="31">
        <f t="shared" si="11"/>
        <v>497.3458321939093</v>
      </c>
      <c r="AN42" s="31">
        <f t="shared" si="12"/>
        <v>911.69668862647609</v>
      </c>
      <c r="AO42" s="31">
        <f t="shared" si="13"/>
        <v>696.40896954630216</v>
      </c>
      <c r="AP42" s="31">
        <f t="shared" si="14"/>
        <v>215.28771908017393</v>
      </c>
      <c r="AQ42" s="31">
        <f t="shared" si="15"/>
        <v>696.40896954630216</v>
      </c>
      <c r="AR42" s="38">
        <f t="shared" si="16"/>
        <v>0.42780475338614882</v>
      </c>
      <c r="AS42" s="20">
        <f t="shared" si="17"/>
        <v>92.200261641268625</v>
      </c>
      <c r="AT42" s="20">
        <f t="shared" si="18"/>
        <v>85.690917992932555</v>
      </c>
      <c r="AU42" s="143">
        <f t="shared" si="19"/>
        <v>3.7060000000000003E-2</v>
      </c>
      <c r="AV42" s="20">
        <f t="shared" si="20"/>
        <v>18791.391515010851</v>
      </c>
      <c r="AW42" s="20"/>
      <c r="AX42" s="20"/>
      <c r="AY42" s="41"/>
      <c r="BA42" s="41"/>
      <c r="BB42" s="41"/>
      <c r="BL42" s="21"/>
      <c r="BM42" s="21"/>
    </row>
    <row r="43" spans="1:65" s="28" customFormat="1" x14ac:dyDescent="0.35">
      <c r="A43" s="6" t="s">
        <v>34</v>
      </c>
      <c r="B43" s="6"/>
      <c r="C43" s="6"/>
      <c r="D43" s="6" t="s">
        <v>36</v>
      </c>
      <c r="E43" s="6">
        <v>1984</v>
      </c>
      <c r="F43" s="6">
        <v>3</v>
      </c>
      <c r="G43" s="6">
        <v>2</v>
      </c>
      <c r="H43" s="6">
        <v>6</v>
      </c>
      <c r="I43" s="6">
        <v>42</v>
      </c>
      <c r="J43" s="6"/>
      <c r="K43" s="6"/>
      <c r="L43" s="6"/>
      <c r="M43" s="54" t="s">
        <v>747</v>
      </c>
      <c r="N43" s="35">
        <v>0.5</v>
      </c>
      <c r="O43" s="35">
        <v>737</v>
      </c>
      <c r="P43" s="35">
        <v>705.19620253164555</v>
      </c>
      <c r="Q43" s="35">
        <v>174.72</v>
      </c>
      <c r="R43" s="35">
        <v>679.6</v>
      </c>
      <c r="S43" s="35">
        <v>204.79999999999998</v>
      </c>
      <c r="T43" s="38">
        <f t="shared" si="0"/>
        <v>0.24776083503109828</v>
      </c>
      <c r="U43" s="38">
        <f t="shared" si="21"/>
        <v>0.30135373749264271</v>
      </c>
      <c r="V43" s="20">
        <v>30</v>
      </c>
      <c r="W43" s="35">
        <v>15.65</v>
      </c>
      <c r="X43" s="35">
        <v>28.28</v>
      </c>
      <c r="Y43" s="35">
        <v>39.22</v>
      </c>
      <c r="Z43" s="35">
        <v>28.130000000000003</v>
      </c>
      <c r="AA43" s="35">
        <f t="shared" si="1"/>
        <v>11.089999999999996</v>
      </c>
      <c r="AB43" s="35"/>
      <c r="AC43" s="35">
        <v>5.7439999999999998</v>
      </c>
      <c r="AD43" s="35">
        <f t="shared" si="2"/>
        <v>83.15</v>
      </c>
      <c r="AE43" s="31">
        <f t="shared" si="3"/>
        <v>2.7716666666666669</v>
      </c>
      <c r="AF43" s="142">
        <f t="shared" si="4"/>
        <v>1410.3924050632911</v>
      </c>
      <c r="AG43" s="38">
        <f t="shared" si="5"/>
        <v>0.18821407095610343</v>
      </c>
      <c r="AH43" s="38">
        <f t="shared" si="6"/>
        <v>0.34010823812387253</v>
      </c>
      <c r="AI43" s="38">
        <f t="shared" si="7"/>
        <v>0.47167769092002398</v>
      </c>
      <c r="AJ43" s="38">
        <f t="shared" si="8"/>
        <v>0.33830426939266389</v>
      </c>
      <c r="AK43" s="38">
        <f t="shared" si="9"/>
        <v>0.13337342152736015</v>
      </c>
      <c r="AL43" s="31">
        <f t="shared" si="10"/>
        <v>265.45569620253167</v>
      </c>
      <c r="AM43" s="31">
        <f t="shared" si="11"/>
        <v>479.68607594936708</v>
      </c>
      <c r="AN43" s="31">
        <f t="shared" si="12"/>
        <v>665.25063291139224</v>
      </c>
      <c r="AO43" s="31">
        <f t="shared" si="13"/>
        <v>477.14177215189875</v>
      </c>
      <c r="AP43" s="31">
        <f t="shared" si="14"/>
        <v>188.10886075949361</v>
      </c>
      <c r="AQ43" s="31">
        <f t="shared" si="15"/>
        <v>477.14177215189875</v>
      </c>
      <c r="AR43" s="38">
        <f t="shared" si="16"/>
        <v>0.33830426939266389</v>
      </c>
      <c r="AS43" s="20">
        <f t="shared" si="17"/>
        <v>134.43223443223442</v>
      </c>
      <c r="AT43" s="20">
        <f t="shared" si="18"/>
        <v>92.740686226115372</v>
      </c>
      <c r="AU43" s="143">
        <f t="shared" si="19"/>
        <v>2.8719999999999999E-2</v>
      </c>
      <c r="AV43" s="20">
        <f t="shared" si="20"/>
        <v>16613.571453756922</v>
      </c>
      <c r="AW43" s="20"/>
      <c r="AX43" s="20"/>
      <c r="AY43" s="41"/>
      <c r="AZ43" s="69"/>
      <c r="BA43" s="41"/>
      <c r="BB43" s="41"/>
      <c r="BD43"/>
      <c r="BE43"/>
      <c r="BF43"/>
      <c r="BG43"/>
      <c r="BH43"/>
      <c r="BI43"/>
      <c r="BJ43"/>
      <c r="BK43"/>
      <c r="BL43" s="32"/>
      <c r="BM43" s="32"/>
    </row>
    <row r="44" spans="1:65" x14ac:dyDescent="0.35">
      <c r="A44" s="6" t="s">
        <v>34</v>
      </c>
      <c r="D44" s="6" t="s">
        <v>37</v>
      </c>
      <c r="E44" s="6">
        <v>1989</v>
      </c>
      <c r="F44" s="6">
        <v>3</v>
      </c>
      <c r="G44" s="6">
        <v>3</v>
      </c>
      <c r="H44" s="6">
        <v>6</v>
      </c>
      <c r="I44" s="6">
        <v>43</v>
      </c>
      <c r="M44" s="54" t="s">
        <v>747</v>
      </c>
      <c r="N44" s="35">
        <v>0.5</v>
      </c>
      <c r="O44" s="35">
        <v>848.01</v>
      </c>
      <c r="P44" s="35">
        <v>822.05548843631345</v>
      </c>
      <c r="Q44" s="35">
        <v>242.33</v>
      </c>
      <c r="R44" s="35">
        <v>771.8</v>
      </c>
      <c r="S44" s="35">
        <v>267.04000000000002</v>
      </c>
      <c r="T44" s="38">
        <f t="shared" si="0"/>
        <v>0.29478545354760916</v>
      </c>
      <c r="U44" s="38">
        <f t="shared" si="21"/>
        <v>0.34599637211712886</v>
      </c>
      <c r="V44" s="20">
        <v>30</v>
      </c>
      <c r="W44" s="35">
        <v>14.73</v>
      </c>
      <c r="X44" s="35">
        <v>27.56</v>
      </c>
      <c r="Y44" s="35">
        <v>41.96</v>
      </c>
      <c r="Z44" s="35">
        <v>31.25</v>
      </c>
      <c r="AA44" s="35">
        <f t="shared" si="1"/>
        <v>10.71</v>
      </c>
      <c r="AC44" s="35">
        <v>6.5239999999999991</v>
      </c>
      <c r="AD44" s="35">
        <f t="shared" si="2"/>
        <v>84.25</v>
      </c>
      <c r="AE44" s="31">
        <f t="shared" si="3"/>
        <v>2.8083333333333331</v>
      </c>
      <c r="AF44" s="142">
        <f t="shared" si="4"/>
        <v>1644.1109768726269</v>
      </c>
      <c r="AG44" s="38">
        <f t="shared" si="5"/>
        <v>0.17483679525222554</v>
      </c>
      <c r="AH44" s="38">
        <f t="shared" si="6"/>
        <v>0.32712166172106821</v>
      </c>
      <c r="AI44" s="38">
        <f t="shared" si="7"/>
        <v>0.49804154302670622</v>
      </c>
      <c r="AJ44" s="38">
        <f t="shared" si="8"/>
        <v>0.37091988130563797</v>
      </c>
      <c r="AK44" s="38">
        <f t="shared" si="9"/>
        <v>0.12712166172106826</v>
      </c>
      <c r="AL44" s="31">
        <f t="shared" si="10"/>
        <v>287.45109423541601</v>
      </c>
      <c r="AM44" s="31">
        <f t="shared" si="11"/>
        <v>537.82431480842251</v>
      </c>
      <c r="AN44" s="31">
        <f t="shared" si="12"/>
        <v>818.83556782878838</v>
      </c>
      <c r="AO44" s="31">
        <f t="shared" si="13"/>
        <v>609.83344839489121</v>
      </c>
      <c r="AP44" s="31">
        <f t="shared" si="14"/>
        <v>209.00211943389715</v>
      </c>
      <c r="AQ44" s="31">
        <f t="shared" si="15"/>
        <v>609.83344839489121</v>
      </c>
      <c r="AR44" s="38">
        <f t="shared" si="16"/>
        <v>0.37091988130563791</v>
      </c>
      <c r="AS44" s="20">
        <f t="shared" si="17"/>
        <v>120.39367804233895</v>
      </c>
      <c r="AT44" s="20">
        <f t="shared" si="18"/>
        <v>87.773212601035524</v>
      </c>
      <c r="AU44" s="143">
        <f t="shared" si="19"/>
        <v>3.2619999999999996E-2</v>
      </c>
      <c r="AV44" s="20">
        <f t="shared" si="20"/>
        <v>18695.078123693784</v>
      </c>
      <c r="AW44" s="20"/>
      <c r="AX44" s="20"/>
      <c r="AY44" s="41"/>
      <c r="BA44" s="41"/>
      <c r="BB44" s="41"/>
      <c r="BL44" s="21"/>
      <c r="BM44" s="21"/>
    </row>
    <row r="45" spans="1:65" x14ac:dyDescent="0.35">
      <c r="A45" s="6" t="s">
        <v>34</v>
      </c>
      <c r="D45" s="6" t="s">
        <v>42</v>
      </c>
      <c r="E45" s="6">
        <v>2016</v>
      </c>
      <c r="F45" s="6">
        <v>3</v>
      </c>
      <c r="G45" s="6">
        <v>4</v>
      </c>
      <c r="H45" s="6">
        <v>6</v>
      </c>
      <c r="I45" s="6">
        <v>44</v>
      </c>
      <c r="M45" s="54" t="s">
        <v>747</v>
      </c>
      <c r="N45" s="35">
        <v>0.5</v>
      </c>
      <c r="O45" s="35">
        <v>773.36000000000013</v>
      </c>
      <c r="P45" s="35">
        <v>730.2247048974466</v>
      </c>
      <c r="Q45" s="35">
        <v>279.49</v>
      </c>
      <c r="R45" s="35">
        <v>776.5</v>
      </c>
      <c r="S45" s="35">
        <v>301.87</v>
      </c>
      <c r="T45" s="38">
        <f t="shared" si="0"/>
        <v>0.38274519901275023</v>
      </c>
      <c r="U45" s="38">
        <f t="shared" si="21"/>
        <v>0.3887572440437862</v>
      </c>
      <c r="V45" s="20">
        <v>30</v>
      </c>
      <c r="W45" s="35">
        <v>8.98</v>
      </c>
      <c r="X45" s="35">
        <v>29.18</v>
      </c>
      <c r="Y45" s="38">
        <v>52.07</v>
      </c>
      <c r="Z45" s="35">
        <v>37.07</v>
      </c>
      <c r="AA45" s="35">
        <f t="shared" si="1"/>
        <v>15</v>
      </c>
      <c r="AC45" s="35">
        <v>8.1760000000000002</v>
      </c>
      <c r="AD45" s="35">
        <f t="shared" si="2"/>
        <v>90.22999999999999</v>
      </c>
      <c r="AE45" s="31">
        <f t="shared" si="3"/>
        <v>3.0076666666666663</v>
      </c>
      <c r="AF45" s="142">
        <f t="shared" si="4"/>
        <v>1460.4494097948932</v>
      </c>
      <c r="AG45" s="38">
        <f t="shared" si="5"/>
        <v>9.9523440097528559E-2</v>
      </c>
      <c r="AH45" s="38">
        <f t="shared" si="6"/>
        <v>0.32339576637481993</v>
      </c>
      <c r="AI45" s="38">
        <f t="shared" si="7"/>
        <v>0.57708079352765163</v>
      </c>
      <c r="AJ45" s="38">
        <f t="shared" si="8"/>
        <v>0.41083896708411843</v>
      </c>
      <c r="AK45" s="38">
        <f t="shared" si="9"/>
        <v>0.16624182644353322</v>
      </c>
      <c r="AL45" s="31">
        <f t="shared" si="10"/>
        <v>145.348949351193</v>
      </c>
      <c r="AM45" s="31">
        <f t="shared" si="11"/>
        <v>472.30315613227293</v>
      </c>
      <c r="AN45" s="31">
        <f t="shared" si="12"/>
        <v>842.79730431142741</v>
      </c>
      <c r="AO45" s="31">
        <f t="shared" si="13"/>
        <v>600.00952699874438</v>
      </c>
      <c r="AP45" s="31">
        <f t="shared" si="14"/>
        <v>242.78777731268315</v>
      </c>
      <c r="AQ45" s="31">
        <f t="shared" si="15"/>
        <v>600.00952699874438</v>
      </c>
      <c r="AR45" s="38">
        <f t="shared" si="16"/>
        <v>0.41083896708411849</v>
      </c>
      <c r="AS45" s="20">
        <f t="shared" si="17"/>
        <v>116.01488425346166</v>
      </c>
      <c r="AT45" s="20">
        <f t="shared" si="18"/>
        <v>112.67426171483812</v>
      </c>
      <c r="AU45" s="143">
        <f t="shared" si="19"/>
        <v>4.088E-2</v>
      </c>
      <c r="AV45" s="20">
        <f t="shared" si="20"/>
        <v>14677.3367661141</v>
      </c>
      <c r="AW45" s="20"/>
      <c r="AX45" s="20"/>
      <c r="AY45" s="41"/>
      <c r="BA45" s="41"/>
      <c r="BB45" s="41"/>
      <c r="BL45" s="21"/>
      <c r="BM45" s="21"/>
    </row>
    <row r="46" spans="1:65" x14ac:dyDescent="0.35">
      <c r="A46" s="6" t="s">
        <v>34</v>
      </c>
      <c r="D46" s="6" t="s">
        <v>43</v>
      </c>
      <c r="E46" s="6">
        <v>2020</v>
      </c>
      <c r="F46" s="6">
        <v>3</v>
      </c>
      <c r="G46" s="6">
        <v>5</v>
      </c>
      <c r="H46" s="6">
        <v>6</v>
      </c>
      <c r="I46" s="6">
        <v>45</v>
      </c>
      <c r="M46" s="54" t="s">
        <v>747</v>
      </c>
      <c r="N46" s="35">
        <v>0.5</v>
      </c>
      <c r="O46" s="35">
        <v>793.71</v>
      </c>
      <c r="P46" s="35">
        <v>765.64834777412614</v>
      </c>
      <c r="Q46" s="35">
        <v>274.55</v>
      </c>
      <c r="R46" s="35">
        <v>719.3</v>
      </c>
      <c r="S46" s="35">
        <v>261.64999999999998</v>
      </c>
      <c r="T46" s="38">
        <f t="shared" si="0"/>
        <v>0.35858498329966354</v>
      </c>
      <c r="U46" s="38">
        <f t="shared" si="21"/>
        <v>0.36375642986236617</v>
      </c>
      <c r="V46" s="20">
        <v>30</v>
      </c>
      <c r="W46" s="35">
        <v>9.82</v>
      </c>
      <c r="X46" s="35">
        <v>33.39</v>
      </c>
      <c r="Y46" s="35">
        <v>53.65</v>
      </c>
      <c r="Z46" s="35">
        <v>40.6</v>
      </c>
      <c r="AA46" s="35">
        <f t="shared" si="1"/>
        <v>13.049999999999997</v>
      </c>
      <c r="AC46" s="35">
        <v>7.6079999999999997</v>
      </c>
      <c r="AD46" s="35">
        <f t="shared" si="2"/>
        <v>96.86</v>
      </c>
      <c r="AE46" s="31">
        <f t="shared" si="3"/>
        <v>3.2286666666666668</v>
      </c>
      <c r="AF46" s="142">
        <f t="shared" si="4"/>
        <v>1531.2966955482523</v>
      </c>
      <c r="AG46" s="38">
        <f t="shared" si="5"/>
        <v>0.10138344001651869</v>
      </c>
      <c r="AH46" s="38">
        <f t="shared" si="6"/>
        <v>0.34472434441461902</v>
      </c>
      <c r="AI46" s="38">
        <f t="shared" si="7"/>
        <v>0.55389221556886226</v>
      </c>
      <c r="AJ46" s="38">
        <f t="shared" si="8"/>
        <v>0.41916167664670662</v>
      </c>
      <c r="AK46" s="38">
        <f t="shared" si="9"/>
        <v>0.13473053892215567</v>
      </c>
      <c r="AL46" s="31">
        <f t="shared" si="10"/>
        <v>155.24812668060952</v>
      </c>
      <c r="AM46" s="31">
        <f t="shared" si="11"/>
        <v>527.87524947714371</v>
      </c>
      <c r="AN46" s="31">
        <f t="shared" si="12"/>
        <v>848.17331939049893</v>
      </c>
      <c r="AO46" s="31">
        <f t="shared" si="13"/>
        <v>641.86089034956683</v>
      </c>
      <c r="AP46" s="31">
        <f t="shared" si="14"/>
        <v>206.31242904093216</v>
      </c>
      <c r="AQ46" s="31">
        <f t="shared" si="15"/>
        <v>641.86089034956683</v>
      </c>
      <c r="AR46" s="38">
        <f t="shared" si="16"/>
        <v>0.41916167664670662</v>
      </c>
      <c r="AS46" s="20">
        <f t="shared" si="17"/>
        <v>90.60280458932796</v>
      </c>
      <c r="AT46" s="20">
        <f t="shared" si="18"/>
        <v>87.893045702020018</v>
      </c>
      <c r="AU46" s="143">
        <f t="shared" si="19"/>
        <v>3.8039999999999997E-2</v>
      </c>
      <c r="AV46" s="20">
        <f t="shared" si="20"/>
        <v>16873.31467795917</v>
      </c>
      <c r="AW46" s="20"/>
      <c r="AX46" s="20"/>
      <c r="AY46" s="41"/>
      <c r="BA46" s="41"/>
      <c r="BB46" s="41"/>
      <c r="BL46" s="21"/>
      <c r="BM46" s="21"/>
    </row>
    <row r="47" spans="1:65" x14ac:dyDescent="0.35">
      <c r="A47" s="6" t="s">
        <v>34</v>
      </c>
      <c r="D47" s="6" t="s">
        <v>39</v>
      </c>
      <c r="E47" s="6">
        <v>2001</v>
      </c>
      <c r="F47" s="6">
        <v>3</v>
      </c>
      <c r="G47" s="6">
        <v>6</v>
      </c>
      <c r="H47" s="6">
        <v>6</v>
      </c>
      <c r="I47" s="6">
        <v>46</v>
      </c>
      <c r="M47" s="54" t="s">
        <v>747</v>
      </c>
      <c r="N47" s="35">
        <v>0.5</v>
      </c>
      <c r="O47" s="35">
        <v>688.4</v>
      </c>
      <c r="P47" s="35">
        <v>658.93343173431731</v>
      </c>
      <c r="Q47" s="35">
        <v>229.12</v>
      </c>
      <c r="R47" s="35">
        <v>665.5</v>
      </c>
      <c r="S47" s="35">
        <v>253.07</v>
      </c>
      <c r="T47" s="38">
        <f t="shared" si="0"/>
        <v>0.34771342440002567</v>
      </c>
      <c r="U47" s="38">
        <f t="shared" si="21"/>
        <v>0.38027047332832453</v>
      </c>
      <c r="V47" s="20">
        <v>30</v>
      </c>
      <c r="W47" s="35">
        <v>8.35</v>
      </c>
      <c r="X47" s="35">
        <v>26.75</v>
      </c>
      <c r="Y47" s="35">
        <v>42.72</v>
      </c>
      <c r="Z47" s="35">
        <v>31.25</v>
      </c>
      <c r="AA47" s="35">
        <f t="shared" si="1"/>
        <v>11.469999999999999</v>
      </c>
      <c r="AC47" s="35">
        <v>8.5440000000000005</v>
      </c>
      <c r="AD47" s="35">
        <f t="shared" si="2"/>
        <v>77.819999999999993</v>
      </c>
      <c r="AE47" s="31">
        <f t="shared" si="3"/>
        <v>2.5939999999999999</v>
      </c>
      <c r="AF47" s="142">
        <f t="shared" si="4"/>
        <v>1317.8668634686346</v>
      </c>
      <c r="AG47" s="38">
        <f t="shared" si="5"/>
        <v>0.10729889488563352</v>
      </c>
      <c r="AH47" s="38">
        <f t="shared" si="6"/>
        <v>0.34374196864559242</v>
      </c>
      <c r="AI47" s="38">
        <f t="shared" si="7"/>
        <v>0.54895913646877414</v>
      </c>
      <c r="AJ47" s="38">
        <f t="shared" si="8"/>
        <v>0.40156772038036498</v>
      </c>
      <c r="AK47" s="38">
        <f t="shared" si="9"/>
        <v>0.14739141608840914</v>
      </c>
      <c r="AL47" s="31">
        <f t="shared" si="10"/>
        <v>141.40565805658056</v>
      </c>
      <c r="AM47" s="31">
        <f t="shared" si="11"/>
        <v>453.00615006150065</v>
      </c>
      <c r="AN47" s="31">
        <f t="shared" si="12"/>
        <v>723.45505535055349</v>
      </c>
      <c r="AO47" s="31">
        <f t="shared" si="13"/>
        <v>529.21279212792126</v>
      </c>
      <c r="AP47" s="31">
        <f t="shared" si="14"/>
        <v>194.2422632226322</v>
      </c>
      <c r="AQ47" s="31">
        <f t="shared" si="15"/>
        <v>529.21279212792126</v>
      </c>
      <c r="AR47" s="38">
        <f t="shared" si="16"/>
        <v>0.40156772038036498</v>
      </c>
      <c r="AS47" s="20">
        <f t="shared" si="17"/>
        <v>120.9060754189944</v>
      </c>
      <c r="AT47" s="20">
        <f t="shared" si="18"/>
        <v>101.99309002986826</v>
      </c>
      <c r="AU47" s="143">
        <f t="shared" si="19"/>
        <v>4.2720000000000001E-2</v>
      </c>
      <c r="AV47" s="20">
        <f t="shared" si="20"/>
        <v>12387.939890634862</v>
      </c>
      <c r="AW47" s="20"/>
      <c r="AX47" s="20"/>
      <c r="AY47" s="41"/>
      <c r="BA47" s="41"/>
      <c r="BB47" s="41"/>
      <c r="BL47" s="21"/>
    </row>
    <row r="48" spans="1:65" x14ac:dyDescent="0.35">
      <c r="A48" s="6" t="s">
        <v>34</v>
      </c>
      <c r="D48" s="6" t="s">
        <v>38</v>
      </c>
      <c r="E48" s="6">
        <v>1999</v>
      </c>
      <c r="F48" s="6">
        <v>3</v>
      </c>
      <c r="G48" s="6">
        <v>7</v>
      </c>
      <c r="H48" s="6">
        <v>6</v>
      </c>
      <c r="I48" s="6">
        <v>47</v>
      </c>
      <c r="M48" s="54" t="s">
        <v>747</v>
      </c>
      <c r="N48" s="35">
        <v>0.5</v>
      </c>
      <c r="O48" s="35">
        <v>742.27</v>
      </c>
      <c r="P48" s="35">
        <v>707.84316031764297</v>
      </c>
      <c r="Q48" s="35">
        <v>249.76</v>
      </c>
      <c r="R48" s="35">
        <v>716.3</v>
      </c>
      <c r="S48" s="35">
        <v>246.87</v>
      </c>
      <c r="T48" s="38">
        <f t="shared" si="0"/>
        <v>0.35284652589977811</v>
      </c>
      <c r="U48" s="38">
        <f t="shared" si="21"/>
        <v>0.34464609800362977</v>
      </c>
      <c r="V48" s="20">
        <v>30</v>
      </c>
      <c r="W48" s="35">
        <v>11.65</v>
      </c>
      <c r="X48" s="35">
        <v>26.21</v>
      </c>
      <c r="Y48" s="35">
        <v>45</v>
      </c>
      <c r="Z48" s="35">
        <v>34.830000000000005</v>
      </c>
      <c r="AA48" s="35">
        <f t="shared" si="1"/>
        <v>10.169999999999995</v>
      </c>
      <c r="AC48" s="35">
        <v>7.831999999999999</v>
      </c>
      <c r="AD48" s="35">
        <f t="shared" si="2"/>
        <v>82.86</v>
      </c>
      <c r="AE48" s="31">
        <f t="shared" si="3"/>
        <v>2.762</v>
      </c>
      <c r="AF48" s="142">
        <f t="shared" si="4"/>
        <v>1415.6863206352859</v>
      </c>
      <c r="AG48" s="38">
        <f t="shared" si="5"/>
        <v>0.14059860004827421</v>
      </c>
      <c r="AH48" s="38">
        <f t="shared" si="6"/>
        <v>0.31631667873521602</v>
      </c>
      <c r="AI48" s="38">
        <f t="shared" si="7"/>
        <v>0.54308472121650975</v>
      </c>
      <c r="AJ48" s="38">
        <f t="shared" si="8"/>
        <v>0.42034757422157865</v>
      </c>
      <c r="AK48" s="38">
        <f t="shared" si="9"/>
        <v>0.12273714699493114</v>
      </c>
      <c r="AL48" s="31">
        <f t="shared" si="10"/>
        <v>199.04351478881344</v>
      </c>
      <c r="AM48" s="31">
        <f t="shared" si="11"/>
        <v>447.80519507423173</v>
      </c>
      <c r="AN48" s="31">
        <f t="shared" si="12"/>
        <v>768.83761077224074</v>
      </c>
      <c r="AO48" s="31">
        <f t="shared" si="13"/>
        <v>595.0803107377144</v>
      </c>
      <c r="AP48" s="31">
        <f t="shared" si="14"/>
        <v>173.75730003452631</v>
      </c>
      <c r="AQ48" s="31">
        <f t="shared" si="15"/>
        <v>595.0803107377144</v>
      </c>
      <c r="AR48" s="38">
        <f t="shared" si="16"/>
        <v>0.42034757422157859</v>
      </c>
      <c r="AS48" s="20">
        <f t="shared" si="17"/>
        <v>97.685778347213329</v>
      </c>
      <c r="AT48" s="20">
        <f t="shared" si="18"/>
        <v>102.38946709001526</v>
      </c>
      <c r="AU48" s="143">
        <f t="shared" si="19"/>
        <v>3.9159999999999993E-2</v>
      </c>
      <c r="AV48" s="20">
        <f t="shared" si="20"/>
        <v>15196.126423332853</v>
      </c>
      <c r="AW48" s="20"/>
      <c r="AX48" s="20"/>
      <c r="AY48" s="41"/>
      <c r="BA48" s="41"/>
      <c r="BB48" s="41"/>
    </row>
    <row r="49" spans="1:72" x14ac:dyDescent="0.35">
      <c r="A49" s="6" t="s">
        <v>34</v>
      </c>
      <c r="D49" s="6" t="s">
        <v>343</v>
      </c>
      <c r="E49" s="6">
        <v>2004</v>
      </c>
      <c r="F49" s="6">
        <v>3</v>
      </c>
      <c r="G49" s="6">
        <v>8</v>
      </c>
      <c r="H49" s="6">
        <v>6</v>
      </c>
      <c r="I49" s="6">
        <v>48</v>
      </c>
      <c r="M49" s="54" t="s">
        <v>747</v>
      </c>
      <c r="N49" s="35">
        <v>0.5</v>
      </c>
      <c r="R49" s="35">
        <v>654.6</v>
      </c>
      <c r="S49" s="35">
        <v>244.31</v>
      </c>
      <c r="V49" s="20">
        <v>30</v>
      </c>
      <c r="AC49" s="35">
        <v>7.6239999999999988</v>
      </c>
      <c r="AR49" s="38" t="e">
        <f t="shared" si="16"/>
        <v>#DIV/0!</v>
      </c>
      <c r="AU49" s="143">
        <f t="shared" si="19"/>
        <v>3.8119999999999994E-2</v>
      </c>
      <c r="AW49" s="20"/>
      <c r="AX49" s="20"/>
      <c r="AY49" s="41"/>
      <c r="BA49" s="41"/>
      <c r="BB49" s="41"/>
    </row>
    <row r="50" spans="1:72" x14ac:dyDescent="0.35">
      <c r="A50" s="79" t="s">
        <v>24</v>
      </c>
      <c r="B50" s="79"/>
      <c r="C50" s="79"/>
      <c r="D50" s="79" t="s">
        <v>32</v>
      </c>
      <c r="E50" s="79">
        <v>2018</v>
      </c>
      <c r="F50" s="79">
        <v>4</v>
      </c>
      <c r="G50" s="79">
        <v>1</v>
      </c>
      <c r="H50" s="79">
        <v>7</v>
      </c>
      <c r="I50" s="79">
        <v>49</v>
      </c>
      <c r="J50" s="79"/>
      <c r="K50" s="79"/>
      <c r="L50" s="79"/>
      <c r="M50" s="54" t="s">
        <v>747</v>
      </c>
      <c r="N50" s="35">
        <v>0.5</v>
      </c>
      <c r="O50" s="35">
        <v>939.13</v>
      </c>
      <c r="P50" s="35">
        <v>981.35951842181612</v>
      </c>
      <c r="Q50" s="35">
        <v>266.39999999999998</v>
      </c>
      <c r="R50" s="35">
        <v>784.69999999999993</v>
      </c>
      <c r="S50" s="35">
        <v>251.87</v>
      </c>
      <c r="T50" s="38">
        <f t="shared" si="0"/>
        <v>0.27146014788587775</v>
      </c>
      <c r="U50" s="38">
        <f t="shared" si="21"/>
        <v>0.32097616923665101</v>
      </c>
      <c r="V50" s="20">
        <v>30</v>
      </c>
      <c r="W50" s="35">
        <v>19.34</v>
      </c>
      <c r="X50" s="35">
        <v>29.39</v>
      </c>
      <c r="Y50" s="35">
        <v>59.33</v>
      </c>
      <c r="Z50" s="35">
        <v>35.54</v>
      </c>
      <c r="AA50" s="35">
        <f t="shared" si="1"/>
        <v>23.79</v>
      </c>
      <c r="AC50" s="35">
        <v>7.2959999999999994</v>
      </c>
      <c r="AD50" s="35">
        <f t="shared" si="2"/>
        <v>108.06</v>
      </c>
      <c r="AE50" s="31">
        <f t="shared" si="3"/>
        <v>3.6019999999999999</v>
      </c>
      <c r="AF50" s="142">
        <f t="shared" si="4"/>
        <v>1962.7190368436322</v>
      </c>
      <c r="AG50" s="38">
        <f t="shared" si="5"/>
        <v>0.17897464371645383</v>
      </c>
      <c r="AH50" s="38">
        <f t="shared" si="6"/>
        <v>0.27197853044604847</v>
      </c>
      <c r="AI50" s="38">
        <f t="shared" si="7"/>
        <v>0.54904682583749764</v>
      </c>
      <c r="AJ50" s="38">
        <f t="shared" si="8"/>
        <v>0.32889135665371089</v>
      </c>
      <c r="AK50" s="38">
        <f t="shared" si="9"/>
        <v>0.22015546918378678</v>
      </c>
      <c r="AL50" s="31">
        <f t="shared" si="10"/>
        <v>351.27694033459051</v>
      </c>
      <c r="AM50" s="31">
        <f t="shared" si="11"/>
        <v>533.81743931921471</v>
      </c>
      <c r="AN50" s="31">
        <f t="shared" si="12"/>
        <v>1077.6246571898268</v>
      </c>
      <c r="AO50" s="31">
        <f t="shared" si="13"/>
        <v>645.52132675756695</v>
      </c>
      <c r="AP50" s="31">
        <f t="shared" si="14"/>
        <v>432.10333043225995</v>
      </c>
      <c r="AQ50" s="31">
        <f t="shared" si="15"/>
        <v>645.52132675756695</v>
      </c>
      <c r="AR50" s="38">
        <f t="shared" si="16"/>
        <v>0.32889135665371089</v>
      </c>
      <c r="AS50" s="20">
        <f t="shared" si="17"/>
        <v>89.091591591591609</v>
      </c>
      <c r="AT50" s="20">
        <f t="shared" si="18"/>
        <v>59.921004539075284</v>
      </c>
      <c r="AU50" s="143">
        <f t="shared" si="19"/>
        <v>3.6479999999999999E-2</v>
      </c>
      <c r="AV50" s="20">
        <f t="shared" si="20"/>
        <v>17695.211808047341</v>
      </c>
      <c r="AW50" s="20"/>
      <c r="AX50" s="20"/>
      <c r="AY50" s="41"/>
      <c r="BA50" s="41"/>
      <c r="BB50" s="41"/>
    </row>
    <row r="51" spans="1:72" x14ac:dyDescent="0.35">
      <c r="A51" s="79" t="s">
        <v>24</v>
      </c>
      <c r="B51" s="79"/>
      <c r="C51" s="79"/>
      <c r="D51" s="79" t="s">
        <v>29</v>
      </c>
      <c r="E51" s="79">
        <v>1999</v>
      </c>
      <c r="F51" s="79">
        <v>4</v>
      </c>
      <c r="G51" s="79">
        <v>2</v>
      </c>
      <c r="H51" s="79">
        <v>7</v>
      </c>
      <c r="I51" s="79">
        <v>50</v>
      </c>
      <c r="J51" s="79"/>
      <c r="K51" s="79"/>
      <c r="L51" s="79"/>
      <c r="M51" s="54" t="s">
        <v>747</v>
      </c>
      <c r="N51" s="35">
        <v>0.5</v>
      </c>
      <c r="O51" s="35">
        <v>1006.74</v>
      </c>
      <c r="P51" s="35">
        <v>1129.6057213413051</v>
      </c>
      <c r="Q51" s="35">
        <v>265.58999999999997</v>
      </c>
      <c r="R51" s="35">
        <v>715.8</v>
      </c>
      <c r="S51" s="35">
        <v>205.29999999999998</v>
      </c>
      <c r="T51" s="38">
        <f t="shared" si="0"/>
        <v>0.23511743520972589</v>
      </c>
      <c r="U51" s="38">
        <f t="shared" si="21"/>
        <v>0.28681195864766695</v>
      </c>
      <c r="V51" s="20">
        <v>30</v>
      </c>
      <c r="W51" s="35">
        <v>11.94</v>
      </c>
      <c r="X51" s="35">
        <v>27.05</v>
      </c>
      <c r="Y51" s="35">
        <v>47.34</v>
      </c>
      <c r="Z51" s="35">
        <v>28.970000000000006</v>
      </c>
      <c r="AA51" s="35">
        <f t="shared" si="1"/>
        <v>18.369999999999997</v>
      </c>
      <c r="AC51" s="35">
        <v>7.0639999999999992</v>
      </c>
      <c r="AD51" s="35">
        <f t="shared" si="2"/>
        <v>86.330000000000013</v>
      </c>
      <c r="AE51" s="31">
        <f t="shared" si="3"/>
        <v>2.8776666666666673</v>
      </c>
      <c r="AF51" s="142">
        <f t="shared" si="4"/>
        <v>2259.2114426826101</v>
      </c>
      <c r="AG51" s="38">
        <f t="shared" si="5"/>
        <v>0.13830649832039846</v>
      </c>
      <c r="AH51" s="38">
        <f t="shared" si="6"/>
        <v>0.31333256110274527</v>
      </c>
      <c r="AI51" s="38">
        <f t="shared" si="7"/>
        <v>0.54836094057685625</v>
      </c>
      <c r="AJ51" s="38">
        <f t="shared" si="8"/>
        <v>0.33557280203868878</v>
      </c>
      <c r="AK51" s="38">
        <f t="shared" si="9"/>
        <v>0.21278813853816744</v>
      </c>
      <c r="AL51" s="31">
        <f t="shared" si="10"/>
        <v>312.46362360280739</v>
      </c>
      <c r="AM51" s="31">
        <f t="shared" si="11"/>
        <v>707.88450740837027</v>
      </c>
      <c r="AN51" s="31">
        <f t="shared" si="12"/>
        <v>1238.8633116714325</v>
      </c>
      <c r="AO51" s="31">
        <f t="shared" si="13"/>
        <v>758.12991421887205</v>
      </c>
      <c r="AP51" s="31">
        <f t="shared" si="14"/>
        <v>480.73339745256038</v>
      </c>
      <c r="AQ51" s="31">
        <f t="shared" si="15"/>
        <v>758.12991421887205</v>
      </c>
      <c r="AR51" s="38">
        <f t="shared" si="16"/>
        <v>0.33557280203868878</v>
      </c>
      <c r="AS51" s="20">
        <f t="shared" si="17"/>
        <v>54.599194246771347</v>
      </c>
      <c r="AT51" s="20">
        <f t="shared" si="18"/>
        <v>26.734485577861964</v>
      </c>
      <c r="AU51" s="143">
        <f t="shared" si="19"/>
        <v>3.5319999999999997E-2</v>
      </c>
      <c r="AV51" s="20">
        <f t="shared" si="20"/>
        <v>21464.60685783896</v>
      </c>
      <c r="AW51" s="20"/>
      <c r="AX51" s="20"/>
      <c r="AY51" s="41"/>
      <c r="BA51" s="41"/>
      <c r="BB51" s="41"/>
    </row>
    <row r="52" spans="1:72" x14ac:dyDescent="0.35">
      <c r="A52" s="79" t="s">
        <v>24</v>
      </c>
      <c r="B52" s="79"/>
      <c r="C52" s="79"/>
      <c r="D52" s="79" t="s">
        <v>337</v>
      </c>
      <c r="E52" s="79">
        <v>2016</v>
      </c>
      <c r="F52" s="79">
        <v>4</v>
      </c>
      <c r="G52" s="79">
        <v>3</v>
      </c>
      <c r="H52" s="79">
        <v>7</v>
      </c>
      <c r="I52" s="79">
        <v>51</v>
      </c>
      <c r="J52" s="79"/>
      <c r="K52" s="79"/>
      <c r="L52" s="79"/>
      <c r="M52" s="54" t="s">
        <v>747</v>
      </c>
      <c r="N52" s="35">
        <v>0.5</v>
      </c>
      <c r="O52" s="35">
        <v>912.11</v>
      </c>
      <c r="P52" s="35">
        <v>982.64828400925603</v>
      </c>
      <c r="Q52" s="35">
        <v>245.65</v>
      </c>
      <c r="R52" s="35">
        <v>678</v>
      </c>
      <c r="S52" s="35">
        <v>188.56</v>
      </c>
      <c r="T52" s="38">
        <f t="shared" si="0"/>
        <v>0.24998771584654406</v>
      </c>
      <c r="U52" s="38">
        <f t="shared" si="21"/>
        <v>0.27811209439528023</v>
      </c>
      <c r="V52" s="20">
        <v>30</v>
      </c>
      <c r="W52" s="35">
        <v>14.37</v>
      </c>
      <c r="X52" s="35">
        <v>26.28</v>
      </c>
      <c r="Y52" s="35">
        <v>47.81</v>
      </c>
      <c r="Z52" s="35">
        <v>28.660000000000004</v>
      </c>
      <c r="AA52" s="35">
        <f t="shared" si="1"/>
        <v>19.149999999999999</v>
      </c>
      <c r="AC52" s="35">
        <v>7.4480000000000004</v>
      </c>
      <c r="AD52" s="35">
        <f t="shared" si="2"/>
        <v>88.460000000000008</v>
      </c>
      <c r="AE52" s="31">
        <f t="shared" si="3"/>
        <v>2.948666666666667</v>
      </c>
      <c r="AF52" s="142">
        <f t="shared" si="4"/>
        <v>1965.2965680185121</v>
      </c>
      <c r="AG52" s="38">
        <f t="shared" si="5"/>
        <v>0.1624463034139724</v>
      </c>
      <c r="AH52" s="38">
        <f t="shared" si="6"/>
        <v>0.2970834275378702</v>
      </c>
      <c r="AI52" s="38">
        <f t="shared" si="7"/>
        <v>0.54047026904815731</v>
      </c>
      <c r="AJ52" s="38">
        <f t="shared" si="8"/>
        <v>0.32398824327379611</v>
      </c>
      <c r="AK52" s="38">
        <f t="shared" si="9"/>
        <v>0.21648202577436126</v>
      </c>
      <c r="AL52" s="31">
        <f t="shared" si="10"/>
        <v>319.25516258677385</v>
      </c>
      <c r="AM52" s="31">
        <f t="shared" si="11"/>
        <v>583.85704055535268</v>
      </c>
      <c r="AN52" s="31">
        <f t="shared" si="12"/>
        <v>1062.1843648763854</v>
      </c>
      <c r="AO52" s="31">
        <f t="shared" si="13"/>
        <v>636.73298258433829</v>
      </c>
      <c r="AP52" s="31">
        <f t="shared" si="14"/>
        <v>425.45138229204724</v>
      </c>
      <c r="AQ52" s="31">
        <f t="shared" si="15"/>
        <v>636.73298258433829</v>
      </c>
      <c r="AR52" s="38">
        <f t="shared" si="16"/>
        <v>0.32398824327379611</v>
      </c>
      <c r="AS52" s="20">
        <f t="shared" si="17"/>
        <v>53.519234683492776</v>
      </c>
      <c r="AT52" s="20">
        <f t="shared" si="18"/>
        <v>37.994440337029808</v>
      </c>
      <c r="AU52" s="143">
        <f t="shared" si="19"/>
        <v>3.7240000000000002E-2</v>
      </c>
      <c r="AV52" s="20">
        <f t="shared" si="20"/>
        <v>17098.092980245387</v>
      </c>
      <c r="AW52" s="20"/>
      <c r="AX52" s="20"/>
      <c r="AY52" s="41"/>
      <c r="BA52" s="41"/>
      <c r="BB52" s="41"/>
    </row>
    <row r="53" spans="1:72" x14ac:dyDescent="0.35">
      <c r="A53" s="79" t="s">
        <v>24</v>
      </c>
      <c r="B53" s="79"/>
      <c r="C53" s="79"/>
      <c r="D53" s="79" t="s">
        <v>27</v>
      </c>
      <c r="E53" s="79">
        <v>1985</v>
      </c>
      <c r="F53" s="79">
        <v>4</v>
      </c>
      <c r="G53" s="79">
        <v>4</v>
      </c>
      <c r="H53" s="79">
        <v>7</v>
      </c>
      <c r="I53" s="79">
        <v>52</v>
      </c>
      <c r="J53" s="79"/>
      <c r="K53" s="79"/>
      <c r="L53" s="79"/>
      <c r="M53" s="54" t="s">
        <v>747</v>
      </c>
      <c r="N53" s="35">
        <v>0.5</v>
      </c>
      <c r="O53" s="35">
        <v>1070.6200000000001</v>
      </c>
      <c r="P53" s="35">
        <v>1121.496570247934</v>
      </c>
      <c r="Q53" s="35">
        <v>210.52</v>
      </c>
      <c r="R53" s="35">
        <v>772.19999999999993</v>
      </c>
      <c r="S53" s="35">
        <v>204.41</v>
      </c>
      <c r="T53" s="38">
        <f t="shared" si="0"/>
        <v>0.18771345859172756</v>
      </c>
      <c r="U53" s="38">
        <f t="shared" si="21"/>
        <v>0.26471121471121473</v>
      </c>
      <c r="V53" s="20">
        <v>30</v>
      </c>
      <c r="W53" s="35">
        <v>12.44</v>
      </c>
      <c r="X53" s="35">
        <v>28.81</v>
      </c>
      <c r="Y53" s="35">
        <v>50.01</v>
      </c>
      <c r="Z53" s="35">
        <v>30.68</v>
      </c>
      <c r="AA53" s="35">
        <f t="shared" si="1"/>
        <v>19.329999999999998</v>
      </c>
      <c r="AC53" s="35">
        <v>6.1159999999999997</v>
      </c>
      <c r="AD53" s="35">
        <f t="shared" si="2"/>
        <v>91.259999999999991</v>
      </c>
      <c r="AE53" s="31">
        <f t="shared" si="3"/>
        <v>3.0419999999999998</v>
      </c>
      <c r="AF53" s="142">
        <f t="shared" si="4"/>
        <v>2242.9931404958679</v>
      </c>
      <c r="AG53" s="38">
        <f t="shared" si="5"/>
        <v>0.13631382862152094</v>
      </c>
      <c r="AH53" s="38">
        <f t="shared" si="6"/>
        <v>0.31569143107604647</v>
      </c>
      <c r="AI53" s="38">
        <f t="shared" si="7"/>
        <v>0.54799474030243267</v>
      </c>
      <c r="AJ53" s="38">
        <f t="shared" si="8"/>
        <v>0.33618233618233623</v>
      </c>
      <c r="AK53" s="38">
        <f t="shared" si="9"/>
        <v>0.21181240412009644</v>
      </c>
      <c r="AL53" s="31">
        <f t="shared" si="10"/>
        <v>305.75098255280079</v>
      </c>
      <c r="AM53" s="31">
        <f t="shared" si="11"/>
        <v>708.09371441689632</v>
      </c>
      <c r="AN53" s="31">
        <f t="shared" si="12"/>
        <v>1229.1484435261709</v>
      </c>
      <c r="AO53" s="31">
        <f t="shared" si="13"/>
        <v>754.05467401285603</v>
      </c>
      <c r="AP53" s="31">
        <f t="shared" si="14"/>
        <v>475.09376951331501</v>
      </c>
      <c r="AQ53" s="31">
        <f t="shared" si="15"/>
        <v>754.05467401285603</v>
      </c>
      <c r="AR53" s="38">
        <f t="shared" si="16"/>
        <v>0.33618233618233623</v>
      </c>
      <c r="AS53" s="20">
        <f t="shared" si="17"/>
        <v>94.195325859775792</v>
      </c>
      <c r="AT53" s="20">
        <f t="shared" si="18"/>
        <v>37.708847353726</v>
      </c>
      <c r="AU53" s="143">
        <f t="shared" si="19"/>
        <v>3.058E-2</v>
      </c>
      <c r="AV53" s="20">
        <f t="shared" si="20"/>
        <v>24658.426226712101</v>
      </c>
      <c r="AW53" s="20"/>
      <c r="AX53" s="20"/>
      <c r="AY53" s="41"/>
      <c r="BA53" s="41"/>
      <c r="BB53" s="41"/>
    </row>
    <row r="54" spans="1:72" x14ac:dyDescent="0.35">
      <c r="A54" s="79" t="s">
        <v>24</v>
      </c>
      <c r="B54" s="79"/>
      <c r="C54" s="79"/>
      <c r="D54" s="79" t="s">
        <v>28</v>
      </c>
      <c r="E54" s="79">
        <v>1998</v>
      </c>
      <c r="F54" s="79">
        <v>4</v>
      </c>
      <c r="G54" s="79">
        <v>5</v>
      </c>
      <c r="H54" s="79">
        <v>7</v>
      </c>
      <c r="I54" s="79">
        <v>53</v>
      </c>
      <c r="J54" s="79"/>
      <c r="K54" s="79"/>
      <c r="L54" s="79"/>
      <c r="M54" s="54" t="s">
        <v>747</v>
      </c>
      <c r="N54" s="35">
        <v>0.5</v>
      </c>
      <c r="O54" s="35">
        <v>929.71</v>
      </c>
      <c r="P54" s="35">
        <v>1210.9052123275399</v>
      </c>
      <c r="Q54" s="35">
        <v>277</v>
      </c>
      <c r="R54" s="35">
        <v>826.1</v>
      </c>
      <c r="S54" s="35">
        <v>258.79000000000002</v>
      </c>
      <c r="T54" s="38">
        <f t="shared" si="0"/>
        <v>0.22875448646187987</v>
      </c>
      <c r="U54" s="38">
        <f t="shared" si="21"/>
        <v>0.31326715893959572</v>
      </c>
      <c r="V54" s="20">
        <v>30</v>
      </c>
      <c r="W54" s="35">
        <v>10.039999999999999</v>
      </c>
      <c r="X54" s="35">
        <v>21.92</v>
      </c>
      <c r="Y54" s="35">
        <v>40.729999999999997</v>
      </c>
      <c r="Z54" s="35">
        <v>23.400000000000006</v>
      </c>
      <c r="AA54" s="35">
        <f t="shared" si="1"/>
        <v>17.329999999999991</v>
      </c>
      <c r="AC54" s="35">
        <v>6.76</v>
      </c>
      <c r="AD54" s="35">
        <f t="shared" si="2"/>
        <v>72.69</v>
      </c>
      <c r="AE54" s="31">
        <f t="shared" si="3"/>
        <v>2.423</v>
      </c>
      <c r="AF54" s="142">
        <f t="shared" si="4"/>
        <v>2421.8104246550797</v>
      </c>
      <c r="AG54" s="38">
        <f t="shared" si="5"/>
        <v>0.13812078690328794</v>
      </c>
      <c r="AH54" s="38">
        <f t="shared" si="6"/>
        <v>0.30155454670518644</v>
      </c>
      <c r="AI54" s="38">
        <f t="shared" si="7"/>
        <v>0.56032466639152567</v>
      </c>
      <c r="AJ54" s="38">
        <f t="shared" si="8"/>
        <v>0.32191498142798192</v>
      </c>
      <c r="AK54" s="38">
        <f t="shared" si="9"/>
        <v>0.2384096849635437</v>
      </c>
      <c r="AL54" s="31">
        <f t="shared" si="10"/>
        <v>334.50236158394551</v>
      </c>
      <c r="AM54" s="31">
        <f t="shared" si="11"/>
        <v>730.30794481275768</v>
      </c>
      <c r="AN54" s="31">
        <f t="shared" si="12"/>
        <v>1357.0001182583767</v>
      </c>
      <c r="AO54" s="31">
        <f t="shared" si="13"/>
        <v>779.61705787493304</v>
      </c>
      <c r="AP54" s="31">
        <f t="shared" si="14"/>
        <v>577.38306038344354</v>
      </c>
      <c r="AQ54" s="31">
        <f t="shared" si="15"/>
        <v>779.61705787493304</v>
      </c>
      <c r="AR54" s="38">
        <f t="shared" si="16"/>
        <v>0.32191498142798192</v>
      </c>
      <c r="AS54" s="20">
        <f t="shared" si="17"/>
        <v>86.851985559566799</v>
      </c>
      <c r="AT54" s="20">
        <f t="shared" si="18"/>
        <v>36.443379975566053</v>
      </c>
      <c r="AU54" s="143">
        <f t="shared" si="19"/>
        <v>3.3799999999999997E-2</v>
      </c>
      <c r="AV54" s="20">
        <f t="shared" si="20"/>
        <v>23065.593428252458</v>
      </c>
      <c r="AW54" s="20"/>
      <c r="AX54" s="20"/>
      <c r="AY54" s="41"/>
      <c r="BA54" s="41"/>
      <c r="BB54" s="41"/>
      <c r="BL54" s="12"/>
    </row>
    <row r="55" spans="1:72" s="28" customFormat="1" x14ac:dyDescent="0.35">
      <c r="A55" s="79" t="s">
        <v>24</v>
      </c>
      <c r="B55" s="79"/>
      <c r="C55" s="79"/>
      <c r="D55" s="79" t="s">
        <v>26</v>
      </c>
      <c r="E55" s="79">
        <v>1983</v>
      </c>
      <c r="F55" s="79">
        <v>4</v>
      </c>
      <c r="G55" s="79">
        <v>6</v>
      </c>
      <c r="H55" s="79">
        <v>7</v>
      </c>
      <c r="I55" s="79">
        <v>54</v>
      </c>
      <c r="J55" s="79"/>
      <c r="K55" s="79"/>
      <c r="L55" s="79"/>
      <c r="M55" s="54" t="s">
        <v>747</v>
      </c>
      <c r="N55" s="35">
        <v>0.5</v>
      </c>
      <c r="O55" s="35">
        <v>818.83</v>
      </c>
      <c r="P55" s="35">
        <v>923.74654868624418</v>
      </c>
      <c r="Q55" s="35">
        <v>200.27</v>
      </c>
      <c r="R55" s="35">
        <v>780.1</v>
      </c>
      <c r="S55" s="35">
        <v>204.68</v>
      </c>
      <c r="T55" s="38">
        <f t="shared" si="0"/>
        <v>0.216801892558976</v>
      </c>
      <c r="U55" s="38">
        <f t="shared" si="21"/>
        <v>0.26237661838225868</v>
      </c>
      <c r="V55" s="20">
        <v>30</v>
      </c>
      <c r="W55" s="35">
        <v>6.9</v>
      </c>
      <c r="X55" s="35">
        <v>25.83</v>
      </c>
      <c r="Y55" s="35">
        <v>40.26</v>
      </c>
      <c r="Z55" s="35">
        <v>21.130000000000003</v>
      </c>
      <c r="AA55" s="35">
        <f t="shared" si="1"/>
        <v>19.129999999999995</v>
      </c>
      <c r="AB55" s="35"/>
      <c r="AC55" s="35">
        <v>6.0280000000000005</v>
      </c>
      <c r="AD55" s="35">
        <f t="shared" si="2"/>
        <v>72.989999999999995</v>
      </c>
      <c r="AE55" s="31">
        <f t="shared" si="3"/>
        <v>2.4329999999999998</v>
      </c>
      <c r="AF55" s="142">
        <f t="shared" si="4"/>
        <v>1847.4930973724884</v>
      </c>
      <c r="AG55" s="38">
        <f t="shared" si="5"/>
        <v>9.4533497739416369E-2</v>
      </c>
      <c r="AH55" s="38">
        <f t="shared" si="6"/>
        <v>0.35388409371146734</v>
      </c>
      <c r="AI55" s="38">
        <f t="shared" si="7"/>
        <v>0.55158240854911633</v>
      </c>
      <c r="AJ55" s="38">
        <f t="shared" si="8"/>
        <v>0.28949171119331418</v>
      </c>
      <c r="AK55" s="38">
        <f t="shared" si="9"/>
        <v>0.26209069735580209</v>
      </c>
      <c r="AL55" s="31">
        <f t="shared" si="10"/>
        <v>174.64998454404949</v>
      </c>
      <c r="AM55" s="31">
        <f t="shared" si="11"/>
        <v>653.79842040185474</v>
      </c>
      <c r="AN55" s="31">
        <f t="shared" si="12"/>
        <v>1019.0446924265842</v>
      </c>
      <c r="AO55" s="31">
        <f t="shared" si="13"/>
        <v>534.83393817619788</v>
      </c>
      <c r="AP55" s="31">
        <f t="shared" si="14"/>
        <v>484.21075425038623</v>
      </c>
      <c r="AQ55" s="31">
        <f t="shared" si="15"/>
        <v>534.83393817619788</v>
      </c>
      <c r="AR55" s="38">
        <f t="shared" si="16"/>
        <v>0.28949171119331418</v>
      </c>
      <c r="AS55" s="20">
        <f t="shared" si="17"/>
        <v>104.40405452638937</v>
      </c>
      <c r="AT55" s="20">
        <f t="shared" si="18"/>
        <v>68.899142542824364</v>
      </c>
      <c r="AU55" s="143">
        <f t="shared" si="19"/>
        <v>3.0140000000000004E-2</v>
      </c>
      <c r="AV55" s="20">
        <f t="shared" si="20"/>
        <v>17744.987995228857</v>
      </c>
      <c r="AW55" s="20"/>
      <c r="AX55" s="20"/>
      <c r="AY55" s="41"/>
      <c r="AZ55" s="69"/>
      <c r="BA55" s="41"/>
      <c r="BB55" s="41"/>
      <c r="BD55"/>
      <c r="BE55"/>
      <c r="BF55"/>
      <c r="BG55"/>
      <c r="BH55"/>
      <c r="BI55"/>
      <c r="BJ55"/>
      <c r="BK55"/>
      <c r="BL55" s="29"/>
      <c r="BM55"/>
      <c r="BN55"/>
      <c r="BO55"/>
      <c r="BP55"/>
      <c r="BQ55"/>
      <c r="BR55"/>
      <c r="BS55"/>
      <c r="BT55"/>
    </row>
    <row r="56" spans="1:72" x14ac:dyDescent="0.35">
      <c r="A56" s="79" t="s">
        <v>24</v>
      </c>
      <c r="B56" s="79"/>
      <c r="C56" s="79"/>
      <c r="D56" s="79" t="s">
        <v>335</v>
      </c>
      <c r="E56" s="79">
        <v>2023</v>
      </c>
      <c r="F56" s="79">
        <v>4</v>
      </c>
      <c r="G56" s="79">
        <v>7</v>
      </c>
      <c r="H56" s="79">
        <v>7</v>
      </c>
      <c r="I56" s="79">
        <v>55</v>
      </c>
      <c r="J56" s="79"/>
      <c r="K56" s="79"/>
      <c r="L56" s="79"/>
      <c r="M56" s="54" t="s">
        <v>747</v>
      </c>
      <c r="N56" s="35">
        <v>0.5</v>
      </c>
      <c r="O56" s="35">
        <v>939</v>
      </c>
      <c r="P56" s="35">
        <v>1000.8868185689948</v>
      </c>
      <c r="Q56" s="35">
        <v>339.19</v>
      </c>
      <c r="R56" s="35">
        <v>803.19999999999993</v>
      </c>
      <c r="S56" s="35">
        <v>319.52999999999997</v>
      </c>
      <c r="T56" s="38">
        <f t="shared" si="0"/>
        <v>0.33888946652824598</v>
      </c>
      <c r="U56" s="38">
        <f t="shared" si="21"/>
        <v>0.39782121513944224</v>
      </c>
      <c r="V56" s="20">
        <v>30</v>
      </c>
      <c r="W56" s="35">
        <v>13.92</v>
      </c>
      <c r="X56" s="35">
        <v>28.9</v>
      </c>
      <c r="Y56" s="35">
        <v>57.29</v>
      </c>
      <c r="Z56" s="35">
        <v>37.03</v>
      </c>
      <c r="AA56" s="35">
        <f t="shared" si="1"/>
        <v>20.259999999999998</v>
      </c>
      <c r="AC56" s="35">
        <v>7.2719999999999994</v>
      </c>
      <c r="AD56" s="35">
        <f t="shared" si="2"/>
        <v>100.11</v>
      </c>
      <c r="AE56" s="31">
        <f t="shared" si="3"/>
        <v>3.3370000000000002</v>
      </c>
      <c r="AF56" s="142">
        <f t="shared" si="4"/>
        <v>2001.7736371379897</v>
      </c>
      <c r="AG56" s="38">
        <f t="shared" si="5"/>
        <v>0.13904704824692837</v>
      </c>
      <c r="AH56" s="38">
        <f t="shared" si="6"/>
        <v>0.28868244930576364</v>
      </c>
      <c r="AI56" s="38">
        <f t="shared" si="7"/>
        <v>0.57227050244730793</v>
      </c>
      <c r="AJ56" s="38">
        <f t="shared" si="8"/>
        <v>0.36989311757067228</v>
      </c>
      <c r="AK56" s="38">
        <f t="shared" si="9"/>
        <v>0.20237738487663567</v>
      </c>
      <c r="AL56" s="31">
        <f t="shared" si="10"/>
        <v>278.34071550255533</v>
      </c>
      <c r="AM56" s="31">
        <f t="shared" si="11"/>
        <v>577.87691652470187</v>
      </c>
      <c r="AN56" s="31">
        <f t="shared" si="12"/>
        <v>1145.5560051107325</v>
      </c>
      <c r="AO56" s="31">
        <f t="shared" si="13"/>
        <v>740.44229131175473</v>
      </c>
      <c r="AP56" s="31">
        <f t="shared" si="14"/>
        <v>405.11371379897776</v>
      </c>
      <c r="AQ56" s="31">
        <f t="shared" si="15"/>
        <v>740.44229131175473</v>
      </c>
      <c r="AR56" s="38">
        <f t="shared" si="16"/>
        <v>0.36989311757067228</v>
      </c>
      <c r="AS56" s="20">
        <f t="shared" si="17"/>
        <v>88.407677113122432</v>
      </c>
      <c r="AT56" s="20">
        <f t="shared" si="18"/>
        <v>60.497667688013891</v>
      </c>
      <c r="AU56" s="143">
        <f t="shared" si="19"/>
        <v>3.6359999999999996E-2</v>
      </c>
      <c r="AV56" s="20">
        <f t="shared" si="20"/>
        <v>20364.199431016357</v>
      </c>
      <c r="AW56" s="20"/>
      <c r="AX56" s="20"/>
      <c r="AY56" s="41"/>
      <c r="BA56" s="41"/>
      <c r="BB56" s="41"/>
      <c r="BL56" s="12"/>
    </row>
    <row r="57" spans="1:72" x14ac:dyDescent="0.35">
      <c r="A57" s="79" t="s">
        <v>24</v>
      </c>
      <c r="B57" s="79"/>
      <c r="C57" s="79"/>
      <c r="D57" s="79" t="s">
        <v>336</v>
      </c>
      <c r="E57" s="79">
        <v>2002</v>
      </c>
      <c r="F57" s="79">
        <v>4</v>
      </c>
      <c r="G57" s="79">
        <v>8</v>
      </c>
      <c r="H57" s="79">
        <v>7</v>
      </c>
      <c r="I57" s="79">
        <v>56</v>
      </c>
      <c r="J57" s="79"/>
      <c r="K57" s="79"/>
      <c r="L57" s="79"/>
      <c r="M57" s="54" t="s">
        <v>747</v>
      </c>
      <c r="N57" s="35">
        <v>0.5</v>
      </c>
      <c r="O57" s="35">
        <v>867.74</v>
      </c>
      <c r="P57" s="35">
        <v>935.84557785115567</v>
      </c>
      <c r="Q57" s="35">
        <v>268.43</v>
      </c>
      <c r="R57" s="35">
        <v>757</v>
      </c>
      <c r="S57" s="35">
        <v>253.73000000000002</v>
      </c>
      <c r="T57" s="38">
        <f t="shared" si="0"/>
        <v>0.28683150976292077</v>
      </c>
      <c r="U57" s="38">
        <f t="shared" si="21"/>
        <v>0.33517833553500664</v>
      </c>
      <c r="V57" s="20">
        <v>30</v>
      </c>
      <c r="W57" s="35">
        <v>16.86</v>
      </c>
      <c r="X57" s="35">
        <v>22.91</v>
      </c>
      <c r="Y57" s="35">
        <v>45.15</v>
      </c>
      <c r="Z57" s="35">
        <v>26</v>
      </c>
      <c r="AA57" s="35">
        <f t="shared" si="1"/>
        <v>19.149999999999999</v>
      </c>
      <c r="AC57" s="35">
        <v>7.32</v>
      </c>
      <c r="AD57" s="35">
        <f t="shared" si="2"/>
        <v>84.919999999999987</v>
      </c>
      <c r="AE57" s="31">
        <f t="shared" si="3"/>
        <v>2.8306666666666662</v>
      </c>
      <c r="AF57" s="142">
        <f t="shared" si="4"/>
        <v>1871.6911557023113</v>
      </c>
      <c r="AG57" s="38">
        <f t="shared" si="5"/>
        <v>0.19853980216674519</v>
      </c>
      <c r="AH57" s="38">
        <f t="shared" si="6"/>
        <v>0.26978332548280737</v>
      </c>
      <c r="AI57" s="38">
        <f t="shared" si="7"/>
        <v>0.53167687235044758</v>
      </c>
      <c r="AJ57" s="38">
        <f t="shared" si="8"/>
        <v>0.30617051342439949</v>
      </c>
      <c r="AK57" s="38">
        <f t="shared" si="9"/>
        <v>0.22550635892604806</v>
      </c>
      <c r="AL57" s="31">
        <f t="shared" si="10"/>
        <v>371.60519177038356</v>
      </c>
      <c r="AM57" s="31">
        <f t="shared" si="11"/>
        <v>504.95106426212857</v>
      </c>
      <c r="AN57" s="31">
        <f t="shared" si="12"/>
        <v>995.13489966979944</v>
      </c>
      <c r="AO57" s="31">
        <f t="shared" si="13"/>
        <v>573.05664211328428</v>
      </c>
      <c r="AP57" s="31">
        <f t="shared" si="14"/>
        <v>422.07825755651515</v>
      </c>
      <c r="AQ57" s="31">
        <f t="shared" si="15"/>
        <v>573.05664211328428</v>
      </c>
      <c r="AR57" s="38">
        <f t="shared" si="16"/>
        <v>0.30617051342439949</v>
      </c>
      <c r="AS57" s="20">
        <f t="shared" si="17"/>
        <v>89.047423909399114</v>
      </c>
      <c r="AT57" s="20">
        <f t="shared" si="18"/>
        <v>61.77882717321539</v>
      </c>
      <c r="AU57" s="143">
        <f t="shared" si="19"/>
        <v>3.6600000000000001E-2</v>
      </c>
      <c r="AV57" s="20">
        <f t="shared" si="20"/>
        <v>15657.285303641647</v>
      </c>
      <c r="AW57" s="20"/>
      <c r="AX57" s="20"/>
      <c r="AY57" s="41"/>
      <c r="BA57" s="41"/>
      <c r="BB57" s="41"/>
      <c r="BL57" s="12"/>
    </row>
    <row r="58" spans="1:72" x14ac:dyDescent="0.35">
      <c r="A58" s="6" t="s">
        <v>34</v>
      </c>
      <c r="D58" s="6" t="s">
        <v>39</v>
      </c>
      <c r="E58" s="6">
        <v>2001</v>
      </c>
      <c r="F58" s="6">
        <v>4</v>
      </c>
      <c r="G58" s="6">
        <v>1</v>
      </c>
      <c r="H58" s="6">
        <v>8</v>
      </c>
      <c r="I58" s="6">
        <v>57</v>
      </c>
      <c r="M58" s="54" t="s">
        <v>747</v>
      </c>
      <c r="N58" s="35">
        <v>0.5</v>
      </c>
      <c r="O58" s="35">
        <v>689.53000000000009</v>
      </c>
      <c r="P58" s="35">
        <v>735.23970522730247</v>
      </c>
      <c r="Q58" s="35">
        <v>245.84</v>
      </c>
      <c r="R58" s="35">
        <v>597.1</v>
      </c>
      <c r="S58" s="35">
        <v>226.04</v>
      </c>
      <c r="T58" s="38">
        <f t="shared" si="0"/>
        <v>0.33436714346649371</v>
      </c>
      <c r="U58" s="38">
        <f t="shared" si="21"/>
        <v>0.37856305476469598</v>
      </c>
      <c r="V58" s="20">
        <v>30</v>
      </c>
      <c r="W58" s="35">
        <v>8.35</v>
      </c>
      <c r="X58" s="35">
        <v>23.06</v>
      </c>
      <c r="Y58" s="35">
        <v>49.98</v>
      </c>
      <c r="Z58" s="35">
        <v>30.330000000000005</v>
      </c>
      <c r="AA58" s="35">
        <f t="shared" si="1"/>
        <v>19.649999999999991</v>
      </c>
      <c r="AC58" s="35">
        <v>8.4319999999999986</v>
      </c>
      <c r="AD58" s="35">
        <f t="shared" si="2"/>
        <v>81.389999999999986</v>
      </c>
      <c r="AE58" s="31">
        <f t="shared" si="3"/>
        <v>2.7129999999999996</v>
      </c>
      <c r="AF58" s="142">
        <f t="shared" si="4"/>
        <v>1470.4794104546049</v>
      </c>
      <c r="AG58" s="38">
        <f t="shared" si="5"/>
        <v>0.10259245607568498</v>
      </c>
      <c r="AH58" s="38">
        <f t="shared" si="6"/>
        <v>0.28332719007249052</v>
      </c>
      <c r="AI58" s="38">
        <f t="shared" si="7"/>
        <v>0.61408035385182458</v>
      </c>
      <c r="AJ58" s="38">
        <f t="shared" si="8"/>
        <v>0.37265020272760796</v>
      </c>
      <c r="AK58" s="38">
        <f t="shared" si="9"/>
        <v>0.24143015112421667</v>
      </c>
      <c r="AL58" s="31">
        <f t="shared" si="10"/>
        <v>150.8600943272632</v>
      </c>
      <c r="AM58" s="31">
        <f t="shared" si="11"/>
        <v>416.62679942355567</v>
      </c>
      <c r="AN58" s="31">
        <f t="shared" si="12"/>
        <v>902.99251670378624</v>
      </c>
      <c r="AO58" s="31">
        <f t="shared" si="13"/>
        <v>547.97445041268202</v>
      </c>
      <c r="AP58" s="31">
        <f t="shared" si="14"/>
        <v>355.01806629110433</v>
      </c>
      <c r="AQ58" s="31">
        <f t="shared" si="15"/>
        <v>547.97445041268202</v>
      </c>
      <c r="AR58" s="38">
        <f t="shared" si="16"/>
        <v>0.37265020272760802</v>
      </c>
      <c r="AS58" s="20">
        <f t="shared" si="17"/>
        <v>83.891962251871121</v>
      </c>
      <c r="AT58" s="20">
        <f t="shared" si="18"/>
        <v>62.423219462938022</v>
      </c>
      <c r="AU58" s="143">
        <f t="shared" si="19"/>
        <v>4.2159999999999996E-2</v>
      </c>
      <c r="AV58" s="20">
        <f t="shared" si="20"/>
        <v>12997.496451913712</v>
      </c>
      <c r="AW58" s="20"/>
      <c r="AX58" s="20"/>
      <c r="AY58" s="41"/>
      <c r="BA58" s="41"/>
      <c r="BB58" s="41"/>
      <c r="BL58" s="12"/>
    </row>
    <row r="59" spans="1:72" x14ac:dyDescent="0.35">
      <c r="A59" s="6" t="s">
        <v>34</v>
      </c>
      <c r="D59" s="6" t="s">
        <v>37</v>
      </c>
      <c r="E59" s="6">
        <v>1989</v>
      </c>
      <c r="F59" s="6">
        <v>4</v>
      </c>
      <c r="G59" s="6">
        <v>2</v>
      </c>
      <c r="H59" s="6">
        <v>8</v>
      </c>
      <c r="I59" s="6">
        <v>58</v>
      </c>
      <c r="M59" s="54" t="s">
        <v>747</v>
      </c>
      <c r="N59" s="35">
        <v>0.5</v>
      </c>
      <c r="O59" s="35">
        <v>812.44</v>
      </c>
      <c r="P59" s="35">
        <v>871.78969392635099</v>
      </c>
      <c r="Q59" s="35">
        <v>276.81</v>
      </c>
      <c r="R59" s="35">
        <v>620.6</v>
      </c>
      <c r="S59" s="35">
        <v>211.79999999999998</v>
      </c>
      <c r="T59" s="38">
        <f t="shared" si="0"/>
        <v>0.31751923878946997</v>
      </c>
      <c r="U59" s="38">
        <f t="shared" si="21"/>
        <v>0.34128262971318074</v>
      </c>
      <c r="V59" s="20">
        <v>30</v>
      </c>
      <c r="W59" s="35">
        <v>11.63</v>
      </c>
      <c r="X59" s="35">
        <v>28.31</v>
      </c>
      <c r="Y59" s="35">
        <v>49.81</v>
      </c>
      <c r="Z59" s="35">
        <v>29.010000000000005</v>
      </c>
      <c r="AA59" s="35">
        <f t="shared" si="1"/>
        <v>20.799999999999997</v>
      </c>
      <c r="AC59" s="35">
        <v>7.1639999999999997</v>
      </c>
      <c r="AD59" s="35">
        <f t="shared" si="2"/>
        <v>89.75</v>
      </c>
      <c r="AE59" s="31">
        <f t="shared" si="3"/>
        <v>2.9916666666666667</v>
      </c>
      <c r="AF59" s="142">
        <f t="shared" si="4"/>
        <v>1743.579387852702</v>
      </c>
      <c r="AG59" s="38">
        <f t="shared" si="5"/>
        <v>0.12958217270194988</v>
      </c>
      <c r="AH59" s="38">
        <f t="shared" si="6"/>
        <v>0.3154317548746518</v>
      </c>
      <c r="AI59" s="38">
        <f t="shared" si="7"/>
        <v>0.55498607242339837</v>
      </c>
      <c r="AJ59" s="38">
        <f t="shared" si="8"/>
        <v>0.32323119777158782</v>
      </c>
      <c r="AK59" s="38">
        <f t="shared" si="9"/>
        <v>0.23175487465181055</v>
      </c>
      <c r="AL59" s="31">
        <f t="shared" si="10"/>
        <v>225.93680535628889</v>
      </c>
      <c r="AM59" s="31">
        <f t="shared" si="11"/>
        <v>549.98030607364899</v>
      </c>
      <c r="AN59" s="31">
        <f t="shared" si="12"/>
        <v>967.66227642276431</v>
      </c>
      <c r="AO59" s="31">
        <f t="shared" si="13"/>
        <v>563.57925394548079</v>
      </c>
      <c r="AP59" s="31">
        <f t="shared" si="14"/>
        <v>404.08302247728352</v>
      </c>
      <c r="AQ59" s="31">
        <f t="shared" si="15"/>
        <v>563.57925394548079</v>
      </c>
      <c r="AR59" s="38">
        <f t="shared" si="16"/>
        <v>0.32323119777158782</v>
      </c>
      <c r="AS59" s="20">
        <f t="shared" si="17"/>
        <v>53.029153571041498</v>
      </c>
      <c r="AT59" s="20">
        <f t="shared" si="18"/>
        <v>42.373786779917694</v>
      </c>
      <c r="AU59" s="143">
        <f t="shared" si="19"/>
        <v>3.5819999999999998E-2</v>
      </c>
      <c r="AV59" s="20">
        <f t="shared" si="20"/>
        <v>15733.647513832519</v>
      </c>
      <c r="AW59" s="20"/>
      <c r="AX59" s="20"/>
      <c r="AY59" s="41"/>
      <c r="BA59" s="41"/>
      <c r="BB59" s="41"/>
      <c r="BL59" s="12"/>
    </row>
    <row r="60" spans="1:72" x14ac:dyDescent="0.35">
      <c r="A60" s="6" t="s">
        <v>34</v>
      </c>
      <c r="D60" s="6" t="s">
        <v>36</v>
      </c>
      <c r="E60" s="6">
        <v>1984</v>
      </c>
      <c r="F60" s="6">
        <v>4</v>
      </c>
      <c r="G60" s="6">
        <v>3</v>
      </c>
      <c r="H60" s="6">
        <v>8</v>
      </c>
      <c r="I60" s="6">
        <v>59</v>
      </c>
      <c r="M60" s="54" t="s">
        <v>747</v>
      </c>
      <c r="N60" s="35">
        <v>0.5</v>
      </c>
      <c r="O60" s="35">
        <v>711.2</v>
      </c>
      <c r="P60" s="35">
        <v>752.23398354876633</v>
      </c>
      <c r="Q60" s="35">
        <v>225.63</v>
      </c>
      <c r="R60" s="35">
        <v>658</v>
      </c>
      <c r="S60" s="35">
        <v>213.29999999999998</v>
      </c>
      <c r="T60" s="38">
        <f t="shared" si="0"/>
        <v>0.29994656574216405</v>
      </c>
      <c r="U60" s="38">
        <f t="shared" si="21"/>
        <v>0.32416413373860181</v>
      </c>
      <c r="V60" s="20">
        <v>30</v>
      </c>
      <c r="W60" s="35">
        <v>11.92</v>
      </c>
      <c r="X60" s="35">
        <v>26.75</v>
      </c>
      <c r="Y60" s="35">
        <v>51.34</v>
      </c>
      <c r="Z60" s="35">
        <v>32.770000000000003</v>
      </c>
      <c r="AA60" s="35">
        <f t="shared" si="1"/>
        <v>18.57</v>
      </c>
      <c r="AC60" s="35">
        <v>6.5759999999999996</v>
      </c>
      <c r="AD60" s="35">
        <f t="shared" si="2"/>
        <v>90.01</v>
      </c>
      <c r="AE60" s="31">
        <f t="shared" si="3"/>
        <v>3.0003333333333333</v>
      </c>
      <c r="AF60" s="142">
        <f t="shared" si="4"/>
        <v>1504.4679670975327</v>
      </c>
      <c r="AG60" s="38">
        <f t="shared" si="5"/>
        <v>0.13242973002999667</v>
      </c>
      <c r="AH60" s="38">
        <f t="shared" si="6"/>
        <v>0.29718920119986664</v>
      </c>
      <c r="AI60" s="38">
        <f t="shared" si="7"/>
        <v>0.57038106877013661</v>
      </c>
      <c r="AJ60" s="38">
        <f t="shared" si="8"/>
        <v>0.36407065881568718</v>
      </c>
      <c r="AK60" s="38">
        <f t="shared" si="9"/>
        <v>0.20631040995444949</v>
      </c>
      <c r="AL60" s="31">
        <f t="shared" si="10"/>
        <v>199.23628672150417</v>
      </c>
      <c r="AM60" s="31">
        <f t="shared" si="11"/>
        <v>447.11163337250298</v>
      </c>
      <c r="AN60" s="31">
        <f t="shared" si="12"/>
        <v>858.12004700352543</v>
      </c>
      <c r="AO60" s="31">
        <f t="shared" si="13"/>
        <v>547.7326439482963</v>
      </c>
      <c r="AP60" s="31">
        <f t="shared" si="14"/>
        <v>310.38740305522919</v>
      </c>
      <c r="AQ60" s="31">
        <f t="shared" si="15"/>
        <v>547.7326439482963</v>
      </c>
      <c r="AR60" s="38">
        <f t="shared" si="16"/>
        <v>0.36407065881568718</v>
      </c>
      <c r="AS60" s="20">
        <f t="shared" si="17"/>
        <v>89.07060231352213</v>
      </c>
      <c r="AT60" s="20">
        <f t="shared" si="18"/>
        <v>74.945565978233347</v>
      </c>
      <c r="AU60" s="143">
        <f t="shared" si="19"/>
        <v>3.288E-2</v>
      </c>
      <c r="AV60" s="20">
        <f t="shared" si="20"/>
        <v>16658.535399887358</v>
      </c>
      <c r="AW60" s="20"/>
      <c r="AX60" s="20"/>
      <c r="AY60" s="41"/>
      <c r="BA60" s="41"/>
      <c r="BB60" s="41"/>
      <c r="BL60" s="12"/>
    </row>
    <row r="61" spans="1:72" x14ac:dyDescent="0.35">
      <c r="A61" s="6" t="s">
        <v>34</v>
      </c>
      <c r="D61" s="6" t="s">
        <v>343</v>
      </c>
      <c r="E61" s="6">
        <v>2004</v>
      </c>
      <c r="F61" s="6">
        <v>4</v>
      </c>
      <c r="G61" s="6">
        <v>4</v>
      </c>
      <c r="H61" s="6">
        <v>8</v>
      </c>
      <c r="I61" s="6">
        <v>60</v>
      </c>
      <c r="M61" s="54" t="s">
        <v>747</v>
      </c>
      <c r="N61" s="35">
        <v>0.5</v>
      </c>
      <c r="O61" s="35">
        <v>791.29</v>
      </c>
      <c r="P61" s="35">
        <v>841.19824567206967</v>
      </c>
      <c r="Q61" s="35">
        <v>263.58</v>
      </c>
      <c r="R61" s="35">
        <v>588.9</v>
      </c>
      <c r="S61" s="35">
        <v>224.28</v>
      </c>
      <c r="T61" s="38">
        <f t="shared" si="0"/>
        <v>0.31333874191501021</v>
      </c>
      <c r="U61" s="38">
        <f t="shared" si="21"/>
        <v>0.38084564442180335</v>
      </c>
      <c r="V61" s="20">
        <v>30</v>
      </c>
      <c r="W61" s="35">
        <v>10.76</v>
      </c>
      <c r="X61" s="35">
        <v>30.21</v>
      </c>
      <c r="Y61" s="35">
        <v>55.44</v>
      </c>
      <c r="Z61" s="35">
        <v>34.68</v>
      </c>
      <c r="AA61" s="35">
        <f t="shared" si="1"/>
        <v>20.759999999999998</v>
      </c>
      <c r="AC61" s="35">
        <v>7.7840000000000007</v>
      </c>
      <c r="AD61" s="35">
        <f t="shared" si="2"/>
        <v>96.41</v>
      </c>
      <c r="AE61" s="31">
        <f t="shared" si="3"/>
        <v>3.2136666666666667</v>
      </c>
      <c r="AF61" s="142">
        <f t="shared" si="4"/>
        <v>1682.3964913441393</v>
      </c>
      <c r="AG61" s="38">
        <f t="shared" si="5"/>
        <v>0.11160667980499948</v>
      </c>
      <c r="AH61" s="38">
        <f t="shared" si="6"/>
        <v>0.31334923763095118</v>
      </c>
      <c r="AI61" s="38">
        <f t="shared" si="7"/>
        <v>0.57504408256404937</v>
      </c>
      <c r="AJ61" s="38">
        <f t="shared" si="8"/>
        <v>0.35971372264287937</v>
      </c>
      <c r="AK61" s="38">
        <f t="shared" si="9"/>
        <v>0.21533035992117</v>
      </c>
      <c r="AL61" s="31">
        <f t="shared" si="10"/>
        <v>187.76668651449995</v>
      </c>
      <c r="AM61" s="31">
        <f t="shared" si="11"/>
        <v>527.17765795567323</v>
      </c>
      <c r="AN61" s="31">
        <f t="shared" si="12"/>
        <v>967.45214687396629</v>
      </c>
      <c r="AO61" s="31">
        <f t="shared" si="13"/>
        <v>605.18110486271917</v>
      </c>
      <c r="AP61" s="31">
        <f t="shared" si="14"/>
        <v>362.27104201124712</v>
      </c>
      <c r="AQ61" s="31">
        <f t="shared" si="15"/>
        <v>605.18110486271917</v>
      </c>
      <c r="AR61" s="38">
        <f t="shared" si="16"/>
        <v>0.35971372264287937</v>
      </c>
      <c r="AS61" s="20">
        <f t="shared" si="17"/>
        <v>70.179831550193498</v>
      </c>
      <c r="AT61" s="20">
        <f t="shared" si="18"/>
        <v>40.014557336481907</v>
      </c>
      <c r="AU61" s="143">
        <f t="shared" si="19"/>
        <v>3.8920000000000003E-2</v>
      </c>
      <c r="AV61" s="20">
        <f t="shared" si="20"/>
        <v>15549.360351046225</v>
      </c>
      <c r="AW61" s="20"/>
      <c r="AX61" s="20"/>
      <c r="AY61" s="41"/>
      <c r="BA61" s="41"/>
      <c r="BB61" s="41"/>
      <c r="BL61" s="12"/>
    </row>
    <row r="62" spans="1:72" x14ac:dyDescent="0.35">
      <c r="A62" s="6" t="s">
        <v>34</v>
      </c>
      <c r="D62" s="6" t="s">
        <v>41</v>
      </c>
      <c r="E62" s="6">
        <v>2008</v>
      </c>
      <c r="F62" s="6">
        <v>4</v>
      </c>
      <c r="G62" s="6">
        <v>5</v>
      </c>
      <c r="H62" s="6">
        <v>8</v>
      </c>
      <c r="I62" s="6">
        <v>61</v>
      </c>
      <c r="M62" s="54" t="s">
        <v>747</v>
      </c>
      <c r="N62" s="35">
        <v>0.5</v>
      </c>
      <c r="O62" s="35">
        <v>820.53</v>
      </c>
      <c r="P62" s="35">
        <v>878.54178604527999</v>
      </c>
      <c r="Q62" s="35">
        <v>290.87</v>
      </c>
      <c r="R62" s="35">
        <v>715.1</v>
      </c>
      <c r="S62" s="35">
        <v>250.61</v>
      </c>
      <c r="T62" s="38">
        <f t="shared" si="0"/>
        <v>0.33108271526769312</v>
      </c>
      <c r="U62" s="38">
        <f t="shared" si="21"/>
        <v>0.35045448189064465</v>
      </c>
      <c r="V62" s="20">
        <v>30</v>
      </c>
      <c r="W62" s="35">
        <v>9.61</v>
      </c>
      <c r="X62" s="35">
        <v>25.38</v>
      </c>
      <c r="Y62" s="35">
        <v>45.88</v>
      </c>
      <c r="Z62" s="35">
        <v>26.410000000000004</v>
      </c>
      <c r="AA62" s="35">
        <f t="shared" si="1"/>
        <v>19.47</v>
      </c>
      <c r="AC62" s="35">
        <v>8.2959999999999994</v>
      </c>
      <c r="AD62" s="35">
        <f t="shared" si="2"/>
        <v>80.87</v>
      </c>
      <c r="AE62" s="31">
        <f t="shared" si="3"/>
        <v>2.6956666666666669</v>
      </c>
      <c r="AF62" s="142">
        <f t="shared" si="4"/>
        <v>1757.08357209056</v>
      </c>
      <c r="AG62" s="38">
        <f t="shared" si="5"/>
        <v>0.11883269444787931</v>
      </c>
      <c r="AH62" s="38">
        <f t="shared" si="6"/>
        <v>0.31383702238160005</v>
      </c>
      <c r="AI62" s="38">
        <f t="shared" si="7"/>
        <v>0.56733028317052059</v>
      </c>
      <c r="AJ62" s="38">
        <f t="shared" si="8"/>
        <v>0.32657351304562882</v>
      </c>
      <c r="AK62" s="38">
        <f t="shared" si="9"/>
        <v>0.24075677012489177</v>
      </c>
      <c r="AL62" s="31">
        <f t="shared" si="10"/>
        <v>208.79897524162581</v>
      </c>
      <c r="AM62" s="31">
        <f t="shared" si="11"/>
        <v>551.43787634052683</v>
      </c>
      <c r="AN62" s="31">
        <f t="shared" si="12"/>
        <v>996.8467205084072</v>
      </c>
      <c r="AO62" s="31">
        <f t="shared" si="13"/>
        <v>573.81695485237663</v>
      </c>
      <c r="AP62" s="31">
        <f t="shared" si="14"/>
        <v>423.02976565603063</v>
      </c>
      <c r="AQ62" s="31">
        <f t="shared" si="15"/>
        <v>573.81695485237663</v>
      </c>
      <c r="AR62" s="38">
        <f t="shared" si="16"/>
        <v>0.32657351304562887</v>
      </c>
      <c r="AS62" s="20">
        <f t="shared" si="17"/>
        <v>72.317530168116349</v>
      </c>
      <c r="AT62" s="20">
        <f t="shared" si="18"/>
        <v>62.792484400541376</v>
      </c>
      <c r="AU62" s="143">
        <f t="shared" si="19"/>
        <v>4.1479999999999996E-2</v>
      </c>
      <c r="AV62" s="20">
        <f t="shared" si="20"/>
        <v>13833.581360954115</v>
      </c>
      <c r="AW62" s="20"/>
      <c r="AX62" s="20"/>
      <c r="AY62" s="41"/>
      <c r="BA62" s="41"/>
      <c r="BB62" s="41"/>
      <c r="BL62" s="12"/>
    </row>
    <row r="63" spans="1:72" x14ac:dyDescent="0.35">
      <c r="A63" s="6" t="s">
        <v>34</v>
      </c>
      <c r="D63" s="6" t="s">
        <v>38</v>
      </c>
      <c r="E63" s="6">
        <v>1999</v>
      </c>
      <c r="F63" s="6">
        <v>4</v>
      </c>
      <c r="G63" s="6">
        <v>6</v>
      </c>
      <c r="H63" s="6">
        <v>8</v>
      </c>
      <c r="I63" s="6">
        <v>62</v>
      </c>
      <c r="M63" s="54" t="s">
        <v>747</v>
      </c>
      <c r="N63" s="35">
        <v>0.5</v>
      </c>
      <c r="O63" s="35">
        <v>763.59</v>
      </c>
      <c r="P63" s="35">
        <v>872.97433050940697</v>
      </c>
      <c r="Q63" s="35">
        <v>242.75</v>
      </c>
      <c r="R63" s="35">
        <v>654.6</v>
      </c>
      <c r="S63" s="35">
        <v>218.54</v>
      </c>
      <c r="T63" s="38">
        <f t="shared" si="0"/>
        <v>0.27807232299527984</v>
      </c>
      <c r="U63" s="38">
        <f t="shared" si="21"/>
        <v>0.33385273449434766</v>
      </c>
      <c r="V63" s="20">
        <v>30</v>
      </c>
      <c r="W63" s="35">
        <v>17.190000000000001</v>
      </c>
      <c r="X63" s="35">
        <v>34.56</v>
      </c>
      <c r="Y63" s="35">
        <v>52.16</v>
      </c>
      <c r="Z63" s="35">
        <v>31.6</v>
      </c>
      <c r="AA63" s="35">
        <f t="shared" si="1"/>
        <v>20.559999999999995</v>
      </c>
      <c r="AC63" s="35">
        <v>7.9799999999999995</v>
      </c>
      <c r="AD63" s="35">
        <f t="shared" si="2"/>
        <v>103.91</v>
      </c>
      <c r="AE63" s="31">
        <f t="shared" si="3"/>
        <v>3.4636666666666667</v>
      </c>
      <c r="AF63" s="142">
        <f t="shared" si="4"/>
        <v>1745.9486610188139</v>
      </c>
      <c r="AG63" s="38">
        <f t="shared" si="5"/>
        <v>0.16543162352035418</v>
      </c>
      <c r="AH63" s="38">
        <f t="shared" si="6"/>
        <v>0.33259551534982201</v>
      </c>
      <c r="AI63" s="38">
        <f t="shared" si="7"/>
        <v>0.50197286112982387</v>
      </c>
      <c r="AJ63" s="38">
        <f t="shared" si="8"/>
        <v>0.30410932537773078</v>
      </c>
      <c r="AK63" s="38">
        <f t="shared" si="9"/>
        <v>0.19786353575209312</v>
      </c>
      <c r="AL63" s="31">
        <f t="shared" si="10"/>
        <v>288.83512157553088</v>
      </c>
      <c r="AM63" s="31">
        <f t="shared" si="11"/>
        <v>580.69469468588409</v>
      </c>
      <c r="AN63" s="31">
        <f t="shared" si="12"/>
        <v>876.41884475739903</v>
      </c>
      <c r="AO63" s="31">
        <f t="shared" si="13"/>
        <v>530.9592694465839</v>
      </c>
      <c r="AP63" s="31">
        <f t="shared" si="14"/>
        <v>345.45957531081518</v>
      </c>
      <c r="AQ63" s="31">
        <f t="shared" si="15"/>
        <v>530.9592694465839</v>
      </c>
      <c r="AR63" s="38">
        <f t="shared" si="16"/>
        <v>0.30410932537773078</v>
      </c>
      <c r="AS63" s="20">
        <f t="shared" si="17"/>
        <v>80.053553038105051</v>
      </c>
      <c r="AT63" s="20">
        <f t="shared" si="18"/>
        <v>49.970045423448155</v>
      </c>
      <c r="AU63" s="143">
        <f t="shared" si="19"/>
        <v>3.9899999999999998E-2</v>
      </c>
      <c r="AV63" s="20">
        <f t="shared" si="20"/>
        <v>13307.249860816641</v>
      </c>
      <c r="AW63" s="20"/>
      <c r="AX63" s="20"/>
      <c r="AY63" s="41"/>
      <c r="BA63" s="41"/>
      <c r="BB63" s="41"/>
      <c r="BL63" s="12"/>
    </row>
    <row r="64" spans="1:72" x14ac:dyDescent="0.35">
      <c r="A64" s="6" t="s">
        <v>34</v>
      </c>
      <c r="D64" s="6" t="s">
        <v>42</v>
      </c>
      <c r="E64" s="6">
        <v>2016</v>
      </c>
      <c r="F64" s="6">
        <v>4</v>
      </c>
      <c r="G64" s="6">
        <v>7</v>
      </c>
      <c r="H64" s="6">
        <v>8</v>
      </c>
      <c r="I64" s="6">
        <v>63</v>
      </c>
      <c r="M64" s="54" t="s">
        <v>747</v>
      </c>
      <c r="N64" s="35">
        <v>0.5</v>
      </c>
      <c r="O64" s="35">
        <v>912.53</v>
      </c>
      <c r="P64" s="35">
        <v>943.24457421743523</v>
      </c>
      <c r="Q64" s="35">
        <v>330.18</v>
      </c>
      <c r="R64" s="35">
        <v>639.19999999999993</v>
      </c>
      <c r="S64" s="35">
        <v>254.44</v>
      </c>
      <c r="T64" s="38">
        <f t="shared" si="0"/>
        <v>0.35004707053198214</v>
      </c>
      <c r="U64" s="38">
        <f t="shared" si="21"/>
        <v>0.39806007509386737</v>
      </c>
      <c r="V64" s="20">
        <v>30</v>
      </c>
      <c r="W64" s="35">
        <v>9.69</v>
      </c>
      <c r="X64" s="35">
        <v>28.09</v>
      </c>
      <c r="Y64" s="35">
        <v>54.35</v>
      </c>
      <c r="Z64" s="35">
        <v>33.5</v>
      </c>
      <c r="AA64" s="35">
        <f t="shared" si="1"/>
        <v>20.85</v>
      </c>
      <c r="AC64" s="35">
        <v>8.3360000000000003</v>
      </c>
      <c r="AD64" s="35">
        <f t="shared" si="2"/>
        <v>92.13</v>
      </c>
      <c r="AE64" s="31">
        <f t="shared" si="3"/>
        <v>3.0709999999999997</v>
      </c>
      <c r="AF64" s="142">
        <f t="shared" si="4"/>
        <v>1886.4891484348705</v>
      </c>
      <c r="AG64" s="38">
        <f t="shared" si="5"/>
        <v>0.10517746662324975</v>
      </c>
      <c r="AH64" s="38">
        <f t="shared" si="6"/>
        <v>0.30489525670248563</v>
      </c>
      <c r="AI64" s="38">
        <f t="shared" si="7"/>
        <v>0.5899272766742647</v>
      </c>
      <c r="AJ64" s="38">
        <f t="shared" si="8"/>
        <v>0.36361662867686967</v>
      </c>
      <c r="AK64" s="38">
        <f t="shared" si="9"/>
        <v>0.226310647997395</v>
      </c>
      <c r="AL64" s="31">
        <f t="shared" si="10"/>
        <v>198.41614944463143</v>
      </c>
      <c r="AM64" s="31">
        <f t="shared" si="11"/>
        <v>575.18159317850336</v>
      </c>
      <c r="AN64" s="31">
        <f t="shared" si="12"/>
        <v>1112.8914058117359</v>
      </c>
      <c r="AO64" s="31">
        <f t="shared" si="13"/>
        <v>685.95882418938641</v>
      </c>
      <c r="AP64" s="31">
        <f t="shared" si="14"/>
        <v>426.9325816223494</v>
      </c>
      <c r="AQ64" s="31">
        <f t="shared" si="15"/>
        <v>685.95882418938641</v>
      </c>
      <c r="AR64" s="38">
        <f t="shared" si="16"/>
        <v>0.36361662867686967</v>
      </c>
      <c r="AS64" s="20">
        <f t="shared" si="17"/>
        <v>54.121994063843964</v>
      </c>
      <c r="AT64" s="20">
        <f t="shared" si="18"/>
        <v>35.532186979249474</v>
      </c>
      <c r="AU64" s="143">
        <f t="shared" si="19"/>
        <v>4.1680000000000002E-2</v>
      </c>
      <c r="AV64" s="20">
        <f t="shared" si="20"/>
        <v>16457.745302048617</v>
      </c>
      <c r="AW64" s="20"/>
      <c r="AX64" s="20"/>
      <c r="AY64" s="41"/>
      <c r="BA64" s="41"/>
      <c r="BB64" s="41"/>
      <c r="BL64" s="12"/>
    </row>
    <row r="65" spans="1:64" x14ac:dyDescent="0.35">
      <c r="A65" s="6" t="s">
        <v>34</v>
      </c>
      <c r="D65" s="6" t="s">
        <v>43</v>
      </c>
      <c r="E65" s="6">
        <v>2020</v>
      </c>
      <c r="F65" s="6">
        <v>4</v>
      </c>
      <c r="G65" s="6">
        <v>8</v>
      </c>
      <c r="H65" s="6">
        <v>8</v>
      </c>
      <c r="I65" s="6">
        <v>64</v>
      </c>
      <c r="M65" s="54" t="s">
        <v>747</v>
      </c>
      <c r="N65" s="35">
        <v>0.5</v>
      </c>
      <c r="O65" s="35">
        <v>967.1400000000001</v>
      </c>
      <c r="P65" s="35">
        <v>994.10455267337215</v>
      </c>
      <c r="Q65" s="35">
        <v>354.13</v>
      </c>
      <c r="R65" s="35">
        <v>662.9</v>
      </c>
      <c r="S65" s="35">
        <v>253.68</v>
      </c>
      <c r="T65" s="38">
        <f t="shared" si="0"/>
        <v>0.35623013600296294</v>
      </c>
      <c r="U65" s="38">
        <f t="shared" si="21"/>
        <v>0.38268215417106655</v>
      </c>
      <c r="V65" s="20">
        <v>30</v>
      </c>
      <c r="W65" s="35">
        <v>10.9</v>
      </c>
      <c r="X65" s="35">
        <v>34.880000000000003</v>
      </c>
      <c r="Y65" s="35">
        <v>70.72</v>
      </c>
      <c r="Z65" s="35">
        <v>47.28</v>
      </c>
      <c r="AA65" s="35">
        <f t="shared" si="1"/>
        <v>23.439999999999998</v>
      </c>
      <c r="AC65" s="35">
        <v>7.6959999999999997</v>
      </c>
      <c r="AD65" s="35">
        <f t="shared" si="2"/>
        <v>116.5</v>
      </c>
      <c r="AE65" s="31">
        <f t="shared" si="3"/>
        <v>3.8833333333333333</v>
      </c>
      <c r="AF65" s="142">
        <f t="shared" si="4"/>
        <v>1988.2091053467443</v>
      </c>
      <c r="AG65" s="38">
        <f t="shared" si="5"/>
        <v>9.3562231759656653E-2</v>
      </c>
      <c r="AH65" s="38">
        <f t="shared" si="6"/>
        <v>0.29939914163090131</v>
      </c>
      <c r="AI65" s="38">
        <f t="shared" si="7"/>
        <v>0.60703862660944208</v>
      </c>
      <c r="AJ65" s="38">
        <f t="shared" si="8"/>
        <v>0.40583690987124466</v>
      </c>
      <c r="AK65" s="38">
        <f t="shared" si="9"/>
        <v>0.20120171673819739</v>
      </c>
      <c r="AL65" s="31">
        <f t="shared" si="10"/>
        <v>186.0212811011117</v>
      </c>
      <c r="AM65" s="31">
        <f t="shared" si="11"/>
        <v>595.26809952355745</v>
      </c>
      <c r="AN65" s="31">
        <f t="shared" si="12"/>
        <v>1206.9197247220752</v>
      </c>
      <c r="AO65" s="31">
        <f t="shared" si="13"/>
        <v>806.88863949179461</v>
      </c>
      <c r="AP65" s="31">
        <f t="shared" si="14"/>
        <v>400.0310852302805</v>
      </c>
      <c r="AQ65" s="31">
        <f t="shared" si="15"/>
        <v>806.88863949179461</v>
      </c>
      <c r="AR65" s="38">
        <f t="shared" si="16"/>
        <v>0.40583690987124466</v>
      </c>
      <c r="AS65" s="20">
        <f t="shared" si="17"/>
        <v>43.269420834156954</v>
      </c>
      <c r="AT65" s="20">
        <f t="shared" si="18"/>
        <v>33.366253723979398</v>
      </c>
      <c r="AU65" s="143">
        <f t="shared" si="19"/>
        <v>3.848E-2</v>
      </c>
      <c r="AV65" s="20">
        <f t="shared" si="20"/>
        <v>20969.039487832499</v>
      </c>
      <c r="AW65" s="20"/>
      <c r="AX65" s="20"/>
      <c r="AY65" s="41"/>
      <c r="BA65" s="41"/>
      <c r="BB65" s="41"/>
      <c r="BL65" s="12"/>
    </row>
    <row r="66" spans="1:64" x14ac:dyDescent="0.35">
      <c r="A66" s="79"/>
      <c r="B66" s="79"/>
      <c r="C66" s="79"/>
      <c r="D66" s="79"/>
      <c r="E66" s="79"/>
      <c r="F66" s="79"/>
      <c r="G66" s="79"/>
      <c r="H66" s="79"/>
      <c r="I66" s="79"/>
      <c r="J66" s="79"/>
      <c r="K66" s="79"/>
      <c r="L66" s="79"/>
      <c r="BL66" s="12"/>
    </row>
    <row r="67" spans="1:64" x14ac:dyDescent="0.35">
      <c r="A67" s="79"/>
      <c r="B67" s="79"/>
      <c r="C67" s="79"/>
      <c r="D67" s="79"/>
      <c r="E67" s="79"/>
      <c r="F67" s="79"/>
      <c r="G67" s="79"/>
      <c r="H67" s="79"/>
      <c r="I67" s="79"/>
      <c r="J67" s="79"/>
      <c r="K67" s="79"/>
      <c r="L67" s="79"/>
      <c r="BL67" s="12"/>
    </row>
    <row r="68" spans="1:64" x14ac:dyDescent="0.35">
      <c r="A68" s="79"/>
      <c r="B68" s="79"/>
      <c r="C68" s="79"/>
      <c r="D68" s="79"/>
      <c r="E68" s="79"/>
      <c r="F68" s="79"/>
      <c r="G68" s="79"/>
      <c r="H68" s="79"/>
      <c r="I68" s="79"/>
      <c r="J68" s="79"/>
      <c r="K68" s="79"/>
      <c r="L68" s="79"/>
      <c r="BL68" s="12"/>
    </row>
    <row r="69" spans="1:64" x14ac:dyDescent="0.35">
      <c r="A69" s="79"/>
      <c r="B69" s="79"/>
      <c r="C69" s="79"/>
      <c r="D69" s="79"/>
      <c r="E69" s="79"/>
      <c r="F69" s="79"/>
      <c r="G69" s="79"/>
      <c r="H69" s="79"/>
      <c r="I69" s="79"/>
      <c r="J69" s="79"/>
      <c r="K69" s="79"/>
      <c r="L69" s="79"/>
      <c r="BL69" s="12"/>
    </row>
    <row r="70" spans="1:64" x14ac:dyDescent="0.35">
      <c r="A70" s="79"/>
      <c r="B70" s="79"/>
      <c r="C70" s="79"/>
      <c r="D70" s="79"/>
      <c r="E70" s="79"/>
      <c r="F70" s="79"/>
      <c r="G70" s="79"/>
      <c r="H70" s="79"/>
      <c r="I70" s="79"/>
      <c r="J70" s="79"/>
      <c r="K70" s="79"/>
      <c r="L70" s="79"/>
    </row>
    <row r="71" spans="1:64" x14ac:dyDescent="0.35">
      <c r="A71" s="79"/>
      <c r="B71" s="79"/>
      <c r="C71" s="79"/>
      <c r="D71" s="79"/>
      <c r="E71" s="79"/>
      <c r="F71" s="79"/>
      <c r="G71" s="79"/>
      <c r="H71" s="79"/>
      <c r="I71" s="79"/>
      <c r="J71" s="79"/>
      <c r="K71" s="79"/>
      <c r="L71" s="79"/>
    </row>
    <row r="72" spans="1:64" x14ac:dyDescent="0.35">
      <c r="A72" s="79"/>
      <c r="B72" s="79"/>
      <c r="C72" s="79"/>
      <c r="D72" s="79"/>
      <c r="E72" s="79"/>
      <c r="F72" s="79"/>
      <c r="G72" s="79"/>
      <c r="H72" s="79"/>
      <c r="I72" s="79"/>
      <c r="J72" s="79"/>
      <c r="K72" s="79"/>
      <c r="L72" s="79"/>
    </row>
    <row r="73" spans="1:64" x14ac:dyDescent="0.35">
      <c r="A73" s="79"/>
      <c r="B73" s="79"/>
      <c r="C73" s="79"/>
      <c r="D73" s="79"/>
      <c r="E73" s="79"/>
      <c r="F73" s="79"/>
      <c r="G73" s="79"/>
      <c r="H73" s="79"/>
      <c r="I73" s="79"/>
      <c r="J73" s="79"/>
      <c r="K73" s="79"/>
      <c r="L73" s="79"/>
    </row>
    <row r="75" spans="1:64" x14ac:dyDescent="0.35">
      <c r="BL75" s="30"/>
    </row>
    <row r="76" spans="1:64" x14ac:dyDescent="0.35">
      <c r="BL76" s="30"/>
    </row>
    <row r="77" spans="1:64" x14ac:dyDescent="0.35">
      <c r="BL77" s="30"/>
    </row>
    <row r="78" spans="1:64" x14ac:dyDescent="0.35">
      <c r="AW78" s="36"/>
      <c r="BL78" s="30"/>
    </row>
    <row r="79" spans="1:64" x14ac:dyDescent="0.35">
      <c r="AW79" s="36"/>
      <c r="BL79" s="30"/>
    </row>
    <row r="80" spans="1:64" x14ac:dyDescent="0.35">
      <c r="BL80" s="30"/>
    </row>
    <row r="81" spans="1:64" x14ac:dyDescent="0.35">
      <c r="BL81" s="30"/>
    </row>
    <row r="82" spans="1:64" x14ac:dyDescent="0.35">
      <c r="A82" s="79"/>
      <c r="B82" s="79"/>
      <c r="C82" s="79"/>
      <c r="D82" s="79"/>
      <c r="E82" s="79"/>
      <c r="F82" s="79"/>
      <c r="G82" s="79"/>
      <c r="H82" s="79"/>
      <c r="I82" s="79"/>
      <c r="J82" s="79"/>
      <c r="K82" s="79"/>
      <c r="L82" s="79"/>
      <c r="BL82" s="30"/>
    </row>
    <row r="83" spans="1:64" x14ac:dyDescent="0.35">
      <c r="A83" s="79"/>
      <c r="B83" s="79"/>
      <c r="C83" s="79"/>
      <c r="D83" s="79"/>
      <c r="E83" s="79"/>
      <c r="F83" s="79"/>
      <c r="G83" s="79"/>
      <c r="H83" s="79"/>
      <c r="I83" s="79"/>
      <c r="J83" s="79"/>
      <c r="K83" s="79"/>
      <c r="L83" s="79"/>
      <c r="BL83" s="30"/>
    </row>
    <row r="84" spans="1:64" x14ac:dyDescent="0.35">
      <c r="A84" s="79"/>
      <c r="B84" s="79"/>
      <c r="C84" s="79"/>
      <c r="D84" s="79"/>
      <c r="E84" s="79"/>
      <c r="F84" s="79"/>
      <c r="G84" s="79"/>
      <c r="H84" s="79"/>
      <c r="I84" s="79"/>
      <c r="J84" s="79"/>
      <c r="K84" s="79"/>
      <c r="L84" s="79"/>
      <c r="BL84" s="30"/>
    </row>
    <row r="85" spans="1:64" x14ac:dyDescent="0.35">
      <c r="A85" s="79"/>
      <c r="B85" s="79"/>
      <c r="C85" s="79"/>
      <c r="D85" s="79"/>
      <c r="E85" s="79"/>
      <c r="F85" s="79"/>
      <c r="G85" s="79"/>
      <c r="H85" s="79"/>
      <c r="I85" s="79"/>
      <c r="J85" s="79"/>
      <c r="K85" s="79"/>
      <c r="L85" s="79"/>
      <c r="BL85" s="30"/>
    </row>
    <row r="86" spans="1:64" x14ac:dyDescent="0.35">
      <c r="A86" s="79"/>
      <c r="B86" s="79"/>
      <c r="C86" s="79"/>
      <c r="D86" s="79"/>
      <c r="E86" s="79"/>
      <c r="F86" s="79"/>
      <c r="G86" s="79"/>
      <c r="H86" s="79"/>
      <c r="I86" s="79"/>
      <c r="J86" s="79"/>
      <c r="K86" s="79"/>
      <c r="L86" s="79"/>
      <c r="BL86" s="30"/>
    </row>
    <row r="87" spans="1:64" x14ac:dyDescent="0.35">
      <c r="A87" s="79"/>
      <c r="B87" s="79"/>
      <c r="C87" s="79"/>
      <c r="D87" s="79"/>
      <c r="E87" s="79"/>
      <c r="F87" s="79"/>
      <c r="G87" s="79"/>
      <c r="H87" s="79"/>
      <c r="I87" s="79"/>
      <c r="J87" s="79"/>
      <c r="K87" s="79"/>
      <c r="L87" s="79"/>
      <c r="BL87" s="30"/>
    </row>
    <row r="88" spans="1:64" x14ac:dyDescent="0.35">
      <c r="A88" s="79"/>
      <c r="B88" s="79"/>
      <c r="C88" s="79"/>
      <c r="D88" s="79"/>
      <c r="E88" s="79"/>
      <c r="F88" s="79"/>
      <c r="G88" s="79"/>
      <c r="H88" s="79"/>
      <c r="I88" s="79"/>
      <c r="J88" s="79"/>
      <c r="K88" s="79"/>
      <c r="L88" s="79"/>
      <c r="BL88" s="30"/>
    </row>
    <row r="89" spans="1:64" x14ac:dyDescent="0.35">
      <c r="A89" s="79"/>
      <c r="B89" s="79"/>
      <c r="C89" s="79"/>
      <c r="D89" s="79"/>
      <c r="E89" s="79"/>
      <c r="F89" s="79"/>
      <c r="G89" s="79"/>
      <c r="H89" s="79"/>
      <c r="I89" s="79"/>
      <c r="J89" s="79"/>
      <c r="K89" s="79"/>
      <c r="L89" s="79"/>
      <c r="BL89" s="30"/>
    </row>
    <row r="90" spans="1:64" x14ac:dyDescent="0.35">
      <c r="A90" s="71"/>
      <c r="B90" s="71"/>
      <c r="C90" s="72"/>
      <c r="D90" s="71"/>
      <c r="E90" s="71"/>
      <c r="F90" s="72"/>
      <c r="G90" s="72"/>
      <c r="H90" s="72"/>
      <c r="I90" s="72"/>
      <c r="J90" s="72"/>
      <c r="K90" s="72"/>
      <c r="L90" s="72"/>
      <c r="BL90" s="30"/>
    </row>
    <row r="98" spans="1:12" x14ac:dyDescent="0.35">
      <c r="A98" s="79"/>
      <c r="B98" s="79"/>
      <c r="C98" s="79"/>
      <c r="D98" s="79"/>
      <c r="E98" s="79"/>
      <c r="F98" s="79"/>
      <c r="G98" s="79"/>
      <c r="H98" s="79"/>
      <c r="I98" s="79"/>
      <c r="J98" s="79"/>
      <c r="K98" s="79"/>
      <c r="L98" s="79"/>
    </row>
    <row r="99" spans="1:12" x14ac:dyDescent="0.35">
      <c r="A99" s="79"/>
      <c r="B99" s="79"/>
      <c r="C99" s="79"/>
      <c r="D99" s="79"/>
      <c r="E99" s="79"/>
      <c r="F99" s="79"/>
      <c r="G99" s="79"/>
      <c r="H99" s="79"/>
      <c r="I99" s="79"/>
      <c r="J99" s="79"/>
      <c r="K99" s="79"/>
      <c r="L99" s="79"/>
    </row>
    <row r="100" spans="1:12" x14ac:dyDescent="0.35">
      <c r="A100" s="79"/>
      <c r="B100" s="79"/>
      <c r="C100" s="79"/>
      <c r="D100" s="79"/>
      <c r="E100" s="79"/>
      <c r="F100" s="79"/>
      <c r="G100" s="79"/>
      <c r="H100" s="79"/>
      <c r="I100" s="79"/>
      <c r="J100" s="79"/>
      <c r="K100" s="79"/>
      <c r="L100" s="79"/>
    </row>
    <row r="101" spans="1:12" x14ac:dyDescent="0.35">
      <c r="A101" s="79"/>
      <c r="B101" s="79"/>
      <c r="C101" s="79"/>
      <c r="D101" s="79"/>
      <c r="E101" s="79"/>
      <c r="F101" s="79"/>
      <c r="G101" s="79"/>
      <c r="H101" s="79"/>
      <c r="I101" s="79"/>
      <c r="J101" s="79"/>
      <c r="K101" s="79"/>
      <c r="L101" s="79"/>
    </row>
    <row r="102" spans="1:12" x14ac:dyDescent="0.35">
      <c r="A102" s="79"/>
      <c r="B102" s="79"/>
      <c r="C102" s="79"/>
      <c r="D102" s="79"/>
      <c r="E102" s="79"/>
      <c r="F102" s="79"/>
      <c r="G102" s="79"/>
      <c r="H102" s="79"/>
      <c r="I102" s="79"/>
      <c r="J102" s="79"/>
      <c r="K102" s="79"/>
      <c r="L102" s="79"/>
    </row>
    <row r="103" spans="1:12" x14ac:dyDescent="0.35">
      <c r="A103" s="79"/>
      <c r="B103" s="79"/>
      <c r="C103" s="79"/>
      <c r="D103" s="79"/>
      <c r="E103" s="79"/>
      <c r="F103" s="79"/>
      <c r="G103" s="79"/>
      <c r="H103" s="79"/>
      <c r="I103" s="79"/>
      <c r="J103" s="79"/>
      <c r="K103" s="79"/>
      <c r="L103" s="79"/>
    </row>
    <row r="104" spans="1:12" x14ac:dyDescent="0.35">
      <c r="A104" s="79"/>
      <c r="B104" s="79"/>
      <c r="C104" s="79"/>
      <c r="D104" s="79"/>
      <c r="E104" s="79"/>
      <c r="F104" s="79"/>
      <c r="G104" s="79"/>
      <c r="H104" s="79"/>
      <c r="I104" s="79"/>
      <c r="J104" s="79"/>
      <c r="K104" s="79"/>
      <c r="L104" s="79"/>
    </row>
    <row r="105" spans="1:12" x14ac:dyDescent="0.35">
      <c r="A105" s="79"/>
      <c r="B105" s="79"/>
      <c r="C105" s="79"/>
      <c r="D105" s="79"/>
      <c r="E105" s="79"/>
      <c r="F105" s="79"/>
      <c r="G105" s="79"/>
      <c r="H105" s="79"/>
      <c r="I105" s="79"/>
      <c r="J105" s="79"/>
      <c r="K105" s="79"/>
      <c r="L105" s="79"/>
    </row>
    <row r="114" spans="1:12" x14ac:dyDescent="0.35">
      <c r="A114" s="79"/>
      <c r="B114" s="79"/>
      <c r="C114" s="79"/>
      <c r="D114" s="79"/>
      <c r="E114" s="79"/>
      <c r="F114" s="79"/>
      <c r="G114" s="79"/>
      <c r="H114" s="79"/>
      <c r="I114" s="79"/>
      <c r="J114" s="79"/>
      <c r="K114" s="79"/>
      <c r="L114" s="79"/>
    </row>
    <row r="115" spans="1:12" x14ac:dyDescent="0.35">
      <c r="A115" s="79"/>
      <c r="B115" s="79"/>
      <c r="C115" s="79"/>
      <c r="D115" s="79"/>
      <c r="E115" s="79"/>
      <c r="F115" s="79"/>
      <c r="G115" s="79"/>
      <c r="H115" s="79"/>
      <c r="I115" s="79"/>
      <c r="J115" s="79"/>
      <c r="K115" s="79"/>
      <c r="L115" s="79"/>
    </row>
    <row r="116" spans="1:12" x14ac:dyDescent="0.35">
      <c r="A116" s="79"/>
      <c r="B116" s="79"/>
      <c r="C116" s="79"/>
      <c r="D116" s="79"/>
      <c r="E116" s="79"/>
      <c r="F116" s="79"/>
      <c r="G116" s="79"/>
      <c r="H116" s="79"/>
      <c r="I116" s="79"/>
      <c r="J116" s="79"/>
      <c r="K116" s="79"/>
      <c r="L116" s="79"/>
    </row>
    <row r="117" spans="1:12" x14ac:dyDescent="0.35">
      <c r="A117" s="79"/>
      <c r="B117" s="79"/>
      <c r="C117" s="79"/>
      <c r="D117" s="79"/>
      <c r="E117" s="79"/>
      <c r="F117" s="79"/>
      <c r="G117" s="79"/>
      <c r="H117" s="79"/>
      <c r="I117" s="79"/>
      <c r="J117" s="79"/>
      <c r="K117" s="79"/>
      <c r="L117" s="79"/>
    </row>
    <row r="118" spans="1:12" x14ac:dyDescent="0.35">
      <c r="A118" s="79"/>
      <c r="B118" s="79"/>
      <c r="C118" s="79"/>
      <c r="D118" s="79"/>
      <c r="E118" s="79"/>
      <c r="F118" s="79"/>
      <c r="G118" s="79"/>
      <c r="H118" s="79"/>
      <c r="I118" s="79"/>
      <c r="J118" s="79"/>
      <c r="K118" s="79"/>
      <c r="L118" s="79"/>
    </row>
    <row r="119" spans="1:12" x14ac:dyDescent="0.35">
      <c r="A119" s="79"/>
      <c r="B119" s="79"/>
      <c r="C119" s="79"/>
      <c r="D119" s="79"/>
      <c r="E119" s="79"/>
      <c r="F119" s="79"/>
      <c r="G119" s="79"/>
      <c r="H119" s="79"/>
      <c r="I119" s="79"/>
      <c r="J119" s="79"/>
      <c r="K119" s="79"/>
      <c r="L119" s="79"/>
    </row>
    <row r="120" spans="1:12" x14ac:dyDescent="0.35">
      <c r="A120" s="79"/>
      <c r="B120" s="79"/>
      <c r="C120" s="79"/>
      <c r="D120" s="79"/>
      <c r="E120" s="79"/>
      <c r="F120" s="79"/>
      <c r="G120" s="79"/>
      <c r="H120" s="79"/>
      <c r="I120" s="79"/>
      <c r="J120" s="79"/>
      <c r="K120" s="79"/>
      <c r="L120" s="79"/>
    </row>
    <row r="121" spans="1:12" x14ac:dyDescent="0.35">
      <c r="A121" s="79"/>
      <c r="B121" s="79"/>
      <c r="C121" s="79"/>
      <c r="D121" s="79"/>
      <c r="E121" s="79"/>
      <c r="F121" s="79"/>
      <c r="G121" s="79"/>
      <c r="H121" s="79"/>
      <c r="I121" s="79"/>
      <c r="J121" s="79"/>
      <c r="K121" s="79"/>
      <c r="L121" s="79"/>
    </row>
    <row r="154" spans="1:12" x14ac:dyDescent="0.35">
      <c r="A154" s="71"/>
      <c r="B154" s="71"/>
      <c r="C154" s="72"/>
      <c r="D154" s="71"/>
      <c r="E154" s="71"/>
      <c r="F154" s="72"/>
      <c r="G154" s="72"/>
      <c r="H154" s="72"/>
      <c r="I154" s="72"/>
      <c r="J154" s="72"/>
      <c r="K154" s="72"/>
      <c r="L154" s="72"/>
    </row>
    <row r="218" spans="1:12" x14ac:dyDescent="0.35">
      <c r="A218" s="71"/>
      <c r="B218" s="71"/>
      <c r="C218" s="72"/>
      <c r="D218" s="71"/>
      <c r="E218" s="71"/>
      <c r="F218" s="72"/>
      <c r="G218" s="72"/>
      <c r="H218" s="72"/>
      <c r="I218" s="72"/>
      <c r="J218" s="72"/>
      <c r="K218" s="72"/>
      <c r="L218" s="72"/>
    </row>
    <row r="282" spans="1:12" x14ac:dyDescent="0.35">
      <c r="A282" s="71"/>
      <c r="B282" s="71"/>
      <c r="C282" s="72"/>
      <c r="D282" s="71"/>
      <c r="E282" s="71"/>
      <c r="F282" s="72"/>
      <c r="G282" s="72"/>
      <c r="H282" s="72"/>
      <c r="I282" s="72"/>
      <c r="J282" s="72"/>
      <c r="K282" s="72"/>
      <c r="L282" s="72"/>
    </row>
    <row r="346" spans="1:12" x14ac:dyDescent="0.35">
      <c r="A346" s="71"/>
      <c r="B346" s="71"/>
      <c r="C346" s="72"/>
      <c r="D346" s="71"/>
      <c r="E346" s="71"/>
      <c r="F346" s="72"/>
      <c r="G346" s="72"/>
      <c r="H346" s="72"/>
      <c r="I346" s="72"/>
      <c r="J346" s="72"/>
      <c r="K346" s="72"/>
      <c r="L346" s="72"/>
    </row>
    <row r="410" spans="1:12" x14ac:dyDescent="0.35">
      <c r="A410" s="71"/>
      <c r="B410" s="71"/>
      <c r="C410" s="72"/>
      <c r="D410" s="71"/>
      <c r="E410" s="71"/>
      <c r="F410" s="72"/>
      <c r="G410" s="72"/>
      <c r="H410" s="72"/>
      <c r="I410" s="72"/>
      <c r="J410" s="72"/>
      <c r="K410" s="72"/>
      <c r="L410" s="72"/>
    </row>
    <row r="474" spans="1:12" x14ac:dyDescent="0.35">
      <c r="A474" s="71"/>
      <c r="B474" s="71"/>
      <c r="C474" s="72"/>
      <c r="D474" s="71"/>
      <c r="E474" s="71"/>
      <c r="F474" s="72"/>
      <c r="G474" s="72"/>
      <c r="H474" s="72"/>
      <c r="I474" s="72"/>
      <c r="J474" s="72"/>
      <c r="K474" s="72"/>
      <c r="L474" s="72"/>
    </row>
    <row r="538" spans="1:12" x14ac:dyDescent="0.35">
      <c r="A538" s="71"/>
      <c r="B538" s="71"/>
      <c r="C538" s="72"/>
      <c r="D538" s="71"/>
      <c r="E538" s="71"/>
      <c r="F538" s="72"/>
      <c r="G538" s="72"/>
      <c r="H538" s="72"/>
      <c r="I538" s="72"/>
      <c r="J538" s="72"/>
      <c r="K538" s="72"/>
      <c r="L538" s="72"/>
    </row>
  </sheetData>
  <phoneticPr fontId="6" type="noConversion"/>
  <conditionalFormatting sqref="AW80:AW87">
    <cfRule type="colorScale" priority="2">
      <colorScale>
        <cfvo type="min"/>
        <cfvo type="percentile" val="50"/>
        <cfvo type="max"/>
        <color rgb="FFF8696B"/>
        <color rgb="FFFFEB84"/>
        <color rgb="FF63BE7B"/>
      </colorScale>
    </cfRule>
  </conditionalFormatting>
  <conditionalFormatting sqref="AW88:AW95">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E3B75-707E-48D2-A571-BFDFDE3171C1}">
  <sheetPr>
    <tabColor theme="9" tint="0.59999389629810485"/>
  </sheetPr>
  <dimension ref="A1:AH538"/>
  <sheetViews>
    <sheetView workbookViewId="0">
      <selection activeCell="J15" sqref="J15"/>
    </sheetView>
  </sheetViews>
  <sheetFormatPr defaultRowHeight="14.5" x14ac:dyDescent="0.35"/>
  <cols>
    <col min="1" max="11" width="9.1796875" style="6"/>
    <col min="12" max="12" width="10.54296875" style="35" bestFit="1" customWidth="1"/>
    <col min="13" max="16" width="13.453125" style="35" customWidth="1"/>
    <col min="17" max="17" width="9.54296875" style="35" customWidth="1"/>
    <col min="18" max="18" width="9.54296875" style="38" customWidth="1"/>
    <col min="19" max="19" width="11.54296875" style="35" customWidth="1"/>
    <col min="20" max="20" width="8.54296875" style="5"/>
    <col min="24" max="24" width="10.453125" style="65" customWidth="1"/>
    <col min="26" max="26" width="6.453125" customWidth="1"/>
    <col min="27" max="27" width="7" customWidth="1"/>
    <col min="28" max="28" width="7.453125" customWidth="1"/>
    <col min="29" max="29" width="8.54296875" customWidth="1"/>
    <col min="30" max="30" width="7.81640625" customWidth="1"/>
    <col min="31" max="31" width="8.453125" customWidth="1"/>
    <col min="32" max="32" width="9.1796875" customWidth="1"/>
    <col min="33" max="33" width="11.453125" customWidth="1"/>
    <col min="34" max="34" width="11.453125" bestFit="1" customWidth="1"/>
    <col min="35" max="35" width="19.81640625" bestFit="1" customWidth="1"/>
    <col min="36" max="36" width="33.453125" bestFit="1" customWidth="1"/>
    <col min="37" max="37" width="24.81640625" bestFit="1" customWidth="1"/>
    <col min="38" max="38" width="38.54296875" bestFit="1" customWidth="1"/>
  </cols>
  <sheetData>
    <row r="1" spans="1:34" ht="58" x14ac:dyDescent="0.35">
      <c r="A1" s="70" t="s">
        <v>44</v>
      </c>
      <c r="B1" s="70" t="s">
        <v>45</v>
      </c>
      <c r="C1" s="70" t="s">
        <v>46</v>
      </c>
      <c r="D1" s="70" t="s">
        <v>47</v>
      </c>
      <c r="E1" s="70" t="s">
        <v>48</v>
      </c>
      <c r="F1" s="70" t="s">
        <v>49</v>
      </c>
      <c r="G1" s="70" t="s">
        <v>50</v>
      </c>
      <c r="H1" s="70" t="s">
        <v>51</v>
      </c>
      <c r="I1" s="34" t="s">
        <v>53</v>
      </c>
      <c r="J1" s="34" t="s">
        <v>52</v>
      </c>
      <c r="K1" s="70" t="s">
        <v>54</v>
      </c>
      <c r="L1" s="34" t="s">
        <v>279</v>
      </c>
      <c r="M1" s="34" t="s">
        <v>303</v>
      </c>
      <c r="N1" s="34" t="s">
        <v>65</v>
      </c>
      <c r="O1" s="34" t="s">
        <v>304</v>
      </c>
      <c r="P1" s="34" t="s">
        <v>305</v>
      </c>
      <c r="Q1" s="34" t="s">
        <v>306</v>
      </c>
      <c r="R1" s="61" t="s">
        <v>307</v>
      </c>
      <c r="S1" s="34" t="s">
        <v>308</v>
      </c>
      <c r="T1" s="4" t="s">
        <v>309</v>
      </c>
      <c r="U1" s="4" t="s">
        <v>308</v>
      </c>
      <c r="V1" s="4" t="s">
        <v>310</v>
      </c>
      <c r="W1" s="4" t="s">
        <v>311</v>
      </c>
      <c r="X1" s="4" t="s">
        <v>617</v>
      </c>
      <c r="Y1" s="1" t="s">
        <v>776</v>
      </c>
    </row>
    <row r="2" spans="1:34" x14ac:dyDescent="0.35">
      <c r="A2" s="79" t="s">
        <v>24</v>
      </c>
      <c r="B2" s="79"/>
      <c r="C2" s="79"/>
      <c r="D2" s="79" t="s">
        <v>27</v>
      </c>
      <c r="E2" s="79">
        <v>1985</v>
      </c>
      <c r="F2" s="79">
        <v>1</v>
      </c>
      <c r="G2" s="79">
        <v>1</v>
      </c>
      <c r="H2" s="79">
        <v>1</v>
      </c>
      <c r="I2" s="79"/>
      <c r="J2" s="79"/>
      <c r="K2" s="79">
        <v>1</v>
      </c>
      <c r="L2" s="37">
        <v>45621</v>
      </c>
      <c r="M2" s="35">
        <v>1.7000000000000002</v>
      </c>
      <c r="N2" s="35">
        <v>1</v>
      </c>
      <c r="O2" s="35">
        <v>0</v>
      </c>
      <c r="P2" s="35">
        <f>M2*N2</f>
        <v>1.7000000000000002</v>
      </c>
      <c r="Q2" s="36">
        <v>1038.6499999999999</v>
      </c>
      <c r="R2" s="38">
        <f>(Q2/P2)/100</f>
        <v>6.1097058823529391</v>
      </c>
      <c r="S2" s="35">
        <v>11.4</v>
      </c>
      <c r="T2" s="5">
        <v>7.2040000000000006</v>
      </c>
      <c r="V2">
        <v>12.2</v>
      </c>
      <c r="W2">
        <v>81.62</v>
      </c>
      <c r="X2" s="65">
        <v>3.9206076941925994</v>
      </c>
    </row>
    <row r="3" spans="1:34" x14ac:dyDescent="0.35">
      <c r="A3" s="79" t="s">
        <v>24</v>
      </c>
      <c r="B3" s="79"/>
      <c r="C3" s="79"/>
      <c r="D3" s="79" t="s">
        <v>26</v>
      </c>
      <c r="E3" s="79">
        <v>1983</v>
      </c>
      <c r="F3" s="79">
        <v>1</v>
      </c>
      <c r="G3" s="79">
        <v>2</v>
      </c>
      <c r="H3" s="79">
        <v>1</v>
      </c>
      <c r="I3" s="79"/>
      <c r="J3" s="79"/>
      <c r="K3" s="79">
        <v>2</v>
      </c>
      <c r="L3" s="37">
        <v>45621</v>
      </c>
      <c r="M3" s="35">
        <v>1.6</v>
      </c>
      <c r="N3" s="35">
        <v>1</v>
      </c>
      <c r="O3" s="35">
        <v>0</v>
      </c>
      <c r="P3" s="35">
        <f t="shared" ref="P3:P65" si="0">M3*N3</f>
        <v>1.6</v>
      </c>
      <c r="Q3" s="36">
        <v>838.34999999999991</v>
      </c>
      <c r="R3" s="38">
        <f t="shared" ref="R3:R65" si="1">(Q3/P3)/100</f>
        <v>5.2396874999999987</v>
      </c>
      <c r="S3" s="35">
        <v>11.2</v>
      </c>
      <c r="T3" s="5">
        <v>6.2640000000000002</v>
      </c>
      <c r="V3">
        <v>14.3</v>
      </c>
      <c r="W3">
        <v>76.88</v>
      </c>
      <c r="X3" s="65">
        <v>3.0697190426638921</v>
      </c>
    </row>
    <row r="4" spans="1:34" x14ac:dyDescent="0.35">
      <c r="A4" s="79" t="s">
        <v>24</v>
      </c>
      <c r="B4" s="79"/>
      <c r="C4" s="79"/>
      <c r="D4" s="79" t="s">
        <v>335</v>
      </c>
      <c r="E4" s="79">
        <v>2023</v>
      </c>
      <c r="F4" s="79">
        <v>1</v>
      </c>
      <c r="G4" s="79">
        <v>3</v>
      </c>
      <c r="H4" s="79">
        <v>1</v>
      </c>
      <c r="I4" s="79"/>
      <c r="J4" s="79"/>
      <c r="K4" s="79">
        <v>3</v>
      </c>
      <c r="L4" s="37">
        <v>45621</v>
      </c>
      <c r="M4" s="35">
        <v>1.6</v>
      </c>
      <c r="N4" s="35">
        <v>1</v>
      </c>
      <c r="O4" s="35">
        <v>0</v>
      </c>
      <c r="P4" s="35">
        <f t="shared" si="0"/>
        <v>1.6</v>
      </c>
      <c r="Q4" s="36">
        <v>1242.23</v>
      </c>
      <c r="R4" s="38">
        <f t="shared" si="1"/>
        <v>7.7639374999999999</v>
      </c>
      <c r="S4" s="35">
        <v>11.2</v>
      </c>
      <c r="T4" s="5">
        <v>7.8239999999999998</v>
      </c>
      <c r="V4">
        <v>12.8</v>
      </c>
      <c r="W4">
        <v>80.92</v>
      </c>
      <c r="X4" s="65">
        <v>2.1502718734552642</v>
      </c>
    </row>
    <row r="5" spans="1:34" x14ac:dyDescent="0.35">
      <c r="A5" s="79" t="s">
        <v>24</v>
      </c>
      <c r="B5" s="79"/>
      <c r="C5" s="79"/>
      <c r="D5" s="79" t="s">
        <v>29</v>
      </c>
      <c r="E5" s="79">
        <v>1999</v>
      </c>
      <c r="F5" s="79">
        <v>1</v>
      </c>
      <c r="G5" s="79">
        <v>4</v>
      </c>
      <c r="H5" s="79">
        <v>1</v>
      </c>
      <c r="I5" s="79"/>
      <c r="J5" s="79"/>
      <c r="K5" s="79">
        <v>4</v>
      </c>
      <c r="L5" s="37">
        <v>45621</v>
      </c>
      <c r="M5" s="35">
        <v>1.7000000000000002</v>
      </c>
      <c r="N5" s="35">
        <v>1</v>
      </c>
      <c r="O5" s="35">
        <v>0</v>
      </c>
      <c r="P5" s="35">
        <f t="shared" si="0"/>
        <v>1.7000000000000002</v>
      </c>
      <c r="Q5" s="36">
        <v>971.24</v>
      </c>
      <c r="R5" s="38">
        <f t="shared" si="1"/>
        <v>5.7131764705882349</v>
      </c>
      <c r="S5" s="35">
        <v>11.1</v>
      </c>
      <c r="T5" s="5">
        <v>7.4480000000000004</v>
      </c>
      <c r="V5">
        <v>15.7</v>
      </c>
      <c r="W5">
        <v>77.64</v>
      </c>
      <c r="X5" s="65">
        <v>2.5244719216898508</v>
      </c>
    </row>
    <row r="6" spans="1:34" s="56" customFormat="1" x14ac:dyDescent="0.35">
      <c r="A6" s="79" t="s">
        <v>24</v>
      </c>
      <c r="B6" s="79"/>
      <c r="C6" s="79"/>
      <c r="D6" s="79" t="s">
        <v>336</v>
      </c>
      <c r="E6" s="79">
        <v>2002</v>
      </c>
      <c r="F6" s="79">
        <v>1</v>
      </c>
      <c r="G6" s="79">
        <v>5</v>
      </c>
      <c r="H6" s="79">
        <v>1</v>
      </c>
      <c r="I6" s="79"/>
      <c r="J6" s="79"/>
      <c r="K6" s="79">
        <v>5</v>
      </c>
      <c r="L6" s="37">
        <v>45621</v>
      </c>
      <c r="M6" s="35">
        <v>1.6</v>
      </c>
      <c r="N6" s="35">
        <v>1</v>
      </c>
      <c r="O6" s="35">
        <v>0</v>
      </c>
      <c r="P6" s="35">
        <f t="shared" si="0"/>
        <v>1.6</v>
      </c>
      <c r="Q6" s="36">
        <v>1045.44</v>
      </c>
      <c r="R6" s="38">
        <f t="shared" si="1"/>
        <v>6.5339999999999998</v>
      </c>
      <c r="S6" s="35">
        <v>11.4</v>
      </c>
      <c r="T6" s="59">
        <v>7.3840000000000003</v>
      </c>
      <c r="V6" s="56">
        <v>13.2</v>
      </c>
      <c r="W6">
        <v>78.539999999999992</v>
      </c>
      <c r="X6" s="65">
        <v>2.1390374331550803</v>
      </c>
    </row>
    <row r="7" spans="1:34" s="56" customFormat="1" x14ac:dyDescent="0.35">
      <c r="A7" s="79" t="s">
        <v>24</v>
      </c>
      <c r="B7" s="79"/>
      <c r="C7" s="79"/>
      <c r="D7" s="79" t="s">
        <v>32</v>
      </c>
      <c r="E7" s="79">
        <v>2018</v>
      </c>
      <c r="F7" s="79">
        <v>1</v>
      </c>
      <c r="G7" s="79">
        <v>6</v>
      </c>
      <c r="H7" s="79">
        <v>1</v>
      </c>
      <c r="I7" s="79"/>
      <c r="J7" s="79"/>
      <c r="K7" s="79">
        <v>6</v>
      </c>
      <c r="L7" s="37">
        <v>45621</v>
      </c>
      <c r="M7" s="35">
        <v>1.65</v>
      </c>
      <c r="N7" s="35">
        <v>1</v>
      </c>
      <c r="O7" s="35">
        <v>0</v>
      </c>
      <c r="P7" s="35">
        <f t="shared" si="0"/>
        <v>1.65</v>
      </c>
      <c r="Q7" s="36">
        <v>1124.21</v>
      </c>
      <c r="R7" s="38">
        <f t="shared" si="1"/>
        <v>6.81339393939394</v>
      </c>
      <c r="S7" s="35">
        <v>11.3</v>
      </c>
      <c r="T7" s="59">
        <v>7.984</v>
      </c>
      <c r="V7" s="56">
        <v>12.7</v>
      </c>
      <c r="W7">
        <v>78.72</v>
      </c>
      <c r="X7" s="65">
        <v>1.9308943089430892</v>
      </c>
      <c r="Z7" s="36"/>
      <c r="AA7" s="36"/>
      <c r="AB7" s="36"/>
      <c r="AC7" s="36"/>
      <c r="AD7" s="36"/>
      <c r="AE7" s="36"/>
      <c r="AF7" s="36"/>
      <c r="AG7" s="36"/>
      <c r="AH7" s="36"/>
    </row>
    <row r="8" spans="1:34" s="56" customFormat="1" x14ac:dyDescent="0.35">
      <c r="A8" s="79" t="s">
        <v>24</v>
      </c>
      <c r="B8" s="79"/>
      <c r="C8" s="79"/>
      <c r="D8" s="79" t="s">
        <v>28</v>
      </c>
      <c r="E8" s="79">
        <v>1998</v>
      </c>
      <c r="F8" s="79">
        <v>1</v>
      </c>
      <c r="G8" s="79">
        <v>7</v>
      </c>
      <c r="H8" s="79">
        <v>1</v>
      </c>
      <c r="I8" s="79"/>
      <c r="J8" s="79"/>
      <c r="K8" s="79">
        <v>7</v>
      </c>
      <c r="L8" s="37">
        <v>45621</v>
      </c>
      <c r="M8" s="35">
        <v>1.5</v>
      </c>
      <c r="N8" s="35">
        <v>1</v>
      </c>
      <c r="O8" s="35">
        <v>0</v>
      </c>
      <c r="P8" s="35">
        <f t="shared" si="0"/>
        <v>1.5</v>
      </c>
      <c r="Q8" s="36">
        <v>1143.1499999999999</v>
      </c>
      <c r="R8" s="38">
        <f t="shared" si="1"/>
        <v>7.6209999999999987</v>
      </c>
      <c r="S8" s="35">
        <v>11.3</v>
      </c>
      <c r="T8" s="59">
        <v>7.0879999999999992</v>
      </c>
      <c r="V8" s="56">
        <v>11.9</v>
      </c>
      <c r="W8">
        <v>80.12</v>
      </c>
      <c r="X8" s="65">
        <v>4.4682975536694949</v>
      </c>
      <c r="Z8"/>
      <c r="AA8"/>
      <c r="AB8"/>
      <c r="AC8"/>
      <c r="AD8"/>
      <c r="AE8"/>
      <c r="AF8"/>
      <c r="AG8" s="36"/>
      <c r="AH8" s="36"/>
    </row>
    <row r="9" spans="1:34" s="56" customFormat="1" x14ac:dyDescent="0.35">
      <c r="A9" s="79" t="s">
        <v>24</v>
      </c>
      <c r="B9" s="79"/>
      <c r="C9" s="79"/>
      <c r="D9" s="79" t="s">
        <v>337</v>
      </c>
      <c r="E9" s="79">
        <v>2016</v>
      </c>
      <c r="F9" s="79">
        <v>1</v>
      </c>
      <c r="G9" s="79">
        <v>8</v>
      </c>
      <c r="H9" s="79">
        <v>1</v>
      </c>
      <c r="I9" s="79"/>
      <c r="J9" s="79"/>
      <c r="K9" s="79">
        <v>8</v>
      </c>
      <c r="L9" s="37">
        <v>45621</v>
      </c>
      <c r="M9" s="35">
        <v>1.5</v>
      </c>
      <c r="N9" s="35">
        <v>1</v>
      </c>
      <c r="O9" s="35">
        <v>0</v>
      </c>
      <c r="P9" s="35">
        <f t="shared" si="0"/>
        <v>1.5</v>
      </c>
      <c r="Q9" s="36">
        <v>957.9</v>
      </c>
      <c r="R9" s="38">
        <f t="shared" si="1"/>
        <v>6.3860000000000001</v>
      </c>
      <c r="S9" s="35">
        <v>11.3</v>
      </c>
      <c r="T9" s="59">
        <v>8.0040000000000013</v>
      </c>
      <c r="W9">
        <v>82.960000000000008</v>
      </c>
      <c r="X9" s="65">
        <v>2.507232401157184</v>
      </c>
      <c r="Z9"/>
      <c r="AA9"/>
      <c r="AB9"/>
      <c r="AC9"/>
      <c r="AD9"/>
      <c r="AE9"/>
      <c r="AF9"/>
      <c r="AG9" s="36"/>
      <c r="AH9" s="36"/>
    </row>
    <row r="10" spans="1:34" x14ac:dyDescent="0.35">
      <c r="A10" s="6" t="s">
        <v>34</v>
      </c>
      <c r="D10" s="6" t="s">
        <v>42</v>
      </c>
      <c r="E10" s="6">
        <v>2016</v>
      </c>
      <c r="F10" s="6">
        <v>1</v>
      </c>
      <c r="G10" s="6">
        <v>1</v>
      </c>
      <c r="H10" s="6">
        <v>2</v>
      </c>
      <c r="K10" s="6">
        <v>9</v>
      </c>
      <c r="L10" s="37">
        <v>45621</v>
      </c>
      <c r="M10" s="35">
        <v>1.65</v>
      </c>
      <c r="N10" s="35">
        <v>1</v>
      </c>
      <c r="O10" s="35">
        <v>0</v>
      </c>
      <c r="P10" s="35">
        <f t="shared" si="0"/>
        <v>1.65</v>
      </c>
      <c r="Q10" s="36">
        <v>1218.95</v>
      </c>
      <c r="R10" s="38">
        <f t="shared" si="1"/>
        <v>7.3875757575757586</v>
      </c>
      <c r="S10" s="35">
        <v>11.1</v>
      </c>
      <c r="T10" s="5">
        <v>7.2640000000000002</v>
      </c>
      <c r="V10">
        <v>13</v>
      </c>
      <c r="W10">
        <v>78.84</v>
      </c>
      <c r="X10" s="65">
        <v>3.9320142059868086</v>
      </c>
      <c r="AG10" s="39"/>
      <c r="AH10" s="21"/>
    </row>
    <row r="11" spans="1:34" x14ac:dyDescent="0.35">
      <c r="A11" s="6" t="s">
        <v>34</v>
      </c>
      <c r="D11" s="6" t="s">
        <v>38</v>
      </c>
      <c r="E11" s="6">
        <v>1999</v>
      </c>
      <c r="F11" s="6">
        <v>1</v>
      </c>
      <c r="G11" s="6">
        <v>2</v>
      </c>
      <c r="H11" s="6">
        <v>2</v>
      </c>
      <c r="K11" s="6">
        <v>10</v>
      </c>
      <c r="L11" s="37">
        <v>45621</v>
      </c>
      <c r="M11" s="35">
        <v>1.6</v>
      </c>
      <c r="N11" s="35">
        <v>1</v>
      </c>
      <c r="O11" s="35">
        <v>0</v>
      </c>
      <c r="P11" s="35">
        <f t="shared" si="0"/>
        <v>1.6</v>
      </c>
      <c r="Q11" s="36">
        <v>1089.5899999999999</v>
      </c>
      <c r="R11" s="38">
        <f t="shared" si="1"/>
        <v>6.8099374999999984</v>
      </c>
      <c r="S11" s="35">
        <v>11.7</v>
      </c>
      <c r="T11" s="5">
        <v>7.6959999999999997</v>
      </c>
      <c r="V11">
        <v>13.2</v>
      </c>
      <c r="W11">
        <v>80.679999999999993</v>
      </c>
      <c r="X11" s="65">
        <v>1.908775409023302</v>
      </c>
      <c r="AG11" s="39"/>
      <c r="AH11" s="21"/>
    </row>
    <row r="12" spans="1:34" x14ac:dyDescent="0.35">
      <c r="A12" s="6" t="s">
        <v>34</v>
      </c>
      <c r="D12" s="6" t="s">
        <v>43</v>
      </c>
      <c r="E12" s="6">
        <v>2020</v>
      </c>
      <c r="F12" s="6">
        <v>1</v>
      </c>
      <c r="G12" s="6">
        <v>3</v>
      </c>
      <c r="H12" s="6">
        <v>2</v>
      </c>
      <c r="K12" s="6">
        <v>11</v>
      </c>
      <c r="L12" s="37">
        <v>45621</v>
      </c>
      <c r="M12" s="35">
        <v>1.5</v>
      </c>
      <c r="N12" s="35">
        <v>1</v>
      </c>
      <c r="O12" s="35">
        <v>0</v>
      </c>
      <c r="P12" s="35">
        <f t="shared" si="0"/>
        <v>1.5</v>
      </c>
      <c r="Q12" s="36">
        <v>1133.95</v>
      </c>
      <c r="R12" s="38">
        <f t="shared" si="1"/>
        <v>7.5596666666666668</v>
      </c>
      <c r="S12" s="35">
        <v>11.2</v>
      </c>
      <c r="T12" s="5">
        <v>7.2560000000000002</v>
      </c>
      <c r="V12">
        <v>13.2</v>
      </c>
      <c r="W12">
        <v>81.72</v>
      </c>
      <c r="X12" s="65">
        <v>3.0837004405286339</v>
      </c>
      <c r="AG12" s="39"/>
      <c r="AH12" s="21"/>
    </row>
    <row r="13" spans="1:34" x14ac:dyDescent="0.35">
      <c r="A13" s="6" t="s">
        <v>34</v>
      </c>
      <c r="D13" s="6" t="s">
        <v>41</v>
      </c>
      <c r="E13" s="6">
        <v>2008</v>
      </c>
      <c r="F13" s="6">
        <v>1</v>
      </c>
      <c r="G13" s="6">
        <v>4</v>
      </c>
      <c r="H13" s="6">
        <v>2</v>
      </c>
      <c r="K13" s="6">
        <v>12</v>
      </c>
      <c r="L13" s="37">
        <v>45621</v>
      </c>
      <c r="M13" s="35">
        <v>1.7000000000000002</v>
      </c>
      <c r="N13" s="35">
        <v>1</v>
      </c>
      <c r="O13" s="35">
        <v>0</v>
      </c>
      <c r="P13" s="35">
        <f t="shared" si="0"/>
        <v>1.7000000000000002</v>
      </c>
      <c r="Q13" s="36">
        <v>920.12</v>
      </c>
      <c r="R13" s="38">
        <f t="shared" si="1"/>
        <v>5.4124705882352941</v>
      </c>
      <c r="S13" s="35">
        <v>11.1</v>
      </c>
      <c r="T13" s="5">
        <v>6.9599999999999991</v>
      </c>
      <c r="V13">
        <v>13.6</v>
      </c>
      <c r="W13">
        <v>80.88</v>
      </c>
      <c r="X13" s="65">
        <v>2.8437190900098912</v>
      </c>
      <c r="AG13" s="39"/>
      <c r="AH13" s="21"/>
    </row>
    <row r="14" spans="1:34" s="56" customFormat="1" x14ac:dyDescent="0.35">
      <c r="A14" s="6" t="s">
        <v>34</v>
      </c>
      <c r="B14" s="6"/>
      <c r="C14" s="6"/>
      <c r="D14" s="6" t="s">
        <v>37</v>
      </c>
      <c r="E14" s="6">
        <v>1989</v>
      </c>
      <c r="F14" s="6">
        <v>1</v>
      </c>
      <c r="G14" s="6">
        <v>5</v>
      </c>
      <c r="H14" s="6">
        <v>2</v>
      </c>
      <c r="I14" s="6"/>
      <c r="J14" s="6"/>
      <c r="K14" s="6">
        <v>13</v>
      </c>
      <c r="L14" s="37">
        <v>45621</v>
      </c>
      <c r="M14" s="35">
        <v>1.6</v>
      </c>
      <c r="N14" s="35">
        <v>1</v>
      </c>
      <c r="O14" s="35">
        <v>0</v>
      </c>
      <c r="P14" s="35">
        <f t="shared" si="0"/>
        <v>1.6</v>
      </c>
      <c r="Q14" s="36">
        <v>980.51</v>
      </c>
      <c r="R14" s="38">
        <f t="shared" si="1"/>
        <v>6.1281874999999992</v>
      </c>
      <c r="S14" s="35">
        <v>11.2</v>
      </c>
      <c r="T14" s="59">
        <v>6.2560000000000002</v>
      </c>
      <c r="V14" s="56">
        <v>14.2</v>
      </c>
      <c r="W14">
        <v>79.97999999999999</v>
      </c>
      <c r="X14" s="65">
        <v>2.450612653163291</v>
      </c>
      <c r="Z14"/>
      <c r="AA14"/>
      <c r="AB14"/>
      <c r="AC14"/>
      <c r="AD14"/>
      <c r="AE14"/>
      <c r="AF14"/>
      <c r="AG14" s="39"/>
      <c r="AH14" s="21"/>
    </row>
    <row r="15" spans="1:34" s="56" customFormat="1" x14ac:dyDescent="0.35">
      <c r="A15" s="6" t="s">
        <v>34</v>
      </c>
      <c r="B15" s="6"/>
      <c r="C15" s="6"/>
      <c r="D15" s="6" t="s">
        <v>343</v>
      </c>
      <c r="E15" s="6">
        <v>2004</v>
      </c>
      <c r="F15" s="6">
        <v>1</v>
      </c>
      <c r="G15" s="6">
        <v>6</v>
      </c>
      <c r="H15" s="6">
        <v>2</v>
      </c>
      <c r="I15" s="6"/>
      <c r="J15" s="6"/>
      <c r="K15" s="6">
        <v>14</v>
      </c>
      <c r="L15" s="37">
        <v>45621</v>
      </c>
      <c r="M15" s="35">
        <v>1.5499999999999998</v>
      </c>
      <c r="N15" s="35">
        <v>1</v>
      </c>
      <c r="O15" s="35">
        <v>0</v>
      </c>
      <c r="P15" s="35">
        <f t="shared" si="0"/>
        <v>1.5499999999999998</v>
      </c>
      <c r="Q15" s="36">
        <v>1024.44</v>
      </c>
      <c r="R15" s="38">
        <f t="shared" si="1"/>
        <v>6.6092903225806454</v>
      </c>
      <c r="S15" s="35">
        <v>11.3</v>
      </c>
      <c r="T15" s="59">
        <v>7.3760000000000003</v>
      </c>
      <c r="V15" s="56">
        <v>12.9</v>
      </c>
      <c r="W15">
        <v>80.599999999999994</v>
      </c>
      <c r="X15" s="65">
        <v>2.258064516129032</v>
      </c>
      <c r="Z15"/>
      <c r="AA15"/>
      <c r="AB15"/>
      <c r="AC15"/>
      <c r="AD15"/>
      <c r="AE15"/>
      <c r="AF15"/>
      <c r="AG15" s="39"/>
      <c r="AH15" s="40"/>
    </row>
    <row r="16" spans="1:34" s="56" customFormat="1" x14ac:dyDescent="0.35">
      <c r="A16" s="6" t="s">
        <v>34</v>
      </c>
      <c r="B16" s="6"/>
      <c r="C16" s="6"/>
      <c r="D16" s="6" t="s">
        <v>36</v>
      </c>
      <c r="E16" s="6">
        <v>1984</v>
      </c>
      <c r="F16" s="6">
        <v>1</v>
      </c>
      <c r="G16" s="6">
        <v>7</v>
      </c>
      <c r="H16" s="6">
        <v>2</v>
      </c>
      <c r="I16" s="6"/>
      <c r="J16" s="6"/>
      <c r="K16" s="6">
        <v>15</v>
      </c>
      <c r="L16" s="37">
        <v>45621</v>
      </c>
      <c r="M16" s="35">
        <v>1.35</v>
      </c>
      <c r="N16" s="35">
        <v>1</v>
      </c>
      <c r="O16" s="35">
        <v>0</v>
      </c>
      <c r="P16" s="35">
        <f t="shared" si="0"/>
        <v>1.35</v>
      </c>
      <c r="Q16" s="36">
        <v>1019.06</v>
      </c>
      <c r="R16" s="38">
        <f t="shared" si="1"/>
        <v>7.5485925925925912</v>
      </c>
      <c r="S16" s="35">
        <v>11.3</v>
      </c>
      <c r="T16" s="59">
        <v>6.3079999999999998</v>
      </c>
      <c r="V16" s="56">
        <v>13.4</v>
      </c>
      <c r="W16">
        <v>81.3</v>
      </c>
      <c r="X16" s="65">
        <v>2.2632226322263223</v>
      </c>
      <c r="Z16"/>
      <c r="AA16"/>
      <c r="AB16"/>
      <c r="AC16"/>
      <c r="AD16"/>
      <c r="AE16"/>
      <c r="AF16"/>
      <c r="AG16" s="39"/>
      <c r="AH16" s="21"/>
    </row>
    <row r="17" spans="1:34" s="56" customFormat="1" x14ac:dyDescent="0.35">
      <c r="A17" s="6" t="s">
        <v>34</v>
      </c>
      <c r="B17" s="6"/>
      <c r="C17" s="6"/>
      <c r="D17" s="6" t="s">
        <v>39</v>
      </c>
      <c r="E17" s="6">
        <v>2001</v>
      </c>
      <c r="F17" s="6">
        <v>1</v>
      </c>
      <c r="G17" s="6">
        <v>8</v>
      </c>
      <c r="H17" s="6">
        <v>2</v>
      </c>
      <c r="I17" s="6"/>
      <c r="J17" s="6"/>
      <c r="K17" s="6">
        <v>16</v>
      </c>
      <c r="L17" s="37">
        <v>45621</v>
      </c>
      <c r="M17" s="35">
        <v>1.7000000000000002</v>
      </c>
      <c r="N17" s="35">
        <v>1</v>
      </c>
      <c r="O17" s="35">
        <v>0</v>
      </c>
      <c r="P17" s="35">
        <f t="shared" si="0"/>
        <v>1.7000000000000002</v>
      </c>
      <c r="Q17" s="36">
        <v>1201.6399999999999</v>
      </c>
      <c r="R17" s="38">
        <f t="shared" si="1"/>
        <v>7.0684705882352921</v>
      </c>
      <c r="S17" s="35">
        <v>11.3</v>
      </c>
      <c r="T17" s="59">
        <v>8.604000000000001</v>
      </c>
      <c r="V17" s="56">
        <v>12.7</v>
      </c>
      <c r="W17">
        <v>81.5</v>
      </c>
      <c r="X17" s="65">
        <v>1.5214723926380367</v>
      </c>
      <c r="Z17"/>
      <c r="AA17"/>
      <c r="AB17"/>
      <c r="AC17"/>
      <c r="AD17"/>
      <c r="AE17"/>
      <c r="AF17"/>
      <c r="AG17" s="39"/>
      <c r="AH17" s="21"/>
    </row>
    <row r="18" spans="1:34" x14ac:dyDescent="0.35">
      <c r="A18" s="79" t="s">
        <v>24</v>
      </c>
      <c r="B18" s="79"/>
      <c r="C18" s="79"/>
      <c r="D18" s="79" t="s">
        <v>335</v>
      </c>
      <c r="E18" s="79">
        <v>2023</v>
      </c>
      <c r="F18" s="79">
        <v>2</v>
      </c>
      <c r="G18" s="79">
        <v>1</v>
      </c>
      <c r="H18" s="79">
        <v>3</v>
      </c>
      <c r="I18" s="79"/>
      <c r="J18" s="79"/>
      <c r="K18" s="79">
        <v>17</v>
      </c>
      <c r="L18" s="37">
        <v>45621</v>
      </c>
      <c r="M18" s="35">
        <v>1.75</v>
      </c>
      <c r="N18" s="35">
        <v>1</v>
      </c>
      <c r="O18" s="35">
        <v>0</v>
      </c>
      <c r="P18" s="35">
        <f t="shared" si="0"/>
        <v>1.75</v>
      </c>
      <c r="Q18" s="36">
        <v>1403.35</v>
      </c>
      <c r="R18" s="38">
        <f t="shared" si="1"/>
        <v>8.0191428571428567</v>
      </c>
      <c r="S18" s="35">
        <v>11.2</v>
      </c>
      <c r="T18" s="5">
        <v>7.0040000000000004</v>
      </c>
      <c r="V18">
        <v>12.4</v>
      </c>
      <c r="W18">
        <v>80.179999999999993</v>
      </c>
      <c r="X18" s="65">
        <v>2.5193315041157396</v>
      </c>
      <c r="AG18" s="60"/>
      <c r="AH18" s="21"/>
    </row>
    <row r="19" spans="1:34" x14ac:dyDescent="0.35">
      <c r="A19" s="79" t="s">
        <v>24</v>
      </c>
      <c r="B19" s="79"/>
      <c r="C19" s="79"/>
      <c r="D19" s="79" t="s">
        <v>28</v>
      </c>
      <c r="E19" s="79">
        <v>1998</v>
      </c>
      <c r="F19" s="79">
        <v>2</v>
      </c>
      <c r="G19" s="79">
        <v>2</v>
      </c>
      <c r="H19" s="79">
        <v>3</v>
      </c>
      <c r="I19" s="79"/>
      <c r="J19" s="79"/>
      <c r="K19" s="79">
        <v>18</v>
      </c>
      <c r="L19" s="37">
        <v>45621</v>
      </c>
      <c r="M19" s="35">
        <v>1.7000000000000002</v>
      </c>
      <c r="N19" s="35">
        <v>1</v>
      </c>
      <c r="O19" s="35">
        <v>0</v>
      </c>
      <c r="P19" s="35">
        <f t="shared" si="0"/>
        <v>1.7000000000000002</v>
      </c>
      <c r="Q19" s="36">
        <v>1196.4199999999998</v>
      </c>
      <c r="R19" s="38">
        <f t="shared" si="1"/>
        <v>7.0377647058823518</v>
      </c>
      <c r="S19" s="35">
        <v>11.2</v>
      </c>
      <c r="T19" s="5">
        <v>6.5720000000000001</v>
      </c>
      <c r="V19">
        <v>13.4</v>
      </c>
      <c r="W19">
        <v>79.16</v>
      </c>
      <c r="X19" s="65">
        <v>4.3203638201111669</v>
      </c>
      <c r="AG19" s="39"/>
      <c r="AH19" s="21"/>
    </row>
    <row r="20" spans="1:34" x14ac:dyDescent="0.35">
      <c r="A20" s="79" t="s">
        <v>24</v>
      </c>
      <c r="B20" s="79"/>
      <c r="C20" s="79"/>
      <c r="D20" s="79" t="s">
        <v>26</v>
      </c>
      <c r="E20" s="79">
        <v>1983</v>
      </c>
      <c r="F20" s="79">
        <v>2</v>
      </c>
      <c r="G20" s="79">
        <v>3</v>
      </c>
      <c r="H20" s="79">
        <v>3</v>
      </c>
      <c r="I20" s="79"/>
      <c r="J20" s="79"/>
      <c r="K20" s="79">
        <v>19</v>
      </c>
      <c r="L20" s="37">
        <v>45621</v>
      </c>
      <c r="M20" s="35">
        <v>1.75</v>
      </c>
      <c r="N20" s="35">
        <v>1</v>
      </c>
      <c r="O20" s="35">
        <v>0</v>
      </c>
      <c r="P20" s="35">
        <f t="shared" si="0"/>
        <v>1.75</v>
      </c>
      <c r="Q20" s="36">
        <v>945.29</v>
      </c>
      <c r="R20" s="38">
        <f t="shared" si="1"/>
        <v>5.4016571428571423</v>
      </c>
      <c r="S20" s="35">
        <v>11.1</v>
      </c>
      <c r="T20" s="5">
        <v>6.1639999999999997</v>
      </c>
      <c r="V20">
        <v>14.5</v>
      </c>
      <c r="W20">
        <v>75.97999999999999</v>
      </c>
      <c r="X20" s="65">
        <v>4.7907344037904709</v>
      </c>
      <c r="AG20" s="39"/>
      <c r="AH20" s="21"/>
    </row>
    <row r="21" spans="1:34" x14ac:dyDescent="0.35">
      <c r="A21" s="79" t="s">
        <v>24</v>
      </c>
      <c r="B21" s="79"/>
      <c r="C21" s="79"/>
      <c r="D21" s="79" t="s">
        <v>336</v>
      </c>
      <c r="E21" s="79">
        <v>2002</v>
      </c>
      <c r="F21" s="79">
        <v>2</v>
      </c>
      <c r="G21" s="79">
        <v>4</v>
      </c>
      <c r="H21" s="79">
        <v>3</v>
      </c>
      <c r="I21" s="79"/>
      <c r="J21" s="79"/>
      <c r="K21" s="79">
        <v>20</v>
      </c>
      <c r="L21" s="37">
        <v>45621</v>
      </c>
      <c r="M21" s="35">
        <v>1.5</v>
      </c>
      <c r="N21" s="35">
        <v>1</v>
      </c>
      <c r="O21" s="35">
        <v>0</v>
      </c>
      <c r="P21" s="35">
        <f t="shared" si="0"/>
        <v>1.5</v>
      </c>
      <c r="Q21" s="36">
        <v>1044.2</v>
      </c>
      <c r="R21" s="38">
        <f t="shared" si="1"/>
        <v>6.9613333333333332</v>
      </c>
      <c r="S21" s="35">
        <v>11.2</v>
      </c>
      <c r="T21" s="5">
        <v>7.5200000000000005</v>
      </c>
      <c r="V21">
        <v>13</v>
      </c>
      <c r="W21">
        <v>78.760000000000005</v>
      </c>
      <c r="X21" s="65">
        <v>1.5997968511934992</v>
      </c>
      <c r="AG21" s="39"/>
      <c r="AH21" s="21"/>
    </row>
    <row r="22" spans="1:34" s="56" customFormat="1" x14ac:dyDescent="0.35">
      <c r="A22" s="79" t="s">
        <v>24</v>
      </c>
      <c r="B22" s="79"/>
      <c r="C22" s="79"/>
      <c r="D22" s="79" t="s">
        <v>29</v>
      </c>
      <c r="E22" s="79">
        <v>1999</v>
      </c>
      <c r="F22" s="79">
        <v>2</v>
      </c>
      <c r="G22" s="79">
        <v>5</v>
      </c>
      <c r="H22" s="79">
        <v>3</v>
      </c>
      <c r="I22" s="79"/>
      <c r="J22" s="79"/>
      <c r="K22" s="79">
        <v>21</v>
      </c>
      <c r="L22" s="37">
        <v>45621</v>
      </c>
      <c r="M22" s="35">
        <v>1.6</v>
      </c>
      <c r="N22" s="35">
        <v>1</v>
      </c>
      <c r="O22" s="35">
        <v>0</v>
      </c>
      <c r="P22" s="35">
        <f t="shared" si="0"/>
        <v>1.6</v>
      </c>
      <c r="Q22" s="36">
        <v>909.04</v>
      </c>
      <c r="R22" s="38">
        <f t="shared" si="1"/>
        <v>5.6814999999999998</v>
      </c>
      <c r="S22" s="35">
        <v>11.2</v>
      </c>
      <c r="T22" s="59">
        <v>6.7959999999999994</v>
      </c>
      <c r="V22" s="56">
        <v>14.2</v>
      </c>
      <c r="W22">
        <v>78.66</v>
      </c>
      <c r="X22" s="65">
        <v>1.9832189168573606</v>
      </c>
      <c r="Z22"/>
      <c r="AA22"/>
      <c r="AB22"/>
      <c r="AC22"/>
      <c r="AD22"/>
      <c r="AE22"/>
      <c r="AF22"/>
      <c r="AG22" s="39"/>
      <c r="AH22" s="21"/>
    </row>
    <row r="23" spans="1:34" s="56" customFormat="1" x14ac:dyDescent="0.35">
      <c r="A23" s="79" t="s">
        <v>24</v>
      </c>
      <c r="B23" s="79"/>
      <c r="C23" s="79"/>
      <c r="D23" s="79" t="s">
        <v>337</v>
      </c>
      <c r="E23" s="79">
        <v>2016</v>
      </c>
      <c r="F23" s="79">
        <v>2</v>
      </c>
      <c r="G23" s="79">
        <v>6</v>
      </c>
      <c r="H23" s="79">
        <v>3</v>
      </c>
      <c r="I23" s="79"/>
      <c r="J23" s="79"/>
      <c r="K23" s="79">
        <v>22</v>
      </c>
      <c r="L23" s="37">
        <v>45621</v>
      </c>
      <c r="M23" s="35">
        <v>1.4</v>
      </c>
      <c r="N23" s="35">
        <v>1</v>
      </c>
      <c r="O23" s="35">
        <v>0</v>
      </c>
      <c r="P23" s="35">
        <f t="shared" si="0"/>
        <v>1.4</v>
      </c>
      <c r="Q23" s="36">
        <v>891.92</v>
      </c>
      <c r="R23" s="38">
        <f t="shared" si="1"/>
        <v>6.370857142857143</v>
      </c>
      <c r="S23" s="35">
        <v>11.5</v>
      </c>
      <c r="T23" s="59">
        <v>7.8360000000000003</v>
      </c>
      <c r="V23" s="56">
        <v>12.8</v>
      </c>
      <c r="W23">
        <v>82.92</v>
      </c>
      <c r="X23" s="65">
        <v>2.3878437047756873</v>
      </c>
      <c r="Z23"/>
      <c r="AA23"/>
      <c r="AB23"/>
      <c r="AC23"/>
      <c r="AD23"/>
      <c r="AE23"/>
      <c r="AF23"/>
      <c r="AG23" s="39"/>
      <c r="AH23" s="21"/>
    </row>
    <row r="24" spans="1:34" s="56" customFormat="1" x14ac:dyDescent="0.35">
      <c r="A24" s="79" t="s">
        <v>24</v>
      </c>
      <c r="B24" s="79"/>
      <c r="C24" s="79"/>
      <c r="D24" s="79" t="s">
        <v>32</v>
      </c>
      <c r="E24" s="79">
        <v>2018</v>
      </c>
      <c r="F24" s="79">
        <v>2</v>
      </c>
      <c r="G24" s="79">
        <v>7</v>
      </c>
      <c r="H24" s="79">
        <v>3</v>
      </c>
      <c r="I24" s="79"/>
      <c r="J24" s="79"/>
      <c r="K24" s="79">
        <v>23</v>
      </c>
      <c r="L24" s="37">
        <v>45621</v>
      </c>
      <c r="M24" s="35">
        <v>1.5</v>
      </c>
      <c r="N24" s="35">
        <v>1</v>
      </c>
      <c r="O24" s="35">
        <v>0</v>
      </c>
      <c r="P24" s="35">
        <f t="shared" si="0"/>
        <v>1.5</v>
      </c>
      <c r="Q24" s="36">
        <v>1077.51</v>
      </c>
      <c r="R24" s="38">
        <f t="shared" si="1"/>
        <v>7.1834000000000007</v>
      </c>
      <c r="S24" s="35">
        <v>11.4</v>
      </c>
      <c r="T24" s="59">
        <v>7.6840000000000002</v>
      </c>
      <c r="V24" s="56">
        <v>12.8</v>
      </c>
      <c r="W24">
        <v>79.400000000000006</v>
      </c>
      <c r="X24" s="65">
        <v>2.317380352644836</v>
      </c>
      <c r="Z24"/>
      <c r="AA24"/>
      <c r="AB24"/>
      <c r="AC24"/>
      <c r="AD24"/>
      <c r="AE24"/>
      <c r="AF24"/>
      <c r="AG24" s="39"/>
      <c r="AH24" s="21"/>
    </row>
    <row r="25" spans="1:34" s="56" customFormat="1" x14ac:dyDescent="0.35">
      <c r="A25" s="79" t="s">
        <v>24</v>
      </c>
      <c r="B25" s="79"/>
      <c r="C25" s="79"/>
      <c r="D25" s="79" t="s">
        <v>27</v>
      </c>
      <c r="E25" s="79">
        <v>1985</v>
      </c>
      <c r="F25" s="79">
        <v>2</v>
      </c>
      <c r="G25" s="79">
        <v>8</v>
      </c>
      <c r="H25" s="79">
        <v>3</v>
      </c>
      <c r="I25" s="79"/>
      <c r="J25" s="79"/>
      <c r="K25" s="79">
        <v>24</v>
      </c>
      <c r="L25" s="37">
        <v>45621</v>
      </c>
      <c r="M25" s="35">
        <v>1.6</v>
      </c>
      <c r="N25" s="35">
        <v>1</v>
      </c>
      <c r="O25" s="35">
        <v>0</v>
      </c>
      <c r="P25" s="35">
        <f t="shared" si="0"/>
        <v>1.6</v>
      </c>
      <c r="Q25" s="36">
        <v>1087.45</v>
      </c>
      <c r="R25" s="38">
        <f t="shared" si="1"/>
        <v>6.7965625000000003</v>
      </c>
      <c r="S25" s="35">
        <v>11.5</v>
      </c>
      <c r="T25" s="59">
        <v>6.9799999999999995</v>
      </c>
      <c r="V25" s="56">
        <v>11.8</v>
      </c>
      <c r="W25">
        <v>81.97999999999999</v>
      </c>
      <c r="X25" s="65">
        <v>2.9519394974383997</v>
      </c>
      <c r="Z25"/>
      <c r="AA25"/>
      <c r="AB25"/>
      <c r="AC25"/>
      <c r="AD25"/>
      <c r="AE25"/>
      <c r="AF25"/>
      <c r="AG25" s="39"/>
      <c r="AH25" s="21"/>
    </row>
    <row r="26" spans="1:34" x14ac:dyDescent="0.35">
      <c r="A26" s="71" t="s">
        <v>34</v>
      </c>
      <c r="B26" s="71"/>
      <c r="C26" s="72"/>
      <c r="D26" s="71" t="s">
        <v>343</v>
      </c>
      <c r="E26" s="71">
        <v>2004</v>
      </c>
      <c r="F26" s="72">
        <v>2</v>
      </c>
      <c r="G26" s="72">
        <v>1</v>
      </c>
      <c r="H26" s="72">
        <v>4</v>
      </c>
      <c r="I26" s="72"/>
      <c r="J26" s="72"/>
      <c r="K26" s="72">
        <v>25</v>
      </c>
      <c r="L26" s="37">
        <v>45621</v>
      </c>
      <c r="M26" s="35">
        <v>1.6</v>
      </c>
      <c r="N26" s="35">
        <v>1</v>
      </c>
      <c r="O26" s="35">
        <v>0</v>
      </c>
      <c r="P26" s="35">
        <f t="shared" si="0"/>
        <v>1.6</v>
      </c>
      <c r="Q26" s="36">
        <v>1022.6599999999999</v>
      </c>
      <c r="R26" s="38">
        <f t="shared" si="1"/>
        <v>6.3916249999999994</v>
      </c>
      <c r="S26" s="35">
        <v>11.3</v>
      </c>
      <c r="T26" s="5">
        <v>7.0319999999999991</v>
      </c>
      <c r="V26">
        <v>13.1</v>
      </c>
      <c r="W26">
        <v>79.28</v>
      </c>
      <c r="X26" s="65">
        <v>3.4813319878910196</v>
      </c>
      <c r="AG26" s="39"/>
      <c r="AH26" s="21"/>
    </row>
    <row r="27" spans="1:34" x14ac:dyDescent="0.35">
      <c r="A27" s="6" t="s">
        <v>34</v>
      </c>
      <c r="D27" s="6" t="s">
        <v>43</v>
      </c>
      <c r="E27" s="6">
        <v>2020</v>
      </c>
      <c r="F27" s="6">
        <v>2</v>
      </c>
      <c r="G27" s="6">
        <v>2</v>
      </c>
      <c r="H27" s="6">
        <v>4</v>
      </c>
      <c r="K27" s="6">
        <v>26</v>
      </c>
      <c r="L27" s="37">
        <v>45621</v>
      </c>
      <c r="M27" s="35">
        <v>1.75</v>
      </c>
      <c r="N27" s="35">
        <v>1</v>
      </c>
      <c r="O27" s="35">
        <v>0</v>
      </c>
      <c r="P27" s="35">
        <f t="shared" si="0"/>
        <v>1.75</v>
      </c>
      <c r="Q27" s="36">
        <v>1185.3499999999999</v>
      </c>
      <c r="R27" s="38">
        <f t="shared" si="1"/>
        <v>6.7734285714285702</v>
      </c>
      <c r="S27" s="35">
        <v>11.3</v>
      </c>
      <c r="T27" s="5">
        <v>7.0319999999999991</v>
      </c>
      <c r="V27">
        <v>12.9</v>
      </c>
      <c r="W27">
        <v>82.78</v>
      </c>
      <c r="X27" s="65">
        <v>3.3341386808407836</v>
      </c>
      <c r="AG27" s="60"/>
      <c r="AH27" s="21"/>
    </row>
    <row r="28" spans="1:34" x14ac:dyDescent="0.35">
      <c r="A28" s="6" t="s">
        <v>34</v>
      </c>
      <c r="D28" s="6" t="s">
        <v>38</v>
      </c>
      <c r="E28" s="6">
        <v>1999</v>
      </c>
      <c r="F28" s="6">
        <v>2</v>
      </c>
      <c r="G28" s="6">
        <v>3</v>
      </c>
      <c r="H28" s="6">
        <v>4</v>
      </c>
      <c r="K28" s="6">
        <v>27</v>
      </c>
      <c r="L28" s="37">
        <v>45621</v>
      </c>
      <c r="M28" s="35">
        <v>1.6</v>
      </c>
      <c r="N28" s="35">
        <v>1</v>
      </c>
      <c r="O28" s="35">
        <v>0</v>
      </c>
      <c r="P28" s="35">
        <f t="shared" si="0"/>
        <v>1.6</v>
      </c>
      <c r="Q28" s="36">
        <v>1094.6499999999999</v>
      </c>
      <c r="R28" s="38">
        <f t="shared" si="1"/>
        <v>6.8415624999999984</v>
      </c>
      <c r="S28" s="35">
        <v>11.7</v>
      </c>
      <c r="T28" s="5">
        <v>8.36</v>
      </c>
      <c r="V28">
        <v>13.2</v>
      </c>
      <c r="W28">
        <v>79.960000000000008</v>
      </c>
      <c r="X28" s="65">
        <v>1.9759879939969984</v>
      </c>
      <c r="AH28" s="36"/>
    </row>
    <row r="29" spans="1:34" x14ac:dyDescent="0.35">
      <c r="A29" s="6" t="s">
        <v>34</v>
      </c>
      <c r="D29" s="6" t="s">
        <v>39</v>
      </c>
      <c r="E29" s="6">
        <v>2001</v>
      </c>
      <c r="F29" s="6">
        <v>2</v>
      </c>
      <c r="G29" s="6">
        <v>4</v>
      </c>
      <c r="H29" s="6">
        <v>4</v>
      </c>
      <c r="K29" s="6">
        <v>28</v>
      </c>
      <c r="L29" s="37">
        <v>45621</v>
      </c>
      <c r="M29" s="35">
        <v>1.1000000000000001</v>
      </c>
      <c r="N29" s="35">
        <v>1</v>
      </c>
      <c r="O29" s="35">
        <v>0</v>
      </c>
      <c r="P29" s="35">
        <f t="shared" si="0"/>
        <v>1.1000000000000001</v>
      </c>
      <c r="Q29" s="36">
        <v>905.96999999999991</v>
      </c>
      <c r="R29" s="38">
        <f t="shared" si="1"/>
        <v>8.2360909090909082</v>
      </c>
      <c r="S29" s="35">
        <v>11.2</v>
      </c>
      <c r="T29" s="5">
        <v>8.1159999999999997</v>
      </c>
      <c r="V29">
        <v>13.4</v>
      </c>
      <c r="W29">
        <v>80.62</v>
      </c>
      <c r="X29" s="65">
        <v>1.3892334408335398</v>
      </c>
      <c r="AG29" s="39"/>
      <c r="AH29" s="36"/>
    </row>
    <row r="30" spans="1:34" s="56" customFormat="1" x14ac:dyDescent="0.35">
      <c r="A30" s="6" t="s">
        <v>34</v>
      </c>
      <c r="B30" s="6"/>
      <c r="C30" s="6"/>
      <c r="D30" s="6" t="s">
        <v>42</v>
      </c>
      <c r="E30" s="6">
        <v>2016</v>
      </c>
      <c r="F30" s="6">
        <v>2</v>
      </c>
      <c r="G30" s="6">
        <v>5</v>
      </c>
      <c r="H30" s="6">
        <v>4</v>
      </c>
      <c r="I30" s="6"/>
      <c r="J30" s="6"/>
      <c r="K30" s="6">
        <v>29</v>
      </c>
      <c r="L30" s="37">
        <v>45621</v>
      </c>
      <c r="M30" s="35">
        <v>1.65</v>
      </c>
      <c r="N30" s="35">
        <v>1</v>
      </c>
      <c r="O30" s="35">
        <v>0</v>
      </c>
      <c r="P30" s="35">
        <f t="shared" si="0"/>
        <v>1.65</v>
      </c>
      <c r="Q30" s="36">
        <v>1291.8899999999999</v>
      </c>
      <c r="R30" s="38">
        <f t="shared" si="1"/>
        <v>7.8296363636363626</v>
      </c>
      <c r="S30" s="35">
        <v>11.4</v>
      </c>
      <c r="T30" s="59">
        <v>8.1639999999999997</v>
      </c>
      <c r="V30" s="56">
        <v>12.6</v>
      </c>
      <c r="W30">
        <v>80.599999999999994</v>
      </c>
      <c r="X30" s="65">
        <v>2.2332506203473943</v>
      </c>
      <c r="Z30"/>
      <c r="AA30"/>
      <c r="AB30"/>
      <c r="AC30"/>
      <c r="AD30"/>
      <c r="AE30"/>
      <c r="AF30"/>
      <c r="AG30" s="30"/>
      <c r="AH30"/>
    </row>
    <row r="31" spans="1:34" s="56" customFormat="1" x14ac:dyDescent="0.35">
      <c r="A31" s="6" t="s">
        <v>34</v>
      </c>
      <c r="B31" s="6"/>
      <c r="C31" s="6"/>
      <c r="D31" s="6" t="s">
        <v>36</v>
      </c>
      <c r="E31" s="6">
        <v>1984</v>
      </c>
      <c r="F31" s="6">
        <v>2</v>
      </c>
      <c r="G31" s="6">
        <v>6</v>
      </c>
      <c r="H31" s="6">
        <v>4</v>
      </c>
      <c r="I31" s="6"/>
      <c r="J31" s="6"/>
      <c r="K31" s="6">
        <v>30</v>
      </c>
      <c r="L31" s="37">
        <v>45621</v>
      </c>
      <c r="M31" s="35">
        <v>1.5499999999999998</v>
      </c>
      <c r="N31" s="35">
        <v>1</v>
      </c>
      <c r="O31" s="35">
        <v>0</v>
      </c>
      <c r="P31" s="35">
        <f t="shared" si="0"/>
        <v>1.5499999999999998</v>
      </c>
      <c r="Q31" s="36">
        <v>1059.68</v>
      </c>
      <c r="R31" s="38">
        <f t="shared" si="1"/>
        <v>6.8366451612903232</v>
      </c>
      <c r="S31" s="35">
        <v>11.5</v>
      </c>
      <c r="T31" s="59">
        <v>6.492</v>
      </c>
      <c r="V31" s="56">
        <v>13.2</v>
      </c>
      <c r="W31">
        <v>81.62</v>
      </c>
      <c r="X31" s="65">
        <v>2.229845626072041</v>
      </c>
      <c r="Z31"/>
      <c r="AA31"/>
      <c r="AB31"/>
      <c r="AC31"/>
      <c r="AD31"/>
      <c r="AE31"/>
      <c r="AF31"/>
      <c r="AG31"/>
      <c r="AH31"/>
    </row>
    <row r="32" spans="1:34" s="56" customFormat="1" x14ac:dyDescent="0.35">
      <c r="A32" s="6" t="s">
        <v>34</v>
      </c>
      <c r="B32" s="6"/>
      <c r="C32" s="6"/>
      <c r="D32" s="6" t="s">
        <v>41</v>
      </c>
      <c r="E32" s="6">
        <v>2008</v>
      </c>
      <c r="F32" s="6">
        <v>2</v>
      </c>
      <c r="G32" s="6">
        <v>7</v>
      </c>
      <c r="H32" s="6">
        <v>4</v>
      </c>
      <c r="I32" s="6"/>
      <c r="J32" s="6"/>
      <c r="K32" s="6">
        <v>31</v>
      </c>
      <c r="L32" s="37">
        <v>45621</v>
      </c>
      <c r="M32" s="35">
        <v>1.3</v>
      </c>
      <c r="N32" s="35">
        <v>1</v>
      </c>
      <c r="O32" s="35">
        <v>0</v>
      </c>
      <c r="P32" s="35">
        <f t="shared" si="0"/>
        <v>1.3</v>
      </c>
      <c r="Q32" s="36">
        <v>1077.4199999999998</v>
      </c>
      <c r="R32" s="38">
        <f t="shared" si="1"/>
        <v>8.2878461538461519</v>
      </c>
      <c r="S32" s="35">
        <v>11.2</v>
      </c>
      <c r="T32" s="59">
        <v>8.16</v>
      </c>
      <c r="V32" s="56">
        <v>12.6</v>
      </c>
      <c r="W32">
        <v>80.260000000000005</v>
      </c>
      <c r="X32" s="65">
        <v>1.893845003737852</v>
      </c>
      <c r="Z32"/>
      <c r="AA32"/>
      <c r="AB32"/>
      <c r="AC32"/>
      <c r="AD32"/>
      <c r="AE32"/>
      <c r="AF32"/>
      <c r="AG32"/>
    </row>
    <row r="33" spans="1:34" s="56" customFormat="1" x14ac:dyDescent="0.35">
      <c r="A33" s="6" t="s">
        <v>34</v>
      </c>
      <c r="B33" s="6"/>
      <c r="C33" s="6"/>
      <c r="D33" s="6" t="s">
        <v>37</v>
      </c>
      <c r="E33" s="6">
        <v>1989</v>
      </c>
      <c r="F33" s="6">
        <v>2</v>
      </c>
      <c r="G33" s="6">
        <v>8</v>
      </c>
      <c r="H33" s="6">
        <v>4</v>
      </c>
      <c r="I33" s="6"/>
      <c r="J33" s="6"/>
      <c r="K33" s="6">
        <v>32</v>
      </c>
      <c r="L33" s="37">
        <v>45621</v>
      </c>
      <c r="M33" s="35">
        <v>1.6</v>
      </c>
      <c r="N33" s="35">
        <v>1</v>
      </c>
      <c r="O33" s="35">
        <v>0</v>
      </c>
      <c r="P33" s="35">
        <f t="shared" si="0"/>
        <v>1.6</v>
      </c>
      <c r="Q33" s="36">
        <v>1102.1599999999999</v>
      </c>
      <c r="R33" s="38">
        <f t="shared" si="1"/>
        <v>6.8884999999999987</v>
      </c>
      <c r="S33" s="35">
        <v>11.1</v>
      </c>
      <c r="T33" s="59">
        <v>7.3079999999999998</v>
      </c>
      <c r="V33" s="56">
        <v>12.8</v>
      </c>
      <c r="W33">
        <v>81.94</v>
      </c>
      <c r="X33" s="65">
        <v>1.6353429338540397</v>
      </c>
      <c r="Z33"/>
      <c r="AA33"/>
      <c r="AB33"/>
      <c r="AC33"/>
      <c r="AD33"/>
      <c r="AE33"/>
      <c r="AF33"/>
      <c r="AG33"/>
    </row>
    <row r="34" spans="1:34" x14ac:dyDescent="0.35">
      <c r="A34" s="79" t="s">
        <v>24</v>
      </c>
      <c r="B34" s="79"/>
      <c r="C34" s="79"/>
      <c r="D34" s="79" t="s">
        <v>336</v>
      </c>
      <c r="E34" s="79">
        <v>2002</v>
      </c>
      <c r="F34" s="79">
        <v>3</v>
      </c>
      <c r="G34" s="79">
        <v>1</v>
      </c>
      <c r="H34" s="79">
        <v>5</v>
      </c>
      <c r="I34" s="79"/>
      <c r="J34" s="79"/>
      <c r="K34" s="79">
        <v>33</v>
      </c>
      <c r="L34" s="37">
        <v>45621</v>
      </c>
      <c r="M34" s="35">
        <v>1.5499999999999998</v>
      </c>
      <c r="N34" s="35">
        <v>1</v>
      </c>
      <c r="O34" s="35">
        <v>0</v>
      </c>
      <c r="P34" s="35">
        <f t="shared" si="0"/>
        <v>1.5499999999999998</v>
      </c>
      <c r="Q34" s="36">
        <v>992.15999999999985</v>
      </c>
      <c r="R34" s="38">
        <f t="shared" si="1"/>
        <v>6.4010322580645163</v>
      </c>
      <c r="S34" s="35">
        <v>11.3</v>
      </c>
      <c r="T34" s="5">
        <v>7.0760000000000005</v>
      </c>
      <c r="V34">
        <v>13.9</v>
      </c>
      <c r="W34">
        <v>78.22</v>
      </c>
      <c r="X34" s="65">
        <v>1.201738685758118</v>
      </c>
      <c r="AH34" s="56"/>
    </row>
    <row r="35" spans="1:34" x14ac:dyDescent="0.35">
      <c r="A35" s="79" t="s">
        <v>24</v>
      </c>
      <c r="B35" s="79"/>
      <c r="C35" s="79"/>
      <c r="D35" s="79" t="s">
        <v>337</v>
      </c>
      <c r="E35" s="79">
        <v>2016</v>
      </c>
      <c r="F35" s="79">
        <v>3</v>
      </c>
      <c r="G35" s="79">
        <v>2</v>
      </c>
      <c r="H35" s="79">
        <v>5</v>
      </c>
      <c r="I35" s="79"/>
      <c r="J35" s="79"/>
      <c r="K35" s="79">
        <v>34</v>
      </c>
      <c r="L35" s="37">
        <v>45621</v>
      </c>
      <c r="M35" s="35">
        <v>1.5499999999999998</v>
      </c>
      <c r="N35" s="35">
        <v>1</v>
      </c>
      <c r="O35" s="35">
        <v>0</v>
      </c>
      <c r="P35" s="35">
        <f t="shared" si="0"/>
        <v>1.5499999999999998</v>
      </c>
      <c r="Q35" s="36">
        <v>849.66</v>
      </c>
      <c r="R35" s="38">
        <f t="shared" si="1"/>
        <v>5.4816774193548392</v>
      </c>
      <c r="S35" s="35">
        <v>11.1</v>
      </c>
      <c r="T35" s="5">
        <v>7.8599999999999994</v>
      </c>
      <c r="V35">
        <v>13</v>
      </c>
      <c r="W35">
        <v>83.28</v>
      </c>
      <c r="X35" s="65">
        <v>1.5609990393852067</v>
      </c>
      <c r="AH35" s="56"/>
    </row>
    <row r="36" spans="1:34" x14ac:dyDescent="0.35">
      <c r="A36" s="79" t="s">
        <v>24</v>
      </c>
      <c r="B36" s="79"/>
      <c r="C36" s="79"/>
      <c r="D36" s="79" t="s">
        <v>32</v>
      </c>
      <c r="E36" s="79">
        <v>2018</v>
      </c>
      <c r="F36" s="79">
        <v>3</v>
      </c>
      <c r="G36" s="79">
        <v>3</v>
      </c>
      <c r="H36" s="79">
        <v>5</v>
      </c>
      <c r="I36" s="79"/>
      <c r="J36" s="79"/>
      <c r="K36" s="79">
        <v>35</v>
      </c>
      <c r="L36" s="37">
        <v>45621</v>
      </c>
      <c r="M36" s="35">
        <v>1.65</v>
      </c>
      <c r="N36" s="35">
        <v>1</v>
      </c>
      <c r="O36" s="35">
        <v>0</v>
      </c>
      <c r="P36" s="35">
        <f t="shared" si="0"/>
        <v>1.65</v>
      </c>
      <c r="Q36" s="36">
        <v>1189.6599999999999</v>
      </c>
      <c r="R36" s="38">
        <f t="shared" si="1"/>
        <v>7.2100606060606056</v>
      </c>
      <c r="S36" s="35">
        <v>11.4</v>
      </c>
      <c r="T36" s="5">
        <v>7.6879999999999997</v>
      </c>
      <c r="V36">
        <v>13.7</v>
      </c>
      <c r="W36">
        <v>78.679999999999993</v>
      </c>
      <c r="X36" s="65">
        <v>1.6014234875444839</v>
      </c>
    </row>
    <row r="37" spans="1:34" x14ac:dyDescent="0.35">
      <c r="A37" s="79" t="s">
        <v>24</v>
      </c>
      <c r="B37" s="79"/>
      <c r="C37" s="79"/>
      <c r="D37" s="79" t="s">
        <v>28</v>
      </c>
      <c r="E37" s="79">
        <v>1998</v>
      </c>
      <c r="F37" s="79">
        <v>3</v>
      </c>
      <c r="G37" s="79">
        <v>4</v>
      </c>
      <c r="H37" s="79">
        <v>5</v>
      </c>
      <c r="I37" s="79"/>
      <c r="J37" s="79"/>
      <c r="K37" s="79">
        <v>36</v>
      </c>
      <c r="L37" s="37">
        <v>45621</v>
      </c>
      <c r="M37" s="35">
        <v>1.45</v>
      </c>
      <c r="N37" s="35">
        <v>1</v>
      </c>
      <c r="O37" s="35">
        <v>0</v>
      </c>
      <c r="P37" s="35">
        <f t="shared" si="0"/>
        <v>1.45</v>
      </c>
      <c r="Q37" s="36">
        <v>1054.21</v>
      </c>
      <c r="R37" s="38">
        <f t="shared" si="1"/>
        <v>7.2704137931034483</v>
      </c>
      <c r="S37" s="35">
        <v>11.2</v>
      </c>
      <c r="T37" s="5">
        <v>6.6440000000000001</v>
      </c>
      <c r="V37">
        <v>13.9</v>
      </c>
      <c r="W37">
        <v>80.2</v>
      </c>
      <c r="X37" s="65">
        <v>2.1197007481296759</v>
      </c>
    </row>
    <row r="38" spans="1:34" s="56" customFormat="1" x14ac:dyDescent="0.35">
      <c r="A38" s="79" t="s">
        <v>24</v>
      </c>
      <c r="B38" s="79"/>
      <c r="C38" s="79"/>
      <c r="D38" s="79" t="s">
        <v>27</v>
      </c>
      <c r="E38" s="79">
        <v>1985</v>
      </c>
      <c r="F38" s="79">
        <v>3</v>
      </c>
      <c r="G38" s="79">
        <v>5</v>
      </c>
      <c r="H38" s="79">
        <v>5</v>
      </c>
      <c r="I38" s="79"/>
      <c r="J38" s="79"/>
      <c r="K38" s="79">
        <v>37</v>
      </c>
      <c r="L38" s="37">
        <v>45621</v>
      </c>
      <c r="M38" s="35">
        <v>1.65</v>
      </c>
      <c r="N38" s="35">
        <v>1</v>
      </c>
      <c r="O38" s="35">
        <v>0</v>
      </c>
      <c r="P38" s="35">
        <f t="shared" si="0"/>
        <v>1.65</v>
      </c>
      <c r="Q38" s="36">
        <v>1076.6499999999999</v>
      </c>
      <c r="R38" s="38">
        <f t="shared" si="1"/>
        <v>6.5251515151515154</v>
      </c>
      <c r="S38" s="35">
        <v>11.3</v>
      </c>
      <c r="T38" s="59">
        <v>6.7439999999999998</v>
      </c>
      <c r="V38" s="56">
        <v>13.9</v>
      </c>
      <c r="W38">
        <v>81.400000000000006</v>
      </c>
      <c r="X38" s="65">
        <v>2.0393120393120396</v>
      </c>
      <c r="Z38"/>
      <c r="AA38"/>
      <c r="AB38"/>
      <c r="AC38"/>
      <c r="AD38"/>
      <c r="AE38"/>
      <c r="AF38"/>
      <c r="AG38"/>
      <c r="AH38"/>
    </row>
    <row r="39" spans="1:34" s="56" customFormat="1" x14ac:dyDescent="0.35">
      <c r="A39" s="79" t="s">
        <v>24</v>
      </c>
      <c r="B39" s="79"/>
      <c r="C39" s="79"/>
      <c r="D39" s="79" t="s">
        <v>335</v>
      </c>
      <c r="E39" s="79">
        <v>2023</v>
      </c>
      <c r="F39" s="79">
        <v>3</v>
      </c>
      <c r="G39" s="79">
        <v>6</v>
      </c>
      <c r="H39" s="79">
        <v>5</v>
      </c>
      <c r="I39" s="79"/>
      <c r="J39" s="79"/>
      <c r="K39" s="79">
        <v>38</v>
      </c>
      <c r="L39" s="37">
        <v>45621</v>
      </c>
      <c r="M39" s="35">
        <v>1.5499999999999998</v>
      </c>
      <c r="N39" s="35">
        <v>1</v>
      </c>
      <c r="O39" s="35">
        <v>0</v>
      </c>
      <c r="P39" s="35">
        <f t="shared" si="0"/>
        <v>1.5499999999999998</v>
      </c>
      <c r="Q39" s="36">
        <v>1321.93</v>
      </c>
      <c r="R39" s="38">
        <f t="shared" si="1"/>
        <v>8.5285806451612913</v>
      </c>
      <c r="S39" s="35">
        <v>11.5</v>
      </c>
      <c r="T39" s="59">
        <v>7.4560000000000004</v>
      </c>
      <c r="V39" s="56">
        <v>12.9</v>
      </c>
      <c r="W39">
        <v>81.44</v>
      </c>
      <c r="X39" s="65">
        <v>1.1296660117878192</v>
      </c>
      <c r="Z39"/>
      <c r="AA39"/>
      <c r="AB39"/>
      <c r="AC39"/>
      <c r="AD39"/>
      <c r="AE39"/>
      <c r="AF39"/>
      <c r="AG39"/>
      <c r="AH39"/>
    </row>
    <row r="40" spans="1:34" s="56" customFormat="1" x14ac:dyDescent="0.35">
      <c r="A40" s="79" t="s">
        <v>24</v>
      </c>
      <c r="B40" s="79"/>
      <c r="C40" s="79"/>
      <c r="D40" s="79" t="s">
        <v>29</v>
      </c>
      <c r="E40" s="79">
        <v>1999</v>
      </c>
      <c r="F40" s="79">
        <v>3</v>
      </c>
      <c r="G40" s="79">
        <v>7</v>
      </c>
      <c r="H40" s="79">
        <v>5</v>
      </c>
      <c r="I40" s="79"/>
      <c r="J40" s="79"/>
      <c r="K40" s="79">
        <v>39</v>
      </c>
      <c r="L40" s="37">
        <v>45621</v>
      </c>
      <c r="M40" s="35">
        <v>1.5499999999999998</v>
      </c>
      <c r="N40" s="35">
        <v>1</v>
      </c>
      <c r="O40" s="35">
        <v>0</v>
      </c>
      <c r="P40" s="35">
        <f t="shared" si="0"/>
        <v>1.5499999999999998</v>
      </c>
      <c r="Q40" s="36">
        <v>960.69999999999993</v>
      </c>
      <c r="R40" s="38">
        <f t="shared" si="1"/>
        <v>6.1980645161290333</v>
      </c>
      <c r="S40" s="35">
        <v>11.1</v>
      </c>
      <c r="T40" s="59">
        <v>7.4560000000000004</v>
      </c>
      <c r="V40" s="56">
        <v>13.9</v>
      </c>
      <c r="W40">
        <v>80.62</v>
      </c>
      <c r="X40" s="65">
        <v>1.041925080625155</v>
      </c>
      <c r="Z40"/>
      <c r="AA40"/>
      <c r="AB40"/>
      <c r="AC40"/>
      <c r="AD40"/>
      <c r="AE40"/>
      <c r="AF40"/>
      <c r="AG40"/>
    </row>
    <row r="41" spans="1:34" s="56" customFormat="1" x14ac:dyDescent="0.35">
      <c r="A41" s="79" t="s">
        <v>24</v>
      </c>
      <c r="B41" s="79"/>
      <c r="C41" s="79"/>
      <c r="D41" s="79" t="s">
        <v>26</v>
      </c>
      <c r="E41" s="79">
        <v>1983</v>
      </c>
      <c r="F41" s="79">
        <v>3</v>
      </c>
      <c r="G41" s="79">
        <v>8</v>
      </c>
      <c r="H41" s="79">
        <v>5</v>
      </c>
      <c r="I41" s="79"/>
      <c r="J41" s="79"/>
      <c r="K41" s="79">
        <v>40</v>
      </c>
      <c r="L41" s="37">
        <v>45621</v>
      </c>
      <c r="M41" s="35">
        <v>1.6</v>
      </c>
      <c r="N41" s="35">
        <v>1</v>
      </c>
      <c r="O41" s="35">
        <v>0</v>
      </c>
      <c r="P41" s="35">
        <f t="shared" si="0"/>
        <v>1.6</v>
      </c>
      <c r="Q41" s="36">
        <v>945.2299999999999</v>
      </c>
      <c r="R41" s="38">
        <f t="shared" si="1"/>
        <v>5.9076874999999998</v>
      </c>
      <c r="S41" s="35">
        <v>11.3</v>
      </c>
      <c r="T41" s="59">
        <v>6.008</v>
      </c>
      <c r="V41" s="56">
        <v>14.4</v>
      </c>
      <c r="W41">
        <v>78.64</v>
      </c>
      <c r="X41" s="65">
        <v>2.7212614445574772</v>
      </c>
      <c r="Z41"/>
      <c r="AA41"/>
      <c r="AB41"/>
      <c r="AC41"/>
      <c r="AD41"/>
      <c r="AE41"/>
      <c r="AF41"/>
      <c r="AG41"/>
    </row>
    <row r="42" spans="1:34" x14ac:dyDescent="0.35">
      <c r="A42" s="6" t="s">
        <v>34</v>
      </c>
      <c r="D42" s="6" t="s">
        <v>41</v>
      </c>
      <c r="E42" s="6">
        <v>2008</v>
      </c>
      <c r="F42" s="6">
        <v>3</v>
      </c>
      <c r="G42" s="6">
        <v>1</v>
      </c>
      <c r="H42" s="6">
        <v>6</v>
      </c>
      <c r="K42" s="6">
        <v>41</v>
      </c>
      <c r="L42" s="37">
        <v>45621</v>
      </c>
      <c r="M42" s="35">
        <v>1.7999999999999998</v>
      </c>
      <c r="N42" s="35">
        <v>1</v>
      </c>
      <c r="O42" s="35">
        <v>0</v>
      </c>
      <c r="P42" s="35">
        <f t="shared" si="0"/>
        <v>1.7999999999999998</v>
      </c>
      <c r="Q42" s="36">
        <v>1235.1499999999999</v>
      </c>
      <c r="R42" s="38">
        <f t="shared" si="1"/>
        <v>6.8619444444444442</v>
      </c>
      <c r="S42" s="35">
        <v>11.2</v>
      </c>
      <c r="T42" s="5">
        <v>7.4120000000000008</v>
      </c>
      <c r="V42">
        <v>13.2</v>
      </c>
      <c r="W42">
        <v>78.84</v>
      </c>
      <c r="X42" s="65">
        <v>2.384576357179097</v>
      </c>
      <c r="AH42" s="56"/>
    </row>
    <row r="43" spans="1:34" x14ac:dyDescent="0.35">
      <c r="A43" s="6" t="s">
        <v>34</v>
      </c>
      <c r="D43" s="6" t="s">
        <v>36</v>
      </c>
      <c r="E43" s="6">
        <v>1984</v>
      </c>
      <c r="F43" s="6">
        <v>3</v>
      </c>
      <c r="G43" s="6">
        <v>2</v>
      </c>
      <c r="H43" s="6">
        <v>6</v>
      </c>
      <c r="K43" s="6">
        <v>42</v>
      </c>
      <c r="L43" s="37">
        <v>45621</v>
      </c>
      <c r="M43" s="35">
        <v>1.65</v>
      </c>
      <c r="N43" s="35">
        <v>1</v>
      </c>
      <c r="O43" s="35">
        <v>0</v>
      </c>
      <c r="P43" s="35">
        <f t="shared" si="0"/>
        <v>1.65</v>
      </c>
      <c r="Q43" s="36">
        <v>964.55</v>
      </c>
      <c r="R43" s="38">
        <f t="shared" si="1"/>
        <v>5.8457575757575766</v>
      </c>
      <c r="S43" s="35">
        <v>11.3</v>
      </c>
      <c r="T43" s="5">
        <v>5.7439999999999998</v>
      </c>
      <c r="V43">
        <v>14.6</v>
      </c>
      <c r="W43">
        <v>78.88</v>
      </c>
      <c r="X43" s="65">
        <v>5.5780933062880331</v>
      </c>
      <c r="AH43" s="56"/>
    </row>
    <row r="44" spans="1:34" x14ac:dyDescent="0.35">
      <c r="A44" s="6" t="s">
        <v>34</v>
      </c>
      <c r="D44" s="6" t="s">
        <v>37</v>
      </c>
      <c r="E44" s="6">
        <v>1989</v>
      </c>
      <c r="F44" s="6">
        <v>3</v>
      </c>
      <c r="G44" s="6">
        <v>3</v>
      </c>
      <c r="H44" s="6">
        <v>6</v>
      </c>
      <c r="K44" s="6">
        <v>43</v>
      </c>
      <c r="L44" s="37">
        <v>45621</v>
      </c>
      <c r="M44" s="35">
        <v>1.65</v>
      </c>
      <c r="N44" s="35">
        <v>1</v>
      </c>
      <c r="O44" s="35">
        <v>0</v>
      </c>
      <c r="P44" s="35">
        <f t="shared" si="0"/>
        <v>1.65</v>
      </c>
      <c r="Q44" s="36">
        <v>1149.3399999999999</v>
      </c>
      <c r="R44" s="38">
        <f t="shared" si="1"/>
        <v>6.9656969696969693</v>
      </c>
      <c r="S44" s="35">
        <v>11.3</v>
      </c>
      <c r="T44" s="5">
        <v>6.5239999999999991</v>
      </c>
      <c r="V44">
        <v>14.3</v>
      </c>
      <c r="W44">
        <v>77.56</v>
      </c>
      <c r="X44" s="65">
        <v>4.4868488911810207</v>
      </c>
    </row>
    <row r="45" spans="1:34" x14ac:dyDescent="0.35">
      <c r="A45" s="6" t="s">
        <v>34</v>
      </c>
      <c r="D45" s="6" t="s">
        <v>42</v>
      </c>
      <c r="E45" s="6">
        <v>2016</v>
      </c>
      <c r="F45" s="6">
        <v>3</v>
      </c>
      <c r="G45" s="6">
        <v>4</v>
      </c>
      <c r="H45" s="6">
        <v>6</v>
      </c>
      <c r="K45" s="6">
        <v>44</v>
      </c>
      <c r="L45" s="37">
        <v>45621</v>
      </c>
      <c r="M45" s="35">
        <v>1.5</v>
      </c>
      <c r="N45" s="35">
        <v>1</v>
      </c>
      <c r="O45" s="35">
        <v>0</v>
      </c>
      <c r="P45" s="35">
        <f t="shared" si="0"/>
        <v>1.5</v>
      </c>
      <c r="Q45" s="36">
        <v>1187.95</v>
      </c>
      <c r="R45" s="38">
        <f t="shared" si="1"/>
        <v>7.9196666666666671</v>
      </c>
      <c r="S45" s="35">
        <v>11.3</v>
      </c>
      <c r="T45" s="5">
        <v>8.1760000000000002</v>
      </c>
      <c r="V45">
        <v>12.7</v>
      </c>
      <c r="W45">
        <v>78.97999999999999</v>
      </c>
      <c r="X45" s="65">
        <v>2.3803494555583695</v>
      </c>
    </row>
    <row r="46" spans="1:34" s="56" customFormat="1" x14ac:dyDescent="0.35">
      <c r="A46" s="6" t="s">
        <v>34</v>
      </c>
      <c r="B46" s="6"/>
      <c r="C46" s="6"/>
      <c r="D46" s="6" t="s">
        <v>43</v>
      </c>
      <c r="E46" s="6">
        <v>2020</v>
      </c>
      <c r="F46" s="6">
        <v>3</v>
      </c>
      <c r="G46" s="6">
        <v>5</v>
      </c>
      <c r="H46" s="6">
        <v>6</v>
      </c>
      <c r="I46" s="6"/>
      <c r="J46" s="6"/>
      <c r="K46" s="6">
        <v>45</v>
      </c>
      <c r="L46" s="37">
        <v>45621</v>
      </c>
      <c r="M46" s="35">
        <v>1.5499999999999998</v>
      </c>
      <c r="N46" s="35">
        <v>1</v>
      </c>
      <c r="O46" s="35">
        <v>0</v>
      </c>
      <c r="P46" s="35">
        <f t="shared" si="0"/>
        <v>1.5499999999999998</v>
      </c>
      <c r="Q46" s="36">
        <v>1177.19</v>
      </c>
      <c r="R46" s="38">
        <f t="shared" si="1"/>
        <v>7.5947741935483881</v>
      </c>
      <c r="S46" s="35">
        <v>11.5</v>
      </c>
      <c r="T46" s="59">
        <v>7.6079999999999997</v>
      </c>
      <c r="V46" s="56">
        <v>12.7</v>
      </c>
      <c r="W46">
        <v>83.06</v>
      </c>
      <c r="X46" s="65">
        <v>2.4319768841801106</v>
      </c>
      <c r="Z46"/>
      <c r="AA46"/>
      <c r="AB46"/>
      <c r="AC46"/>
      <c r="AD46"/>
      <c r="AE46"/>
      <c r="AF46"/>
      <c r="AG46"/>
      <c r="AH46"/>
    </row>
    <row r="47" spans="1:34" s="56" customFormat="1" x14ac:dyDescent="0.35">
      <c r="A47" s="6" t="s">
        <v>34</v>
      </c>
      <c r="B47" s="6"/>
      <c r="C47" s="6"/>
      <c r="D47" s="6" t="s">
        <v>39</v>
      </c>
      <c r="E47" s="6">
        <v>2001</v>
      </c>
      <c r="F47" s="6">
        <v>3</v>
      </c>
      <c r="G47" s="6">
        <v>6</v>
      </c>
      <c r="H47" s="6">
        <v>6</v>
      </c>
      <c r="I47" s="6"/>
      <c r="J47" s="6"/>
      <c r="K47" s="6">
        <v>46</v>
      </c>
      <c r="L47" s="37">
        <v>45621</v>
      </c>
      <c r="M47" s="35">
        <v>1.6</v>
      </c>
      <c r="N47" s="35">
        <v>1</v>
      </c>
      <c r="O47" s="35">
        <v>0</v>
      </c>
      <c r="P47" s="35">
        <f t="shared" si="0"/>
        <v>1.6</v>
      </c>
      <c r="Q47" s="36">
        <v>1160.48</v>
      </c>
      <c r="R47" s="38">
        <f t="shared" si="1"/>
        <v>7.2529999999999992</v>
      </c>
      <c r="S47" s="35">
        <v>11.3</v>
      </c>
      <c r="T47" s="59">
        <v>8.5440000000000005</v>
      </c>
      <c r="V47" s="56">
        <v>13.7</v>
      </c>
      <c r="W47">
        <v>79.8</v>
      </c>
      <c r="X47" s="65">
        <v>1.0526315789473684</v>
      </c>
      <c r="Z47"/>
      <c r="AA47"/>
      <c r="AB47"/>
      <c r="AC47"/>
      <c r="AD47"/>
      <c r="AE47"/>
      <c r="AF47"/>
      <c r="AG47"/>
      <c r="AH47"/>
    </row>
    <row r="48" spans="1:34" s="56" customFormat="1" x14ac:dyDescent="0.35">
      <c r="A48" s="6" t="s">
        <v>34</v>
      </c>
      <c r="B48" s="6"/>
      <c r="C48" s="6"/>
      <c r="D48" s="6" t="s">
        <v>38</v>
      </c>
      <c r="E48" s="6">
        <v>1999</v>
      </c>
      <c r="F48" s="6">
        <v>3</v>
      </c>
      <c r="G48" s="6">
        <v>7</v>
      </c>
      <c r="H48" s="6">
        <v>6</v>
      </c>
      <c r="I48" s="6"/>
      <c r="J48" s="6"/>
      <c r="K48" s="6">
        <v>47</v>
      </c>
      <c r="L48" s="37">
        <v>45621</v>
      </c>
      <c r="M48" s="35">
        <v>1.5</v>
      </c>
      <c r="N48" s="35">
        <v>1</v>
      </c>
      <c r="O48" s="35">
        <v>0</v>
      </c>
      <c r="P48" s="35">
        <f t="shared" si="0"/>
        <v>1.5</v>
      </c>
      <c r="Q48" s="36">
        <v>925.89</v>
      </c>
      <c r="R48" s="38">
        <f t="shared" si="1"/>
        <v>6.1726000000000001</v>
      </c>
      <c r="S48" s="35">
        <v>11.3</v>
      </c>
      <c r="T48" s="59">
        <v>7.831999999999999</v>
      </c>
      <c r="V48" s="56">
        <v>12.7</v>
      </c>
      <c r="W48">
        <v>79.099999999999994</v>
      </c>
      <c r="X48" s="65">
        <v>1.8204804045512009</v>
      </c>
      <c r="Z48"/>
      <c r="AA48"/>
      <c r="AB48"/>
      <c r="AC48"/>
      <c r="AD48"/>
      <c r="AE48"/>
      <c r="AF48"/>
      <c r="AG48"/>
    </row>
    <row r="49" spans="1:34" s="56" customFormat="1" x14ac:dyDescent="0.35">
      <c r="A49" s="6" t="s">
        <v>34</v>
      </c>
      <c r="B49" s="6"/>
      <c r="C49" s="6"/>
      <c r="D49" s="6" t="s">
        <v>343</v>
      </c>
      <c r="E49" s="6">
        <v>2004</v>
      </c>
      <c r="F49" s="6">
        <v>3</v>
      </c>
      <c r="G49" s="6">
        <v>8</v>
      </c>
      <c r="H49" s="6">
        <v>6</v>
      </c>
      <c r="I49" s="6"/>
      <c r="J49" s="6"/>
      <c r="K49" s="6">
        <v>48</v>
      </c>
      <c r="L49" s="37">
        <v>45621</v>
      </c>
      <c r="M49" s="35">
        <v>1.5</v>
      </c>
      <c r="N49" s="35">
        <v>1</v>
      </c>
      <c r="O49" s="35">
        <v>0</v>
      </c>
      <c r="P49" s="35">
        <f t="shared" si="0"/>
        <v>1.5</v>
      </c>
      <c r="Q49" s="36">
        <v>1113.5</v>
      </c>
      <c r="R49" s="38">
        <f t="shared" si="1"/>
        <v>7.4233333333333338</v>
      </c>
      <c r="S49" s="35">
        <v>11.6</v>
      </c>
      <c r="T49" s="59">
        <v>7.6239999999999997</v>
      </c>
      <c r="V49" s="56">
        <v>12.1</v>
      </c>
      <c r="W49">
        <v>81.08</v>
      </c>
      <c r="X49" s="65">
        <v>1.7266896891958559</v>
      </c>
    </row>
    <row r="50" spans="1:34" x14ac:dyDescent="0.35">
      <c r="A50" s="79" t="s">
        <v>24</v>
      </c>
      <c r="B50" s="79"/>
      <c r="C50" s="79"/>
      <c r="D50" s="79" t="s">
        <v>32</v>
      </c>
      <c r="E50" s="79">
        <v>2018</v>
      </c>
      <c r="F50" s="79">
        <v>4</v>
      </c>
      <c r="G50" s="79">
        <v>1</v>
      </c>
      <c r="H50" s="79">
        <v>7</v>
      </c>
      <c r="I50" s="79"/>
      <c r="J50" s="79"/>
      <c r="K50" s="79">
        <v>49</v>
      </c>
      <c r="L50" s="37">
        <v>45621</v>
      </c>
      <c r="M50" s="35">
        <v>1.7000000000000002</v>
      </c>
      <c r="N50" s="35">
        <v>1</v>
      </c>
      <c r="O50" s="35">
        <v>0</v>
      </c>
      <c r="P50" s="35">
        <f t="shared" si="0"/>
        <v>1.7000000000000002</v>
      </c>
      <c r="Q50" s="36">
        <v>1359.73</v>
      </c>
      <c r="R50" s="38">
        <f t="shared" si="1"/>
        <v>7.9984117647058817</v>
      </c>
      <c r="S50" s="35">
        <v>11.3</v>
      </c>
      <c r="T50" s="5">
        <v>7.2959999999999994</v>
      </c>
      <c r="V50">
        <v>13.9</v>
      </c>
      <c r="W50">
        <v>76.08</v>
      </c>
      <c r="X50" s="65">
        <v>2.1819137749737121</v>
      </c>
      <c r="AH50" s="56"/>
    </row>
    <row r="51" spans="1:34" x14ac:dyDescent="0.35">
      <c r="A51" s="79" t="s">
        <v>24</v>
      </c>
      <c r="B51" s="79"/>
      <c r="C51" s="79"/>
      <c r="D51" s="79" t="s">
        <v>29</v>
      </c>
      <c r="E51" s="79">
        <v>1999</v>
      </c>
      <c r="F51" s="79">
        <v>4</v>
      </c>
      <c r="G51" s="79">
        <v>2</v>
      </c>
      <c r="H51" s="79">
        <v>7</v>
      </c>
      <c r="I51" s="79"/>
      <c r="J51" s="79"/>
      <c r="K51" s="79">
        <v>50</v>
      </c>
      <c r="L51" s="37">
        <v>45621</v>
      </c>
      <c r="M51" s="35">
        <v>1.6</v>
      </c>
      <c r="N51" s="35">
        <v>1</v>
      </c>
      <c r="O51" s="35">
        <v>0</v>
      </c>
      <c r="P51" s="35">
        <f t="shared" si="0"/>
        <v>1.6</v>
      </c>
      <c r="Q51" s="36">
        <v>1015.9300000000001</v>
      </c>
      <c r="R51" s="38">
        <f t="shared" si="1"/>
        <v>6.3495624999999993</v>
      </c>
      <c r="S51" s="35">
        <v>11</v>
      </c>
      <c r="T51" s="5">
        <v>7.0640000000000001</v>
      </c>
      <c r="V51">
        <v>13</v>
      </c>
      <c r="W51">
        <v>76.400000000000006</v>
      </c>
      <c r="X51" s="65">
        <v>1.9895287958115182</v>
      </c>
      <c r="AH51" s="56"/>
    </row>
    <row r="52" spans="1:34" x14ac:dyDescent="0.35">
      <c r="A52" s="79" t="s">
        <v>24</v>
      </c>
      <c r="B52" s="79"/>
      <c r="C52" s="79"/>
      <c r="D52" s="79" t="s">
        <v>337</v>
      </c>
      <c r="E52" s="79">
        <v>2016</v>
      </c>
      <c r="F52" s="79">
        <v>4</v>
      </c>
      <c r="G52" s="79">
        <v>3</v>
      </c>
      <c r="H52" s="79">
        <v>7</v>
      </c>
      <c r="I52" s="79"/>
      <c r="J52" s="79"/>
      <c r="K52" s="79">
        <v>51</v>
      </c>
      <c r="L52" s="37">
        <v>45621</v>
      </c>
      <c r="M52" s="35">
        <v>1.5499999999999998</v>
      </c>
      <c r="N52" s="35">
        <v>1</v>
      </c>
      <c r="O52" s="35">
        <v>0</v>
      </c>
      <c r="P52" s="35">
        <f t="shared" si="0"/>
        <v>1.5499999999999998</v>
      </c>
      <c r="Q52" s="36">
        <v>980.95999999999992</v>
      </c>
      <c r="R52" s="38">
        <f t="shared" si="1"/>
        <v>6.3287741935483872</v>
      </c>
      <c r="S52" s="35">
        <v>11.3</v>
      </c>
      <c r="T52" s="5">
        <v>7.4480000000000004</v>
      </c>
      <c r="V52">
        <v>12.9</v>
      </c>
      <c r="W52">
        <v>79.820000000000007</v>
      </c>
      <c r="X52" s="65">
        <v>2.2049611626158856</v>
      </c>
    </row>
    <row r="53" spans="1:34" x14ac:dyDescent="0.35">
      <c r="A53" s="79" t="s">
        <v>24</v>
      </c>
      <c r="B53" s="79"/>
      <c r="C53" s="79"/>
      <c r="D53" s="79" t="s">
        <v>27</v>
      </c>
      <c r="E53" s="79">
        <v>1985</v>
      </c>
      <c r="F53" s="79">
        <v>4</v>
      </c>
      <c r="G53" s="79">
        <v>4</v>
      </c>
      <c r="H53" s="79">
        <v>7</v>
      </c>
      <c r="I53" s="79"/>
      <c r="J53" s="79"/>
      <c r="K53" s="79">
        <v>52</v>
      </c>
      <c r="L53" s="37">
        <v>45621</v>
      </c>
      <c r="M53" s="35">
        <v>1.5499999999999998</v>
      </c>
      <c r="N53" s="35">
        <v>1</v>
      </c>
      <c r="O53" s="35">
        <v>0</v>
      </c>
      <c r="P53" s="35">
        <f t="shared" si="0"/>
        <v>1.5499999999999998</v>
      </c>
      <c r="Q53" s="36">
        <v>977.33999999999992</v>
      </c>
      <c r="R53" s="38">
        <f t="shared" si="1"/>
        <v>6.3054193548387101</v>
      </c>
      <c r="S53" s="35">
        <v>11.2</v>
      </c>
      <c r="T53" s="5">
        <v>6.1159999999999997</v>
      </c>
      <c r="V53">
        <v>14.4</v>
      </c>
      <c r="W53">
        <v>77.12</v>
      </c>
      <c r="X53" s="65">
        <v>5.8869294605809124</v>
      </c>
    </row>
    <row r="54" spans="1:34" s="56" customFormat="1" x14ac:dyDescent="0.35">
      <c r="A54" s="79" t="s">
        <v>24</v>
      </c>
      <c r="B54" s="79"/>
      <c r="C54" s="79"/>
      <c r="D54" s="79" t="s">
        <v>28</v>
      </c>
      <c r="E54" s="79">
        <v>1998</v>
      </c>
      <c r="F54" s="79">
        <v>4</v>
      </c>
      <c r="G54" s="79">
        <v>5</v>
      </c>
      <c r="H54" s="79">
        <v>7</v>
      </c>
      <c r="I54" s="79"/>
      <c r="J54" s="79"/>
      <c r="K54" s="79">
        <v>53</v>
      </c>
      <c r="L54" s="37">
        <v>45621</v>
      </c>
      <c r="M54" s="35">
        <v>1.5499999999999998</v>
      </c>
      <c r="N54" s="35">
        <v>1</v>
      </c>
      <c r="O54" s="35">
        <v>0</v>
      </c>
      <c r="P54" s="35">
        <f t="shared" si="0"/>
        <v>1.5499999999999998</v>
      </c>
      <c r="Q54" s="36">
        <v>1323.54</v>
      </c>
      <c r="R54" s="38">
        <f t="shared" si="1"/>
        <v>8.538967741935485</v>
      </c>
      <c r="S54" s="35">
        <v>11.1</v>
      </c>
      <c r="T54" s="59">
        <v>6.76</v>
      </c>
      <c r="V54" s="56">
        <v>13.5</v>
      </c>
      <c r="W54">
        <v>78.7</v>
      </c>
      <c r="X54" s="65">
        <v>2.4142312579415499</v>
      </c>
      <c r="AH54"/>
    </row>
    <row r="55" spans="1:34" s="56" customFormat="1" x14ac:dyDescent="0.35">
      <c r="A55" s="79" t="s">
        <v>24</v>
      </c>
      <c r="B55" s="79"/>
      <c r="C55" s="79"/>
      <c r="D55" s="79" t="s">
        <v>26</v>
      </c>
      <c r="E55" s="79">
        <v>1983</v>
      </c>
      <c r="F55" s="79">
        <v>4</v>
      </c>
      <c r="G55" s="79">
        <v>6</v>
      </c>
      <c r="H55" s="79">
        <v>7</v>
      </c>
      <c r="I55" s="79"/>
      <c r="J55" s="79"/>
      <c r="K55" s="79">
        <v>54</v>
      </c>
      <c r="L55" s="37">
        <v>45621</v>
      </c>
      <c r="M55" s="35">
        <v>1.5</v>
      </c>
      <c r="N55" s="35">
        <v>1</v>
      </c>
      <c r="O55" s="35">
        <v>0</v>
      </c>
      <c r="P55" s="35">
        <f t="shared" si="0"/>
        <v>1.5</v>
      </c>
      <c r="Q55" s="36">
        <v>831.92</v>
      </c>
      <c r="R55" s="38">
        <f t="shared" si="1"/>
        <v>5.5461333333333336</v>
      </c>
      <c r="S55" s="35">
        <v>11.1</v>
      </c>
      <c r="T55" s="59">
        <v>6.0280000000000005</v>
      </c>
      <c r="V55" s="56">
        <v>14.4</v>
      </c>
      <c r="W55">
        <v>77.92</v>
      </c>
      <c r="X55" s="65">
        <v>3.7474332648870639</v>
      </c>
      <c r="AH55"/>
    </row>
    <row r="56" spans="1:34" s="56" customFormat="1" x14ac:dyDescent="0.35">
      <c r="A56" s="79" t="s">
        <v>24</v>
      </c>
      <c r="B56" s="79"/>
      <c r="C56" s="79"/>
      <c r="D56" s="79" t="s">
        <v>335</v>
      </c>
      <c r="E56" s="79">
        <v>2023</v>
      </c>
      <c r="F56" s="79">
        <v>4</v>
      </c>
      <c r="G56" s="79">
        <v>7</v>
      </c>
      <c r="H56" s="79">
        <v>7</v>
      </c>
      <c r="I56" s="79"/>
      <c r="J56" s="79"/>
      <c r="K56" s="79">
        <v>55</v>
      </c>
      <c r="L56" s="37">
        <v>45621</v>
      </c>
      <c r="M56" s="35">
        <v>1.5</v>
      </c>
      <c r="N56" s="35">
        <v>1</v>
      </c>
      <c r="O56" s="35">
        <v>0</v>
      </c>
      <c r="P56" s="35">
        <f t="shared" si="0"/>
        <v>1.5</v>
      </c>
      <c r="Q56" s="36">
        <v>1184.99</v>
      </c>
      <c r="R56" s="38">
        <f t="shared" si="1"/>
        <v>7.8999333333333333</v>
      </c>
      <c r="S56" s="35">
        <v>11.3</v>
      </c>
      <c r="T56" s="59">
        <v>7.2720000000000002</v>
      </c>
      <c r="V56" s="56">
        <v>13</v>
      </c>
      <c r="W56">
        <v>80.78</v>
      </c>
      <c r="X56" s="65">
        <v>1.5845506313443922</v>
      </c>
    </row>
    <row r="57" spans="1:34" s="56" customFormat="1" x14ac:dyDescent="0.35">
      <c r="A57" s="79" t="s">
        <v>24</v>
      </c>
      <c r="B57" s="79"/>
      <c r="C57" s="79"/>
      <c r="D57" s="79" t="s">
        <v>336</v>
      </c>
      <c r="E57" s="79">
        <v>2002</v>
      </c>
      <c r="F57" s="79">
        <v>4</v>
      </c>
      <c r="G57" s="79">
        <v>8</v>
      </c>
      <c r="H57" s="79">
        <v>7</v>
      </c>
      <c r="I57" s="79"/>
      <c r="J57" s="79"/>
      <c r="K57" s="79">
        <v>56</v>
      </c>
      <c r="L57" s="37">
        <v>45621</v>
      </c>
      <c r="M57" s="35">
        <v>1.5499999999999998</v>
      </c>
      <c r="N57" s="35">
        <v>1</v>
      </c>
      <c r="O57" s="35">
        <v>0</v>
      </c>
      <c r="P57" s="35">
        <f t="shared" si="0"/>
        <v>1.5499999999999998</v>
      </c>
      <c r="Q57" s="36">
        <v>1267.07</v>
      </c>
      <c r="R57" s="38">
        <f t="shared" si="1"/>
        <v>8.1746451612903233</v>
      </c>
      <c r="S57" s="35">
        <v>11.3</v>
      </c>
      <c r="T57" s="59">
        <v>7.32</v>
      </c>
      <c r="V57" s="56">
        <v>13.1</v>
      </c>
      <c r="W57">
        <v>78.400000000000006</v>
      </c>
      <c r="X57" s="65">
        <v>2.2448979591836737</v>
      </c>
    </row>
    <row r="58" spans="1:34" x14ac:dyDescent="0.35">
      <c r="A58" s="6" t="s">
        <v>34</v>
      </c>
      <c r="D58" s="6" t="s">
        <v>39</v>
      </c>
      <c r="E58" s="6">
        <v>2001</v>
      </c>
      <c r="F58" s="6">
        <v>4</v>
      </c>
      <c r="G58" s="6">
        <v>1</v>
      </c>
      <c r="H58" s="6">
        <v>8</v>
      </c>
      <c r="K58" s="6">
        <v>57</v>
      </c>
      <c r="L58" s="37">
        <v>45621</v>
      </c>
      <c r="M58" s="35">
        <v>1.5499999999999998</v>
      </c>
      <c r="N58" s="35">
        <v>1</v>
      </c>
      <c r="O58" s="35">
        <v>0</v>
      </c>
      <c r="P58" s="35">
        <f t="shared" si="0"/>
        <v>1.5499999999999998</v>
      </c>
      <c r="Q58" s="36">
        <v>1035.31</v>
      </c>
      <c r="R58" s="38">
        <f t="shared" si="1"/>
        <v>6.6794193548387106</v>
      </c>
      <c r="S58" s="35">
        <v>11.3</v>
      </c>
      <c r="T58" s="5">
        <v>8.4319999999999986</v>
      </c>
      <c r="V58">
        <v>14.1</v>
      </c>
      <c r="W58">
        <v>79.97999999999999</v>
      </c>
      <c r="X58" s="65">
        <v>1.0752688172043012</v>
      </c>
      <c r="AH58" s="56"/>
    </row>
    <row r="59" spans="1:34" x14ac:dyDescent="0.35">
      <c r="A59" s="6" t="s">
        <v>34</v>
      </c>
      <c r="D59" s="6" t="s">
        <v>37</v>
      </c>
      <c r="E59" s="6">
        <v>1989</v>
      </c>
      <c r="F59" s="6">
        <v>4</v>
      </c>
      <c r="G59" s="6">
        <v>2</v>
      </c>
      <c r="H59" s="6">
        <v>8</v>
      </c>
      <c r="K59" s="6">
        <v>58</v>
      </c>
      <c r="L59" s="37">
        <v>45621</v>
      </c>
      <c r="M59" s="35">
        <v>1.7000000000000002</v>
      </c>
      <c r="N59" s="35">
        <v>1</v>
      </c>
      <c r="O59" s="35">
        <v>0</v>
      </c>
      <c r="P59" s="35">
        <f t="shared" si="0"/>
        <v>1.7000000000000002</v>
      </c>
      <c r="Q59" s="36">
        <v>1064.75</v>
      </c>
      <c r="R59" s="38">
        <f t="shared" si="1"/>
        <v>6.2632352941176466</v>
      </c>
      <c r="S59" s="35">
        <v>11.5</v>
      </c>
      <c r="T59" s="5">
        <v>7.1639999999999997</v>
      </c>
      <c r="V59">
        <v>13.1</v>
      </c>
      <c r="W59">
        <v>80.36</v>
      </c>
      <c r="X59" s="65">
        <v>3.0612244897959182</v>
      </c>
      <c r="AH59" s="56"/>
    </row>
    <row r="60" spans="1:34" x14ac:dyDescent="0.35">
      <c r="A60" s="6" t="s">
        <v>34</v>
      </c>
      <c r="D60" s="6" t="s">
        <v>36</v>
      </c>
      <c r="E60" s="6">
        <v>1984</v>
      </c>
      <c r="F60" s="6">
        <v>4</v>
      </c>
      <c r="G60" s="6">
        <v>3</v>
      </c>
      <c r="H60" s="6">
        <v>8</v>
      </c>
      <c r="K60" s="6">
        <v>59</v>
      </c>
      <c r="L60" s="37">
        <v>45621</v>
      </c>
      <c r="M60" s="35">
        <v>1.5499999999999998</v>
      </c>
      <c r="N60" s="35">
        <v>1</v>
      </c>
      <c r="O60" s="35">
        <v>0</v>
      </c>
      <c r="P60" s="35">
        <f t="shared" si="0"/>
        <v>1.5499999999999998</v>
      </c>
      <c r="Q60" s="36">
        <v>1024.24</v>
      </c>
      <c r="R60" s="38">
        <f t="shared" si="1"/>
        <v>6.6080000000000005</v>
      </c>
      <c r="S60" s="35">
        <v>11.2</v>
      </c>
      <c r="T60" s="5">
        <v>6.5760000000000005</v>
      </c>
      <c r="V60">
        <v>13.9</v>
      </c>
      <c r="W60">
        <v>81.760000000000005</v>
      </c>
      <c r="X60" s="65">
        <v>2.2260273972602738</v>
      </c>
    </row>
    <row r="61" spans="1:34" x14ac:dyDescent="0.35">
      <c r="A61" s="6" t="s">
        <v>34</v>
      </c>
      <c r="D61" s="6" t="s">
        <v>343</v>
      </c>
      <c r="E61" s="6">
        <v>2004</v>
      </c>
      <c r="F61" s="6">
        <v>4</v>
      </c>
      <c r="G61" s="6">
        <v>4</v>
      </c>
      <c r="H61" s="6">
        <v>8</v>
      </c>
      <c r="K61" s="6">
        <v>60</v>
      </c>
      <c r="L61" s="37">
        <v>45621</v>
      </c>
      <c r="M61" s="35">
        <v>1.5499999999999998</v>
      </c>
      <c r="N61" s="35">
        <v>1</v>
      </c>
      <c r="O61" s="35">
        <v>0</v>
      </c>
      <c r="P61" s="35">
        <f t="shared" si="0"/>
        <v>1.5499999999999998</v>
      </c>
      <c r="Q61" s="36">
        <v>1107.24</v>
      </c>
      <c r="R61" s="38">
        <f t="shared" si="1"/>
        <v>7.1434838709677431</v>
      </c>
      <c r="S61" s="35">
        <v>11.5</v>
      </c>
      <c r="T61" s="5">
        <v>7.7840000000000007</v>
      </c>
      <c r="V61">
        <v>13.1</v>
      </c>
      <c r="W61">
        <v>81.02000000000001</v>
      </c>
      <c r="X61" s="65">
        <v>1.6785978770673906</v>
      </c>
    </row>
    <row r="62" spans="1:34" s="56" customFormat="1" x14ac:dyDescent="0.35">
      <c r="A62" s="6" t="s">
        <v>34</v>
      </c>
      <c r="B62" s="6"/>
      <c r="C62" s="6"/>
      <c r="D62" s="6" t="s">
        <v>41</v>
      </c>
      <c r="E62" s="6">
        <v>2008</v>
      </c>
      <c r="F62" s="6">
        <v>4</v>
      </c>
      <c r="G62" s="6">
        <v>5</v>
      </c>
      <c r="H62" s="6">
        <v>8</v>
      </c>
      <c r="I62" s="6"/>
      <c r="J62" s="6"/>
      <c r="K62" s="6">
        <v>61</v>
      </c>
      <c r="L62" s="37">
        <v>45621</v>
      </c>
      <c r="M62" s="35">
        <v>1.4</v>
      </c>
      <c r="N62" s="35">
        <v>1</v>
      </c>
      <c r="O62" s="35">
        <v>0</v>
      </c>
      <c r="P62" s="35">
        <f t="shared" si="0"/>
        <v>1.4</v>
      </c>
      <c r="Q62" s="36">
        <v>1025.0899999999999</v>
      </c>
      <c r="R62" s="38">
        <f t="shared" si="1"/>
        <v>7.3220714285714283</v>
      </c>
      <c r="S62" s="35">
        <v>11.4</v>
      </c>
      <c r="T62" s="59">
        <v>8.2959999999999994</v>
      </c>
      <c r="V62" s="56">
        <v>13</v>
      </c>
      <c r="W62">
        <v>80.239999999999995</v>
      </c>
      <c r="X62" s="65">
        <v>1.5453639082751747</v>
      </c>
      <c r="AH62"/>
    </row>
    <row r="63" spans="1:34" s="56" customFormat="1" x14ac:dyDescent="0.35">
      <c r="A63" s="6" t="s">
        <v>34</v>
      </c>
      <c r="B63" s="6"/>
      <c r="C63" s="6"/>
      <c r="D63" s="6" t="s">
        <v>38</v>
      </c>
      <c r="E63" s="6">
        <v>1999</v>
      </c>
      <c r="F63" s="6">
        <v>4</v>
      </c>
      <c r="G63" s="6">
        <v>6</v>
      </c>
      <c r="H63" s="6">
        <v>8</v>
      </c>
      <c r="I63" s="6"/>
      <c r="J63" s="6"/>
      <c r="K63" s="6">
        <v>62</v>
      </c>
      <c r="L63" s="37">
        <v>45621</v>
      </c>
      <c r="M63" s="35">
        <v>1.6</v>
      </c>
      <c r="N63" s="35">
        <v>1</v>
      </c>
      <c r="O63" s="35">
        <v>0</v>
      </c>
      <c r="P63" s="35">
        <f t="shared" si="0"/>
        <v>1.6</v>
      </c>
      <c r="Q63" s="36">
        <v>1048.72</v>
      </c>
      <c r="R63" s="38">
        <f t="shared" si="1"/>
        <v>6.5544999999999991</v>
      </c>
      <c r="S63" s="35">
        <v>11.4</v>
      </c>
      <c r="T63" s="59">
        <v>7.9799999999999995</v>
      </c>
      <c r="V63" s="56">
        <v>13.7</v>
      </c>
      <c r="W63">
        <v>79.08</v>
      </c>
      <c r="X63" s="65">
        <v>1.7703591299949422</v>
      </c>
      <c r="AH63"/>
    </row>
    <row r="64" spans="1:34" s="56" customFormat="1" x14ac:dyDescent="0.35">
      <c r="A64" s="6" t="s">
        <v>34</v>
      </c>
      <c r="B64" s="6"/>
      <c r="C64" s="6"/>
      <c r="D64" s="6" t="s">
        <v>42</v>
      </c>
      <c r="E64" s="6">
        <v>2016</v>
      </c>
      <c r="F64" s="6">
        <v>4</v>
      </c>
      <c r="G64" s="6">
        <v>7</v>
      </c>
      <c r="H64" s="6">
        <v>8</v>
      </c>
      <c r="I64" s="6"/>
      <c r="J64" s="6"/>
      <c r="K64" s="6">
        <v>63</v>
      </c>
      <c r="L64" s="37">
        <v>45621</v>
      </c>
      <c r="M64" s="35">
        <v>1.4</v>
      </c>
      <c r="N64" s="35">
        <v>1</v>
      </c>
      <c r="O64" s="35">
        <v>0</v>
      </c>
      <c r="P64" s="35">
        <f t="shared" si="0"/>
        <v>1.4</v>
      </c>
      <c r="Q64" s="36">
        <v>1132.3499999999999</v>
      </c>
      <c r="R64" s="38">
        <f t="shared" si="1"/>
        <v>8.0882142857142849</v>
      </c>
      <c r="S64" s="35">
        <v>11.3</v>
      </c>
      <c r="T64" s="59">
        <v>8.3360000000000003</v>
      </c>
      <c r="V64" s="56">
        <v>12.5</v>
      </c>
      <c r="W64">
        <v>79.5</v>
      </c>
      <c r="X64" s="65">
        <v>2.4150943396226414</v>
      </c>
    </row>
    <row r="65" spans="1:34" s="56" customFormat="1" x14ac:dyDescent="0.35">
      <c r="A65" s="6" t="s">
        <v>34</v>
      </c>
      <c r="B65" s="6"/>
      <c r="C65" s="6"/>
      <c r="D65" s="6" t="s">
        <v>43</v>
      </c>
      <c r="E65" s="6">
        <v>2020</v>
      </c>
      <c r="F65" s="6">
        <v>4</v>
      </c>
      <c r="G65" s="6">
        <v>8</v>
      </c>
      <c r="H65" s="6">
        <v>8</v>
      </c>
      <c r="I65" s="6"/>
      <c r="J65" s="6"/>
      <c r="K65" s="6">
        <v>64</v>
      </c>
      <c r="L65" s="37">
        <v>45621</v>
      </c>
      <c r="M65" s="35">
        <v>1.5</v>
      </c>
      <c r="N65" s="35">
        <v>1</v>
      </c>
      <c r="O65" s="35">
        <v>0</v>
      </c>
      <c r="P65" s="35">
        <f t="shared" si="0"/>
        <v>1.5</v>
      </c>
      <c r="Q65" s="36">
        <v>1093.6099999999999</v>
      </c>
      <c r="R65" s="38">
        <f t="shared" si="1"/>
        <v>7.2907333333333328</v>
      </c>
      <c r="S65" s="35">
        <v>11</v>
      </c>
      <c r="T65" s="59">
        <v>7.6959999999999997</v>
      </c>
      <c r="V65" s="56">
        <v>12</v>
      </c>
      <c r="W65">
        <v>82.820000000000007</v>
      </c>
      <c r="X65" s="65">
        <v>2.6080656846172423</v>
      </c>
    </row>
    <row r="66" spans="1:34" x14ac:dyDescent="0.35">
      <c r="A66" s="79"/>
      <c r="B66" s="79"/>
      <c r="C66" s="79"/>
      <c r="D66" s="79"/>
      <c r="E66" s="79"/>
      <c r="F66" s="79"/>
      <c r="G66" s="79"/>
      <c r="H66" s="79"/>
      <c r="I66" s="79"/>
      <c r="J66" s="79"/>
      <c r="K66" s="79"/>
      <c r="AH66" s="56"/>
    </row>
    <row r="67" spans="1:34" x14ac:dyDescent="0.35">
      <c r="A67" s="79"/>
      <c r="B67" s="79"/>
      <c r="C67" s="79"/>
      <c r="D67" s="79"/>
      <c r="E67" s="79"/>
      <c r="F67" s="79"/>
      <c r="G67" s="79"/>
      <c r="H67" s="79"/>
      <c r="I67" s="79"/>
      <c r="J67" s="79"/>
      <c r="K67" s="79"/>
      <c r="AH67" s="56"/>
    </row>
    <row r="68" spans="1:34" x14ac:dyDescent="0.35">
      <c r="A68" s="79"/>
      <c r="B68" s="79"/>
      <c r="C68" s="79"/>
      <c r="D68" s="79"/>
      <c r="E68" s="79"/>
      <c r="F68" s="79"/>
      <c r="G68" s="79"/>
      <c r="H68" s="79"/>
      <c r="I68" s="79"/>
      <c r="J68" s="79"/>
      <c r="K68" s="79"/>
    </row>
    <row r="69" spans="1:34" x14ac:dyDescent="0.35">
      <c r="A69" s="79"/>
      <c r="B69" s="79"/>
      <c r="C69" s="79"/>
      <c r="D69" s="79"/>
      <c r="E69" s="79"/>
      <c r="F69" s="79"/>
      <c r="G69" s="79"/>
      <c r="H69" s="79"/>
      <c r="I69" s="79"/>
      <c r="J69" s="79"/>
      <c r="K69" s="79"/>
    </row>
    <row r="70" spans="1:34" x14ac:dyDescent="0.35">
      <c r="A70" s="79"/>
      <c r="B70" s="79"/>
      <c r="C70" s="79"/>
      <c r="D70" s="79"/>
      <c r="E70" s="79"/>
      <c r="F70" s="79"/>
      <c r="G70" s="79"/>
      <c r="H70" s="79"/>
      <c r="I70" s="79"/>
      <c r="J70" s="79"/>
      <c r="K70" s="79"/>
    </row>
    <row r="71" spans="1:34" x14ac:dyDescent="0.35">
      <c r="A71" s="79"/>
      <c r="B71" s="79"/>
      <c r="C71" s="79"/>
      <c r="D71" s="79"/>
      <c r="E71" s="79"/>
      <c r="F71" s="79"/>
      <c r="G71" s="79"/>
      <c r="H71" s="79"/>
      <c r="I71" s="79"/>
      <c r="J71" s="79"/>
      <c r="K71" s="79"/>
    </row>
    <row r="72" spans="1:34" x14ac:dyDescent="0.35">
      <c r="A72" s="79"/>
      <c r="B72" s="79"/>
      <c r="C72" s="79"/>
      <c r="D72" s="79"/>
      <c r="E72" s="79"/>
      <c r="F72" s="79"/>
      <c r="G72" s="79"/>
      <c r="H72" s="79"/>
      <c r="I72" s="79"/>
      <c r="J72" s="79"/>
      <c r="K72" s="79"/>
    </row>
    <row r="73" spans="1:34" x14ac:dyDescent="0.35">
      <c r="A73" s="79"/>
      <c r="B73" s="79"/>
      <c r="C73" s="79"/>
      <c r="D73" s="79"/>
      <c r="E73" s="79"/>
      <c r="F73" s="79"/>
      <c r="G73" s="79"/>
      <c r="H73" s="79"/>
      <c r="I73" s="79"/>
      <c r="J73" s="79"/>
      <c r="K73" s="79"/>
    </row>
    <row r="82" spans="1:11" x14ac:dyDescent="0.35">
      <c r="A82" s="79"/>
      <c r="B82" s="79"/>
      <c r="C82" s="79"/>
      <c r="D82" s="79"/>
      <c r="E82" s="79"/>
      <c r="F82" s="79"/>
      <c r="G82" s="79"/>
      <c r="H82" s="79"/>
      <c r="I82" s="79"/>
      <c r="J82" s="79"/>
      <c r="K82" s="79"/>
    </row>
    <row r="83" spans="1:11" x14ac:dyDescent="0.35">
      <c r="A83" s="79"/>
      <c r="B83" s="79"/>
      <c r="C83" s="79"/>
      <c r="D83" s="79"/>
      <c r="E83" s="79"/>
      <c r="F83" s="79"/>
      <c r="G83" s="79"/>
      <c r="H83" s="79"/>
      <c r="I83" s="79"/>
      <c r="J83" s="79"/>
      <c r="K83" s="79"/>
    </row>
    <row r="84" spans="1:11" x14ac:dyDescent="0.35">
      <c r="A84" s="79"/>
      <c r="B84" s="79"/>
      <c r="C84" s="79"/>
      <c r="D84" s="79"/>
      <c r="E84" s="79"/>
      <c r="F84" s="79"/>
      <c r="G84" s="79"/>
      <c r="H84" s="79"/>
      <c r="I84" s="79"/>
      <c r="J84" s="79"/>
      <c r="K84" s="79"/>
    </row>
    <row r="85" spans="1:11" x14ac:dyDescent="0.35">
      <c r="A85" s="79"/>
      <c r="B85" s="79"/>
      <c r="C85" s="79"/>
      <c r="D85" s="79"/>
      <c r="E85" s="79"/>
      <c r="F85" s="79"/>
      <c r="G85" s="79"/>
      <c r="H85" s="79"/>
      <c r="I85" s="79"/>
      <c r="J85" s="79"/>
      <c r="K85" s="79"/>
    </row>
    <row r="86" spans="1:11" x14ac:dyDescent="0.35">
      <c r="A86" s="79"/>
      <c r="B86" s="79"/>
      <c r="C86" s="79"/>
      <c r="D86" s="79"/>
      <c r="E86" s="79"/>
      <c r="F86" s="79"/>
      <c r="G86" s="79"/>
      <c r="H86" s="79"/>
      <c r="I86" s="79"/>
      <c r="J86" s="79"/>
      <c r="K86" s="79"/>
    </row>
    <row r="87" spans="1:11" x14ac:dyDescent="0.35">
      <c r="A87" s="79"/>
      <c r="B87" s="79"/>
      <c r="C87" s="79"/>
      <c r="D87" s="79"/>
      <c r="E87" s="79"/>
      <c r="F87" s="79"/>
      <c r="G87" s="79"/>
      <c r="H87" s="79"/>
      <c r="I87" s="79"/>
      <c r="J87" s="79"/>
      <c r="K87" s="79"/>
    </row>
    <row r="88" spans="1:11" x14ac:dyDescent="0.35">
      <c r="A88" s="79"/>
      <c r="B88" s="79"/>
      <c r="C88" s="79"/>
      <c r="D88" s="79"/>
      <c r="E88" s="79"/>
      <c r="F88" s="79"/>
      <c r="G88" s="79"/>
      <c r="H88" s="79"/>
      <c r="I88" s="79"/>
      <c r="J88" s="79"/>
      <c r="K88" s="79"/>
    </row>
    <row r="89" spans="1:11" x14ac:dyDescent="0.35">
      <c r="A89" s="79"/>
      <c r="B89" s="79"/>
      <c r="C89" s="79"/>
      <c r="D89" s="79"/>
      <c r="E89" s="79"/>
      <c r="F89" s="79"/>
      <c r="G89" s="79"/>
      <c r="H89" s="79"/>
      <c r="I89" s="79"/>
      <c r="J89" s="79"/>
      <c r="K89" s="79"/>
    </row>
    <row r="90" spans="1:11" x14ac:dyDescent="0.35">
      <c r="A90" s="71"/>
      <c r="B90" s="71"/>
      <c r="C90" s="72"/>
      <c r="D90" s="71"/>
      <c r="E90" s="71"/>
      <c r="F90" s="72"/>
      <c r="G90" s="72"/>
      <c r="H90" s="72"/>
      <c r="I90" s="72"/>
      <c r="J90" s="72"/>
      <c r="K90" s="72"/>
    </row>
    <row r="98" spans="1:11" x14ac:dyDescent="0.35">
      <c r="A98" s="79"/>
      <c r="B98" s="79"/>
      <c r="C98" s="79"/>
      <c r="D98" s="79"/>
      <c r="E98" s="79"/>
      <c r="F98" s="79"/>
      <c r="G98" s="79"/>
      <c r="H98" s="79"/>
      <c r="I98" s="79"/>
      <c r="J98" s="79"/>
      <c r="K98" s="79"/>
    </row>
    <row r="99" spans="1:11" x14ac:dyDescent="0.35">
      <c r="A99" s="79"/>
      <c r="B99" s="79"/>
      <c r="C99" s="79"/>
      <c r="D99" s="79"/>
      <c r="E99" s="79"/>
      <c r="F99" s="79"/>
      <c r="G99" s="79"/>
      <c r="H99" s="79"/>
      <c r="I99" s="79"/>
      <c r="J99" s="79"/>
      <c r="K99" s="79"/>
    </row>
    <row r="100" spans="1:11" x14ac:dyDescent="0.35">
      <c r="A100" s="79"/>
      <c r="B100" s="79"/>
      <c r="C100" s="79"/>
      <c r="D100" s="79"/>
      <c r="E100" s="79"/>
      <c r="F100" s="79"/>
      <c r="G100" s="79"/>
      <c r="H100" s="79"/>
      <c r="I100" s="79"/>
      <c r="J100" s="79"/>
      <c r="K100" s="79"/>
    </row>
    <row r="101" spans="1:11" x14ac:dyDescent="0.35">
      <c r="A101" s="79"/>
      <c r="B101" s="79"/>
      <c r="C101" s="79"/>
      <c r="D101" s="79"/>
      <c r="E101" s="79"/>
      <c r="F101" s="79"/>
      <c r="G101" s="79"/>
      <c r="H101" s="79"/>
      <c r="I101" s="79"/>
      <c r="J101" s="79"/>
      <c r="K101" s="79"/>
    </row>
    <row r="102" spans="1:11" x14ac:dyDescent="0.35">
      <c r="A102" s="79"/>
      <c r="B102" s="79"/>
      <c r="C102" s="79"/>
      <c r="D102" s="79"/>
      <c r="E102" s="79"/>
      <c r="F102" s="79"/>
      <c r="G102" s="79"/>
      <c r="H102" s="79"/>
      <c r="I102" s="79"/>
      <c r="J102" s="79"/>
      <c r="K102" s="79"/>
    </row>
    <row r="103" spans="1:11" x14ac:dyDescent="0.35">
      <c r="A103" s="79"/>
      <c r="B103" s="79"/>
      <c r="C103" s="79"/>
      <c r="D103" s="79"/>
      <c r="E103" s="79"/>
      <c r="F103" s="79"/>
      <c r="G103" s="79"/>
      <c r="H103" s="79"/>
      <c r="I103" s="79"/>
      <c r="J103" s="79"/>
      <c r="K103" s="79"/>
    </row>
    <row r="104" spans="1:11" x14ac:dyDescent="0.35">
      <c r="A104" s="79"/>
      <c r="B104" s="79"/>
      <c r="C104" s="79"/>
      <c r="D104" s="79"/>
      <c r="E104" s="79"/>
      <c r="F104" s="79"/>
      <c r="G104" s="79"/>
      <c r="H104" s="79"/>
      <c r="I104" s="79"/>
      <c r="J104" s="79"/>
      <c r="K104" s="79"/>
    </row>
    <row r="105" spans="1:11" x14ac:dyDescent="0.35">
      <c r="A105" s="79"/>
      <c r="B105" s="79"/>
      <c r="C105" s="79"/>
      <c r="D105" s="79"/>
      <c r="E105" s="79"/>
      <c r="F105" s="79"/>
      <c r="G105" s="79"/>
      <c r="H105" s="79"/>
      <c r="I105" s="79"/>
      <c r="J105" s="79"/>
      <c r="K105" s="79"/>
    </row>
    <row r="114" spans="1:11" x14ac:dyDescent="0.35">
      <c r="A114" s="79"/>
      <c r="B114" s="79"/>
      <c r="C114" s="79"/>
      <c r="D114" s="79"/>
      <c r="E114" s="79"/>
      <c r="F114" s="79"/>
      <c r="G114" s="79"/>
      <c r="H114" s="79"/>
      <c r="I114" s="79"/>
      <c r="J114" s="79"/>
      <c r="K114" s="79"/>
    </row>
    <row r="115" spans="1:11" x14ac:dyDescent="0.35">
      <c r="A115" s="79"/>
      <c r="B115" s="79"/>
      <c r="C115" s="79"/>
      <c r="D115" s="79"/>
      <c r="E115" s="79"/>
      <c r="F115" s="79"/>
      <c r="G115" s="79"/>
      <c r="H115" s="79"/>
      <c r="I115" s="79"/>
      <c r="J115" s="79"/>
      <c r="K115" s="79"/>
    </row>
    <row r="116" spans="1:11" x14ac:dyDescent="0.35">
      <c r="A116" s="79"/>
      <c r="B116" s="79"/>
      <c r="C116" s="79"/>
      <c r="D116" s="79"/>
      <c r="E116" s="79"/>
      <c r="F116" s="79"/>
      <c r="G116" s="79"/>
      <c r="H116" s="79"/>
      <c r="I116" s="79"/>
      <c r="J116" s="79"/>
      <c r="K116" s="79"/>
    </row>
    <row r="117" spans="1:11" x14ac:dyDescent="0.35">
      <c r="A117" s="79"/>
      <c r="B117" s="79"/>
      <c r="C117" s="79"/>
      <c r="D117" s="79"/>
      <c r="E117" s="79"/>
      <c r="F117" s="79"/>
      <c r="G117" s="79"/>
      <c r="H117" s="79"/>
      <c r="I117" s="79"/>
      <c r="J117" s="79"/>
      <c r="K117" s="79"/>
    </row>
    <row r="118" spans="1:11" x14ac:dyDescent="0.35">
      <c r="A118" s="79"/>
      <c r="B118" s="79"/>
      <c r="C118" s="79"/>
      <c r="D118" s="79"/>
      <c r="E118" s="79"/>
      <c r="F118" s="79"/>
      <c r="G118" s="79"/>
      <c r="H118" s="79"/>
      <c r="I118" s="79"/>
      <c r="J118" s="79"/>
      <c r="K118" s="79"/>
    </row>
    <row r="119" spans="1:11" x14ac:dyDescent="0.35">
      <c r="A119" s="79"/>
      <c r="B119" s="79"/>
      <c r="C119" s="79"/>
      <c r="D119" s="79"/>
      <c r="E119" s="79"/>
      <c r="F119" s="79"/>
      <c r="G119" s="79"/>
      <c r="H119" s="79"/>
      <c r="I119" s="79"/>
      <c r="J119" s="79"/>
      <c r="K119" s="79"/>
    </row>
    <row r="120" spans="1:11" x14ac:dyDescent="0.35">
      <c r="A120" s="79"/>
      <c r="B120" s="79"/>
      <c r="C120" s="79"/>
      <c r="D120" s="79"/>
      <c r="E120" s="79"/>
      <c r="F120" s="79"/>
      <c r="G120" s="79"/>
      <c r="H120" s="79"/>
      <c r="I120" s="79"/>
      <c r="J120" s="79"/>
      <c r="K120" s="79"/>
    </row>
    <row r="121" spans="1:11" x14ac:dyDescent="0.35">
      <c r="A121" s="79"/>
      <c r="B121" s="79"/>
      <c r="C121" s="79"/>
      <c r="D121" s="79"/>
      <c r="E121" s="79"/>
      <c r="F121" s="79"/>
      <c r="G121" s="79"/>
      <c r="H121" s="79"/>
      <c r="I121" s="79"/>
      <c r="J121" s="79"/>
      <c r="K121" s="79"/>
    </row>
    <row r="154" spans="1:11" x14ac:dyDescent="0.35">
      <c r="A154" s="71"/>
      <c r="B154" s="71"/>
      <c r="C154" s="72"/>
      <c r="D154" s="71"/>
      <c r="E154" s="71"/>
      <c r="F154" s="72"/>
      <c r="G154" s="72"/>
      <c r="H154" s="72"/>
      <c r="I154" s="72"/>
      <c r="J154" s="72"/>
      <c r="K154" s="72"/>
    </row>
    <row r="218" spans="1:11" x14ac:dyDescent="0.35">
      <c r="A218" s="71"/>
      <c r="B218" s="71"/>
      <c r="C218" s="72"/>
      <c r="D218" s="71"/>
      <c r="E218" s="71"/>
      <c r="F218" s="72"/>
      <c r="G218" s="72"/>
      <c r="H218" s="72"/>
      <c r="I218" s="72"/>
      <c r="J218" s="72"/>
      <c r="K218" s="72"/>
    </row>
    <row r="282" spans="1:11" x14ac:dyDescent="0.35">
      <c r="A282" s="71"/>
      <c r="B282" s="71"/>
      <c r="C282" s="72"/>
      <c r="D282" s="71"/>
      <c r="E282" s="71"/>
      <c r="F282" s="72"/>
      <c r="G282" s="72"/>
      <c r="H282" s="72"/>
      <c r="I282" s="72"/>
      <c r="J282" s="72"/>
      <c r="K282" s="72"/>
    </row>
    <row r="346" spans="1:11" x14ac:dyDescent="0.35">
      <c r="A346" s="71"/>
      <c r="B346" s="71"/>
      <c r="C346" s="72"/>
      <c r="D346" s="71"/>
      <c r="E346" s="71"/>
      <c r="F346" s="72"/>
      <c r="G346" s="72"/>
      <c r="H346" s="72"/>
      <c r="I346" s="72"/>
      <c r="J346" s="72"/>
      <c r="K346" s="72"/>
    </row>
    <row r="410" spans="1:11" x14ac:dyDescent="0.35">
      <c r="A410" s="71"/>
      <c r="B410" s="71"/>
      <c r="C410" s="72"/>
      <c r="D410" s="71"/>
      <c r="E410" s="71"/>
      <c r="F410" s="72"/>
      <c r="G410" s="72"/>
      <c r="H410" s="72"/>
      <c r="I410" s="72"/>
      <c r="J410" s="72"/>
      <c r="K410" s="72"/>
    </row>
    <row r="474" spans="1:11" x14ac:dyDescent="0.35">
      <c r="A474" s="71"/>
      <c r="B474" s="71"/>
      <c r="C474" s="72"/>
      <c r="D474" s="71"/>
      <c r="E474" s="71"/>
      <c r="F474" s="72"/>
      <c r="G474" s="72"/>
      <c r="H474" s="72"/>
      <c r="I474" s="72"/>
      <c r="J474" s="72"/>
      <c r="K474" s="72"/>
    </row>
    <row r="538" spans="1:11" x14ac:dyDescent="0.35">
      <c r="A538" s="71"/>
      <c r="B538" s="71"/>
      <c r="C538" s="72"/>
      <c r="D538" s="71"/>
      <c r="E538" s="71"/>
      <c r="F538" s="72"/>
      <c r="G538" s="72"/>
      <c r="H538" s="72"/>
      <c r="I538" s="72"/>
      <c r="J538" s="72"/>
      <c r="K538" s="72"/>
    </row>
  </sheetData>
  <pageMargins left="0.7" right="0.7" top="0.75" bottom="0.75" header="0.3" footer="0.3"/>
  <pageSetup paperSize="9"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1075c0a-66fe-41b2-b9b9-96fab4c03331" xsi:nil="true"/>
    <lcf76f155ced4ddcb4097134ff3c332f xmlns="7862ba92-1ed1-4299-8be4-2b023bdc01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7FFC2331863D440B8D941E06DE106C1" ma:contentTypeVersion="13" ma:contentTypeDescription="Create a new document." ma:contentTypeScope="" ma:versionID="ad4c3c1cb64d9fcfb60672d0068ece0e">
  <xsd:schema xmlns:xsd="http://www.w3.org/2001/XMLSchema" xmlns:xs="http://www.w3.org/2001/XMLSchema" xmlns:p="http://schemas.microsoft.com/office/2006/metadata/properties" xmlns:ns2="e1075c0a-66fe-41b2-b9b9-96fab4c03331" xmlns:ns3="7862ba92-1ed1-4299-8be4-2b023bdc0104" targetNamespace="http://schemas.microsoft.com/office/2006/metadata/properties" ma:root="true" ma:fieldsID="43ce0416eb06a7d96c9409e5cd366173" ns2:_="" ns3:_="">
    <xsd:import namespace="e1075c0a-66fe-41b2-b9b9-96fab4c03331"/>
    <xsd:import namespace="7862ba92-1ed1-4299-8be4-2b023bdc010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lcf76f155ced4ddcb4097134ff3c332f" minOccurs="0"/>
                <xsd:element ref="ns2:TaxCatchAll"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075c0a-66fe-41b2-b9b9-96fab4c033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715f1bef-5212-4ac6-8faa-53ca9d01fd62}" ma:internalName="TaxCatchAll" ma:showField="CatchAllData" ma:web="e1075c0a-66fe-41b2-b9b9-96fab4c0333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862ba92-1ed1-4299-8be4-2b023bdc010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4F460E-A821-45FA-ADAF-110259797661}">
  <ds:schemaRefs>
    <ds:schemaRef ds:uri="http://schemas.microsoft.com/sharepoint/v3/contenttype/forms"/>
  </ds:schemaRefs>
</ds:datastoreItem>
</file>

<file path=customXml/itemProps2.xml><?xml version="1.0" encoding="utf-8"?>
<ds:datastoreItem xmlns:ds="http://schemas.openxmlformats.org/officeDocument/2006/customXml" ds:itemID="{B7C2D374-EE1C-4AA4-B86F-4ECABEF512F3}">
  <ds:schemaRefs>
    <ds:schemaRef ds:uri="http://schemas.microsoft.com/office/2006/documentManagement/types"/>
    <ds:schemaRef ds:uri="e1075c0a-66fe-41b2-b9b9-96fab4c03331"/>
    <ds:schemaRef ds:uri="http://purl.org/dc/elements/1.1/"/>
    <ds:schemaRef ds:uri="7862ba92-1ed1-4299-8be4-2b023bdc0104"/>
    <ds:schemaRef ds:uri="http://schemas.microsoft.com/office/2006/metadata/properties"/>
    <ds:schemaRef ds:uri="http://purl.org/dc/terms/"/>
    <ds:schemaRef ds:uri="http://schemas.microsoft.com/office/infopath/2007/PartnerControl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25B9BA8A-7276-4498-865A-F84A142EE8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075c0a-66fe-41b2-b9b9-96fab4c03331"/>
    <ds:schemaRef ds:uri="7862ba92-1ed1-4299-8be4-2b023bdc01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Design</vt:lpstr>
      <vt:lpstr>Site</vt:lpstr>
      <vt:lpstr>Experiment</vt:lpstr>
      <vt:lpstr>Plan</vt:lpstr>
      <vt:lpstr>Diary</vt:lpstr>
      <vt:lpstr>Seed</vt:lpstr>
      <vt:lpstr>Management</vt:lpstr>
      <vt:lpstr>Measurements</vt:lpstr>
      <vt:lpstr>Irrigation</vt:lpstr>
      <vt:lpstr>Soil sampling</vt:lpstr>
      <vt:lpstr>Predicta B</vt:lpstr>
      <vt:lpstr>Weather</vt:lpstr>
      <vt:lpstr>Emergence</vt:lpstr>
      <vt:lpstr>GravimetricMoistureNearSowing</vt:lpstr>
      <vt:lpstr>Population</vt:lpstr>
      <vt:lpstr>Bare soil NDVI</vt:lpstr>
      <vt:lpstr>NDVI &amp; height</vt:lpstr>
      <vt:lpstr>Canopy Height</vt:lpstr>
      <vt:lpstr>Haun stage </vt:lpstr>
      <vt:lpstr>Leaf angle measurement</vt:lpstr>
      <vt:lpstr>Tiller No</vt:lpstr>
      <vt:lpstr>Leaf measurement</vt:lpstr>
      <vt:lpstr>PCDS 6.0</vt:lpstr>
      <vt:lpstr>PCDS 6.0 harvest</vt:lpstr>
      <vt:lpstr>PCDS 8.0</vt:lpstr>
      <vt:lpstr>PCDS 8.0 harvest</vt:lpstr>
      <vt:lpstr>Sterility measurement (frost)</vt:lpstr>
      <vt:lpstr>PCDS 10.0 harvest</vt:lpstr>
      <vt:lpstr>Machine harvest</vt:lpstr>
    </vt:vector>
  </TitlesOfParts>
  <Manager/>
  <Company>The University of Melbourne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Corinne Celestina</dc:creator>
  <cp:keywords/>
  <dc:description/>
  <cp:lastModifiedBy>Edmar Teixeira</cp:lastModifiedBy>
  <cp:revision/>
  <dcterms:created xsi:type="dcterms:W3CDTF">2023-06-06T01:52:09Z</dcterms:created>
  <dcterms:modified xsi:type="dcterms:W3CDTF">2025-12-03T20:36:56Z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0x010100C7FFC2331863D440B8D941E06DE106C1</vt:lpwstr>
  </property>
  <property fmtid="{D5CDD505-2E9C-101B-9397-08002B2CF9AE}" pid="3" name="MediaServiceImageTags">
    <vt:lpwstr/>
  </property>
  <property fmtid="{D5CDD505-2E9C-101B-9397-08002B2CF9AE}" pid="4" name="MSIP_Label_8d8f3512-c98a-4fbc-ad6e-3260f1cde3f8_Enabled">
    <vt:lpwstr>true</vt:lpwstr>
  </property>
  <property fmtid="{D5CDD505-2E9C-101B-9397-08002B2CF9AE}" pid="5" name="MSIP_Label_8d8f3512-c98a-4fbc-ad6e-3260f1cde3f8_SetDate">
    <vt:lpwstr>2025-12-02T19:10:12Z</vt:lpwstr>
  </property>
  <property fmtid="{D5CDD505-2E9C-101B-9397-08002B2CF9AE}" pid="6" name="MSIP_Label_8d8f3512-c98a-4fbc-ad6e-3260f1cde3f8_Method">
    <vt:lpwstr>Standard</vt:lpwstr>
  </property>
  <property fmtid="{D5CDD505-2E9C-101B-9397-08002B2CF9AE}" pid="7" name="MSIP_Label_8d8f3512-c98a-4fbc-ad6e-3260f1cde3f8_Name">
    <vt:lpwstr>Internal</vt:lpwstr>
  </property>
  <property fmtid="{D5CDD505-2E9C-101B-9397-08002B2CF9AE}" pid="8" name="MSIP_Label_8d8f3512-c98a-4fbc-ad6e-3260f1cde3f8_SiteId">
    <vt:lpwstr>6ca75ef7-2c66-42e7-af2c-6502153a7e3a</vt:lpwstr>
  </property>
  <property fmtid="{D5CDD505-2E9C-101B-9397-08002B2CF9AE}" pid="9" name="MSIP_Label_8d8f3512-c98a-4fbc-ad6e-3260f1cde3f8_ActionId">
    <vt:lpwstr>fa4b09a5-5649-40d5-a8c2-9e50b44b0f33</vt:lpwstr>
  </property>
  <property fmtid="{D5CDD505-2E9C-101B-9397-08002B2CF9AE}" pid="10" name="MSIP_Label_8d8f3512-c98a-4fbc-ad6e-3260f1cde3f8_ContentBits">
    <vt:lpwstr>0</vt:lpwstr>
  </property>
  <property fmtid="{D5CDD505-2E9C-101B-9397-08002B2CF9AE}" pid="11" name="MSIP_Label_8d8f3512-c98a-4fbc-ad6e-3260f1cde3f8_Tag">
    <vt:lpwstr>10, 3, 0, 1</vt:lpwstr>
  </property>
</Properties>
</file>