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Repos\ApsimX\Tests\Validation\Wheat\Dookie2024\"/>
    </mc:Choice>
  </mc:AlternateContent>
  <xr:revisionPtr revIDLastSave="0" documentId="13_ncr:1_{4B8A86FD-74FC-4985-AAED-BA846737B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ed" sheetId="1" r:id="rId1"/>
    <sheet name="WorkedForInpu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B11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B12" i="2"/>
  <c r="C12" i="2"/>
  <c r="D12" i="2"/>
  <c r="A12" i="2"/>
</calcChain>
</file>

<file path=xl/sharedStrings.xml><?xml version="1.0" encoding="utf-8"?>
<sst xmlns="http://schemas.openxmlformats.org/spreadsheetml/2006/main" count="270" uniqueCount="34">
  <si>
    <t>Wheat.Phenology.HaunStage</t>
  </si>
  <si>
    <t>Wheat.Phenology.Stage</t>
  </si>
  <si>
    <t>Wheat.Leaf.CoverTotal</t>
  </si>
  <si>
    <t>Wheat.Leaf.Height</t>
  </si>
  <si>
    <t>Wheat.Leaf.Live.Wt</t>
  </si>
  <si>
    <t>Wheat.Leaf.Dead.Wt</t>
  </si>
  <si>
    <t>Wheat.Stem.Wt</t>
  </si>
  <si>
    <t>Wheat.Spike.Wt</t>
  </si>
  <si>
    <t>Wheat.AboveGround.Wt</t>
  </si>
  <si>
    <t>Wheat.Ear.Wt</t>
  </si>
  <si>
    <t>Wheat.Grain.Wt</t>
  </si>
  <si>
    <t>Wheat.Grain.Size</t>
  </si>
  <si>
    <t>Wheat.Grain.Number</t>
  </si>
  <si>
    <t>SimulationName</t>
  </si>
  <si>
    <t>Clock.Today</t>
  </si>
  <si>
    <t>DookieEVA2024SowApril_BigRed</t>
  </si>
  <si>
    <t>DookieEVA2024SowApril_Illabo</t>
  </si>
  <si>
    <t>DookieEVA2024SowApril_UOM001_3_47</t>
  </si>
  <si>
    <t>DookieEVA2024SowApril_UOM001_9_1</t>
  </si>
  <si>
    <t>DookieEVA2024SowMay_Sunmaster</t>
  </si>
  <si>
    <t>DookieEVA2024SowMay_UOM001_3_47</t>
  </si>
  <si>
    <t>DookieEVA2024SowMay_UOM001_9_1</t>
  </si>
  <si>
    <t>DookieEVA2024SowMay_Zanzibar</t>
  </si>
  <si>
    <t>Wheat.Phenology.CurrentStageName</t>
  </si>
  <si>
    <t>HarvestRipe</t>
  </si>
  <si>
    <t>Row Labels</t>
  </si>
  <si>
    <t>Column Labels</t>
  </si>
  <si>
    <t>Max of Clock.Today</t>
  </si>
  <si>
    <t>[Wheat].Phenology.Flowering.DateToProgress</t>
  </si>
  <si>
    <t>[Wheat].Phenology.StemElongating.DateToProgress</t>
  </si>
  <si>
    <t>[Wheat].Phenology.Emerging.DateToProgress</t>
  </si>
  <si>
    <t>Stage</t>
  </si>
  <si>
    <t>ParameterName</t>
  </si>
  <si>
    <t>Spectral.NDVI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</si>
</sst>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numFmt numFmtId="165" formatCode="dd\-m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ar Teixeira" refreshedDate="45979.393896296293" createdVersion="8" refreshedVersion="8" minRefreshableVersion="3" recordCount="229" xr:uid="{41E8A033-4646-41C9-A8EC-9AB93A3506AB}">
  <cacheSource type="worksheet">
    <worksheetSource ref="A1:Q1048576" sheet="Observed"/>
  </cacheSource>
  <cacheFields count="17">
    <cacheField name="SimulationName" numFmtId="0">
      <sharedItems containsBlank="1" count="9">
        <s v="DookieEVA2024SowApril_BigRed"/>
        <s v="DookieEVA2024SowApril_Illabo"/>
        <s v="DookieEVA2024SowApril_UOM001_3_47"/>
        <s v="DookieEVA2024SowApril_UOM001_9_1"/>
        <s v="DookieEVA2024SowMay_Sunmaster"/>
        <s v="DookieEVA2024SowMay_UOM001_3_47"/>
        <s v="DookieEVA2024SowMay_UOM001_9_1"/>
        <s v="DookieEVA2024SowMay_Zanzibar"/>
        <m/>
      </sharedItems>
    </cacheField>
    <cacheField name="Clock.Today" numFmtId="0">
      <sharedItems containsNonDate="0" containsDate="1" containsString="0" containsBlank="1" minDate="2024-04-27T00:00:00" maxDate="2024-11-15T00:00:00"/>
    </cacheField>
    <cacheField name="NDVIModel.Script.NDVI" numFmtId="0">
      <sharedItems containsString="0" containsBlank="1" containsNumber="1" minValue="9.7500000000000003E-2" maxValue="0.84749999999999992"/>
    </cacheField>
    <cacheField name="Wheat.Phenology.HaunStage" numFmtId="0">
      <sharedItems containsString="0" containsBlank="1" containsNumber="1" minValue="3.041666666666667" maxValue="13.875"/>
    </cacheField>
    <cacheField name="Wheat.Phenology.Stage" numFmtId="0">
      <sharedItems containsString="0" containsBlank="1" containsNumber="1" containsInteger="1" minValue="3" maxValue="8" count="4">
        <m/>
        <n v="3"/>
        <n v="6"/>
        <n v="8"/>
      </sharedItems>
    </cacheField>
    <cacheField name="Wheat.Leaf.CoverTotal" numFmtId="0">
      <sharedItems containsString="0" containsBlank="1" containsNumber="1" minValue="0.92074999999999996" maxValue="0.98649999999999993"/>
    </cacheField>
    <cacheField name="Wheat.Leaf.Height" numFmtId="0">
      <sharedItems containsString="0" containsBlank="1" containsNumber="1" minValue="525" maxValue="952.5"/>
    </cacheField>
    <cacheField name="Wheat.Leaf.Live.Wt" numFmtId="0">
      <sharedItems containsString="0" containsBlank="1" containsNumber="1" minValue="174.2857657171669" maxValue="256.32685976797569"/>
    </cacheField>
    <cacheField name="Wheat.Leaf.Dead.Wt" numFmtId="0">
      <sharedItems containsString="0" containsBlank="1" containsNumber="1" minValue="7.95913623930831" maxValue="108.3883947925984"/>
    </cacheField>
    <cacheField name="Wheat.Stem.Wt" numFmtId="0">
      <sharedItems containsString="0" containsBlank="1" containsNumber="1" minValue="216.56605720483449" maxValue="653.19812315684135"/>
    </cacheField>
    <cacheField name="Wheat.Spike.Wt" numFmtId="0">
      <sharedItems containsString="0" containsBlank="1" containsNumber="1" minValue="18.150858440559141" maxValue="198.45085618998519"/>
    </cacheField>
    <cacheField name="Wheat.AboveGround.Wt" numFmtId="0">
      <sharedItems containsString="0" containsBlank="1" containsNumber="1" minValue="547.27620276717471" maxValue="1306.6648052274991"/>
    </cacheField>
    <cacheField name="Wheat.Ear.Wt" numFmtId="0">
      <sharedItems containsString="0" containsBlank="1" containsNumber="1" minValue="18.150858440559141" maxValue="921.18085618998521"/>
    </cacheField>
    <cacheField name="Wheat.Grain.Wt" numFmtId="0">
      <sharedItems containsString="0" containsBlank="1" containsNumber="1" minValue="423.08499999999998" maxValue="722.73"/>
    </cacheField>
    <cacheField name="Wheat.Grain.Size" numFmtId="0">
      <sharedItems containsString="0" containsBlank="1" containsNumber="1" minValue="3.6766121742771288E-2" maxValue="4.3556218905472642E-2"/>
    </cacheField>
    <cacheField name="Wheat.Grain.Number" numFmtId="0">
      <sharedItems containsString="0" containsBlank="1" containsNumber="1" minValue="9738.7459024403233" maxValue="17964.896618129951"/>
    </cacheField>
    <cacheField name="Wheat.Phenology.CurrentStage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d v="2024-05-31T00:00:00"/>
    <n v="0.29249999999999998"/>
    <m/>
    <x v="0"/>
    <m/>
    <m/>
    <m/>
    <m/>
    <m/>
    <m/>
    <m/>
    <m/>
    <m/>
    <m/>
    <m/>
    <m/>
  </r>
  <r>
    <x v="0"/>
    <d v="2024-06-17T00:00:00"/>
    <n v="0.41"/>
    <m/>
    <x v="0"/>
    <m/>
    <m/>
    <m/>
    <m/>
    <m/>
    <m/>
    <m/>
    <m/>
    <m/>
    <m/>
    <m/>
    <m/>
  </r>
  <r>
    <x v="0"/>
    <d v="2024-07-01T00:00:00"/>
    <n v="0.52249999999999996"/>
    <m/>
    <x v="0"/>
    <m/>
    <m/>
    <m/>
    <m/>
    <m/>
    <m/>
    <m/>
    <m/>
    <m/>
    <m/>
    <m/>
    <m/>
  </r>
  <r>
    <x v="0"/>
    <d v="2024-07-14T00:00:00"/>
    <n v="0.60250000000000004"/>
    <m/>
    <x v="0"/>
    <m/>
    <m/>
    <m/>
    <m/>
    <m/>
    <m/>
    <m/>
    <m/>
    <m/>
    <m/>
    <m/>
    <m/>
  </r>
  <r>
    <x v="0"/>
    <d v="2024-07-29T00:00:00"/>
    <n v="0.65249999999999997"/>
    <m/>
    <x v="0"/>
    <m/>
    <m/>
    <m/>
    <m/>
    <m/>
    <m/>
    <m/>
    <m/>
    <m/>
    <m/>
    <m/>
    <m/>
  </r>
  <r>
    <x v="0"/>
    <d v="2024-08-09T00:00:00"/>
    <n v="0.69499999999999995"/>
    <m/>
    <x v="0"/>
    <m/>
    <m/>
    <m/>
    <m/>
    <m/>
    <m/>
    <m/>
    <m/>
    <m/>
    <m/>
    <m/>
    <m/>
  </r>
  <r>
    <x v="0"/>
    <d v="2024-08-22T00:00:00"/>
    <n v="0.65"/>
    <m/>
    <x v="0"/>
    <m/>
    <m/>
    <m/>
    <m/>
    <m/>
    <m/>
    <m/>
    <m/>
    <m/>
    <m/>
    <m/>
    <m/>
  </r>
  <r>
    <x v="0"/>
    <d v="2024-09-13T00:00:00"/>
    <n v="0.8"/>
    <m/>
    <x v="0"/>
    <m/>
    <m/>
    <m/>
    <m/>
    <m/>
    <m/>
    <m/>
    <m/>
    <m/>
    <m/>
    <m/>
    <m/>
  </r>
  <r>
    <x v="0"/>
    <d v="2024-09-24T00:00:00"/>
    <n v="0.81"/>
    <m/>
    <x v="0"/>
    <m/>
    <m/>
    <m/>
    <m/>
    <m/>
    <m/>
    <m/>
    <m/>
    <m/>
    <m/>
    <m/>
    <m/>
  </r>
  <r>
    <x v="0"/>
    <d v="2024-10-06T00:00:00"/>
    <n v="0.76"/>
    <m/>
    <x v="0"/>
    <m/>
    <m/>
    <m/>
    <m/>
    <m/>
    <m/>
    <m/>
    <m/>
    <m/>
    <m/>
    <m/>
    <m/>
  </r>
  <r>
    <x v="0"/>
    <d v="2024-10-17T00:00:00"/>
    <n v="0.59749999999999992"/>
    <m/>
    <x v="0"/>
    <m/>
    <m/>
    <m/>
    <m/>
    <m/>
    <m/>
    <m/>
    <m/>
    <m/>
    <m/>
    <m/>
    <m/>
  </r>
  <r>
    <x v="0"/>
    <d v="2024-10-29T00:00:00"/>
    <n v="0.4975"/>
    <m/>
    <x v="0"/>
    <m/>
    <m/>
    <m/>
    <m/>
    <m/>
    <m/>
    <m/>
    <m/>
    <m/>
    <m/>
    <m/>
    <m/>
  </r>
  <r>
    <x v="0"/>
    <d v="2024-11-13T00:00:00"/>
    <n v="0.125"/>
    <m/>
    <x v="0"/>
    <m/>
    <m/>
    <m/>
    <m/>
    <m/>
    <m/>
    <m/>
    <m/>
    <m/>
    <m/>
    <m/>
    <m/>
  </r>
  <r>
    <x v="1"/>
    <d v="2024-05-31T00:00:00"/>
    <n v="0.30249999999999999"/>
    <m/>
    <x v="0"/>
    <m/>
    <m/>
    <m/>
    <m/>
    <m/>
    <m/>
    <m/>
    <m/>
    <m/>
    <m/>
    <m/>
    <m/>
  </r>
  <r>
    <x v="1"/>
    <d v="2024-06-17T00:00:00"/>
    <n v="0.39"/>
    <m/>
    <x v="0"/>
    <m/>
    <m/>
    <m/>
    <m/>
    <m/>
    <m/>
    <m/>
    <m/>
    <m/>
    <m/>
    <m/>
    <m/>
  </r>
  <r>
    <x v="1"/>
    <d v="2024-07-01T00:00:00"/>
    <n v="0.51"/>
    <m/>
    <x v="0"/>
    <m/>
    <m/>
    <m/>
    <m/>
    <m/>
    <m/>
    <m/>
    <m/>
    <m/>
    <m/>
    <m/>
    <m/>
  </r>
  <r>
    <x v="1"/>
    <d v="2024-07-14T00:00:00"/>
    <n v="0.58499999999999996"/>
    <m/>
    <x v="0"/>
    <m/>
    <m/>
    <m/>
    <m/>
    <m/>
    <m/>
    <m/>
    <m/>
    <m/>
    <m/>
    <m/>
    <m/>
  </r>
  <r>
    <x v="1"/>
    <d v="2024-07-29T00:00:00"/>
    <n v="0.65"/>
    <m/>
    <x v="0"/>
    <m/>
    <m/>
    <m/>
    <m/>
    <m/>
    <m/>
    <m/>
    <m/>
    <m/>
    <m/>
    <m/>
    <m/>
  </r>
  <r>
    <x v="1"/>
    <d v="2024-08-09T00:00:00"/>
    <n v="0.68500000000000005"/>
    <m/>
    <x v="0"/>
    <m/>
    <m/>
    <m/>
    <m/>
    <m/>
    <m/>
    <m/>
    <m/>
    <m/>
    <m/>
    <m/>
    <m/>
  </r>
  <r>
    <x v="1"/>
    <d v="2024-08-22T00:00:00"/>
    <n v="0.625"/>
    <m/>
    <x v="0"/>
    <m/>
    <m/>
    <m/>
    <m/>
    <m/>
    <m/>
    <m/>
    <m/>
    <m/>
    <m/>
    <m/>
    <m/>
  </r>
  <r>
    <x v="1"/>
    <d v="2024-09-13T00:00:00"/>
    <n v="0.84250000000000003"/>
    <m/>
    <x v="0"/>
    <m/>
    <m/>
    <m/>
    <m/>
    <m/>
    <m/>
    <m/>
    <m/>
    <m/>
    <m/>
    <m/>
    <m/>
  </r>
  <r>
    <x v="1"/>
    <d v="2024-09-24T00:00:00"/>
    <n v="0.8125"/>
    <m/>
    <x v="0"/>
    <m/>
    <m/>
    <m/>
    <m/>
    <m/>
    <m/>
    <m/>
    <m/>
    <m/>
    <m/>
    <m/>
    <m/>
  </r>
  <r>
    <x v="1"/>
    <d v="2024-10-06T00:00:00"/>
    <n v="0.73750000000000004"/>
    <m/>
    <x v="0"/>
    <m/>
    <m/>
    <m/>
    <m/>
    <m/>
    <m/>
    <m/>
    <m/>
    <m/>
    <m/>
    <m/>
    <m/>
  </r>
  <r>
    <x v="1"/>
    <d v="2024-10-17T00:00:00"/>
    <n v="0.57750000000000001"/>
    <m/>
    <x v="0"/>
    <m/>
    <m/>
    <m/>
    <m/>
    <m/>
    <m/>
    <m/>
    <m/>
    <m/>
    <m/>
    <m/>
    <m/>
  </r>
  <r>
    <x v="1"/>
    <d v="2024-10-29T00:00:00"/>
    <n v="0.375"/>
    <m/>
    <x v="0"/>
    <m/>
    <m/>
    <m/>
    <m/>
    <m/>
    <m/>
    <m/>
    <m/>
    <m/>
    <m/>
    <m/>
    <m/>
  </r>
  <r>
    <x v="1"/>
    <d v="2024-11-13T00:00:00"/>
    <n v="0.105"/>
    <m/>
    <x v="0"/>
    <m/>
    <m/>
    <m/>
    <m/>
    <m/>
    <m/>
    <m/>
    <m/>
    <m/>
    <m/>
    <m/>
    <m/>
  </r>
  <r>
    <x v="2"/>
    <d v="2024-05-31T00:00:00"/>
    <n v="0.245"/>
    <m/>
    <x v="0"/>
    <m/>
    <m/>
    <m/>
    <m/>
    <m/>
    <m/>
    <m/>
    <m/>
    <m/>
    <m/>
    <m/>
    <m/>
  </r>
  <r>
    <x v="2"/>
    <d v="2024-06-17T00:00:00"/>
    <n v="0.34"/>
    <m/>
    <x v="0"/>
    <m/>
    <m/>
    <m/>
    <m/>
    <m/>
    <m/>
    <m/>
    <m/>
    <m/>
    <m/>
    <m/>
    <m/>
  </r>
  <r>
    <x v="2"/>
    <d v="2024-07-01T00:00:00"/>
    <n v="0.44500000000000001"/>
    <m/>
    <x v="0"/>
    <m/>
    <m/>
    <m/>
    <m/>
    <m/>
    <m/>
    <m/>
    <m/>
    <m/>
    <m/>
    <m/>
    <m/>
  </r>
  <r>
    <x v="2"/>
    <d v="2024-07-14T00:00:00"/>
    <n v="0.48"/>
    <m/>
    <x v="0"/>
    <m/>
    <m/>
    <m/>
    <m/>
    <m/>
    <m/>
    <m/>
    <m/>
    <m/>
    <m/>
    <m/>
    <m/>
  </r>
  <r>
    <x v="2"/>
    <d v="2024-07-29T00:00:00"/>
    <n v="0.57250000000000001"/>
    <m/>
    <x v="0"/>
    <m/>
    <m/>
    <m/>
    <m/>
    <m/>
    <m/>
    <m/>
    <m/>
    <m/>
    <m/>
    <m/>
    <m/>
  </r>
  <r>
    <x v="2"/>
    <d v="2024-08-09T00:00:00"/>
    <n v="0.60250000000000004"/>
    <m/>
    <x v="0"/>
    <m/>
    <m/>
    <m/>
    <m/>
    <m/>
    <m/>
    <m/>
    <m/>
    <m/>
    <m/>
    <m/>
    <m/>
  </r>
  <r>
    <x v="2"/>
    <d v="2024-08-22T00:00:00"/>
    <n v="0.59499999999999997"/>
    <m/>
    <x v="0"/>
    <m/>
    <m/>
    <m/>
    <m/>
    <m/>
    <m/>
    <m/>
    <m/>
    <m/>
    <m/>
    <m/>
    <m/>
  </r>
  <r>
    <x v="2"/>
    <d v="2024-09-13T00:00:00"/>
    <n v="0.80249999999999999"/>
    <m/>
    <x v="0"/>
    <m/>
    <m/>
    <m/>
    <m/>
    <m/>
    <m/>
    <m/>
    <m/>
    <m/>
    <m/>
    <m/>
    <m/>
  </r>
  <r>
    <x v="2"/>
    <d v="2024-09-24T00:00:00"/>
    <n v="0.75249999999999995"/>
    <m/>
    <x v="0"/>
    <m/>
    <m/>
    <m/>
    <m/>
    <m/>
    <m/>
    <m/>
    <m/>
    <m/>
    <m/>
    <m/>
    <m/>
  </r>
  <r>
    <x v="2"/>
    <d v="2024-10-06T00:00:00"/>
    <n v="0.71"/>
    <m/>
    <x v="0"/>
    <m/>
    <m/>
    <m/>
    <m/>
    <m/>
    <m/>
    <m/>
    <m/>
    <m/>
    <m/>
    <m/>
    <m/>
  </r>
  <r>
    <x v="2"/>
    <d v="2024-10-17T00:00:00"/>
    <n v="0.51500000000000001"/>
    <m/>
    <x v="0"/>
    <m/>
    <m/>
    <m/>
    <m/>
    <m/>
    <m/>
    <m/>
    <m/>
    <m/>
    <m/>
    <m/>
    <m/>
  </r>
  <r>
    <x v="2"/>
    <d v="2024-10-29T00:00:00"/>
    <n v="0.32"/>
    <m/>
    <x v="0"/>
    <m/>
    <m/>
    <m/>
    <m/>
    <m/>
    <m/>
    <m/>
    <m/>
    <m/>
    <m/>
    <m/>
    <m/>
  </r>
  <r>
    <x v="2"/>
    <d v="2024-11-13T00:00:00"/>
    <n v="0.11749999999999999"/>
    <m/>
    <x v="0"/>
    <m/>
    <m/>
    <m/>
    <m/>
    <m/>
    <m/>
    <m/>
    <m/>
    <m/>
    <m/>
    <m/>
    <m/>
  </r>
  <r>
    <x v="3"/>
    <d v="2024-05-31T00:00:00"/>
    <n v="0.27750000000000002"/>
    <m/>
    <x v="0"/>
    <m/>
    <m/>
    <m/>
    <m/>
    <m/>
    <m/>
    <m/>
    <m/>
    <m/>
    <m/>
    <m/>
    <m/>
  </r>
  <r>
    <x v="3"/>
    <d v="2024-06-17T00:00:00"/>
    <n v="0.35749999999999998"/>
    <m/>
    <x v="0"/>
    <m/>
    <m/>
    <m/>
    <m/>
    <m/>
    <m/>
    <m/>
    <m/>
    <m/>
    <m/>
    <m/>
    <m/>
  </r>
  <r>
    <x v="3"/>
    <d v="2024-07-01T00:00:00"/>
    <n v="0.48749999999999999"/>
    <m/>
    <x v="0"/>
    <m/>
    <m/>
    <m/>
    <m/>
    <m/>
    <m/>
    <m/>
    <m/>
    <m/>
    <m/>
    <m/>
    <m/>
  </r>
  <r>
    <x v="3"/>
    <d v="2024-07-14T00:00:00"/>
    <n v="0.53500000000000003"/>
    <m/>
    <x v="0"/>
    <m/>
    <m/>
    <m/>
    <m/>
    <m/>
    <m/>
    <m/>
    <m/>
    <m/>
    <m/>
    <m/>
    <m/>
  </r>
  <r>
    <x v="3"/>
    <d v="2024-07-29T00:00:00"/>
    <n v="0.59"/>
    <m/>
    <x v="0"/>
    <m/>
    <m/>
    <m/>
    <m/>
    <m/>
    <m/>
    <m/>
    <m/>
    <m/>
    <m/>
    <m/>
    <m/>
  </r>
  <r>
    <x v="3"/>
    <d v="2024-08-09T00:00:00"/>
    <n v="0.58499999999999996"/>
    <m/>
    <x v="0"/>
    <m/>
    <m/>
    <m/>
    <m/>
    <m/>
    <m/>
    <m/>
    <m/>
    <m/>
    <m/>
    <m/>
    <m/>
  </r>
  <r>
    <x v="3"/>
    <d v="2024-08-22T00:00:00"/>
    <n v="0.55500000000000005"/>
    <m/>
    <x v="0"/>
    <m/>
    <m/>
    <m/>
    <m/>
    <m/>
    <m/>
    <m/>
    <m/>
    <m/>
    <m/>
    <m/>
    <m/>
  </r>
  <r>
    <x v="3"/>
    <d v="2024-09-13T00:00:00"/>
    <n v="0.80249999999999999"/>
    <m/>
    <x v="0"/>
    <m/>
    <m/>
    <m/>
    <m/>
    <m/>
    <m/>
    <m/>
    <m/>
    <m/>
    <m/>
    <m/>
    <m/>
  </r>
  <r>
    <x v="3"/>
    <d v="2024-09-24T00:00:00"/>
    <n v="0.77500000000000002"/>
    <m/>
    <x v="0"/>
    <m/>
    <m/>
    <m/>
    <m/>
    <m/>
    <m/>
    <m/>
    <m/>
    <m/>
    <m/>
    <m/>
    <m/>
  </r>
  <r>
    <x v="3"/>
    <d v="2024-10-06T00:00:00"/>
    <n v="0.72249999999999992"/>
    <m/>
    <x v="0"/>
    <m/>
    <m/>
    <m/>
    <m/>
    <m/>
    <m/>
    <m/>
    <m/>
    <m/>
    <m/>
    <m/>
    <m/>
  </r>
  <r>
    <x v="3"/>
    <d v="2024-10-17T00:00:00"/>
    <n v="0.57499999999999996"/>
    <m/>
    <x v="0"/>
    <m/>
    <m/>
    <m/>
    <m/>
    <m/>
    <m/>
    <m/>
    <m/>
    <m/>
    <m/>
    <m/>
    <m/>
  </r>
  <r>
    <x v="3"/>
    <d v="2024-10-29T00:00:00"/>
    <n v="0.34499999999999997"/>
    <m/>
    <x v="0"/>
    <m/>
    <m/>
    <m/>
    <m/>
    <m/>
    <m/>
    <m/>
    <m/>
    <m/>
    <m/>
    <m/>
    <m/>
  </r>
  <r>
    <x v="3"/>
    <d v="2024-11-13T00:00:00"/>
    <n v="9.7500000000000003E-2"/>
    <m/>
    <x v="0"/>
    <m/>
    <m/>
    <m/>
    <m/>
    <m/>
    <m/>
    <m/>
    <m/>
    <m/>
    <m/>
    <m/>
    <m/>
  </r>
  <r>
    <x v="4"/>
    <d v="2024-05-31T00:00:00"/>
    <n v="0.17"/>
    <m/>
    <x v="0"/>
    <m/>
    <m/>
    <m/>
    <m/>
    <m/>
    <m/>
    <m/>
    <m/>
    <m/>
    <m/>
    <m/>
    <m/>
  </r>
  <r>
    <x v="4"/>
    <d v="2024-06-17T00:00:00"/>
    <n v="0.17249999999999999"/>
    <m/>
    <x v="0"/>
    <m/>
    <m/>
    <m/>
    <m/>
    <m/>
    <m/>
    <m/>
    <m/>
    <m/>
    <m/>
    <m/>
    <m/>
  </r>
  <r>
    <x v="4"/>
    <d v="2024-07-01T00:00:00"/>
    <n v="0.25750000000000001"/>
    <m/>
    <x v="0"/>
    <m/>
    <m/>
    <m/>
    <m/>
    <m/>
    <m/>
    <m/>
    <m/>
    <m/>
    <m/>
    <m/>
    <m/>
  </r>
  <r>
    <x v="4"/>
    <d v="2024-07-14T00:00:00"/>
    <n v="0.3725"/>
    <m/>
    <x v="0"/>
    <m/>
    <m/>
    <m/>
    <m/>
    <m/>
    <m/>
    <m/>
    <m/>
    <m/>
    <m/>
    <m/>
    <m/>
  </r>
  <r>
    <x v="4"/>
    <d v="2024-07-29T00:00:00"/>
    <n v="0.495"/>
    <m/>
    <x v="0"/>
    <m/>
    <m/>
    <m/>
    <m/>
    <m/>
    <m/>
    <m/>
    <m/>
    <m/>
    <m/>
    <m/>
    <m/>
  </r>
  <r>
    <x v="4"/>
    <d v="2024-08-09T00:00:00"/>
    <n v="0.59499999999999997"/>
    <m/>
    <x v="0"/>
    <m/>
    <m/>
    <m/>
    <m/>
    <m/>
    <m/>
    <m/>
    <m/>
    <m/>
    <m/>
    <m/>
    <m/>
  </r>
  <r>
    <x v="4"/>
    <d v="2024-08-22T00:00:00"/>
    <n v="0.71"/>
    <m/>
    <x v="0"/>
    <m/>
    <m/>
    <m/>
    <m/>
    <m/>
    <m/>
    <m/>
    <m/>
    <m/>
    <m/>
    <m/>
    <m/>
  </r>
  <r>
    <x v="4"/>
    <d v="2024-09-13T00:00:00"/>
    <n v="0.83499999999999996"/>
    <m/>
    <x v="0"/>
    <m/>
    <m/>
    <m/>
    <m/>
    <m/>
    <m/>
    <m/>
    <m/>
    <m/>
    <m/>
    <m/>
    <m/>
  </r>
  <r>
    <x v="4"/>
    <d v="2024-09-24T00:00:00"/>
    <n v="0.78"/>
    <m/>
    <x v="0"/>
    <m/>
    <m/>
    <m/>
    <m/>
    <m/>
    <m/>
    <m/>
    <m/>
    <m/>
    <m/>
    <m/>
    <m/>
  </r>
  <r>
    <x v="4"/>
    <d v="2024-10-06T00:00:00"/>
    <n v="0.745"/>
    <m/>
    <x v="0"/>
    <m/>
    <m/>
    <m/>
    <m/>
    <m/>
    <m/>
    <m/>
    <m/>
    <m/>
    <m/>
    <m/>
    <m/>
  </r>
  <r>
    <x v="4"/>
    <d v="2024-10-17T00:00:00"/>
    <n v="0.61"/>
    <m/>
    <x v="0"/>
    <m/>
    <m/>
    <m/>
    <m/>
    <m/>
    <m/>
    <m/>
    <m/>
    <m/>
    <m/>
    <m/>
    <m/>
  </r>
  <r>
    <x v="4"/>
    <d v="2024-10-29T00:00:00"/>
    <n v="0.40250000000000002"/>
    <m/>
    <x v="0"/>
    <m/>
    <m/>
    <m/>
    <m/>
    <m/>
    <m/>
    <m/>
    <m/>
    <m/>
    <m/>
    <m/>
    <m/>
  </r>
  <r>
    <x v="4"/>
    <d v="2024-11-13T00:00:00"/>
    <n v="0.1275"/>
    <m/>
    <x v="0"/>
    <m/>
    <m/>
    <m/>
    <m/>
    <m/>
    <m/>
    <m/>
    <m/>
    <m/>
    <m/>
    <m/>
    <m/>
  </r>
  <r>
    <x v="5"/>
    <d v="2024-05-31T00:00:00"/>
    <n v="0.17249999999999999"/>
    <m/>
    <x v="0"/>
    <m/>
    <m/>
    <m/>
    <m/>
    <m/>
    <m/>
    <m/>
    <m/>
    <m/>
    <m/>
    <m/>
    <m/>
  </r>
  <r>
    <x v="5"/>
    <d v="2024-06-17T00:00:00"/>
    <n v="0.17"/>
    <m/>
    <x v="0"/>
    <m/>
    <m/>
    <m/>
    <m/>
    <m/>
    <m/>
    <m/>
    <m/>
    <m/>
    <m/>
    <m/>
    <m/>
  </r>
  <r>
    <x v="5"/>
    <d v="2024-07-01T00:00:00"/>
    <n v="0.23749999999999999"/>
    <m/>
    <x v="0"/>
    <m/>
    <m/>
    <m/>
    <m/>
    <m/>
    <m/>
    <m/>
    <m/>
    <m/>
    <m/>
    <m/>
    <m/>
  </r>
  <r>
    <x v="5"/>
    <d v="2024-07-14T00:00:00"/>
    <n v="0.33250000000000002"/>
    <m/>
    <x v="0"/>
    <m/>
    <m/>
    <m/>
    <m/>
    <m/>
    <m/>
    <m/>
    <m/>
    <m/>
    <m/>
    <m/>
    <m/>
  </r>
  <r>
    <x v="5"/>
    <d v="2024-07-29T00:00:00"/>
    <n v="0.49"/>
    <m/>
    <x v="0"/>
    <m/>
    <m/>
    <m/>
    <m/>
    <m/>
    <m/>
    <m/>
    <m/>
    <m/>
    <m/>
    <m/>
    <m/>
  </r>
  <r>
    <x v="5"/>
    <d v="2024-08-09T00:00:00"/>
    <n v="0.54500000000000004"/>
    <m/>
    <x v="0"/>
    <m/>
    <m/>
    <m/>
    <m/>
    <m/>
    <m/>
    <m/>
    <m/>
    <m/>
    <m/>
    <m/>
    <m/>
  </r>
  <r>
    <x v="5"/>
    <d v="2024-08-22T00:00:00"/>
    <n v="0.64250000000000007"/>
    <m/>
    <x v="0"/>
    <m/>
    <m/>
    <m/>
    <m/>
    <m/>
    <m/>
    <m/>
    <m/>
    <m/>
    <m/>
    <m/>
    <m/>
  </r>
  <r>
    <x v="5"/>
    <d v="2024-09-13T00:00:00"/>
    <n v="0.7975000000000001"/>
    <m/>
    <x v="0"/>
    <m/>
    <m/>
    <m/>
    <m/>
    <m/>
    <m/>
    <m/>
    <m/>
    <m/>
    <m/>
    <m/>
    <m/>
  </r>
  <r>
    <x v="5"/>
    <d v="2024-09-24T00:00:00"/>
    <n v="0.755"/>
    <m/>
    <x v="0"/>
    <m/>
    <m/>
    <m/>
    <m/>
    <m/>
    <m/>
    <m/>
    <m/>
    <m/>
    <m/>
    <m/>
    <m/>
  </r>
  <r>
    <x v="5"/>
    <d v="2024-10-06T00:00:00"/>
    <n v="0.71499999999999997"/>
    <m/>
    <x v="0"/>
    <m/>
    <m/>
    <m/>
    <m/>
    <m/>
    <m/>
    <m/>
    <m/>
    <m/>
    <m/>
    <m/>
    <m/>
  </r>
  <r>
    <x v="5"/>
    <d v="2024-10-17T00:00:00"/>
    <n v="0.55000000000000004"/>
    <m/>
    <x v="0"/>
    <m/>
    <m/>
    <m/>
    <m/>
    <m/>
    <m/>
    <m/>
    <m/>
    <m/>
    <m/>
    <m/>
    <m/>
  </r>
  <r>
    <x v="5"/>
    <d v="2024-10-29T00:00:00"/>
    <n v="0.38750000000000001"/>
    <m/>
    <x v="0"/>
    <m/>
    <m/>
    <m/>
    <m/>
    <m/>
    <m/>
    <m/>
    <m/>
    <m/>
    <m/>
    <m/>
    <m/>
  </r>
  <r>
    <x v="5"/>
    <d v="2024-11-13T00:00:00"/>
    <n v="0.125"/>
    <m/>
    <x v="0"/>
    <m/>
    <m/>
    <m/>
    <m/>
    <m/>
    <m/>
    <m/>
    <m/>
    <m/>
    <m/>
    <m/>
    <m/>
  </r>
  <r>
    <x v="6"/>
    <d v="2024-05-31T00:00:00"/>
    <n v="0.16750000000000001"/>
    <m/>
    <x v="0"/>
    <m/>
    <m/>
    <m/>
    <m/>
    <m/>
    <m/>
    <m/>
    <m/>
    <m/>
    <m/>
    <m/>
    <m/>
  </r>
  <r>
    <x v="6"/>
    <d v="2024-06-17T00:00:00"/>
    <n v="0.1575"/>
    <m/>
    <x v="0"/>
    <m/>
    <m/>
    <m/>
    <m/>
    <m/>
    <m/>
    <m/>
    <m/>
    <m/>
    <m/>
    <m/>
    <m/>
  </r>
  <r>
    <x v="6"/>
    <d v="2024-07-01T00:00:00"/>
    <n v="0.215"/>
    <m/>
    <x v="0"/>
    <m/>
    <m/>
    <m/>
    <m/>
    <m/>
    <m/>
    <m/>
    <m/>
    <m/>
    <m/>
    <m/>
    <m/>
  </r>
  <r>
    <x v="6"/>
    <d v="2024-07-14T00:00:00"/>
    <n v="0.3175"/>
    <m/>
    <x v="0"/>
    <m/>
    <m/>
    <m/>
    <m/>
    <m/>
    <m/>
    <m/>
    <m/>
    <m/>
    <m/>
    <m/>
    <m/>
  </r>
  <r>
    <x v="6"/>
    <d v="2024-07-29T00:00:00"/>
    <n v="0.42"/>
    <m/>
    <x v="0"/>
    <m/>
    <m/>
    <m/>
    <m/>
    <m/>
    <m/>
    <m/>
    <m/>
    <m/>
    <m/>
    <m/>
    <m/>
  </r>
  <r>
    <x v="6"/>
    <d v="2024-08-09T00:00:00"/>
    <n v="0.505"/>
    <m/>
    <x v="0"/>
    <m/>
    <m/>
    <m/>
    <m/>
    <m/>
    <m/>
    <m/>
    <m/>
    <m/>
    <m/>
    <m/>
    <m/>
  </r>
  <r>
    <x v="6"/>
    <d v="2024-08-22T00:00:00"/>
    <n v="0.61499999999999999"/>
    <m/>
    <x v="0"/>
    <m/>
    <m/>
    <m/>
    <m/>
    <m/>
    <m/>
    <m/>
    <m/>
    <m/>
    <m/>
    <m/>
    <m/>
  </r>
  <r>
    <x v="6"/>
    <d v="2024-09-13T00:00:00"/>
    <n v="0.77750000000000008"/>
    <m/>
    <x v="0"/>
    <m/>
    <m/>
    <m/>
    <m/>
    <m/>
    <m/>
    <m/>
    <m/>
    <m/>
    <m/>
    <m/>
    <m/>
  </r>
  <r>
    <x v="6"/>
    <d v="2024-09-24T00:00:00"/>
    <n v="0.74750000000000005"/>
    <m/>
    <x v="0"/>
    <m/>
    <m/>
    <m/>
    <m/>
    <m/>
    <m/>
    <m/>
    <m/>
    <m/>
    <m/>
    <m/>
    <m/>
  </r>
  <r>
    <x v="6"/>
    <d v="2024-10-06T00:00:00"/>
    <n v="0.70250000000000001"/>
    <m/>
    <x v="0"/>
    <m/>
    <m/>
    <m/>
    <m/>
    <m/>
    <m/>
    <m/>
    <m/>
    <m/>
    <m/>
    <m/>
    <m/>
  </r>
  <r>
    <x v="6"/>
    <d v="2024-10-17T00:00:00"/>
    <n v="0.55500000000000005"/>
    <m/>
    <x v="0"/>
    <m/>
    <m/>
    <m/>
    <m/>
    <m/>
    <m/>
    <m/>
    <m/>
    <m/>
    <m/>
    <m/>
    <m/>
  </r>
  <r>
    <x v="6"/>
    <d v="2024-10-29T00:00:00"/>
    <n v="0.40749999999999997"/>
    <m/>
    <x v="0"/>
    <m/>
    <m/>
    <m/>
    <m/>
    <m/>
    <m/>
    <m/>
    <m/>
    <m/>
    <m/>
    <m/>
    <m/>
  </r>
  <r>
    <x v="6"/>
    <d v="2024-11-13T00:00:00"/>
    <n v="0.1225"/>
    <m/>
    <x v="0"/>
    <m/>
    <m/>
    <m/>
    <m/>
    <m/>
    <m/>
    <m/>
    <m/>
    <m/>
    <m/>
    <m/>
    <m/>
  </r>
  <r>
    <x v="7"/>
    <d v="2024-05-31T00:00:00"/>
    <n v="0.17499999999999999"/>
    <m/>
    <x v="0"/>
    <m/>
    <m/>
    <m/>
    <m/>
    <m/>
    <m/>
    <m/>
    <m/>
    <m/>
    <m/>
    <m/>
    <m/>
  </r>
  <r>
    <x v="7"/>
    <d v="2024-06-17T00:00:00"/>
    <n v="0.1925"/>
    <m/>
    <x v="0"/>
    <m/>
    <m/>
    <m/>
    <m/>
    <m/>
    <m/>
    <m/>
    <m/>
    <m/>
    <m/>
    <m/>
    <m/>
  </r>
  <r>
    <x v="7"/>
    <d v="2024-07-01T00:00:00"/>
    <n v="0.28999999999999998"/>
    <m/>
    <x v="0"/>
    <m/>
    <m/>
    <m/>
    <m/>
    <m/>
    <m/>
    <m/>
    <m/>
    <m/>
    <m/>
    <m/>
    <m/>
  </r>
  <r>
    <x v="7"/>
    <d v="2024-07-14T00:00:00"/>
    <n v="0.40500000000000003"/>
    <m/>
    <x v="0"/>
    <m/>
    <m/>
    <m/>
    <m/>
    <m/>
    <m/>
    <m/>
    <m/>
    <m/>
    <m/>
    <m/>
    <m/>
  </r>
  <r>
    <x v="7"/>
    <d v="2024-07-29T00:00:00"/>
    <n v="0.56500000000000006"/>
    <m/>
    <x v="0"/>
    <m/>
    <m/>
    <m/>
    <m/>
    <m/>
    <m/>
    <m/>
    <m/>
    <m/>
    <m/>
    <m/>
    <m/>
  </r>
  <r>
    <x v="7"/>
    <d v="2024-08-09T00:00:00"/>
    <n v="0.65"/>
    <m/>
    <x v="0"/>
    <m/>
    <m/>
    <m/>
    <m/>
    <m/>
    <m/>
    <m/>
    <m/>
    <m/>
    <m/>
    <m/>
    <m/>
  </r>
  <r>
    <x v="7"/>
    <d v="2024-08-22T00:00:00"/>
    <n v="0.77500000000000002"/>
    <m/>
    <x v="0"/>
    <m/>
    <m/>
    <m/>
    <m/>
    <m/>
    <m/>
    <m/>
    <m/>
    <m/>
    <m/>
    <m/>
    <m/>
  </r>
  <r>
    <x v="7"/>
    <d v="2024-09-13T00:00:00"/>
    <n v="0.83250000000000002"/>
    <m/>
    <x v="0"/>
    <m/>
    <m/>
    <m/>
    <m/>
    <m/>
    <m/>
    <m/>
    <m/>
    <m/>
    <m/>
    <m/>
    <m/>
  </r>
  <r>
    <x v="7"/>
    <d v="2024-09-24T00:00:00"/>
    <n v="0.76"/>
    <m/>
    <x v="0"/>
    <m/>
    <m/>
    <m/>
    <m/>
    <m/>
    <m/>
    <m/>
    <m/>
    <m/>
    <m/>
    <m/>
    <m/>
  </r>
  <r>
    <x v="7"/>
    <d v="2024-10-06T00:00:00"/>
    <n v="0.755"/>
    <m/>
    <x v="0"/>
    <m/>
    <m/>
    <m/>
    <m/>
    <m/>
    <m/>
    <m/>
    <m/>
    <m/>
    <m/>
    <m/>
    <m/>
  </r>
  <r>
    <x v="7"/>
    <d v="2024-10-17T00:00:00"/>
    <n v="0.59750000000000003"/>
    <m/>
    <x v="0"/>
    <m/>
    <m/>
    <m/>
    <m/>
    <m/>
    <m/>
    <m/>
    <m/>
    <m/>
    <m/>
    <m/>
    <m/>
  </r>
  <r>
    <x v="7"/>
    <d v="2024-10-29T00:00:00"/>
    <n v="0.43"/>
    <m/>
    <x v="0"/>
    <m/>
    <m/>
    <m/>
    <m/>
    <m/>
    <m/>
    <m/>
    <m/>
    <m/>
    <m/>
    <m/>
    <m/>
  </r>
  <r>
    <x v="7"/>
    <d v="2024-11-13T00:00:00"/>
    <n v="0.1275"/>
    <m/>
    <x v="0"/>
    <m/>
    <m/>
    <m/>
    <m/>
    <m/>
    <m/>
    <m/>
    <m/>
    <m/>
    <m/>
    <m/>
    <m/>
  </r>
  <r>
    <x v="0"/>
    <d v="2024-05-24T00:00:00"/>
    <m/>
    <n v="3.8250000000000002"/>
    <x v="0"/>
    <m/>
    <m/>
    <m/>
    <m/>
    <m/>
    <m/>
    <m/>
    <m/>
    <m/>
    <m/>
    <m/>
    <m/>
  </r>
  <r>
    <x v="0"/>
    <d v="2024-06-03T00:00:00"/>
    <m/>
    <n v="4.8916666666666666"/>
    <x v="0"/>
    <m/>
    <m/>
    <m/>
    <m/>
    <m/>
    <m/>
    <m/>
    <m/>
    <m/>
    <m/>
    <m/>
    <m/>
  </r>
  <r>
    <x v="0"/>
    <d v="2024-06-14T00:00:00"/>
    <m/>
    <n v="6.0583333333333327"/>
    <x v="0"/>
    <m/>
    <m/>
    <m/>
    <m/>
    <m/>
    <m/>
    <m/>
    <m/>
    <m/>
    <m/>
    <m/>
    <m/>
  </r>
  <r>
    <x v="0"/>
    <d v="2024-06-25T00:00:00"/>
    <m/>
    <n v="6.5833333333333339"/>
    <x v="0"/>
    <m/>
    <m/>
    <m/>
    <m/>
    <m/>
    <m/>
    <m/>
    <m/>
    <m/>
    <m/>
    <m/>
    <m/>
  </r>
  <r>
    <x v="0"/>
    <d v="2024-07-10T00:00:00"/>
    <m/>
    <n v="7.4666666666666668"/>
    <x v="0"/>
    <m/>
    <m/>
    <m/>
    <m/>
    <m/>
    <m/>
    <m/>
    <m/>
    <m/>
    <m/>
    <m/>
    <m/>
  </r>
  <r>
    <x v="0"/>
    <d v="2024-07-22T00:00:00"/>
    <m/>
    <n v="8.3000000000000007"/>
    <x v="0"/>
    <m/>
    <m/>
    <m/>
    <m/>
    <m/>
    <m/>
    <m/>
    <m/>
    <m/>
    <m/>
    <m/>
    <m/>
  </r>
  <r>
    <x v="0"/>
    <d v="2024-08-09T00:00:00"/>
    <m/>
    <n v="9.4749999999999996"/>
    <x v="0"/>
    <m/>
    <m/>
    <m/>
    <m/>
    <m/>
    <m/>
    <m/>
    <m/>
    <m/>
    <m/>
    <m/>
    <m/>
  </r>
  <r>
    <x v="0"/>
    <d v="2024-08-18T00:00:00"/>
    <m/>
    <n v="10.258333333333329"/>
    <x v="0"/>
    <m/>
    <m/>
    <m/>
    <m/>
    <m/>
    <m/>
    <m/>
    <m/>
    <m/>
    <m/>
    <m/>
    <m/>
  </r>
  <r>
    <x v="0"/>
    <d v="2024-08-28T00:00:00"/>
    <m/>
    <n v="11.56666666666667"/>
    <x v="0"/>
    <m/>
    <m/>
    <m/>
    <m/>
    <m/>
    <m/>
    <m/>
    <m/>
    <m/>
    <m/>
    <m/>
    <m/>
  </r>
  <r>
    <x v="0"/>
    <d v="2024-09-15T00:00:00"/>
    <m/>
    <n v="13.33333333333333"/>
    <x v="0"/>
    <m/>
    <m/>
    <m/>
    <m/>
    <m/>
    <m/>
    <m/>
    <m/>
    <m/>
    <m/>
    <m/>
    <m/>
  </r>
  <r>
    <x v="0"/>
    <d v="2024-09-24T00:00:00"/>
    <m/>
    <n v="13.875"/>
    <x v="0"/>
    <m/>
    <m/>
    <m/>
    <m/>
    <m/>
    <m/>
    <m/>
    <m/>
    <m/>
    <m/>
    <m/>
    <m/>
  </r>
  <r>
    <x v="1"/>
    <d v="2024-05-24T00:00:00"/>
    <m/>
    <n v="4"/>
    <x v="0"/>
    <m/>
    <m/>
    <m/>
    <m/>
    <m/>
    <m/>
    <m/>
    <m/>
    <m/>
    <m/>
    <m/>
    <m/>
  </r>
  <r>
    <x v="1"/>
    <d v="2024-06-03T00:00:00"/>
    <m/>
    <n v="4.8999999999999986"/>
    <x v="0"/>
    <m/>
    <m/>
    <m/>
    <m/>
    <m/>
    <m/>
    <m/>
    <m/>
    <m/>
    <m/>
    <m/>
    <m/>
  </r>
  <r>
    <x v="1"/>
    <d v="2024-06-14T00:00:00"/>
    <m/>
    <n v="6.2833333333333332"/>
    <x v="0"/>
    <m/>
    <m/>
    <m/>
    <m/>
    <m/>
    <m/>
    <m/>
    <m/>
    <m/>
    <m/>
    <m/>
    <m/>
  </r>
  <r>
    <x v="1"/>
    <d v="2024-06-25T00:00:00"/>
    <m/>
    <n v="6.7"/>
    <x v="0"/>
    <m/>
    <m/>
    <m/>
    <m/>
    <m/>
    <m/>
    <m/>
    <m/>
    <m/>
    <m/>
    <m/>
    <m/>
  </r>
  <r>
    <x v="1"/>
    <d v="2024-07-10T00:00:00"/>
    <m/>
    <n v="7.6750000000000007"/>
    <x v="0"/>
    <m/>
    <m/>
    <m/>
    <m/>
    <m/>
    <m/>
    <m/>
    <m/>
    <m/>
    <m/>
    <m/>
    <m/>
  </r>
  <r>
    <x v="1"/>
    <d v="2024-07-22T00:00:00"/>
    <m/>
    <n v="8.4916666666666671"/>
    <x v="0"/>
    <m/>
    <m/>
    <m/>
    <m/>
    <m/>
    <m/>
    <m/>
    <m/>
    <m/>
    <m/>
    <m/>
    <m/>
  </r>
  <r>
    <x v="1"/>
    <d v="2024-08-09T00:00:00"/>
    <m/>
    <n v="9.8833333333333329"/>
    <x v="0"/>
    <m/>
    <m/>
    <m/>
    <m/>
    <m/>
    <m/>
    <m/>
    <m/>
    <m/>
    <m/>
    <m/>
    <m/>
  </r>
  <r>
    <x v="1"/>
    <d v="2024-08-18T00:00:00"/>
    <m/>
    <n v="10.75"/>
    <x v="0"/>
    <m/>
    <m/>
    <m/>
    <m/>
    <m/>
    <m/>
    <m/>
    <m/>
    <m/>
    <m/>
    <m/>
    <m/>
  </r>
  <r>
    <x v="1"/>
    <d v="2024-08-28T00:00:00"/>
    <m/>
    <n v="11.83333333333333"/>
    <x v="0"/>
    <m/>
    <m/>
    <m/>
    <m/>
    <m/>
    <m/>
    <m/>
    <m/>
    <m/>
    <m/>
    <m/>
    <m/>
  </r>
  <r>
    <x v="1"/>
    <d v="2024-09-15T00:00:00"/>
    <m/>
    <n v="12.58333333333333"/>
    <x v="0"/>
    <m/>
    <m/>
    <m/>
    <m/>
    <m/>
    <m/>
    <m/>
    <m/>
    <m/>
    <m/>
    <m/>
    <m/>
  </r>
  <r>
    <x v="2"/>
    <d v="2024-05-24T00:00:00"/>
    <m/>
    <n v="4.1916666666666664"/>
    <x v="0"/>
    <m/>
    <m/>
    <m/>
    <m/>
    <m/>
    <m/>
    <m/>
    <m/>
    <m/>
    <m/>
    <m/>
    <m/>
  </r>
  <r>
    <x v="2"/>
    <d v="2024-06-03T00:00:00"/>
    <m/>
    <n v="5.1916666666666664"/>
    <x v="0"/>
    <m/>
    <m/>
    <m/>
    <m/>
    <m/>
    <m/>
    <m/>
    <m/>
    <m/>
    <m/>
    <m/>
    <m/>
  </r>
  <r>
    <x v="2"/>
    <d v="2024-06-14T00:00:00"/>
    <m/>
    <n v="6.208333333333333"/>
    <x v="0"/>
    <m/>
    <m/>
    <m/>
    <m/>
    <m/>
    <m/>
    <m/>
    <m/>
    <m/>
    <m/>
    <m/>
    <m/>
  </r>
  <r>
    <x v="2"/>
    <d v="2024-06-25T00:00:00"/>
    <m/>
    <n v="6.833333333333333"/>
    <x v="0"/>
    <m/>
    <m/>
    <m/>
    <m/>
    <m/>
    <m/>
    <m/>
    <m/>
    <m/>
    <m/>
    <m/>
    <m/>
  </r>
  <r>
    <x v="2"/>
    <d v="2024-07-10T00:00:00"/>
    <m/>
    <n v="7.7583333333333337"/>
    <x v="0"/>
    <m/>
    <m/>
    <m/>
    <m/>
    <m/>
    <m/>
    <m/>
    <m/>
    <m/>
    <m/>
    <m/>
    <m/>
  </r>
  <r>
    <x v="2"/>
    <d v="2024-07-22T00:00:00"/>
    <m/>
    <n v="8.5666666666666664"/>
    <x v="0"/>
    <m/>
    <m/>
    <m/>
    <m/>
    <m/>
    <m/>
    <m/>
    <m/>
    <m/>
    <m/>
    <m/>
    <m/>
  </r>
  <r>
    <x v="2"/>
    <d v="2024-08-09T00:00:00"/>
    <m/>
    <n v="10.199999999999999"/>
    <x v="0"/>
    <m/>
    <m/>
    <m/>
    <m/>
    <m/>
    <m/>
    <m/>
    <m/>
    <m/>
    <m/>
    <m/>
    <m/>
  </r>
  <r>
    <x v="2"/>
    <d v="2024-08-18T00:00:00"/>
    <m/>
    <n v="10.95"/>
    <x v="0"/>
    <m/>
    <m/>
    <m/>
    <m/>
    <m/>
    <m/>
    <m/>
    <m/>
    <m/>
    <m/>
    <m/>
    <m/>
  </r>
  <r>
    <x v="2"/>
    <d v="2024-08-28T00:00:00"/>
    <m/>
    <n v="11.78333333333333"/>
    <x v="0"/>
    <m/>
    <m/>
    <m/>
    <m/>
    <m/>
    <m/>
    <m/>
    <m/>
    <m/>
    <m/>
    <m/>
    <m/>
  </r>
  <r>
    <x v="2"/>
    <d v="2024-09-15T00:00:00"/>
    <m/>
    <n v="12.16666666666667"/>
    <x v="0"/>
    <m/>
    <m/>
    <m/>
    <m/>
    <m/>
    <m/>
    <m/>
    <m/>
    <m/>
    <m/>
    <m/>
    <m/>
  </r>
  <r>
    <x v="3"/>
    <d v="2024-05-24T00:00:00"/>
    <m/>
    <n v="4.1916666666666664"/>
    <x v="0"/>
    <m/>
    <m/>
    <m/>
    <m/>
    <m/>
    <m/>
    <m/>
    <m/>
    <m/>
    <m/>
    <m/>
    <m/>
  </r>
  <r>
    <x v="3"/>
    <d v="2024-06-03T00:00:00"/>
    <m/>
    <n v="5.2333333333333334"/>
    <x v="0"/>
    <m/>
    <m/>
    <m/>
    <m/>
    <m/>
    <m/>
    <m/>
    <m/>
    <m/>
    <m/>
    <m/>
    <m/>
  </r>
  <r>
    <x v="3"/>
    <d v="2024-06-14T00:00:00"/>
    <m/>
    <n v="6.35"/>
    <x v="0"/>
    <m/>
    <m/>
    <m/>
    <m/>
    <m/>
    <m/>
    <m/>
    <m/>
    <m/>
    <m/>
    <m/>
    <m/>
  </r>
  <r>
    <x v="3"/>
    <d v="2024-06-25T00:00:00"/>
    <m/>
    <n v="7"/>
    <x v="0"/>
    <m/>
    <m/>
    <m/>
    <m/>
    <m/>
    <m/>
    <m/>
    <m/>
    <m/>
    <m/>
    <m/>
    <m/>
  </r>
  <r>
    <x v="3"/>
    <d v="2024-07-10T00:00:00"/>
    <m/>
    <n v="7.9666666666666668"/>
    <x v="0"/>
    <m/>
    <m/>
    <m/>
    <m/>
    <m/>
    <m/>
    <m/>
    <m/>
    <m/>
    <m/>
    <m/>
    <m/>
  </r>
  <r>
    <x v="3"/>
    <d v="2024-07-22T00:00:00"/>
    <m/>
    <n v="8.8333333333333339"/>
    <x v="0"/>
    <m/>
    <m/>
    <m/>
    <m/>
    <m/>
    <m/>
    <m/>
    <m/>
    <m/>
    <m/>
    <m/>
    <m/>
  </r>
  <r>
    <x v="3"/>
    <d v="2024-08-09T00:00:00"/>
    <m/>
    <n v="10.275"/>
    <x v="0"/>
    <m/>
    <m/>
    <m/>
    <m/>
    <m/>
    <m/>
    <m/>
    <m/>
    <m/>
    <m/>
    <m/>
    <m/>
  </r>
  <r>
    <x v="3"/>
    <d v="2024-08-18T00:00:00"/>
    <m/>
    <n v="11.258333333333329"/>
    <x v="0"/>
    <m/>
    <m/>
    <m/>
    <m/>
    <m/>
    <m/>
    <m/>
    <m/>
    <m/>
    <m/>
    <m/>
    <m/>
  </r>
  <r>
    <x v="3"/>
    <d v="2024-08-28T00:00:00"/>
    <m/>
    <n v="12.483333333333331"/>
    <x v="0"/>
    <m/>
    <m/>
    <m/>
    <m/>
    <m/>
    <m/>
    <m/>
    <m/>
    <m/>
    <m/>
    <m/>
    <m/>
  </r>
  <r>
    <x v="3"/>
    <d v="2024-09-15T00:00:00"/>
    <m/>
    <n v="13.25"/>
    <x v="0"/>
    <m/>
    <m/>
    <m/>
    <m/>
    <m/>
    <m/>
    <m/>
    <m/>
    <m/>
    <m/>
    <m/>
    <m/>
  </r>
  <r>
    <x v="4"/>
    <d v="2024-06-24T00:00:00"/>
    <m/>
    <n v="3.066666666666666"/>
    <x v="0"/>
    <m/>
    <m/>
    <m/>
    <m/>
    <m/>
    <m/>
    <m/>
    <m/>
    <m/>
    <m/>
    <m/>
    <m/>
  </r>
  <r>
    <x v="4"/>
    <d v="2024-07-04T00:00:00"/>
    <m/>
    <n v="3.8083333333333331"/>
    <x v="0"/>
    <m/>
    <m/>
    <m/>
    <m/>
    <m/>
    <m/>
    <m/>
    <m/>
    <m/>
    <m/>
    <m/>
    <m/>
  </r>
  <r>
    <x v="4"/>
    <d v="2024-07-15T00:00:00"/>
    <m/>
    <n v="4.6500000000000004"/>
    <x v="0"/>
    <m/>
    <m/>
    <m/>
    <m/>
    <m/>
    <m/>
    <m/>
    <m/>
    <m/>
    <m/>
    <m/>
    <m/>
  </r>
  <r>
    <x v="4"/>
    <d v="2024-07-26T00:00:00"/>
    <m/>
    <n v="5.625"/>
    <x v="0"/>
    <m/>
    <m/>
    <m/>
    <m/>
    <m/>
    <m/>
    <m/>
    <m/>
    <m/>
    <m/>
    <m/>
    <m/>
  </r>
  <r>
    <x v="4"/>
    <d v="2024-08-09T00:00:00"/>
    <m/>
    <n v="6.65"/>
    <x v="0"/>
    <m/>
    <m/>
    <m/>
    <m/>
    <m/>
    <m/>
    <m/>
    <m/>
    <m/>
    <m/>
    <m/>
    <m/>
  </r>
  <r>
    <x v="4"/>
    <d v="2024-08-19T00:00:00"/>
    <m/>
    <n v="7.6916666666666664"/>
    <x v="0"/>
    <m/>
    <m/>
    <m/>
    <m/>
    <m/>
    <m/>
    <m/>
    <m/>
    <m/>
    <m/>
    <m/>
    <m/>
  </r>
  <r>
    <x v="4"/>
    <d v="2024-08-31T00:00:00"/>
    <m/>
    <n v="9.0083333333333329"/>
    <x v="0"/>
    <m/>
    <m/>
    <m/>
    <m/>
    <m/>
    <m/>
    <m/>
    <m/>
    <m/>
    <m/>
    <m/>
    <m/>
  </r>
  <r>
    <x v="4"/>
    <d v="2024-09-15T00:00:00"/>
    <m/>
    <n v="10.08333333333333"/>
    <x v="0"/>
    <m/>
    <m/>
    <m/>
    <m/>
    <m/>
    <m/>
    <m/>
    <m/>
    <m/>
    <m/>
    <m/>
    <m/>
  </r>
  <r>
    <x v="5"/>
    <d v="2024-06-24T00:00:00"/>
    <m/>
    <n v="3.041666666666667"/>
    <x v="0"/>
    <m/>
    <m/>
    <m/>
    <m/>
    <m/>
    <m/>
    <m/>
    <m/>
    <m/>
    <m/>
    <m/>
    <m/>
  </r>
  <r>
    <x v="5"/>
    <d v="2024-07-04T00:00:00"/>
    <m/>
    <n v="3.875"/>
    <x v="0"/>
    <m/>
    <m/>
    <m/>
    <m/>
    <m/>
    <m/>
    <m/>
    <m/>
    <m/>
    <m/>
    <m/>
    <m/>
  </r>
  <r>
    <x v="5"/>
    <d v="2024-07-15T00:00:00"/>
    <m/>
    <n v="4.8416666666666668"/>
    <x v="0"/>
    <m/>
    <m/>
    <m/>
    <m/>
    <m/>
    <m/>
    <m/>
    <m/>
    <m/>
    <m/>
    <m/>
    <m/>
  </r>
  <r>
    <x v="5"/>
    <d v="2024-07-26T00:00:00"/>
    <m/>
    <n v="5.8249999999999993"/>
    <x v="0"/>
    <m/>
    <m/>
    <m/>
    <m/>
    <m/>
    <m/>
    <m/>
    <m/>
    <m/>
    <m/>
    <m/>
    <m/>
  </r>
  <r>
    <x v="5"/>
    <d v="2024-08-09T00:00:00"/>
    <m/>
    <n v="6.9"/>
    <x v="0"/>
    <m/>
    <m/>
    <m/>
    <m/>
    <m/>
    <m/>
    <m/>
    <m/>
    <m/>
    <m/>
    <m/>
    <m/>
  </r>
  <r>
    <x v="5"/>
    <d v="2024-08-19T00:00:00"/>
    <m/>
    <n v="8.1083333333333343"/>
    <x v="0"/>
    <m/>
    <m/>
    <m/>
    <m/>
    <m/>
    <m/>
    <m/>
    <m/>
    <m/>
    <m/>
    <m/>
    <m/>
  </r>
  <r>
    <x v="5"/>
    <d v="2024-08-31T00:00:00"/>
    <m/>
    <n v="9.5"/>
    <x v="0"/>
    <m/>
    <m/>
    <m/>
    <m/>
    <m/>
    <m/>
    <m/>
    <m/>
    <m/>
    <m/>
    <m/>
    <m/>
  </r>
  <r>
    <x v="5"/>
    <d v="2024-09-15T00:00:00"/>
    <m/>
    <n v="10.608333333333331"/>
    <x v="0"/>
    <m/>
    <m/>
    <m/>
    <m/>
    <m/>
    <m/>
    <m/>
    <m/>
    <m/>
    <m/>
    <m/>
    <m/>
  </r>
  <r>
    <x v="5"/>
    <d v="2024-09-24T00:00:00"/>
    <m/>
    <n v="10.66666666666667"/>
    <x v="0"/>
    <m/>
    <m/>
    <m/>
    <m/>
    <m/>
    <m/>
    <m/>
    <m/>
    <m/>
    <m/>
    <m/>
    <m/>
  </r>
  <r>
    <x v="6"/>
    <d v="2024-06-24T00:00:00"/>
    <m/>
    <n v="3.05"/>
    <x v="0"/>
    <m/>
    <m/>
    <m/>
    <m/>
    <m/>
    <m/>
    <m/>
    <m/>
    <m/>
    <m/>
    <m/>
    <m/>
  </r>
  <r>
    <x v="6"/>
    <d v="2024-07-04T00:00:00"/>
    <m/>
    <n v="3.9249999999999998"/>
    <x v="0"/>
    <m/>
    <m/>
    <m/>
    <m/>
    <m/>
    <m/>
    <m/>
    <m/>
    <m/>
    <m/>
    <m/>
    <m/>
  </r>
  <r>
    <x v="6"/>
    <d v="2024-07-15T00:00:00"/>
    <m/>
    <n v="4.9583333333333339"/>
    <x v="0"/>
    <m/>
    <m/>
    <m/>
    <m/>
    <m/>
    <m/>
    <m/>
    <m/>
    <m/>
    <m/>
    <m/>
    <m/>
  </r>
  <r>
    <x v="6"/>
    <d v="2024-07-26T00:00:00"/>
    <m/>
    <n v="6.0083333333333329"/>
    <x v="0"/>
    <m/>
    <m/>
    <m/>
    <m/>
    <m/>
    <m/>
    <m/>
    <m/>
    <m/>
    <m/>
    <m/>
    <m/>
  </r>
  <r>
    <x v="6"/>
    <d v="2024-08-09T00:00:00"/>
    <m/>
    <n v="7.1083333333333334"/>
    <x v="0"/>
    <m/>
    <m/>
    <m/>
    <m/>
    <m/>
    <m/>
    <m/>
    <m/>
    <m/>
    <m/>
    <m/>
    <m/>
  </r>
  <r>
    <x v="6"/>
    <d v="2024-08-19T00:00:00"/>
    <m/>
    <n v="8.2249999999999996"/>
    <x v="0"/>
    <m/>
    <m/>
    <m/>
    <m/>
    <m/>
    <m/>
    <m/>
    <m/>
    <m/>
    <m/>
    <m/>
    <m/>
  </r>
  <r>
    <x v="6"/>
    <d v="2024-08-31T00:00:00"/>
    <m/>
    <n v="9.8249999999999993"/>
    <x v="0"/>
    <m/>
    <m/>
    <m/>
    <m/>
    <m/>
    <m/>
    <m/>
    <m/>
    <m/>
    <m/>
    <m/>
    <m/>
  </r>
  <r>
    <x v="6"/>
    <d v="2024-09-15T00:00:00"/>
    <m/>
    <n v="11.266666666666669"/>
    <x v="0"/>
    <m/>
    <m/>
    <m/>
    <m/>
    <m/>
    <m/>
    <m/>
    <m/>
    <m/>
    <m/>
    <m/>
    <m/>
  </r>
  <r>
    <x v="6"/>
    <d v="2024-09-24T00:00:00"/>
    <m/>
    <n v="11.66666666666667"/>
    <x v="0"/>
    <m/>
    <m/>
    <m/>
    <m/>
    <m/>
    <m/>
    <m/>
    <m/>
    <m/>
    <m/>
    <m/>
    <m/>
  </r>
  <r>
    <x v="7"/>
    <d v="2024-06-24T00:00:00"/>
    <m/>
    <n v="3.1583333333333332"/>
    <x v="0"/>
    <m/>
    <m/>
    <m/>
    <m/>
    <m/>
    <m/>
    <m/>
    <m/>
    <m/>
    <m/>
    <m/>
    <m/>
  </r>
  <r>
    <x v="7"/>
    <d v="2024-07-04T00:00:00"/>
    <m/>
    <n v="4.2583333333333329"/>
    <x v="0"/>
    <m/>
    <m/>
    <m/>
    <m/>
    <m/>
    <m/>
    <m/>
    <m/>
    <m/>
    <m/>
    <m/>
    <m/>
  </r>
  <r>
    <x v="7"/>
    <d v="2024-07-15T00:00:00"/>
    <m/>
    <n v="5.3250000000000002"/>
    <x v="0"/>
    <m/>
    <m/>
    <m/>
    <m/>
    <m/>
    <m/>
    <m/>
    <m/>
    <m/>
    <m/>
    <m/>
    <m/>
  </r>
  <r>
    <x v="7"/>
    <d v="2024-07-26T00:00:00"/>
    <m/>
    <n v="6.375"/>
    <x v="0"/>
    <m/>
    <m/>
    <m/>
    <m/>
    <m/>
    <m/>
    <m/>
    <m/>
    <m/>
    <m/>
    <m/>
    <m/>
  </r>
  <r>
    <x v="7"/>
    <d v="2024-08-09T00:00:00"/>
    <m/>
    <n v="7.4833333333333334"/>
    <x v="0"/>
    <m/>
    <m/>
    <m/>
    <m/>
    <m/>
    <m/>
    <m/>
    <m/>
    <m/>
    <m/>
    <m/>
    <m/>
  </r>
  <r>
    <x v="7"/>
    <d v="2024-08-19T00:00:00"/>
    <m/>
    <n v="8.5166666666666657"/>
    <x v="0"/>
    <m/>
    <m/>
    <m/>
    <m/>
    <m/>
    <m/>
    <m/>
    <m/>
    <m/>
    <m/>
    <m/>
    <m/>
  </r>
  <r>
    <x v="7"/>
    <d v="2024-08-31T00:00:00"/>
    <m/>
    <n v="9.875"/>
    <x v="0"/>
    <m/>
    <m/>
    <m/>
    <m/>
    <m/>
    <m/>
    <m/>
    <m/>
    <m/>
    <m/>
    <m/>
    <m/>
  </r>
  <r>
    <x v="7"/>
    <d v="2024-09-15T00:00:00"/>
    <m/>
    <n v="11.20833333333333"/>
    <x v="0"/>
    <m/>
    <m/>
    <m/>
    <m/>
    <m/>
    <m/>
    <m/>
    <m/>
    <m/>
    <m/>
    <m/>
    <m/>
  </r>
  <r>
    <x v="7"/>
    <d v="2024-09-24T00:00:00"/>
    <m/>
    <n v="11.58333333333333"/>
    <x v="0"/>
    <m/>
    <m/>
    <m/>
    <m/>
    <m/>
    <m/>
    <m/>
    <m/>
    <m/>
    <m/>
    <m/>
    <m/>
  </r>
  <r>
    <x v="0"/>
    <d v="2024-04-27T00:00:00"/>
    <m/>
    <m/>
    <x v="1"/>
    <m/>
    <m/>
    <m/>
    <m/>
    <m/>
    <m/>
    <m/>
    <m/>
    <m/>
    <m/>
    <m/>
    <m/>
  </r>
  <r>
    <x v="1"/>
    <d v="2024-04-28T00:00:00"/>
    <m/>
    <m/>
    <x v="1"/>
    <m/>
    <m/>
    <m/>
    <m/>
    <m/>
    <m/>
    <m/>
    <m/>
    <m/>
    <m/>
    <m/>
    <m/>
  </r>
  <r>
    <x v="2"/>
    <d v="2024-04-27T00:00:00"/>
    <m/>
    <m/>
    <x v="1"/>
    <m/>
    <m/>
    <m/>
    <m/>
    <m/>
    <m/>
    <m/>
    <m/>
    <m/>
    <m/>
    <m/>
    <m/>
  </r>
  <r>
    <x v="3"/>
    <d v="2024-04-29T00:00:00"/>
    <m/>
    <m/>
    <x v="1"/>
    <m/>
    <m/>
    <m/>
    <m/>
    <m/>
    <m/>
    <m/>
    <m/>
    <m/>
    <m/>
    <m/>
    <m/>
  </r>
  <r>
    <x v="4"/>
    <d v="2024-05-27T00:00:00"/>
    <m/>
    <m/>
    <x v="1"/>
    <m/>
    <m/>
    <m/>
    <m/>
    <m/>
    <m/>
    <m/>
    <m/>
    <m/>
    <m/>
    <m/>
    <m/>
  </r>
  <r>
    <x v="5"/>
    <d v="2024-05-27T00:00:00"/>
    <m/>
    <m/>
    <x v="1"/>
    <m/>
    <m/>
    <m/>
    <m/>
    <m/>
    <m/>
    <m/>
    <m/>
    <m/>
    <m/>
    <m/>
    <m/>
  </r>
  <r>
    <x v="6"/>
    <d v="2024-05-27T00:00:00"/>
    <m/>
    <m/>
    <x v="1"/>
    <m/>
    <m/>
    <m/>
    <m/>
    <m/>
    <m/>
    <m/>
    <m/>
    <m/>
    <m/>
    <m/>
    <m/>
  </r>
  <r>
    <x v="7"/>
    <d v="2024-05-26T00:00:00"/>
    <m/>
    <m/>
    <x v="1"/>
    <m/>
    <m/>
    <m/>
    <m/>
    <m/>
    <m/>
    <m/>
    <m/>
    <m/>
    <m/>
    <m/>
    <m/>
  </r>
  <r>
    <x v="0"/>
    <d v="2024-09-23T00:00:00"/>
    <m/>
    <m/>
    <x v="2"/>
    <m/>
    <m/>
    <m/>
    <m/>
    <m/>
    <m/>
    <m/>
    <m/>
    <m/>
    <m/>
    <m/>
    <m/>
  </r>
  <r>
    <x v="1"/>
    <d v="2024-09-08T00:00:00"/>
    <m/>
    <m/>
    <x v="2"/>
    <m/>
    <m/>
    <m/>
    <m/>
    <m/>
    <m/>
    <m/>
    <m/>
    <m/>
    <m/>
    <m/>
    <m/>
  </r>
  <r>
    <x v="2"/>
    <d v="2024-09-03T00:00:00"/>
    <m/>
    <m/>
    <x v="2"/>
    <m/>
    <m/>
    <m/>
    <m/>
    <m/>
    <m/>
    <m/>
    <m/>
    <m/>
    <m/>
    <m/>
    <m/>
  </r>
  <r>
    <x v="3"/>
    <d v="2024-09-06T00:00:00"/>
    <m/>
    <m/>
    <x v="2"/>
    <m/>
    <m/>
    <m/>
    <m/>
    <m/>
    <m/>
    <m/>
    <m/>
    <m/>
    <m/>
    <m/>
    <m/>
  </r>
  <r>
    <x v="4"/>
    <d v="2024-09-12T00:00:00"/>
    <m/>
    <m/>
    <x v="2"/>
    <m/>
    <m/>
    <m/>
    <m/>
    <m/>
    <m/>
    <m/>
    <m/>
    <m/>
    <m/>
    <m/>
    <m/>
  </r>
  <r>
    <x v="5"/>
    <d v="2024-09-14T00:00:00"/>
    <m/>
    <m/>
    <x v="2"/>
    <m/>
    <m/>
    <m/>
    <m/>
    <m/>
    <m/>
    <m/>
    <m/>
    <m/>
    <m/>
    <m/>
    <m/>
  </r>
  <r>
    <x v="6"/>
    <d v="2024-09-16T00:00:00"/>
    <m/>
    <m/>
    <x v="2"/>
    <m/>
    <m/>
    <m/>
    <m/>
    <m/>
    <m/>
    <m/>
    <m/>
    <m/>
    <m/>
    <m/>
    <m/>
  </r>
  <r>
    <x v="7"/>
    <d v="2024-09-16T00:00:00"/>
    <m/>
    <m/>
    <x v="2"/>
    <m/>
    <m/>
    <m/>
    <m/>
    <m/>
    <m/>
    <m/>
    <m/>
    <m/>
    <m/>
    <m/>
    <m/>
  </r>
  <r>
    <x v="0"/>
    <d v="2024-10-09T00:00:00"/>
    <m/>
    <m/>
    <x v="3"/>
    <m/>
    <m/>
    <m/>
    <m/>
    <m/>
    <m/>
    <m/>
    <m/>
    <m/>
    <m/>
    <m/>
    <m/>
  </r>
  <r>
    <x v="1"/>
    <d v="2024-10-01T00:00:00"/>
    <m/>
    <m/>
    <x v="3"/>
    <m/>
    <m/>
    <m/>
    <m/>
    <m/>
    <m/>
    <m/>
    <m/>
    <m/>
    <m/>
    <m/>
    <m/>
  </r>
  <r>
    <x v="2"/>
    <d v="2024-09-25T00:00:00"/>
    <m/>
    <m/>
    <x v="3"/>
    <m/>
    <m/>
    <m/>
    <m/>
    <m/>
    <m/>
    <m/>
    <m/>
    <m/>
    <m/>
    <m/>
    <m/>
  </r>
  <r>
    <x v="3"/>
    <d v="2024-09-26T00:00:00"/>
    <m/>
    <m/>
    <x v="3"/>
    <m/>
    <m/>
    <m/>
    <m/>
    <m/>
    <m/>
    <m/>
    <m/>
    <m/>
    <m/>
    <m/>
    <m/>
  </r>
  <r>
    <x v="4"/>
    <d v="2024-10-04T00:00:00"/>
    <m/>
    <m/>
    <x v="3"/>
    <m/>
    <m/>
    <m/>
    <m/>
    <m/>
    <m/>
    <m/>
    <m/>
    <m/>
    <m/>
    <m/>
    <m/>
  </r>
  <r>
    <x v="5"/>
    <d v="2024-10-03T00:00:00"/>
    <m/>
    <m/>
    <x v="3"/>
    <m/>
    <m/>
    <m/>
    <m/>
    <m/>
    <m/>
    <m/>
    <m/>
    <m/>
    <m/>
    <m/>
    <m/>
  </r>
  <r>
    <x v="6"/>
    <d v="2024-10-05T00:00:00"/>
    <m/>
    <m/>
    <x v="3"/>
    <m/>
    <m/>
    <m/>
    <m/>
    <m/>
    <m/>
    <m/>
    <m/>
    <m/>
    <m/>
    <m/>
    <m/>
  </r>
  <r>
    <x v="7"/>
    <d v="2024-10-07T00:00:00"/>
    <m/>
    <m/>
    <x v="3"/>
    <m/>
    <m/>
    <m/>
    <m/>
    <m/>
    <m/>
    <m/>
    <m/>
    <m/>
    <m/>
    <m/>
    <m/>
  </r>
  <r>
    <x v="0"/>
    <d v="2024-09-24T00:00:00"/>
    <n v="0.8075"/>
    <m/>
    <x v="0"/>
    <n v="0.93674999999999997"/>
    <n v="710"/>
    <n v="255.62624254257139"/>
    <n v="62.933519628920983"/>
    <n v="536.82492763023583"/>
    <n v="60.888654410591528"/>
    <n v="916.2733442123199"/>
    <n v="60.888654410591528"/>
    <m/>
    <m/>
    <m/>
    <m/>
  </r>
  <r>
    <x v="1"/>
    <d v="2024-09-09T00:00:00"/>
    <n v="0.84749999999999992"/>
    <m/>
    <x v="0"/>
    <n v="0.95899999999999996"/>
    <n v="600"/>
    <n v="232.98790001532191"/>
    <n v="15.641409126118949"/>
    <n v="331.64340910590818"/>
    <n v="35.839836166008233"/>
    <n v="616.11255441335732"/>
    <n v="35.839836166008233"/>
    <m/>
    <m/>
    <m/>
    <m/>
  </r>
  <r>
    <x v="2"/>
    <d v="2024-09-06T00:00:00"/>
    <n v="0.79749999999999999"/>
    <m/>
    <x v="0"/>
    <n v="0.94425000000000003"/>
    <n v="567.5"/>
    <n v="239.14400965408419"/>
    <n v="12.405882359146959"/>
    <n v="318.55197438255942"/>
    <n v="62.748999492773287"/>
    <n v="632.85086588856382"/>
    <n v="62.748999492773287"/>
    <m/>
    <m/>
    <m/>
    <m/>
  </r>
  <r>
    <x v="3"/>
    <d v="2024-09-06T00:00:00"/>
    <n v="0.83499999999999996"/>
    <m/>
    <x v="0"/>
    <n v="0.93825000000000003"/>
    <n v="687.5"/>
    <n v="252.27599108822099"/>
    <n v="20.86610864919604"/>
    <n v="373.22497947835302"/>
    <n v="39.273120931761547"/>
    <n v="685.64020014753169"/>
    <n v="39.273120931761547"/>
    <m/>
    <m/>
    <m/>
    <m/>
  </r>
  <r>
    <x v="4"/>
    <d v="2024-09-13T00:00:00"/>
    <n v="0.84"/>
    <m/>
    <x v="0"/>
    <n v="0.98649999999999993"/>
    <n v="685"/>
    <n v="224.0556998939887"/>
    <n v="15.618032729030411"/>
    <n v="370.62624688590972"/>
    <n v="32.451262390143462"/>
    <n v="642.75124189907228"/>
    <n v="32.451262390143462"/>
    <m/>
    <m/>
    <m/>
    <m/>
  </r>
  <r>
    <x v="5"/>
    <d v="2024-09-16T00:00:00"/>
    <n v="0.80249999999999999"/>
    <m/>
    <x v="0"/>
    <n v="0.92225000000000001"/>
    <n v="525"/>
    <n v="232.98550379291191"/>
    <n v="7.95913623930831"/>
    <n v="257.64480271132601"/>
    <n v="48.686760023628644"/>
    <n v="547.27620276717471"/>
    <n v="48.686760023628644"/>
    <m/>
    <m/>
    <m/>
    <m/>
  </r>
  <r>
    <x v="6"/>
    <d v="2024-09-16T00:00:00"/>
    <n v="0.79249999999999998"/>
    <m/>
    <x v="0"/>
    <n v="0.92525000000000002"/>
    <n v="580"/>
    <n v="217.09860744772479"/>
    <n v="17.315158462072208"/>
    <n v="313.01020740838248"/>
    <n v="29.8698997468404"/>
    <n v="577.29387306501985"/>
    <n v="29.8698997468404"/>
    <m/>
    <m/>
    <m/>
    <m/>
  </r>
  <r>
    <x v="7"/>
    <d v="2024-09-16T00:00:00"/>
    <n v="0.84749999999999992"/>
    <m/>
    <x v="0"/>
    <n v="0.96424999999999994"/>
    <n v="625"/>
    <n v="256.32685976797569"/>
    <n v="9.9923927179103149"/>
    <n v="380.99528766979"/>
    <n v="18.150858440559141"/>
    <n v="665.46539859623522"/>
    <n v="18.150858440559141"/>
    <m/>
    <m/>
    <m/>
    <m/>
  </r>
  <r>
    <x v="0"/>
    <d v="2024-10-08T00:00:00"/>
    <n v="0.75750000000000006"/>
    <m/>
    <x v="0"/>
    <n v="0.96799999999999997"/>
    <n v="815"/>
    <n v="209.35837217578549"/>
    <n v="53.322071315752467"/>
    <n v="613.90740337201169"/>
    <m/>
    <n v="1052.740935963408"/>
    <n v="176.15308909985779"/>
    <m/>
    <m/>
    <m/>
    <m/>
  </r>
  <r>
    <x v="1"/>
    <d v="2024-10-01T00:00:00"/>
    <n v="0.74"/>
    <m/>
    <x v="0"/>
    <n v="0.92074999999999996"/>
    <n v="810"/>
    <n v="193.3200723109515"/>
    <n v="56.339374823574197"/>
    <n v="537.81330068044872"/>
    <m/>
    <n v="975.45427067595756"/>
    <n v="187.98152286098309"/>
    <m/>
    <m/>
    <m/>
    <m/>
  </r>
  <r>
    <x v="2"/>
    <d v="2024-09-25T00:00:00"/>
    <n v="0.76249999999999996"/>
    <m/>
    <x v="0"/>
    <n v="0.92249999999999999"/>
    <n v="670"/>
    <n v="237.90028564207529"/>
    <n v="50.106548732061569"/>
    <n v="583.53525581295878"/>
    <m/>
    <n v="1105.335216602344"/>
    <n v="233.7931264152482"/>
    <m/>
    <m/>
    <m/>
    <m/>
  </r>
  <r>
    <x v="3"/>
    <d v="2024-09-26T00:00:00"/>
    <n v="0.75249999999999995"/>
    <m/>
    <x v="0"/>
    <n v="0.97875000000000001"/>
    <n v="935"/>
    <n v="208.2344991069869"/>
    <n v="41.613925990877718"/>
    <n v="636.91206729586861"/>
    <m/>
    <n v="1069.5826835152379"/>
    <n v="182.822191121505"/>
    <m/>
    <m/>
    <m/>
    <m/>
  </r>
  <r>
    <x v="4"/>
    <d v="2024-10-03T00:00:00"/>
    <n v="0.77500000000000002"/>
    <m/>
    <x v="0"/>
    <n v="0.97249999999999992"/>
    <n v="952.5"/>
    <n v="233.74795571753791"/>
    <n v="48.726623062581801"/>
    <n v="626.70549859147002"/>
    <m/>
    <n v="1068.637301838331"/>
    <n v="159.45722446674071"/>
    <m/>
    <m/>
    <m/>
    <m/>
  </r>
  <r>
    <x v="5"/>
    <d v="2024-10-03T00:00:00"/>
    <n v="0.74750000000000005"/>
    <m/>
    <x v="0"/>
    <n v="0.96274999999999999"/>
    <n v="575"/>
    <n v="185.0538297473897"/>
    <n v="52.185410495204223"/>
    <n v="409.57276217351659"/>
    <m/>
    <n v="819.66753531161339"/>
    <n v="172.85553289550279"/>
    <m/>
    <m/>
    <m/>
    <m/>
  </r>
  <r>
    <x v="6"/>
    <d v="2024-10-08T00:00:00"/>
    <n v="0.67249999999999999"/>
    <m/>
    <x v="0"/>
    <n v="0.94025000000000003"/>
    <n v="795"/>
    <n v="174.2857657171669"/>
    <n v="47.405195225588443"/>
    <n v="551.76130646437628"/>
    <m/>
    <n v="951.2881526218697"/>
    <n v="177.83588521473811"/>
    <m/>
    <m/>
    <m/>
    <m/>
  </r>
  <r>
    <x v="7"/>
    <d v="2024-10-08T00:00:00"/>
    <n v="0.75750000000000006"/>
    <m/>
    <x v="0"/>
    <n v="0.94274999999999998"/>
    <n v="830"/>
    <n v="224.69566164449819"/>
    <n v="35.466026131532693"/>
    <n v="653.19812315684135"/>
    <m/>
    <n v="1074.995331305236"/>
    <n v="161.63552037236391"/>
    <m/>
    <m/>
    <m/>
    <m/>
  </r>
  <r>
    <x v="0"/>
    <d v="2024-11-14T00:00:00"/>
    <m/>
    <m/>
    <x v="0"/>
    <m/>
    <m/>
    <m/>
    <n v="108.3883947925984"/>
    <n v="354.6230704916569"/>
    <n v="146.83263921945661"/>
    <n v="1166.5241045037119"/>
    <n v="703.51263921945656"/>
    <n v="556.68000000000006"/>
    <n v="3.6766121742771288E-2"/>
    <n v="15163.62934093144"/>
    <s v="HarvestRipe"/>
  </r>
  <r>
    <x v="1"/>
    <d v="2024-11-14T00:00:00"/>
    <m/>
    <m/>
    <x v="0"/>
    <m/>
    <m/>
    <m/>
    <n v="81.607229798548403"/>
    <n v="296.47192487480322"/>
    <n v="154.6972152712714"/>
    <n v="986.856369944623"/>
    <n v="608.77721527127142"/>
    <n v="454.08"/>
    <n v="3.880497512437811E-2"/>
    <n v="11717.491854334879"/>
    <s v="HarvestRipe"/>
  </r>
  <r>
    <x v="2"/>
    <d v="2024-11-14T00:00:00"/>
    <m/>
    <m/>
    <x v="0"/>
    <m/>
    <m/>
    <m/>
    <n v="96.407699469188159"/>
    <n v="282.83545848906698"/>
    <n v="198.45085618998519"/>
    <n v="1300.4240141482401"/>
    <n v="921.18085618998521"/>
    <n v="722.73"/>
    <n v="4.0164901477832513E-2"/>
    <n v="17964.896618129951"/>
    <s v="HarvestRipe"/>
  </r>
  <r>
    <x v="3"/>
    <d v="2024-11-14T00:00:00"/>
    <m/>
    <m/>
    <x v="0"/>
    <m/>
    <m/>
    <m/>
    <n v="89.461069818320169"/>
    <n v="377.20650599861028"/>
    <n v="167.2222294105689"/>
    <n v="1306.6648052274991"/>
    <n v="839.99722941056893"/>
    <n v="672.77499999999998"/>
    <n v="4.2154119288778491E-2"/>
    <n v="15964.97578041526"/>
    <s v="HarvestRipe"/>
  </r>
  <r>
    <x v="4"/>
    <d v="2024-11-14T00:00:00"/>
    <m/>
    <m/>
    <x v="0"/>
    <m/>
    <m/>
    <m/>
    <n v="81.635021503976844"/>
    <n v="402.0262277288748"/>
    <n v="168.9405916851415"/>
    <n v="1233.8518409179931"/>
    <n v="750.1905916851415"/>
    <n v="581.25"/>
    <n v="3.7825015930201211E-2"/>
    <n v="15332.992480958441"/>
    <s v="HarvestRipe"/>
  </r>
  <r>
    <x v="5"/>
    <d v="2024-11-14T00:00:00"/>
    <m/>
    <m/>
    <x v="0"/>
    <m/>
    <m/>
    <m/>
    <n v="78.915325354226255"/>
    <n v="216.56605720483449"/>
    <n v="152.82469327776491"/>
    <n v="1030.0160758368261"/>
    <n v="734.53469327776497"/>
    <n v="581.71"/>
    <n v="4.3200000000000002E-2"/>
    <n v="13478.15972223027"/>
    <s v="HarvestRipe"/>
  </r>
  <r>
    <x v="6"/>
    <d v="2024-11-14T00:00:00"/>
    <m/>
    <m/>
    <x v="0"/>
    <m/>
    <m/>
    <m/>
    <n v="77.923052996679246"/>
    <n v="306.15548647178252"/>
    <n v="147.233527670451"/>
    <n v="1139.357067138913"/>
    <n v="755.27852767045101"/>
    <n v="608.04500000000007"/>
    <n v="3.9853585450909633E-2"/>
    <n v="15257.677335938009"/>
    <s v="HarvestRipe"/>
  </r>
  <r>
    <x v="7"/>
    <d v="2024-11-14T00:00:00"/>
    <m/>
    <m/>
    <x v="0"/>
    <m/>
    <m/>
    <m/>
    <n v="79.92055485921982"/>
    <n v="317.59799391915362"/>
    <n v="138.49956826501631"/>
    <n v="959.10311704338972"/>
    <n v="561.58456826501629"/>
    <n v="423.08499999999998"/>
    <n v="4.3556218905472642E-2"/>
    <n v="9738.7459024403233"/>
    <s v="HarvestRipe"/>
  </r>
  <r>
    <x v="8"/>
    <m/>
    <m/>
    <m/>
    <x v="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A427B-6337-4DA0-868A-A49EE0DF7D9D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0:I19" firstHeaderRow="1" firstDataRow="2" firstDataCol="1"/>
  <pivotFields count="1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4"/>
  </colFields>
  <colItems count="3">
    <i>
      <x/>
    </i>
    <i>
      <x v="1"/>
    </i>
    <i>
      <x v="2"/>
    </i>
  </colItems>
  <dataFields count="1">
    <dataField name="Max of Clock.Today" fld="1" subtotal="max" baseField="0" baseItem="0"/>
  </dataFields>
  <formats count="1">
    <format dxfId="0">
      <pivotArea collapsedLevelsAreSubtotals="1" fieldPosition="0">
        <references count="1">
          <reference field="0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9"/>
  <sheetViews>
    <sheetView tabSelected="1" workbookViewId="0">
      <selection activeCell="E4" sqref="E4"/>
    </sheetView>
  </sheetViews>
  <sheetFormatPr defaultRowHeight="15" x14ac:dyDescent="0.25"/>
  <cols>
    <col min="2" max="2" width="18.140625" bestFit="1" customWidth="1"/>
  </cols>
  <sheetData>
    <row r="1" spans="1:17" x14ac:dyDescent="0.25">
      <c r="A1" s="1" t="s">
        <v>13</v>
      </c>
      <c r="B1" s="1" t="s">
        <v>14</v>
      </c>
      <c r="C1" s="1" t="s">
        <v>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t="s">
        <v>23</v>
      </c>
    </row>
    <row r="2" spans="1:17" x14ac:dyDescent="0.25">
      <c r="A2" s="1" t="s">
        <v>15</v>
      </c>
      <c r="B2" s="2">
        <v>45443</v>
      </c>
      <c r="C2">
        <v>0.29249999999999998</v>
      </c>
    </row>
    <row r="3" spans="1:17" x14ac:dyDescent="0.25">
      <c r="A3" s="1" t="s">
        <v>15</v>
      </c>
      <c r="B3" s="2">
        <v>45460</v>
      </c>
      <c r="C3">
        <v>0.41</v>
      </c>
    </row>
    <row r="4" spans="1:17" x14ac:dyDescent="0.25">
      <c r="A4" s="1" t="s">
        <v>15</v>
      </c>
      <c r="B4" s="2">
        <v>45474</v>
      </c>
      <c r="C4">
        <v>0.52249999999999996</v>
      </c>
    </row>
    <row r="5" spans="1:17" x14ac:dyDescent="0.25">
      <c r="A5" s="1" t="s">
        <v>15</v>
      </c>
      <c r="B5" s="2">
        <v>45487</v>
      </c>
      <c r="C5">
        <v>0.60250000000000004</v>
      </c>
    </row>
    <row r="6" spans="1:17" x14ac:dyDescent="0.25">
      <c r="A6" s="1" t="s">
        <v>15</v>
      </c>
      <c r="B6" s="2">
        <v>45502</v>
      </c>
      <c r="C6">
        <v>0.65249999999999997</v>
      </c>
    </row>
    <row r="7" spans="1:17" x14ac:dyDescent="0.25">
      <c r="A7" s="1" t="s">
        <v>15</v>
      </c>
      <c r="B7" s="2">
        <v>45513</v>
      </c>
      <c r="C7">
        <v>0.69499999999999995</v>
      </c>
    </row>
    <row r="8" spans="1:17" x14ac:dyDescent="0.25">
      <c r="A8" s="1" t="s">
        <v>15</v>
      </c>
      <c r="B8" s="2">
        <v>45526</v>
      </c>
      <c r="C8">
        <v>0.65</v>
      </c>
    </row>
    <row r="9" spans="1:17" x14ac:dyDescent="0.25">
      <c r="A9" s="1" t="s">
        <v>15</v>
      </c>
      <c r="B9" s="2">
        <v>45548</v>
      </c>
      <c r="C9">
        <v>0.8</v>
      </c>
    </row>
    <row r="10" spans="1:17" x14ac:dyDescent="0.25">
      <c r="A10" s="1" t="s">
        <v>15</v>
      </c>
      <c r="B10" s="2">
        <v>45559</v>
      </c>
      <c r="C10">
        <v>0.81</v>
      </c>
    </row>
    <row r="11" spans="1:17" x14ac:dyDescent="0.25">
      <c r="A11" s="1" t="s">
        <v>15</v>
      </c>
      <c r="B11" s="2">
        <v>45571</v>
      </c>
      <c r="C11">
        <v>0.76</v>
      </c>
    </row>
    <row r="12" spans="1:17" x14ac:dyDescent="0.25">
      <c r="A12" s="1" t="s">
        <v>15</v>
      </c>
      <c r="B12" s="2">
        <v>45582</v>
      </c>
      <c r="C12">
        <v>0.59749999999999992</v>
      </c>
    </row>
    <row r="13" spans="1:17" x14ac:dyDescent="0.25">
      <c r="A13" s="1" t="s">
        <v>15</v>
      </c>
      <c r="B13" s="2">
        <v>45594</v>
      </c>
      <c r="C13">
        <v>0.4975</v>
      </c>
    </row>
    <row r="14" spans="1:17" x14ac:dyDescent="0.25">
      <c r="A14" s="1" t="s">
        <v>15</v>
      </c>
      <c r="B14" s="2">
        <v>45609</v>
      </c>
      <c r="C14">
        <v>0.125</v>
      </c>
    </row>
    <row r="15" spans="1:17" x14ac:dyDescent="0.25">
      <c r="A15" s="1" t="s">
        <v>16</v>
      </c>
      <c r="B15" s="2">
        <v>45443</v>
      </c>
      <c r="C15">
        <v>0.30249999999999999</v>
      </c>
    </row>
    <row r="16" spans="1:17" x14ac:dyDescent="0.25">
      <c r="A16" s="1" t="s">
        <v>16</v>
      </c>
      <c r="B16" s="2">
        <v>45460</v>
      </c>
      <c r="C16">
        <v>0.39</v>
      </c>
    </row>
    <row r="17" spans="1:3" x14ac:dyDescent="0.25">
      <c r="A17" s="1" t="s">
        <v>16</v>
      </c>
      <c r="B17" s="2">
        <v>45474</v>
      </c>
      <c r="C17">
        <v>0.51</v>
      </c>
    </row>
    <row r="18" spans="1:3" x14ac:dyDescent="0.25">
      <c r="A18" s="1" t="s">
        <v>16</v>
      </c>
      <c r="B18" s="2">
        <v>45487</v>
      </c>
      <c r="C18">
        <v>0.58499999999999996</v>
      </c>
    </row>
    <row r="19" spans="1:3" x14ac:dyDescent="0.25">
      <c r="A19" s="1" t="s">
        <v>16</v>
      </c>
      <c r="B19" s="2">
        <v>45502</v>
      </c>
      <c r="C19">
        <v>0.65</v>
      </c>
    </row>
    <row r="20" spans="1:3" x14ac:dyDescent="0.25">
      <c r="A20" s="1" t="s">
        <v>16</v>
      </c>
      <c r="B20" s="2">
        <v>45513</v>
      </c>
      <c r="C20">
        <v>0.68500000000000005</v>
      </c>
    </row>
    <row r="21" spans="1:3" x14ac:dyDescent="0.25">
      <c r="A21" s="1" t="s">
        <v>16</v>
      </c>
      <c r="B21" s="2">
        <v>45526</v>
      </c>
      <c r="C21">
        <v>0.625</v>
      </c>
    </row>
    <row r="22" spans="1:3" x14ac:dyDescent="0.25">
      <c r="A22" s="1" t="s">
        <v>16</v>
      </c>
      <c r="B22" s="2">
        <v>45548</v>
      </c>
      <c r="C22">
        <v>0.84250000000000003</v>
      </c>
    </row>
    <row r="23" spans="1:3" x14ac:dyDescent="0.25">
      <c r="A23" s="1" t="s">
        <v>16</v>
      </c>
      <c r="B23" s="2">
        <v>45559</v>
      </c>
      <c r="C23">
        <v>0.8125</v>
      </c>
    </row>
    <row r="24" spans="1:3" x14ac:dyDescent="0.25">
      <c r="A24" s="1" t="s">
        <v>16</v>
      </c>
      <c r="B24" s="2">
        <v>45571</v>
      </c>
      <c r="C24">
        <v>0.73750000000000004</v>
      </c>
    </row>
    <row r="25" spans="1:3" x14ac:dyDescent="0.25">
      <c r="A25" s="1" t="s">
        <v>16</v>
      </c>
      <c r="B25" s="2">
        <v>45582</v>
      </c>
      <c r="C25">
        <v>0.57750000000000001</v>
      </c>
    </row>
    <row r="26" spans="1:3" x14ac:dyDescent="0.25">
      <c r="A26" s="1" t="s">
        <v>16</v>
      </c>
      <c r="B26" s="2">
        <v>45594</v>
      </c>
      <c r="C26">
        <v>0.375</v>
      </c>
    </row>
    <row r="27" spans="1:3" x14ac:dyDescent="0.25">
      <c r="A27" s="1" t="s">
        <v>16</v>
      </c>
      <c r="B27" s="2">
        <v>45609</v>
      </c>
      <c r="C27">
        <v>0.105</v>
      </c>
    </row>
    <row r="28" spans="1:3" x14ac:dyDescent="0.25">
      <c r="A28" s="1" t="s">
        <v>17</v>
      </c>
      <c r="B28" s="2">
        <v>45443</v>
      </c>
      <c r="C28">
        <v>0.245</v>
      </c>
    </row>
    <row r="29" spans="1:3" x14ac:dyDescent="0.25">
      <c r="A29" s="1" t="s">
        <v>17</v>
      </c>
      <c r="B29" s="2">
        <v>45460</v>
      </c>
      <c r="C29">
        <v>0.34</v>
      </c>
    </row>
    <row r="30" spans="1:3" x14ac:dyDescent="0.25">
      <c r="A30" s="1" t="s">
        <v>17</v>
      </c>
      <c r="B30" s="2">
        <v>45474</v>
      </c>
      <c r="C30">
        <v>0.44500000000000001</v>
      </c>
    </row>
    <row r="31" spans="1:3" x14ac:dyDescent="0.25">
      <c r="A31" s="1" t="s">
        <v>17</v>
      </c>
      <c r="B31" s="2">
        <v>45487</v>
      </c>
      <c r="C31">
        <v>0.48</v>
      </c>
    </row>
    <row r="32" spans="1:3" x14ac:dyDescent="0.25">
      <c r="A32" s="1" t="s">
        <v>17</v>
      </c>
      <c r="B32" s="2">
        <v>45502</v>
      </c>
      <c r="C32">
        <v>0.57250000000000001</v>
      </c>
    </row>
    <row r="33" spans="1:3" x14ac:dyDescent="0.25">
      <c r="A33" s="1" t="s">
        <v>17</v>
      </c>
      <c r="B33" s="2">
        <v>45513</v>
      </c>
      <c r="C33">
        <v>0.60250000000000004</v>
      </c>
    </row>
    <row r="34" spans="1:3" x14ac:dyDescent="0.25">
      <c r="A34" s="1" t="s">
        <v>17</v>
      </c>
      <c r="B34" s="2">
        <v>45526</v>
      </c>
      <c r="C34">
        <v>0.59499999999999997</v>
      </c>
    </row>
    <row r="35" spans="1:3" x14ac:dyDescent="0.25">
      <c r="A35" s="1" t="s">
        <v>17</v>
      </c>
      <c r="B35" s="2">
        <v>45548</v>
      </c>
      <c r="C35">
        <v>0.80249999999999999</v>
      </c>
    </row>
    <row r="36" spans="1:3" x14ac:dyDescent="0.25">
      <c r="A36" s="1" t="s">
        <v>17</v>
      </c>
      <c r="B36" s="2">
        <v>45559</v>
      </c>
      <c r="C36">
        <v>0.75249999999999995</v>
      </c>
    </row>
    <row r="37" spans="1:3" x14ac:dyDescent="0.25">
      <c r="A37" s="1" t="s">
        <v>17</v>
      </c>
      <c r="B37" s="2">
        <v>45571</v>
      </c>
      <c r="C37">
        <v>0.71</v>
      </c>
    </row>
    <row r="38" spans="1:3" x14ac:dyDescent="0.25">
      <c r="A38" s="1" t="s">
        <v>17</v>
      </c>
      <c r="B38" s="2">
        <v>45582</v>
      </c>
      <c r="C38">
        <v>0.51500000000000001</v>
      </c>
    </row>
    <row r="39" spans="1:3" x14ac:dyDescent="0.25">
      <c r="A39" s="1" t="s">
        <v>17</v>
      </c>
      <c r="B39" s="2">
        <v>45594</v>
      </c>
      <c r="C39">
        <v>0.32</v>
      </c>
    </row>
    <row r="40" spans="1:3" x14ac:dyDescent="0.25">
      <c r="A40" s="1" t="s">
        <v>17</v>
      </c>
      <c r="B40" s="2">
        <v>45609</v>
      </c>
      <c r="C40">
        <v>0.11749999999999999</v>
      </c>
    </row>
    <row r="41" spans="1:3" x14ac:dyDescent="0.25">
      <c r="A41" s="1" t="s">
        <v>18</v>
      </c>
      <c r="B41" s="2">
        <v>45443</v>
      </c>
      <c r="C41">
        <v>0.27750000000000002</v>
      </c>
    </row>
    <row r="42" spans="1:3" x14ac:dyDescent="0.25">
      <c r="A42" s="1" t="s">
        <v>18</v>
      </c>
      <c r="B42" s="2">
        <v>45460</v>
      </c>
      <c r="C42">
        <v>0.35749999999999998</v>
      </c>
    </row>
    <row r="43" spans="1:3" x14ac:dyDescent="0.25">
      <c r="A43" s="1" t="s">
        <v>18</v>
      </c>
      <c r="B43" s="2">
        <v>45474</v>
      </c>
      <c r="C43">
        <v>0.48749999999999999</v>
      </c>
    </row>
    <row r="44" spans="1:3" x14ac:dyDescent="0.25">
      <c r="A44" s="1" t="s">
        <v>18</v>
      </c>
      <c r="B44" s="2">
        <v>45487</v>
      </c>
      <c r="C44">
        <v>0.53500000000000003</v>
      </c>
    </row>
    <row r="45" spans="1:3" x14ac:dyDescent="0.25">
      <c r="A45" s="1" t="s">
        <v>18</v>
      </c>
      <c r="B45" s="2">
        <v>45502</v>
      </c>
      <c r="C45">
        <v>0.59</v>
      </c>
    </row>
    <row r="46" spans="1:3" x14ac:dyDescent="0.25">
      <c r="A46" s="1" t="s">
        <v>18</v>
      </c>
      <c r="B46" s="2">
        <v>45513</v>
      </c>
      <c r="C46">
        <v>0.58499999999999996</v>
      </c>
    </row>
    <row r="47" spans="1:3" x14ac:dyDescent="0.25">
      <c r="A47" s="1" t="s">
        <v>18</v>
      </c>
      <c r="B47" s="2">
        <v>45526</v>
      </c>
      <c r="C47">
        <v>0.55500000000000005</v>
      </c>
    </row>
    <row r="48" spans="1:3" x14ac:dyDescent="0.25">
      <c r="A48" s="1" t="s">
        <v>18</v>
      </c>
      <c r="B48" s="2">
        <v>45548</v>
      </c>
      <c r="C48">
        <v>0.80249999999999999</v>
      </c>
    </row>
    <row r="49" spans="1:3" x14ac:dyDescent="0.25">
      <c r="A49" s="1" t="s">
        <v>18</v>
      </c>
      <c r="B49" s="2">
        <v>45559</v>
      </c>
      <c r="C49">
        <v>0.77500000000000002</v>
      </c>
    </row>
    <row r="50" spans="1:3" x14ac:dyDescent="0.25">
      <c r="A50" s="1" t="s">
        <v>18</v>
      </c>
      <c r="B50" s="2">
        <v>45571</v>
      </c>
      <c r="C50">
        <v>0.72249999999999992</v>
      </c>
    </row>
    <row r="51" spans="1:3" x14ac:dyDescent="0.25">
      <c r="A51" s="1" t="s">
        <v>18</v>
      </c>
      <c r="B51" s="2">
        <v>45582</v>
      </c>
      <c r="C51">
        <v>0.57499999999999996</v>
      </c>
    </row>
    <row r="52" spans="1:3" x14ac:dyDescent="0.25">
      <c r="A52" s="1" t="s">
        <v>18</v>
      </c>
      <c r="B52" s="2">
        <v>45594</v>
      </c>
      <c r="C52">
        <v>0.34499999999999997</v>
      </c>
    </row>
    <row r="53" spans="1:3" x14ac:dyDescent="0.25">
      <c r="A53" s="1" t="s">
        <v>18</v>
      </c>
      <c r="B53" s="2">
        <v>45609</v>
      </c>
      <c r="C53">
        <v>9.7500000000000003E-2</v>
      </c>
    </row>
    <row r="54" spans="1:3" x14ac:dyDescent="0.25">
      <c r="A54" s="1" t="s">
        <v>19</v>
      </c>
      <c r="B54" s="2">
        <v>45443</v>
      </c>
      <c r="C54">
        <v>0.17</v>
      </c>
    </row>
    <row r="55" spans="1:3" x14ac:dyDescent="0.25">
      <c r="A55" s="1" t="s">
        <v>19</v>
      </c>
      <c r="B55" s="2">
        <v>45460</v>
      </c>
      <c r="C55">
        <v>0.17249999999999999</v>
      </c>
    </row>
    <row r="56" spans="1:3" x14ac:dyDescent="0.25">
      <c r="A56" s="1" t="s">
        <v>19</v>
      </c>
      <c r="B56" s="2">
        <v>45474</v>
      </c>
      <c r="C56">
        <v>0.25750000000000001</v>
      </c>
    </row>
    <row r="57" spans="1:3" x14ac:dyDescent="0.25">
      <c r="A57" s="1" t="s">
        <v>19</v>
      </c>
      <c r="B57" s="2">
        <v>45487</v>
      </c>
      <c r="C57">
        <v>0.3725</v>
      </c>
    </row>
    <row r="58" spans="1:3" x14ac:dyDescent="0.25">
      <c r="A58" s="1" t="s">
        <v>19</v>
      </c>
      <c r="B58" s="2">
        <v>45502</v>
      </c>
      <c r="C58">
        <v>0.495</v>
      </c>
    </row>
    <row r="59" spans="1:3" x14ac:dyDescent="0.25">
      <c r="A59" s="1" t="s">
        <v>19</v>
      </c>
      <c r="B59" s="2">
        <v>45513</v>
      </c>
      <c r="C59">
        <v>0.59499999999999997</v>
      </c>
    </row>
    <row r="60" spans="1:3" x14ac:dyDescent="0.25">
      <c r="A60" s="1" t="s">
        <v>19</v>
      </c>
      <c r="B60" s="2">
        <v>45526</v>
      </c>
      <c r="C60">
        <v>0.71</v>
      </c>
    </row>
    <row r="61" spans="1:3" x14ac:dyDescent="0.25">
      <c r="A61" s="1" t="s">
        <v>19</v>
      </c>
      <c r="B61" s="2">
        <v>45548</v>
      </c>
      <c r="C61">
        <v>0.83499999999999996</v>
      </c>
    </row>
    <row r="62" spans="1:3" x14ac:dyDescent="0.25">
      <c r="A62" s="1" t="s">
        <v>19</v>
      </c>
      <c r="B62" s="2">
        <v>45559</v>
      </c>
      <c r="C62">
        <v>0.78</v>
      </c>
    </row>
    <row r="63" spans="1:3" x14ac:dyDescent="0.25">
      <c r="A63" s="1" t="s">
        <v>19</v>
      </c>
      <c r="B63" s="2">
        <v>45571</v>
      </c>
      <c r="C63">
        <v>0.745</v>
      </c>
    </row>
    <row r="64" spans="1:3" x14ac:dyDescent="0.25">
      <c r="A64" s="1" t="s">
        <v>19</v>
      </c>
      <c r="B64" s="2">
        <v>45582</v>
      </c>
      <c r="C64">
        <v>0.61</v>
      </c>
    </row>
    <row r="65" spans="1:3" x14ac:dyDescent="0.25">
      <c r="A65" s="1" t="s">
        <v>19</v>
      </c>
      <c r="B65" s="2">
        <v>45594</v>
      </c>
      <c r="C65">
        <v>0.40250000000000002</v>
      </c>
    </row>
    <row r="66" spans="1:3" x14ac:dyDescent="0.25">
      <c r="A66" s="1" t="s">
        <v>19</v>
      </c>
      <c r="B66" s="2">
        <v>45609</v>
      </c>
      <c r="C66">
        <v>0.1275</v>
      </c>
    </row>
    <row r="67" spans="1:3" x14ac:dyDescent="0.25">
      <c r="A67" s="1" t="s">
        <v>20</v>
      </c>
      <c r="B67" s="2">
        <v>45443</v>
      </c>
      <c r="C67">
        <v>0.17249999999999999</v>
      </c>
    </row>
    <row r="68" spans="1:3" x14ac:dyDescent="0.25">
      <c r="A68" s="1" t="s">
        <v>20</v>
      </c>
      <c r="B68" s="2">
        <v>45460</v>
      </c>
      <c r="C68">
        <v>0.17</v>
      </c>
    </row>
    <row r="69" spans="1:3" x14ac:dyDescent="0.25">
      <c r="A69" s="1" t="s">
        <v>20</v>
      </c>
      <c r="B69" s="2">
        <v>45474</v>
      </c>
      <c r="C69">
        <v>0.23749999999999999</v>
      </c>
    </row>
    <row r="70" spans="1:3" x14ac:dyDescent="0.25">
      <c r="A70" s="1" t="s">
        <v>20</v>
      </c>
      <c r="B70" s="2">
        <v>45487</v>
      </c>
      <c r="C70">
        <v>0.33250000000000002</v>
      </c>
    </row>
    <row r="71" spans="1:3" x14ac:dyDescent="0.25">
      <c r="A71" s="1" t="s">
        <v>20</v>
      </c>
      <c r="B71" s="2">
        <v>45502</v>
      </c>
      <c r="C71">
        <v>0.49</v>
      </c>
    </row>
    <row r="72" spans="1:3" x14ac:dyDescent="0.25">
      <c r="A72" s="1" t="s">
        <v>20</v>
      </c>
      <c r="B72" s="2">
        <v>45513</v>
      </c>
      <c r="C72">
        <v>0.54500000000000004</v>
      </c>
    </row>
    <row r="73" spans="1:3" x14ac:dyDescent="0.25">
      <c r="A73" s="1" t="s">
        <v>20</v>
      </c>
      <c r="B73" s="2">
        <v>45526</v>
      </c>
      <c r="C73">
        <v>0.64250000000000007</v>
      </c>
    </row>
    <row r="74" spans="1:3" x14ac:dyDescent="0.25">
      <c r="A74" s="1" t="s">
        <v>20</v>
      </c>
      <c r="B74" s="2">
        <v>45548</v>
      </c>
      <c r="C74">
        <v>0.7975000000000001</v>
      </c>
    </row>
    <row r="75" spans="1:3" x14ac:dyDescent="0.25">
      <c r="A75" s="1" t="s">
        <v>20</v>
      </c>
      <c r="B75" s="2">
        <v>45559</v>
      </c>
      <c r="C75">
        <v>0.755</v>
      </c>
    </row>
    <row r="76" spans="1:3" x14ac:dyDescent="0.25">
      <c r="A76" s="1" t="s">
        <v>20</v>
      </c>
      <c r="B76" s="2">
        <v>45571</v>
      </c>
      <c r="C76">
        <v>0.71499999999999997</v>
      </c>
    </row>
    <row r="77" spans="1:3" x14ac:dyDescent="0.25">
      <c r="A77" s="1" t="s">
        <v>20</v>
      </c>
      <c r="B77" s="2">
        <v>45582</v>
      </c>
      <c r="C77">
        <v>0.55000000000000004</v>
      </c>
    </row>
    <row r="78" spans="1:3" x14ac:dyDescent="0.25">
      <c r="A78" s="1" t="s">
        <v>20</v>
      </c>
      <c r="B78" s="2">
        <v>45594</v>
      </c>
      <c r="C78">
        <v>0.38750000000000001</v>
      </c>
    </row>
    <row r="79" spans="1:3" x14ac:dyDescent="0.25">
      <c r="A79" s="1" t="s">
        <v>20</v>
      </c>
      <c r="B79" s="2">
        <v>45609</v>
      </c>
      <c r="C79">
        <v>0.125</v>
      </c>
    </row>
    <row r="80" spans="1:3" x14ac:dyDescent="0.25">
      <c r="A80" s="1" t="s">
        <v>21</v>
      </c>
      <c r="B80" s="2">
        <v>45443</v>
      </c>
      <c r="C80">
        <v>0.16750000000000001</v>
      </c>
    </row>
    <row r="81" spans="1:3" x14ac:dyDescent="0.25">
      <c r="A81" s="1" t="s">
        <v>21</v>
      </c>
      <c r="B81" s="2">
        <v>45460</v>
      </c>
      <c r="C81">
        <v>0.1575</v>
      </c>
    </row>
    <row r="82" spans="1:3" x14ac:dyDescent="0.25">
      <c r="A82" s="1" t="s">
        <v>21</v>
      </c>
      <c r="B82" s="2">
        <v>45474</v>
      </c>
      <c r="C82">
        <v>0.215</v>
      </c>
    </row>
    <row r="83" spans="1:3" x14ac:dyDescent="0.25">
      <c r="A83" s="1" t="s">
        <v>21</v>
      </c>
      <c r="B83" s="2">
        <v>45487</v>
      </c>
      <c r="C83">
        <v>0.3175</v>
      </c>
    </row>
    <row r="84" spans="1:3" x14ac:dyDescent="0.25">
      <c r="A84" s="1" t="s">
        <v>21</v>
      </c>
      <c r="B84" s="2">
        <v>45502</v>
      </c>
      <c r="C84">
        <v>0.42</v>
      </c>
    </row>
    <row r="85" spans="1:3" x14ac:dyDescent="0.25">
      <c r="A85" s="1" t="s">
        <v>21</v>
      </c>
      <c r="B85" s="2">
        <v>45513</v>
      </c>
      <c r="C85">
        <v>0.505</v>
      </c>
    </row>
    <row r="86" spans="1:3" x14ac:dyDescent="0.25">
      <c r="A86" s="1" t="s">
        <v>21</v>
      </c>
      <c r="B86" s="2">
        <v>45526</v>
      </c>
      <c r="C86">
        <v>0.61499999999999999</v>
      </c>
    </row>
    <row r="87" spans="1:3" x14ac:dyDescent="0.25">
      <c r="A87" s="1" t="s">
        <v>21</v>
      </c>
      <c r="B87" s="2">
        <v>45548</v>
      </c>
      <c r="C87">
        <v>0.77750000000000008</v>
      </c>
    </row>
    <row r="88" spans="1:3" x14ac:dyDescent="0.25">
      <c r="A88" s="1" t="s">
        <v>21</v>
      </c>
      <c r="B88" s="2">
        <v>45559</v>
      </c>
      <c r="C88">
        <v>0.74750000000000005</v>
      </c>
    </row>
    <row r="89" spans="1:3" x14ac:dyDescent="0.25">
      <c r="A89" s="1" t="s">
        <v>21</v>
      </c>
      <c r="B89" s="2">
        <v>45571</v>
      </c>
      <c r="C89">
        <v>0.70250000000000001</v>
      </c>
    </row>
    <row r="90" spans="1:3" x14ac:dyDescent="0.25">
      <c r="A90" s="1" t="s">
        <v>21</v>
      </c>
      <c r="B90" s="2">
        <v>45582</v>
      </c>
      <c r="C90">
        <v>0.55500000000000005</v>
      </c>
    </row>
    <row r="91" spans="1:3" x14ac:dyDescent="0.25">
      <c r="A91" s="1" t="s">
        <v>21</v>
      </c>
      <c r="B91" s="2">
        <v>45594</v>
      </c>
      <c r="C91">
        <v>0.40749999999999997</v>
      </c>
    </row>
    <row r="92" spans="1:3" x14ac:dyDescent="0.25">
      <c r="A92" s="1" t="s">
        <v>21</v>
      </c>
      <c r="B92" s="2">
        <v>45609</v>
      </c>
      <c r="C92">
        <v>0.1225</v>
      </c>
    </row>
    <row r="93" spans="1:3" x14ac:dyDescent="0.25">
      <c r="A93" s="1" t="s">
        <v>22</v>
      </c>
      <c r="B93" s="2">
        <v>45443</v>
      </c>
      <c r="C93">
        <v>0.17499999999999999</v>
      </c>
    </row>
    <row r="94" spans="1:3" x14ac:dyDescent="0.25">
      <c r="A94" s="1" t="s">
        <v>22</v>
      </c>
      <c r="B94" s="2">
        <v>45460</v>
      </c>
      <c r="C94">
        <v>0.1925</v>
      </c>
    </row>
    <row r="95" spans="1:3" x14ac:dyDescent="0.25">
      <c r="A95" s="1" t="s">
        <v>22</v>
      </c>
      <c r="B95" s="2">
        <v>45474</v>
      </c>
      <c r="C95">
        <v>0.28999999999999998</v>
      </c>
    </row>
    <row r="96" spans="1:3" x14ac:dyDescent="0.25">
      <c r="A96" s="1" t="s">
        <v>22</v>
      </c>
      <c r="B96" s="2">
        <v>45487</v>
      </c>
      <c r="C96">
        <v>0.40500000000000003</v>
      </c>
    </row>
    <row r="97" spans="1:4" x14ac:dyDescent="0.25">
      <c r="A97" s="1" t="s">
        <v>22</v>
      </c>
      <c r="B97" s="2">
        <v>45502</v>
      </c>
      <c r="C97">
        <v>0.56500000000000006</v>
      </c>
    </row>
    <row r="98" spans="1:4" x14ac:dyDescent="0.25">
      <c r="A98" s="1" t="s">
        <v>22</v>
      </c>
      <c r="B98" s="2">
        <v>45513</v>
      </c>
      <c r="C98">
        <v>0.65</v>
      </c>
    </row>
    <row r="99" spans="1:4" x14ac:dyDescent="0.25">
      <c r="A99" s="1" t="s">
        <v>22</v>
      </c>
      <c r="B99" s="2">
        <v>45526</v>
      </c>
      <c r="C99">
        <v>0.77500000000000002</v>
      </c>
    </row>
    <row r="100" spans="1:4" x14ac:dyDescent="0.25">
      <c r="A100" s="1" t="s">
        <v>22</v>
      </c>
      <c r="B100" s="2">
        <v>45548</v>
      </c>
      <c r="C100">
        <v>0.83250000000000002</v>
      </c>
    </row>
    <row r="101" spans="1:4" x14ac:dyDescent="0.25">
      <c r="A101" s="1" t="s">
        <v>22</v>
      </c>
      <c r="B101" s="2">
        <v>45559</v>
      </c>
      <c r="C101">
        <v>0.76</v>
      </c>
    </row>
    <row r="102" spans="1:4" x14ac:dyDescent="0.25">
      <c r="A102" s="1" t="s">
        <v>22</v>
      </c>
      <c r="B102" s="2">
        <v>45571</v>
      </c>
      <c r="C102">
        <v>0.755</v>
      </c>
    </row>
    <row r="103" spans="1:4" x14ac:dyDescent="0.25">
      <c r="A103" s="1" t="s">
        <v>22</v>
      </c>
      <c r="B103" s="2">
        <v>45582</v>
      </c>
      <c r="C103">
        <v>0.59750000000000003</v>
      </c>
    </row>
    <row r="104" spans="1:4" x14ac:dyDescent="0.25">
      <c r="A104" s="1" t="s">
        <v>22</v>
      </c>
      <c r="B104" s="2">
        <v>45594</v>
      </c>
      <c r="C104">
        <v>0.43</v>
      </c>
    </row>
    <row r="105" spans="1:4" x14ac:dyDescent="0.25">
      <c r="A105" s="1" t="s">
        <v>22</v>
      </c>
      <c r="B105" s="2">
        <v>45609</v>
      </c>
      <c r="C105">
        <v>0.1275</v>
      </c>
    </row>
    <row r="106" spans="1:4" x14ac:dyDescent="0.25">
      <c r="A106" s="1" t="s">
        <v>15</v>
      </c>
      <c r="B106" s="2">
        <v>45436</v>
      </c>
      <c r="D106">
        <v>3.8250000000000002</v>
      </c>
    </row>
    <row r="107" spans="1:4" x14ac:dyDescent="0.25">
      <c r="A107" s="1" t="s">
        <v>15</v>
      </c>
      <c r="B107" s="2">
        <v>45446</v>
      </c>
      <c r="D107">
        <v>4.8916666666666666</v>
      </c>
    </row>
    <row r="108" spans="1:4" x14ac:dyDescent="0.25">
      <c r="A108" s="1" t="s">
        <v>15</v>
      </c>
      <c r="B108" s="2">
        <v>45457</v>
      </c>
      <c r="D108">
        <v>6.0583333333333327</v>
      </c>
    </row>
    <row r="109" spans="1:4" x14ac:dyDescent="0.25">
      <c r="A109" s="1" t="s">
        <v>15</v>
      </c>
      <c r="B109" s="2">
        <v>45468</v>
      </c>
      <c r="D109">
        <v>6.5833333333333339</v>
      </c>
    </row>
    <row r="110" spans="1:4" x14ac:dyDescent="0.25">
      <c r="A110" s="1" t="s">
        <v>15</v>
      </c>
      <c r="B110" s="2">
        <v>45483</v>
      </c>
      <c r="D110">
        <v>7.4666666666666668</v>
      </c>
    </row>
    <row r="111" spans="1:4" x14ac:dyDescent="0.25">
      <c r="A111" s="1" t="s">
        <v>15</v>
      </c>
      <c r="B111" s="2">
        <v>45495</v>
      </c>
      <c r="D111">
        <v>8.3000000000000007</v>
      </c>
    </row>
    <row r="112" spans="1:4" x14ac:dyDescent="0.25">
      <c r="A112" s="1" t="s">
        <v>15</v>
      </c>
      <c r="B112" s="2">
        <v>45513</v>
      </c>
      <c r="D112">
        <v>9.4749999999999996</v>
      </c>
    </row>
    <row r="113" spans="1:4" x14ac:dyDescent="0.25">
      <c r="A113" s="1" t="s">
        <v>15</v>
      </c>
      <c r="B113" s="2">
        <v>45522</v>
      </c>
      <c r="D113">
        <v>10.258333333333329</v>
      </c>
    </row>
    <row r="114" spans="1:4" x14ac:dyDescent="0.25">
      <c r="A114" s="1" t="s">
        <v>15</v>
      </c>
      <c r="B114" s="2">
        <v>45532</v>
      </c>
      <c r="D114">
        <v>11.56666666666667</v>
      </c>
    </row>
    <row r="115" spans="1:4" x14ac:dyDescent="0.25">
      <c r="A115" s="1" t="s">
        <v>15</v>
      </c>
      <c r="B115" s="2">
        <v>45550</v>
      </c>
      <c r="D115">
        <v>13.33333333333333</v>
      </c>
    </row>
    <row r="116" spans="1:4" x14ac:dyDescent="0.25">
      <c r="A116" s="1" t="s">
        <v>15</v>
      </c>
      <c r="B116" s="2">
        <v>45559</v>
      </c>
      <c r="D116">
        <v>13.875</v>
      </c>
    </row>
    <row r="117" spans="1:4" x14ac:dyDescent="0.25">
      <c r="A117" s="1" t="s">
        <v>16</v>
      </c>
      <c r="B117" s="2">
        <v>45436</v>
      </c>
      <c r="D117">
        <v>4</v>
      </c>
    </row>
    <row r="118" spans="1:4" x14ac:dyDescent="0.25">
      <c r="A118" s="1" t="s">
        <v>16</v>
      </c>
      <c r="B118" s="2">
        <v>45446</v>
      </c>
      <c r="D118">
        <v>4.8999999999999986</v>
      </c>
    </row>
    <row r="119" spans="1:4" x14ac:dyDescent="0.25">
      <c r="A119" s="1" t="s">
        <v>16</v>
      </c>
      <c r="B119" s="2">
        <v>45457</v>
      </c>
      <c r="D119">
        <v>6.2833333333333332</v>
      </c>
    </row>
    <row r="120" spans="1:4" x14ac:dyDescent="0.25">
      <c r="A120" s="1" t="s">
        <v>16</v>
      </c>
      <c r="B120" s="2">
        <v>45468</v>
      </c>
      <c r="D120">
        <v>6.7</v>
      </c>
    </row>
    <row r="121" spans="1:4" x14ac:dyDescent="0.25">
      <c r="A121" s="1" t="s">
        <v>16</v>
      </c>
      <c r="B121" s="2">
        <v>45483</v>
      </c>
      <c r="D121">
        <v>7.6750000000000007</v>
      </c>
    </row>
    <row r="122" spans="1:4" x14ac:dyDescent="0.25">
      <c r="A122" s="1" t="s">
        <v>16</v>
      </c>
      <c r="B122" s="2">
        <v>45495</v>
      </c>
      <c r="D122">
        <v>8.4916666666666671</v>
      </c>
    </row>
    <row r="123" spans="1:4" x14ac:dyDescent="0.25">
      <c r="A123" s="1" t="s">
        <v>16</v>
      </c>
      <c r="B123" s="2">
        <v>45513</v>
      </c>
      <c r="D123">
        <v>9.8833333333333329</v>
      </c>
    </row>
    <row r="124" spans="1:4" x14ac:dyDescent="0.25">
      <c r="A124" s="1" t="s">
        <v>16</v>
      </c>
      <c r="B124" s="2">
        <v>45522</v>
      </c>
      <c r="D124">
        <v>10.75</v>
      </c>
    </row>
    <row r="125" spans="1:4" x14ac:dyDescent="0.25">
      <c r="A125" s="1" t="s">
        <v>16</v>
      </c>
      <c r="B125" s="2">
        <v>45532</v>
      </c>
      <c r="D125">
        <v>11.83333333333333</v>
      </c>
    </row>
    <row r="126" spans="1:4" x14ac:dyDescent="0.25">
      <c r="A126" s="1" t="s">
        <v>16</v>
      </c>
      <c r="B126" s="2">
        <v>45550</v>
      </c>
      <c r="D126">
        <v>12.58333333333333</v>
      </c>
    </row>
    <row r="127" spans="1:4" x14ac:dyDescent="0.25">
      <c r="A127" s="1" t="s">
        <v>17</v>
      </c>
      <c r="B127" s="2">
        <v>45436</v>
      </c>
      <c r="D127">
        <v>4.1916666666666664</v>
      </c>
    </row>
    <row r="128" spans="1:4" x14ac:dyDescent="0.25">
      <c r="A128" s="1" t="s">
        <v>17</v>
      </c>
      <c r="B128" s="2">
        <v>45446</v>
      </c>
      <c r="D128">
        <v>5.1916666666666664</v>
      </c>
    </row>
    <row r="129" spans="1:4" x14ac:dyDescent="0.25">
      <c r="A129" s="1" t="s">
        <v>17</v>
      </c>
      <c r="B129" s="2">
        <v>45457</v>
      </c>
      <c r="D129">
        <v>6.208333333333333</v>
      </c>
    </row>
    <row r="130" spans="1:4" x14ac:dyDescent="0.25">
      <c r="A130" s="1" t="s">
        <v>17</v>
      </c>
      <c r="B130" s="2">
        <v>45468</v>
      </c>
      <c r="D130">
        <v>6.833333333333333</v>
      </c>
    </row>
    <row r="131" spans="1:4" x14ac:dyDescent="0.25">
      <c r="A131" s="1" t="s">
        <v>17</v>
      </c>
      <c r="B131" s="2">
        <v>45483</v>
      </c>
      <c r="D131">
        <v>7.7583333333333337</v>
      </c>
    </row>
    <row r="132" spans="1:4" x14ac:dyDescent="0.25">
      <c r="A132" s="1" t="s">
        <v>17</v>
      </c>
      <c r="B132" s="2">
        <v>45495</v>
      </c>
      <c r="D132">
        <v>8.5666666666666664</v>
      </c>
    </row>
    <row r="133" spans="1:4" x14ac:dyDescent="0.25">
      <c r="A133" s="1" t="s">
        <v>17</v>
      </c>
      <c r="B133" s="2">
        <v>45513</v>
      </c>
      <c r="D133">
        <v>10.199999999999999</v>
      </c>
    </row>
    <row r="134" spans="1:4" x14ac:dyDescent="0.25">
      <c r="A134" s="1" t="s">
        <v>17</v>
      </c>
      <c r="B134" s="2">
        <v>45522</v>
      </c>
      <c r="D134">
        <v>10.95</v>
      </c>
    </row>
    <row r="135" spans="1:4" x14ac:dyDescent="0.25">
      <c r="A135" s="1" t="s">
        <v>17</v>
      </c>
      <c r="B135" s="2">
        <v>45532</v>
      </c>
      <c r="D135">
        <v>11.78333333333333</v>
      </c>
    </row>
    <row r="136" spans="1:4" x14ac:dyDescent="0.25">
      <c r="A136" s="1" t="s">
        <v>17</v>
      </c>
      <c r="B136" s="2">
        <v>45550</v>
      </c>
      <c r="D136">
        <v>12.16666666666667</v>
      </c>
    </row>
    <row r="137" spans="1:4" x14ac:dyDescent="0.25">
      <c r="A137" s="1" t="s">
        <v>18</v>
      </c>
      <c r="B137" s="2">
        <v>45436</v>
      </c>
      <c r="D137">
        <v>4.1916666666666664</v>
      </c>
    </row>
    <row r="138" spans="1:4" x14ac:dyDescent="0.25">
      <c r="A138" s="1" t="s">
        <v>18</v>
      </c>
      <c r="B138" s="2">
        <v>45446</v>
      </c>
      <c r="D138">
        <v>5.2333333333333334</v>
      </c>
    </row>
    <row r="139" spans="1:4" x14ac:dyDescent="0.25">
      <c r="A139" s="1" t="s">
        <v>18</v>
      </c>
      <c r="B139" s="2">
        <v>45457</v>
      </c>
      <c r="D139">
        <v>6.35</v>
      </c>
    </row>
    <row r="140" spans="1:4" x14ac:dyDescent="0.25">
      <c r="A140" s="1" t="s">
        <v>18</v>
      </c>
      <c r="B140" s="2">
        <v>45468</v>
      </c>
      <c r="D140">
        <v>7</v>
      </c>
    </row>
    <row r="141" spans="1:4" x14ac:dyDescent="0.25">
      <c r="A141" s="1" t="s">
        <v>18</v>
      </c>
      <c r="B141" s="2">
        <v>45483</v>
      </c>
      <c r="D141">
        <v>7.9666666666666668</v>
      </c>
    </row>
    <row r="142" spans="1:4" x14ac:dyDescent="0.25">
      <c r="A142" s="1" t="s">
        <v>18</v>
      </c>
      <c r="B142" s="2">
        <v>45495</v>
      </c>
      <c r="D142">
        <v>8.8333333333333339</v>
      </c>
    </row>
    <row r="143" spans="1:4" x14ac:dyDescent="0.25">
      <c r="A143" s="1" t="s">
        <v>18</v>
      </c>
      <c r="B143" s="2">
        <v>45513</v>
      </c>
      <c r="D143">
        <v>10.275</v>
      </c>
    </row>
    <row r="144" spans="1:4" x14ac:dyDescent="0.25">
      <c r="A144" s="1" t="s">
        <v>18</v>
      </c>
      <c r="B144" s="2">
        <v>45522</v>
      </c>
      <c r="D144">
        <v>11.258333333333329</v>
      </c>
    </row>
    <row r="145" spans="1:4" x14ac:dyDescent="0.25">
      <c r="A145" s="1" t="s">
        <v>18</v>
      </c>
      <c r="B145" s="2">
        <v>45532</v>
      </c>
      <c r="D145">
        <v>12.483333333333331</v>
      </c>
    </row>
    <row r="146" spans="1:4" x14ac:dyDescent="0.25">
      <c r="A146" s="1" t="s">
        <v>18</v>
      </c>
      <c r="B146" s="2">
        <v>45550</v>
      </c>
      <c r="D146">
        <v>13.25</v>
      </c>
    </row>
    <row r="147" spans="1:4" x14ac:dyDescent="0.25">
      <c r="A147" s="1" t="s">
        <v>19</v>
      </c>
      <c r="B147" s="2">
        <v>45467</v>
      </c>
      <c r="D147">
        <v>3.066666666666666</v>
      </c>
    </row>
    <row r="148" spans="1:4" x14ac:dyDescent="0.25">
      <c r="A148" s="1" t="s">
        <v>19</v>
      </c>
      <c r="B148" s="2">
        <v>45477</v>
      </c>
      <c r="D148">
        <v>3.8083333333333331</v>
      </c>
    </row>
    <row r="149" spans="1:4" x14ac:dyDescent="0.25">
      <c r="A149" s="1" t="s">
        <v>19</v>
      </c>
      <c r="B149" s="2">
        <v>45488</v>
      </c>
      <c r="D149">
        <v>4.6500000000000004</v>
      </c>
    </row>
    <row r="150" spans="1:4" x14ac:dyDescent="0.25">
      <c r="A150" s="1" t="s">
        <v>19</v>
      </c>
      <c r="B150" s="2">
        <v>45499</v>
      </c>
      <c r="D150">
        <v>5.625</v>
      </c>
    </row>
    <row r="151" spans="1:4" x14ac:dyDescent="0.25">
      <c r="A151" s="1" t="s">
        <v>19</v>
      </c>
      <c r="B151" s="2">
        <v>45513</v>
      </c>
      <c r="D151">
        <v>6.65</v>
      </c>
    </row>
    <row r="152" spans="1:4" x14ac:dyDescent="0.25">
      <c r="A152" s="1" t="s">
        <v>19</v>
      </c>
      <c r="B152" s="2">
        <v>45523</v>
      </c>
      <c r="D152">
        <v>7.6916666666666664</v>
      </c>
    </row>
    <row r="153" spans="1:4" x14ac:dyDescent="0.25">
      <c r="A153" s="1" t="s">
        <v>19</v>
      </c>
      <c r="B153" s="2">
        <v>45535</v>
      </c>
      <c r="D153">
        <v>9.0083333333333329</v>
      </c>
    </row>
    <row r="154" spans="1:4" x14ac:dyDescent="0.25">
      <c r="A154" s="1" t="s">
        <v>19</v>
      </c>
      <c r="B154" s="2">
        <v>45550</v>
      </c>
      <c r="D154">
        <v>10.08333333333333</v>
      </c>
    </row>
    <row r="155" spans="1:4" x14ac:dyDescent="0.25">
      <c r="A155" s="1" t="s">
        <v>20</v>
      </c>
      <c r="B155" s="2">
        <v>45467</v>
      </c>
      <c r="D155">
        <v>3.041666666666667</v>
      </c>
    </row>
    <row r="156" spans="1:4" x14ac:dyDescent="0.25">
      <c r="A156" s="1" t="s">
        <v>20</v>
      </c>
      <c r="B156" s="2">
        <v>45477</v>
      </c>
      <c r="D156">
        <v>3.875</v>
      </c>
    </row>
    <row r="157" spans="1:4" x14ac:dyDescent="0.25">
      <c r="A157" s="1" t="s">
        <v>20</v>
      </c>
      <c r="B157" s="2">
        <v>45488</v>
      </c>
      <c r="D157">
        <v>4.8416666666666668</v>
      </c>
    </row>
    <row r="158" spans="1:4" x14ac:dyDescent="0.25">
      <c r="A158" s="1" t="s">
        <v>20</v>
      </c>
      <c r="B158" s="2">
        <v>45499</v>
      </c>
      <c r="D158">
        <v>5.8249999999999993</v>
      </c>
    </row>
    <row r="159" spans="1:4" x14ac:dyDescent="0.25">
      <c r="A159" s="1" t="s">
        <v>20</v>
      </c>
      <c r="B159" s="2">
        <v>45513</v>
      </c>
      <c r="D159">
        <v>6.9</v>
      </c>
    </row>
    <row r="160" spans="1:4" x14ac:dyDescent="0.25">
      <c r="A160" s="1" t="s">
        <v>20</v>
      </c>
      <c r="B160" s="2">
        <v>45523</v>
      </c>
      <c r="D160">
        <v>8.1083333333333343</v>
      </c>
    </row>
    <row r="161" spans="1:4" x14ac:dyDescent="0.25">
      <c r="A161" s="1" t="s">
        <v>20</v>
      </c>
      <c r="B161" s="2">
        <v>45535</v>
      </c>
      <c r="D161">
        <v>9.5</v>
      </c>
    </row>
    <row r="162" spans="1:4" x14ac:dyDescent="0.25">
      <c r="A162" s="1" t="s">
        <v>20</v>
      </c>
      <c r="B162" s="2">
        <v>45550</v>
      </c>
      <c r="D162">
        <v>10.608333333333331</v>
      </c>
    </row>
    <row r="163" spans="1:4" x14ac:dyDescent="0.25">
      <c r="A163" s="1" t="s">
        <v>20</v>
      </c>
      <c r="B163" s="2">
        <v>45559</v>
      </c>
      <c r="D163">
        <v>10.66666666666667</v>
      </c>
    </row>
    <row r="164" spans="1:4" x14ac:dyDescent="0.25">
      <c r="A164" s="1" t="s">
        <v>21</v>
      </c>
      <c r="B164" s="2">
        <v>45467</v>
      </c>
      <c r="D164">
        <v>3.05</v>
      </c>
    </row>
    <row r="165" spans="1:4" x14ac:dyDescent="0.25">
      <c r="A165" s="1" t="s">
        <v>21</v>
      </c>
      <c r="B165" s="2">
        <v>45477</v>
      </c>
      <c r="D165">
        <v>3.9249999999999998</v>
      </c>
    </row>
    <row r="166" spans="1:4" x14ac:dyDescent="0.25">
      <c r="A166" s="1" t="s">
        <v>21</v>
      </c>
      <c r="B166" s="2">
        <v>45488</v>
      </c>
      <c r="D166">
        <v>4.9583333333333339</v>
      </c>
    </row>
    <row r="167" spans="1:4" x14ac:dyDescent="0.25">
      <c r="A167" s="1" t="s">
        <v>21</v>
      </c>
      <c r="B167" s="2">
        <v>45499</v>
      </c>
      <c r="D167">
        <v>6.0083333333333329</v>
      </c>
    </row>
    <row r="168" spans="1:4" x14ac:dyDescent="0.25">
      <c r="A168" s="1" t="s">
        <v>21</v>
      </c>
      <c r="B168" s="2">
        <v>45513</v>
      </c>
      <c r="D168">
        <v>7.1083333333333334</v>
      </c>
    </row>
    <row r="169" spans="1:4" x14ac:dyDescent="0.25">
      <c r="A169" s="1" t="s">
        <v>21</v>
      </c>
      <c r="B169" s="2">
        <v>45523</v>
      </c>
      <c r="D169">
        <v>8.2249999999999996</v>
      </c>
    </row>
    <row r="170" spans="1:4" x14ac:dyDescent="0.25">
      <c r="A170" s="1" t="s">
        <v>21</v>
      </c>
      <c r="B170" s="2">
        <v>45535</v>
      </c>
      <c r="D170">
        <v>9.8249999999999993</v>
      </c>
    </row>
    <row r="171" spans="1:4" x14ac:dyDescent="0.25">
      <c r="A171" s="1" t="s">
        <v>21</v>
      </c>
      <c r="B171" s="2">
        <v>45550</v>
      </c>
      <c r="D171">
        <v>11.266666666666669</v>
      </c>
    </row>
    <row r="172" spans="1:4" x14ac:dyDescent="0.25">
      <c r="A172" s="1" t="s">
        <v>21</v>
      </c>
      <c r="B172" s="2">
        <v>45559</v>
      </c>
      <c r="D172">
        <v>11.66666666666667</v>
      </c>
    </row>
    <row r="173" spans="1:4" x14ac:dyDescent="0.25">
      <c r="A173" s="1" t="s">
        <v>22</v>
      </c>
      <c r="B173" s="2">
        <v>45467</v>
      </c>
      <c r="D173">
        <v>3.1583333333333332</v>
      </c>
    </row>
    <row r="174" spans="1:4" x14ac:dyDescent="0.25">
      <c r="A174" s="1" t="s">
        <v>22</v>
      </c>
      <c r="B174" s="2">
        <v>45477</v>
      </c>
      <c r="D174">
        <v>4.2583333333333329</v>
      </c>
    </row>
    <row r="175" spans="1:4" x14ac:dyDescent="0.25">
      <c r="A175" s="1" t="s">
        <v>22</v>
      </c>
      <c r="B175" s="2">
        <v>45488</v>
      </c>
      <c r="D175">
        <v>5.3250000000000002</v>
      </c>
    </row>
    <row r="176" spans="1:4" x14ac:dyDescent="0.25">
      <c r="A176" s="1" t="s">
        <v>22</v>
      </c>
      <c r="B176" s="2">
        <v>45499</v>
      </c>
      <c r="D176">
        <v>6.375</v>
      </c>
    </row>
    <row r="177" spans="1:5" x14ac:dyDescent="0.25">
      <c r="A177" s="1" t="s">
        <v>22</v>
      </c>
      <c r="B177" s="2">
        <v>45513</v>
      </c>
      <c r="D177">
        <v>7.4833333333333334</v>
      </c>
    </row>
    <row r="178" spans="1:5" x14ac:dyDescent="0.25">
      <c r="A178" s="1" t="s">
        <v>22</v>
      </c>
      <c r="B178" s="2">
        <v>45523</v>
      </c>
      <c r="D178">
        <v>8.5166666666666657</v>
      </c>
    </row>
    <row r="179" spans="1:5" x14ac:dyDescent="0.25">
      <c r="A179" s="1" t="s">
        <v>22</v>
      </c>
      <c r="B179" s="2">
        <v>45535</v>
      </c>
      <c r="D179">
        <v>9.875</v>
      </c>
    </row>
    <row r="180" spans="1:5" x14ac:dyDescent="0.25">
      <c r="A180" s="1" t="s">
        <v>22</v>
      </c>
      <c r="B180" s="2">
        <v>45550</v>
      </c>
      <c r="D180">
        <v>11.20833333333333</v>
      </c>
    </row>
    <row r="181" spans="1:5" x14ac:dyDescent="0.25">
      <c r="A181" s="1" t="s">
        <v>22</v>
      </c>
      <c r="B181" s="2">
        <v>45559</v>
      </c>
      <c r="D181">
        <v>11.58333333333333</v>
      </c>
    </row>
    <row r="182" spans="1:5" x14ac:dyDescent="0.25">
      <c r="A182" s="1" t="s">
        <v>15</v>
      </c>
      <c r="B182" s="2">
        <v>45409</v>
      </c>
      <c r="E182">
        <v>3</v>
      </c>
    </row>
    <row r="183" spans="1:5" x14ac:dyDescent="0.25">
      <c r="A183" s="1" t="s">
        <v>16</v>
      </c>
      <c r="B183" s="2">
        <v>45410</v>
      </c>
      <c r="E183">
        <v>3</v>
      </c>
    </row>
    <row r="184" spans="1:5" x14ac:dyDescent="0.25">
      <c r="A184" s="1" t="s">
        <v>17</v>
      </c>
      <c r="B184" s="2">
        <v>45409</v>
      </c>
      <c r="E184">
        <v>3</v>
      </c>
    </row>
    <row r="185" spans="1:5" x14ac:dyDescent="0.25">
      <c r="A185" s="1" t="s">
        <v>18</v>
      </c>
      <c r="B185" s="2">
        <v>45411</v>
      </c>
      <c r="E185">
        <v>3</v>
      </c>
    </row>
    <row r="186" spans="1:5" x14ac:dyDescent="0.25">
      <c r="A186" s="1" t="s">
        <v>19</v>
      </c>
      <c r="B186" s="2">
        <v>45439</v>
      </c>
      <c r="E186">
        <v>3</v>
      </c>
    </row>
    <row r="187" spans="1:5" x14ac:dyDescent="0.25">
      <c r="A187" s="1" t="s">
        <v>20</v>
      </c>
      <c r="B187" s="2">
        <v>45439</v>
      </c>
      <c r="E187">
        <v>3</v>
      </c>
    </row>
    <row r="188" spans="1:5" x14ac:dyDescent="0.25">
      <c r="A188" s="1" t="s">
        <v>21</v>
      </c>
      <c r="B188" s="2">
        <v>45439</v>
      </c>
      <c r="E188">
        <v>3</v>
      </c>
    </row>
    <row r="189" spans="1:5" x14ac:dyDescent="0.25">
      <c r="A189" s="1" t="s">
        <v>22</v>
      </c>
      <c r="B189" s="2">
        <v>45438</v>
      </c>
      <c r="E189">
        <v>3</v>
      </c>
    </row>
    <row r="190" spans="1:5" x14ac:dyDescent="0.25">
      <c r="A190" s="1" t="s">
        <v>15</v>
      </c>
      <c r="B190" s="2">
        <v>45558</v>
      </c>
      <c r="E190">
        <v>6</v>
      </c>
    </row>
    <row r="191" spans="1:5" x14ac:dyDescent="0.25">
      <c r="A191" s="1" t="s">
        <v>16</v>
      </c>
      <c r="B191" s="2">
        <v>45543</v>
      </c>
      <c r="E191">
        <v>6</v>
      </c>
    </row>
    <row r="192" spans="1:5" x14ac:dyDescent="0.25">
      <c r="A192" s="1" t="s">
        <v>17</v>
      </c>
      <c r="B192" s="2">
        <v>45538</v>
      </c>
      <c r="E192">
        <v>6</v>
      </c>
    </row>
    <row r="193" spans="1:13" x14ac:dyDescent="0.25">
      <c r="A193" s="1" t="s">
        <v>18</v>
      </c>
      <c r="B193" s="2">
        <v>45541</v>
      </c>
      <c r="E193">
        <v>6</v>
      </c>
    </row>
    <row r="194" spans="1:13" x14ac:dyDescent="0.25">
      <c r="A194" s="1" t="s">
        <v>19</v>
      </c>
      <c r="B194" s="2">
        <v>45547</v>
      </c>
      <c r="E194">
        <v>6</v>
      </c>
    </row>
    <row r="195" spans="1:13" x14ac:dyDescent="0.25">
      <c r="A195" s="1" t="s">
        <v>20</v>
      </c>
      <c r="B195" s="2">
        <v>45549</v>
      </c>
      <c r="E195">
        <v>6</v>
      </c>
    </row>
    <row r="196" spans="1:13" x14ac:dyDescent="0.25">
      <c r="A196" s="1" t="s">
        <v>21</v>
      </c>
      <c r="B196" s="2">
        <v>45551</v>
      </c>
      <c r="E196">
        <v>6</v>
      </c>
    </row>
    <row r="197" spans="1:13" x14ac:dyDescent="0.25">
      <c r="A197" s="1" t="s">
        <v>22</v>
      </c>
      <c r="B197" s="2">
        <v>45551</v>
      </c>
      <c r="E197">
        <v>6</v>
      </c>
    </row>
    <row r="198" spans="1:13" x14ac:dyDescent="0.25">
      <c r="A198" s="1" t="s">
        <v>15</v>
      </c>
      <c r="B198" s="2">
        <v>45574</v>
      </c>
      <c r="E198">
        <v>8</v>
      </c>
    </row>
    <row r="199" spans="1:13" x14ac:dyDescent="0.25">
      <c r="A199" s="1" t="s">
        <v>16</v>
      </c>
      <c r="B199" s="2">
        <v>45566</v>
      </c>
      <c r="E199">
        <v>8</v>
      </c>
    </row>
    <row r="200" spans="1:13" x14ac:dyDescent="0.25">
      <c r="A200" s="1" t="s">
        <v>17</v>
      </c>
      <c r="B200" s="2">
        <v>45560</v>
      </c>
      <c r="E200">
        <v>8</v>
      </c>
    </row>
    <row r="201" spans="1:13" x14ac:dyDescent="0.25">
      <c r="A201" s="1" t="s">
        <v>18</v>
      </c>
      <c r="B201" s="2">
        <v>45561</v>
      </c>
      <c r="E201">
        <v>8</v>
      </c>
    </row>
    <row r="202" spans="1:13" x14ac:dyDescent="0.25">
      <c r="A202" s="1" t="s">
        <v>19</v>
      </c>
      <c r="B202" s="2">
        <v>45569</v>
      </c>
      <c r="E202">
        <v>8</v>
      </c>
    </row>
    <row r="203" spans="1:13" x14ac:dyDescent="0.25">
      <c r="A203" s="1" t="s">
        <v>20</v>
      </c>
      <c r="B203" s="2">
        <v>45568</v>
      </c>
      <c r="E203">
        <v>8</v>
      </c>
    </row>
    <row r="204" spans="1:13" x14ac:dyDescent="0.25">
      <c r="A204" s="1" t="s">
        <v>21</v>
      </c>
      <c r="B204" s="2">
        <v>45570</v>
      </c>
      <c r="E204">
        <v>8</v>
      </c>
    </row>
    <row r="205" spans="1:13" x14ac:dyDescent="0.25">
      <c r="A205" s="1" t="s">
        <v>22</v>
      </c>
      <c r="B205" s="2">
        <v>45572</v>
      </c>
      <c r="E205">
        <v>8</v>
      </c>
    </row>
    <row r="206" spans="1:13" x14ac:dyDescent="0.25">
      <c r="A206" s="1" t="s">
        <v>15</v>
      </c>
      <c r="B206" s="2">
        <v>45559</v>
      </c>
      <c r="C206">
        <v>0.8075</v>
      </c>
      <c r="F206">
        <v>0.93674999999999997</v>
      </c>
      <c r="G206">
        <v>710</v>
      </c>
      <c r="H206">
        <v>255.62624254257139</v>
      </c>
      <c r="I206">
        <v>62.933519628920983</v>
      </c>
      <c r="J206">
        <v>536.82492763023583</v>
      </c>
      <c r="K206">
        <v>60.888654410591528</v>
      </c>
      <c r="L206">
        <v>916.2733442123199</v>
      </c>
      <c r="M206">
        <v>60.888654410591528</v>
      </c>
    </row>
    <row r="207" spans="1:13" x14ac:dyDescent="0.25">
      <c r="A207" s="1" t="s">
        <v>16</v>
      </c>
      <c r="B207" s="2">
        <v>45544</v>
      </c>
      <c r="C207">
        <v>0.84749999999999992</v>
      </c>
      <c r="F207">
        <v>0.95899999999999996</v>
      </c>
      <c r="G207">
        <v>600</v>
      </c>
      <c r="H207">
        <v>232.98790001532191</v>
      </c>
      <c r="I207">
        <v>15.641409126118949</v>
      </c>
      <c r="J207">
        <v>331.64340910590818</v>
      </c>
      <c r="K207">
        <v>35.839836166008233</v>
      </c>
      <c r="L207">
        <v>616.11255441335732</v>
      </c>
      <c r="M207">
        <v>35.839836166008233</v>
      </c>
    </row>
    <row r="208" spans="1:13" x14ac:dyDescent="0.25">
      <c r="A208" s="1" t="s">
        <v>17</v>
      </c>
      <c r="B208" s="2">
        <v>45541</v>
      </c>
      <c r="C208">
        <v>0.79749999999999999</v>
      </c>
      <c r="F208">
        <v>0.94425000000000003</v>
      </c>
      <c r="G208">
        <v>567.5</v>
      </c>
      <c r="H208">
        <v>239.14400965408419</v>
      </c>
      <c r="I208">
        <v>12.405882359146959</v>
      </c>
      <c r="J208">
        <v>318.55197438255942</v>
      </c>
      <c r="K208">
        <v>62.748999492773287</v>
      </c>
      <c r="L208">
        <v>632.85086588856382</v>
      </c>
      <c r="M208">
        <v>62.748999492773287</v>
      </c>
    </row>
    <row r="209" spans="1:17" x14ac:dyDescent="0.25">
      <c r="A209" s="1" t="s">
        <v>18</v>
      </c>
      <c r="B209" s="2">
        <v>45541</v>
      </c>
      <c r="C209">
        <v>0.83499999999999996</v>
      </c>
      <c r="F209">
        <v>0.93825000000000003</v>
      </c>
      <c r="G209">
        <v>687.5</v>
      </c>
      <c r="H209">
        <v>252.27599108822099</v>
      </c>
      <c r="I209">
        <v>20.86610864919604</v>
      </c>
      <c r="J209">
        <v>373.22497947835302</v>
      </c>
      <c r="K209">
        <v>39.273120931761547</v>
      </c>
      <c r="L209">
        <v>685.64020014753169</v>
      </c>
      <c r="M209">
        <v>39.273120931761547</v>
      </c>
    </row>
    <row r="210" spans="1:17" x14ac:dyDescent="0.25">
      <c r="A210" s="1" t="s">
        <v>19</v>
      </c>
      <c r="B210" s="2">
        <v>45548</v>
      </c>
      <c r="C210">
        <v>0.84</v>
      </c>
      <c r="F210">
        <v>0.98649999999999993</v>
      </c>
      <c r="G210">
        <v>685</v>
      </c>
      <c r="H210">
        <v>224.0556998939887</v>
      </c>
      <c r="I210">
        <v>15.618032729030411</v>
      </c>
      <c r="J210">
        <v>370.62624688590972</v>
      </c>
      <c r="K210">
        <v>32.451262390143462</v>
      </c>
      <c r="L210">
        <v>642.75124189907228</v>
      </c>
      <c r="M210">
        <v>32.451262390143462</v>
      </c>
    </row>
    <row r="211" spans="1:17" x14ac:dyDescent="0.25">
      <c r="A211" s="1" t="s">
        <v>20</v>
      </c>
      <c r="B211" s="2">
        <v>45551</v>
      </c>
      <c r="C211">
        <v>0.80249999999999999</v>
      </c>
      <c r="F211">
        <v>0.92225000000000001</v>
      </c>
      <c r="G211">
        <v>525</v>
      </c>
      <c r="H211">
        <v>232.98550379291191</v>
      </c>
      <c r="I211">
        <v>7.95913623930831</v>
      </c>
      <c r="J211">
        <v>257.64480271132601</v>
      </c>
      <c r="K211">
        <v>48.686760023628644</v>
      </c>
      <c r="L211">
        <v>547.27620276717471</v>
      </c>
      <c r="M211">
        <v>48.686760023628644</v>
      </c>
    </row>
    <row r="212" spans="1:17" x14ac:dyDescent="0.25">
      <c r="A212" s="1" t="s">
        <v>21</v>
      </c>
      <c r="B212" s="2">
        <v>45551</v>
      </c>
      <c r="C212">
        <v>0.79249999999999998</v>
      </c>
      <c r="F212">
        <v>0.92525000000000002</v>
      </c>
      <c r="G212">
        <v>580</v>
      </c>
      <c r="H212">
        <v>217.09860744772479</v>
      </c>
      <c r="I212">
        <v>17.315158462072208</v>
      </c>
      <c r="J212">
        <v>313.01020740838248</v>
      </c>
      <c r="K212">
        <v>29.8698997468404</v>
      </c>
      <c r="L212">
        <v>577.29387306501985</v>
      </c>
      <c r="M212">
        <v>29.8698997468404</v>
      </c>
    </row>
    <row r="213" spans="1:17" x14ac:dyDescent="0.25">
      <c r="A213" s="1" t="s">
        <v>22</v>
      </c>
      <c r="B213" s="2">
        <v>45551</v>
      </c>
      <c r="C213">
        <v>0.84749999999999992</v>
      </c>
      <c r="F213">
        <v>0.96424999999999994</v>
      </c>
      <c r="G213">
        <v>625</v>
      </c>
      <c r="H213">
        <v>256.32685976797569</v>
      </c>
      <c r="I213">
        <v>9.9923927179103149</v>
      </c>
      <c r="J213">
        <v>380.99528766979</v>
      </c>
      <c r="K213">
        <v>18.150858440559141</v>
      </c>
      <c r="L213">
        <v>665.46539859623522</v>
      </c>
      <c r="M213">
        <v>18.150858440559141</v>
      </c>
    </row>
    <row r="214" spans="1:17" x14ac:dyDescent="0.25">
      <c r="A214" s="1" t="s">
        <v>15</v>
      </c>
      <c r="B214" s="2">
        <v>45573</v>
      </c>
      <c r="C214">
        <v>0.75750000000000006</v>
      </c>
      <c r="F214">
        <v>0.96799999999999997</v>
      </c>
      <c r="G214">
        <v>815</v>
      </c>
      <c r="H214">
        <v>209.35837217578549</v>
      </c>
      <c r="I214">
        <v>53.322071315752467</v>
      </c>
      <c r="J214">
        <v>613.90740337201169</v>
      </c>
      <c r="L214">
        <v>1052.740935963408</v>
      </c>
      <c r="M214">
        <v>176.15308909985779</v>
      </c>
    </row>
    <row r="215" spans="1:17" x14ac:dyDescent="0.25">
      <c r="A215" s="1" t="s">
        <v>16</v>
      </c>
      <c r="B215" s="2">
        <v>45566</v>
      </c>
      <c r="C215">
        <v>0.74</v>
      </c>
      <c r="F215">
        <v>0.92074999999999996</v>
      </c>
      <c r="G215">
        <v>810</v>
      </c>
      <c r="H215">
        <v>193.3200723109515</v>
      </c>
      <c r="I215">
        <v>56.339374823574197</v>
      </c>
      <c r="J215">
        <v>537.81330068044872</v>
      </c>
      <c r="L215">
        <v>975.45427067595756</v>
      </c>
      <c r="M215">
        <v>187.98152286098309</v>
      </c>
    </row>
    <row r="216" spans="1:17" x14ac:dyDescent="0.25">
      <c r="A216" s="1" t="s">
        <v>17</v>
      </c>
      <c r="B216" s="2">
        <v>45560</v>
      </c>
      <c r="C216">
        <v>0.76249999999999996</v>
      </c>
      <c r="F216">
        <v>0.92249999999999999</v>
      </c>
      <c r="G216">
        <v>670</v>
      </c>
      <c r="H216">
        <v>237.90028564207529</v>
      </c>
      <c r="I216">
        <v>50.106548732061569</v>
      </c>
      <c r="J216">
        <v>583.53525581295878</v>
      </c>
      <c r="L216">
        <v>1105.335216602344</v>
      </c>
      <c r="M216">
        <v>233.7931264152482</v>
      </c>
    </row>
    <row r="217" spans="1:17" x14ac:dyDescent="0.25">
      <c r="A217" s="1" t="s">
        <v>18</v>
      </c>
      <c r="B217" s="2">
        <v>45561</v>
      </c>
      <c r="C217">
        <v>0.75249999999999995</v>
      </c>
      <c r="F217">
        <v>0.97875000000000001</v>
      </c>
      <c r="G217">
        <v>935</v>
      </c>
      <c r="H217">
        <v>208.2344991069869</v>
      </c>
      <c r="I217">
        <v>41.613925990877718</v>
      </c>
      <c r="J217">
        <v>636.91206729586861</v>
      </c>
      <c r="L217">
        <v>1069.5826835152379</v>
      </c>
      <c r="M217">
        <v>182.822191121505</v>
      </c>
    </row>
    <row r="218" spans="1:17" x14ac:dyDescent="0.25">
      <c r="A218" s="1" t="s">
        <v>19</v>
      </c>
      <c r="B218" s="2">
        <v>45568</v>
      </c>
      <c r="C218">
        <v>0.77500000000000002</v>
      </c>
      <c r="F218">
        <v>0.97249999999999992</v>
      </c>
      <c r="G218">
        <v>952.5</v>
      </c>
      <c r="H218">
        <v>233.74795571753791</v>
      </c>
      <c r="I218">
        <v>48.726623062581801</v>
      </c>
      <c r="J218">
        <v>626.70549859147002</v>
      </c>
      <c r="L218">
        <v>1068.637301838331</v>
      </c>
      <c r="M218">
        <v>159.45722446674071</v>
      </c>
    </row>
    <row r="219" spans="1:17" x14ac:dyDescent="0.25">
      <c r="A219" s="1" t="s">
        <v>20</v>
      </c>
      <c r="B219" s="2">
        <v>45568</v>
      </c>
      <c r="C219">
        <v>0.74750000000000005</v>
      </c>
      <c r="F219">
        <v>0.96274999999999999</v>
      </c>
      <c r="G219">
        <v>575</v>
      </c>
      <c r="H219">
        <v>185.0538297473897</v>
      </c>
      <c r="I219">
        <v>52.185410495204223</v>
      </c>
      <c r="J219">
        <v>409.57276217351659</v>
      </c>
      <c r="L219">
        <v>819.66753531161339</v>
      </c>
      <c r="M219">
        <v>172.85553289550279</v>
      </c>
    </row>
    <row r="220" spans="1:17" x14ac:dyDescent="0.25">
      <c r="A220" s="1" t="s">
        <v>21</v>
      </c>
      <c r="B220" s="2">
        <v>45573</v>
      </c>
      <c r="C220">
        <v>0.67249999999999999</v>
      </c>
      <c r="F220">
        <v>0.94025000000000003</v>
      </c>
      <c r="G220">
        <v>795</v>
      </c>
      <c r="H220">
        <v>174.2857657171669</v>
      </c>
      <c r="I220">
        <v>47.405195225588443</v>
      </c>
      <c r="J220">
        <v>551.76130646437628</v>
      </c>
      <c r="L220">
        <v>951.2881526218697</v>
      </c>
      <c r="M220">
        <v>177.83588521473811</v>
      </c>
    </row>
    <row r="221" spans="1:17" x14ac:dyDescent="0.25">
      <c r="A221" s="1" t="s">
        <v>22</v>
      </c>
      <c r="B221" s="2">
        <v>45573</v>
      </c>
      <c r="C221">
        <v>0.75750000000000006</v>
      </c>
      <c r="F221">
        <v>0.94274999999999998</v>
      </c>
      <c r="G221">
        <v>830</v>
      </c>
      <c r="H221">
        <v>224.69566164449819</v>
      </c>
      <c r="I221">
        <v>35.466026131532693</v>
      </c>
      <c r="J221">
        <v>653.19812315684135</v>
      </c>
      <c r="L221">
        <v>1074.995331305236</v>
      </c>
      <c r="M221">
        <v>161.63552037236391</v>
      </c>
    </row>
    <row r="222" spans="1:17" x14ac:dyDescent="0.25">
      <c r="A222" s="1" t="s">
        <v>15</v>
      </c>
      <c r="B222" s="2">
        <v>45610</v>
      </c>
      <c r="I222">
        <v>108.3883947925984</v>
      </c>
      <c r="J222">
        <v>354.6230704916569</v>
      </c>
      <c r="K222">
        <v>146.83263921945661</v>
      </c>
      <c r="L222">
        <v>1166.5241045037119</v>
      </c>
      <c r="M222">
        <v>703.51263921945656</v>
      </c>
      <c r="N222">
        <v>556.68000000000006</v>
      </c>
      <c r="O222">
        <v>3.6766121742771288E-2</v>
      </c>
      <c r="P222">
        <v>15163.62934093144</v>
      </c>
      <c r="Q222" t="s">
        <v>24</v>
      </c>
    </row>
    <row r="223" spans="1:17" x14ac:dyDescent="0.25">
      <c r="A223" s="1" t="s">
        <v>16</v>
      </c>
      <c r="B223" s="2">
        <v>45610</v>
      </c>
      <c r="I223">
        <v>81.607229798548403</v>
      </c>
      <c r="J223">
        <v>296.47192487480322</v>
      </c>
      <c r="K223">
        <v>154.6972152712714</v>
      </c>
      <c r="L223">
        <v>986.856369944623</v>
      </c>
      <c r="M223">
        <v>608.77721527127142</v>
      </c>
      <c r="N223">
        <v>454.08</v>
      </c>
      <c r="O223">
        <v>3.880497512437811E-2</v>
      </c>
      <c r="P223">
        <v>11717.491854334879</v>
      </c>
      <c r="Q223" t="s">
        <v>24</v>
      </c>
    </row>
    <row r="224" spans="1:17" x14ac:dyDescent="0.25">
      <c r="A224" s="1" t="s">
        <v>17</v>
      </c>
      <c r="B224" s="2">
        <v>45610</v>
      </c>
      <c r="I224">
        <v>96.407699469188159</v>
      </c>
      <c r="J224">
        <v>282.83545848906698</v>
      </c>
      <c r="K224">
        <v>198.45085618998519</v>
      </c>
      <c r="L224">
        <v>1300.4240141482401</v>
      </c>
      <c r="M224">
        <v>921.18085618998521</v>
      </c>
      <c r="N224">
        <v>722.73</v>
      </c>
      <c r="O224">
        <v>4.0164901477832513E-2</v>
      </c>
      <c r="P224">
        <v>17964.896618129951</v>
      </c>
      <c r="Q224" t="s">
        <v>24</v>
      </c>
    </row>
    <row r="225" spans="1:17" x14ac:dyDescent="0.25">
      <c r="A225" s="1" t="s">
        <v>18</v>
      </c>
      <c r="B225" s="2">
        <v>45610</v>
      </c>
      <c r="I225">
        <v>89.461069818320169</v>
      </c>
      <c r="J225">
        <v>377.20650599861028</v>
      </c>
      <c r="K225">
        <v>167.2222294105689</v>
      </c>
      <c r="L225">
        <v>1306.6648052274991</v>
      </c>
      <c r="M225">
        <v>839.99722941056893</v>
      </c>
      <c r="N225">
        <v>672.77499999999998</v>
      </c>
      <c r="O225">
        <v>4.2154119288778491E-2</v>
      </c>
      <c r="P225">
        <v>15964.97578041526</v>
      </c>
      <c r="Q225" t="s">
        <v>24</v>
      </c>
    </row>
    <row r="226" spans="1:17" x14ac:dyDescent="0.25">
      <c r="A226" s="1" t="s">
        <v>19</v>
      </c>
      <c r="B226" s="2">
        <v>45610</v>
      </c>
      <c r="I226">
        <v>81.635021503976844</v>
      </c>
      <c r="J226">
        <v>402.0262277288748</v>
      </c>
      <c r="K226">
        <v>168.9405916851415</v>
      </c>
      <c r="L226">
        <v>1233.8518409179931</v>
      </c>
      <c r="M226">
        <v>750.1905916851415</v>
      </c>
      <c r="N226">
        <v>581.25</v>
      </c>
      <c r="O226">
        <v>3.7825015930201211E-2</v>
      </c>
      <c r="P226">
        <v>15332.992480958441</v>
      </c>
      <c r="Q226" t="s">
        <v>24</v>
      </c>
    </row>
    <row r="227" spans="1:17" x14ac:dyDescent="0.25">
      <c r="A227" s="1" t="s">
        <v>20</v>
      </c>
      <c r="B227" s="2">
        <v>45610</v>
      </c>
      <c r="I227">
        <v>78.915325354226255</v>
      </c>
      <c r="J227">
        <v>216.56605720483449</v>
      </c>
      <c r="K227">
        <v>152.82469327776491</v>
      </c>
      <c r="L227">
        <v>1030.0160758368261</v>
      </c>
      <c r="M227">
        <v>734.53469327776497</v>
      </c>
      <c r="N227">
        <v>581.71</v>
      </c>
      <c r="O227">
        <v>4.3200000000000002E-2</v>
      </c>
      <c r="P227">
        <v>13478.15972223027</v>
      </c>
      <c r="Q227" t="s">
        <v>24</v>
      </c>
    </row>
    <row r="228" spans="1:17" x14ac:dyDescent="0.25">
      <c r="A228" s="1" t="s">
        <v>21</v>
      </c>
      <c r="B228" s="2">
        <v>45610</v>
      </c>
      <c r="I228">
        <v>77.923052996679246</v>
      </c>
      <c r="J228">
        <v>306.15548647178252</v>
      </c>
      <c r="K228">
        <v>147.233527670451</v>
      </c>
      <c r="L228">
        <v>1139.357067138913</v>
      </c>
      <c r="M228">
        <v>755.27852767045101</v>
      </c>
      <c r="N228">
        <v>608.04500000000007</v>
      </c>
      <c r="O228">
        <v>3.9853585450909633E-2</v>
      </c>
      <c r="P228">
        <v>15257.677335938009</v>
      </c>
      <c r="Q228" t="s">
        <v>24</v>
      </c>
    </row>
    <row r="229" spans="1:17" x14ac:dyDescent="0.25">
      <c r="A229" s="1" t="s">
        <v>22</v>
      </c>
      <c r="B229" s="2">
        <v>45610</v>
      </c>
      <c r="I229">
        <v>79.92055485921982</v>
      </c>
      <c r="J229">
        <v>317.59799391915362</v>
      </c>
      <c r="K229">
        <v>138.49956826501631</v>
      </c>
      <c r="L229">
        <v>959.10311704338972</v>
      </c>
      <c r="M229">
        <v>561.58456826501629</v>
      </c>
      <c r="N229">
        <v>423.08499999999998</v>
      </c>
      <c r="O229">
        <v>4.3556218905472642E-2</v>
      </c>
      <c r="P229">
        <v>9738.7459024403233</v>
      </c>
      <c r="Q22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8EF5-B0F7-41D7-9FD7-1C8CB347A925}">
  <dimension ref="A1:I19"/>
  <sheetViews>
    <sheetView zoomScale="70" zoomScaleNormal="70" workbookViewId="0">
      <selection activeCell="B33" sqref="B33"/>
    </sheetView>
  </sheetViews>
  <sheetFormatPr defaultRowHeight="15" x14ac:dyDescent="0.25"/>
  <cols>
    <col min="1" max="1" width="39.5703125" bestFit="1" customWidth="1"/>
    <col min="2" max="2" width="52.7109375" bestFit="1" customWidth="1"/>
    <col min="3" max="3" width="60.140625" bestFit="1" customWidth="1"/>
    <col min="4" max="4" width="53.140625" bestFit="1" customWidth="1"/>
    <col min="6" max="6" width="35.42578125" bestFit="1" customWidth="1"/>
    <col min="7" max="7" width="15.5703125" bestFit="1" customWidth="1"/>
    <col min="8" max="9" width="11.140625" bestFit="1" customWidth="1"/>
    <col min="10" max="11" width="10.7109375" bestFit="1" customWidth="1"/>
  </cols>
  <sheetData>
    <row r="1" spans="1:9" x14ac:dyDescent="0.25">
      <c r="F1" t="s">
        <v>31</v>
      </c>
      <c r="G1" t="s">
        <v>32</v>
      </c>
    </row>
    <row r="2" spans="1:9" x14ac:dyDescent="0.25">
      <c r="F2">
        <v>3</v>
      </c>
      <c r="G2" t="s">
        <v>30</v>
      </c>
    </row>
    <row r="3" spans="1:9" x14ac:dyDescent="0.25">
      <c r="F3">
        <v>6</v>
      </c>
      <c r="G3" t="s">
        <v>29</v>
      </c>
    </row>
    <row r="4" spans="1:9" x14ac:dyDescent="0.25">
      <c r="F4">
        <v>8</v>
      </c>
      <c r="G4" t="s">
        <v>28</v>
      </c>
    </row>
    <row r="10" spans="1:9" x14ac:dyDescent="0.25">
      <c r="F10" s="3" t="s">
        <v>27</v>
      </c>
      <c r="G10" s="3" t="s">
        <v>26</v>
      </c>
    </row>
    <row r="11" spans="1:9" x14ac:dyDescent="0.25">
      <c r="A11" s="7" t="s">
        <v>13</v>
      </c>
      <c r="B11" s="7" t="str">
        <f>VLOOKUP(G11,$F$1:$G$4,2,FALSE)</f>
        <v>[Wheat].Phenology.Emerging.DateToProgress</v>
      </c>
      <c r="C11" s="7" t="str">
        <f>VLOOKUP(H11,$F$1:$G$4,2,FALSE)</f>
        <v>[Wheat].Phenology.StemElongating.DateToProgress</v>
      </c>
      <c r="D11" s="7" t="str">
        <f>VLOOKUP(I11,$F$1:$G$4,2,FALSE)</f>
        <v>[Wheat].Phenology.Flowering.DateToProgress</v>
      </c>
      <c r="F11" s="3" t="s">
        <v>25</v>
      </c>
      <c r="G11">
        <v>3</v>
      </c>
      <c r="H11">
        <v>6</v>
      </c>
      <c r="I11">
        <v>8</v>
      </c>
    </row>
    <row r="12" spans="1:9" x14ac:dyDescent="0.25">
      <c r="A12" s="8" t="str">
        <f>F12</f>
        <v>DookieEVA2024SowApril_BigRed</v>
      </c>
      <c r="B12" s="6">
        <f t="shared" ref="B12:D12" si="0">G12</f>
        <v>45409</v>
      </c>
      <c r="C12" s="6">
        <f t="shared" si="0"/>
        <v>45558</v>
      </c>
      <c r="D12" s="6">
        <f t="shared" si="0"/>
        <v>45574</v>
      </c>
      <c r="F12" s="4" t="s">
        <v>15</v>
      </c>
      <c r="G12" s="5">
        <v>45409</v>
      </c>
      <c r="H12" s="5">
        <v>45558</v>
      </c>
      <c r="I12" s="5">
        <v>45574</v>
      </c>
    </row>
    <row r="13" spans="1:9" x14ac:dyDescent="0.25">
      <c r="A13" s="8" t="str">
        <f t="shared" ref="A13:A19" si="1">F13</f>
        <v>DookieEVA2024SowApril_Illabo</v>
      </c>
      <c r="B13" s="6">
        <f t="shared" ref="B13:B19" si="2">G13</f>
        <v>45410</v>
      </c>
      <c r="C13" s="6">
        <f t="shared" ref="C13:C19" si="3">H13</f>
        <v>45543</v>
      </c>
      <c r="D13" s="6">
        <f t="shared" ref="D13:D19" si="4">I13</f>
        <v>45566</v>
      </c>
      <c r="F13" s="4" t="s">
        <v>16</v>
      </c>
      <c r="G13" s="5">
        <v>45410</v>
      </c>
      <c r="H13" s="5">
        <v>45543</v>
      </c>
      <c r="I13" s="5">
        <v>45566</v>
      </c>
    </row>
    <row r="14" spans="1:9" x14ac:dyDescent="0.25">
      <c r="A14" s="8" t="str">
        <f t="shared" si="1"/>
        <v>DookieEVA2024SowApril_UOM001_3_47</v>
      </c>
      <c r="B14" s="6">
        <f t="shared" si="2"/>
        <v>45409</v>
      </c>
      <c r="C14" s="6">
        <f t="shared" si="3"/>
        <v>45538</v>
      </c>
      <c r="D14" s="6">
        <f t="shared" si="4"/>
        <v>45560</v>
      </c>
      <c r="F14" s="4" t="s">
        <v>17</v>
      </c>
      <c r="G14" s="5">
        <v>45409</v>
      </c>
      <c r="H14" s="5">
        <v>45538</v>
      </c>
      <c r="I14" s="5">
        <v>45560</v>
      </c>
    </row>
    <row r="15" spans="1:9" x14ac:dyDescent="0.25">
      <c r="A15" s="8" t="str">
        <f t="shared" si="1"/>
        <v>DookieEVA2024SowApril_UOM001_9_1</v>
      </c>
      <c r="B15" s="6">
        <f t="shared" si="2"/>
        <v>45411</v>
      </c>
      <c r="C15" s="6">
        <f t="shared" si="3"/>
        <v>45541</v>
      </c>
      <c r="D15" s="6">
        <f t="shared" si="4"/>
        <v>45561</v>
      </c>
      <c r="F15" s="4" t="s">
        <v>18</v>
      </c>
      <c r="G15" s="5">
        <v>45411</v>
      </c>
      <c r="H15" s="5">
        <v>45541</v>
      </c>
      <c r="I15" s="5">
        <v>45561</v>
      </c>
    </row>
    <row r="16" spans="1:9" x14ac:dyDescent="0.25">
      <c r="A16" s="8" t="str">
        <f t="shared" si="1"/>
        <v>DookieEVA2024SowMay_Sunmaster</v>
      </c>
      <c r="B16" s="6">
        <f t="shared" si="2"/>
        <v>45439</v>
      </c>
      <c r="C16" s="6">
        <f t="shared" si="3"/>
        <v>45547</v>
      </c>
      <c r="D16" s="6">
        <f t="shared" si="4"/>
        <v>45569</v>
      </c>
      <c r="F16" s="4" t="s">
        <v>19</v>
      </c>
      <c r="G16" s="5">
        <v>45439</v>
      </c>
      <c r="H16" s="5">
        <v>45547</v>
      </c>
      <c r="I16" s="5">
        <v>45569</v>
      </c>
    </row>
    <row r="17" spans="1:9" x14ac:dyDescent="0.25">
      <c r="A17" s="8" t="str">
        <f t="shared" si="1"/>
        <v>DookieEVA2024SowMay_UOM001_3_47</v>
      </c>
      <c r="B17" s="6">
        <f t="shared" si="2"/>
        <v>45439</v>
      </c>
      <c r="C17" s="6">
        <f t="shared" si="3"/>
        <v>45549</v>
      </c>
      <c r="D17" s="6">
        <f t="shared" si="4"/>
        <v>45568</v>
      </c>
      <c r="F17" s="4" t="s">
        <v>20</v>
      </c>
      <c r="G17" s="5">
        <v>45439</v>
      </c>
      <c r="H17" s="5">
        <v>45549</v>
      </c>
      <c r="I17" s="5">
        <v>45568</v>
      </c>
    </row>
    <row r="18" spans="1:9" x14ac:dyDescent="0.25">
      <c r="A18" s="8" t="str">
        <f t="shared" si="1"/>
        <v>DookieEVA2024SowMay_UOM001_9_1</v>
      </c>
      <c r="B18" s="6">
        <f t="shared" si="2"/>
        <v>45439</v>
      </c>
      <c r="C18" s="6">
        <f t="shared" si="3"/>
        <v>45551</v>
      </c>
      <c r="D18" s="6">
        <f t="shared" si="4"/>
        <v>45570</v>
      </c>
      <c r="F18" s="4" t="s">
        <v>21</v>
      </c>
      <c r="G18" s="5">
        <v>45439</v>
      </c>
      <c r="H18" s="5">
        <v>45551</v>
      </c>
      <c r="I18" s="5">
        <v>45570</v>
      </c>
    </row>
    <row r="19" spans="1:9" x14ac:dyDescent="0.25">
      <c r="A19" s="8" t="str">
        <f t="shared" si="1"/>
        <v>DookieEVA2024SowMay_Zanzibar</v>
      </c>
      <c r="B19" s="6">
        <f t="shared" si="2"/>
        <v>45438</v>
      </c>
      <c r="C19" s="6">
        <f t="shared" si="3"/>
        <v>45551</v>
      </c>
      <c r="D19" s="6">
        <f t="shared" si="4"/>
        <v>45572</v>
      </c>
      <c r="F19" s="4" t="s">
        <v>22</v>
      </c>
      <c r="G19" s="5">
        <v>45438</v>
      </c>
      <c r="H19" s="5">
        <v>45551</v>
      </c>
      <c r="I19" s="5">
        <v>45572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WorkedForInput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Teixeira</dc:creator>
  <cp:lastModifiedBy>Hamish Brown</cp:lastModifiedBy>
  <dcterms:created xsi:type="dcterms:W3CDTF">2025-03-18T02:56:44Z</dcterms:created>
  <dcterms:modified xsi:type="dcterms:W3CDTF">2025-11-24T20:45:39Z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2025-10-29T20:33:26Z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67a55516-2c17-4bce-8134-3b5e2f4f4eab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